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4社會福利統計報表網頁(新版)\1140421\"/>
    </mc:Choice>
  </mc:AlternateContent>
  <bookViews>
    <workbookView xWindow="0" yWindow="0" windowWidth="28800" windowHeight="12135"/>
  </bookViews>
  <sheets>
    <sheet name="歷年(110~)" sheetId="16" r:id="rId1"/>
    <sheet name="113" sheetId="19" r:id="rId2"/>
    <sheet name="112" sheetId="18" r:id="rId3"/>
    <sheet name="111" sheetId="15" r:id="rId4"/>
    <sheet name="110" sheetId="1" r:id="rId5"/>
    <sheet name="歷年(98-109)" sheetId="17" state="hidden" r:id="rId6"/>
    <sheet name="109" sheetId="3" r:id="rId7"/>
    <sheet name="108" sheetId="4" r:id="rId8"/>
    <sheet name="107" sheetId="5" r:id="rId9"/>
    <sheet name="106" sheetId="6" r:id="rId10"/>
    <sheet name="105" sheetId="7" r:id="rId11"/>
    <sheet name="104" sheetId="8" r:id="rId12"/>
    <sheet name="103" sheetId="9" r:id="rId13"/>
    <sheet name="102" sheetId="10" r:id="rId14"/>
    <sheet name="101" sheetId="11" r:id="rId15"/>
    <sheet name="100" sheetId="12" r:id="rId16"/>
    <sheet name="99" sheetId="13" r:id="rId17"/>
    <sheet name="98" sheetId="14" r:id="rId18"/>
  </sheets>
  <definedNames>
    <definedName name="_112" localSheetId="1">#REF!</definedName>
    <definedName name="_112">#REF!</definedName>
    <definedName name="pp" localSheetId="4">#REF!</definedName>
    <definedName name="pp" localSheetId="3">#REF!</definedName>
    <definedName name="pp" localSheetId="2">#REF!</definedName>
    <definedName name="pp" localSheetId="1">#REF!</definedName>
    <definedName name="pp" localSheetId="0">#REF!</definedName>
    <definedName name="pp">#REF!</definedName>
    <definedName name="ppp" localSheetId="4">#REF!</definedName>
    <definedName name="ppp" localSheetId="3">#REF!</definedName>
    <definedName name="ppp" localSheetId="2">#REF!</definedName>
    <definedName name="ppp" localSheetId="1">#REF!</definedName>
    <definedName name="ppp" localSheetId="0">#REF!</definedName>
    <definedName name="ppp">#REF!</definedName>
    <definedName name="_xlnm.Print_Area" localSheetId="4">'110'!$A$1:$Y$35</definedName>
    <definedName name="_xlnm.Print_Area" localSheetId="3">'111'!$A$1:$Y$35</definedName>
    <definedName name="_xlnm.Print_Area" localSheetId="2">'112'!$A$1:$Y$35</definedName>
    <definedName name="_xlnm.Print_Area" localSheetId="1">'113'!$A$1:$Y$35</definedName>
    <definedName name="_xlnm.Print_Area" localSheetId="0">'歷年(110~)'!$A$1:$Y$17</definedName>
    <definedName name="低收" localSheetId="4">#REF!</definedName>
    <definedName name="低收" localSheetId="3">#REF!</definedName>
    <definedName name="低收" localSheetId="2">#REF!</definedName>
    <definedName name="低收" localSheetId="1">#REF!</definedName>
    <definedName name="低收" localSheetId="0">#REF!</definedName>
    <definedName name="低收">#REF!</definedName>
    <definedName name="低收1" localSheetId="3">#REF!</definedName>
    <definedName name="低收1" localSheetId="2">#REF!</definedName>
    <definedName name="低收1" localSheetId="1">#REF!</definedName>
    <definedName name="低收1" localSheetId="0">#REF!</definedName>
    <definedName name="低收1">#REF!</definedName>
    <definedName name="表" localSheetId="3">#REF!</definedName>
    <definedName name="表" localSheetId="2">#REF!</definedName>
    <definedName name="表" localSheetId="1">#REF!</definedName>
    <definedName name="表" localSheetId="0">#REF!</definedName>
    <definedName name="表">#REF!</definedName>
  </definedNames>
  <calcPr calcId="152511"/>
</workbook>
</file>

<file path=xl/calcChain.xml><?xml version="1.0" encoding="utf-8"?>
<calcChain xmlns="http://schemas.openxmlformats.org/spreadsheetml/2006/main">
  <c r="C10" i="16" l="1"/>
  <c r="D10" i="16"/>
  <c r="E10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S10" i="16"/>
  <c r="T10" i="16"/>
  <c r="U10" i="16"/>
  <c r="V10" i="16"/>
  <c r="W10" i="16"/>
  <c r="X10" i="16"/>
  <c r="Y10" i="16"/>
  <c r="B10" i="16"/>
  <c r="C9" i="16" l="1"/>
  <c r="D9" i="16"/>
  <c r="E9" i="16"/>
  <c r="F9" i="16"/>
  <c r="G9" i="16"/>
  <c r="H9" i="16"/>
  <c r="I9" i="16"/>
  <c r="J9" i="16"/>
  <c r="K9" i="16"/>
  <c r="L9" i="16"/>
  <c r="M9" i="16"/>
  <c r="N9" i="16"/>
  <c r="O9" i="16"/>
  <c r="P9" i="16"/>
  <c r="Q9" i="16"/>
  <c r="R9" i="16"/>
  <c r="S9" i="16"/>
  <c r="T9" i="16"/>
  <c r="U9" i="16"/>
  <c r="V9" i="16"/>
  <c r="W9" i="16"/>
  <c r="X9" i="16"/>
  <c r="Y9" i="16"/>
  <c r="B9" i="16"/>
  <c r="C8" i="16"/>
  <c r="D8" i="16"/>
  <c r="E8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Y8" i="16"/>
  <c r="B8" i="16"/>
  <c r="C7" i="16"/>
  <c r="D7" i="16"/>
  <c r="E7" i="16"/>
  <c r="F7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X7" i="16"/>
  <c r="Y7" i="16"/>
  <c r="B7" i="16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AX2" i="4"/>
  <c r="AW2" i="4"/>
  <c r="AV2" i="4"/>
  <c r="AU2" i="4"/>
  <c r="AT2" i="4"/>
  <c r="AS2" i="4"/>
  <c r="AR2" i="4"/>
  <c r="AQ2" i="4"/>
  <c r="AP2" i="4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AX2" i="3"/>
  <c r="AW2" i="3"/>
  <c r="AV2" i="3"/>
  <c r="AU2" i="3"/>
  <c r="AT2" i="3"/>
  <c r="AS2" i="3"/>
  <c r="AR2" i="3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</calcChain>
</file>

<file path=xl/comments1.xml><?xml version="1.0" encoding="utf-8"?>
<comments xmlns="http://schemas.openxmlformats.org/spreadsheetml/2006/main">
  <authors>
    <author>統計處黃素滿</author>
  </authors>
  <commentList>
    <comment ref="A3" authorId="0" shapeId="0">
      <text>
        <r>
          <rPr>
            <b/>
            <sz val="9"/>
            <color indexed="81"/>
            <rFont val="細明體"/>
            <family val="3"/>
            <charset val="136"/>
          </rPr>
          <t>1100621:桃園市修正本期服務個案人數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統計處黃素滿</author>
  </authors>
  <commentList>
    <comment ref="A3" authorId="0" shapeId="0">
      <text>
        <r>
          <rPr>
            <sz val="9"/>
            <color indexed="81"/>
            <rFont val="細明體"/>
            <family val="3"/>
            <charset val="136"/>
          </rPr>
          <t>109.7苗栗縣修正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d04</author>
  </authors>
  <commentList>
    <comment ref="A3" authorId="0" shapeId="0">
      <text>
        <r>
          <rPr>
            <sz val="9"/>
            <color indexed="81"/>
            <rFont val="Tahoma"/>
            <family val="2"/>
          </rPr>
          <t>10603</t>
        </r>
        <r>
          <rPr>
            <sz val="9"/>
            <color indexed="81"/>
            <rFont val="細明體"/>
            <family val="3"/>
            <charset val="136"/>
          </rPr>
          <t>苗栗修期底服務人數</t>
        </r>
      </text>
    </comment>
  </commentList>
</comments>
</file>

<file path=xl/sharedStrings.xml><?xml version="1.0" encoding="utf-8"?>
<sst xmlns="http://schemas.openxmlformats.org/spreadsheetml/2006/main" count="1801" uniqueCount="244">
  <si>
    <t>總計</t>
  </si>
  <si>
    <r>
      <rPr>
        <b/>
        <sz val="16"/>
        <rFont val="標楷體"/>
        <family val="4"/>
        <charset val="136"/>
      </rPr>
      <t>長期照顧十年計畫－交通接送服務</t>
    </r>
    <r>
      <rPr>
        <b/>
        <sz val="16"/>
        <rFont val="Times New Roman"/>
        <family val="1"/>
      </rPr>
      <t xml:space="preserve"> Achievements of Ten-year Long Term Care Program by Transportation Pick-up Services</t>
    </r>
    <phoneticPr fontId="6" type="noConversion"/>
  </si>
  <si>
    <r>
      <rPr>
        <sz val="10"/>
        <rFont val="標楷體"/>
        <family val="4"/>
        <charset val="136"/>
      </rPr>
      <t xml:space="preserve">合計
</t>
    </r>
    <r>
      <rPr>
        <sz val="10"/>
        <rFont val="Times New Roman"/>
        <family val="1"/>
      </rPr>
      <t>Total</t>
    </r>
    <phoneticPr fontId="6" type="noConversion"/>
  </si>
  <si>
    <t>長照低收入</t>
    <phoneticPr fontId="2" type="noConversion"/>
  </si>
  <si>
    <t>長照中低收入</t>
    <phoneticPr fontId="2" type="noConversion"/>
  </si>
  <si>
    <t>長照一般戶</t>
    <phoneticPr fontId="2" type="noConversion"/>
  </si>
  <si>
    <r>
      <rPr>
        <sz val="10"/>
        <rFont val="標楷體"/>
        <family val="4"/>
        <charset val="136"/>
      </rPr>
      <t xml:space="preserve">計
</t>
    </r>
    <r>
      <rPr>
        <sz val="10"/>
        <rFont val="Times New Roman"/>
        <family val="1"/>
      </rPr>
      <t>Subtotal</t>
    </r>
    <phoneticPr fontId="6" type="noConversion"/>
  </si>
  <si>
    <r>
      <rPr>
        <sz val="10"/>
        <rFont val="標楷體"/>
        <family val="4"/>
        <charset val="136"/>
      </rPr>
      <t xml:space="preserve">男
</t>
    </r>
    <r>
      <rPr>
        <sz val="10"/>
        <rFont val="Times New Roman"/>
        <family val="1"/>
      </rPr>
      <t>Male</t>
    </r>
    <phoneticPr fontId="6" type="noConversion"/>
  </si>
  <si>
    <r>
      <rPr>
        <sz val="10"/>
        <rFont val="標楷體"/>
        <family val="4"/>
        <charset val="136"/>
      </rPr>
      <t xml:space="preserve">女
</t>
    </r>
    <r>
      <rPr>
        <sz val="10"/>
        <rFont val="Times New Roman"/>
        <family val="1"/>
      </rPr>
      <t>Female</t>
    </r>
    <phoneticPr fontId="6" type="noConversion"/>
  </si>
  <si>
    <r>
      <rPr>
        <sz val="10"/>
        <rFont val="標楷體"/>
        <family val="4"/>
        <charset val="136"/>
      </rPr>
      <t>期底服務個案人數</t>
    </r>
    <r>
      <rPr>
        <sz val="10"/>
        <rFont val="Times New Roman"/>
        <family val="1"/>
      </rPr>
      <t xml:space="preserve"> Persons Served</t>
    </r>
    <phoneticPr fontId="6" type="noConversion"/>
  </si>
  <si>
    <r>
      <rPr>
        <sz val="10"/>
        <rFont val="標楷體"/>
        <family val="4"/>
        <charset val="136"/>
      </rPr>
      <t>本期服務個案人數</t>
    </r>
    <r>
      <rPr>
        <sz val="10"/>
        <rFont val="Times New Roman"/>
        <family val="1"/>
      </rPr>
      <t xml:space="preserve"> Persons Served</t>
    </r>
    <phoneticPr fontId="6" type="noConversion"/>
  </si>
  <si>
    <t>65歲以上老人
(含IADLs失能且獨居之老人)</t>
  </si>
  <si>
    <t>65歲以上
領有身心障礙證明者</t>
    <phoneticPr fontId="6" type="noConversion"/>
  </si>
  <si>
    <t>64歲以下
領有身心障礙證明者</t>
    <phoneticPr fontId="6" type="noConversion"/>
  </si>
  <si>
    <t>55-64歲原住民</t>
  </si>
  <si>
    <t>50歲以上失智症者</t>
  </si>
  <si>
    <r>
      <rPr>
        <sz val="10"/>
        <rFont val="標楷體"/>
        <family val="4"/>
        <charset val="136"/>
      </rPr>
      <t>合計</t>
    </r>
  </si>
  <si>
    <t>長照低收入戶</t>
  </si>
  <si>
    <t>長照中低收入戶</t>
    <phoneticPr fontId="6" type="noConversion"/>
  </si>
  <si>
    <t>長照一般戶</t>
  </si>
  <si>
    <r>
      <rPr>
        <sz val="9"/>
        <color indexed="8"/>
        <rFont val="標楷體"/>
        <family val="4"/>
        <charset val="136"/>
      </rPr>
      <t>更新日期：</t>
    </r>
    <r>
      <rPr>
        <sz val="9"/>
        <color indexed="8"/>
        <rFont val="Times New Roman"/>
        <family val="1"/>
      </rPr>
      <t>2021/6/30</t>
    </r>
    <phoneticPr fontId="6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</si>
  <si>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2020</t>
    </r>
    <phoneticPr fontId="6" type="noConversion"/>
  </si>
  <si>
    <r>
      <rPr>
        <sz val="10"/>
        <rFont val="標楷體"/>
        <family val="4"/>
        <charset val="136"/>
      </rPr>
      <t xml:space="preserve">區域別
</t>
    </r>
    <r>
      <rPr>
        <sz val="10"/>
        <rFont val="Times New Roman"/>
        <family val="1"/>
      </rPr>
      <t>Locality</t>
    </r>
    <phoneticPr fontId="6" type="noConversion"/>
  </si>
  <si>
    <r>
      <rPr>
        <sz val="10"/>
        <rFont val="標楷體"/>
        <family val="4"/>
        <charset val="136"/>
      </rPr>
      <t>總計</t>
    </r>
    <phoneticPr fontId="6" type="noConversion"/>
  </si>
  <si>
    <r>
      <rPr>
        <sz val="10"/>
        <color indexed="12"/>
        <rFont val="標楷體"/>
        <family val="4"/>
        <charset val="136"/>
      </rPr>
      <t>計</t>
    </r>
    <r>
      <rPr>
        <sz val="10"/>
        <color indexed="12"/>
        <rFont val="Times New Roman"/>
        <family val="1"/>
      </rPr>
      <t>Total</t>
    </r>
    <phoneticPr fontId="4" type="noConversion"/>
  </si>
  <si>
    <t>Total</t>
  </si>
  <si>
    <r>
      <rPr>
        <sz val="10"/>
        <rFont val="標楷體"/>
        <family val="4"/>
        <charset val="136"/>
      </rPr>
      <t>男</t>
    </r>
    <r>
      <rPr>
        <sz val="10"/>
        <rFont val="Times New Roman"/>
        <family val="1"/>
      </rPr>
      <t>Male</t>
    </r>
    <phoneticPr fontId="4" type="noConversion"/>
  </si>
  <si>
    <r>
      <rPr>
        <sz val="10"/>
        <rFont val="標楷體"/>
        <family val="4"/>
        <charset val="136"/>
      </rPr>
      <t>女</t>
    </r>
    <r>
      <rPr>
        <sz val="10"/>
        <rFont val="Times New Roman"/>
        <family val="1"/>
      </rPr>
      <t>Female</t>
    </r>
    <phoneticPr fontId="4" type="noConversion"/>
  </si>
  <si>
    <r>
      <rPr>
        <sz val="10"/>
        <rFont val="標楷體"/>
        <family val="4"/>
        <charset val="136"/>
      </rPr>
      <t>新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北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市</t>
    </r>
    <phoneticPr fontId="6" type="noConversion"/>
  </si>
  <si>
    <t>New Taipei City</t>
    <phoneticPr fontId="6" type="noConversion"/>
  </si>
  <si>
    <r>
      <rPr>
        <sz val="10"/>
        <rFont val="標楷體"/>
        <family val="4"/>
        <charset val="136"/>
      </rPr>
      <t>臺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北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市</t>
    </r>
    <phoneticPr fontId="6" type="noConversion"/>
  </si>
  <si>
    <t>Taipei City</t>
    <phoneticPr fontId="6" type="noConversion"/>
  </si>
  <si>
    <r>
      <rPr>
        <sz val="10"/>
        <rFont val="標楷體"/>
        <family val="4"/>
        <charset val="136"/>
      </rPr>
      <t>桃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園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市</t>
    </r>
    <phoneticPr fontId="6" type="noConversion"/>
  </si>
  <si>
    <t>Taoyuan City</t>
    <phoneticPr fontId="6" type="noConversion"/>
  </si>
  <si>
    <r>
      <rPr>
        <sz val="10"/>
        <rFont val="標楷體"/>
        <family val="4"/>
        <charset val="136"/>
      </rPr>
      <t>臺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中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市</t>
    </r>
    <phoneticPr fontId="6" type="noConversion"/>
  </si>
  <si>
    <t>Taichung City</t>
    <phoneticPr fontId="6" type="noConversion"/>
  </si>
  <si>
    <r>
      <rPr>
        <sz val="10"/>
        <rFont val="標楷體"/>
        <family val="4"/>
        <charset val="136"/>
      </rPr>
      <t>臺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南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市</t>
    </r>
    <phoneticPr fontId="6" type="noConversion"/>
  </si>
  <si>
    <t>Tainan City</t>
    <phoneticPr fontId="6" type="noConversion"/>
  </si>
  <si>
    <r>
      <rPr>
        <sz val="10"/>
        <rFont val="標楷體"/>
        <family val="4"/>
        <charset val="136"/>
      </rPr>
      <t>高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雄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市</t>
    </r>
    <phoneticPr fontId="6" type="noConversion"/>
  </si>
  <si>
    <t>Kaohsiung City</t>
    <phoneticPr fontId="6" type="noConversion"/>
  </si>
  <si>
    <r>
      <rPr>
        <sz val="10"/>
        <rFont val="標楷體"/>
        <family val="4"/>
        <charset val="136"/>
      </rPr>
      <t>　宜蘭縣</t>
    </r>
    <phoneticPr fontId="6" type="noConversion"/>
  </si>
  <si>
    <t>Yilan County</t>
  </si>
  <si>
    <r>
      <rPr>
        <sz val="10"/>
        <rFont val="標楷體"/>
        <family val="4"/>
        <charset val="136"/>
      </rPr>
      <t>　新竹縣</t>
    </r>
    <phoneticPr fontId="6" type="noConversion"/>
  </si>
  <si>
    <t>Hsinchu County</t>
  </si>
  <si>
    <r>
      <rPr>
        <sz val="10"/>
        <rFont val="標楷體"/>
        <family val="4"/>
        <charset val="136"/>
      </rPr>
      <t>　苗栗縣</t>
    </r>
    <phoneticPr fontId="6" type="noConversion"/>
  </si>
  <si>
    <t>Miaoli County</t>
  </si>
  <si>
    <r>
      <rPr>
        <sz val="10"/>
        <rFont val="標楷體"/>
        <family val="4"/>
        <charset val="136"/>
      </rPr>
      <t>　彰化縣</t>
    </r>
    <phoneticPr fontId="6" type="noConversion"/>
  </si>
  <si>
    <t>Changhua County</t>
  </si>
  <si>
    <r>
      <rPr>
        <sz val="10"/>
        <rFont val="標楷體"/>
        <family val="4"/>
        <charset val="136"/>
      </rPr>
      <t>　南投縣</t>
    </r>
    <phoneticPr fontId="6" type="noConversion"/>
  </si>
  <si>
    <t>Nantou County</t>
  </si>
  <si>
    <r>
      <rPr>
        <sz val="10"/>
        <rFont val="標楷體"/>
        <family val="4"/>
        <charset val="136"/>
      </rPr>
      <t>　雲林縣</t>
    </r>
    <phoneticPr fontId="6" type="noConversion"/>
  </si>
  <si>
    <t>Yunlin County</t>
  </si>
  <si>
    <r>
      <rPr>
        <sz val="10"/>
        <rFont val="標楷體"/>
        <family val="4"/>
        <charset val="136"/>
      </rPr>
      <t>　嘉義縣</t>
    </r>
    <phoneticPr fontId="6" type="noConversion"/>
  </si>
  <si>
    <t>Chiayi County</t>
  </si>
  <si>
    <r>
      <rPr>
        <sz val="10"/>
        <rFont val="標楷體"/>
        <family val="4"/>
        <charset val="136"/>
      </rPr>
      <t>　屏東縣</t>
    </r>
    <phoneticPr fontId="6" type="noConversion"/>
  </si>
  <si>
    <t>Pingtung County</t>
  </si>
  <si>
    <r>
      <rPr>
        <sz val="10"/>
        <rFont val="標楷體"/>
        <family val="4"/>
        <charset val="136"/>
      </rPr>
      <t>　臺東縣</t>
    </r>
    <phoneticPr fontId="6" type="noConversion"/>
  </si>
  <si>
    <t>Taitung County</t>
  </si>
  <si>
    <r>
      <rPr>
        <sz val="10"/>
        <rFont val="標楷體"/>
        <family val="4"/>
        <charset val="136"/>
      </rPr>
      <t>　花蓮縣</t>
    </r>
    <phoneticPr fontId="6" type="noConversion"/>
  </si>
  <si>
    <t>Hualien County</t>
  </si>
  <si>
    <r>
      <rPr>
        <sz val="10"/>
        <rFont val="標楷體"/>
        <family val="4"/>
        <charset val="136"/>
      </rPr>
      <t>　澎湖縣</t>
    </r>
    <phoneticPr fontId="6" type="noConversion"/>
  </si>
  <si>
    <t>Penghu County</t>
  </si>
  <si>
    <r>
      <rPr>
        <sz val="10"/>
        <rFont val="標楷體"/>
        <family val="4"/>
        <charset val="136"/>
      </rPr>
      <t>　基隆市</t>
    </r>
    <phoneticPr fontId="6" type="noConversion"/>
  </si>
  <si>
    <t>Keelung City</t>
  </si>
  <si>
    <r>
      <rPr>
        <sz val="10"/>
        <rFont val="標楷體"/>
        <family val="4"/>
        <charset val="136"/>
      </rPr>
      <t>　新竹市</t>
    </r>
    <phoneticPr fontId="6" type="noConversion"/>
  </si>
  <si>
    <t>Hsinchu City</t>
  </si>
  <si>
    <r>
      <rPr>
        <sz val="10"/>
        <rFont val="標楷體"/>
        <family val="4"/>
        <charset val="136"/>
      </rPr>
      <t>　嘉義市</t>
    </r>
    <phoneticPr fontId="6" type="noConversion"/>
  </si>
  <si>
    <t>Chiayi City</t>
  </si>
  <si>
    <r>
      <rPr>
        <sz val="10"/>
        <rFont val="標楷體"/>
        <family val="4"/>
        <charset val="136"/>
      </rPr>
      <t>　金門縣</t>
    </r>
    <phoneticPr fontId="6" type="noConversion"/>
  </si>
  <si>
    <t>Kinmen County</t>
  </si>
  <si>
    <r>
      <rPr>
        <sz val="10"/>
        <rFont val="標楷體"/>
        <family val="4"/>
        <charset val="136"/>
      </rPr>
      <t>　連江縣</t>
    </r>
    <phoneticPr fontId="6" type="noConversion"/>
  </si>
  <si>
    <t>Lienchiang County</t>
  </si>
  <si>
    <r>
      <rPr>
        <sz val="9"/>
        <rFont val="標楷體"/>
        <family val="4"/>
        <charset val="136"/>
      </rPr>
      <t>資料來源：直轄市、縣﹝市﹞政府。</t>
    </r>
    <r>
      <rPr>
        <sz val="12"/>
        <color theme="1"/>
        <rFont val="新細明體"/>
        <family val="2"/>
        <charset val="136"/>
        <scheme val="minor"/>
      </rPr>
      <t xml:space="preserve"> </t>
    </r>
    <phoneticPr fontId="4" type="noConversion"/>
  </si>
  <si>
    <r>
      <rPr>
        <sz val="9"/>
        <rFont val="標楷體"/>
        <family val="4"/>
        <charset val="136"/>
      </rPr>
      <t>備註：「服務個案人數」中個案具有多重身分時，認定優先順序，依序為『</t>
    </r>
    <r>
      <rPr>
        <sz val="12"/>
        <color theme="1"/>
        <rFont val="新細明體"/>
        <family val="2"/>
        <charset val="136"/>
        <scheme val="minor"/>
      </rPr>
      <t>50</t>
    </r>
    <r>
      <rPr>
        <sz val="9"/>
        <rFont val="標楷體"/>
        <family val="4"/>
        <charset val="136"/>
      </rPr>
      <t>歲以上失智者』、『</t>
    </r>
    <r>
      <rPr>
        <sz val="12"/>
        <color theme="1"/>
        <rFont val="新細明體"/>
        <family val="2"/>
        <charset val="136"/>
        <scheme val="minor"/>
      </rPr>
      <t>55-64</t>
    </r>
    <r>
      <rPr>
        <sz val="9"/>
        <rFont val="標楷體"/>
        <family val="4"/>
        <charset val="136"/>
      </rPr>
      <t>歲原住民』、『</t>
    </r>
    <r>
      <rPr>
        <sz val="12"/>
        <color theme="1"/>
        <rFont val="新細明體"/>
        <family val="2"/>
        <charset val="136"/>
        <scheme val="minor"/>
      </rPr>
      <t>65</t>
    </r>
    <r>
      <rPr>
        <sz val="9"/>
        <rFont val="標楷體"/>
        <family val="4"/>
        <charset val="136"/>
      </rPr>
      <t>歲以下領有身心障礙證明者』、『</t>
    </r>
    <r>
      <rPr>
        <sz val="12"/>
        <color theme="1"/>
        <rFont val="新細明體"/>
        <family val="2"/>
        <charset val="136"/>
        <scheme val="minor"/>
      </rPr>
      <t>65</t>
    </r>
    <r>
      <rPr>
        <sz val="9"/>
        <rFont val="標楷體"/>
        <family val="4"/>
        <charset val="136"/>
      </rPr>
      <t>歲以上領有身心障礙證明者』、『</t>
    </r>
    <r>
      <rPr>
        <sz val="12"/>
        <color theme="1"/>
        <rFont val="新細明體"/>
        <family val="2"/>
        <charset val="136"/>
        <scheme val="minor"/>
      </rPr>
      <t>65</t>
    </r>
    <r>
      <rPr>
        <sz val="9"/>
        <rFont val="標楷體"/>
        <family val="4"/>
        <charset val="136"/>
      </rPr>
      <t>歲以上老人</t>
    </r>
    <r>
      <rPr>
        <sz val="12"/>
        <color theme="1"/>
        <rFont val="新細明體"/>
        <family val="2"/>
        <charset val="136"/>
        <scheme val="minor"/>
      </rPr>
      <t>(</t>
    </r>
    <r>
      <rPr>
        <sz val="9"/>
        <rFont val="標楷體"/>
        <family val="4"/>
        <charset val="136"/>
      </rPr>
      <t>含</t>
    </r>
    <r>
      <rPr>
        <sz val="12"/>
        <color theme="1"/>
        <rFont val="新細明體"/>
        <family val="2"/>
        <charset val="136"/>
        <scheme val="minor"/>
      </rPr>
      <t>IADLs</t>
    </r>
    <r>
      <rPr>
        <sz val="9"/>
        <rFont val="標楷體"/>
        <family val="4"/>
        <charset val="136"/>
      </rPr>
      <t>失能且獨居老人</t>
    </r>
    <r>
      <rPr>
        <sz val="12"/>
        <color theme="1"/>
        <rFont val="新細明體"/>
        <family val="2"/>
        <charset val="136"/>
        <scheme val="minor"/>
      </rPr>
      <t>)</t>
    </r>
    <r>
      <rPr>
        <sz val="9"/>
        <rFont val="標楷體"/>
        <family val="4"/>
        <charset val="136"/>
      </rPr>
      <t>』。</t>
    </r>
    <r>
      <rPr>
        <sz val="12"/>
        <color theme="1"/>
        <rFont val="新細明體"/>
        <family val="2"/>
        <charset val="136"/>
        <scheme val="minor"/>
      </rPr>
      <t xml:space="preserve"> </t>
    </r>
    <phoneticPr fontId="4" type="noConversion"/>
  </si>
  <si>
    <t>Source: County and Government.</t>
    <phoneticPr fontId="6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</si>
  <si>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2019</t>
    </r>
    <phoneticPr fontId="6" type="noConversion"/>
  </si>
  <si>
    <r>
      <rPr>
        <sz val="9"/>
        <color indexed="8"/>
        <rFont val="標楷體"/>
        <family val="4"/>
        <charset val="136"/>
      </rPr>
      <t>更新日期：</t>
    </r>
    <r>
      <rPr>
        <sz val="9"/>
        <color indexed="8"/>
        <rFont val="Times New Roman"/>
        <family val="1"/>
      </rPr>
      <t>2020/4/20</t>
    </r>
    <phoneticPr fontId="6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</si>
  <si>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107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2018</t>
    </r>
    <phoneticPr fontId="6" type="noConversion"/>
  </si>
  <si>
    <r>
      <rPr>
        <sz val="10"/>
        <rFont val="標楷體"/>
        <family val="4"/>
        <charset val="136"/>
      </rPr>
      <t>期底服務人數</t>
    </r>
    <r>
      <rPr>
        <sz val="10"/>
        <rFont val="Times New Roman"/>
        <family val="1"/>
      </rPr>
      <t xml:space="preserve"> Persons Serviced (End of Year)</t>
    </r>
    <phoneticPr fontId="6" type="noConversion"/>
  </si>
  <si>
    <r>
      <rPr>
        <sz val="10"/>
        <rFont val="標楷體"/>
        <family val="4"/>
        <charset val="136"/>
      </rPr>
      <t>服務趟數</t>
    </r>
    <r>
      <rPr>
        <sz val="10"/>
        <rFont val="Times New Roman"/>
        <family val="1"/>
      </rPr>
      <t xml:space="preserve"> No. of Runs</t>
    </r>
    <phoneticPr fontId="6" type="noConversion"/>
  </si>
  <si>
    <r>
      <t>總</t>
    </r>
    <r>
      <rPr>
        <sz val="10"/>
        <rFont val="Times New Roman"/>
        <family val="1"/>
      </rPr>
      <t xml:space="preserve">   </t>
    </r>
    <r>
      <rPr>
        <sz val="10"/>
        <rFont val="標楷體"/>
        <family val="4"/>
        <charset val="136"/>
      </rPr>
      <t>計</t>
    </r>
    <phoneticPr fontId="6" type="noConversion"/>
  </si>
  <si>
    <t>Total</t>
    <phoneticPr fontId="6" type="noConversion"/>
  </si>
  <si>
    <r>
      <rPr>
        <sz val="9"/>
        <rFont val="標楷體"/>
        <family val="4"/>
        <charset val="136"/>
      </rPr>
      <t>新北市</t>
    </r>
    <phoneticPr fontId="4" type="noConversion"/>
  </si>
  <si>
    <r>
      <rPr>
        <sz val="9"/>
        <rFont val="標楷體"/>
        <family val="4"/>
        <charset val="136"/>
      </rPr>
      <t>臺北市</t>
    </r>
    <phoneticPr fontId="4" type="noConversion"/>
  </si>
  <si>
    <r>
      <rPr>
        <sz val="9"/>
        <rFont val="標楷體"/>
        <family val="4"/>
        <charset val="136"/>
      </rPr>
      <t>桃園市</t>
    </r>
    <phoneticPr fontId="4" type="noConversion"/>
  </si>
  <si>
    <r>
      <rPr>
        <sz val="9"/>
        <rFont val="標楷體"/>
        <family val="4"/>
        <charset val="136"/>
      </rPr>
      <t>臺中市</t>
    </r>
    <phoneticPr fontId="4" type="noConversion"/>
  </si>
  <si>
    <r>
      <rPr>
        <sz val="9"/>
        <rFont val="標楷體"/>
        <family val="4"/>
        <charset val="136"/>
      </rPr>
      <t>臺南市</t>
    </r>
    <phoneticPr fontId="4" type="noConversion"/>
  </si>
  <si>
    <t>高雄市</t>
    <phoneticPr fontId="4" type="noConversion"/>
  </si>
  <si>
    <r>
      <rPr>
        <sz val="9"/>
        <color indexed="8"/>
        <rFont val="標楷體"/>
        <family val="4"/>
        <charset val="136"/>
      </rPr>
      <t>　宜蘭縣</t>
    </r>
  </si>
  <si>
    <r>
      <rPr>
        <sz val="9"/>
        <color indexed="8"/>
        <rFont val="標楷體"/>
        <family val="4"/>
        <charset val="136"/>
      </rPr>
      <t>　新竹縣</t>
    </r>
  </si>
  <si>
    <r>
      <rPr>
        <sz val="9"/>
        <color indexed="8"/>
        <rFont val="標楷體"/>
        <family val="4"/>
        <charset val="136"/>
      </rPr>
      <t>　苗栗縣</t>
    </r>
  </si>
  <si>
    <r>
      <rPr>
        <sz val="9"/>
        <color indexed="8"/>
        <rFont val="標楷體"/>
        <family val="4"/>
        <charset val="136"/>
      </rPr>
      <t>　彰化縣</t>
    </r>
  </si>
  <si>
    <r>
      <rPr>
        <sz val="9"/>
        <color indexed="8"/>
        <rFont val="標楷體"/>
        <family val="4"/>
        <charset val="136"/>
      </rPr>
      <t>　南投縣</t>
    </r>
  </si>
  <si>
    <r>
      <rPr>
        <sz val="9"/>
        <color indexed="8"/>
        <rFont val="標楷體"/>
        <family val="4"/>
        <charset val="136"/>
      </rPr>
      <t>　雲林縣</t>
    </r>
  </si>
  <si>
    <r>
      <rPr>
        <sz val="9"/>
        <color indexed="8"/>
        <rFont val="標楷體"/>
        <family val="4"/>
        <charset val="136"/>
      </rPr>
      <t>　嘉義縣</t>
    </r>
  </si>
  <si>
    <r>
      <rPr>
        <sz val="9"/>
        <color indexed="8"/>
        <rFont val="標楷體"/>
        <family val="4"/>
        <charset val="136"/>
      </rPr>
      <t>　屏東縣</t>
    </r>
  </si>
  <si>
    <r>
      <rPr>
        <sz val="9"/>
        <color indexed="8"/>
        <rFont val="標楷體"/>
        <family val="4"/>
        <charset val="136"/>
      </rPr>
      <t>　臺東縣</t>
    </r>
  </si>
  <si>
    <r>
      <rPr>
        <sz val="9"/>
        <color indexed="8"/>
        <rFont val="標楷體"/>
        <family val="4"/>
        <charset val="136"/>
      </rPr>
      <t>　花蓮縣</t>
    </r>
  </si>
  <si>
    <r>
      <rPr>
        <sz val="9"/>
        <color indexed="8"/>
        <rFont val="標楷體"/>
        <family val="4"/>
        <charset val="136"/>
      </rPr>
      <t>　澎湖縣</t>
    </r>
  </si>
  <si>
    <r>
      <rPr>
        <sz val="9"/>
        <color indexed="8"/>
        <rFont val="標楷體"/>
        <family val="4"/>
        <charset val="136"/>
      </rPr>
      <t>　基隆市</t>
    </r>
  </si>
  <si>
    <r>
      <rPr>
        <sz val="9"/>
        <color indexed="8"/>
        <rFont val="標楷體"/>
        <family val="4"/>
        <charset val="136"/>
      </rPr>
      <t>　新竹市</t>
    </r>
  </si>
  <si>
    <r>
      <rPr>
        <sz val="9"/>
        <color indexed="8"/>
        <rFont val="標楷體"/>
        <family val="4"/>
        <charset val="136"/>
      </rPr>
      <t>　嘉義市</t>
    </r>
  </si>
  <si>
    <r>
      <rPr>
        <sz val="9"/>
        <color indexed="8"/>
        <rFont val="標楷體"/>
        <family val="4"/>
        <charset val="136"/>
      </rPr>
      <t>　金門縣</t>
    </r>
  </si>
  <si>
    <r>
      <rPr>
        <sz val="9"/>
        <color indexed="8"/>
        <rFont val="標楷體"/>
        <family val="4"/>
        <charset val="136"/>
      </rPr>
      <t>　連江縣</t>
    </r>
  </si>
  <si>
    <r>
      <rPr>
        <sz val="9"/>
        <color indexed="8"/>
        <rFont val="標楷體"/>
        <family val="4"/>
        <charset val="136"/>
      </rPr>
      <t>更新日期：</t>
    </r>
    <r>
      <rPr>
        <sz val="9"/>
        <color indexed="8"/>
        <rFont val="Times New Roman"/>
        <family val="1"/>
      </rPr>
      <t>2019/04/01</t>
    </r>
    <phoneticPr fontId="6" type="noConversion"/>
  </si>
  <si>
    <t xml:space="preserve">        -</t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</si>
  <si>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106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2017</t>
    </r>
    <phoneticPr fontId="6" type="noConversion"/>
  </si>
  <si>
    <r>
      <rPr>
        <sz val="10"/>
        <rFont val="標楷體"/>
        <family val="4"/>
        <charset val="136"/>
      </rPr>
      <t xml:space="preserve">低收入
</t>
    </r>
    <r>
      <rPr>
        <sz val="10"/>
        <rFont val="Times New Roman"/>
        <family val="1"/>
      </rPr>
      <t>Low-income</t>
    </r>
    <phoneticPr fontId="2" type="noConversion"/>
  </si>
  <si>
    <r>
      <rPr>
        <sz val="10"/>
        <rFont val="標楷體"/>
        <family val="4"/>
        <charset val="136"/>
      </rPr>
      <t xml:space="preserve">中低收入
</t>
    </r>
    <r>
      <rPr>
        <sz val="10"/>
        <rFont val="Times New Roman"/>
        <family val="1"/>
      </rPr>
      <t>Mid-income</t>
    </r>
    <phoneticPr fontId="2" type="noConversion"/>
  </si>
  <si>
    <r>
      <rPr>
        <sz val="9"/>
        <color indexed="8"/>
        <rFont val="標楷體"/>
        <family val="4"/>
        <charset val="136"/>
      </rPr>
      <t>更新日期：</t>
    </r>
    <r>
      <rPr>
        <sz val="9"/>
        <color indexed="8"/>
        <rFont val="Times New Roman"/>
        <family val="1"/>
      </rPr>
      <t>2018/3/31</t>
    </r>
    <phoneticPr fontId="6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</si>
  <si>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105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 xml:space="preserve">, 2016 </t>
    </r>
    <phoneticPr fontId="6" type="noConversion"/>
  </si>
  <si>
    <r>
      <rPr>
        <sz val="10"/>
        <rFont val="標楷體"/>
        <family val="4"/>
        <charset val="136"/>
      </rPr>
      <t>期底服務人數</t>
    </r>
    <r>
      <rPr>
        <sz val="10"/>
        <rFont val="Times New Roman"/>
        <family val="1"/>
      </rPr>
      <t xml:space="preserve"> Persons Serviced (End of Year)(</t>
    </r>
    <r>
      <rPr>
        <sz val="10"/>
        <rFont val="標楷體"/>
        <family val="4"/>
        <charset val="136"/>
      </rPr>
      <t>人</t>
    </r>
    <r>
      <rPr>
        <sz val="10"/>
        <rFont val="Times New Roman"/>
        <family val="1"/>
      </rPr>
      <t>)</t>
    </r>
    <phoneticPr fontId="6" type="noConversion"/>
  </si>
  <si>
    <r>
      <rPr>
        <sz val="10"/>
        <rFont val="標楷體"/>
        <family val="4"/>
        <charset val="136"/>
      </rPr>
      <t>服務趟數</t>
    </r>
    <r>
      <rPr>
        <sz val="10"/>
        <rFont val="Times New Roman"/>
        <family val="1"/>
      </rPr>
      <t xml:space="preserve"> No. of Runs (</t>
    </r>
    <r>
      <rPr>
        <sz val="10"/>
        <rFont val="標楷體"/>
        <family val="4"/>
        <charset val="136"/>
      </rPr>
      <t>趟</t>
    </r>
    <r>
      <rPr>
        <sz val="10"/>
        <rFont val="Times New Roman"/>
        <family val="1"/>
      </rPr>
      <t>)</t>
    </r>
    <phoneticPr fontId="6" type="noConversion"/>
  </si>
  <si>
    <r>
      <rPr>
        <sz val="9"/>
        <rFont val="標楷體"/>
        <family val="4"/>
        <charset val="136"/>
      </rPr>
      <t xml:space="preserve">合計
</t>
    </r>
    <r>
      <rPr>
        <sz val="12"/>
        <color theme="1"/>
        <rFont val="新細明體"/>
        <family val="2"/>
        <charset val="136"/>
        <scheme val="minor"/>
      </rPr>
      <t>Total</t>
    </r>
    <phoneticPr fontId="6" type="noConversion"/>
  </si>
  <si>
    <r>
      <rPr>
        <sz val="9"/>
        <rFont val="標楷體"/>
        <family val="4"/>
        <charset val="136"/>
      </rPr>
      <t xml:space="preserve">低收入
</t>
    </r>
    <r>
      <rPr>
        <sz val="12"/>
        <color theme="1"/>
        <rFont val="新細明體"/>
        <family val="2"/>
        <charset val="136"/>
        <scheme val="minor"/>
      </rPr>
      <t>Low-income</t>
    </r>
    <phoneticPr fontId="2" type="noConversion"/>
  </si>
  <si>
    <r>
      <rPr>
        <sz val="9"/>
        <rFont val="標楷體"/>
        <family val="4"/>
        <charset val="136"/>
      </rPr>
      <t xml:space="preserve">中低收入
</t>
    </r>
    <r>
      <rPr>
        <sz val="12"/>
        <color theme="1"/>
        <rFont val="新細明體"/>
        <family val="2"/>
        <charset val="136"/>
        <scheme val="minor"/>
      </rPr>
      <t>Mid-income</t>
    </r>
    <phoneticPr fontId="2" type="noConversion"/>
  </si>
  <si>
    <r>
      <rPr>
        <sz val="10"/>
        <rFont val="標楷體"/>
        <family val="4"/>
        <charset val="136"/>
      </rPr>
      <t xml:space="preserve">一般戶
</t>
    </r>
    <r>
      <rPr>
        <sz val="10"/>
        <rFont val="Times New Roman"/>
        <family val="1"/>
      </rPr>
      <t>General</t>
    </r>
    <phoneticPr fontId="2" type="noConversion"/>
  </si>
  <si>
    <r>
      <rPr>
        <sz val="11"/>
        <rFont val="標楷體"/>
        <family val="4"/>
        <charset val="136"/>
      </rPr>
      <t xml:space="preserve">計
</t>
    </r>
    <r>
      <rPr>
        <sz val="11"/>
        <rFont val="Times New Roman"/>
        <family val="1"/>
      </rPr>
      <t>Subtotal</t>
    </r>
    <phoneticPr fontId="6" type="noConversion"/>
  </si>
  <si>
    <r>
      <rPr>
        <sz val="11"/>
        <rFont val="標楷體"/>
        <family val="4"/>
        <charset val="136"/>
      </rPr>
      <t xml:space="preserve">男
</t>
    </r>
    <r>
      <rPr>
        <sz val="11"/>
        <rFont val="Times New Roman"/>
        <family val="1"/>
      </rPr>
      <t>Male</t>
    </r>
    <phoneticPr fontId="6" type="noConversion"/>
  </si>
  <si>
    <r>
      <rPr>
        <sz val="11"/>
        <rFont val="標楷體"/>
        <family val="4"/>
        <charset val="136"/>
      </rPr>
      <t xml:space="preserve">女
</t>
    </r>
    <r>
      <rPr>
        <sz val="11"/>
        <rFont val="Times New Roman"/>
        <family val="1"/>
      </rPr>
      <t>Female</t>
    </r>
    <phoneticPr fontId="6" type="noConversion"/>
  </si>
  <si>
    <r>
      <rPr>
        <sz val="9"/>
        <color indexed="8"/>
        <rFont val="標楷體"/>
        <family val="4"/>
        <charset val="136"/>
      </rPr>
      <t>更新日期：</t>
    </r>
    <r>
      <rPr>
        <sz val="9"/>
        <color indexed="8"/>
        <rFont val="Times New Roman"/>
        <family val="1"/>
      </rPr>
      <t>2017/3/31</t>
    </r>
    <phoneticPr fontId="6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</si>
  <si>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104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 xml:space="preserve">, 2015 </t>
    </r>
    <phoneticPr fontId="6" type="noConversion"/>
  </si>
  <si>
    <r>
      <rPr>
        <sz val="10"/>
        <rFont val="標楷體"/>
        <family val="4"/>
        <charset val="136"/>
      </rPr>
      <t>更新日期</t>
    </r>
    <r>
      <rPr>
        <sz val="10"/>
        <rFont val="Times New Roman"/>
        <family val="1"/>
      </rPr>
      <t>2016/03/31</t>
    </r>
    <phoneticPr fontId="6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</si>
  <si>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 xml:space="preserve">, 2014 </t>
    </r>
    <phoneticPr fontId="6" type="noConversion"/>
  </si>
  <si>
    <t xml:space="preserve">  新北市</t>
    <phoneticPr fontId="6" type="noConversion"/>
  </si>
  <si>
    <t xml:space="preserve">  臺北市</t>
    <phoneticPr fontId="6" type="noConversion"/>
  </si>
  <si>
    <t xml:space="preserve">  臺中市</t>
    <phoneticPr fontId="6" type="noConversion"/>
  </si>
  <si>
    <t xml:space="preserve">  臺南市</t>
    <phoneticPr fontId="6" type="noConversion"/>
  </si>
  <si>
    <t xml:space="preserve">  高雄市</t>
    <phoneticPr fontId="6" type="noConversion"/>
  </si>
  <si>
    <r>
      <rPr>
        <sz val="8"/>
        <rFont val="標楷體"/>
        <family val="4"/>
        <charset val="136"/>
      </rPr>
      <t>　宜蘭縣</t>
    </r>
    <phoneticPr fontId="6" type="noConversion"/>
  </si>
  <si>
    <r>
      <rPr>
        <sz val="8"/>
        <rFont val="標楷體"/>
        <family val="4"/>
        <charset val="136"/>
      </rPr>
      <t>　桃園縣</t>
    </r>
    <phoneticPr fontId="6" type="noConversion"/>
  </si>
  <si>
    <t>Taoyuan County</t>
  </si>
  <si>
    <r>
      <rPr>
        <sz val="8"/>
        <rFont val="標楷體"/>
        <family val="4"/>
        <charset val="136"/>
      </rPr>
      <t>　新竹縣</t>
    </r>
    <phoneticPr fontId="6" type="noConversion"/>
  </si>
  <si>
    <r>
      <rPr>
        <sz val="8"/>
        <rFont val="標楷體"/>
        <family val="4"/>
        <charset val="136"/>
      </rPr>
      <t>　苗栗縣</t>
    </r>
    <phoneticPr fontId="6" type="noConversion"/>
  </si>
  <si>
    <r>
      <rPr>
        <sz val="8"/>
        <rFont val="標楷體"/>
        <family val="4"/>
        <charset val="136"/>
      </rPr>
      <t>　彰化縣</t>
    </r>
    <phoneticPr fontId="6" type="noConversion"/>
  </si>
  <si>
    <r>
      <rPr>
        <sz val="8"/>
        <rFont val="標楷體"/>
        <family val="4"/>
        <charset val="136"/>
      </rPr>
      <t>　南投縣</t>
    </r>
    <phoneticPr fontId="6" type="noConversion"/>
  </si>
  <si>
    <r>
      <rPr>
        <sz val="8"/>
        <rFont val="標楷體"/>
        <family val="4"/>
        <charset val="136"/>
      </rPr>
      <t>　雲林縣</t>
    </r>
    <phoneticPr fontId="6" type="noConversion"/>
  </si>
  <si>
    <r>
      <rPr>
        <sz val="8"/>
        <rFont val="標楷體"/>
        <family val="4"/>
        <charset val="136"/>
      </rPr>
      <t>　嘉義縣</t>
    </r>
    <phoneticPr fontId="6" type="noConversion"/>
  </si>
  <si>
    <r>
      <rPr>
        <sz val="8"/>
        <rFont val="標楷體"/>
        <family val="4"/>
        <charset val="136"/>
      </rPr>
      <t>　屏東縣</t>
    </r>
    <phoneticPr fontId="6" type="noConversion"/>
  </si>
  <si>
    <r>
      <rPr>
        <sz val="8"/>
        <rFont val="標楷體"/>
        <family val="4"/>
        <charset val="136"/>
      </rPr>
      <t>　臺東縣</t>
    </r>
    <phoneticPr fontId="6" type="noConversion"/>
  </si>
  <si>
    <r>
      <rPr>
        <sz val="8"/>
        <rFont val="標楷體"/>
        <family val="4"/>
        <charset val="136"/>
      </rPr>
      <t>　花蓮縣</t>
    </r>
    <phoneticPr fontId="6" type="noConversion"/>
  </si>
  <si>
    <r>
      <rPr>
        <sz val="8"/>
        <rFont val="標楷體"/>
        <family val="4"/>
        <charset val="136"/>
      </rPr>
      <t>　澎湖縣</t>
    </r>
    <phoneticPr fontId="6" type="noConversion"/>
  </si>
  <si>
    <r>
      <rPr>
        <sz val="8"/>
        <rFont val="標楷體"/>
        <family val="4"/>
        <charset val="136"/>
      </rPr>
      <t>　基隆市</t>
    </r>
    <phoneticPr fontId="6" type="noConversion"/>
  </si>
  <si>
    <r>
      <rPr>
        <sz val="8"/>
        <rFont val="標楷體"/>
        <family val="4"/>
        <charset val="136"/>
      </rPr>
      <t>　新竹市</t>
    </r>
    <phoneticPr fontId="6" type="noConversion"/>
  </si>
  <si>
    <r>
      <rPr>
        <sz val="8"/>
        <rFont val="標楷體"/>
        <family val="4"/>
        <charset val="136"/>
      </rPr>
      <t>　嘉義市</t>
    </r>
    <phoneticPr fontId="6" type="noConversion"/>
  </si>
  <si>
    <r>
      <rPr>
        <sz val="8"/>
        <rFont val="標楷體"/>
        <family val="4"/>
        <charset val="136"/>
      </rPr>
      <t>　金門縣</t>
    </r>
    <phoneticPr fontId="6" type="noConversion"/>
  </si>
  <si>
    <r>
      <rPr>
        <sz val="8"/>
        <rFont val="標楷體"/>
        <family val="4"/>
        <charset val="136"/>
      </rPr>
      <t>　連江縣</t>
    </r>
    <phoneticPr fontId="6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</si>
  <si>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2013</t>
    </r>
    <phoneticPr fontId="4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</si>
  <si>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2012</t>
    </r>
    <phoneticPr fontId="4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</si>
  <si>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100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2011</t>
    </r>
    <phoneticPr fontId="4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</si>
  <si>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99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2010</t>
    </r>
    <phoneticPr fontId="6" type="noConversion"/>
  </si>
  <si>
    <r>
      <rPr>
        <sz val="8"/>
        <rFont val="標楷體"/>
        <family val="4"/>
        <charset val="136"/>
      </rPr>
      <t>　臺北縣</t>
    </r>
    <phoneticPr fontId="6" type="noConversion"/>
  </si>
  <si>
    <t>Taipei County</t>
  </si>
  <si>
    <r>
      <rPr>
        <sz val="8"/>
        <rFont val="標楷體"/>
        <family val="4"/>
        <charset val="136"/>
      </rPr>
      <t>　臺中縣</t>
    </r>
    <phoneticPr fontId="6" type="noConversion"/>
  </si>
  <si>
    <t>Taichung County</t>
  </si>
  <si>
    <r>
      <rPr>
        <sz val="8"/>
        <rFont val="標楷體"/>
        <family val="4"/>
        <charset val="136"/>
      </rPr>
      <t>　臺南縣</t>
    </r>
    <phoneticPr fontId="6" type="noConversion"/>
  </si>
  <si>
    <t>Tainan County</t>
  </si>
  <si>
    <r>
      <rPr>
        <sz val="8"/>
        <rFont val="標楷體"/>
        <family val="4"/>
        <charset val="136"/>
      </rPr>
      <t>　高雄縣</t>
    </r>
    <phoneticPr fontId="6" type="noConversion"/>
  </si>
  <si>
    <t>Kaohsiung County</t>
  </si>
  <si>
    <r>
      <rPr>
        <sz val="8"/>
        <rFont val="標楷體"/>
        <family val="4"/>
        <charset val="136"/>
      </rPr>
      <t>　臺中市</t>
    </r>
    <phoneticPr fontId="6" type="noConversion"/>
  </si>
  <si>
    <t>Taichung City</t>
  </si>
  <si>
    <r>
      <rPr>
        <sz val="8"/>
        <rFont val="標楷體"/>
        <family val="4"/>
        <charset val="136"/>
      </rPr>
      <t>　臺南市</t>
    </r>
    <phoneticPr fontId="6" type="noConversion"/>
  </si>
  <si>
    <t>Tainan City</t>
  </si>
  <si>
    <t>Taipei City</t>
  </si>
  <si>
    <t>Kaohsiung City</t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</si>
  <si>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98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2009</t>
    </r>
    <phoneticPr fontId="6" type="noConversion"/>
  </si>
  <si>
    <r>
      <rPr>
        <sz val="10"/>
        <rFont val="標楷體"/>
        <family val="4"/>
        <charset val="136"/>
      </rPr>
      <t>單位：人</t>
    </r>
    <r>
      <rPr>
        <sz val="10"/>
        <rFont val="Times New Roman"/>
        <family val="1"/>
      </rPr>
      <t xml:space="preserve">  Unit : Persons</t>
    </r>
    <phoneticPr fontId="1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</si>
  <si>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110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2021</t>
    </r>
    <phoneticPr fontId="6" type="noConversion"/>
  </si>
  <si>
    <t>Source: Department of Long-term care.</t>
    <phoneticPr fontId="6" type="noConversion"/>
  </si>
  <si>
    <r>
      <rPr>
        <sz val="10"/>
        <color indexed="8"/>
        <rFont val="標楷體"/>
        <family val="4"/>
        <charset val="136"/>
      </rPr>
      <t>更新日期：</t>
    </r>
    <r>
      <rPr>
        <sz val="10"/>
        <color indexed="8"/>
        <rFont val="Times New Roman"/>
        <family val="1"/>
      </rPr>
      <t>2022/3/31</t>
    </r>
    <phoneticPr fontId="6" type="noConversion"/>
  </si>
  <si>
    <r>
      <rPr>
        <sz val="12"/>
        <rFont val="標楷體"/>
        <family val="4"/>
        <charset val="136"/>
      </rPr>
      <t xml:space="preserve">計
</t>
    </r>
    <r>
      <rPr>
        <sz val="12"/>
        <rFont val="Times New Roman"/>
        <family val="1"/>
      </rPr>
      <t>Total</t>
    </r>
    <phoneticPr fontId="6" type="noConversion"/>
  </si>
  <si>
    <r>
      <rPr>
        <sz val="12"/>
        <rFont val="標楷體"/>
        <family val="4"/>
        <charset val="136"/>
      </rPr>
      <t xml:space="preserve">男
</t>
    </r>
    <r>
      <rPr>
        <sz val="12"/>
        <rFont val="Times New Roman"/>
        <family val="1"/>
      </rPr>
      <t xml:space="preserve">Male </t>
    </r>
    <phoneticPr fontId="6" type="noConversion"/>
  </si>
  <si>
    <r>
      <rPr>
        <sz val="12"/>
        <rFont val="標楷體"/>
        <family val="4"/>
        <charset val="136"/>
      </rPr>
      <t xml:space="preserve">女
</t>
    </r>
    <r>
      <rPr>
        <sz val="12"/>
        <rFont val="Times New Roman"/>
        <family val="1"/>
      </rPr>
      <t>Female</t>
    </r>
    <phoneticPr fontId="6" type="noConversion"/>
  </si>
  <si>
    <r>
      <rPr>
        <sz val="12"/>
        <color indexed="8"/>
        <rFont val="標楷體"/>
        <family val="4"/>
        <charset val="136"/>
      </rPr>
      <t xml:space="preserve">區域別
</t>
    </r>
    <r>
      <rPr>
        <sz val="12"/>
        <color indexed="8"/>
        <rFont val="Times New Roman"/>
        <family val="1"/>
      </rPr>
      <t>Locality</t>
    </r>
    <phoneticPr fontId="4" type="noConversion"/>
  </si>
  <si>
    <r>
      <rPr>
        <sz val="10"/>
        <rFont val="標楷體"/>
        <family val="4"/>
        <charset val="136"/>
      </rPr>
      <t>填表說明：交通接送服務係為協助長照需要等級第</t>
    </r>
    <r>
      <rPr>
        <sz val="10"/>
        <rFont val="Times New Roman"/>
        <family val="1"/>
      </rPr>
      <t>4</t>
    </r>
    <r>
      <rPr>
        <sz val="10"/>
        <rFont val="標楷體"/>
        <family val="4"/>
        <charset val="136"/>
      </rPr>
      <t>級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含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以上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第四類偏遠縣市、偏遠鄉鎮市區為長照需要等級第</t>
    </r>
    <r>
      <rPr>
        <sz val="10"/>
        <rFont val="Times New Roman"/>
        <family val="1"/>
      </rPr>
      <t>2</t>
    </r>
    <r>
      <rPr>
        <sz val="10"/>
        <rFont val="標楷體"/>
        <family val="4"/>
        <charset val="136"/>
      </rPr>
      <t>級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含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以上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之長照需要者，自居家往（返）至醫療院所就醫及復健之交通接送服務。</t>
    </r>
    <phoneticPr fontId="1" type="noConversion"/>
  </si>
  <si>
    <r>
      <rPr>
        <sz val="10"/>
        <rFont val="標楷體"/>
        <family val="4"/>
        <charset val="136"/>
      </rPr>
      <t>資料來源：衛生福利部長期照顧司。</t>
    </r>
    <r>
      <rPr>
        <sz val="10"/>
        <rFont val="Times New Roman"/>
        <family val="1"/>
      </rPr>
      <t xml:space="preserve"> </t>
    </r>
    <phoneticPr fontId="4" type="noConversion"/>
  </si>
  <si>
    <r>
      <rPr>
        <b/>
        <sz val="12"/>
        <rFont val="標楷體"/>
        <family val="4"/>
        <charset val="136"/>
      </rPr>
      <t>總計</t>
    </r>
    <r>
      <rPr>
        <b/>
        <sz val="12"/>
        <rFont val="Times New Roman"/>
        <family val="1"/>
      </rPr>
      <t>Total</t>
    </r>
  </si>
  <si>
    <r>
      <rPr>
        <b/>
        <sz val="16"/>
        <rFont val="標楷體"/>
        <family val="4"/>
        <charset val="136"/>
      </rPr>
      <t>長期照顧十年計畫</t>
    </r>
    <r>
      <rPr>
        <b/>
        <sz val="16"/>
        <rFont val="Times New Roman"/>
        <family val="1"/>
      </rPr>
      <t>2.0-</t>
    </r>
    <r>
      <rPr>
        <b/>
        <sz val="16"/>
        <rFont val="標楷體"/>
        <family val="4"/>
        <charset val="136"/>
      </rPr>
      <t>交通接送服務</t>
    </r>
    <r>
      <rPr>
        <b/>
        <sz val="16"/>
        <rFont val="Times New Roman"/>
        <family val="1"/>
      </rPr>
      <t xml:space="preserve"> Achievements of Ten-year Long Term Care Program 2.0 by Transportation Pick-up Services</t>
    </r>
    <phoneticPr fontId="6" type="noConversion"/>
  </si>
  <si>
    <r>
      <rPr>
        <sz val="12"/>
        <rFont val="標楷體"/>
        <family val="4"/>
        <charset val="136"/>
      </rPr>
      <t>花蓮縣</t>
    </r>
    <r>
      <rPr>
        <sz val="12"/>
        <rFont val="Times New Roman"/>
        <family val="1"/>
      </rPr>
      <t xml:space="preserve">   Hualien County</t>
    </r>
    <phoneticPr fontId="6" type="noConversion"/>
  </si>
  <si>
    <r>
      <rPr>
        <sz val="12"/>
        <rFont val="標楷體"/>
        <family val="4"/>
        <charset val="136"/>
      </rPr>
      <t>澎湖縣</t>
    </r>
    <r>
      <rPr>
        <sz val="12"/>
        <rFont val="Times New Roman"/>
        <family val="1"/>
      </rPr>
      <t xml:space="preserve">   Penghu County</t>
    </r>
    <phoneticPr fontId="6" type="noConversion"/>
  </si>
  <si>
    <r>
      <rPr>
        <sz val="12"/>
        <rFont val="標楷體"/>
        <family val="4"/>
        <charset val="136"/>
      </rPr>
      <t>基隆市</t>
    </r>
    <r>
      <rPr>
        <sz val="12"/>
        <rFont val="Times New Roman"/>
        <family val="1"/>
      </rPr>
      <t xml:space="preserve">   Keelung City</t>
    </r>
    <phoneticPr fontId="6" type="noConversion"/>
  </si>
  <si>
    <r>
      <rPr>
        <sz val="12"/>
        <rFont val="標楷體"/>
        <family val="4"/>
        <charset val="136"/>
      </rPr>
      <t>新竹市</t>
    </r>
    <r>
      <rPr>
        <sz val="12"/>
        <rFont val="Times New Roman"/>
        <family val="1"/>
      </rPr>
      <t xml:space="preserve">   Hsinchu City</t>
    </r>
    <phoneticPr fontId="6" type="noConversion"/>
  </si>
  <si>
    <r>
      <rPr>
        <sz val="12"/>
        <rFont val="標楷體"/>
        <family val="4"/>
        <charset val="136"/>
      </rPr>
      <t>嘉義市</t>
    </r>
    <r>
      <rPr>
        <sz val="12"/>
        <rFont val="Times New Roman"/>
        <family val="1"/>
      </rPr>
      <t xml:space="preserve">   Chiayi City</t>
    </r>
    <phoneticPr fontId="6" type="noConversion"/>
  </si>
  <si>
    <r>
      <rPr>
        <sz val="12"/>
        <rFont val="標楷體"/>
        <family val="4"/>
        <charset val="136"/>
      </rPr>
      <t>金門縣</t>
    </r>
    <r>
      <rPr>
        <sz val="12"/>
        <rFont val="Times New Roman"/>
        <family val="1"/>
      </rPr>
      <t xml:space="preserve">   Kinmen County</t>
    </r>
    <phoneticPr fontId="6" type="noConversion"/>
  </si>
  <si>
    <r>
      <rPr>
        <sz val="12"/>
        <rFont val="標楷體"/>
        <family val="4"/>
        <charset val="136"/>
      </rPr>
      <t>連江縣</t>
    </r>
    <r>
      <rPr>
        <sz val="12"/>
        <rFont val="Times New Roman"/>
        <family val="1"/>
      </rPr>
      <t xml:space="preserve">   Lienchiang County</t>
    </r>
    <phoneticPr fontId="6" type="noConversion"/>
  </si>
  <si>
    <r>
      <rPr>
        <sz val="12"/>
        <rFont val="標楷體"/>
        <family val="4"/>
        <charset val="136"/>
      </rPr>
      <t>總計</t>
    </r>
    <r>
      <rPr>
        <sz val="12"/>
        <rFont val="Times New Roman"/>
        <family val="1"/>
      </rPr>
      <t xml:space="preserve"> Total</t>
    </r>
    <phoneticPr fontId="1" type="noConversion"/>
  </si>
  <si>
    <r>
      <rPr>
        <sz val="12"/>
        <rFont val="標楷體"/>
        <family val="4"/>
        <charset val="136"/>
      </rPr>
      <t>新北市</t>
    </r>
    <r>
      <rPr>
        <sz val="12"/>
        <rFont val="Times New Roman"/>
        <family val="1"/>
      </rPr>
      <t xml:space="preserve">   New Taipei City</t>
    </r>
    <phoneticPr fontId="6" type="noConversion"/>
  </si>
  <si>
    <r>
      <rPr>
        <sz val="12"/>
        <rFont val="標楷體"/>
        <family val="4"/>
        <charset val="136"/>
      </rPr>
      <t>臺北市</t>
    </r>
    <r>
      <rPr>
        <sz val="12"/>
        <rFont val="Times New Roman"/>
        <family val="1"/>
      </rPr>
      <t xml:space="preserve">   Taipei City</t>
    </r>
    <phoneticPr fontId="6" type="noConversion"/>
  </si>
  <si>
    <r>
      <rPr>
        <sz val="12"/>
        <rFont val="標楷體"/>
        <family val="4"/>
        <charset val="136"/>
      </rPr>
      <t>桃園市</t>
    </r>
    <r>
      <rPr>
        <sz val="12"/>
        <rFont val="Times New Roman"/>
        <family val="1"/>
      </rPr>
      <t xml:space="preserve">   Taoyuan City</t>
    </r>
    <phoneticPr fontId="6" type="noConversion"/>
  </si>
  <si>
    <r>
      <rPr>
        <sz val="12"/>
        <rFont val="標楷體"/>
        <family val="4"/>
        <charset val="136"/>
      </rPr>
      <t>臺中市</t>
    </r>
    <r>
      <rPr>
        <sz val="12"/>
        <rFont val="Times New Roman"/>
        <family val="1"/>
      </rPr>
      <t xml:space="preserve">   Taichung City</t>
    </r>
    <phoneticPr fontId="6" type="noConversion"/>
  </si>
  <si>
    <r>
      <rPr>
        <sz val="12"/>
        <rFont val="標楷體"/>
        <family val="4"/>
        <charset val="136"/>
      </rPr>
      <t>臺南市</t>
    </r>
    <r>
      <rPr>
        <sz val="12"/>
        <rFont val="Times New Roman"/>
        <family val="1"/>
      </rPr>
      <t xml:space="preserve">   Tainan City</t>
    </r>
    <phoneticPr fontId="6" type="noConversion"/>
  </si>
  <si>
    <r>
      <rPr>
        <sz val="12"/>
        <rFont val="標楷體"/>
        <family val="4"/>
        <charset val="136"/>
      </rPr>
      <t>高雄市</t>
    </r>
    <r>
      <rPr>
        <sz val="12"/>
        <rFont val="Times New Roman"/>
        <family val="1"/>
      </rPr>
      <t xml:space="preserve">   Kaohsiung City</t>
    </r>
    <phoneticPr fontId="6" type="noConversion"/>
  </si>
  <si>
    <r>
      <rPr>
        <sz val="12"/>
        <rFont val="標楷體"/>
        <family val="4"/>
        <charset val="136"/>
      </rPr>
      <t>宜蘭縣</t>
    </r>
    <r>
      <rPr>
        <sz val="12"/>
        <rFont val="Times New Roman"/>
        <family val="1"/>
      </rPr>
      <t xml:space="preserve">   Yilan County</t>
    </r>
    <phoneticPr fontId="6" type="noConversion"/>
  </si>
  <si>
    <r>
      <rPr>
        <sz val="12"/>
        <rFont val="標楷體"/>
        <family val="4"/>
        <charset val="136"/>
      </rPr>
      <t>新竹縣</t>
    </r>
    <r>
      <rPr>
        <sz val="12"/>
        <rFont val="Times New Roman"/>
        <family val="1"/>
      </rPr>
      <t xml:space="preserve">   Hsinchu County</t>
    </r>
    <phoneticPr fontId="6" type="noConversion"/>
  </si>
  <si>
    <r>
      <rPr>
        <sz val="12"/>
        <rFont val="標楷體"/>
        <family val="4"/>
        <charset val="136"/>
      </rPr>
      <t>苗栗縣</t>
    </r>
    <r>
      <rPr>
        <sz val="12"/>
        <rFont val="Times New Roman"/>
        <family val="1"/>
      </rPr>
      <t xml:space="preserve">   Miaoli County</t>
    </r>
    <phoneticPr fontId="6" type="noConversion"/>
  </si>
  <si>
    <r>
      <rPr>
        <sz val="12"/>
        <rFont val="標楷體"/>
        <family val="4"/>
        <charset val="136"/>
      </rPr>
      <t>彰化縣</t>
    </r>
    <r>
      <rPr>
        <sz val="12"/>
        <rFont val="Times New Roman"/>
        <family val="1"/>
      </rPr>
      <t xml:space="preserve">   Changhua County</t>
    </r>
    <phoneticPr fontId="6" type="noConversion"/>
  </si>
  <si>
    <r>
      <rPr>
        <sz val="12"/>
        <rFont val="標楷體"/>
        <family val="4"/>
        <charset val="136"/>
      </rPr>
      <t>南投縣</t>
    </r>
    <r>
      <rPr>
        <sz val="12"/>
        <rFont val="Times New Roman"/>
        <family val="1"/>
      </rPr>
      <t xml:space="preserve">   Nantou County</t>
    </r>
    <phoneticPr fontId="6" type="noConversion"/>
  </si>
  <si>
    <r>
      <rPr>
        <sz val="12"/>
        <rFont val="標楷體"/>
        <family val="4"/>
        <charset val="136"/>
      </rPr>
      <t>雲林縣</t>
    </r>
    <r>
      <rPr>
        <sz val="12"/>
        <rFont val="Times New Roman"/>
        <family val="1"/>
      </rPr>
      <t xml:space="preserve">   Yunlin County</t>
    </r>
    <phoneticPr fontId="6" type="noConversion"/>
  </si>
  <si>
    <r>
      <rPr>
        <sz val="12"/>
        <rFont val="標楷體"/>
        <family val="4"/>
        <charset val="136"/>
      </rPr>
      <t>嘉義縣</t>
    </r>
    <r>
      <rPr>
        <sz val="12"/>
        <rFont val="Times New Roman"/>
        <family val="1"/>
      </rPr>
      <t xml:space="preserve">   Chiayi County</t>
    </r>
    <phoneticPr fontId="6" type="noConversion"/>
  </si>
  <si>
    <r>
      <rPr>
        <sz val="12"/>
        <rFont val="標楷體"/>
        <family val="4"/>
        <charset val="136"/>
      </rPr>
      <t>屏東縣</t>
    </r>
    <r>
      <rPr>
        <sz val="12"/>
        <rFont val="Times New Roman"/>
        <family val="1"/>
      </rPr>
      <t xml:space="preserve">   Pingtung County</t>
    </r>
    <phoneticPr fontId="6" type="noConversion"/>
  </si>
  <si>
    <r>
      <rPr>
        <sz val="12"/>
        <rFont val="標楷體"/>
        <family val="4"/>
        <charset val="136"/>
      </rPr>
      <t>臺東縣</t>
    </r>
    <r>
      <rPr>
        <sz val="12"/>
        <rFont val="Times New Roman"/>
        <family val="1"/>
      </rPr>
      <t xml:space="preserve">   Taitung County</t>
    </r>
    <phoneticPr fontId="6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</si>
  <si>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2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2</t>
    </r>
    <phoneticPr fontId="1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</si>
  <si>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3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3</t>
    </r>
    <phoneticPr fontId="1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</si>
  <si>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4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4</t>
    </r>
    <phoneticPr fontId="1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</si>
  <si>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5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5</t>
    </r>
    <phoneticPr fontId="1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</si>
  <si>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6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6</t>
    </r>
    <phoneticPr fontId="1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</si>
  <si>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7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CMS 7</t>
    </r>
    <phoneticPr fontId="1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</si>
  <si>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8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 xml:space="preserve">  CMS 8</t>
    </r>
    <phoneticPr fontId="1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</si>
  <si>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111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2022</t>
    </r>
    <phoneticPr fontId="6" type="noConversion"/>
  </si>
  <si>
    <r>
      <rPr>
        <sz val="12"/>
        <color rgb="FF000000"/>
        <rFont val="標楷體"/>
        <family val="4"/>
        <charset val="136"/>
      </rPr>
      <t xml:space="preserve">年別
</t>
    </r>
    <r>
      <rPr>
        <sz val="12"/>
        <color rgb="FF000000"/>
        <rFont val="Times New Roman"/>
        <family val="1"/>
      </rPr>
      <t>Year</t>
    </r>
    <phoneticPr fontId="4" type="noConversion"/>
  </si>
  <si>
    <r>
      <t>110</t>
    </r>
    <r>
      <rPr>
        <sz val="12"/>
        <rFont val="標楷體"/>
        <family val="4"/>
        <charset val="136"/>
      </rPr>
      <t>年</t>
    </r>
    <r>
      <rPr>
        <sz val="12"/>
        <rFont val="Times New Roman"/>
        <family val="1"/>
      </rPr>
      <t>, 2021</t>
    </r>
  </si>
  <si>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 xml:space="preserve">  </t>
    </r>
    <r>
      <rPr>
        <sz val="9"/>
        <rFont val="標楷體"/>
        <family val="4"/>
        <charset val="136"/>
      </rPr>
      <t xml:space="preserve">別
</t>
    </r>
    <r>
      <rPr>
        <sz val="9"/>
        <rFont val="Times New Roman"/>
        <family val="1"/>
      </rPr>
      <t>Year</t>
    </r>
    <phoneticPr fontId="6" type="noConversion"/>
  </si>
  <si>
    <r>
      <rPr>
        <sz val="9"/>
        <rFont val="標楷體"/>
        <family val="4"/>
        <charset val="136"/>
      </rPr>
      <t>期底服務人數</t>
    </r>
    <r>
      <rPr>
        <sz val="9"/>
        <rFont val="Times New Roman"/>
        <family val="1"/>
      </rPr>
      <t xml:space="preserve"> Persons Serviced (End of Year)  (</t>
    </r>
    <r>
      <rPr>
        <sz val="9"/>
        <rFont val="標楷體"/>
        <family val="4"/>
        <charset val="136"/>
      </rPr>
      <t>人</t>
    </r>
    <r>
      <rPr>
        <sz val="9"/>
        <rFont val="Times New Roman"/>
        <family val="1"/>
      </rPr>
      <t>)</t>
    </r>
    <phoneticPr fontId="6" type="noConversion"/>
  </si>
  <si>
    <r>
      <rPr>
        <sz val="9"/>
        <rFont val="標楷體"/>
        <family val="4"/>
        <charset val="136"/>
      </rPr>
      <t>服務趟數</t>
    </r>
    <r>
      <rPr>
        <sz val="9"/>
        <rFont val="Times New Roman"/>
        <family val="1"/>
      </rPr>
      <t xml:space="preserve"> No. of Runs (</t>
    </r>
    <r>
      <rPr>
        <sz val="9"/>
        <rFont val="標楷體"/>
        <family val="4"/>
        <charset val="136"/>
      </rPr>
      <t>趟</t>
    </r>
    <r>
      <rPr>
        <sz val="9"/>
        <rFont val="Times New Roman"/>
        <family val="1"/>
      </rPr>
      <t>)</t>
    </r>
    <phoneticPr fontId="6" type="noConversion"/>
  </si>
  <si>
    <r>
      <t>98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2009</t>
    </r>
    <phoneticPr fontId="4" type="noConversion"/>
  </si>
  <si>
    <r>
      <t>99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2010</t>
    </r>
    <phoneticPr fontId="6" type="noConversion"/>
  </si>
  <si>
    <r>
      <t>100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2011</t>
    </r>
    <phoneticPr fontId="6" type="noConversion"/>
  </si>
  <si>
    <r>
      <t>101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2012</t>
    </r>
  </si>
  <si>
    <r>
      <t>102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2013</t>
    </r>
    <phoneticPr fontId="6" type="noConversion"/>
  </si>
  <si>
    <r>
      <t>103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2014</t>
    </r>
    <phoneticPr fontId="6" type="noConversion"/>
  </si>
  <si>
    <r>
      <t>104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2015</t>
    </r>
    <phoneticPr fontId="6" type="noConversion"/>
  </si>
  <si>
    <r>
      <t>105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2016</t>
    </r>
    <phoneticPr fontId="6" type="noConversion"/>
  </si>
  <si>
    <r>
      <t>106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2017</t>
    </r>
    <r>
      <rPr>
        <sz val="12"/>
        <color indexed="8"/>
        <rFont val="新細明體"/>
        <family val="1"/>
        <charset val="136"/>
      </rPr>
      <t/>
    </r>
    <phoneticPr fontId="6" type="noConversion"/>
  </si>
  <si>
    <r>
      <t>107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2018</t>
    </r>
    <r>
      <rPr>
        <sz val="12"/>
        <color indexed="8"/>
        <rFont val="新細明體"/>
        <family val="1"/>
        <charset val="136"/>
      </rPr>
      <t/>
    </r>
    <phoneticPr fontId="6" type="noConversion"/>
  </si>
  <si>
    <t>年別
Year</t>
    <phoneticPr fontId="6" type="noConversion"/>
  </si>
  <si>
    <r>
      <t>108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2019</t>
    </r>
    <phoneticPr fontId="6" type="noConversion"/>
  </si>
  <si>
    <r>
      <t>109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2020</t>
    </r>
    <r>
      <rPr>
        <sz val="12"/>
        <color indexed="8"/>
        <rFont val="新細明體"/>
        <family val="1"/>
        <charset val="136"/>
      </rPr>
      <t/>
    </r>
    <phoneticPr fontId="6" type="noConversion"/>
  </si>
  <si>
    <r>
      <rPr>
        <sz val="9"/>
        <rFont val="標楷體"/>
        <family val="4"/>
        <charset val="136"/>
      </rPr>
      <t>下半年</t>
    </r>
    <r>
      <rPr>
        <sz val="9"/>
        <rFont val="Times New Roman"/>
        <family val="1"/>
      </rPr>
      <t>,July-Dec.</t>
    </r>
    <phoneticPr fontId="6" type="noConversion"/>
  </si>
  <si>
    <r>
      <rPr>
        <sz val="9"/>
        <rFont val="標楷體"/>
        <family val="4"/>
        <charset val="136"/>
      </rPr>
      <t>資料來源：直轄市、縣﹝市﹞政府。</t>
    </r>
    <r>
      <rPr>
        <sz val="9"/>
        <rFont val="Times New Roman"/>
        <family val="1"/>
      </rPr>
      <t xml:space="preserve"> </t>
    </r>
  </si>
  <si>
    <t>Source: County and Government.</t>
  </si>
  <si>
    <t>附註：1.長照2.0於106年6月開始實施，擴大服務對象，致107年服務人數大幅增加。
　　　2.「期底服務個案人數」：屬靜態資料，係指期底現有服務個案之人數(不含已結案者)。以108年資料為例，係指108年12月31日仍在案之人數。
　　　3.「本期服務個案人數」：屬動態資料，係指某區間內有使用服務人口中歸人統計。例如：某個案一年共使用服務24次，則服務人數計1人。</t>
    <phoneticPr fontId="4" type="noConversion"/>
  </si>
  <si>
    <r>
      <rPr>
        <sz val="12"/>
        <rFont val="標楷體"/>
        <family val="4"/>
        <charset val="136"/>
      </rPr>
      <t>資料來源：衛生福利部長期照顧司。</t>
    </r>
    <r>
      <rPr>
        <sz val="12"/>
        <rFont val="Times New Roman"/>
        <family val="1"/>
      </rPr>
      <t xml:space="preserve"> </t>
    </r>
    <phoneticPr fontId="4" type="noConversion"/>
  </si>
  <si>
    <r>
      <rPr>
        <sz val="12"/>
        <rFont val="標楷體"/>
        <family val="4"/>
        <charset val="136"/>
      </rPr>
      <t>填表說明：</t>
    </r>
    <r>
      <rPr>
        <sz val="12"/>
        <rFont val="Times New Roman"/>
        <family val="1"/>
      </rPr>
      <t>1.110</t>
    </r>
    <r>
      <rPr>
        <sz val="12"/>
        <rFont val="標楷體"/>
        <family val="4"/>
        <charset val="136"/>
      </rPr>
      <t xml:space="preserve">年起服務人數係指全年可服務人數。
</t>
    </r>
    <r>
      <rPr>
        <sz val="12"/>
        <rFont val="Times New Roman"/>
        <family val="1"/>
      </rPr>
      <t xml:space="preserve">             </t>
    </r>
    <phoneticPr fontId="1" type="noConversion"/>
  </si>
  <si>
    <r>
      <t>111</t>
    </r>
    <r>
      <rPr>
        <sz val="12"/>
        <rFont val="標楷體"/>
        <family val="4"/>
        <charset val="136"/>
      </rPr>
      <t>年</t>
    </r>
    <r>
      <rPr>
        <sz val="12"/>
        <rFont val="Times New Roman"/>
        <family val="1"/>
      </rPr>
      <t>, 2022</t>
    </r>
  </si>
  <si>
    <r>
      <t xml:space="preserve">                       2.110</t>
    </r>
    <r>
      <rPr>
        <sz val="12"/>
        <rFont val="標楷體"/>
        <family val="4"/>
        <charset val="136"/>
      </rPr>
      <t>年放寬服務對象為長照需要等級第</t>
    </r>
    <r>
      <rPr>
        <sz val="12"/>
        <rFont val="Times New Roman"/>
        <family val="1"/>
      </rPr>
      <t>4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含</t>
    </r>
    <r>
      <rPr>
        <sz val="12"/>
        <rFont val="Times New Roman"/>
        <family val="1"/>
      </rPr>
      <t>)</t>
    </r>
    <r>
      <rPr>
        <sz val="12"/>
        <rFont val="標楷體"/>
        <family val="4"/>
        <charset val="136"/>
      </rPr>
      <t>以上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第四類偏遠縣市、偏遠鄉鎮市區為長照需要等級第</t>
    </r>
    <r>
      <rPr>
        <sz val="12"/>
        <rFont val="Times New Roman"/>
        <family val="1"/>
      </rPr>
      <t>2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含</t>
    </r>
    <r>
      <rPr>
        <sz val="12"/>
        <rFont val="Times New Roman"/>
        <family val="1"/>
      </rPr>
      <t>)</t>
    </r>
    <r>
      <rPr>
        <sz val="12"/>
        <rFont val="標楷體"/>
        <family val="4"/>
        <charset val="136"/>
      </rPr>
      <t>以上</t>
    </r>
    <r>
      <rPr>
        <sz val="12"/>
        <rFont val="Times New Roman"/>
        <family val="1"/>
      </rPr>
      <t>)</t>
    </r>
    <r>
      <rPr>
        <sz val="12"/>
        <rFont val="標楷體"/>
        <family val="4"/>
        <charset val="136"/>
      </rPr>
      <t>之長照需要者，自居家往（返）至醫療院所就醫及復健之交通接送服務。</t>
    </r>
    <phoneticPr fontId="1" type="noConversion"/>
  </si>
  <si>
    <r>
      <t xml:space="preserve">                       3.111</t>
    </r>
    <r>
      <rPr>
        <sz val="12"/>
        <rFont val="標楷體"/>
        <family val="4"/>
        <charset val="136"/>
      </rPr>
      <t>年放寬服務對象為協助長照需要等級第</t>
    </r>
    <r>
      <rPr>
        <sz val="12"/>
        <rFont val="Times New Roman"/>
        <family val="1"/>
      </rPr>
      <t>2</t>
    </r>
    <r>
      <rPr>
        <sz val="12"/>
        <rFont val="標楷體"/>
        <family val="4"/>
        <charset val="136"/>
      </rPr>
      <t>級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含</t>
    </r>
    <r>
      <rPr>
        <sz val="12"/>
        <rFont val="Times New Roman"/>
        <family val="1"/>
      </rPr>
      <t>)</t>
    </r>
    <r>
      <rPr>
        <sz val="12"/>
        <rFont val="標楷體"/>
        <family val="4"/>
        <charset val="136"/>
      </rPr>
      <t>以上之長照需要者，自居家往（返）至醫療院所就醫、定期式復健或透析治療之交通接送服務。</t>
    </r>
    <phoneticPr fontId="1" type="noConversion"/>
  </si>
  <si>
    <r>
      <rPr>
        <sz val="12"/>
        <color indexed="8"/>
        <rFont val="標楷體"/>
        <family val="4"/>
        <charset val="136"/>
      </rPr>
      <t>更新日期：</t>
    </r>
    <r>
      <rPr>
        <sz val="12"/>
        <color indexed="8"/>
        <rFont val="Times New Roman"/>
        <family val="1"/>
      </rPr>
      <t>2024/04/01</t>
    </r>
    <phoneticPr fontId="6" type="noConversion"/>
  </si>
  <si>
    <r>
      <t>112</t>
    </r>
    <r>
      <rPr>
        <sz val="12"/>
        <rFont val="標楷體"/>
        <family val="4"/>
        <charset val="136"/>
      </rPr>
      <t>年</t>
    </r>
    <r>
      <rPr>
        <sz val="12"/>
        <rFont val="Times New Roman"/>
        <family val="1"/>
      </rPr>
      <t>, 2023</t>
    </r>
    <r>
      <rPr>
        <sz val="12"/>
        <color theme="1"/>
        <rFont val="新細明體"/>
        <family val="2"/>
        <charset val="136"/>
        <scheme val="minor"/>
      </rPr>
      <t/>
    </r>
    <phoneticPr fontId="1" type="noConversion"/>
  </si>
  <si>
    <r>
      <t>113</t>
    </r>
    <r>
      <rPr>
        <b/>
        <sz val="12"/>
        <rFont val="標楷體"/>
        <family val="4"/>
        <charset val="136"/>
      </rPr>
      <t>年</t>
    </r>
    <r>
      <rPr>
        <b/>
        <sz val="12"/>
        <rFont val="Times New Roman"/>
        <family val="1"/>
      </rPr>
      <t>, 2024</t>
    </r>
    <r>
      <rPr>
        <sz val="12"/>
        <color theme="1"/>
        <rFont val="新細明體"/>
        <family val="2"/>
        <charset val="136"/>
        <scheme val="minor"/>
      </rPr>
      <t/>
    </r>
    <phoneticPr fontId="1" type="noConversion"/>
  </si>
  <si>
    <r>
      <rPr>
        <sz val="12"/>
        <color indexed="8"/>
        <rFont val="標楷體"/>
        <family val="4"/>
        <charset val="136"/>
      </rPr>
      <t>更新日期：</t>
    </r>
    <r>
      <rPr>
        <sz val="12"/>
        <color indexed="8"/>
        <rFont val="Times New Roman"/>
        <family val="1"/>
      </rPr>
      <t>2025/04/21</t>
    </r>
    <phoneticPr fontId="6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</si>
  <si>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113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2024</t>
    </r>
    <phoneticPr fontId="6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</si>
  <si>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112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2023</t>
    </r>
    <phoneticPr fontId="6" type="noConversion"/>
  </si>
  <si>
    <r>
      <t>110-113</t>
    </r>
    <r>
      <rPr>
        <sz val="10"/>
        <rFont val="標楷體"/>
        <family val="4"/>
        <charset val="136"/>
      </rPr>
      <t>年</t>
    </r>
    <phoneticPr fontId="1" type="noConversion"/>
  </si>
  <si>
    <r>
      <rPr>
        <sz val="12"/>
        <rFont val="標楷體"/>
        <family val="4"/>
        <charset val="136"/>
      </rPr>
      <t>全年交通接送服務人數</t>
    </r>
    <r>
      <rPr>
        <sz val="12"/>
        <rFont val="Times New Roman"/>
        <family val="1"/>
      </rPr>
      <t>-</t>
    </r>
    <r>
      <rPr>
        <sz val="12"/>
        <rFont val="標楷體"/>
        <family val="4"/>
        <charset val="136"/>
      </rPr>
      <t>按長照需要等級分</t>
    </r>
    <r>
      <rPr>
        <sz val="12"/>
        <rFont val="Times New Roman"/>
        <family val="1"/>
      </rPr>
      <t xml:space="preserve"> Transportation Pick-up Services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</si>
</sst>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76" formatCode="#,##0_ "/>
    <numFmt numFmtId="177" formatCode="#,##0;\-#,##0;&quot;-&quot;"/>
    <numFmt numFmtId="178" formatCode="#,##0;\-#,##0;&quot;－&quot;"/>
    <numFmt numFmtId="179" formatCode="_-* #,##0_-;\-* #,##0_-;_-* &quot;-&quot;??_-;_-@_-"/>
    <numFmt numFmtId="180" formatCode="#,##0_);[Red]\(#,##0\)"/>
  </numFmts>
  <fonts count="4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標楷體"/>
      <family val="4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標楷體"/>
      <family val="4"/>
      <charset val="136"/>
    </font>
    <font>
      <sz val="9"/>
      <name val="細明體"/>
      <family val="3"/>
      <charset val="136"/>
    </font>
    <font>
      <sz val="12"/>
      <name val="Times New Roman"/>
      <family val="1"/>
    </font>
    <font>
      <sz val="12"/>
      <color theme="1"/>
      <name val="新細明體"/>
      <family val="2"/>
      <charset val="136"/>
      <scheme val="minor"/>
    </font>
    <font>
      <b/>
      <sz val="16"/>
      <name val="Times New Roman"/>
      <family val="1"/>
    </font>
    <font>
      <b/>
      <sz val="16"/>
      <name val="標楷體"/>
      <family val="4"/>
      <charset val="136"/>
    </font>
    <font>
      <sz val="10"/>
      <name val="Times New Roman"/>
      <family val="1"/>
    </font>
    <font>
      <sz val="9"/>
      <name val="Times New Roman"/>
      <family val="1"/>
    </font>
    <font>
      <sz val="9"/>
      <name val="標楷體"/>
      <family val="4"/>
      <charset val="136"/>
    </font>
    <font>
      <sz val="10"/>
      <name val="標楷體"/>
      <family val="4"/>
      <charset val="136"/>
    </font>
    <font>
      <sz val="10"/>
      <color rgb="FF0000FF"/>
      <name val="Times New Roman"/>
      <family val="1"/>
    </font>
    <font>
      <sz val="11"/>
      <name val="Times New Roman"/>
      <family val="1"/>
    </font>
    <font>
      <sz val="9"/>
      <color indexed="8"/>
      <name val="Times New Roman"/>
      <family val="1"/>
    </font>
    <font>
      <sz val="9"/>
      <color indexed="8"/>
      <name val="標楷體"/>
      <family val="4"/>
      <charset val="136"/>
    </font>
    <font>
      <sz val="16"/>
      <name val="Times New Roman"/>
      <family val="1"/>
    </font>
    <font>
      <sz val="10"/>
      <color indexed="12"/>
      <name val="Times New Roman"/>
      <family val="1"/>
    </font>
    <font>
      <sz val="10"/>
      <color indexed="12"/>
      <name val="標楷體"/>
      <family val="4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8"/>
      <name val="標楷體"/>
      <family val="4"/>
      <charset val="136"/>
    </font>
    <font>
      <sz val="8"/>
      <name val="Times New Roman"/>
      <family val="1"/>
    </font>
    <font>
      <sz val="9"/>
      <color indexed="12"/>
      <name val="Times New Roman"/>
      <family val="1"/>
    </font>
    <font>
      <sz val="10"/>
      <color indexed="8"/>
      <name val="標楷體"/>
      <family val="4"/>
      <charset val="136"/>
    </font>
    <font>
      <sz val="10"/>
      <color indexed="8"/>
      <name val="Times New Roman"/>
      <family val="1"/>
    </font>
    <font>
      <sz val="12"/>
      <color indexed="8"/>
      <name val="Times New Roman"/>
      <family val="1"/>
    </font>
    <font>
      <sz val="12"/>
      <color indexed="8"/>
      <name val="標楷體"/>
      <family val="4"/>
      <charset val="136"/>
    </font>
    <font>
      <b/>
      <sz val="16"/>
      <name val="Times New Roman"/>
      <family val="4"/>
      <charset val="136"/>
    </font>
    <font>
      <b/>
      <sz val="12"/>
      <name val="Times New Roman"/>
      <family val="1"/>
    </font>
    <font>
      <b/>
      <sz val="12"/>
      <name val="標楷體"/>
      <family val="4"/>
      <charset val="136"/>
    </font>
    <font>
      <sz val="10"/>
      <name val="Times New Roman"/>
      <family val="4"/>
      <charset val="136"/>
    </font>
    <font>
      <sz val="12"/>
      <color rgb="FF000000"/>
      <name val="Times New Roman"/>
      <family val="1"/>
    </font>
    <font>
      <sz val="12"/>
      <color rgb="FF000000"/>
      <name val="標楷體"/>
      <family val="4"/>
      <charset val="136"/>
    </font>
    <font>
      <sz val="12"/>
      <color indexed="8"/>
      <name val="新細明體"/>
      <family val="1"/>
      <charset val="136"/>
    </font>
    <font>
      <b/>
      <sz val="10"/>
      <name val="Times New Roman"/>
      <family val="1"/>
    </font>
    <font>
      <b/>
      <sz val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0">
    <xf numFmtId="0" fontId="0" fillId="0" borderId="0">
      <alignment vertical="center"/>
    </xf>
    <xf numFmtId="0" fontId="3" fillId="0" borderId="0"/>
    <xf numFmtId="0" fontId="3" fillId="0" borderId="0"/>
    <xf numFmtId="43" fontId="8" fillId="0" borderId="0" applyFont="0" applyFill="0" applyBorder="0" applyAlignment="0" applyProtection="0">
      <alignment vertical="center"/>
    </xf>
    <xf numFmtId="0" fontId="3" fillId="0" borderId="0"/>
    <xf numFmtId="0" fontId="12" fillId="0" borderId="0"/>
    <xf numFmtId="0" fontId="3" fillId="0" borderId="0"/>
    <xf numFmtId="43" fontId="12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</cellStyleXfs>
  <cellXfs count="201">
    <xf numFmtId="0" fontId="0" fillId="0" borderId="0" xfId="0">
      <alignment vertical="center"/>
    </xf>
    <xf numFmtId="0" fontId="9" fillId="0" borderId="0" xfId="4" applyFont="1" applyBorder="1"/>
    <xf numFmtId="0" fontId="11" fillId="0" borderId="0" xfId="4" applyFont="1"/>
    <xf numFmtId="0" fontId="11" fillId="0" borderId="2" xfId="4" applyFont="1" applyBorder="1" applyAlignment="1">
      <alignment horizontal="centerContinuous" vertical="center" wrapText="1"/>
    </xf>
    <xf numFmtId="0" fontId="11" fillId="0" borderId="7" xfId="4" applyFont="1" applyBorder="1" applyAlignment="1">
      <alignment horizontal="centerContinuous" vertical="center" wrapText="1"/>
    </xf>
    <xf numFmtId="0" fontId="11" fillId="0" borderId="6" xfId="4" applyFont="1" applyBorder="1" applyAlignment="1">
      <alignment horizontal="centerContinuous" vertical="center"/>
    </xf>
    <xf numFmtId="0" fontId="11" fillId="0" borderId="0" xfId="4" applyFont="1" applyAlignment="1">
      <alignment vertical="center"/>
    </xf>
    <xf numFmtId="0" fontId="11" fillId="0" borderId="0" xfId="4" applyFont="1" applyAlignment="1">
      <alignment horizontal="center" vertical="center" wrapText="1"/>
    </xf>
    <xf numFmtId="0" fontId="12" fillId="0" borderId="10" xfId="5" applyFont="1" applyBorder="1" applyAlignment="1"/>
    <xf numFmtId="49" fontId="17" fillId="0" borderId="0" xfId="5" applyNumberFormat="1" applyFont="1" applyFill="1" applyBorder="1" applyAlignment="1">
      <alignment horizontal="left" vertical="center"/>
    </xf>
    <xf numFmtId="0" fontId="19" fillId="0" borderId="0" xfId="4" applyFont="1"/>
    <xf numFmtId="0" fontId="11" fillId="0" borderId="9" xfId="4" applyFont="1" applyBorder="1" applyAlignment="1">
      <alignment horizontal="left"/>
    </xf>
    <xf numFmtId="178" fontId="11" fillId="0" borderId="0" xfId="4" applyNumberFormat="1" applyFont="1" applyBorder="1" applyAlignment="1">
      <alignment horizontal="left"/>
    </xf>
    <xf numFmtId="177" fontId="11" fillId="0" borderId="0" xfId="4" applyNumberFormat="1" applyFont="1"/>
    <xf numFmtId="49" fontId="11" fillId="2" borderId="3" xfId="5" applyNumberFormat="1" applyFont="1" applyFill="1" applyBorder="1" applyAlignment="1">
      <alignment vertical="center"/>
    </xf>
    <xf numFmtId="178" fontId="20" fillId="2" borderId="0" xfId="5" applyNumberFormat="1" applyFont="1" applyFill="1" applyBorder="1" applyAlignment="1">
      <alignment horizontal="right" vertical="center"/>
    </xf>
    <xf numFmtId="178" fontId="11" fillId="0" borderId="0" xfId="5" applyNumberFormat="1" applyFont="1" applyFill="1" applyBorder="1" applyAlignment="1">
      <alignment horizontal="right"/>
    </xf>
    <xf numFmtId="0" fontId="11" fillId="0" borderId="0" xfId="4" applyFont="1" applyAlignment="1"/>
    <xf numFmtId="178" fontId="11" fillId="0" borderId="9" xfId="5" applyNumberFormat="1" applyFont="1" applyFill="1" applyBorder="1" applyAlignment="1">
      <alignment horizontal="right"/>
    </xf>
    <xf numFmtId="0" fontId="12" fillId="0" borderId="0" xfId="5" applyFont="1" applyBorder="1" applyAlignment="1"/>
    <xf numFmtId="0" fontId="16" fillId="0" borderId="0" xfId="4" applyFont="1"/>
    <xf numFmtId="0" fontId="11" fillId="0" borderId="0" xfId="4" applyFont="1" applyBorder="1" applyAlignment="1">
      <alignment horizontal="left"/>
    </xf>
    <xf numFmtId="0" fontId="19" fillId="0" borderId="0" xfId="4" applyFont="1" applyBorder="1"/>
    <xf numFmtId="0" fontId="11" fillId="0" borderId="0" xfId="4" applyFont="1" applyBorder="1" applyAlignment="1">
      <alignment horizontal="left" wrapText="1"/>
    </xf>
    <xf numFmtId="178" fontId="11" fillId="0" borderId="0" xfId="4" applyNumberFormat="1" applyFont="1"/>
    <xf numFmtId="0" fontId="11" fillId="0" borderId="0" xfId="4" applyFont="1" applyAlignment="1">
      <alignment horizontal="centerContinuous"/>
    </xf>
    <xf numFmtId="0" fontId="14" fillId="0" borderId="0" xfId="4" applyFont="1" applyBorder="1" applyAlignment="1">
      <alignment horizontal="right" wrapText="1"/>
    </xf>
    <xf numFmtId="0" fontId="11" fillId="0" borderId="12" xfId="4" applyFont="1" applyBorder="1" applyAlignment="1">
      <alignment vertical="center"/>
    </xf>
    <xf numFmtId="178" fontId="20" fillId="0" borderId="0" xfId="5" applyNumberFormat="1" applyFont="1" applyFill="1" applyBorder="1" applyAlignment="1">
      <alignment horizontal="right" vertical="center"/>
    </xf>
    <xf numFmtId="178" fontId="20" fillId="0" borderId="0" xfId="5" applyNumberFormat="1" applyFont="1" applyBorder="1" applyAlignment="1">
      <alignment horizontal="right" vertical="center"/>
    </xf>
    <xf numFmtId="0" fontId="12" fillId="0" borderId="0" xfId="8" applyFont="1" applyBorder="1" applyAlignment="1">
      <alignment horizontal="right"/>
    </xf>
    <xf numFmtId="178" fontId="12" fillId="0" borderId="13" xfId="5" applyNumberFormat="1" applyFont="1" applyBorder="1" applyAlignment="1">
      <alignment horizontal="left"/>
    </xf>
    <xf numFmtId="178" fontId="20" fillId="0" borderId="0" xfId="5" applyNumberFormat="1" applyFont="1" applyFill="1" applyBorder="1" applyAlignment="1">
      <alignment horizontal="right"/>
    </xf>
    <xf numFmtId="178" fontId="20" fillId="0" borderId="0" xfId="5" applyNumberFormat="1" applyFont="1" applyBorder="1" applyAlignment="1">
      <alignment horizontal="right"/>
    </xf>
    <xf numFmtId="0" fontId="13" fillId="0" borderId="0" xfId="8" applyFont="1" applyBorder="1" applyAlignment="1">
      <alignment horizontal="right"/>
    </xf>
    <xf numFmtId="49" fontId="17" fillId="0" borderId="0" xfId="5" applyNumberFormat="1" applyFont="1" applyFill="1" applyBorder="1" applyAlignment="1">
      <alignment horizontal="right"/>
    </xf>
    <xf numFmtId="177" fontId="12" fillId="0" borderId="13" xfId="4" applyNumberFormat="1" applyFont="1" applyFill="1" applyBorder="1" applyAlignment="1">
      <alignment horizontal="left"/>
    </xf>
    <xf numFmtId="177" fontId="11" fillId="0" borderId="0" xfId="4" applyNumberFormat="1" applyFont="1" applyFill="1" applyBorder="1" applyAlignment="1">
      <alignment horizontal="right"/>
    </xf>
    <xf numFmtId="49" fontId="17" fillId="0" borderId="9" xfId="5" applyNumberFormat="1" applyFont="1" applyFill="1" applyBorder="1" applyAlignment="1">
      <alignment horizontal="right"/>
    </xf>
    <xf numFmtId="177" fontId="12" fillId="0" borderId="14" xfId="4" applyNumberFormat="1" applyFont="1" applyFill="1" applyBorder="1" applyAlignment="1">
      <alignment horizontal="left"/>
    </xf>
    <xf numFmtId="177" fontId="11" fillId="0" borderId="9" xfId="4" applyNumberFormat="1" applyFont="1" applyFill="1" applyBorder="1" applyAlignment="1">
      <alignment horizontal="right"/>
    </xf>
    <xf numFmtId="0" fontId="11" fillId="0" borderId="0" xfId="4" applyFont="1" applyBorder="1" applyAlignment="1">
      <alignment horizontal="centerContinuous" vertical="center" wrapText="1"/>
    </xf>
    <xf numFmtId="0" fontId="11" fillId="0" borderId="10" xfId="4" applyFont="1" applyBorder="1" applyAlignment="1">
      <alignment horizontal="centerContinuous" vertical="center" wrapText="1"/>
    </xf>
    <xf numFmtId="0" fontId="0" fillId="0" borderId="2" xfId="4" applyFont="1" applyBorder="1" applyAlignment="1">
      <alignment horizontal="centerContinuous" vertical="center" wrapText="1"/>
    </xf>
    <xf numFmtId="0" fontId="12" fillId="0" borderId="0" xfId="4" applyFont="1" applyBorder="1" applyAlignment="1">
      <alignment horizontal="centerContinuous" vertical="center" wrapText="1"/>
    </xf>
    <xf numFmtId="0" fontId="12" fillId="0" borderId="6" xfId="4" applyFont="1" applyBorder="1" applyAlignment="1">
      <alignment horizontal="centerContinuous" vertical="center"/>
    </xf>
    <xf numFmtId="0" fontId="12" fillId="0" borderId="10" xfId="4" applyFont="1" applyBorder="1" applyAlignment="1">
      <alignment horizontal="centerContinuous" vertical="center" wrapText="1"/>
    </xf>
    <xf numFmtId="0" fontId="14" fillId="0" borderId="0" xfId="4" applyFont="1" applyBorder="1" applyAlignment="1">
      <alignment horizontal="center" wrapText="1"/>
    </xf>
    <xf numFmtId="0" fontId="11" fillId="0" borderId="12" xfId="4" applyFont="1" applyBorder="1" applyAlignment="1">
      <alignment horizontal="left" wrapText="1"/>
    </xf>
    <xf numFmtId="0" fontId="14" fillId="0" borderId="0" xfId="4" applyFont="1" applyBorder="1" applyAlignment="1">
      <alignment horizontal="distributed" wrapText="1"/>
    </xf>
    <xf numFmtId="49" fontId="25" fillId="0" borderId="18" xfId="5" applyNumberFormat="1" applyFont="1" applyFill="1" applyBorder="1" applyAlignment="1">
      <alignment vertical="center"/>
    </xf>
    <xf numFmtId="178" fontId="12" fillId="0" borderId="13" xfId="5" applyNumberFormat="1" applyFont="1" applyBorder="1" applyAlignment="1">
      <alignment horizontal="left" vertical="center"/>
    </xf>
    <xf numFmtId="49" fontId="26" fillId="0" borderId="18" xfId="5" applyNumberFormat="1" applyFont="1" applyFill="1" applyBorder="1" applyAlignment="1">
      <alignment vertical="center"/>
    </xf>
    <xf numFmtId="177" fontId="12" fillId="0" borderId="13" xfId="4" applyNumberFormat="1" applyFont="1" applyFill="1" applyBorder="1" applyAlignment="1">
      <alignment horizontal="left" vertical="center"/>
    </xf>
    <xf numFmtId="49" fontId="26" fillId="0" borderId="5" xfId="5" applyNumberFormat="1" applyFont="1" applyFill="1" applyBorder="1" applyAlignment="1">
      <alignment vertical="center"/>
    </xf>
    <xf numFmtId="177" fontId="12" fillId="0" borderId="14" xfId="4" applyNumberFormat="1" applyFont="1" applyFill="1" applyBorder="1" applyAlignment="1">
      <alignment horizontal="left" vertical="center"/>
    </xf>
    <xf numFmtId="0" fontId="11" fillId="0" borderId="0" xfId="4" applyFont="1" applyBorder="1" applyAlignment="1">
      <alignment horizontal="center" wrapText="1"/>
    </xf>
    <xf numFmtId="0" fontId="14" fillId="0" borderId="0" xfId="4" applyFont="1" applyAlignment="1"/>
    <xf numFmtId="178" fontId="27" fillId="0" borderId="0" xfId="5" applyNumberFormat="1" applyFont="1" applyBorder="1" applyAlignment="1">
      <alignment horizontal="right"/>
    </xf>
    <xf numFmtId="49" fontId="26" fillId="0" borderId="18" xfId="5" applyNumberFormat="1" applyFont="1" applyFill="1" applyBorder="1" applyAlignment="1"/>
    <xf numFmtId="49" fontId="25" fillId="0" borderId="18" xfId="5" applyNumberFormat="1" applyFont="1" applyFill="1" applyBorder="1" applyAlignment="1"/>
    <xf numFmtId="177" fontId="15" fillId="0" borderId="0" xfId="4" applyNumberFormat="1" applyFont="1" applyFill="1" applyBorder="1" applyAlignment="1">
      <alignment horizontal="right"/>
    </xf>
    <xf numFmtId="49" fontId="26" fillId="0" borderId="5" xfId="5" applyNumberFormat="1" applyFont="1" applyFill="1" applyBorder="1" applyAlignment="1"/>
    <xf numFmtId="0" fontId="19" fillId="0" borderId="10" xfId="0" applyFont="1" applyBorder="1" applyAlignment="1">
      <alignment horizontal="centerContinuous" vertical="center"/>
    </xf>
    <xf numFmtId="0" fontId="19" fillId="0" borderId="0" xfId="0" applyFont="1" applyAlignment="1">
      <alignment vertical="center"/>
    </xf>
    <xf numFmtId="0" fontId="19" fillId="0" borderId="0" xfId="0" applyFont="1" applyBorder="1" applyAlignment="1">
      <alignment horizontal="centerContinuous" vertical="center"/>
    </xf>
    <xf numFmtId="179" fontId="7" fillId="0" borderId="18" xfId="3" applyNumberFormat="1" applyFont="1" applyBorder="1" applyAlignment="1">
      <alignment horizontal="center" vertical="center" wrapText="1"/>
    </xf>
    <xf numFmtId="179" fontId="7" fillId="0" borderId="0" xfId="3" applyNumberFormat="1" applyFont="1" applyBorder="1" applyAlignment="1">
      <alignment horizontal="center" vertical="center" wrapText="1"/>
    </xf>
    <xf numFmtId="0" fontId="32" fillId="0" borderId="0" xfId="4" applyFont="1" applyBorder="1"/>
    <xf numFmtId="49" fontId="29" fillId="0" borderId="0" xfId="0" applyNumberFormat="1" applyFont="1" applyFill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11" fillId="0" borderId="0" xfId="1" applyFont="1" applyBorder="1" applyAlignment="1">
      <alignment vertical="center"/>
    </xf>
    <xf numFmtId="0" fontId="7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176" fontId="33" fillId="0" borderId="0" xfId="0" applyNumberFormat="1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11" fillId="0" borderId="10" xfId="0" applyFont="1" applyBorder="1" applyAlignment="1">
      <alignment vertical="center"/>
    </xf>
    <xf numFmtId="0" fontId="11" fillId="0" borderId="0" xfId="0" applyFont="1" applyAlignment="1">
      <alignment vertical="center"/>
    </xf>
    <xf numFmtId="49" fontId="33" fillId="0" borderId="19" xfId="8" applyNumberFormat="1" applyFont="1" applyFill="1" applyBorder="1" applyAlignment="1">
      <alignment vertical="center" wrapText="1"/>
    </xf>
    <xf numFmtId="0" fontId="11" fillId="0" borderId="0" xfId="4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179" fontId="33" fillId="0" borderId="18" xfId="3" applyNumberFormat="1" applyFont="1" applyBorder="1" applyAlignment="1">
      <alignment horizontal="center" vertical="center" wrapText="1"/>
    </xf>
    <xf numFmtId="179" fontId="33" fillId="0" borderId="0" xfId="3" applyNumberFormat="1" applyFont="1" applyBorder="1" applyAlignment="1">
      <alignment horizontal="center" vertical="center" wrapText="1"/>
    </xf>
    <xf numFmtId="0" fontId="7" fillId="0" borderId="25" xfId="1" applyFont="1" applyBorder="1" applyAlignment="1">
      <alignment horizontal="center" vertical="center" wrapText="1"/>
    </xf>
    <xf numFmtId="0" fontId="7" fillId="0" borderId="26" xfId="1" applyFont="1" applyFill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0" fontId="7" fillId="0" borderId="27" xfId="1" applyFont="1" applyFill="1" applyBorder="1" applyAlignment="1">
      <alignment horizontal="center" vertical="center" wrapText="1"/>
    </xf>
    <xf numFmtId="179" fontId="7" fillId="0" borderId="28" xfId="3" applyNumberFormat="1" applyFont="1" applyBorder="1" applyAlignment="1">
      <alignment horizontal="center" vertical="center" wrapText="1"/>
    </xf>
    <xf numFmtId="179" fontId="7" fillId="0" borderId="29" xfId="3" applyNumberFormat="1" applyFont="1" applyBorder="1" applyAlignment="1">
      <alignment horizontal="center" vertical="center" wrapText="1"/>
    </xf>
    <xf numFmtId="49" fontId="7" fillId="0" borderId="19" xfId="8" applyNumberFormat="1" applyFont="1" applyFill="1" applyBorder="1" applyAlignment="1">
      <alignment horizontal="left" vertical="center" wrapText="1" indent="2"/>
    </xf>
    <xf numFmtId="49" fontId="7" fillId="0" borderId="20" xfId="8" applyNumberFormat="1" applyFont="1" applyFill="1" applyBorder="1" applyAlignment="1">
      <alignment horizontal="left" vertical="center" wrapText="1" indent="2"/>
    </xf>
    <xf numFmtId="0" fontId="35" fillId="0" borderId="0" xfId="4" applyFont="1" applyBorder="1" applyAlignment="1">
      <alignment horizontal="left" vertical="center"/>
    </xf>
    <xf numFmtId="49" fontId="7" fillId="0" borderId="19" xfId="8" applyNumberFormat="1" applyFont="1" applyFill="1" applyBorder="1" applyAlignment="1">
      <alignment horizontal="center" vertical="center" wrapText="1"/>
    </xf>
    <xf numFmtId="49" fontId="33" fillId="0" borderId="19" xfId="8" applyNumberFormat="1" applyFont="1" applyFill="1" applyBorder="1" applyAlignment="1">
      <alignment horizontal="center" vertical="center" wrapText="1"/>
    </xf>
    <xf numFmtId="0" fontId="11" fillId="0" borderId="12" xfId="4" applyFont="1" applyBorder="1" applyAlignment="1">
      <alignment horizontal="center" vertical="center" wrapText="1"/>
    </xf>
    <xf numFmtId="0" fontId="11" fillId="0" borderId="13" xfId="4" applyFont="1" applyBorder="1" applyAlignment="1">
      <alignment horizontal="center" vertical="center" wrapText="1"/>
    </xf>
    <xf numFmtId="0" fontId="11" fillId="0" borderId="14" xfId="4" applyFont="1" applyBorder="1" applyAlignment="1">
      <alignment horizontal="center" vertical="center" wrapText="1"/>
    </xf>
    <xf numFmtId="0" fontId="12" fillId="0" borderId="0" xfId="4" applyFont="1"/>
    <xf numFmtId="0" fontId="12" fillId="0" borderId="0" xfId="4" applyFont="1" applyAlignment="1">
      <alignment horizontal="centerContinuous"/>
    </xf>
    <xf numFmtId="0" fontId="12" fillId="0" borderId="0" xfId="4" applyFont="1" applyAlignment="1">
      <alignment horizontal="center" vertical="center" wrapText="1"/>
    </xf>
    <xf numFmtId="177" fontId="11" fillId="0" borderId="0" xfId="4" applyNumberFormat="1" applyFont="1" applyFill="1" applyBorder="1" applyAlignment="1">
      <alignment horizontal="right" vertical="center"/>
    </xf>
    <xf numFmtId="178" fontId="11" fillId="0" borderId="0" xfId="0" applyNumberFormat="1" applyFont="1" applyBorder="1" applyAlignment="1">
      <alignment horizontal="right" vertical="center"/>
    </xf>
    <xf numFmtId="0" fontId="11" fillId="0" borderId="0" xfId="4" applyFont="1" applyBorder="1" applyAlignment="1">
      <alignment vertical="center"/>
    </xf>
    <xf numFmtId="178" fontId="11" fillId="0" borderId="9" xfId="0" applyNumberFormat="1" applyFont="1" applyBorder="1" applyAlignment="1">
      <alignment horizontal="right" vertical="center"/>
    </xf>
    <xf numFmtId="178" fontId="39" fillId="0" borderId="0" xfId="0" applyNumberFormat="1" applyFont="1" applyBorder="1" applyAlignment="1">
      <alignment horizontal="right" vertical="center"/>
    </xf>
    <xf numFmtId="0" fontId="39" fillId="0" borderId="0" xfId="4" applyFont="1" applyBorder="1" applyAlignment="1">
      <alignment vertical="center"/>
    </xf>
    <xf numFmtId="0" fontId="12" fillId="0" borderId="0" xfId="4" applyFont="1" applyBorder="1" applyAlignment="1">
      <alignment horizontal="center" vertical="center" wrapText="1"/>
    </xf>
    <xf numFmtId="179" fontId="11" fillId="0" borderId="0" xfId="7" applyNumberFormat="1" applyFont="1" applyBorder="1" applyAlignment="1">
      <alignment horizontal="right" vertical="center" wrapText="1"/>
    </xf>
    <xf numFmtId="0" fontId="0" fillId="0" borderId="14" xfId="4" applyFont="1" applyBorder="1" applyAlignment="1">
      <alignment horizontal="center" vertical="center" wrapText="1"/>
    </xf>
    <xf numFmtId="178" fontId="15" fillId="0" borderId="9" xfId="0" applyNumberFormat="1" applyFont="1" applyBorder="1" applyAlignment="1">
      <alignment horizontal="right" vertical="center"/>
    </xf>
    <xf numFmtId="0" fontId="12" fillId="0" borderId="10" xfId="0" applyFont="1" applyBorder="1" applyAlignment="1"/>
    <xf numFmtId="178" fontId="39" fillId="0" borderId="11" xfId="0" applyNumberFormat="1" applyFont="1" applyBorder="1" applyAlignment="1">
      <alignment horizontal="right" vertical="center"/>
    </xf>
    <xf numFmtId="178" fontId="39" fillId="0" borderId="10" xfId="0" applyNumberFormat="1" applyFont="1" applyBorder="1" applyAlignment="1">
      <alignment horizontal="right" vertical="center"/>
    </xf>
    <xf numFmtId="0" fontId="40" fillId="0" borderId="10" xfId="4" applyFont="1" applyBorder="1" applyAlignment="1">
      <alignment vertical="center"/>
    </xf>
    <xf numFmtId="0" fontId="40" fillId="0" borderId="0" xfId="4" applyFont="1" applyBorder="1" applyAlignment="1">
      <alignment vertical="center"/>
    </xf>
    <xf numFmtId="0" fontId="16" fillId="0" borderId="0" xfId="4" applyFont="1" applyBorder="1"/>
    <xf numFmtId="49" fontId="17" fillId="0" borderId="0" xfId="0" applyNumberFormat="1" applyFont="1" applyFill="1" applyBorder="1" applyAlignment="1">
      <alignment horizontal="left" vertical="center"/>
    </xf>
    <xf numFmtId="179" fontId="7" fillId="0" borderId="18" xfId="3" applyNumberFormat="1" applyFont="1" applyFill="1" applyBorder="1" applyAlignment="1">
      <alignment horizontal="center" vertical="center" wrapText="1"/>
    </xf>
    <xf numFmtId="179" fontId="7" fillId="0" borderId="0" xfId="3" applyNumberFormat="1" applyFont="1" applyFill="1" applyBorder="1" applyAlignment="1">
      <alignment horizontal="center" vertical="center" wrapText="1"/>
    </xf>
    <xf numFmtId="176" fontId="7" fillId="0" borderId="0" xfId="0" applyNumberFormat="1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7" fillId="0" borderId="30" xfId="0" applyFont="1" applyBorder="1" applyAlignment="1">
      <alignment vertical="center"/>
    </xf>
    <xf numFmtId="0" fontId="7" fillId="0" borderId="0" xfId="4" applyFont="1" applyAlignment="1">
      <alignment vertical="center"/>
    </xf>
    <xf numFmtId="0" fontId="30" fillId="0" borderId="0" xfId="0" applyFont="1" applyAlignment="1">
      <alignment vertical="center"/>
    </xf>
    <xf numFmtId="49" fontId="20" fillId="2" borderId="8" xfId="8" applyNumberFormat="1" applyFont="1" applyFill="1" applyBorder="1" applyAlignment="1">
      <alignment horizontal="left" vertical="center"/>
    </xf>
    <xf numFmtId="49" fontId="11" fillId="0" borderId="3" xfId="8" applyNumberFormat="1" applyFont="1" applyBorder="1" applyAlignment="1">
      <alignment horizontal="left" vertical="center"/>
    </xf>
    <xf numFmtId="49" fontId="11" fillId="0" borderId="4" xfId="8" applyNumberFormat="1" applyFont="1" applyBorder="1" applyAlignment="1">
      <alignment horizontal="left" vertical="center"/>
    </xf>
    <xf numFmtId="0" fontId="9" fillId="0" borderId="10" xfId="0" applyFont="1" applyBorder="1" applyAlignment="1">
      <alignment horizontal="left" vertical="top"/>
    </xf>
    <xf numFmtId="180" fontId="36" fillId="0" borderId="21" xfId="9" applyNumberFormat="1" applyFont="1" applyFill="1" applyBorder="1" applyAlignment="1">
      <alignment horizontal="center" vertical="center" wrapText="1"/>
    </xf>
    <xf numFmtId="180" fontId="30" fillId="0" borderId="19" xfId="9" applyNumberFormat="1" applyFont="1" applyFill="1" applyBorder="1" applyAlignment="1">
      <alignment horizontal="center" vertical="center" wrapText="1"/>
    </xf>
    <xf numFmtId="180" fontId="30" fillId="0" borderId="20" xfId="9" applyNumberFormat="1" applyFont="1" applyFill="1" applyBorder="1" applyAlignment="1">
      <alignment horizontal="center" vertical="center" wrapText="1"/>
    </xf>
    <xf numFmtId="0" fontId="7" fillId="0" borderId="22" xfId="1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180" fontId="30" fillId="0" borderId="21" xfId="9" applyNumberFormat="1" applyFont="1" applyFill="1" applyBorder="1" applyAlignment="1">
      <alignment horizontal="center" vertical="center" wrapText="1"/>
    </xf>
    <xf numFmtId="0" fontId="14" fillId="0" borderId="8" xfId="6" applyFont="1" applyFill="1" applyBorder="1" applyAlignment="1">
      <alignment horizontal="center" vertical="center" wrapText="1"/>
    </xf>
    <xf numFmtId="0" fontId="14" fillId="0" borderId="4" xfId="6" applyFont="1" applyFill="1" applyBorder="1" applyAlignment="1">
      <alignment horizontal="center" vertical="center" wrapText="1"/>
    </xf>
    <xf numFmtId="0" fontId="14" fillId="0" borderId="11" xfId="6" applyFont="1" applyFill="1" applyBorder="1" applyAlignment="1">
      <alignment horizontal="center" vertical="center" wrapText="1"/>
    </xf>
    <xf numFmtId="0" fontId="14" fillId="0" borderId="5" xfId="6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left" vertical="top" wrapText="1"/>
    </xf>
    <xf numFmtId="0" fontId="11" fillId="0" borderId="12" xfId="6" applyFont="1" applyBorder="1" applyAlignment="1">
      <alignment horizontal="center" vertical="center" wrapText="1"/>
    </xf>
    <xf numFmtId="0" fontId="11" fillId="0" borderId="14" xfId="6" applyFont="1" applyBorder="1" applyAlignment="1">
      <alignment horizontal="center" vertical="center" wrapText="1"/>
    </xf>
    <xf numFmtId="0" fontId="14" fillId="0" borderId="12" xfId="6" applyFont="1" applyFill="1" applyBorder="1" applyAlignment="1">
      <alignment horizontal="center" vertical="center" wrapText="1"/>
    </xf>
    <xf numFmtId="0" fontId="14" fillId="0" borderId="14" xfId="6" applyFont="1" applyFill="1" applyBorder="1" applyAlignment="1">
      <alignment horizontal="center" vertical="center" wrapText="1"/>
    </xf>
    <xf numFmtId="0" fontId="14" fillId="0" borderId="16" xfId="6" applyFont="1" applyFill="1" applyBorder="1" applyAlignment="1">
      <alignment horizontal="center" vertical="center" wrapText="1"/>
    </xf>
    <xf numFmtId="0" fontId="14" fillId="0" borderId="17" xfId="6" applyFont="1" applyFill="1" applyBorder="1" applyAlignment="1">
      <alignment horizontal="center" vertical="center" wrapText="1"/>
    </xf>
    <xf numFmtId="0" fontId="11" fillId="0" borderId="7" xfId="4" applyFont="1" applyBorder="1" applyAlignment="1">
      <alignment horizontal="center" vertical="center"/>
    </xf>
    <xf numFmtId="0" fontId="14" fillId="0" borderId="7" xfId="6" applyFont="1" applyBorder="1" applyAlignment="1">
      <alignment horizontal="center" vertical="center"/>
    </xf>
    <xf numFmtId="0" fontId="14" fillId="0" borderId="6" xfId="6" applyFont="1" applyBorder="1" applyAlignment="1">
      <alignment horizontal="center" vertical="center"/>
    </xf>
    <xf numFmtId="0" fontId="14" fillId="0" borderId="2" xfId="6" applyFont="1" applyFill="1" applyBorder="1" applyAlignment="1">
      <alignment horizontal="center" vertical="center" wrapText="1"/>
    </xf>
    <xf numFmtId="0" fontId="14" fillId="0" borderId="7" xfId="6" applyFont="1" applyFill="1" applyBorder="1" applyAlignment="1">
      <alignment horizontal="center" vertical="center" wrapText="1"/>
    </xf>
    <xf numFmtId="0" fontId="14" fillId="0" borderId="6" xfId="6" applyFont="1" applyFill="1" applyBorder="1" applyAlignment="1">
      <alignment horizontal="center" vertical="center" wrapText="1"/>
    </xf>
    <xf numFmtId="0" fontId="14" fillId="0" borderId="15" xfId="6" applyFont="1" applyFill="1" applyBorder="1" applyAlignment="1">
      <alignment horizontal="center" vertical="center" wrapText="1"/>
    </xf>
    <xf numFmtId="0" fontId="11" fillId="0" borderId="8" xfId="4" applyFont="1" applyBorder="1" applyAlignment="1">
      <alignment horizontal="center" vertical="center" wrapText="1"/>
    </xf>
    <xf numFmtId="0" fontId="11" fillId="0" borderId="4" xfId="4" applyFont="1" applyBorder="1" applyAlignment="1">
      <alignment horizontal="center" vertical="center"/>
    </xf>
    <xf numFmtId="0" fontId="11" fillId="0" borderId="11" xfId="4" applyFont="1" applyBorder="1" applyAlignment="1">
      <alignment horizontal="center" vertical="center" wrapText="1"/>
    </xf>
    <xf numFmtId="0" fontId="11" fillId="0" borderId="5" xfId="4" applyFont="1" applyBorder="1" applyAlignment="1">
      <alignment horizontal="center" vertical="center"/>
    </xf>
    <xf numFmtId="0" fontId="14" fillId="0" borderId="12" xfId="4" applyFont="1" applyBorder="1" applyAlignment="1">
      <alignment horizontal="center" vertical="center" wrapText="1"/>
    </xf>
    <xf numFmtId="0" fontId="14" fillId="0" borderId="13" xfId="4" applyFont="1" applyBorder="1" applyAlignment="1">
      <alignment horizontal="center" vertical="center" wrapText="1"/>
    </xf>
    <xf numFmtId="0" fontId="14" fillId="0" borderId="14" xfId="4" applyFont="1" applyBorder="1" applyAlignment="1">
      <alignment horizontal="center" vertical="center" wrapText="1"/>
    </xf>
    <xf numFmtId="0" fontId="11" fillId="0" borderId="15" xfId="4" applyFont="1" applyBorder="1" applyAlignment="1">
      <alignment horizontal="center" vertical="center"/>
    </xf>
    <xf numFmtId="0" fontId="12" fillId="0" borderId="12" xfId="4" applyFont="1" applyBorder="1" applyAlignment="1">
      <alignment horizontal="center" vertical="center" wrapText="1"/>
    </xf>
    <xf numFmtId="0" fontId="12" fillId="0" borderId="13" xfId="4" applyFont="1" applyBorder="1" applyAlignment="1">
      <alignment horizontal="center" vertical="center"/>
    </xf>
    <xf numFmtId="0" fontId="12" fillId="0" borderId="14" xfId="4" applyFont="1" applyBorder="1" applyAlignment="1">
      <alignment horizontal="center" vertical="center"/>
    </xf>
    <xf numFmtId="0" fontId="12" fillId="0" borderId="2" xfId="4" applyFont="1" applyFill="1" applyBorder="1" applyAlignment="1">
      <alignment horizontal="center" vertical="center"/>
    </xf>
    <xf numFmtId="0" fontId="12" fillId="0" borderId="7" xfId="4" applyFont="1" applyBorder="1" applyAlignment="1">
      <alignment horizontal="center" vertical="center"/>
    </xf>
    <xf numFmtId="0" fontId="12" fillId="0" borderId="6" xfId="4" applyFont="1" applyBorder="1" applyAlignment="1">
      <alignment horizontal="center" vertical="center"/>
    </xf>
    <xf numFmtId="0" fontId="14" fillId="0" borderId="2" xfId="4" applyFont="1" applyFill="1" applyBorder="1" applyAlignment="1">
      <alignment horizontal="center" vertical="center" wrapText="1"/>
    </xf>
    <xf numFmtId="0" fontId="14" fillId="0" borderId="7" xfId="4" applyFont="1" applyFill="1" applyBorder="1" applyAlignment="1">
      <alignment horizontal="center" vertical="center" wrapText="1"/>
    </xf>
    <xf numFmtId="0" fontId="14" fillId="0" borderId="6" xfId="4" applyFont="1" applyFill="1" applyBorder="1" applyAlignment="1">
      <alignment horizontal="center" vertical="center" wrapText="1"/>
    </xf>
    <xf numFmtId="49" fontId="11" fillId="3" borderId="3" xfId="5" applyNumberFormat="1" applyFont="1" applyFill="1" applyBorder="1" applyAlignment="1">
      <alignment horizontal="center" vertical="center"/>
    </xf>
    <xf numFmtId="49" fontId="11" fillId="3" borderId="4" xfId="5" applyNumberFormat="1" applyFont="1" applyFill="1" applyBorder="1" applyAlignment="1">
      <alignment horizontal="center" vertical="center"/>
    </xf>
    <xf numFmtId="49" fontId="11" fillId="0" borderId="3" xfId="8" applyNumberFormat="1" applyFont="1" applyBorder="1" applyAlignment="1">
      <alignment horizontal="center" vertical="center" wrapText="1"/>
    </xf>
    <xf numFmtId="49" fontId="11" fillId="0" borderId="4" xfId="8" applyNumberFormat="1" applyFont="1" applyBorder="1" applyAlignment="1">
      <alignment horizontal="center" vertical="center" wrapText="1"/>
    </xf>
    <xf numFmtId="0" fontId="11" fillId="0" borderId="10" xfId="4" applyFont="1" applyBorder="1" applyAlignment="1">
      <alignment horizontal="center" vertical="center" wrapText="1"/>
    </xf>
    <xf numFmtId="0" fontId="11" fillId="0" borderId="12" xfId="4" applyFont="1" applyBorder="1" applyAlignment="1">
      <alignment horizontal="center" vertical="center" wrapText="1"/>
    </xf>
    <xf numFmtId="0" fontId="11" fillId="0" borderId="0" xfId="4" applyFont="1" applyBorder="1" applyAlignment="1">
      <alignment horizontal="center" vertical="center" wrapText="1"/>
    </xf>
    <xf numFmtId="0" fontId="11" fillId="0" borderId="13" xfId="4" applyFont="1" applyBorder="1" applyAlignment="1">
      <alignment horizontal="center" vertical="center" wrapText="1"/>
    </xf>
    <xf numFmtId="0" fontId="11" fillId="0" borderId="9" xfId="4" applyFont="1" applyBorder="1" applyAlignment="1">
      <alignment horizontal="center" vertical="center" wrapText="1"/>
    </xf>
    <xf numFmtId="0" fontId="11" fillId="0" borderId="14" xfId="4" applyFont="1" applyBorder="1" applyAlignment="1">
      <alignment horizontal="center" vertical="center" wrapText="1"/>
    </xf>
    <xf numFmtId="0" fontId="11" fillId="0" borderId="12" xfId="4" applyFont="1" applyBorder="1" applyAlignment="1">
      <alignment horizontal="center" vertical="center"/>
    </xf>
    <xf numFmtId="0" fontId="11" fillId="0" borderId="0" xfId="4" applyFont="1" applyBorder="1" applyAlignment="1">
      <alignment horizontal="center" vertical="center"/>
    </xf>
    <xf numFmtId="0" fontId="11" fillId="0" borderId="13" xfId="4" applyFont="1" applyBorder="1" applyAlignment="1">
      <alignment horizontal="center" vertical="center"/>
    </xf>
    <xf numFmtId="0" fontId="11" fillId="0" borderId="9" xfId="4" applyFont="1" applyBorder="1" applyAlignment="1">
      <alignment horizontal="center" vertical="center"/>
    </xf>
    <xf numFmtId="0" fontId="11" fillId="0" borderId="14" xfId="4" applyFont="1" applyBorder="1" applyAlignment="1">
      <alignment horizontal="center" vertical="center"/>
    </xf>
    <xf numFmtId="0" fontId="11" fillId="0" borderId="2" xfId="4" applyFont="1" applyFill="1" applyBorder="1" applyAlignment="1">
      <alignment horizontal="center" vertical="center"/>
    </xf>
    <xf numFmtId="0" fontId="11" fillId="0" borderId="6" xfId="4" applyFont="1" applyBorder="1" applyAlignment="1">
      <alignment horizontal="center" vertical="center"/>
    </xf>
    <xf numFmtId="0" fontId="11" fillId="0" borderId="2" xfId="4" applyFont="1" applyFill="1" applyBorder="1" applyAlignment="1">
      <alignment horizontal="center" vertical="center" wrapText="1"/>
    </xf>
    <xf numFmtId="0" fontId="11" fillId="0" borderId="6" xfId="4" applyFont="1" applyFill="1" applyBorder="1" applyAlignment="1">
      <alignment horizontal="center" vertical="center"/>
    </xf>
    <xf numFmtId="0" fontId="16" fillId="0" borderId="11" xfId="4" applyFont="1" applyBorder="1" applyAlignment="1">
      <alignment horizontal="center" vertical="center" wrapText="1"/>
    </xf>
    <xf numFmtId="0" fontId="16" fillId="0" borderId="5" xfId="4" applyFont="1" applyBorder="1" applyAlignment="1">
      <alignment horizontal="center" vertical="center"/>
    </xf>
    <xf numFmtId="0" fontId="16" fillId="0" borderId="8" xfId="4" applyFont="1" applyBorder="1" applyAlignment="1">
      <alignment horizontal="center" vertical="center" wrapText="1"/>
    </xf>
    <xf numFmtId="0" fontId="16" fillId="0" borderId="4" xfId="4" applyFont="1" applyBorder="1" applyAlignment="1">
      <alignment horizontal="center" vertical="center"/>
    </xf>
    <xf numFmtId="0" fontId="0" fillId="0" borderId="2" xfId="4" applyFont="1" applyFill="1" applyBorder="1" applyAlignment="1">
      <alignment horizontal="center" vertical="center" wrapText="1"/>
    </xf>
    <xf numFmtId="0" fontId="12" fillId="0" borderId="6" xfId="4" applyFont="1" applyFill="1" applyBorder="1" applyAlignment="1">
      <alignment horizontal="center" vertical="center"/>
    </xf>
    <xf numFmtId="0" fontId="11" fillId="0" borderId="9" xfId="4" applyFont="1" applyBorder="1" applyAlignment="1">
      <alignment horizontal="left" wrapText="1"/>
    </xf>
  </cellXfs>
  <cellStyles count="10">
    <cellStyle name="一般" xfId="0" builtinId="0"/>
    <cellStyle name="一般 2" xfId="1"/>
    <cellStyle name="一般 2 2" xfId="2"/>
    <cellStyle name="一般 3" xfId="5"/>
    <cellStyle name="一般 3 2" xfId="6"/>
    <cellStyle name="一般_moi04-05" xfId="9"/>
    <cellStyle name="一般_Sheet1" xfId="8"/>
    <cellStyle name="一般_十年長照上網" xfId="4"/>
    <cellStyle name="千分位" xfId="3" builtinId="3"/>
    <cellStyle name="千分位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17"/>
  <sheetViews>
    <sheetView tabSelected="1" zoomScale="80" zoomScaleNormal="80" zoomScaleSheetLayoutView="9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A29" sqref="A29"/>
    </sheetView>
  </sheetViews>
  <sheetFormatPr defaultColWidth="9" defaultRowHeight="15.75"/>
  <cols>
    <col min="1" max="1" width="16.25" style="74" customWidth="1"/>
    <col min="2" max="4" width="10.25" style="74" customWidth="1"/>
    <col min="5" max="25" width="8.5" style="74" customWidth="1"/>
    <col min="26" max="16384" width="9" style="74"/>
  </cols>
  <sheetData>
    <row r="1" spans="1:33" s="64" customFormat="1" ht="27" customHeight="1">
      <c r="A1" s="128" t="s">
        <v>177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</row>
    <row r="2" spans="1:33" s="64" customFormat="1" ht="18" customHeight="1">
      <c r="A2" s="71" t="s">
        <v>166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</row>
    <row r="3" spans="1:33" s="73" customFormat="1" ht="18" customHeight="1" thickBot="1">
      <c r="A3" s="80" t="s">
        <v>242</v>
      </c>
      <c r="B3" s="81"/>
      <c r="C3" s="81"/>
      <c r="D3" s="81"/>
      <c r="E3" s="81"/>
      <c r="F3" s="81"/>
      <c r="G3" s="81"/>
      <c r="H3" s="81"/>
      <c r="I3" s="81"/>
      <c r="J3" s="72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72"/>
      <c r="Z3" s="72"/>
      <c r="AA3" s="64"/>
      <c r="AB3" s="64"/>
      <c r="AC3" s="64"/>
      <c r="AD3" s="64"/>
      <c r="AE3" s="64"/>
      <c r="AF3" s="64"/>
      <c r="AG3" s="64"/>
    </row>
    <row r="4" spans="1:33" ht="21.75" customHeight="1">
      <c r="A4" s="129" t="s">
        <v>209</v>
      </c>
      <c r="B4" s="132" t="s">
        <v>243</v>
      </c>
      <c r="C4" s="133"/>
      <c r="D4" s="133"/>
      <c r="E4" s="133"/>
      <c r="F4" s="133"/>
      <c r="G4" s="133"/>
      <c r="H4" s="133"/>
      <c r="I4" s="133"/>
      <c r="J4" s="134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4"/>
      <c r="AA4" s="64"/>
      <c r="AB4" s="64"/>
      <c r="AC4" s="64"/>
      <c r="AD4" s="64"/>
      <c r="AE4" s="64"/>
      <c r="AF4" s="64"/>
      <c r="AG4" s="64"/>
    </row>
    <row r="5" spans="1:33" ht="21.75" customHeight="1">
      <c r="A5" s="130"/>
      <c r="B5" s="135" t="s">
        <v>185</v>
      </c>
      <c r="C5" s="135"/>
      <c r="D5" s="136"/>
      <c r="E5" s="137" t="s">
        <v>201</v>
      </c>
      <c r="F5" s="137"/>
      <c r="G5" s="137"/>
      <c r="H5" s="137" t="s">
        <v>202</v>
      </c>
      <c r="I5" s="137"/>
      <c r="J5" s="138"/>
      <c r="K5" s="137" t="s">
        <v>203</v>
      </c>
      <c r="L5" s="137"/>
      <c r="M5" s="137"/>
      <c r="N5" s="137" t="s">
        <v>204</v>
      </c>
      <c r="O5" s="137"/>
      <c r="P5" s="137"/>
      <c r="Q5" s="137" t="s">
        <v>205</v>
      </c>
      <c r="R5" s="137"/>
      <c r="S5" s="137"/>
      <c r="T5" s="137" t="s">
        <v>206</v>
      </c>
      <c r="U5" s="137"/>
      <c r="V5" s="137"/>
      <c r="W5" s="137" t="s">
        <v>207</v>
      </c>
      <c r="X5" s="137"/>
      <c r="Y5" s="138"/>
      <c r="AA5" s="64"/>
      <c r="AB5" s="64"/>
      <c r="AC5" s="64"/>
      <c r="AD5" s="64"/>
      <c r="AE5" s="64"/>
      <c r="AF5" s="64"/>
      <c r="AG5" s="64"/>
    </row>
    <row r="6" spans="1:33" ht="40.15" customHeight="1" thickBot="1">
      <c r="A6" s="131"/>
      <c r="B6" s="84" t="s">
        <v>170</v>
      </c>
      <c r="C6" s="85" t="s">
        <v>171</v>
      </c>
      <c r="D6" s="85" t="s">
        <v>172</v>
      </c>
      <c r="E6" s="86" t="s">
        <v>170</v>
      </c>
      <c r="F6" s="85" t="s">
        <v>171</v>
      </c>
      <c r="G6" s="85" t="s">
        <v>172</v>
      </c>
      <c r="H6" s="86" t="s">
        <v>170</v>
      </c>
      <c r="I6" s="85" t="s">
        <v>171</v>
      </c>
      <c r="J6" s="85" t="s">
        <v>172</v>
      </c>
      <c r="K6" s="86" t="s">
        <v>170</v>
      </c>
      <c r="L6" s="85" t="s">
        <v>171</v>
      </c>
      <c r="M6" s="85" t="s">
        <v>172</v>
      </c>
      <c r="N6" s="86" t="s">
        <v>170</v>
      </c>
      <c r="O6" s="85" t="s">
        <v>171</v>
      </c>
      <c r="P6" s="85" t="s">
        <v>172</v>
      </c>
      <c r="Q6" s="86" t="s">
        <v>170</v>
      </c>
      <c r="R6" s="85" t="s">
        <v>171</v>
      </c>
      <c r="S6" s="85" t="s">
        <v>172</v>
      </c>
      <c r="T6" s="86" t="s">
        <v>170</v>
      </c>
      <c r="U6" s="85" t="s">
        <v>171</v>
      </c>
      <c r="V6" s="85" t="s">
        <v>172</v>
      </c>
      <c r="W6" s="86" t="s">
        <v>170</v>
      </c>
      <c r="X6" s="85" t="s">
        <v>171</v>
      </c>
      <c r="Y6" s="87" t="s">
        <v>172</v>
      </c>
      <c r="AA6" s="64"/>
      <c r="AB6" s="64"/>
      <c r="AC6" s="64"/>
      <c r="AD6" s="64"/>
      <c r="AE6" s="64"/>
      <c r="AF6" s="64"/>
      <c r="AG6" s="64"/>
    </row>
    <row r="7" spans="1:33" s="75" customFormat="1" ht="21" customHeight="1">
      <c r="A7" s="93" t="s">
        <v>210</v>
      </c>
      <c r="B7" s="66">
        <f>'110'!B7</f>
        <v>144412</v>
      </c>
      <c r="C7" s="67">
        <f>'110'!C7</f>
        <v>67657</v>
      </c>
      <c r="D7" s="67">
        <f>'110'!D7</f>
        <v>76755</v>
      </c>
      <c r="E7" s="67">
        <f>'110'!E7</f>
        <v>3288</v>
      </c>
      <c r="F7" s="67">
        <f>'110'!F7</f>
        <v>1339</v>
      </c>
      <c r="G7" s="67">
        <f>'110'!G7</f>
        <v>1949</v>
      </c>
      <c r="H7" s="67">
        <f>'110'!H7</f>
        <v>4248</v>
      </c>
      <c r="I7" s="67">
        <f>'110'!I7</f>
        <v>1810</v>
      </c>
      <c r="J7" s="67">
        <f>'110'!J7</f>
        <v>2438</v>
      </c>
      <c r="K7" s="67">
        <f>'110'!K7</f>
        <v>33852</v>
      </c>
      <c r="L7" s="67">
        <f>'110'!L7</f>
        <v>15356</v>
      </c>
      <c r="M7" s="67">
        <f>'110'!M7</f>
        <v>18496</v>
      </c>
      <c r="N7" s="67">
        <f>'110'!N7</f>
        <v>28711</v>
      </c>
      <c r="O7" s="67">
        <f>'110'!O7</f>
        <v>14167</v>
      </c>
      <c r="P7" s="67">
        <f>'110'!P7</f>
        <v>14544</v>
      </c>
      <c r="Q7" s="67">
        <f>'110'!Q7</f>
        <v>20468</v>
      </c>
      <c r="R7" s="67">
        <f>'110'!R7</f>
        <v>9671</v>
      </c>
      <c r="S7" s="67">
        <f>'110'!S7</f>
        <v>10797</v>
      </c>
      <c r="T7" s="67">
        <f>'110'!T7</f>
        <v>24230</v>
      </c>
      <c r="U7" s="67">
        <f>'110'!U7</f>
        <v>11304</v>
      </c>
      <c r="V7" s="67">
        <f>'110'!V7</f>
        <v>12926</v>
      </c>
      <c r="W7" s="67">
        <f>'110'!W7</f>
        <v>29615</v>
      </c>
      <c r="X7" s="67">
        <f>'110'!X7</f>
        <v>14010</v>
      </c>
      <c r="Y7" s="67">
        <f>'110'!Y7</f>
        <v>15605</v>
      </c>
      <c r="AA7" s="64"/>
      <c r="AB7" s="64"/>
      <c r="AC7" s="64"/>
      <c r="AD7" s="64"/>
      <c r="AE7" s="64"/>
      <c r="AF7" s="64"/>
      <c r="AG7" s="64"/>
    </row>
    <row r="8" spans="1:33" s="76" customFormat="1" ht="21" customHeight="1">
      <c r="A8" s="93" t="s">
        <v>233</v>
      </c>
      <c r="B8" s="66">
        <f>'111'!B7</f>
        <v>204157</v>
      </c>
      <c r="C8" s="67">
        <f>'111'!C7</f>
        <v>91802</v>
      </c>
      <c r="D8" s="67">
        <f>'111'!D7</f>
        <v>112355</v>
      </c>
      <c r="E8" s="67">
        <f>'111'!E7</f>
        <v>23093</v>
      </c>
      <c r="F8" s="67">
        <f>'111'!F7</f>
        <v>8857</v>
      </c>
      <c r="G8" s="67">
        <f>'111'!G7</f>
        <v>14236</v>
      </c>
      <c r="H8" s="67">
        <f>'111'!H7</f>
        <v>27722</v>
      </c>
      <c r="I8" s="67">
        <f>'111'!I7</f>
        <v>11603</v>
      </c>
      <c r="J8" s="67">
        <f>'111'!J7</f>
        <v>16119</v>
      </c>
      <c r="K8" s="67">
        <f>'111'!K7</f>
        <v>39652</v>
      </c>
      <c r="L8" s="67">
        <f>'111'!L7</f>
        <v>17601</v>
      </c>
      <c r="M8" s="67">
        <f>'111'!M7</f>
        <v>22051</v>
      </c>
      <c r="N8" s="67">
        <f>'111'!N7</f>
        <v>32425</v>
      </c>
      <c r="O8" s="67">
        <f>'111'!O7</f>
        <v>15828</v>
      </c>
      <c r="P8" s="67">
        <f>'111'!P7</f>
        <v>16597</v>
      </c>
      <c r="Q8" s="67">
        <f>'111'!Q7</f>
        <v>22137</v>
      </c>
      <c r="R8" s="67">
        <f>'111'!R7</f>
        <v>10442</v>
      </c>
      <c r="S8" s="67">
        <f>'111'!S7</f>
        <v>11695</v>
      </c>
      <c r="T8" s="67">
        <f>'111'!T7</f>
        <v>27001</v>
      </c>
      <c r="U8" s="67">
        <f>'111'!U7</f>
        <v>12477</v>
      </c>
      <c r="V8" s="67">
        <f>'111'!V7</f>
        <v>14524</v>
      </c>
      <c r="W8" s="67">
        <f>'111'!W7</f>
        <v>32127</v>
      </c>
      <c r="X8" s="67">
        <f>'111'!X7</f>
        <v>14994</v>
      </c>
      <c r="Y8" s="67">
        <f>'111'!Y7</f>
        <v>17133</v>
      </c>
      <c r="AA8" s="64"/>
      <c r="AB8" s="64"/>
      <c r="AC8" s="64"/>
      <c r="AD8" s="64"/>
      <c r="AE8" s="64"/>
      <c r="AF8" s="64"/>
      <c r="AG8" s="64"/>
    </row>
    <row r="9" spans="1:33" s="76" customFormat="1" ht="21" customHeight="1">
      <c r="A9" s="93" t="s">
        <v>237</v>
      </c>
      <c r="B9" s="66">
        <f>'112'!B7</f>
        <v>245363</v>
      </c>
      <c r="C9" s="67">
        <f>'112'!C7</f>
        <v>108291</v>
      </c>
      <c r="D9" s="67">
        <f>'112'!D7</f>
        <v>137072</v>
      </c>
      <c r="E9" s="67">
        <f>'112'!E7</f>
        <v>34669</v>
      </c>
      <c r="F9" s="67">
        <f>'112'!F7</f>
        <v>13276</v>
      </c>
      <c r="G9" s="67">
        <f>'112'!G7</f>
        <v>21393</v>
      </c>
      <c r="H9" s="67">
        <f>'112'!H7</f>
        <v>39525</v>
      </c>
      <c r="I9" s="67">
        <f>'112'!I7</f>
        <v>16393</v>
      </c>
      <c r="J9" s="67">
        <f>'112'!J7</f>
        <v>23132</v>
      </c>
      <c r="K9" s="67">
        <f>'112'!K7</f>
        <v>47536</v>
      </c>
      <c r="L9" s="67">
        <f>'112'!L7</f>
        <v>21002</v>
      </c>
      <c r="M9" s="67">
        <f>'112'!M7</f>
        <v>26534</v>
      </c>
      <c r="N9" s="67">
        <f>'112'!N7</f>
        <v>36707</v>
      </c>
      <c r="O9" s="67">
        <f>'112'!O7</f>
        <v>17713</v>
      </c>
      <c r="P9" s="67">
        <f>'112'!P7</f>
        <v>18994</v>
      </c>
      <c r="Q9" s="67">
        <f>'112'!Q7</f>
        <v>23194</v>
      </c>
      <c r="R9" s="67">
        <f>'112'!R7</f>
        <v>10681</v>
      </c>
      <c r="S9" s="67">
        <f>'112'!S7</f>
        <v>12513</v>
      </c>
      <c r="T9" s="67">
        <f>'112'!T7</f>
        <v>29406</v>
      </c>
      <c r="U9" s="67">
        <f>'112'!U7</f>
        <v>13491</v>
      </c>
      <c r="V9" s="67">
        <f>'112'!V7</f>
        <v>15915</v>
      </c>
      <c r="W9" s="67">
        <f>'112'!W7</f>
        <v>34326</v>
      </c>
      <c r="X9" s="67">
        <f>'112'!X7</f>
        <v>15735</v>
      </c>
      <c r="Y9" s="67">
        <f>'112'!Y7</f>
        <v>18591</v>
      </c>
      <c r="AA9" s="64"/>
      <c r="AB9" s="64"/>
      <c r="AC9" s="64"/>
      <c r="AD9" s="64"/>
      <c r="AE9" s="64"/>
      <c r="AF9" s="64"/>
      <c r="AG9" s="64"/>
    </row>
    <row r="10" spans="1:33" s="76" customFormat="1" ht="21" customHeight="1" thickBot="1">
      <c r="A10" s="94" t="s">
        <v>238</v>
      </c>
      <c r="B10" s="83">
        <f>'113'!B7</f>
        <v>256647</v>
      </c>
      <c r="C10" s="83">
        <f>'113'!C7</f>
        <v>112132</v>
      </c>
      <c r="D10" s="83">
        <f>'113'!D7</f>
        <v>144515</v>
      </c>
      <c r="E10" s="83">
        <f>'113'!E7</f>
        <v>39912</v>
      </c>
      <c r="F10" s="83">
        <f>'113'!F7</f>
        <v>15110</v>
      </c>
      <c r="G10" s="83">
        <f>'113'!G7</f>
        <v>24802</v>
      </c>
      <c r="H10" s="83">
        <f>'113'!H7</f>
        <v>45209</v>
      </c>
      <c r="I10" s="83">
        <f>'113'!I7</f>
        <v>18743</v>
      </c>
      <c r="J10" s="83">
        <f>'113'!J7</f>
        <v>26466</v>
      </c>
      <c r="K10" s="83">
        <f>'113'!K7</f>
        <v>50887</v>
      </c>
      <c r="L10" s="83">
        <f>'113'!L7</f>
        <v>22267</v>
      </c>
      <c r="M10" s="83">
        <f>'113'!M7</f>
        <v>28620</v>
      </c>
      <c r="N10" s="83">
        <f>'113'!N7</f>
        <v>37048</v>
      </c>
      <c r="O10" s="83">
        <f>'113'!O7</f>
        <v>17788</v>
      </c>
      <c r="P10" s="83">
        <f>'113'!P7</f>
        <v>19260</v>
      </c>
      <c r="Q10" s="83">
        <f>'113'!Q7</f>
        <v>22564</v>
      </c>
      <c r="R10" s="83">
        <f>'113'!R7</f>
        <v>10385</v>
      </c>
      <c r="S10" s="83">
        <f>'113'!S7</f>
        <v>12179</v>
      </c>
      <c r="T10" s="83">
        <f>'113'!T7</f>
        <v>28366</v>
      </c>
      <c r="U10" s="83">
        <f>'113'!U7</f>
        <v>12872</v>
      </c>
      <c r="V10" s="83">
        <f>'113'!V7</f>
        <v>15494</v>
      </c>
      <c r="W10" s="83">
        <f>'113'!W7</f>
        <v>32661</v>
      </c>
      <c r="X10" s="83">
        <f>'113'!X7</f>
        <v>14967</v>
      </c>
      <c r="Y10" s="83">
        <f>'113'!Y7</f>
        <v>17694</v>
      </c>
      <c r="AA10" s="64"/>
      <c r="AB10" s="64"/>
      <c r="AC10" s="64"/>
      <c r="AD10" s="64"/>
      <c r="AE10" s="64"/>
      <c r="AF10" s="64"/>
      <c r="AG10" s="64"/>
    </row>
    <row r="11" spans="1:33" ht="16.5">
      <c r="A11" s="122" t="s">
        <v>231</v>
      </c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</row>
    <row r="12" spans="1:33">
      <c r="A12" s="123" t="s">
        <v>168</v>
      </c>
    </row>
    <row r="13" spans="1:33" ht="16.5">
      <c r="A13" s="123" t="s">
        <v>232</v>
      </c>
    </row>
    <row r="14" spans="1:33" ht="16.5">
      <c r="A14" s="123" t="s">
        <v>234</v>
      </c>
    </row>
    <row r="15" spans="1:33" ht="16.5">
      <c r="A15" s="123" t="s">
        <v>235</v>
      </c>
    </row>
    <row r="17" spans="1:1" ht="16.5">
      <c r="A17" s="124" t="s">
        <v>239</v>
      </c>
    </row>
  </sheetData>
  <mergeCells count="10">
    <mergeCell ref="A4:A6"/>
    <mergeCell ref="B4:Y4"/>
    <mergeCell ref="B5:D5"/>
    <mergeCell ref="E5:G5"/>
    <mergeCell ref="H5:J5"/>
    <mergeCell ref="K5:M5"/>
    <mergeCell ref="N5:P5"/>
    <mergeCell ref="Q5:S5"/>
    <mergeCell ref="T5:V5"/>
    <mergeCell ref="W5:Y5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4"/>
  <sheetViews>
    <sheetView zoomScale="80" zoomScaleNormal="80" zoomScaleSheetLayoutView="90" workbookViewId="0">
      <pane xSplit="2" ySplit="7" topLeftCell="C24" activePane="bottomRight" state="frozen"/>
      <selection pane="topRight" activeCell="C1" sqref="C1"/>
      <selection pane="bottomLeft" activeCell="A8" sqref="A8"/>
      <selection pane="bottomRight" activeCell="C39" sqref="C39"/>
    </sheetView>
  </sheetViews>
  <sheetFormatPr defaultColWidth="9" defaultRowHeight="15.75"/>
  <cols>
    <col min="1" max="1" width="33.875" style="74" customWidth="1"/>
    <col min="2" max="4" width="10.25" style="74" customWidth="1"/>
    <col min="5" max="25" width="8.5" style="74" customWidth="1"/>
    <col min="26" max="27" width="9" style="74"/>
    <col min="28" max="28" width="11.875" style="74" bestFit="1" customWidth="1"/>
    <col min="29" max="16384" width="9" style="74"/>
  </cols>
  <sheetData>
    <row r="1" spans="1:33" s="64" customFormat="1" ht="27" customHeight="1">
      <c r="A1" s="70" t="s">
        <v>177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</row>
    <row r="2" spans="1:33" s="64" customFormat="1" ht="18" customHeight="1">
      <c r="A2" s="71" t="s">
        <v>166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</row>
    <row r="3" spans="1:33" s="73" customFormat="1" ht="18" customHeight="1" thickBot="1">
      <c r="A3" s="92" t="s">
        <v>240</v>
      </c>
      <c r="B3" s="81"/>
      <c r="C3" s="81"/>
      <c r="D3" s="81"/>
      <c r="E3" s="81"/>
      <c r="F3" s="81"/>
      <c r="G3" s="81"/>
      <c r="H3" s="81"/>
      <c r="I3" s="81"/>
      <c r="J3" s="72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72"/>
      <c r="Z3" s="72"/>
      <c r="AA3" s="64"/>
      <c r="AB3" s="64"/>
      <c r="AC3" s="64"/>
      <c r="AD3" s="64"/>
      <c r="AE3" s="64"/>
      <c r="AF3" s="64"/>
      <c r="AG3" s="64"/>
    </row>
    <row r="4" spans="1:33" ht="21.75" customHeight="1">
      <c r="A4" s="139" t="s">
        <v>173</v>
      </c>
      <c r="B4" s="132" t="s">
        <v>243</v>
      </c>
      <c r="C4" s="133"/>
      <c r="D4" s="133"/>
      <c r="E4" s="133"/>
      <c r="F4" s="133"/>
      <c r="G4" s="133"/>
      <c r="H4" s="133"/>
      <c r="I4" s="133"/>
      <c r="J4" s="134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4"/>
      <c r="AA4" s="64"/>
      <c r="AB4" s="64"/>
      <c r="AC4" s="64"/>
      <c r="AD4" s="64"/>
      <c r="AE4" s="64"/>
      <c r="AF4" s="64"/>
      <c r="AG4" s="64"/>
    </row>
    <row r="5" spans="1:33" ht="21.75" customHeight="1">
      <c r="A5" s="130"/>
      <c r="B5" s="135" t="s">
        <v>185</v>
      </c>
      <c r="C5" s="135"/>
      <c r="D5" s="136"/>
      <c r="E5" s="137" t="s">
        <v>201</v>
      </c>
      <c r="F5" s="137"/>
      <c r="G5" s="137"/>
      <c r="H5" s="137" t="s">
        <v>202</v>
      </c>
      <c r="I5" s="137"/>
      <c r="J5" s="138"/>
      <c r="K5" s="137" t="s">
        <v>203</v>
      </c>
      <c r="L5" s="137"/>
      <c r="M5" s="137"/>
      <c r="N5" s="137" t="s">
        <v>204</v>
      </c>
      <c r="O5" s="137"/>
      <c r="P5" s="137"/>
      <c r="Q5" s="137" t="s">
        <v>205</v>
      </c>
      <c r="R5" s="137"/>
      <c r="S5" s="137"/>
      <c r="T5" s="137" t="s">
        <v>206</v>
      </c>
      <c r="U5" s="137"/>
      <c r="V5" s="137"/>
      <c r="W5" s="137" t="s">
        <v>207</v>
      </c>
      <c r="X5" s="137"/>
      <c r="Y5" s="138"/>
      <c r="AA5" s="64"/>
      <c r="AB5" s="64"/>
      <c r="AC5" s="64"/>
      <c r="AD5" s="64"/>
      <c r="AE5" s="64"/>
      <c r="AF5" s="64"/>
      <c r="AG5" s="64"/>
    </row>
    <row r="6" spans="1:33" ht="40.15" customHeight="1" thickBot="1">
      <c r="A6" s="131"/>
      <c r="B6" s="84" t="s">
        <v>170</v>
      </c>
      <c r="C6" s="85" t="s">
        <v>171</v>
      </c>
      <c r="D6" s="85" t="s">
        <v>172</v>
      </c>
      <c r="E6" s="86" t="s">
        <v>170</v>
      </c>
      <c r="F6" s="85" t="s">
        <v>171</v>
      </c>
      <c r="G6" s="85" t="s">
        <v>172</v>
      </c>
      <c r="H6" s="86" t="s">
        <v>170</v>
      </c>
      <c r="I6" s="85" t="s">
        <v>171</v>
      </c>
      <c r="J6" s="85" t="s">
        <v>172</v>
      </c>
      <c r="K6" s="86" t="s">
        <v>170</v>
      </c>
      <c r="L6" s="85" t="s">
        <v>171</v>
      </c>
      <c r="M6" s="85" t="s">
        <v>172</v>
      </c>
      <c r="N6" s="86" t="s">
        <v>170</v>
      </c>
      <c r="O6" s="85" t="s">
        <v>171</v>
      </c>
      <c r="P6" s="85" t="s">
        <v>172</v>
      </c>
      <c r="Q6" s="86" t="s">
        <v>170</v>
      </c>
      <c r="R6" s="85" t="s">
        <v>171</v>
      </c>
      <c r="S6" s="85" t="s">
        <v>172</v>
      </c>
      <c r="T6" s="86" t="s">
        <v>170</v>
      </c>
      <c r="U6" s="85" t="s">
        <v>171</v>
      </c>
      <c r="V6" s="85" t="s">
        <v>172</v>
      </c>
      <c r="W6" s="86" t="s">
        <v>170</v>
      </c>
      <c r="X6" s="85" t="s">
        <v>171</v>
      </c>
      <c r="Y6" s="87" t="s">
        <v>172</v>
      </c>
      <c r="AA6" s="64"/>
      <c r="AB6" s="64"/>
      <c r="AC6" s="64"/>
      <c r="AD6" s="64"/>
      <c r="AE6" s="64"/>
      <c r="AF6" s="64"/>
      <c r="AG6" s="64"/>
    </row>
    <row r="7" spans="1:33" s="75" customFormat="1" ht="21" customHeight="1">
      <c r="A7" s="79" t="s">
        <v>176</v>
      </c>
      <c r="B7" s="82">
        <v>256647</v>
      </c>
      <c r="C7" s="83">
        <v>112132</v>
      </c>
      <c r="D7" s="83">
        <v>144515</v>
      </c>
      <c r="E7" s="83">
        <v>39912</v>
      </c>
      <c r="F7" s="83">
        <v>15110</v>
      </c>
      <c r="G7" s="83">
        <v>24802</v>
      </c>
      <c r="H7" s="83">
        <v>45209</v>
      </c>
      <c r="I7" s="83">
        <v>18743</v>
      </c>
      <c r="J7" s="83">
        <v>26466</v>
      </c>
      <c r="K7" s="83">
        <v>50887</v>
      </c>
      <c r="L7" s="83">
        <v>22267</v>
      </c>
      <c r="M7" s="83">
        <v>28620</v>
      </c>
      <c r="N7" s="83">
        <v>37048</v>
      </c>
      <c r="O7" s="83">
        <v>17788</v>
      </c>
      <c r="P7" s="83">
        <v>19260</v>
      </c>
      <c r="Q7" s="83">
        <v>22564</v>
      </c>
      <c r="R7" s="83">
        <v>10385</v>
      </c>
      <c r="S7" s="83">
        <v>12179</v>
      </c>
      <c r="T7" s="83">
        <v>28366</v>
      </c>
      <c r="U7" s="83">
        <v>12872</v>
      </c>
      <c r="V7" s="83">
        <v>15494</v>
      </c>
      <c r="W7" s="83">
        <v>32661</v>
      </c>
      <c r="X7" s="83">
        <v>14967</v>
      </c>
      <c r="Y7" s="83">
        <v>17694</v>
      </c>
      <c r="AA7" s="64"/>
      <c r="AB7" s="64"/>
      <c r="AC7" s="64"/>
      <c r="AD7" s="64"/>
      <c r="AE7" s="64"/>
      <c r="AF7" s="64"/>
      <c r="AG7" s="64"/>
    </row>
    <row r="8" spans="1:33" s="76" customFormat="1" ht="21" customHeight="1">
      <c r="A8" s="90" t="s">
        <v>186</v>
      </c>
      <c r="B8" s="66">
        <v>51418</v>
      </c>
      <c r="C8" s="67">
        <v>22198</v>
      </c>
      <c r="D8" s="67">
        <v>29220</v>
      </c>
      <c r="E8" s="67">
        <v>8227</v>
      </c>
      <c r="F8" s="67">
        <v>3071</v>
      </c>
      <c r="G8" s="67">
        <v>5156</v>
      </c>
      <c r="H8" s="67">
        <v>9814</v>
      </c>
      <c r="I8" s="67">
        <v>4031</v>
      </c>
      <c r="J8" s="67">
        <v>5783</v>
      </c>
      <c r="K8" s="67">
        <v>9967</v>
      </c>
      <c r="L8" s="67">
        <v>4366</v>
      </c>
      <c r="M8" s="67">
        <v>5601</v>
      </c>
      <c r="N8" s="67">
        <v>7527</v>
      </c>
      <c r="O8" s="67">
        <v>3565</v>
      </c>
      <c r="P8" s="67">
        <v>3962</v>
      </c>
      <c r="Q8" s="67">
        <v>4663</v>
      </c>
      <c r="R8" s="67">
        <v>2134</v>
      </c>
      <c r="S8" s="67">
        <v>2529</v>
      </c>
      <c r="T8" s="67">
        <v>5325</v>
      </c>
      <c r="U8" s="67">
        <v>2399</v>
      </c>
      <c r="V8" s="67">
        <v>2926</v>
      </c>
      <c r="W8" s="67">
        <v>5895</v>
      </c>
      <c r="X8" s="67">
        <v>2632</v>
      </c>
      <c r="Y8" s="67">
        <v>3263</v>
      </c>
      <c r="AA8" s="64"/>
      <c r="AB8" s="64"/>
      <c r="AC8" s="64"/>
      <c r="AD8" s="64"/>
      <c r="AE8" s="64"/>
      <c r="AF8" s="64"/>
      <c r="AG8" s="64"/>
    </row>
    <row r="9" spans="1:33" s="76" customFormat="1" ht="21" customHeight="1">
      <c r="A9" s="90" t="s">
        <v>187</v>
      </c>
      <c r="B9" s="66">
        <v>40860</v>
      </c>
      <c r="C9" s="67">
        <v>16289</v>
      </c>
      <c r="D9" s="67">
        <v>24571</v>
      </c>
      <c r="E9" s="67">
        <v>4378</v>
      </c>
      <c r="F9" s="67">
        <v>1436</v>
      </c>
      <c r="G9" s="67">
        <v>2942</v>
      </c>
      <c r="H9" s="67">
        <v>6117</v>
      </c>
      <c r="I9" s="67">
        <v>2259</v>
      </c>
      <c r="J9" s="67">
        <v>3858</v>
      </c>
      <c r="K9" s="67">
        <v>8708</v>
      </c>
      <c r="L9" s="67">
        <v>3348</v>
      </c>
      <c r="M9" s="67">
        <v>5360</v>
      </c>
      <c r="N9" s="67">
        <v>5964</v>
      </c>
      <c r="O9" s="67">
        <v>2690</v>
      </c>
      <c r="P9" s="67">
        <v>3274</v>
      </c>
      <c r="Q9" s="67">
        <v>4077</v>
      </c>
      <c r="R9" s="67">
        <v>1693</v>
      </c>
      <c r="S9" s="67">
        <v>2384</v>
      </c>
      <c r="T9" s="67">
        <v>5332</v>
      </c>
      <c r="U9" s="67">
        <v>2201</v>
      </c>
      <c r="V9" s="67">
        <v>3131</v>
      </c>
      <c r="W9" s="67">
        <v>6284</v>
      </c>
      <c r="X9" s="67">
        <v>2662</v>
      </c>
      <c r="Y9" s="67">
        <v>3622</v>
      </c>
      <c r="AA9" s="64"/>
      <c r="AB9" s="64"/>
      <c r="AC9" s="64"/>
      <c r="AD9" s="64"/>
      <c r="AE9" s="64"/>
      <c r="AF9" s="64"/>
      <c r="AG9" s="64"/>
    </row>
    <row r="10" spans="1:33" s="76" customFormat="1" ht="21" customHeight="1">
      <c r="A10" s="90" t="s">
        <v>188</v>
      </c>
      <c r="B10" s="66">
        <v>17011</v>
      </c>
      <c r="C10" s="67">
        <v>7567</v>
      </c>
      <c r="D10" s="67">
        <v>9444</v>
      </c>
      <c r="E10" s="67">
        <v>2141</v>
      </c>
      <c r="F10" s="67">
        <v>784</v>
      </c>
      <c r="G10" s="67">
        <v>1357</v>
      </c>
      <c r="H10" s="67">
        <v>2581</v>
      </c>
      <c r="I10" s="67">
        <v>1078</v>
      </c>
      <c r="J10" s="67">
        <v>1503</v>
      </c>
      <c r="K10" s="67">
        <v>3451</v>
      </c>
      <c r="L10" s="67">
        <v>1502</v>
      </c>
      <c r="M10" s="67">
        <v>1949</v>
      </c>
      <c r="N10" s="67">
        <v>2431</v>
      </c>
      <c r="O10" s="67">
        <v>1163</v>
      </c>
      <c r="P10" s="67">
        <v>1268</v>
      </c>
      <c r="Q10" s="67">
        <v>1717</v>
      </c>
      <c r="R10" s="67">
        <v>847</v>
      </c>
      <c r="S10" s="67">
        <v>870</v>
      </c>
      <c r="T10" s="67">
        <v>2147</v>
      </c>
      <c r="U10" s="67">
        <v>1009</v>
      </c>
      <c r="V10" s="67">
        <v>1138</v>
      </c>
      <c r="W10" s="67">
        <v>2543</v>
      </c>
      <c r="X10" s="67">
        <v>1184</v>
      </c>
      <c r="Y10" s="67">
        <v>1359</v>
      </c>
      <c r="AA10" s="64"/>
      <c r="AB10" s="64"/>
      <c r="AC10" s="64"/>
      <c r="AD10" s="64"/>
      <c r="AE10" s="64"/>
      <c r="AF10" s="64"/>
      <c r="AG10" s="64"/>
    </row>
    <row r="11" spans="1:33" s="76" customFormat="1" ht="21" customHeight="1">
      <c r="A11" s="90" t="s">
        <v>189</v>
      </c>
      <c r="B11" s="66">
        <v>29126</v>
      </c>
      <c r="C11" s="67">
        <v>12642</v>
      </c>
      <c r="D11" s="67">
        <v>16484</v>
      </c>
      <c r="E11" s="67">
        <v>4538</v>
      </c>
      <c r="F11" s="67">
        <v>1658</v>
      </c>
      <c r="G11" s="67">
        <v>2880</v>
      </c>
      <c r="H11" s="67">
        <v>4941</v>
      </c>
      <c r="I11" s="67">
        <v>1983</v>
      </c>
      <c r="J11" s="67">
        <v>2958</v>
      </c>
      <c r="K11" s="67">
        <v>5079</v>
      </c>
      <c r="L11" s="67">
        <v>2242</v>
      </c>
      <c r="M11" s="67">
        <v>2837</v>
      </c>
      <c r="N11" s="67">
        <v>4681</v>
      </c>
      <c r="O11" s="67">
        <v>2223</v>
      </c>
      <c r="P11" s="67">
        <v>2458</v>
      </c>
      <c r="Q11" s="67">
        <v>2887</v>
      </c>
      <c r="R11" s="67">
        <v>1304</v>
      </c>
      <c r="S11" s="67">
        <v>1583</v>
      </c>
      <c r="T11" s="67">
        <v>3260</v>
      </c>
      <c r="U11" s="67">
        <v>1488</v>
      </c>
      <c r="V11" s="67">
        <v>1772</v>
      </c>
      <c r="W11" s="67">
        <v>3740</v>
      </c>
      <c r="X11" s="67">
        <v>1744</v>
      </c>
      <c r="Y11" s="67">
        <v>1996</v>
      </c>
      <c r="AA11" s="64"/>
      <c r="AB11" s="64"/>
      <c r="AC11" s="64"/>
      <c r="AD11" s="64"/>
      <c r="AE11" s="64"/>
      <c r="AF11" s="64"/>
      <c r="AG11" s="64"/>
    </row>
    <row r="12" spans="1:33" s="76" customFormat="1" ht="21" customHeight="1">
      <c r="A12" s="90" t="s">
        <v>190</v>
      </c>
      <c r="B12" s="66">
        <v>10725</v>
      </c>
      <c r="C12" s="67">
        <v>4883</v>
      </c>
      <c r="D12" s="67">
        <v>5842</v>
      </c>
      <c r="E12" s="67">
        <v>1173</v>
      </c>
      <c r="F12" s="67">
        <v>473</v>
      </c>
      <c r="G12" s="67">
        <v>700</v>
      </c>
      <c r="H12" s="67">
        <v>1447</v>
      </c>
      <c r="I12" s="67">
        <v>638</v>
      </c>
      <c r="J12" s="67">
        <v>809</v>
      </c>
      <c r="K12" s="67">
        <v>2074</v>
      </c>
      <c r="L12" s="67">
        <v>970</v>
      </c>
      <c r="M12" s="67">
        <v>1104</v>
      </c>
      <c r="N12" s="67">
        <v>1680</v>
      </c>
      <c r="O12" s="67">
        <v>773</v>
      </c>
      <c r="P12" s="67">
        <v>907</v>
      </c>
      <c r="Q12" s="67">
        <v>969</v>
      </c>
      <c r="R12" s="67">
        <v>449</v>
      </c>
      <c r="S12" s="67">
        <v>520</v>
      </c>
      <c r="T12" s="67">
        <v>1541</v>
      </c>
      <c r="U12" s="67">
        <v>709</v>
      </c>
      <c r="V12" s="67">
        <v>832</v>
      </c>
      <c r="W12" s="67">
        <v>1841</v>
      </c>
      <c r="X12" s="67">
        <v>871</v>
      </c>
      <c r="Y12" s="67">
        <v>970</v>
      </c>
      <c r="AA12" s="64"/>
      <c r="AB12" s="64"/>
      <c r="AC12" s="64"/>
      <c r="AD12" s="64"/>
      <c r="AE12" s="64"/>
      <c r="AF12" s="64"/>
      <c r="AG12" s="64"/>
    </row>
    <row r="13" spans="1:33" s="76" customFormat="1" ht="21" customHeight="1">
      <c r="A13" s="90" t="s">
        <v>191</v>
      </c>
      <c r="B13" s="66">
        <v>30547</v>
      </c>
      <c r="C13" s="67">
        <v>13317</v>
      </c>
      <c r="D13" s="67">
        <v>17230</v>
      </c>
      <c r="E13" s="67">
        <v>6881</v>
      </c>
      <c r="F13" s="67">
        <v>2638</v>
      </c>
      <c r="G13" s="67">
        <v>4243</v>
      </c>
      <c r="H13" s="67">
        <v>6668</v>
      </c>
      <c r="I13" s="67">
        <v>2761</v>
      </c>
      <c r="J13" s="67">
        <v>3907</v>
      </c>
      <c r="K13" s="67">
        <v>6460</v>
      </c>
      <c r="L13" s="67">
        <v>2872</v>
      </c>
      <c r="M13" s="67">
        <v>3588</v>
      </c>
      <c r="N13" s="67">
        <v>3595</v>
      </c>
      <c r="O13" s="67">
        <v>1792</v>
      </c>
      <c r="P13" s="67">
        <v>1803</v>
      </c>
      <c r="Q13" s="67">
        <v>1701</v>
      </c>
      <c r="R13" s="67">
        <v>817</v>
      </c>
      <c r="S13" s="67">
        <v>884</v>
      </c>
      <c r="T13" s="67">
        <v>2452</v>
      </c>
      <c r="U13" s="67">
        <v>1119</v>
      </c>
      <c r="V13" s="67">
        <v>1333</v>
      </c>
      <c r="W13" s="67">
        <v>2790</v>
      </c>
      <c r="X13" s="67">
        <v>1318</v>
      </c>
      <c r="Y13" s="67">
        <v>1472</v>
      </c>
      <c r="AA13" s="64"/>
      <c r="AB13" s="64"/>
      <c r="AC13" s="64"/>
      <c r="AD13" s="64"/>
      <c r="AE13" s="64"/>
      <c r="AF13" s="64"/>
      <c r="AG13" s="64"/>
    </row>
    <row r="14" spans="1:33" s="76" customFormat="1" ht="21" customHeight="1">
      <c r="A14" s="90" t="s">
        <v>192</v>
      </c>
      <c r="B14" s="66">
        <v>6155</v>
      </c>
      <c r="C14" s="67">
        <v>2693</v>
      </c>
      <c r="D14" s="67">
        <v>3462</v>
      </c>
      <c r="E14" s="67">
        <v>1060</v>
      </c>
      <c r="F14" s="67">
        <v>372</v>
      </c>
      <c r="G14" s="67">
        <v>688</v>
      </c>
      <c r="H14" s="67">
        <v>927</v>
      </c>
      <c r="I14" s="67">
        <v>378</v>
      </c>
      <c r="J14" s="67">
        <v>549</v>
      </c>
      <c r="K14" s="67">
        <v>1124</v>
      </c>
      <c r="L14" s="67">
        <v>500</v>
      </c>
      <c r="M14" s="67">
        <v>624</v>
      </c>
      <c r="N14" s="67">
        <v>960</v>
      </c>
      <c r="O14" s="67">
        <v>466</v>
      </c>
      <c r="P14" s="67">
        <v>494</v>
      </c>
      <c r="Q14" s="67">
        <v>517</v>
      </c>
      <c r="R14" s="67">
        <v>255</v>
      </c>
      <c r="S14" s="67">
        <v>262</v>
      </c>
      <c r="T14" s="67">
        <v>688</v>
      </c>
      <c r="U14" s="67">
        <v>326</v>
      </c>
      <c r="V14" s="67">
        <v>362</v>
      </c>
      <c r="W14" s="67">
        <v>879</v>
      </c>
      <c r="X14" s="67">
        <v>396</v>
      </c>
      <c r="Y14" s="67">
        <v>483</v>
      </c>
      <c r="AA14" s="64"/>
      <c r="AB14" s="64"/>
      <c r="AC14" s="64"/>
      <c r="AD14" s="64"/>
      <c r="AE14" s="64"/>
      <c r="AF14" s="64"/>
      <c r="AG14" s="64"/>
    </row>
    <row r="15" spans="1:33" s="76" customFormat="1" ht="21" customHeight="1">
      <c r="A15" s="90" t="s">
        <v>193</v>
      </c>
      <c r="B15" s="66">
        <v>4869</v>
      </c>
      <c r="C15" s="67">
        <v>2320</v>
      </c>
      <c r="D15" s="67">
        <v>2549</v>
      </c>
      <c r="E15" s="67">
        <v>401</v>
      </c>
      <c r="F15" s="67">
        <v>163</v>
      </c>
      <c r="G15" s="67">
        <v>238</v>
      </c>
      <c r="H15" s="67">
        <v>647</v>
      </c>
      <c r="I15" s="67">
        <v>284</v>
      </c>
      <c r="J15" s="67">
        <v>363</v>
      </c>
      <c r="K15" s="67">
        <v>893</v>
      </c>
      <c r="L15" s="67">
        <v>383</v>
      </c>
      <c r="M15" s="67">
        <v>510</v>
      </c>
      <c r="N15" s="67">
        <v>810</v>
      </c>
      <c r="O15" s="67">
        <v>440</v>
      </c>
      <c r="P15" s="67">
        <v>370</v>
      </c>
      <c r="Q15" s="67">
        <v>617</v>
      </c>
      <c r="R15" s="67">
        <v>318</v>
      </c>
      <c r="S15" s="67">
        <v>299</v>
      </c>
      <c r="T15" s="67">
        <v>783</v>
      </c>
      <c r="U15" s="67">
        <v>377</v>
      </c>
      <c r="V15" s="67">
        <v>406</v>
      </c>
      <c r="W15" s="67">
        <v>718</v>
      </c>
      <c r="X15" s="67">
        <v>355</v>
      </c>
      <c r="Y15" s="67">
        <v>363</v>
      </c>
      <c r="AA15" s="64"/>
      <c r="AB15" s="64"/>
      <c r="AC15" s="64"/>
      <c r="AD15" s="64"/>
      <c r="AE15" s="64"/>
      <c r="AF15" s="64"/>
      <c r="AG15" s="64"/>
    </row>
    <row r="16" spans="1:33" s="76" customFormat="1" ht="21" customHeight="1">
      <c r="A16" s="90" t="s">
        <v>194</v>
      </c>
      <c r="B16" s="66">
        <v>5342</v>
      </c>
      <c r="C16" s="67">
        <v>2486</v>
      </c>
      <c r="D16" s="67">
        <v>2856</v>
      </c>
      <c r="E16" s="67">
        <v>622</v>
      </c>
      <c r="F16" s="67">
        <v>240</v>
      </c>
      <c r="G16" s="67">
        <v>382</v>
      </c>
      <c r="H16" s="67">
        <v>725</v>
      </c>
      <c r="I16" s="67">
        <v>309</v>
      </c>
      <c r="J16" s="67">
        <v>416</v>
      </c>
      <c r="K16" s="67">
        <v>975</v>
      </c>
      <c r="L16" s="67">
        <v>458</v>
      </c>
      <c r="M16" s="67">
        <v>517</v>
      </c>
      <c r="N16" s="67">
        <v>881</v>
      </c>
      <c r="O16" s="67">
        <v>442</v>
      </c>
      <c r="P16" s="67">
        <v>439</v>
      </c>
      <c r="Q16" s="67">
        <v>630</v>
      </c>
      <c r="R16" s="67">
        <v>315</v>
      </c>
      <c r="S16" s="67">
        <v>315</v>
      </c>
      <c r="T16" s="67">
        <v>683</v>
      </c>
      <c r="U16" s="67">
        <v>337</v>
      </c>
      <c r="V16" s="67">
        <v>346</v>
      </c>
      <c r="W16" s="67">
        <v>826</v>
      </c>
      <c r="X16" s="67">
        <v>385</v>
      </c>
      <c r="Y16" s="67">
        <v>441</v>
      </c>
      <c r="AA16" s="64"/>
      <c r="AB16" s="64"/>
      <c r="AC16" s="64"/>
      <c r="AD16" s="64"/>
      <c r="AE16" s="64"/>
      <c r="AF16" s="64"/>
      <c r="AG16" s="64"/>
    </row>
    <row r="17" spans="1:33" s="76" customFormat="1" ht="21" customHeight="1">
      <c r="A17" s="90" t="s">
        <v>195</v>
      </c>
      <c r="B17" s="66">
        <v>11345</v>
      </c>
      <c r="C17" s="67">
        <v>5193</v>
      </c>
      <c r="D17" s="67">
        <v>6152</v>
      </c>
      <c r="E17" s="67">
        <v>1826</v>
      </c>
      <c r="F17" s="67">
        <v>818</v>
      </c>
      <c r="G17" s="67">
        <v>1008</v>
      </c>
      <c r="H17" s="67">
        <v>2553</v>
      </c>
      <c r="I17" s="67">
        <v>1118</v>
      </c>
      <c r="J17" s="67">
        <v>1435</v>
      </c>
      <c r="K17" s="67">
        <v>2518</v>
      </c>
      <c r="L17" s="67">
        <v>1159</v>
      </c>
      <c r="M17" s="67">
        <v>1359</v>
      </c>
      <c r="N17" s="67">
        <v>1520</v>
      </c>
      <c r="O17" s="67">
        <v>768</v>
      </c>
      <c r="P17" s="67">
        <v>752</v>
      </c>
      <c r="Q17" s="67">
        <v>762</v>
      </c>
      <c r="R17" s="67">
        <v>349</v>
      </c>
      <c r="S17" s="67">
        <v>413</v>
      </c>
      <c r="T17" s="67">
        <v>981</v>
      </c>
      <c r="U17" s="67">
        <v>454</v>
      </c>
      <c r="V17" s="67">
        <v>527</v>
      </c>
      <c r="W17" s="67">
        <v>1185</v>
      </c>
      <c r="X17" s="67">
        <v>527</v>
      </c>
      <c r="Y17" s="67">
        <v>658</v>
      </c>
      <c r="AA17" s="64"/>
      <c r="AB17" s="64"/>
      <c r="AC17" s="64"/>
      <c r="AD17" s="64"/>
      <c r="AE17" s="64"/>
      <c r="AF17" s="64"/>
      <c r="AG17" s="64"/>
    </row>
    <row r="18" spans="1:33" s="76" customFormat="1" ht="21" customHeight="1">
      <c r="A18" s="90" t="s">
        <v>196</v>
      </c>
      <c r="B18" s="66">
        <v>6133</v>
      </c>
      <c r="C18" s="67">
        <v>2916</v>
      </c>
      <c r="D18" s="67">
        <v>3217</v>
      </c>
      <c r="E18" s="67">
        <v>1313</v>
      </c>
      <c r="F18" s="67">
        <v>549</v>
      </c>
      <c r="G18" s="67">
        <v>764</v>
      </c>
      <c r="H18" s="67">
        <v>1101</v>
      </c>
      <c r="I18" s="67">
        <v>486</v>
      </c>
      <c r="J18" s="67">
        <v>615</v>
      </c>
      <c r="K18" s="67">
        <v>1107</v>
      </c>
      <c r="L18" s="67">
        <v>546</v>
      </c>
      <c r="M18" s="67">
        <v>561</v>
      </c>
      <c r="N18" s="67">
        <v>818</v>
      </c>
      <c r="O18" s="67">
        <v>431</v>
      </c>
      <c r="P18" s="67">
        <v>387</v>
      </c>
      <c r="Q18" s="67">
        <v>546</v>
      </c>
      <c r="R18" s="67">
        <v>283</v>
      </c>
      <c r="S18" s="67">
        <v>263</v>
      </c>
      <c r="T18" s="67">
        <v>547</v>
      </c>
      <c r="U18" s="67">
        <v>276</v>
      </c>
      <c r="V18" s="67">
        <v>271</v>
      </c>
      <c r="W18" s="67">
        <v>701</v>
      </c>
      <c r="X18" s="67">
        <v>345</v>
      </c>
      <c r="Y18" s="67">
        <v>356</v>
      </c>
      <c r="AA18" s="64"/>
      <c r="AB18" s="64"/>
      <c r="AC18" s="64"/>
      <c r="AD18" s="64"/>
      <c r="AE18" s="64"/>
      <c r="AF18" s="64"/>
      <c r="AG18" s="64"/>
    </row>
    <row r="19" spans="1:33" s="76" customFormat="1" ht="21" customHeight="1">
      <c r="A19" s="90" t="s">
        <v>197</v>
      </c>
      <c r="B19" s="66">
        <v>4672</v>
      </c>
      <c r="C19" s="67">
        <v>2188</v>
      </c>
      <c r="D19" s="67">
        <v>2484</v>
      </c>
      <c r="E19" s="67">
        <v>664</v>
      </c>
      <c r="F19" s="67">
        <v>270</v>
      </c>
      <c r="G19" s="67">
        <v>394</v>
      </c>
      <c r="H19" s="67">
        <v>705</v>
      </c>
      <c r="I19" s="67">
        <v>307</v>
      </c>
      <c r="J19" s="67">
        <v>398</v>
      </c>
      <c r="K19" s="67">
        <v>883</v>
      </c>
      <c r="L19" s="67">
        <v>421</v>
      </c>
      <c r="M19" s="67">
        <v>462</v>
      </c>
      <c r="N19" s="67">
        <v>680</v>
      </c>
      <c r="O19" s="67">
        <v>329</v>
      </c>
      <c r="P19" s="67">
        <v>351</v>
      </c>
      <c r="Q19" s="67">
        <v>362</v>
      </c>
      <c r="R19" s="67">
        <v>174</v>
      </c>
      <c r="S19" s="67">
        <v>188</v>
      </c>
      <c r="T19" s="67">
        <v>550</v>
      </c>
      <c r="U19" s="67">
        <v>277</v>
      </c>
      <c r="V19" s="67">
        <v>273</v>
      </c>
      <c r="W19" s="67">
        <v>828</v>
      </c>
      <c r="X19" s="67">
        <v>410</v>
      </c>
      <c r="Y19" s="67">
        <v>418</v>
      </c>
      <c r="AA19" s="64"/>
      <c r="AB19" s="64"/>
      <c r="AC19" s="64"/>
      <c r="AD19" s="64"/>
      <c r="AE19" s="64"/>
      <c r="AF19" s="64"/>
      <c r="AG19" s="64"/>
    </row>
    <row r="20" spans="1:33" s="120" customFormat="1" ht="21" customHeight="1">
      <c r="A20" s="90" t="s">
        <v>198</v>
      </c>
      <c r="B20" s="118">
        <v>6496</v>
      </c>
      <c r="C20" s="119">
        <v>2976</v>
      </c>
      <c r="D20" s="119">
        <v>3520</v>
      </c>
      <c r="E20" s="119">
        <v>1343</v>
      </c>
      <c r="F20" s="119">
        <v>560</v>
      </c>
      <c r="G20" s="119">
        <v>783</v>
      </c>
      <c r="H20" s="119">
        <v>1494</v>
      </c>
      <c r="I20" s="119">
        <v>685</v>
      </c>
      <c r="J20" s="119">
        <v>809</v>
      </c>
      <c r="K20" s="119">
        <v>1271</v>
      </c>
      <c r="L20" s="119">
        <v>563</v>
      </c>
      <c r="M20" s="119">
        <v>708</v>
      </c>
      <c r="N20" s="119">
        <v>742</v>
      </c>
      <c r="O20" s="119">
        <v>422</v>
      </c>
      <c r="P20" s="119">
        <v>320</v>
      </c>
      <c r="Q20" s="119">
        <v>329</v>
      </c>
      <c r="R20" s="119">
        <v>155</v>
      </c>
      <c r="S20" s="119">
        <v>174</v>
      </c>
      <c r="T20" s="119">
        <v>528</v>
      </c>
      <c r="U20" s="119">
        <v>224</v>
      </c>
      <c r="V20" s="119">
        <v>304</v>
      </c>
      <c r="W20" s="119">
        <v>789</v>
      </c>
      <c r="X20" s="119">
        <v>367</v>
      </c>
      <c r="Y20" s="119">
        <v>422</v>
      </c>
      <c r="AA20" s="64"/>
      <c r="AB20" s="64"/>
      <c r="AC20" s="64"/>
      <c r="AD20" s="64"/>
      <c r="AE20" s="121"/>
      <c r="AF20" s="121"/>
      <c r="AG20" s="121"/>
    </row>
    <row r="21" spans="1:33" s="76" customFormat="1" ht="21" customHeight="1">
      <c r="A21" s="90" t="s">
        <v>199</v>
      </c>
      <c r="B21" s="66">
        <v>9120</v>
      </c>
      <c r="C21" s="67">
        <v>4280</v>
      </c>
      <c r="D21" s="67">
        <v>4840</v>
      </c>
      <c r="E21" s="67">
        <v>1356</v>
      </c>
      <c r="F21" s="67">
        <v>576</v>
      </c>
      <c r="G21" s="67">
        <v>780</v>
      </c>
      <c r="H21" s="67">
        <v>1458</v>
      </c>
      <c r="I21" s="67">
        <v>643</v>
      </c>
      <c r="J21" s="67">
        <v>815</v>
      </c>
      <c r="K21" s="67">
        <v>1733</v>
      </c>
      <c r="L21" s="67">
        <v>838</v>
      </c>
      <c r="M21" s="67">
        <v>895</v>
      </c>
      <c r="N21" s="67">
        <v>1503</v>
      </c>
      <c r="O21" s="67">
        <v>730</v>
      </c>
      <c r="P21" s="67">
        <v>773</v>
      </c>
      <c r="Q21" s="67">
        <v>927</v>
      </c>
      <c r="R21" s="67">
        <v>436</v>
      </c>
      <c r="S21" s="67">
        <v>491</v>
      </c>
      <c r="T21" s="67">
        <v>1121</v>
      </c>
      <c r="U21" s="67">
        <v>542</v>
      </c>
      <c r="V21" s="67">
        <v>579</v>
      </c>
      <c r="W21" s="67">
        <v>1022</v>
      </c>
      <c r="X21" s="67">
        <v>515</v>
      </c>
      <c r="Y21" s="67">
        <v>507</v>
      </c>
      <c r="AA21" s="64"/>
      <c r="AB21" s="64"/>
      <c r="AC21" s="64"/>
      <c r="AD21" s="64"/>
      <c r="AE21" s="64"/>
      <c r="AF21" s="64"/>
      <c r="AG21" s="64"/>
    </row>
    <row r="22" spans="1:33" s="76" customFormat="1" ht="21" customHeight="1">
      <c r="A22" s="90" t="s">
        <v>200</v>
      </c>
      <c r="B22" s="66">
        <v>3439</v>
      </c>
      <c r="C22" s="67">
        <v>1613</v>
      </c>
      <c r="D22" s="67">
        <v>1826</v>
      </c>
      <c r="E22" s="67">
        <v>522</v>
      </c>
      <c r="F22" s="67">
        <v>196</v>
      </c>
      <c r="G22" s="67">
        <v>326</v>
      </c>
      <c r="H22" s="67">
        <v>515</v>
      </c>
      <c r="I22" s="67">
        <v>246</v>
      </c>
      <c r="J22" s="67">
        <v>269</v>
      </c>
      <c r="K22" s="67">
        <v>652</v>
      </c>
      <c r="L22" s="67">
        <v>291</v>
      </c>
      <c r="M22" s="67">
        <v>361</v>
      </c>
      <c r="N22" s="67">
        <v>534</v>
      </c>
      <c r="O22" s="67">
        <v>273</v>
      </c>
      <c r="P22" s="67">
        <v>261</v>
      </c>
      <c r="Q22" s="67">
        <v>235</v>
      </c>
      <c r="R22" s="67">
        <v>116</v>
      </c>
      <c r="S22" s="67">
        <v>119</v>
      </c>
      <c r="T22" s="67">
        <v>482</v>
      </c>
      <c r="U22" s="67">
        <v>243</v>
      </c>
      <c r="V22" s="67">
        <v>239</v>
      </c>
      <c r="W22" s="67">
        <v>499</v>
      </c>
      <c r="X22" s="67">
        <v>248</v>
      </c>
      <c r="Y22" s="67">
        <v>251</v>
      </c>
      <c r="AA22" s="64"/>
      <c r="AB22" s="64"/>
      <c r="AC22" s="64"/>
      <c r="AD22" s="64"/>
      <c r="AE22" s="64"/>
      <c r="AF22" s="64"/>
      <c r="AG22" s="64"/>
    </row>
    <row r="23" spans="1:33" s="76" customFormat="1" ht="21" customHeight="1">
      <c r="A23" s="90" t="s">
        <v>178</v>
      </c>
      <c r="B23" s="66">
        <v>4903</v>
      </c>
      <c r="C23" s="67">
        <v>2327</v>
      </c>
      <c r="D23" s="67">
        <v>2576</v>
      </c>
      <c r="E23" s="67">
        <v>817</v>
      </c>
      <c r="F23" s="67">
        <v>341</v>
      </c>
      <c r="G23" s="67">
        <v>476</v>
      </c>
      <c r="H23" s="67">
        <v>850</v>
      </c>
      <c r="I23" s="67">
        <v>373</v>
      </c>
      <c r="J23" s="67">
        <v>477</v>
      </c>
      <c r="K23" s="67">
        <v>960</v>
      </c>
      <c r="L23" s="67">
        <v>456</v>
      </c>
      <c r="M23" s="67">
        <v>504</v>
      </c>
      <c r="N23" s="67">
        <v>636</v>
      </c>
      <c r="O23" s="67">
        <v>326</v>
      </c>
      <c r="P23" s="67">
        <v>310</v>
      </c>
      <c r="Q23" s="67">
        <v>394</v>
      </c>
      <c r="R23" s="67">
        <v>198</v>
      </c>
      <c r="S23" s="67">
        <v>196</v>
      </c>
      <c r="T23" s="67">
        <v>582</v>
      </c>
      <c r="U23" s="67">
        <v>294</v>
      </c>
      <c r="V23" s="67">
        <v>288</v>
      </c>
      <c r="W23" s="67">
        <v>664</v>
      </c>
      <c r="X23" s="67">
        <v>339</v>
      </c>
      <c r="Y23" s="67">
        <v>325</v>
      </c>
      <c r="AA23" s="64"/>
      <c r="AB23" s="64"/>
      <c r="AC23" s="64"/>
      <c r="AD23" s="64"/>
      <c r="AE23" s="64"/>
      <c r="AF23" s="64"/>
      <c r="AG23" s="64"/>
    </row>
    <row r="24" spans="1:33" s="76" customFormat="1" ht="21" customHeight="1">
      <c r="A24" s="90" t="s">
        <v>179</v>
      </c>
      <c r="B24" s="66">
        <v>569</v>
      </c>
      <c r="C24" s="67">
        <v>273</v>
      </c>
      <c r="D24" s="67">
        <v>296</v>
      </c>
      <c r="E24" s="67">
        <v>128</v>
      </c>
      <c r="F24" s="67">
        <v>64</v>
      </c>
      <c r="G24" s="67">
        <v>64</v>
      </c>
      <c r="H24" s="67">
        <v>66</v>
      </c>
      <c r="I24" s="67">
        <v>31</v>
      </c>
      <c r="J24" s="67">
        <v>35</v>
      </c>
      <c r="K24" s="67">
        <v>155</v>
      </c>
      <c r="L24" s="67">
        <v>76</v>
      </c>
      <c r="M24" s="67">
        <v>79</v>
      </c>
      <c r="N24" s="67">
        <v>88</v>
      </c>
      <c r="O24" s="67">
        <v>44</v>
      </c>
      <c r="P24" s="67">
        <v>44</v>
      </c>
      <c r="Q24" s="67">
        <v>27</v>
      </c>
      <c r="R24" s="67">
        <v>17</v>
      </c>
      <c r="S24" s="67">
        <v>10</v>
      </c>
      <c r="T24" s="67">
        <v>45</v>
      </c>
      <c r="U24" s="67">
        <v>17</v>
      </c>
      <c r="V24" s="67">
        <v>28</v>
      </c>
      <c r="W24" s="67">
        <v>60</v>
      </c>
      <c r="X24" s="67">
        <v>24</v>
      </c>
      <c r="Y24" s="67">
        <v>36</v>
      </c>
      <c r="AA24" s="64"/>
      <c r="AB24" s="64"/>
      <c r="AC24" s="64"/>
      <c r="AD24" s="64"/>
      <c r="AE24" s="64"/>
      <c r="AF24" s="64"/>
      <c r="AG24" s="64"/>
    </row>
    <row r="25" spans="1:33" s="76" customFormat="1" ht="21" customHeight="1">
      <c r="A25" s="90" t="s">
        <v>180</v>
      </c>
      <c r="B25" s="66">
        <v>4463</v>
      </c>
      <c r="C25" s="67">
        <v>1952</v>
      </c>
      <c r="D25" s="67">
        <v>2511</v>
      </c>
      <c r="E25" s="67">
        <v>689</v>
      </c>
      <c r="F25" s="67">
        <v>252</v>
      </c>
      <c r="G25" s="67">
        <v>437</v>
      </c>
      <c r="H25" s="67">
        <v>906</v>
      </c>
      <c r="I25" s="67">
        <v>401</v>
      </c>
      <c r="J25" s="67">
        <v>505</v>
      </c>
      <c r="K25" s="67">
        <v>1071</v>
      </c>
      <c r="L25" s="67">
        <v>496</v>
      </c>
      <c r="M25" s="67">
        <v>575</v>
      </c>
      <c r="N25" s="67">
        <v>624</v>
      </c>
      <c r="O25" s="67">
        <v>280</v>
      </c>
      <c r="P25" s="67">
        <v>344</v>
      </c>
      <c r="Q25" s="67">
        <v>282</v>
      </c>
      <c r="R25" s="67">
        <v>138</v>
      </c>
      <c r="S25" s="67">
        <v>144</v>
      </c>
      <c r="T25" s="67">
        <v>430</v>
      </c>
      <c r="U25" s="67">
        <v>181</v>
      </c>
      <c r="V25" s="67">
        <v>249</v>
      </c>
      <c r="W25" s="67">
        <v>461</v>
      </c>
      <c r="X25" s="67">
        <v>204</v>
      </c>
      <c r="Y25" s="67">
        <v>257</v>
      </c>
      <c r="AA25" s="64"/>
      <c r="AB25" s="64"/>
      <c r="AC25" s="64"/>
      <c r="AD25" s="64"/>
      <c r="AE25" s="64"/>
      <c r="AF25" s="64"/>
      <c r="AG25" s="64"/>
    </row>
    <row r="26" spans="1:33" s="76" customFormat="1" ht="21" customHeight="1">
      <c r="A26" s="90" t="s">
        <v>181</v>
      </c>
      <c r="B26" s="66">
        <v>6910</v>
      </c>
      <c r="C26" s="67">
        <v>2908</v>
      </c>
      <c r="D26" s="67">
        <v>4002</v>
      </c>
      <c r="E26" s="67">
        <v>1408</v>
      </c>
      <c r="F26" s="67">
        <v>506</v>
      </c>
      <c r="G26" s="67">
        <v>902</v>
      </c>
      <c r="H26" s="67">
        <v>1269</v>
      </c>
      <c r="I26" s="67">
        <v>538</v>
      </c>
      <c r="J26" s="67">
        <v>731</v>
      </c>
      <c r="K26" s="67">
        <v>1351</v>
      </c>
      <c r="L26" s="67">
        <v>571</v>
      </c>
      <c r="M26" s="67">
        <v>780</v>
      </c>
      <c r="N26" s="67">
        <v>960</v>
      </c>
      <c r="O26" s="67">
        <v>442</v>
      </c>
      <c r="P26" s="67">
        <v>518</v>
      </c>
      <c r="Q26" s="67">
        <v>678</v>
      </c>
      <c r="R26" s="67">
        <v>277</v>
      </c>
      <c r="S26" s="67">
        <v>401</v>
      </c>
      <c r="T26" s="67">
        <v>610</v>
      </c>
      <c r="U26" s="67">
        <v>273</v>
      </c>
      <c r="V26" s="67">
        <v>337</v>
      </c>
      <c r="W26" s="67">
        <v>634</v>
      </c>
      <c r="X26" s="67">
        <v>301</v>
      </c>
      <c r="Y26" s="67">
        <v>333</v>
      </c>
      <c r="AA26" s="64"/>
      <c r="AB26" s="64"/>
      <c r="AC26" s="64"/>
      <c r="AD26" s="64"/>
      <c r="AE26" s="64"/>
      <c r="AF26" s="64"/>
      <c r="AG26" s="64"/>
    </row>
    <row r="27" spans="1:33" s="76" customFormat="1" ht="21" customHeight="1">
      <c r="A27" s="90" t="s">
        <v>182</v>
      </c>
      <c r="B27" s="66">
        <v>1793</v>
      </c>
      <c r="C27" s="67">
        <v>768</v>
      </c>
      <c r="D27" s="67">
        <v>1025</v>
      </c>
      <c r="E27" s="67">
        <v>277</v>
      </c>
      <c r="F27" s="67">
        <v>92</v>
      </c>
      <c r="G27" s="67">
        <v>185</v>
      </c>
      <c r="H27" s="67">
        <v>281</v>
      </c>
      <c r="I27" s="67">
        <v>129</v>
      </c>
      <c r="J27" s="67">
        <v>152</v>
      </c>
      <c r="K27" s="67">
        <v>327</v>
      </c>
      <c r="L27" s="67">
        <v>149</v>
      </c>
      <c r="M27" s="67">
        <v>178</v>
      </c>
      <c r="N27" s="67">
        <v>307</v>
      </c>
      <c r="O27" s="67">
        <v>142</v>
      </c>
      <c r="P27" s="67">
        <v>165</v>
      </c>
      <c r="Q27" s="67">
        <v>178</v>
      </c>
      <c r="R27" s="67">
        <v>66</v>
      </c>
      <c r="S27" s="67">
        <v>112</v>
      </c>
      <c r="T27" s="67">
        <v>200</v>
      </c>
      <c r="U27" s="67">
        <v>89</v>
      </c>
      <c r="V27" s="67">
        <v>111</v>
      </c>
      <c r="W27" s="67">
        <v>223</v>
      </c>
      <c r="X27" s="67">
        <v>101</v>
      </c>
      <c r="Y27" s="67">
        <v>122</v>
      </c>
      <c r="AA27" s="64"/>
      <c r="AB27" s="64"/>
      <c r="AC27" s="64"/>
      <c r="AD27" s="64"/>
      <c r="AE27" s="64"/>
      <c r="AF27" s="64"/>
      <c r="AG27" s="64"/>
    </row>
    <row r="28" spans="1:33" s="76" customFormat="1" ht="21" customHeight="1">
      <c r="A28" s="90" t="s">
        <v>183</v>
      </c>
      <c r="B28" s="66">
        <v>720</v>
      </c>
      <c r="C28" s="67">
        <v>327</v>
      </c>
      <c r="D28" s="67">
        <v>393</v>
      </c>
      <c r="E28" s="67">
        <v>137</v>
      </c>
      <c r="F28" s="67">
        <v>45</v>
      </c>
      <c r="G28" s="67">
        <v>92</v>
      </c>
      <c r="H28" s="67">
        <v>137</v>
      </c>
      <c r="I28" s="67">
        <v>61</v>
      </c>
      <c r="J28" s="67">
        <v>76</v>
      </c>
      <c r="K28" s="67">
        <v>127</v>
      </c>
      <c r="L28" s="67">
        <v>59</v>
      </c>
      <c r="M28" s="67">
        <v>68</v>
      </c>
      <c r="N28" s="67">
        <v>106</v>
      </c>
      <c r="O28" s="67">
        <v>47</v>
      </c>
      <c r="P28" s="67">
        <v>59</v>
      </c>
      <c r="Q28" s="67">
        <v>62</v>
      </c>
      <c r="R28" s="67">
        <v>40</v>
      </c>
      <c r="S28" s="67">
        <v>22</v>
      </c>
      <c r="T28" s="67">
        <v>76</v>
      </c>
      <c r="U28" s="67">
        <v>37</v>
      </c>
      <c r="V28" s="67">
        <v>39</v>
      </c>
      <c r="W28" s="67">
        <v>75</v>
      </c>
      <c r="X28" s="67">
        <v>38</v>
      </c>
      <c r="Y28" s="67">
        <v>37</v>
      </c>
      <c r="AA28" s="64"/>
      <c r="AB28" s="64"/>
      <c r="AC28" s="64"/>
      <c r="AD28" s="64"/>
      <c r="AE28" s="64"/>
      <c r="AF28" s="64"/>
      <c r="AG28" s="64"/>
    </row>
    <row r="29" spans="1:33" s="76" customFormat="1" ht="21" customHeight="1" thickBot="1">
      <c r="A29" s="91" t="s">
        <v>184</v>
      </c>
      <c r="B29" s="88">
        <v>31</v>
      </c>
      <c r="C29" s="89">
        <v>16</v>
      </c>
      <c r="D29" s="89">
        <v>15</v>
      </c>
      <c r="E29" s="89">
        <v>11</v>
      </c>
      <c r="F29" s="89">
        <v>6</v>
      </c>
      <c r="G29" s="89">
        <v>5</v>
      </c>
      <c r="H29" s="89">
        <v>7</v>
      </c>
      <c r="I29" s="89">
        <v>4</v>
      </c>
      <c r="J29" s="89">
        <v>3</v>
      </c>
      <c r="K29" s="89">
        <v>1</v>
      </c>
      <c r="L29" s="89">
        <v>1</v>
      </c>
      <c r="M29" s="89">
        <v>0</v>
      </c>
      <c r="N29" s="89">
        <v>1</v>
      </c>
      <c r="O29" s="89">
        <v>0</v>
      </c>
      <c r="P29" s="89">
        <v>1</v>
      </c>
      <c r="Q29" s="89">
        <v>4</v>
      </c>
      <c r="R29" s="89">
        <v>4</v>
      </c>
      <c r="S29" s="89">
        <v>0</v>
      </c>
      <c r="T29" s="89">
        <v>3</v>
      </c>
      <c r="U29" s="89">
        <v>0</v>
      </c>
      <c r="V29" s="89">
        <v>3</v>
      </c>
      <c r="W29" s="89">
        <v>4</v>
      </c>
      <c r="X29" s="89">
        <v>1</v>
      </c>
      <c r="Y29" s="89">
        <v>3</v>
      </c>
      <c r="AA29" s="64"/>
      <c r="AB29" s="64"/>
      <c r="AC29" s="64"/>
      <c r="AD29" s="64"/>
      <c r="AE29" s="64"/>
      <c r="AF29" s="64"/>
      <c r="AG29" s="64"/>
    </row>
    <row r="30" spans="1:33" ht="20.25">
      <c r="A30" s="77" t="s">
        <v>175</v>
      </c>
      <c r="AA30" s="64"/>
      <c r="AB30" s="64"/>
      <c r="AC30" s="64"/>
      <c r="AD30" s="64"/>
      <c r="AE30" s="64"/>
      <c r="AF30" s="64"/>
      <c r="AG30" s="64"/>
    </row>
    <row r="31" spans="1:33" ht="20.25">
      <c r="A31" s="6" t="s">
        <v>168</v>
      </c>
      <c r="AA31" s="64"/>
      <c r="AB31" s="64"/>
      <c r="AC31" s="64"/>
      <c r="AD31" s="64"/>
    </row>
    <row r="32" spans="1:33">
      <c r="A32" s="6" t="s">
        <v>174</v>
      </c>
    </row>
    <row r="33" spans="1:1">
      <c r="A33" s="69"/>
    </row>
    <row r="34" spans="1:1" ht="16.5">
      <c r="A34" s="124" t="s">
        <v>239</v>
      </c>
    </row>
  </sheetData>
  <mergeCells count="10">
    <mergeCell ref="A4:A6"/>
    <mergeCell ref="B4:Y4"/>
    <mergeCell ref="B5:D5"/>
    <mergeCell ref="E5:G5"/>
    <mergeCell ref="H5:J5"/>
    <mergeCell ref="K5:M5"/>
    <mergeCell ref="N5:P5"/>
    <mergeCell ref="Q5:S5"/>
    <mergeCell ref="T5:V5"/>
    <mergeCell ref="W5:Y5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4"/>
  <sheetViews>
    <sheetView zoomScale="80" zoomScaleNormal="80" zoomScaleSheetLayoutView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4" sqref="B4:Y4"/>
    </sheetView>
  </sheetViews>
  <sheetFormatPr defaultColWidth="9" defaultRowHeight="15.75"/>
  <cols>
    <col min="1" max="1" width="33.875" style="74" customWidth="1"/>
    <col min="2" max="4" width="10.25" style="74" customWidth="1"/>
    <col min="5" max="25" width="8.5" style="74" customWidth="1"/>
    <col min="26" max="27" width="9" style="74"/>
    <col min="28" max="28" width="11.875" style="74" bestFit="1" customWidth="1"/>
    <col min="29" max="16384" width="9" style="74"/>
  </cols>
  <sheetData>
    <row r="1" spans="1:33" s="64" customFormat="1" ht="27" customHeight="1">
      <c r="A1" s="70" t="s">
        <v>177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</row>
    <row r="2" spans="1:33" s="64" customFormat="1" ht="18" customHeight="1">
      <c r="A2" s="71" t="s">
        <v>166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</row>
    <row r="3" spans="1:33" s="73" customFormat="1" ht="18" customHeight="1" thickBot="1">
      <c r="A3" s="92" t="s">
        <v>241</v>
      </c>
      <c r="B3" s="81"/>
      <c r="C3" s="81"/>
      <c r="D3" s="81"/>
      <c r="E3" s="81"/>
      <c r="F3" s="81"/>
      <c r="G3" s="81"/>
      <c r="H3" s="81"/>
      <c r="I3" s="81"/>
      <c r="J3" s="72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72"/>
      <c r="Z3" s="72"/>
      <c r="AA3" s="64"/>
      <c r="AB3" s="64"/>
      <c r="AC3" s="64"/>
      <c r="AD3" s="64"/>
      <c r="AE3" s="64"/>
      <c r="AF3" s="64"/>
      <c r="AG3" s="64"/>
    </row>
    <row r="4" spans="1:33" ht="21.75" customHeight="1">
      <c r="A4" s="139" t="s">
        <v>173</v>
      </c>
      <c r="B4" s="132" t="s">
        <v>243</v>
      </c>
      <c r="C4" s="133"/>
      <c r="D4" s="133"/>
      <c r="E4" s="133"/>
      <c r="F4" s="133"/>
      <c r="G4" s="133"/>
      <c r="H4" s="133"/>
      <c r="I4" s="133"/>
      <c r="J4" s="134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4"/>
      <c r="AA4" s="64"/>
      <c r="AB4" s="64"/>
      <c r="AC4" s="64"/>
      <c r="AD4" s="64"/>
      <c r="AE4" s="64"/>
      <c r="AF4" s="64"/>
      <c r="AG4" s="64"/>
    </row>
    <row r="5" spans="1:33" ht="21.75" customHeight="1">
      <c r="A5" s="130"/>
      <c r="B5" s="135" t="s">
        <v>185</v>
      </c>
      <c r="C5" s="135"/>
      <c r="D5" s="136"/>
      <c r="E5" s="137" t="s">
        <v>201</v>
      </c>
      <c r="F5" s="137"/>
      <c r="G5" s="137"/>
      <c r="H5" s="137" t="s">
        <v>202</v>
      </c>
      <c r="I5" s="137"/>
      <c r="J5" s="138"/>
      <c r="K5" s="137" t="s">
        <v>203</v>
      </c>
      <c r="L5" s="137"/>
      <c r="M5" s="137"/>
      <c r="N5" s="137" t="s">
        <v>204</v>
      </c>
      <c r="O5" s="137"/>
      <c r="P5" s="137"/>
      <c r="Q5" s="137" t="s">
        <v>205</v>
      </c>
      <c r="R5" s="137"/>
      <c r="S5" s="137"/>
      <c r="T5" s="137" t="s">
        <v>206</v>
      </c>
      <c r="U5" s="137"/>
      <c r="V5" s="137"/>
      <c r="W5" s="137" t="s">
        <v>207</v>
      </c>
      <c r="X5" s="137"/>
      <c r="Y5" s="138"/>
      <c r="AA5" s="64"/>
      <c r="AB5" s="64"/>
      <c r="AC5" s="64"/>
      <c r="AD5" s="64"/>
      <c r="AE5" s="64"/>
      <c r="AF5" s="64"/>
      <c r="AG5" s="64"/>
    </row>
    <row r="6" spans="1:33" ht="40.15" customHeight="1" thickBot="1">
      <c r="A6" s="131"/>
      <c r="B6" s="84" t="s">
        <v>170</v>
      </c>
      <c r="C6" s="85" t="s">
        <v>171</v>
      </c>
      <c r="D6" s="85" t="s">
        <v>172</v>
      </c>
      <c r="E6" s="86" t="s">
        <v>170</v>
      </c>
      <c r="F6" s="85" t="s">
        <v>171</v>
      </c>
      <c r="G6" s="85" t="s">
        <v>172</v>
      </c>
      <c r="H6" s="86" t="s">
        <v>170</v>
      </c>
      <c r="I6" s="85" t="s">
        <v>171</v>
      </c>
      <c r="J6" s="85" t="s">
        <v>172</v>
      </c>
      <c r="K6" s="86" t="s">
        <v>170</v>
      </c>
      <c r="L6" s="85" t="s">
        <v>171</v>
      </c>
      <c r="M6" s="85" t="s">
        <v>172</v>
      </c>
      <c r="N6" s="86" t="s">
        <v>170</v>
      </c>
      <c r="O6" s="85" t="s">
        <v>171</v>
      </c>
      <c r="P6" s="85" t="s">
        <v>172</v>
      </c>
      <c r="Q6" s="86" t="s">
        <v>170</v>
      </c>
      <c r="R6" s="85" t="s">
        <v>171</v>
      </c>
      <c r="S6" s="85" t="s">
        <v>172</v>
      </c>
      <c r="T6" s="86" t="s">
        <v>170</v>
      </c>
      <c r="U6" s="85" t="s">
        <v>171</v>
      </c>
      <c r="V6" s="85" t="s">
        <v>172</v>
      </c>
      <c r="W6" s="86" t="s">
        <v>170</v>
      </c>
      <c r="X6" s="85" t="s">
        <v>171</v>
      </c>
      <c r="Y6" s="87" t="s">
        <v>172</v>
      </c>
      <c r="AA6" s="64"/>
      <c r="AB6" s="64"/>
      <c r="AC6" s="64"/>
      <c r="AD6" s="64"/>
      <c r="AE6" s="64"/>
      <c r="AF6" s="64"/>
      <c r="AG6" s="64"/>
    </row>
    <row r="7" spans="1:33" s="75" customFormat="1" ht="21" customHeight="1">
      <c r="A7" s="79" t="s">
        <v>176</v>
      </c>
      <c r="B7" s="82">
        <v>245363</v>
      </c>
      <c r="C7" s="83">
        <v>108291</v>
      </c>
      <c r="D7" s="83">
        <v>137072</v>
      </c>
      <c r="E7" s="83">
        <v>34669</v>
      </c>
      <c r="F7" s="83">
        <v>13276</v>
      </c>
      <c r="G7" s="83">
        <v>21393</v>
      </c>
      <c r="H7" s="83">
        <v>39525</v>
      </c>
      <c r="I7" s="83">
        <v>16393</v>
      </c>
      <c r="J7" s="83">
        <v>23132</v>
      </c>
      <c r="K7" s="83">
        <v>47536</v>
      </c>
      <c r="L7" s="83">
        <v>21002</v>
      </c>
      <c r="M7" s="83">
        <v>26534</v>
      </c>
      <c r="N7" s="83">
        <v>36707</v>
      </c>
      <c r="O7" s="83">
        <v>17713</v>
      </c>
      <c r="P7" s="83">
        <v>18994</v>
      </c>
      <c r="Q7" s="83">
        <v>23194</v>
      </c>
      <c r="R7" s="83">
        <v>10681</v>
      </c>
      <c r="S7" s="83">
        <v>12513</v>
      </c>
      <c r="T7" s="83">
        <v>29406</v>
      </c>
      <c r="U7" s="83">
        <v>13491</v>
      </c>
      <c r="V7" s="83">
        <v>15915</v>
      </c>
      <c r="W7" s="83">
        <v>34326</v>
      </c>
      <c r="X7" s="83">
        <v>15735</v>
      </c>
      <c r="Y7" s="83">
        <v>18591</v>
      </c>
      <c r="AA7" s="64"/>
      <c r="AB7" s="64"/>
      <c r="AC7" s="64"/>
      <c r="AD7" s="64"/>
      <c r="AE7" s="64"/>
      <c r="AF7" s="64"/>
      <c r="AG7" s="64"/>
    </row>
    <row r="8" spans="1:33" s="76" customFormat="1" ht="21" customHeight="1">
      <c r="A8" s="90" t="s">
        <v>186</v>
      </c>
      <c r="B8" s="66">
        <v>46541</v>
      </c>
      <c r="C8" s="67">
        <v>20413</v>
      </c>
      <c r="D8" s="67">
        <v>26128</v>
      </c>
      <c r="E8" s="67">
        <v>6987</v>
      </c>
      <c r="F8" s="67">
        <v>2635</v>
      </c>
      <c r="G8" s="67">
        <v>4352</v>
      </c>
      <c r="H8" s="67">
        <v>8141</v>
      </c>
      <c r="I8" s="67">
        <v>3387</v>
      </c>
      <c r="J8" s="67">
        <v>4754</v>
      </c>
      <c r="K8" s="67">
        <v>8858</v>
      </c>
      <c r="L8" s="67">
        <v>3942</v>
      </c>
      <c r="M8" s="67">
        <v>4916</v>
      </c>
      <c r="N8" s="67">
        <v>7005</v>
      </c>
      <c r="O8" s="67">
        <v>3392</v>
      </c>
      <c r="P8" s="67">
        <v>3613</v>
      </c>
      <c r="Q8" s="67">
        <v>4550</v>
      </c>
      <c r="R8" s="67">
        <v>2031</v>
      </c>
      <c r="S8" s="67">
        <v>2519</v>
      </c>
      <c r="T8" s="67">
        <v>5107</v>
      </c>
      <c r="U8" s="67">
        <v>2337</v>
      </c>
      <c r="V8" s="67">
        <v>2770</v>
      </c>
      <c r="W8" s="67">
        <v>5893</v>
      </c>
      <c r="X8" s="67">
        <v>2689</v>
      </c>
      <c r="Y8" s="67">
        <v>3204</v>
      </c>
      <c r="AA8" s="64"/>
      <c r="AB8" s="64"/>
      <c r="AC8" s="64"/>
      <c r="AD8" s="64"/>
      <c r="AE8" s="64"/>
      <c r="AF8" s="64"/>
      <c r="AG8" s="64"/>
    </row>
    <row r="9" spans="1:33" s="76" customFormat="1" ht="21" customHeight="1">
      <c r="A9" s="90" t="s">
        <v>187</v>
      </c>
      <c r="B9" s="66">
        <v>38000</v>
      </c>
      <c r="C9" s="67">
        <v>15308</v>
      </c>
      <c r="D9" s="67">
        <v>22692</v>
      </c>
      <c r="E9" s="67">
        <v>3805</v>
      </c>
      <c r="F9" s="67">
        <v>1276</v>
      </c>
      <c r="G9" s="67">
        <v>2529</v>
      </c>
      <c r="H9" s="67">
        <v>5282</v>
      </c>
      <c r="I9" s="67">
        <v>1937</v>
      </c>
      <c r="J9" s="67">
        <v>3345</v>
      </c>
      <c r="K9" s="67">
        <v>8039</v>
      </c>
      <c r="L9" s="67">
        <v>3159</v>
      </c>
      <c r="M9" s="67">
        <v>4880</v>
      </c>
      <c r="N9" s="67">
        <v>5552</v>
      </c>
      <c r="O9" s="67">
        <v>2488</v>
      </c>
      <c r="P9" s="67">
        <v>3064</v>
      </c>
      <c r="Q9" s="67">
        <v>3988</v>
      </c>
      <c r="R9" s="67">
        <v>1711</v>
      </c>
      <c r="S9" s="67">
        <v>2277</v>
      </c>
      <c r="T9" s="67">
        <v>5210</v>
      </c>
      <c r="U9" s="67">
        <v>2214</v>
      </c>
      <c r="V9" s="67">
        <v>2996</v>
      </c>
      <c r="W9" s="67">
        <v>6124</v>
      </c>
      <c r="X9" s="67">
        <v>2523</v>
      </c>
      <c r="Y9" s="67">
        <v>3601</v>
      </c>
      <c r="AA9" s="64"/>
      <c r="AB9" s="64"/>
      <c r="AC9" s="64"/>
      <c r="AD9" s="64"/>
      <c r="AE9" s="64"/>
      <c r="AF9" s="64"/>
      <c r="AG9" s="64"/>
    </row>
    <row r="10" spans="1:33" s="76" customFormat="1" ht="21" customHeight="1">
      <c r="A10" s="90" t="s">
        <v>188</v>
      </c>
      <c r="B10" s="66">
        <v>16590</v>
      </c>
      <c r="C10" s="67">
        <v>7434</v>
      </c>
      <c r="D10" s="67">
        <v>9156</v>
      </c>
      <c r="E10" s="67">
        <v>1947</v>
      </c>
      <c r="F10" s="67">
        <v>750</v>
      </c>
      <c r="G10" s="67">
        <v>1197</v>
      </c>
      <c r="H10" s="67">
        <v>2334</v>
      </c>
      <c r="I10" s="67">
        <v>973</v>
      </c>
      <c r="J10" s="67">
        <v>1361</v>
      </c>
      <c r="K10" s="67">
        <v>2988</v>
      </c>
      <c r="L10" s="67">
        <v>1283</v>
      </c>
      <c r="M10" s="67">
        <v>1705</v>
      </c>
      <c r="N10" s="67">
        <v>2496</v>
      </c>
      <c r="O10" s="67">
        <v>1232</v>
      </c>
      <c r="P10" s="67">
        <v>1264</v>
      </c>
      <c r="Q10" s="67">
        <v>1787</v>
      </c>
      <c r="R10" s="67">
        <v>847</v>
      </c>
      <c r="S10" s="67">
        <v>940</v>
      </c>
      <c r="T10" s="67">
        <v>2328</v>
      </c>
      <c r="U10" s="67">
        <v>1101</v>
      </c>
      <c r="V10" s="67">
        <v>1227</v>
      </c>
      <c r="W10" s="67">
        <v>2710</v>
      </c>
      <c r="X10" s="67">
        <v>1248</v>
      </c>
      <c r="Y10" s="67">
        <v>1462</v>
      </c>
      <c r="AA10" s="64"/>
      <c r="AB10" s="64"/>
      <c r="AC10" s="64"/>
      <c r="AD10" s="64"/>
      <c r="AE10" s="64"/>
      <c r="AF10" s="64"/>
      <c r="AG10" s="64"/>
    </row>
    <row r="11" spans="1:33" s="76" customFormat="1" ht="21" customHeight="1">
      <c r="A11" s="90" t="s">
        <v>189</v>
      </c>
      <c r="B11" s="66">
        <v>27534</v>
      </c>
      <c r="C11" s="67">
        <v>11986</v>
      </c>
      <c r="D11" s="67">
        <v>15548</v>
      </c>
      <c r="E11" s="67">
        <v>3847</v>
      </c>
      <c r="F11" s="67">
        <v>1394</v>
      </c>
      <c r="G11" s="67">
        <v>2453</v>
      </c>
      <c r="H11" s="67">
        <v>4177</v>
      </c>
      <c r="I11" s="67">
        <v>1665</v>
      </c>
      <c r="J11" s="67">
        <v>2512</v>
      </c>
      <c r="K11" s="67">
        <v>4660</v>
      </c>
      <c r="L11" s="67">
        <v>2075</v>
      </c>
      <c r="M11" s="67">
        <v>2585</v>
      </c>
      <c r="N11" s="67">
        <v>4560</v>
      </c>
      <c r="O11" s="67">
        <v>2121</v>
      </c>
      <c r="P11" s="67">
        <v>2439</v>
      </c>
      <c r="Q11" s="67">
        <v>2873</v>
      </c>
      <c r="R11" s="67">
        <v>1311</v>
      </c>
      <c r="S11" s="67">
        <v>1562</v>
      </c>
      <c r="T11" s="67">
        <v>3471</v>
      </c>
      <c r="U11" s="67">
        <v>1553</v>
      </c>
      <c r="V11" s="67">
        <v>1918</v>
      </c>
      <c r="W11" s="67">
        <v>3946</v>
      </c>
      <c r="X11" s="67">
        <v>1867</v>
      </c>
      <c r="Y11" s="67">
        <v>2079</v>
      </c>
      <c r="AA11" s="64"/>
      <c r="AB11" s="64"/>
      <c r="AC11" s="64"/>
      <c r="AD11" s="64"/>
      <c r="AE11" s="64"/>
      <c r="AF11" s="64"/>
      <c r="AG11" s="64"/>
    </row>
    <row r="12" spans="1:33" s="76" customFormat="1" ht="21" customHeight="1">
      <c r="A12" s="90" t="s">
        <v>190</v>
      </c>
      <c r="B12" s="66">
        <v>11531</v>
      </c>
      <c r="C12" s="67">
        <v>5236</v>
      </c>
      <c r="D12" s="67">
        <v>6295</v>
      </c>
      <c r="E12" s="67">
        <v>1041</v>
      </c>
      <c r="F12" s="67">
        <v>439</v>
      </c>
      <c r="G12" s="67">
        <v>602</v>
      </c>
      <c r="H12" s="67">
        <v>1431</v>
      </c>
      <c r="I12" s="67">
        <v>625</v>
      </c>
      <c r="J12" s="67">
        <v>806</v>
      </c>
      <c r="K12" s="67">
        <v>2024</v>
      </c>
      <c r="L12" s="67">
        <v>863</v>
      </c>
      <c r="M12" s="67">
        <v>1161</v>
      </c>
      <c r="N12" s="67">
        <v>1882</v>
      </c>
      <c r="O12" s="67">
        <v>924</v>
      </c>
      <c r="P12" s="67">
        <v>958</v>
      </c>
      <c r="Q12" s="67">
        <v>1162</v>
      </c>
      <c r="R12" s="67">
        <v>529</v>
      </c>
      <c r="S12" s="67">
        <v>633</v>
      </c>
      <c r="T12" s="67">
        <v>1832</v>
      </c>
      <c r="U12" s="67">
        <v>842</v>
      </c>
      <c r="V12" s="67">
        <v>990</v>
      </c>
      <c r="W12" s="67">
        <v>2159</v>
      </c>
      <c r="X12" s="67">
        <v>1014</v>
      </c>
      <c r="Y12" s="67">
        <v>1145</v>
      </c>
      <c r="AA12" s="64"/>
      <c r="AB12" s="64"/>
      <c r="AC12" s="64"/>
      <c r="AD12" s="64"/>
      <c r="AE12" s="64"/>
      <c r="AF12" s="64"/>
      <c r="AG12" s="64"/>
    </row>
    <row r="13" spans="1:33" s="76" customFormat="1" ht="21" customHeight="1">
      <c r="A13" s="90" t="s">
        <v>191</v>
      </c>
      <c r="B13" s="66">
        <v>28906</v>
      </c>
      <c r="C13" s="67">
        <v>12834</v>
      </c>
      <c r="D13" s="67">
        <v>16072</v>
      </c>
      <c r="E13" s="67">
        <v>5920</v>
      </c>
      <c r="F13" s="67">
        <v>2280</v>
      </c>
      <c r="G13" s="67">
        <v>3640</v>
      </c>
      <c r="H13" s="67">
        <v>5892</v>
      </c>
      <c r="I13" s="67">
        <v>2500</v>
      </c>
      <c r="J13" s="67">
        <v>3392</v>
      </c>
      <c r="K13" s="67">
        <v>6220</v>
      </c>
      <c r="L13" s="67">
        <v>2836</v>
      </c>
      <c r="M13" s="67">
        <v>3384</v>
      </c>
      <c r="N13" s="67">
        <v>3574</v>
      </c>
      <c r="O13" s="67">
        <v>1759</v>
      </c>
      <c r="P13" s="67">
        <v>1815</v>
      </c>
      <c r="Q13" s="67">
        <v>1780</v>
      </c>
      <c r="R13" s="67">
        <v>842</v>
      </c>
      <c r="S13" s="67">
        <v>938</v>
      </c>
      <c r="T13" s="67">
        <v>2474</v>
      </c>
      <c r="U13" s="67">
        <v>1173</v>
      </c>
      <c r="V13" s="67">
        <v>1301</v>
      </c>
      <c r="W13" s="67">
        <v>3046</v>
      </c>
      <c r="X13" s="67">
        <v>1444</v>
      </c>
      <c r="Y13" s="67">
        <v>1602</v>
      </c>
      <c r="AA13" s="64"/>
      <c r="AB13" s="64"/>
      <c r="AC13" s="64"/>
      <c r="AD13" s="64"/>
      <c r="AE13" s="64"/>
      <c r="AF13" s="64"/>
      <c r="AG13" s="64"/>
    </row>
    <row r="14" spans="1:33" s="76" customFormat="1" ht="21" customHeight="1">
      <c r="A14" s="90" t="s">
        <v>192</v>
      </c>
      <c r="B14" s="66">
        <v>6308</v>
      </c>
      <c r="C14" s="67">
        <v>2794</v>
      </c>
      <c r="D14" s="67">
        <v>3514</v>
      </c>
      <c r="E14" s="67">
        <v>927</v>
      </c>
      <c r="F14" s="67">
        <v>333</v>
      </c>
      <c r="G14" s="67">
        <v>594</v>
      </c>
      <c r="H14" s="67">
        <v>938</v>
      </c>
      <c r="I14" s="67">
        <v>395</v>
      </c>
      <c r="J14" s="67">
        <v>543</v>
      </c>
      <c r="K14" s="67">
        <v>1120</v>
      </c>
      <c r="L14" s="67">
        <v>502</v>
      </c>
      <c r="M14" s="67">
        <v>618</v>
      </c>
      <c r="N14" s="67">
        <v>983</v>
      </c>
      <c r="O14" s="67">
        <v>482</v>
      </c>
      <c r="P14" s="67">
        <v>501</v>
      </c>
      <c r="Q14" s="67">
        <v>535</v>
      </c>
      <c r="R14" s="67">
        <v>264</v>
      </c>
      <c r="S14" s="67">
        <v>271</v>
      </c>
      <c r="T14" s="67">
        <v>773</v>
      </c>
      <c r="U14" s="67">
        <v>368</v>
      </c>
      <c r="V14" s="67">
        <v>405</v>
      </c>
      <c r="W14" s="67">
        <v>1032</v>
      </c>
      <c r="X14" s="67">
        <v>450</v>
      </c>
      <c r="Y14" s="67">
        <v>582</v>
      </c>
      <c r="AA14" s="64"/>
      <c r="AB14" s="64"/>
      <c r="AC14" s="64"/>
      <c r="AD14" s="64"/>
      <c r="AE14" s="64"/>
      <c r="AF14" s="64"/>
      <c r="AG14" s="64"/>
    </row>
    <row r="15" spans="1:33" s="76" customFormat="1" ht="21" customHeight="1">
      <c r="A15" s="90" t="s">
        <v>193</v>
      </c>
      <c r="B15" s="66">
        <v>4818</v>
      </c>
      <c r="C15" s="67">
        <v>2337</v>
      </c>
      <c r="D15" s="67">
        <v>2481</v>
      </c>
      <c r="E15" s="67">
        <v>360</v>
      </c>
      <c r="F15" s="67">
        <v>142</v>
      </c>
      <c r="G15" s="67">
        <v>218</v>
      </c>
      <c r="H15" s="67">
        <v>562</v>
      </c>
      <c r="I15" s="67">
        <v>233</v>
      </c>
      <c r="J15" s="67">
        <v>329</v>
      </c>
      <c r="K15" s="67">
        <v>837</v>
      </c>
      <c r="L15" s="67">
        <v>414</v>
      </c>
      <c r="M15" s="67">
        <v>423</v>
      </c>
      <c r="N15" s="67">
        <v>813</v>
      </c>
      <c r="O15" s="67">
        <v>442</v>
      </c>
      <c r="P15" s="67">
        <v>371</v>
      </c>
      <c r="Q15" s="67">
        <v>662</v>
      </c>
      <c r="R15" s="67">
        <v>317</v>
      </c>
      <c r="S15" s="67">
        <v>345</v>
      </c>
      <c r="T15" s="67">
        <v>767</v>
      </c>
      <c r="U15" s="67">
        <v>382</v>
      </c>
      <c r="V15" s="67">
        <v>385</v>
      </c>
      <c r="W15" s="67">
        <v>817</v>
      </c>
      <c r="X15" s="67">
        <v>407</v>
      </c>
      <c r="Y15" s="67">
        <v>410</v>
      </c>
      <c r="AA15" s="64"/>
      <c r="AB15" s="64"/>
      <c r="AC15" s="64"/>
      <c r="AD15" s="64"/>
      <c r="AE15" s="64"/>
      <c r="AF15" s="64"/>
      <c r="AG15" s="64"/>
    </row>
    <row r="16" spans="1:33" s="76" customFormat="1" ht="21" customHeight="1">
      <c r="A16" s="90" t="s">
        <v>194</v>
      </c>
      <c r="B16" s="66">
        <v>5293</v>
      </c>
      <c r="C16" s="67">
        <v>2495</v>
      </c>
      <c r="D16" s="67">
        <v>2798</v>
      </c>
      <c r="E16" s="67">
        <v>617</v>
      </c>
      <c r="F16" s="67">
        <v>240</v>
      </c>
      <c r="G16" s="67">
        <v>377</v>
      </c>
      <c r="H16" s="67">
        <v>682</v>
      </c>
      <c r="I16" s="67">
        <v>300</v>
      </c>
      <c r="J16" s="67">
        <v>382</v>
      </c>
      <c r="K16" s="67">
        <v>871</v>
      </c>
      <c r="L16" s="67">
        <v>410</v>
      </c>
      <c r="M16" s="67">
        <v>461</v>
      </c>
      <c r="N16" s="67">
        <v>946</v>
      </c>
      <c r="O16" s="67">
        <v>481</v>
      </c>
      <c r="P16" s="67">
        <v>465</v>
      </c>
      <c r="Q16" s="67">
        <v>671</v>
      </c>
      <c r="R16" s="67">
        <v>346</v>
      </c>
      <c r="S16" s="67">
        <v>325</v>
      </c>
      <c r="T16" s="67">
        <v>682</v>
      </c>
      <c r="U16" s="67">
        <v>340</v>
      </c>
      <c r="V16" s="67">
        <v>342</v>
      </c>
      <c r="W16" s="67">
        <v>824</v>
      </c>
      <c r="X16" s="67">
        <v>378</v>
      </c>
      <c r="Y16" s="67">
        <v>446</v>
      </c>
      <c r="AA16" s="64"/>
      <c r="AB16" s="64"/>
      <c r="AC16" s="64"/>
      <c r="AD16" s="64"/>
      <c r="AE16" s="64"/>
      <c r="AF16" s="64"/>
      <c r="AG16" s="64"/>
    </row>
    <row r="17" spans="1:33" s="76" customFormat="1" ht="21" customHeight="1">
      <c r="A17" s="90" t="s">
        <v>195</v>
      </c>
      <c r="B17" s="66">
        <v>12070</v>
      </c>
      <c r="C17" s="67">
        <v>5536</v>
      </c>
      <c r="D17" s="67">
        <v>6534</v>
      </c>
      <c r="E17" s="67">
        <v>1538</v>
      </c>
      <c r="F17" s="67">
        <v>693</v>
      </c>
      <c r="G17" s="67">
        <v>845</v>
      </c>
      <c r="H17" s="67">
        <v>2291</v>
      </c>
      <c r="I17" s="67">
        <v>1015</v>
      </c>
      <c r="J17" s="67">
        <v>1276</v>
      </c>
      <c r="K17" s="67">
        <v>2666</v>
      </c>
      <c r="L17" s="67">
        <v>1187</v>
      </c>
      <c r="M17" s="67">
        <v>1479</v>
      </c>
      <c r="N17" s="67">
        <v>1790</v>
      </c>
      <c r="O17" s="67">
        <v>849</v>
      </c>
      <c r="P17" s="67">
        <v>941</v>
      </c>
      <c r="Q17" s="67">
        <v>1010</v>
      </c>
      <c r="R17" s="67">
        <v>480</v>
      </c>
      <c r="S17" s="67">
        <v>530</v>
      </c>
      <c r="T17" s="67">
        <v>1296</v>
      </c>
      <c r="U17" s="67">
        <v>606</v>
      </c>
      <c r="V17" s="67">
        <v>690</v>
      </c>
      <c r="W17" s="67">
        <v>1479</v>
      </c>
      <c r="X17" s="67">
        <v>706</v>
      </c>
      <c r="Y17" s="67">
        <v>773</v>
      </c>
      <c r="AA17" s="64"/>
      <c r="AB17" s="64"/>
      <c r="AC17" s="64"/>
      <c r="AD17" s="64"/>
      <c r="AE17" s="64"/>
      <c r="AF17" s="64"/>
      <c r="AG17" s="64"/>
    </row>
    <row r="18" spans="1:33" s="76" customFormat="1" ht="21" customHeight="1">
      <c r="A18" s="90" t="s">
        <v>196</v>
      </c>
      <c r="B18" s="66">
        <v>6187</v>
      </c>
      <c r="C18" s="67">
        <v>2891</v>
      </c>
      <c r="D18" s="67">
        <v>3296</v>
      </c>
      <c r="E18" s="67">
        <v>1128</v>
      </c>
      <c r="F18" s="67">
        <v>474</v>
      </c>
      <c r="G18" s="67">
        <v>654</v>
      </c>
      <c r="H18" s="67">
        <v>1042</v>
      </c>
      <c r="I18" s="67">
        <v>459</v>
      </c>
      <c r="J18" s="67">
        <v>583</v>
      </c>
      <c r="K18" s="67">
        <v>1056</v>
      </c>
      <c r="L18" s="67">
        <v>501</v>
      </c>
      <c r="M18" s="67">
        <v>555</v>
      </c>
      <c r="N18" s="67">
        <v>912</v>
      </c>
      <c r="O18" s="67">
        <v>468</v>
      </c>
      <c r="P18" s="67">
        <v>444</v>
      </c>
      <c r="Q18" s="67">
        <v>595</v>
      </c>
      <c r="R18" s="67">
        <v>297</v>
      </c>
      <c r="S18" s="67">
        <v>298</v>
      </c>
      <c r="T18" s="67">
        <v>684</v>
      </c>
      <c r="U18" s="67">
        <v>335</v>
      </c>
      <c r="V18" s="67">
        <v>349</v>
      </c>
      <c r="W18" s="67">
        <v>770</v>
      </c>
      <c r="X18" s="67">
        <v>357</v>
      </c>
      <c r="Y18" s="67">
        <v>413</v>
      </c>
      <c r="AA18" s="64"/>
      <c r="AB18" s="64"/>
      <c r="AC18" s="64"/>
      <c r="AD18" s="64"/>
      <c r="AE18" s="64"/>
      <c r="AF18" s="64"/>
      <c r="AG18" s="64"/>
    </row>
    <row r="19" spans="1:33" s="76" customFormat="1" ht="21" customHeight="1">
      <c r="A19" s="90" t="s">
        <v>197</v>
      </c>
      <c r="B19" s="66">
        <v>4681</v>
      </c>
      <c r="C19" s="67">
        <v>2251</v>
      </c>
      <c r="D19" s="67">
        <v>2430</v>
      </c>
      <c r="E19" s="67">
        <v>557</v>
      </c>
      <c r="F19" s="67">
        <v>220</v>
      </c>
      <c r="G19" s="67">
        <v>337</v>
      </c>
      <c r="H19" s="67">
        <v>615</v>
      </c>
      <c r="I19" s="67">
        <v>264</v>
      </c>
      <c r="J19" s="67">
        <v>351</v>
      </c>
      <c r="K19" s="67">
        <v>796</v>
      </c>
      <c r="L19" s="67">
        <v>380</v>
      </c>
      <c r="M19" s="67">
        <v>416</v>
      </c>
      <c r="N19" s="67">
        <v>745</v>
      </c>
      <c r="O19" s="67">
        <v>399</v>
      </c>
      <c r="P19" s="67">
        <v>346</v>
      </c>
      <c r="Q19" s="67">
        <v>450</v>
      </c>
      <c r="R19" s="67">
        <v>239</v>
      </c>
      <c r="S19" s="67">
        <v>211</v>
      </c>
      <c r="T19" s="67">
        <v>621</v>
      </c>
      <c r="U19" s="67">
        <v>295</v>
      </c>
      <c r="V19" s="67">
        <v>326</v>
      </c>
      <c r="W19" s="67">
        <v>897</v>
      </c>
      <c r="X19" s="67">
        <v>454</v>
      </c>
      <c r="Y19" s="67">
        <v>443</v>
      </c>
      <c r="AA19" s="64"/>
      <c r="AB19" s="64"/>
      <c r="AC19" s="64"/>
      <c r="AD19" s="64"/>
      <c r="AE19" s="64"/>
      <c r="AF19" s="64"/>
      <c r="AG19" s="64"/>
    </row>
    <row r="20" spans="1:33" s="120" customFormat="1" ht="21" customHeight="1">
      <c r="A20" s="90" t="s">
        <v>198</v>
      </c>
      <c r="B20" s="118">
        <v>6985</v>
      </c>
      <c r="C20" s="119">
        <v>3223</v>
      </c>
      <c r="D20" s="119">
        <v>3762</v>
      </c>
      <c r="E20" s="119">
        <v>1345</v>
      </c>
      <c r="F20" s="119">
        <v>577</v>
      </c>
      <c r="G20" s="119">
        <v>768</v>
      </c>
      <c r="H20" s="119">
        <v>1476</v>
      </c>
      <c r="I20" s="119">
        <v>656</v>
      </c>
      <c r="J20" s="119">
        <v>820</v>
      </c>
      <c r="K20" s="119">
        <v>1435</v>
      </c>
      <c r="L20" s="119">
        <v>677</v>
      </c>
      <c r="M20" s="119">
        <v>758</v>
      </c>
      <c r="N20" s="119">
        <v>833</v>
      </c>
      <c r="O20" s="119">
        <v>436</v>
      </c>
      <c r="P20" s="119">
        <v>397</v>
      </c>
      <c r="Q20" s="119">
        <v>356</v>
      </c>
      <c r="R20" s="119">
        <v>166</v>
      </c>
      <c r="S20" s="119">
        <v>190</v>
      </c>
      <c r="T20" s="119">
        <v>657</v>
      </c>
      <c r="U20" s="119">
        <v>302</v>
      </c>
      <c r="V20" s="119">
        <v>355</v>
      </c>
      <c r="W20" s="119">
        <v>883</v>
      </c>
      <c r="X20" s="119">
        <v>409</v>
      </c>
      <c r="Y20" s="119">
        <v>474</v>
      </c>
      <c r="AA20" s="64"/>
      <c r="AB20" s="64"/>
      <c r="AC20" s="64"/>
      <c r="AD20" s="64"/>
      <c r="AE20" s="121"/>
      <c r="AF20" s="121"/>
      <c r="AG20" s="121"/>
    </row>
    <row r="21" spans="1:33" s="76" customFormat="1" ht="21" customHeight="1">
      <c r="A21" s="90" t="s">
        <v>199</v>
      </c>
      <c r="B21" s="66">
        <v>8784</v>
      </c>
      <c r="C21" s="67">
        <v>4070</v>
      </c>
      <c r="D21" s="67">
        <v>4714</v>
      </c>
      <c r="E21" s="67">
        <v>1231</v>
      </c>
      <c r="F21" s="67">
        <v>505</v>
      </c>
      <c r="G21" s="67">
        <v>726</v>
      </c>
      <c r="H21" s="67">
        <v>1323</v>
      </c>
      <c r="I21" s="67">
        <v>549</v>
      </c>
      <c r="J21" s="67">
        <v>774</v>
      </c>
      <c r="K21" s="67">
        <v>1668</v>
      </c>
      <c r="L21" s="67">
        <v>799</v>
      </c>
      <c r="M21" s="67">
        <v>869</v>
      </c>
      <c r="N21" s="67">
        <v>1500</v>
      </c>
      <c r="O21" s="67">
        <v>758</v>
      </c>
      <c r="P21" s="67">
        <v>742</v>
      </c>
      <c r="Q21" s="67">
        <v>937</v>
      </c>
      <c r="R21" s="67">
        <v>439</v>
      </c>
      <c r="S21" s="67">
        <v>498</v>
      </c>
      <c r="T21" s="67">
        <v>1090</v>
      </c>
      <c r="U21" s="67">
        <v>528</v>
      </c>
      <c r="V21" s="67">
        <v>562</v>
      </c>
      <c r="W21" s="67">
        <v>1035</v>
      </c>
      <c r="X21" s="67">
        <v>492</v>
      </c>
      <c r="Y21" s="67">
        <v>543</v>
      </c>
      <c r="AA21" s="64"/>
      <c r="AB21" s="64"/>
      <c r="AC21" s="64"/>
      <c r="AD21" s="64"/>
      <c r="AE21" s="64"/>
      <c r="AF21" s="64"/>
      <c r="AG21" s="64"/>
    </row>
    <row r="22" spans="1:33" s="76" customFormat="1" ht="21" customHeight="1">
      <c r="A22" s="90" t="s">
        <v>200</v>
      </c>
      <c r="B22" s="66">
        <v>3114</v>
      </c>
      <c r="C22" s="67">
        <v>1480</v>
      </c>
      <c r="D22" s="67">
        <v>1634</v>
      </c>
      <c r="E22" s="67">
        <v>434</v>
      </c>
      <c r="F22" s="67">
        <v>178</v>
      </c>
      <c r="G22" s="67">
        <v>256</v>
      </c>
      <c r="H22" s="67">
        <v>447</v>
      </c>
      <c r="I22" s="67">
        <v>190</v>
      </c>
      <c r="J22" s="67">
        <v>257</v>
      </c>
      <c r="K22" s="67">
        <v>566</v>
      </c>
      <c r="L22" s="67">
        <v>256</v>
      </c>
      <c r="M22" s="67">
        <v>310</v>
      </c>
      <c r="N22" s="67">
        <v>481</v>
      </c>
      <c r="O22" s="67">
        <v>258</v>
      </c>
      <c r="P22" s="67">
        <v>223</v>
      </c>
      <c r="Q22" s="67">
        <v>227</v>
      </c>
      <c r="R22" s="67">
        <v>117</v>
      </c>
      <c r="S22" s="67">
        <v>110</v>
      </c>
      <c r="T22" s="67">
        <v>435</v>
      </c>
      <c r="U22" s="67">
        <v>219</v>
      </c>
      <c r="V22" s="67">
        <v>216</v>
      </c>
      <c r="W22" s="67">
        <v>524</v>
      </c>
      <c r="X22" s="67">
        <v>262</v>
      </c>
      <c r="Y22" s="67">
        <v>262</v>
      </c>
      <c r="AA22" s="64"/>
      <c r="AB22" s="64"/>
      <c r="AC22" s="64"/>
      <c r="AD22" s="64"/>
      <c r="AE22" s="64"/>
      <c r="AF22" s="64"/>
      <c r="AG22" s="64"/>
    </row>
    <row r="23" spans="1:33" s="76" customFormat="1" ht="21" customHeight="1">
      <c r="A23" s="90" t="s">
        <v>178</v>
      </c>
      <c r="B23" s="66">
        <v>5317</v>
      </c>
      <c r="C23" s="67">
        <v>2501</v>
      </c>
      <c r="D23" s="67">
        <v>2816</v>
      </c>
      <c r="E23" s="67">
        <v>878</v>
      </c>
      <c r="F23" s="67">
        <v>370</v>
      </c>
      <c r="G23" s="67">
        <v>508</v>
      </c>
      <c r="H23" s="67">
        <v>813</v>
      </c>
      <c r="I23" s="67">
        <v>342</v>
      </c>
      <c r="J23" s="67">
        <v>471</v>
      </c>
      <c r="K23" s="67">
        <v>1010</v>
      </c>
      <c r="L23" s="67">
        <v>494</v>
      </c>
      <c r="M23" s="67">
        <v>516</v>
      </c>
      <c r="N23" s="67">
        <v>707</v>
      </c>
      <c r="O23" s="67">
        <v>340</v>
      </c>
      <c r="P23" s="67">
        <v>367</v>
      </c>
      <c r="Q23" s="67">
        <v>437</v>
      </c>
      <c r="R23" s="67">
        <v>215</v>
      </c>
      <c r="S23" s="67">
        <v>222</v>
      </c>
      <c r="T23" s="67">
        <v>662</v>
      </c>
      <c r="U23" s="67">
        <v>319</v>
      </c>
      <c r="V23" s="67">
        <v>343</v>
      </c>
      <c r="W23" s="67">
        <v>810</v>
      </c>
      <c r="X23" s="67">
        <v>421</v>
      </c>
      <c r="Y23" s="67">
        <v>389</v>
      </c>
      <c r="AA23" s="64"/>
      <c r="AB23" s="64"/>
      <c r="AC23" s="64"/>
      <c r="AD23" s="64"/>
      <c r="AE23" s="64"/>
      <c r="AF23" s="64"/>
      <c r="AG23" s="64"/>
    </row>
    <row r="24" spans="1:33" s="76" customFormat="1" ht="21" customHeight="1">
      <c r="A24" s="90" t="s">
        <v>179</v>
      </c>
      <c r="B24" s="66">
        <v>671</v>
      </c>
      <c r="C24" s="67">
        <v>300</v>
      </c>
      <c r="D24" s="67">
        <v>371</v>
      </c>
      <c r="E24" s="67">
        <v>112</v>
      </c>
      <c r="F24" s="67">
        <v>49</v>
      </c>
      <c r="G24" s="67">
        <v>63</v>
      </c>
      <c r="H24" s="67">
        <v>57</v>
      </c>
      <c r="I24" s="67">
        <v>29</v>
      </c>
      <c r="J24" s="67">
        <v>28</v>
      </c>
      <c r="K24" s="67">
        <v>184</v>
      </c>
      <c r="L24" s="67">
        <v>87</v>
      </c>
      <c r="M24" s="67">
        <v>97</v>
      </c>
      <c r="N24" s="67">
        <v>113</v>
      </c>
      <c r="O24" s="67">
        <v>54</v>
      </c>
      <c r="P24" s="67">
        <v>59</v>
      </c>
      <c r="Q24" s="67">
        <v>37</v>
      </c>
      <c r="R24" s="67">
        <v>22</v>
      </c>
      <c r="S24" s="67">
        <v>15</v>
      </c>
      <c r="T24" s="67">
        <v>77</v>
      </c>
      <c r="U24" s="67">
        <v>22</v>
      </c>
      <c r="V24" s="67">
        <v>55</v>
      </c>
      <c r="W24" s="67">
        <v>91</v>
      </c>
      <c r="X24" s="67">
        <v>37</v>
      </c>
      <c r="Y24" s="67">
        <v>54</v>
      </c>
      <c r="AA24" s="64"/>
      <c r="AB24" s="64"/>
      <c r="AC24" s="64"/>
      <c r="AD24" s="64"/>
      <c r="AE24" s="64"/>
      <c r="AF24" s="64"/>
      <c r="AG24" s="64"/>
    </row>
    <row r="25" spans="1:33" s="76" customFormat="1" ht="21" customHeight="1">
      <c r="A25" s="90" t="s">
        <v>180</v>
      </c>
      <c r="B25" s="66">
        <v>3631</v>
      </c>
      <c r="C25" s="67">
        <v>1613</v>
      </c>
      <c r="D25" s="67">
        <v>2018</v>
      </c>
      <c r="E25" s="67">
        <v>536</v>
      </c>
      <c r="F25" s="67">
        <v>210</v>
      </c>
      <c r="G25" s="67">
        <v>326</v>
      </c>
      <c r="H25" s="67">
        <v>627</v>
      </c>
      <c r="I25" s="67">
        <v>294</v>
      </c>
      <c r="J25" s="67">
        <v>333</v>
      </c>
      <c r="K25" s="67">
        <v>901</v>
      </c>
      <c r="L25" s="67">
        <v>405</v>
      </c>
      <c r="M25" s="67">
        <v>496</v>
      </c>
      <c r="N25" s="67">
        <v>534</v>
      </c>
      <c r="O25" s="67">
        <v>245</v>
      </c>
      <c r="P25" s="67">
        <v>289</v>
      </c>
      <c r="Q25" s="67">
        <v>265</v>
      </c>
      <c r="R25" s="67">
        <v>132</v>
      </c>
      <c r="S25" s="67">
        <v>133</v>
      </c>
      <c r="T25" s="67">
        <v>404</v>
      </c>
      <c r="U25" s="67">
        <v>172</v>
      </c>
      <c r="V25" s="67">
        <v>232</v>
      </c>
      <c r="W25" s="67">
        <v>364</v>
      </c>
      <c r="X25" s="67">
        <v>155</v>
      </c>
      <c r="Y25" s="67">
        <v>209</v>
      </c>
      <c r="AA25" s="64"/>
      <c r="AB25" s="64"/>
      <c r="AC25" s="64"/>
      <c r="AD25" s="64"/>
      <c r="AE25" s="64"/>
      <c r="AF25" s="64"/>
      <c r="AG25" s="64"/>
    </row>
    <row r="26" spans="1:33" s="76" customFormat="1" ht="21" customHeight="1">
      <c r="A26" s="90" t="s">
        <v>181</v>
      </c>
      <c r="B26" s="66">
        <v>6003</v>
      </c>
      <c r="C26" s="67">
        <v>2560</v>
      </c>
      <c r="D26" s="67">
        <v>3443</v>
      </c>
      <c r="E26" s="67">
        <v>1109</v>
      </c>
      <c r="F26" s="67">
        <v>397</v>
      </c>
      <c r="G26" s="67">
        <v>712</v>
      </c>
      <c r="H26" s="67">
        <v>1039</v>
      </c>
      <c r="I26" s="67">
        <v>435</v>
      </c>
      <c r="J26" s="67">
        <v>604</v>
      </c>
      <c r="K26" s="67">
        <v>1189</v>
      </c>
      <c r="L26" s="67">
        <v>521</v>
      </c>
      <c r="M26" s="67">
        <v>668</v>
      </c>
      <c r="N26" s="67">
        <v>882</v>
      </c>
      <c r="O26" s="67">
        <v>398</v>
      </c>
      <c r="P26" s="67">
        <v>484</v>
      </c>
      <c r="Q26" s="67">
        <v>620</v>
      </c>
      <c r="R26" s="67">
        <v>267</v>
      </c>
      <c r="S26" s="67">
        <v>353</v>
      </c>
      <c r="T26" s="67">
        <v>547</v>
      </c>
      <c r="U26" s="67">
        <v>250</v>
      </c>
      <c r="V26" s="67">
        <v>297</v>
      </c>
      <c r="W26" s="67">
        <v>617</v>
      </c>
      <c r="X26" s="67">
        <v>292</v>
      </c>
      <c r="Y26" s="67">
        <v>325</v>
      </c>
      <c r="AA26" s="64"/>
      <c r="AB26" s="64"/>
      <c r="AC26" s="64"/>
      <c r="AD26" s="64"/>
      <c r="AE26" s="64"/>
      <c r="AF26" s="64"/>
      <c r="AG26" s="64"/>
    </row>
    <row r="27" spans="1:33" s="76" customFormat="1" ht="21" customHeight="1">
      <c r="A27" s="90" t="s">
        <v>182</v>
      </c>
      <c r="B27" s="66">
        <v>1659</v>
      </c>
      <c r="C27" s="67">
        <v>715</v>
      </c>
      <c r="D27" s="67">
        <v>944</v>
      </c>
      <c r="E27" s="67">
        <v>220</v>
      </c>
      <c r="F27" s="67">
        <v>73</v>
      </c>
      <c r="G27" s="67">
        <v>147</v>
      </c>
      <c r="H27" s="67">
        <v>232</v>
      </c>
      <c r="I27" s="67">
        <v>100</v>
      </c>
      <c r="J27" s="67">
        <v>132</v>
      </c>
      <c r="K27" s="67">
        <v>316</v>
      </c>
      <c r="L27" s="67">
        <v>145</v>
      </c>
      <c r="M27" s="67">
        <v>171</v>
      </c>
      <c r="N27" s="67">
        <v>290</v>
      </c>
      <c r="O27" s="67">
        <v>140</v>
      </c>
      <c r="P27" s="67">
        <v>150</v>
      </c>
      <c r="Q27" s="67">
        <v>191</v>
      </c>
      <c r="R27" s="67">
        <v>80</v>
      </c>
      <c r="S27" s="67">
        <v>111</v>
      </c>
      <c r="T27" s="67">
        <v>199</v>
      </c>
      <c r="U27" s="67">
        <v>96</v>
      </c>
      <c r="V27" s="67">
        <v>103</v>
      </c>
      <c r="W27" s="67">
        <v>211</v>
      </c>
      <c r="X27" s="67">
        <v>81</v>
      </c>
      <c r="Y27" s="67">
        <v>130</v>
      </c>
      <c r="AA27" s="64"/>
      <c r="AB27" s="64"/>
      <c r="AC27" s="64"/>
      <c r="AD27" s="64"/>
      <c r="AE27" s="64"/>
      <c r="AF27" s="64"/>
      <c r="AG27" s="64"/>
    </row>
    <row r="28" spans="1:33" s="76" customFormat="1" ht="21" customHeight="1">
      <c r="A28" s="90" t="s">
        <v>183</v>
      </c>
      <c r="B28" s="66">
        <v>711</v>
      </c>
      <c r="C28" s="67">
        <v>300</v>
      </c>
      <c r="D28" s="67">
        <v>411</v>
      </c>
      <c r="E28" s="67">
        <v>121</v>
      </c>
      <c r="F28" s="67">
        <v>36</v>
      </c>
      <c r="G28" s="67">
        <v>85</v>
      </c>
      <c r="H28" s="67">
        <v>119</v>
      </c>
      <c r="I28" s="67">
        <v>44</v>
      </c>
      <c r="J28" s="67">
        <v>75</v>
      </c>
      <c r="K28" s="67">
        <v>128</v>
      </c>
      <c r="L28" s="67">
        <v>64</v>
      </c>
      <c r="M28" s="67">
        <v>64</v>
      </c>
      <c r="N28" s="67">
        <v>105</v>
      </c>
      <c r="O28" s="67">
        <v>45</v>
      </c>
      <c r="P28" s="67">
        <v>60</v>
      </c>
      <c r="Q28" s="67">
        <v>57</v>
      </c>
      <c r="R28" s="67">
        <v>27</v>
      </c>
      <c r="S28" s="67">
        <v>30</v>
      </c>
      <c r="T28" s="67">
        <v>89</v>
      </c>
      <c r="U28" s="67">
        <v>37</v>
      </c>
      <c r="V28" s="67">
        <v>52</v>
      </c>
      <c r="W28" s="67">
        <v>92</v>
      </c>
      <c r="X28" s="67">
        <v>47</v>
      </c>
      <c r="Y28" s="67">
        <v>45</v>
      </c>
      <c r="AA28" s="64"/>
      <c r="AB28" s="64"/>
      <c r="AC28" s="64"/>
      <c r="AD28" s="64"/>
      <c r="AE28" s="64"/>
      <c r="AF28" s="64"/>
      <c r="AG28" s="64"/>
    </row>
    <row r="29" spans="1:33" s="76" customFormat="1" ht="21" customHeight="1" thickBot="1">
      <c r="A29" s="91" t="s">
        <v>184</v>
      </c>
      <c r="B29" s="88">
        <v>29</v>
      </c>
      <c r="C29" s="89">
        <v>14</v>
      </c>
      <c r="D29" s="89">
        <v>15</v>
      </c>
      <c r="E29" s="89">
        <v>9</v>
      </c>
      <c r="F29" s="89">
        <v>5</v>
      </c>
      <c r="G29" s="89">
        <v>4</v>
      </c>
      <c r="H29" s="89">
        <v>5</v>
      </c>
      <c r="I29" s="89">
        <v>1</v>
      </c>
      <c r="J29" s="89">
        <v>4</v>
      </c>
      <c r="K29" s="89">
        <v>4</v>
      </c>
      <c r="L29" s="89">
        <v>2</v>
      </c>
      <c r="M29" s="89">
        <v>2</v>
      </c>
      <c r="N29" s="89">
        <v>4</v>
      </c>
      <c r="O29" s="89">
        <v>2</v>
      </c>
      <c r="P29" s="89">
        <v>2</v>
      </c>
      <c r="Q29" s="89">
        <v>4</v>
      </c>
      <c r="R29" s="89">
        <v>2</v>
      </c>
      <c r="S29" s="89">
        <v>2</v>
      </c>
      <c r="T29" s="89">
        <v>1</v>
      </c>
      <c r="U29" s="89">
        <v>0</v>
      </c>
      <c r="V29" s="89">
        <v>1</v>
      </c>
      <c r="W29" s="89">
        <v>2</v>
      </c>
      <c r="X29" s="89">
        <v>2</v>
      </c>
      <c r="Y29" s="89">
        <v>0</v>
      </c>
      <c r="AA29" s="64"/>
      <c r="AB29" s="64"/>
      <c r="AC29" s="64"/>
      <c r="AD29" s="64"/>
      <c r="AE29" s="64"/>
      <c r="AF29" s="64"/>
      <c r="AG29" s="64"/>
    </row>
    <row r="30" spans="1:33" ht="20.25">
      <c r="A30" s="77" t="s">
        <v>175</v>
      </c>
      <c r="AA30" s="64"/>
      <c r="AB30" s="64"/>
      <c r="AC30" s="64"/>
      <c r="AD30" s="64"/>
      <c r="AE30" s="64"/>
      <c r="AF30" s="64"/>
      <c r="AG30" s="64"/>
    </row>
    <row r="31" spans="1:33" ht="20.25">
      <c r="A31" s="6" t="s">
        <v>168</v>
      </c>
      <c r="AA31" s="64"/>
      <c r="AB31" s="64"/>
      <c r="AC31" s="64"/>
      <c r="AD31" s="64"/>
    </row>
    <row r="32" spans="1:33">
      <c r="A32" s="6" t="s">
        <v>174</v>
      </c>
    </row>
    <row r="33" spans="1:1">
      <c r="A33" s="69"/>
    </row>
    <row r="34" spans="1:1" ht="16.5">
      <c r="A34" s="124" t="s">
        <v>236</v>
      </c>
    </row>
  </sheetData>
  <mergeCells count="10">
    <mergeCell ref="A4:A6"/>
    <mergeCell ref="B4:Y4"/>
    <mergeCell ref="B5:D5"/>
    <mergeCell ref="E5:G5"/>
    <mergeCell ref="H5:J5"/>
    <mergeCell ref="K5:M5"/>
    <mergeCell ref="N5:P5"/>
    <mergeCell ref="Q5:S5"/>
    <mergeCell ref="T5:V5"/>
    <mergeCell ref="W5:Y5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4"/>
  <sheetViews>
    <sheetView zoomScale="80" zoomScaleNormal="80" zoomScaleSheetLayoutView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4" sqref="B4:Y4"/>
    </sheetView>
  </sheetViews>
  <sheetFormatPr defaultColWidth="9" defaultRowHeight="15.75"/>
  <cols>
    <col min="1" max="1" width="33.875" style="74" customWidth="1"/>
    <col min="2" max="4" width="10.25" style="74" customWidth="1"/>
    <col min="5" max="25" width="8.5" style="74" customWidth="1"/>
    <col min="26" max="27" width="9" style="74"/>
    <col min="28" max="28" width="11.875" style="74" bestFit="1" customWidth="1"/>
    <col min="29" max="16384" width="9" style="74"/>
  </cols>
  <sheetData>
    <row r="1" spans="1:33" s="64" customFormat="1" ht="27" customHeight="1">
      <c r="A1" s="70" t="s">
        <v>177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</row>
    <row r="2" spans="1:33" s="64" customFormat="1" ht="18" customHeight="1">
      <c r="A2" s="71" t="s">
        <v>166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</row>
    <row r="3" spans="1:33" s="73" customFormat="1" ht="18" customHeight="1" thickBot="1">
      <c r="A3" s="92" t="s">
        <v>208</v>
      </c>
      <c r="B3" s="81"/>
      <c r="C3" s="81"/>
      <c r="D3" s="81"/>
      <c r="E3" s="81"/>
      <c r="F3" s="81"/>
      <c r="G3" s="81"/>
      <c r="H3" s="81"/>
      <c r="I3" s="81"/>
      <c r="J3" s="72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72"/>
      <c r="Z3" s="72"/>
      <c r="AA3" s="64"/>
      <c r="AB3" s="64"/>
      <c r="AC3" s="64"/>
      <c r="AD3" s="64"/>
      <c r="AE3" s="64"/>
      <c r="AF3" s="64"/>
      <c r="AG3" s="64"/>
    </row>
    <row r="4" spans="1:33" ht="21.75" customHeight="1">
      <c r="A4" s="139" t="s">
        <v>173</v>
      </c>
      <c r="B4" s="132" t="s">
        <v>243</v>
      </c>
      <c r="C4" s="133"/>
      <c r="D4" s="133"/>
      <c r="E4" s="133"/>
      <c r="F4" s="133"/>
      <c r="G4" s="133"/>
      <c r="H4" s="133"/>
      <c r="I4" s="133"/>
      <c r="J4" s="134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4"/>
      <c r="AA4" s="64"/>
      <c r="AB4" s="64"/>
      <c r="AC4" s="64"/>
      <c r="AD4" s="64"/>
      <c r="AE4" s="64"/>
      <c r="AF4" s="64"/>
      <c r="AG4" s="64"/>
    </row>
    <row r="5" spans="1:33" ht="21.75" customHeight="1">
      <c r="A5" s="130"/>
      <c r="B5" s="135" t="s">
        <v>185</v>
      </c>
      <c r="C5" s="135"/>
      <c r="D5" s="136"/>
      <c r="E5" s="137" t="s">
        <v>201</v>
      </c>
      <c r="F5" s="137"/>
      <c r="G5" s="137"/>
      <c r="H5" s="137" t="s">
        <v>202</v>
      </c>
      <c r="I5" s="137"/>
      <c r="J5" s="138"/>
      <c r="K5" s="137" t="s">
        <v>203</v>
      </c>
      <c r="L5" s="137"/>
      <c r="M5" s="137"/>
      <c r="N5" s="137" t="s">
        <v>204</v>
      </c>
      <c r="O5" s="137"/>
      <c r="P5" s="137"/>
      <c r="Q5" s="137" t="s">
        <v>205</v>
      </c>
      <c r="R5" s="137"/>
      <c r="S5" s="137"/>
      <c r="T5" s="137" t="s">
        <v>206</v>
      </c>
      <c r="U5" s="137"/>
      <c r="V5" s="137"/>
      <c r="W5" s="137" t="s">
        <v>207</v>
      </c>
      <c r="X5" s="137"/>
      <c r="Y5" s="138"/>
      <c r="AA5" s="64"/>
      <c r="AB5" s="64"/>
      <c r="AC5" s="64"/>
      <c r="AD5" s="64"/>
      <c r="AE5" s="64"/>
      <c r="AF5" s="64"/>
      <c r="AG5" s="64"/>
    </row>
    <row r="6" spans="1:33" ht="40.15" customHeight="1" thickBot="1">
      <c r="A6" s="131"/>
      <c r="B6" s="84" t="s">
        <v>170</v>
      </c>
      <c r="C6" s="85" t="s">
        <v>171</v>
      </c>
      <c r="D6" s="85" t="s">
        <v>172</v>
      </c>
      <c r="E6" s="86" t="s">
        <v>170</v>
      </c>
      <c r="F6" s="85" t="s">
        <v>171</v>
      </c>
      <c r="G6" s="85" t="s">
        <v>172</v>
      </c>
      <c r="H6" s="86" t="s">
        <v>170</v>
      </c>
      <c r="I6" s="85" t="s">
        <v>171</v>
      </c>
      <c r="J6" s="85" t="s">
        <v>172</v>
      </c>
      <c r="K6" s="86" t="s">
        <v>170</v>
      </c>
      <c r="L6" s="85" t="s">
        <v>171</v>
      </c>
      <c r="M6" s="85" t="s">
        <v>172</v>
      </c>
      <c r="N6" s="86" t="s">
        <v>170</v>
      </c>
      <c r="O6" s="85" t="s">
        <v>171</v>
      </c>
      <c r="P6" s="85" t="s">
        <v>172</v>
      </c>
      <c r="Q6" s="86" t="s">
        <v>170</v>
      </c>
      <c r="R6" s="85" t="s">
        <v>171</v>
      </c>
      <c r="S6" s="85" t="s">
        <v>172</v>
      </c>
      <c r="T6" s="86" t="s">
        <v>170</v>
      </c>
      <c r="U6" s="85" t="s">
        <v>171</v>
      </c>
      <c r="V6" s="85" t="s">
        <v>172</v>
      </c>
      <c r="W6" s="86" t="s">
        <v>170</v>
      </c>
      <c r="X6" s="85" t="s">
        <v>171</v>
      </c>
      <c r="Y6" s="87" t="s">
        <v>172</v>
      </c>
      <c r="AA6" s="64"/>
      <c r="AB6" s="64"/>
      <c r="AC6" s="64"/>
      <c r="AD6" s="64"/>
      <c r="AE6" s="64"/>
      <c r="AF6" s="64"/>
      <c r="AG6" s="64"/>
    </row>
    <row r="7" spans="1:33" s="75" customFormat="1" ht="21" customHeight="1">
      <c r="A7" s="79" t="s">
        <v>176</v>
      </c>
      <c r="B7" s="82">
        <v>204157</v>
      </c>
      <c r="C7" s="83">
        <v>91802</v>
      </c>
      <c r="D7" s="83">
        <v>112355</v>
      </c>
      <c r="E7" s="83">
        <v>23093</v>
      </c>
      <c r="F7" s="83">
        <v>8857</v>
      </c>
      <c r="G7" s="83">
        <v>14236</v>
      </c>
      <c r="H7" s="83">
        <v>27722</v>
      </c>
      <c r="I7" s="83">
        <v>11603</v>
      </c>
      <c r="J7" s="83">
        <v>16119</v>
      </c>
      <c r="K7" s="83">
        <v>39652</v>
      </c>
      <c r="L7" s="83">
        <v>17601</v>
      </c>
      <c r="M7" s="83">
        <v>22051</v>
      </c>
      <c r="N7" s="83">
        <v>32425</v>
      </c>
      <c r="O7" s="83">
        <v>15828</v>
      </c>
      <c r="P7" s="83">
        <v>16597</v>
      </c>
      <c r="Q7" s="83">
        <v>22137</v>
      </c>
      <c r="R7" s="83">
        <v>10442</v>
      </c>
      <c r="S7" s="83">
        <v>11695</v>
      </c>
      <c r="T7" s="83">
        <v>27001</v>
      </c>
      <c r="U7" s="83">
        <v>12477</v>
      </c>
      <c r="V7" s="83">
        <v>14524</v>
      </c>
      <c r="W7" s="83">
        <v>32127</v>
      </c>
      <c r="X7" s="83">
        <v>14994</v>
      </c>
      <c r="Y7" s="83">
        <v>17133</v>
      </c>
      <c r="AA7" s="64"/>
      <c r="AB7" s="64"/>
      <c r="AC7" s="64"/>
      <c r="AD7" s="64"/>
      <c r="AE7" s="64"/>
      <c r="AF7" s="64"/>
      <c r="AG7" s="64"/>
    </row>
    <row r="8" spans="1:33" s="76" customFormat="1" ht="21" customHeight="1">
      <c r="A8" s="90" t="s">
        <v>186</v>
      </c>
      <c r="B8" s="66">
        <v>38381</v>
      </c>
      <c r="C8" s="67">
        <v>17059</v>
      </c>
      <c r="D8" s="67">
        <v>21322</v>
      </c>
      <c r="E8" s="67">
        <v>4935</v>
      </c>
      <c r="F8" s="67">
        <v>1866</v>
      </c>
      <c r="G8" s="67">
        <v>3069</v>
      </c>
      <c r="H8" s="67">
        <v>5547</v>
      </c>
      <c r="I8" s="67">
        <v>2295</v>
      </c>
      <c r="J8" s="67">
        <v>3252</v>
      </c>
      <c r="K8" s="67">
        <v>7568</v>
      </c>
      <c r="L8" s="67">
        <v>3368</v>
      </c>
      <c r="M8" s="67">
        <v>4200</v>
      </c>
      <c r="N8" s="67">
        <v>6167</v>
      </c>
      <c r="O8" s="67">
        <v>2989</v>
      </c>
      <c r="P8" s="67">
        <v>3178</v>
      </c>
      <c r="Q8" s="67">
        <v>4409</v>
      </c>
      <c r="R8" s="67">
        <v>2030</v>
      </c>
      <c r="S8" s="67">
        <v>2379</v>
      </c>
      <c r="T8" s="67">
        <v>4448</v>
      </c>
      <c r="U8" s="67">
        <v>2028</v>
      </c>
      <c r="V8" s="67">
        <v>2420</v>
      </c>
      <c r="W8" s="67">
        <v>5307</v>
      </c>
      <c r="X8" s="67">
        <v>2483</v>
      </c>
      <c r="Y8" s="67">
        <v>2824</v>
      </c>
      <c r="AA8" s="64"/>
      <c r="AB8" s="64"/>
      <c r="AC8" s="64"/>
      <c r="AD8" s="64"/>
      <c r="AE8" s="64"/>
      <c r="AF8" s="64"/>
      <c r="AG8" s="64"/>
    </row>
    <row r="9" spans="1:33" s="76" customFormat="1" ht="21" customHeight="1">
      <c r="A9" s="90" t="s">
        <v>187</v>
      </c>
      <c r="B9" s="66">
        <v>28415</v>
      </c>
      <c r="C9" s="67">
        <v>11670</v>
      </c>
      <c r="D9" s="67">
        <v>16745</v>
      </c>
      <c r="E9" s="67">
        <v>2540</v>
      </c>
      <c r="F9" s="67">
        <v>803</v>
      </c>
      <c r="G9" s="67">
        <v>1737</v>
      </c>
      <c r="H9" s="67">
        <v>3589</v>
      </c>
      <c r="I9" s="67">
        <v>1377</v>
      </c>
      <c r="J9" s="67">
        <v>2212</v>
      </c>
      <c r="K9" s="67">
        <v>5773</v>
      </c>
      <c r="L9" s="67">
        <v>2295</v>
      </c>
      <c r="M9" s="67">
        <v>3478</v>
      </c>
      <c r="N9" s="67">
        <v>4158</v>
      </c>
      <c r="O9" s="67">
        <v>1917</v>
      </c>
      <c r="P9" s="67">
        <v>2241</v>
      </c>
      <c r="Q9" s="67">
        <v>3044</v>
      </c>
      <c r="R9" s="67">
        <v>1347</v>
      </c>
      <c r="S9" s="67">
        <v>1697</v>
      </c>
      <c r="T9" s="67">
        <v>4284</v>
      </c>
      <c r="U9" s="67">
        <v>1792</v>
      </c>
      <c r="V9" s="67">
        <v>2492</v>
      </c>
      <c r="W9" s="67">
        <v>5027</v>
      </c>
      <c r="X9" s="67">
        <v>2139</v>
      </c>
      <c r="Y9" s="67">
        <v>2888</v>
      </c>
      <c r="AA9" s="64"/>
      <c r="AB9" s="64"/>
      <c r="AC9" s="64"/>
      <c r="AD9" s="64"/>
      <c r="AE9" s="64"/>
      <c r="AF9" s="64"/>
      <c r="AG9" s="64"/>
    </row>
    <row r="10" spans="1:33" s="76" customFormat="1" ht="21" customHeight="1">
      <c r="A10" s="90" t="s">
        <v>188</v>
      </c>
      <c r="B10" s="66">
        <v>14574</v>
      </c>
      <c r="C10" s="67">
        <v>6569</v>
      </c>
      <c r="D10" s="67">
        <v>8005</v>
      </c>
      <c r="E10" s="67">
        <v>1337</v>
      </c>
      <c r="F10" s="67">
        <v>491</v>
      </c>
      <c r="G10" s="67">
        <v>846</v>
      </c>
      <c r="H10" s="67">
        <v>1632</v>
      </c>
      <c r="I10" s="67">
        <v>671</v>
      </c>
      <c r="J10" s="67">
        <v>961</v>
      </c>
      <c r="K10" s="67">
        <v>2451</v>
      </c>
      <c r="L10" s="67">
        <v>1066</v>
      </c>
      <c r="M10" s="67">
        <v>1385</v>
      </c>
      <c r="N10" s="67">
        <v>2312</v>
      </c>
      <c r="O10" s="67">
        <v>1119</v>
      </c>
      <c r="P10" s="67">
        <v>1193</v>
      </c>
      <c r="Q10" s="67">
        <v>1897</v>
      </c>
      <c r="R10" s="67">
        <v>910</v>
      </c>
      <c r="S10" s="67">
        <v>987</v>
      </c>
      <c r="T10" s="67">
        <v>2276</v>
      </c>
      <c r="U10" s="67">
        <v>1053</v>
      </c>
      <c r="V10" s="67">
        <v>1223</v>
      </c>
      <c r="W10" s="67">
        <v>2669</v>
      </c>
      <c r="X10" s="67">
        <v>1259</v>
      </c>
      <c r="Y10" s="67">
        <v>1410</v>
      </c>
      <c r="AA10" s="64"/>
      <c r="AB10" s="64"/>
      <c r="AC10" s="64"/>
      <c r="AD10" s="64"/>
      <c r="AE10" s="64"/>
      <c r="AF10" s="64"/>
      <c r="AG10" s="64"/>
    </row>
    <row r="11" spans="1:33" s="76" customFormat="1" ht="21" customHeight="1">
      <c r="A11" s="90" t="s">
        <v>189</v>
      </c>
      <c r="B11" s="66">
        <v>23665</v>
      </c>
      <c r="C11" s="67">
        <v>10532</v>
      </c>
      <c r="D11" s="67">
        <v>13133</v>
      </c>
      <c r="E11" s="67">
        <v>2406</v>
      </c>
      <c r="F11" s="67">
        <v>900</v>
      </c>
      <c r="G11" s="67">
        <v>1506</v>
      </c>
      <c r="H11" s="67">
        <v>3064</v>
      </c>
      <c r="I11" s="67">
        <v>1185</v>
      </c>
      <c r="J11" s="67">
        <v>1879</v>
      </c>
      <c r="K11" s="67">
        <v>4048</v>
      </c>
      <c r="L11" s="67">
        <v>1775</v>
      </c>
      <c r="M11" s="67">
        <v>2273</v>
      </c>
      <c r="N11" s="67">
        <v>4216</v>
      </c>
      <c r="O11" s="67">
        <v>2006</v>
      </c>
      <c r="P11" s="67">
        <v>2210</v>
      </c>
      <c r="Q11" s="67">
        <v>2688</v>
      </c>
      <c r="R11" s="67">
        <v>1262</v>
      </c>
      <c r="S11" s="67">
        <v>1426</v>
      </c>
      <c r="T11" s="67">
        <v>3380</v>
      </c>
      <c r="U11" s="67">
        <v>1541</v>
      </c>
      <c r="V11" s="67">
        <v>1839</v>
      </c>
      <c r="W11" s="67">
        <v>3863</v>
      </c>
      <c r="X11" s="67">
        <v>1863</v>
      </c>
      <c r="Y11" s="67">
        <v>2000</v>
      </c>
      <c r="AA11" s="64"/>
      <c r="AB11" s="64"/>
      <c r="AC11" s="64"/>
      <c r="AD11" s="64"/>
      <c r="AE11" s="64"/>
      <c r="AF11" s="64"/>
      <c r="AG11" s="64"/>
    </row>
    <row r="12" spans="1:33" s="76" customFormat="1" ht="21" customHeight="1">
      <c r="A12" s="90" t="s">
        <v>190</v>
      </c>
      <c r="B12" s="66">
        <v>10142</v>
      </c>
      <c r="C12" s="67">
        <v>4722</v>
      </c>
      <c r="D12" s="67">
        <v>5420</v>
      </c>
      <c r="E12" s="67">
        <v>651</v>
      </c>
      <c r="F12" s="67">
        <v>277</v>
      </c>
      <c r="G12" s="67">
        <v>374</v>
      </c>
      <c r="H12" s="67">
        <v>951</v>
      </c>
      <c r="I12" s="67">
        <v>439</v>
      </c>
      <c r="J12" s="67">
        <v>512</v>
      </c>
      <c r="K12" s="67">
        <v>1780</v>
      </c>
      <c r="L12" s="67">
        <v>790</v>
      </c>
      <c r="M12" s="67">
        <v>990</v>
      </c>
      <c r="N12" s="67">
        <v>1678</v>
      </c>
      <c r="O12" s="67">
        <v>807</v>
      </c>
      <c r="P12" s="67">
        <v>871</v>
      </c>
      <c r="Q12" s="67">
        <v>1100</v>
      </c>
      <c r="R12" s="67">
        <v>541</v>
      </c>
      <c r="S12" s="67">
        <v>559</v>
      </c>
      <c r="T12" s="67">
        <v>1773</v>
      </c>
      <c r="U12" s="67">
        <v>826</v>
      </c>
      <c r="V12" s="67">
        <v>947</v>
      </c>
      <c r="W12" s="67">
        <v>2209</v>
      </c>
      <c r="X12" s="67">
        <v>1042</v>
      </c>
      <c r="Y12" s="67">
        <v>1167</v>
      </c>
      <c r="AA12" s="64"/>
      <c r="AB12" s="64"/>
      <c r="AC12" s="64"/>
      <c r="AD12" s="64"/>
      <c r="AE12" s="64"/>
      <c r="AF12" s="64"/>
      <c r="AG12" s="64"/>
    </row>
    <row r="13" spans="1:33" s="76" customFormat="1" ht="21" customHeight="1">
      <c r="A13" s="90" t="s">
        <v>191</v>
      </c>
      <c r="B13" s="66">
        <v>23955</v>
      </c>
      <c r="C13" s="67">
        <v>10956</v>
      </c>
      <c r="D13" s="67">
        <v>12999</v>
      </c>
      <c r="E13" s="67">
        <v>3784</v>
      </c>
      <c r="F13" s="67">
        <v>1479</v>
      </c>
      <c r="G13" s="67">
        <v>2305</v>
      </c>
      <c r="H13" s="67">
        <v>4256</v>
      </c>
      <c r="I13" s="67">
        <v>1820</v>
      </c>
      <c r="J13" s="67">
        <v>2436</v>
      </c>
      <c r="K13" s="67">
        <v>5443</v>
      </c>
      <c r="L13" s="67">
        <v>2536</v>
      </c>
      <c r="M13" s="67">
        <v>2907</v>
      </c>
      <c r="N13" s="67">
        <v>3318</v>
      </c>
      <c r="O13" s="67">
        <v>1666</v>
      </c>
      <c r="P13" s="67">
        <v>1652</v>
      </c>
      <c r="Q13" s="67">
        <v>1774</v>
      </c>
      <c r="R13" s="67">
        <v>877</v>
      </c>
      <c r="S13" s="67">
        <v>897</v>
      </c>
      <c r="T13" s="67">
        <v>2390</v>
      </c>
      <c r="U13" s="67">
        <v>1174</v>
      </c>
      <c r="V13" s="67">
        <v>1216</v>
      </c>
      <c r="W13" s="67">
        <v>2990</v>
      </c>
      <c r="X13" s="67">
        <v>1404</v>
      </c>
      <c r="Y13" s="67">
        <v>1586</v>
      </c>
      <c r="AA13" s="64"/>
      <c r="AB13" s="64"/>
      <c r="AC13" s="64"/>
      <c r="AD13" s="64"/>
      <c r="AE13" s="64"/>
      <c r="AF13" s="64"/>
      <c r="AG13" s="64"/>
    </row>
    <row r="14" spans="1:33" s="76" customFormat="1" ht="21" customHeight="1">
      <c r="A14" s="90" t="s">
        <v>192</v>
      </c>
      <c r="B14" s="66">
        <v>5381</v>
      </c>
      <c r="C14" s="67">
        <v>2472</v>
      </c>
      <c r="D14" s="67">
        <v>2909</v>
      </c>
      <c r="E14" s="67">
        <v>552</v>
      </c>
      <c r="F14" s="67">
        <v>216</v>
      </c>
      <c r="G14" s="67">
        <v>336</v>
      </c>
      <c r="H14" s="67">
        <v>610</v>
      </c>
      <c r="I14" s="67">
        <v>260</v>
      </c>
      <c r="J14" s="67">
        <v>350</v>
      </c>
      <c r="K14" s="67">
        <v>1023</v>
      </c>
      <c r="L14" s="67">
        <v>465</v>
      </c>
      <c r="M14" s="67">
        <v>558</v>
      </c>
      <c r="N14" s="67">
        <v>905</v>
      </c>
      <c r="O14" s="67">
        <v>455</v>
      </c>
      <c r="P14" s="67">
        <v>450</v>
      </c>
      <c r="Q14" s="67">
        <v>560</v>
      </c>
      <c r="R14" s="67">
        <v>268</v>
      </c>
      <c r="S14" s="67">
        <v>292</v>
      </c>
      <c r="T14" s="67">
        <v>699</v>
      </c>
      <c r="U14" s="67">
        <v>352</v>
      </c>
      <c r="V14" s="67">
        <v>347</v>
      </c>
      <c r="W14" s="67">
        <v>1032</v>
      </c>
      <c r="X14" s="67">
        <v>456</v>
      </c>
      <c r="Y14" s="67">
        <v>576</v>
      </c>
      <c r="AA14" s="64"/>
      <c r="AB14" s="64"/>
      <c r="AC14" s="64"/>
      <c r="AD14" s="64"/>
      <c r="AE14" s="64"/>
      <c r="AF14" s="64"/>
      <c r="AG14" s="64"/>
    </row>
    <row r="15" spans="1:33" s="76" customFormat="1" ht="21" customHeight="1">
      <c r="A15" s="90" t="s">
        <v>193</v>
      </c>
      <c r="B15" s="66">
        <v>4247</v>
      </c>
      <c r="C15" s="67">
        <v>2087</v>
      </c>
      <c r="D15" s="67">
        <v>2160</v>
      </c>
      <c r="E15" s="67">
        <v>252</v>
      </c>
      <c r="F15" s="67">
        <v>107</v>
      </c>
      <c r="G15" s="67">
        <v>145</v>
      </c>
      <c r="H15" s="67">
        <v>351</v>
      </c>
      <c r="I15" s="67">
        <v>146</v>
      </c>
      <c r="J15" s="67">
        <v>205</v>
      </c>
      <c r="K15" s="67">
        <v>778</v>
      </c>
      <c r="L15" s="67">
        <v>369</v>
      </c>
      <c r="M15" s="67">
        <v>409</v>
      </c>
      <c r="N15" s="67">
        <v>690</v>
      </c>
      <c r="O15" s="67">
        <v>367</v>
      </c>
      <c r="P15" s="67">
        <v>323</v>
      </c>
      <c r="Q15" s="67">
        <v>686</v>
      </c>
      <c r="R15" s="67">
        <v>338</v>
      </c>
      <c r="S15" s="67">
        <v>348</v>
      </c>
      <c r="T15" s="67">
        <v>726</v>
      </c>
      <c r="U15" s="67">
        <v>383</v>
      </c>
      <c r="V15" s="67">
        <v>343</v>
      </c>
      <c r="W15" s="67">
        <v>764</v>
      </c>
      <c r="X15" s="67">
        <v>377</v>
      </c>
      <c r="Y15" s="67">
        <v>387</v>
      </c>
      <c r="AA15" s="64"/>
      <c r="AB15" s="64"/>
      <c r="AC15" s="64"/>
      <c r="AD15" s="64"/>
      <c r="AE15" s="64"/>
      <c r="AF15" s="64"/>
      <c r="AG15" s="64"/>
    </row>
    <row r="16" spans="1:33" s="76" customFormat="1" ht="21" customHeight="1">
      <c r="A16" s="90" t="s">
        <v>194</v>
      </c>
      <c r="B16" s="66">
        <v>4393</v>
      </c>
      <c r="C16" s="67">
        <v>2087</v>
      </c>
      <c r="D16" s="67">
        <v>2306</v>
      </c>
      <c r="E16" s="67">
        <v>318</v>
      </c>
      <c r="F16" s="67">
        <v>139</v>
      </c>
      <c r="G16" s="67">
        <v>179</v>
      </c>
      <c r="H16" s="67">
        <v>438</v>
      </c>
      <c r="I16" s="67">
        <v>183</v>
      </c>
      <c r="J16" s="67">
        <v>255</v>
      </c>
      <c r="K16" s="67">
        <v>752</v>
      </c>
      <c r="L16" s="67">
        <v>354</v>
      </c>
      <c r="M16" s="67">
        <v>398</v>
      </c>
      <c r="N16" s="67">
        <v>827</v>
      </c>
      <c r="O16" s="67">
        <v>410</v>
      </c>
      <c r="P16" s="67">
        <v>417</v>
      </c>
      <c r="Q16" s="67">
        <v>666</v>
      </c>
      <c r="R16" s="67">
        <v>328</v>
      </c>
      <c r="S16" s="67">
        <v>338</v>
      </c>
      <c r="T16" s="67">
        <v>622</v>
      </c>
      <c r="U16" s="67">
        <v>302</v>
      </c>
      <c r="V16" s="67">
        <v>320</v>
      </c>
      <c r="W16" s="67">
        <v>770</v>
      </c>
      <c r="X16" s="67">
        <v>371</v>
      </c>
      <c r="Y16" s="67">
        <v>399</v>
      </c>
      <c r="AA16" s="64"/>
      <c r="AB16" s="64"/>
      <c r="AC16" s="64"/>
      <c r="AD16" s="64"/>
      <c r="AE16" s="64"/>
      <c r="AF16" s="64"/>
      <c r="AG16" s="64"/>
    </row>
    <row r="17" spans="1:33" s="76" customFormat="1" ht="21" customHeight="1">
      <c r="A17" s="90" t="s">
        <v>195</v>
      </c>
      <c r="B17" s="66">
        <v>10154</v>
      </c>
      <c r="C17" s="67">
        <v>4722</v>
      </c>
      <c r="D17" s="67">
        <v>5432</v>
      </c>
      <c r="E17" s="67">
        <v>956</v>
      </c>
      <c r="F17" s="67">
        <v>442</v>
      </c>
      <c r="G17" s="67">
        <v>514</v>
      </c>
      <c r="H17" s="67">
        <v>1384</v>
      </c>
      <c r="I17" s="67">
        <v>630</v>
      </c>
      <c r="J17" s="67">
        <v>754</v>
      </c>
      <c r="K17" s="67">
        <v>2185</v>
      </c>
      <c r="L17" s="67">
        <v>965</v>
      </c>
      <c r="M17" s="67">
        <v>1220</v>
      </c>
      <c r="N17" s="67">
        <v>1772</v>
      </c>
      <c r="O17" s="67">
        <v>873</v>
      </c>
      <c r="P17" s="67">
        <v>899</v>
      </c>
      <c r="Q17" s="67">
        <v>1067</v>
      </c>
      <c r="R17" s="67">
        <v>521</v>
      </c>
      <c r="S17" s="67">
        <v>546</v>
      </c>
      <c r="T17" s="67">
        <v>1303</v>
      </c>
      <c r="U17" s="67">
        <v>604</v>
      </c>
      <c r="V17" s="67">
        <v>699</v>
      </c>
      <c r="W17" s="67">
        <v>1487</v>
      </c>
      <c r="X17" s="67">
        <v>687</v>
      </c>
      <c r="Y17" s="67">
        <v>800</v>
      </c>
      <c r="AA17" s="64"/>
      <c r="AB17" s="64"/>
      <c r="AC17" s="64"/>
      <c r="AD17" s="64"/>
      <c r="AE17" s="64"/>
      <c r="AF17" s="64"/>
      <c r="AG17" s="64"/>
    </row>
    <row r="18" spans="1:33" s="76" customFormat="1" ht="21" customHeight="1">
      <c r="A18" s="90" t="s">
        <v>196</v>
      </c>
      <c r="B18" s="66">
        <v>5619</v>
      </c>
      <c r="C18" s="67">
        <v>2686</v>
      </c>
      <c r="D18" s="67">
        <v>2933</v>
      </c>
      <c r="E18" s="67">
        <v>822</v>
      </c>
      <c r="F18" s="67">
        <v>325</v>
      </c>
      <c r="G18" s="67">
        <v>497</v>
      </c>
      <c r="H18" s="67">
        <v>821</v>
      </c>
      <c r="I18" s="67">
        <v>369</v>
      </c>
      <c r="J18" s="67">
        <v>452</v>
      </c>
      <c r="K18" s="67">
        <v>961</v>
      </c>
      <c r="L18" s="67">
        <v>477</v>
      </c>
      <c r="M18" s="67">
        <v>484</v>
      </c>
      <c r="N18" s="67">
        <v>874</v>
      </c>
      <c r="O18" s="67">
        <v>458</v>
      </c>
      <c r="P18" s="67">
        <v>416</v>
      </c>
      <c r="Q18" s="67">
        <v>637</v>
      </c>
      <c r="R18" s="67">
        <v>314</v>
      </c>
      <c r="S18" s="67">
        <v>323</v>
      </c>
      <c r="T18" s="67">
        <v>660</v>
      </c>
      <c r="U18" s="67">
        <v>311</v>
      </c>
      <c r="V18" s="67">
        <v>349</v>
      </c>
      <c r="W18" s="67">
        <v>844</v>
      </c>
      <c r="X18" s="67">
        <v>432</v>
      </c>
      <c r="Y18" s="67">
        <v>412</v>
      </c>
      <c r="AA18" s="64"/>
      <c r="AB18" s="64"/>
      <c r="AC18" s="64"/>
      <c r="AD18" s="64"/>
      <c r="AE18" s="64"/>
      <c r="AF18" s="64"/>
      <c r="AG18" s="64"/>
    </row>
    <row r="19" spans="1:33" s="76" customFormat="1" ht="21" customHeight="1">
      <c r="A19" s="90" t="s">
        <v>197</v>
      </c>
      <c r="B19" s="66">
        <v>3673</v>
      </c>
      <c r="C19" s="67">
        <v>1745</v>
      </c>
      <c r="D19" s="67">
        <v>1928</v>
      </c>
      <c r="E19" s="67">
        <v>325</v>
      </c>
      <c r="F19" s="67">
        <v>129</v>
      </c>
      <c r="G19" s="67">
        <v>196</v>
      </c>
      <c r="H19" s="67">
        <v>431</v>
      </c>
      <c r="I19" s="67">
        <v>175</v>
      </c>
      <c r="J19" s="67">
        <v>256</v>
      </c>
      <c r="K19" s="67">
        <v>646</v>
      </c>
      <c r="L19" s="67">
        <v>301</v>
      </c>
      <c r="M19" s="67">
        <v>345</v>
      </c>
      <c r="N19" s="67">
        <v>596</v>
      </c>
      <c r="O19" s="67">
        <v>302</v>
      </c>
      <c r="P19" s="67">
        <v>294</v>
      </c>
      <c r="Q19" s="67">
        <v>384</v>
      </c>
      <c r="R19" s="67">
        <v>181</v>
      </c>
      <c r="S19" s="67">
        <v>203</v>
      </c>
      <c r="T19" s="67">
        <v>554</v>
      </c>
      <c r="U19" s="67">
        <v>288</v>
      </c>
      <c r="V19" s="67">
        <v>266</v>
      </c>
      <c r="W19" s="67">
        <v>737</v>
      </c>
      <c r="X19" s="67">
        <v>369</v>
      </c>
      <c r="Y19" s="67">
        <v>368</v>
      </c>
      <c r="AA19" s="64"/>
      <c r="AB19" s="64"/>
      <c r="AC19" s="64"/>
      <c r="AD19" s="64"/>
      <c r="AE19" s="64"/>
      <c r="AF19" s="64"/>
      <c r="AG19" s="64"/>
    </row>
    <row r="20" spans="1:33" s="120" customFormat="1" ht="21" customHeight="1">
      <c r="A20" s="90" t="s">
        <v>198</v>
      </c>
      <c r="B20" s="118">
        <v>6183</v>
      </c>
      <c r="C20" s="119">
        <v>2821</v>
      </c>
      <c r="D20" s="119">
        <v>3362</v>
      </c>
      <c r="E20" s="119">
        <v>989</v>
      </c>
      <c r="F20" s="119">
        <v>416</v>
      </c>
      <c r="G20" s="119">
        <v>573</v>
      </c>
      <c r="H20" s="119">
        <v>1176</v>
      </c>
      <c r="I20" s="119">
        <v>539</v>
      </c>
      <c r="J20" s="119">
        <v>637</v>
      </c>
      <c r="K20" s="119">
        <v>1280</v>
      </c>
      <c r="L20" s="119">
        <v>569</v>
      </c>
      <c r="M20" s="119">
        <v>711</v>
      </c>
      <c r="N20" s="119">
        <v>820</v>
      </c>
      <c r="O20" s="119">
        <v>422</v>
      </c>
      <c r="P20" s="119">
        <v>398</v>
      </c>
      <c r="Q20" s="119">
        <v>425</v>
      </c>
      <c r="R20" s="119">
        <v>202</v>
      </c>
      <c r="S20" s="119">
        <v>223</v>
      </c>
      <c r="T20" s="119">
        <v>635</v>
      </c>
      <c r="U20" s="119">
        <v>283</v>
      </c>
      <c r="V20" s="119">
        <v>352</v>
      </c>
      <c r="W20" s="119">
        <v>858</v>
      </c>
      <c r="X20" s="119">
        <v>390</v>
      </c>
      <c r="Y20" s="119">
        <v>468</v>
      </c>
      <c r="AA20" s="64"/>
      <c r="AB20" s="64"/>
      <c r="AC20" s="64"/>
      <c r="AD20" s="64"/>
      <c r="AE20" s="121"/>
      <c r="AF20" s="121"/>
      <c r="AG20" s="121"/>
    </row>
    <row r="21" spans="1:33" s="76" customFormat="1" ht="21" customHeight="1">
      <c r="A21" s="90" t="s">
        <v>199</v>
      </c>
      <c r="B21" s="66">
        <v>7403</v>
      </c>
      <c r="C21" s="67">
        <v>3431</v>
      </c>
      <c r="D21" s="67">
        <v>3972</v>
      </c>
      <c r="E21" s="67">
        <v>791</v>
      </c>
      <c r="F21" s="67">
        <v>325</v>
      </c>
      <c r="G21" s="67">
        <v>466</v>
      </c>
      <c r="H21" s="67">
        <v>907</v>
      </c>
      <c r="I21" s="67">
        <v>392</v>
      </c>
      <c r="J21" s="67">
        <v>515</v>
      </c>
      <c r="K21" s="67">
        <v>1409</v>
      </c>
      <c r="L21" s="67">
        <v>648</v>
      </c>
      <c r="M21" s="67">
        <v>761</v>
      </c>
      <c r="N21" s="67">
        <v>1315</v>
      </c>
      <c r="O21" s="67">
        <v>640</v>
      </c>
      <c r="P21" s="67">
        <v>675</v>
      </c>
      <c r="Q21" s="67">
        <v>968</v>
      </c>
      <c r="R21" s="67">
        <v>449</v>
      </c>
      <c r="S21" s="67">
        <v>519</v>
      </c>
      <c r="T21" s="67">
        <v>989</v>
      </c>
      <c r="U21" s="67">
        <v>490</v>
      </c>
      <c r="V21" s="67">
        <v>499</v>
      </c>
      <c r="W21" s="67">
        <v>1024</v>
      </c>
      <c r="X21" s="67">
        <v>487</v>
      </c>
      <c r="Y21" s="67">
        <v>537</v>
      </c>
      <c r="AA21" s="64"/>
      <c r="AB21" s="64"/>
      <c r="AC21" s="64"/>
      <c r="AD21" s="64"/>
      <c r="AE21" s="64"/>
      <c r="AF21" s="64"/>
      <c r="AG21" s="64"/>
    </row>
    <row r="22" spans="1:33" s="76" customFormat="1" ht="21" customHeight="1">
      <c r="A22" s="90" t="s">
        <v>200</v>
      </c>
      <c r="B22" s="66">
        <v>2831</v>
      </c>
      <c r="C22" s="67">
        <v>1364</v>
      </c>
      <c r="D22" s="67">
        <v>1467</v>
      </c>
      <c r="E22" s="67">
        <v>392</v>
      </c>
      <c r="F22" s="67">
        <v>150</v>
      </c>
      <c r="G22" s="67">
        <v>242</v>
      </c>
      <c r="H22" s="67">
        <v>424</v>
      </c>
      <c r="I22" s="67">
        <v>184</v>
      </c>
      <c r="J22" s="67">
        <v>240</v>
      </c>
      <c r="K22" s="67">
        <v>466</v>
      </c>
      <c r="L22" s="67">
        <v>239</v>
      </c>
      <c r="M22" s="67">
        <v>227</v>
      </c>
      <c r="N22" s="67">
        <v>436</v>
      </c>
      <c r="O22" s="67">
        <v>230</v>
      </c>
      <c r="P22" s="67">
        <v>206</v>
      </c>
      <c r="Q22" s="67">
        <v>247</v>
      </c>
      <c r="R22" s="67">
        <v>129</v>
      </c>
      <c r="S22" s="67">
        <v>118</v>
      </c>
      <c r="T22" s="67">
        <v>404</v>
      </c>
      <c r="U22" s="67">
        <v>197</v>
      </c>
      <c r="V22" s="67">
        <v>207</v>
      </c>
      <c r="W22" s="67">
        <v>462</v>
      </c>
      <c r="X22" s="67">
        <v>235</v>
      </c>
      <c r="Y22" s="67">
        <v>227</v>
      </c>
      <c r="AA22" s="64"/>
      <c r="AB22" s="64"/>
      <c r="AC22" s="64"/>
      <c r="AD22" s="64"/>
      <c r="AE22" s="64"/>
      <c r="AF22" s="64"/>
      <c r="AG22" s="64"/>
    </row>
    <row r="23" spans="1:33" s="76" customFormat="1" ht="21" customHeight="1">
      <c r="A23" s="90" t="s">
        <v>178</v>
      </c>
      <c r="B23" s="66">
        <v>4670</v>
      </c>
      <c r="C23" s="67">
        <v>2249</v>
      </c>
      <c r="D23" s="67">
        <v>2421</v>
      </c>
      <c r="E23" s="67">
        <v>746</v>
      </c>
      <c r="F23" s="67">
        <v>321</v>
      </c>
      <c r="G23" s="67">
        <v>425</v>
      </c>
      <c r="H23" s="67">
        <v>701</v>
      </c>
      <c r="I23" s="67">
        <v>326</v>
      </c>
      <c r="J23" s="67">
        <v>375</v>
      </c>
      <c r="K23" s="67">
        <v>829</v>
      </c>
      <c r="L23" s="67">
        <v>395</v>
      </c>
      <c r="M23" s="67">
        <v>434</v>
      </c>
      <c r="N23" s="67">
        <v>664</v>
      </c>
      <c r="O23" s="67">
        <v>340</v>
      </c>
      <c r="P23" s="67">
        <v>324</v>
      </c>
      <c r="Q23" s="67">
        <v>395</v>
      </c>
      <c r="R23" s="67">
        <v>192</v>
      </c>
      <c r="S23" s="67">
        <v>203</v>
      </c>
      <c r="T23" s="67">
        <v>605</v>
      </c>
      <c r="U23" s="67">
        <v>292</v>
      </c>
      <c r="V23" s="67">
        <v>313</v>
      </c>
      <c r="W23" s="67">
        <v>730</v>
      </c>
      <c r="X23" s="67">
        <v>383</v>
      </c>
      <c r="Y23" s="67">
        <v>347</v>
      </c>
      <c r="AA23" s="64"/>
      <c r="AB23" s="64"/>
      <c r="AC23" s="64"/>
      <c r="AD23" s="64"/>
      <c r="AE23" s="64"/>
      <c r="AF23" s="64"/>
      <c r="AG23" s="64"/>
    </row>
    <row r="24" spans="1:33" s="76" customFormat="1" ht="21" customHeight="1">
      <c r="A24" s="90" t="s">
        <v>179</v>
      </c>
      <c r="B24" s="66">
        <v>563</v>
      </c>
      <c r="C24" s="67">
        <v>252</v>
      </c>
      <c r="D24" s="67">
        <v>311</v>
      </c>
      <c r="E24" s="67">
        <v>63</v>
      </c>
      <c r="F24" s="67">
        <v>21</v>
      </c>
      <c r="G24" s="67">
        <v>42</v>
      </c>
      <c r="H24" s="67">
        <v>58</v>
      </c>
      <c r="I24" s="67">
        <v>27</v>
      </c>
      <c r="J24" s="67">
        <v>31</v>
      </c>
      <c r="K24" s="67">
        <v>131</v>
      </c>
      <c r="L24" s="67">
        <v>55</v>
      </c>
      <c r="M24" s="67">
        <v>76</v>
      </c>
      <c r="N24" s="67">
        <v>101</v>
      </c>
      <c r="O24" s="67">
        <v>55</v>
      </c>
      <c r="P24" s="67">
        <v>46</v>
      </c>
      <c r="Q24" s="67">
        <v>64</v>
      </c>
      <c r="R24" s="67">
        <v>35</v>
      </c>
      <c r="S24" s="67">
        <v>29</v>
      </c>
      <c r="T24" s="67">
        <v>85</v>
      </c>
      <c r="U24" s="67">
        <v>33</v>
      </c>
      <c r="V24" s="67">
        <v>52</v>
      </c>
      <c r="W24" s="67">
        <v>61</v>
      </c>
      <c r="X24" s="67">
        <v>26</v>
      </c>
      <c r="Y24" s="67">
        <v>35</v>
      </c>
      <c r="AA24" s="64"/>
      <c r="AB24" s="64"/>
      <c r="AC24" s="64"/>
      <c r="AD24" s="64"/>
      <c r="AE24" s="64"/>
      <c r="AF24" s="64"/>
      <c r="AG24" s="64"/>
    </row>
    <row r="25" spans="1:33" s="76" customFormat="1" ht="21" customHeight="1">
      <c r="A25" s="90" t="s">
        <v>180</v>
      </c>
      <c r="B25" s="66">
        <v>2530</v>
      </c>
      <c r="C25" s="67">
        <v>1158</v>
      </c>
      <c r="D25" s="67">
        <v>1372</v>
      </c>
      <c r="E25" s="67">
        <v>288</v>
      </c>
      <c r="F25" s="67">
        <v>125</v>
      </c>
      <c r="G25" s="67">
        <v>163</v>
      </c>
      <c r="H25" s="67">
        <v>382</v>
      </c>
      <c r="I25" s="67">
        <v>185</v>
      </c>
      <c r="J25" s="67">
        <v>197</v>
      </c>
      <c r="K25" s="67">
        <v>569</v>
      </c>
      <c r="L25" s="67">
        <v>254</v>
      </c>
      <c r="M25" s="67">
        <v>315</v>
      </c>
      <c r="N25" s="67">
        <v>410</v>
      </c>
      <c r="O25" s="67">
        <v>200</v>
      </c>
      <c r="P25" s="67">
        <v>210</v>
      </c>
      <c r="Q25" s="67">
        <v>227</v>
      </c>
      <c r="R25" s="67">
        <v>107</v>
      </c>
      <c r="S25" s="67">
        <v>120</v>
      </c>
      <c r="T25" s="67">
        <v>341</v>
      </c>
      <c r="U25" s="67">
        <v>151</v>
      </c>
      <c r="V25" s="67">
        <v>190</v>
      </c>
      <c r="W25" s="67">
        <v>313</v>
      </c>
      <c r="X25" s="67">
        <v>136</v>
      </c>
      <c r="Y25" s="67">
        <v>177</v>
      </c>
      <c r="AA25" s="64"/>
      <c r="AB25" s="64"/>
      <c r="AC25" s="64"/>
      <c r="AD25" s="64"/>
      <c r="AE25" s="64"/>
      <c r="AF25" s="64"/>
      <c r="AG25" s="64"/>
    </row>
    <row r="26" spans="1:33" s="76" customFormat="1" ht="21" customHeight="1">
      <c r="A26" s="90" t="s">
        <v>181</v>
      </c>
      <c r="B26" s="66">
        <v>5301</v>
      </c>
      <c r="C26" s="67">
        <v>2309</v>
      </c>
      <c r="D26" s="67">
        <v>2992</v>
      </c>
      <c r="E26" s="67">
        <v>721</v>
      </c>
      <c r="F26" s="67">
        <v>253</v>
      </c>
      <c r="G26" s="67">
        <v>468</v>
      </c>
      <c r="H26" s="67">
        <v>741</v>
      </c>
      <c r="I26" s="67">
        <v>305</v>
      </c>
      <c r="J26" s="67">
        <v>436</v>
      </c>
      <c r="K26" s="67">
        <v>1178</v>
      </c>
      <c r="L26" s="67">
        <v>514</v>
      </c>
      <c r="M26" s="67">
        <v>664</v>
      </c>
      <c r="N26" s="67">
        <v>814</v>
      </c>
      <c r="O26" s="67">
        <v>377</v>
      </c>
      <c r="P26" s="67">
        <v>437</v>
      </c>
      <c r="Q26" s="67">
        <v>651</v>
      </c>
      <c r="R26" s="67">
        <v>297</v>
      </c>
      <c r="S26" s="67">
        <v>354</v>
      </c>
      <c r="T26" s="67">
        <v>526</v>
      </c>
      <c r="U26" s="67">
        <v>243</v>
      </c>
      <c r="V26" s="67">
        <v>283</v>
      </c>
      <c r="W26" s="67">
        <v>670</v>
      </c>
      <c r="X26" s="67">
        <v>320</v>
      </c>
      <c r="Y26" s="67">
        <v>350</v>
      </c>
      <c r="AA26" s="64"/>
      <c r="AB26" s="64"/>
      <c r="AC26" s="64"/>
      <c r="AD26" s="64"/>
      <c r="AE26" s="64"/>
      <c r="AF26" s="64"/>
      <c r="AG26" s="64"/>
    </row>
    <row r="27" spans="1:33" s="76" customFormat="1" ht="21" customHeight="1">
      <c r="A27" s="90" t="s">
        <v>182</v>
      </c>
      <c r="B27" s="66">
        <v>1265</v>
      </c>
      <c r="C27" s="67">
        <v>555</v>
      </c>
      <c r="D27" s="67">
        <v>710</v>
      </c>
      <c r="E27" s="67">
        <v>103</v>
      </c>
      <c r="F27" s="67">
        <v>36</v>
      </c>
      <c r="G27" s="67">
        <v>67</v>
      </c>
      <c r="H27" s="67">
        <v>134</v>
      </c>
      <c r="I27" s="67">
        <v>43</v>
      </c>
      <c r="J27" s="67">
        <v>91</v>
      </c>
      <c r="K27" s="67">
        <v>264</v>
      </c>
      <c r="L27" s="67">
        <v>113</v>
      </c>
      <c r="M27" s="67">
        <v>151</v>
      </c>
      <c r="N27" s="67">
        <v>236</v>
      </c>
      <c r="O27" s="67">
        <v>131</v>
      </c>
      <c r="P27" s="67">
        <v>105</v>
      </c>
      <c r="Q27" s="67">
        <v>154</v>
      </c>
      <c r="R27" s="67">
        <v>73</v>
      </c>
      <c r="S27" s="67">
        <v>81</v>
      </c>
      <c r="T27" s="67">
        <v>181</v>
      </c>
      <c r="U27" s="67">
        <v>80</v>
      </c>
      <c r="V27" s="67">
        <v>101</v>
      </c>
      <c r="W27" s="67">
        <v>193</v>
      </c>
      <c r="X27" s="67">
        <v>79</v>
      </c>
      <c r="Y27" s="67">
        <v>114</v>
      </c>
      <c r="AA27" s="64"/>
      <c r="AB27" s="64"/>
      <c r="AC27" s="64"/>
      <c r="AD27" s="64"/>
      <c r="AE27" s="64"/>
      <c r="AF27" s="64"/>
      <c r="AG27" s="64"/>
    </row>
    <row r="28" spans="1:33" s="76" customFormat="1" ht="21" customHeight="1">
      <c r="A28" s="90" t="s">
        <v>183</v>
      </c>
      <c r="B28" s="66">
        <v>787</v>
      </c>
      <c r="C28" s="67">
        <v>343</v>
      </c>
      <c r="D28" s="67">
        <v>444</v>
      </c>
      <c r="E28" s="67">
        <v>117</v>
      </c>
      <c r="F28" s="67">
        <v>34</v>
      </c>
      <c r="G28" s="67">
        <v>83</v>
      </c>
      <c r="H28" s="67">
        <v>123</v>
      </c>
      <c r="I28" s="67">
        <v>50</v>
      </c>
      <c r="J28" s="67">
        <v>73</v>
      </c>
      <c r="K28" s="67">
        <v>116</v>
      </c>
      <c r="L28" s="67">
        <v>52</v>
      </c>
      <c r="M28" s="67">
        <v>64</v>
      </c>
      <c r="N28" s="67">
        <v>112</v>
      </c>
      <c r="O28" s="67">
        <v>63</v>
      </c>
      <c r="P28" s="67">
        <v>49</v>
      </c>
      <c r="Q28" s="67">
        <v>90</v>
      </c>
      <c r="R28" s="67">
        <v>38</v>
      </c>
      <c r="S28" s="67">
        <v>52</v>
      </c>
      <c r="T28" s="67">
        <v>118</v>
      </c>
      <c r="U28" s="67">
        <v>53</v>
      </c>
      <c r="V28" s="67">
        <v>65</v>
      </c>
      <c r="W28" s="67">
        <v>111</v>
      </c>
      <c r="X28" s="67">
        <v>53</v>
      </c>
      <c r="Y28" s="67">
        <v>58</v>
      </c>
      <c r="AA28" s="64"/>
      <c r="AB28" s="64"/>
      <c r="AC28" s="64"/>
      <c r="AD28" s="64"/>
      <c r="AE28" s="64"/>
      <c r="AF28" s="64"/>
      <c r="AG28" s="64"/>
    </row>
    <row r="29" spans="1:33" s="76" customFormat="1" ht="21" customHeight="1" thickBot="1">
      <c r="A29" s="91" t="s">
        <v>184</v>
      </c>
      <c r="B29" s="88">
        <v>25</v>
      </c>
      <c r="C29" s="89">
        <v>13</v>
      </c>
      <c r="D29" s="89">
        <v>12</v>
      </c>
      <c r="E29" s="89">
        <v>5</v>
      </c>
      <c r="F29" s="89">
        <v>2</v>
      </c>
      <c r="G29" s="89">
        <v>3</v>
      </c>
      <c r="H29" s="89">
        <v>2</v>
      </c>
      <c r="I29" s="89">
        <v>2</v>
      </c>
      <c r="J29" s="89">
        <v>0</v>
      </c>
      <c r="K29" s="89">
        <v>2</v>
      </c>
      <c r="L29" s="89">
        <v>1</v>
      </c>
      <c r="M29" s="89">
        <v>1</v>
      </c>
      <c r="N29" s="89">
        <v>4</v>
      </c>
      <c r="O29" s="89">
        <v>1</v>
      </c>
      <c r="P29" s="89">
        <v>3</v>
      </c>
      <c r="Q29" s="89">
        <v>4</v>
      </c>
      <c r="R29" s="89">
        <v>3</v>
      </c>
      <c r="S29" s="89">
        <v>1</v>
      </c>
      <c r="T29" s="89">
        <v>2</v>
      </c>
      <c r="U29" s="89">
        <v>1</v>
      </c>
      <c r="V29" s="89">
        <v>1</v>
      </c>
      <c r="W29" s="89">
        <v>6</v>
      </c>
      <c r="X29" s="89">
        <v>3</v>
      </c>
      <c r="Y29" s="89">
        <v>3</v>
      </c>
      <c r="AA29" s="64"/>
      <c r="AB29" s="64"/>
      <c r="AC29" s="64"/>
      <c r="AD29" s="64"/>
      <c r="AE29" s="64"/>
      <c r="AF29" s="64"/>
      <c r="AG29" s="64"/>
    </row>
    <row r="30" spans="1:33" ht="20.25">
      <c r="A30" s="77" t="s">
        <v>175</v>
      </c>
      <c r="AA30" s="64"/>
      <c r="AB30" s="64"/>
      <c r="AC30" s="64"/>
      <c r="AD30" s="64"/>
      <c r="AE30" s="64"/>
      <c r="AF30" s="64"/>
      <c r="AG30" s="64"/>
    </row>
    <row r="31" spans="1:33" ht="20.25">
      <c r="A31" s="6" t="s">
        <v>168</v>
      </c>
      <c r="AA31" s="64"/>
      <c r="AB31" s="64"/>
      <c r="AC31" s="64"/>
      <c r="AD31" s="64"/>
    </row>
    <row r="32" spans="1:33">
      <c r="A32" s="6" t="s">
        <v>174</v>
      </c>
    </row>
    <row r="33" spans="1:1">
      <c r="A33" s="69"/>
    </row>
    <row r="34" spans="1:1">
      <c r="A34" s="78" t="s">
        <v>169</v>
      </c>
    </row>
  </sheetData>
  <mergeCells count="10">
    <mergeCell ref="A4:A6"/>
    <mergeCell ref="B4:Y4"/>
    <mergeCell ref="B5:D5"/>
    <mergeCell ref="E5:G5"/>
    <mergeCell ref="H5:J5"/>
    <mergeCell ref="K5:M5"/>
    <mergeCell ref="N5:P5"/>
    <mergeCell ref="Q5:S5"/>
    <mergeCell ref="T5:V5"/>
    <mergeCell ref="W5:Y5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4"/>
  <sheetViews>
    <sheetView zoomScale="80" zoomScaleNormal="80" zoomScaleSheetLayoutView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4" sqref="B4:Y4"/>
    </sheetView>
  </sheetViews>
  <sheetFormatPr defaultColWidth="9" defaultRowHeight="15.75"/>
  <cols>
    <col min="1" max="1" width="33.875" style="74" customWidth="1"/>
    <col min="2" max="4" width="10.25" style="74" customWidth="1"/>
    <col min="5" max="25" width="8.5" style="74" customWidth="1"/>
    <col min="26" max="16384" width="9" style="74"/>
  </cols>
  <sheetData>
    <row r="1" spans="1:33" s="64" customFormat="1" ht="27" customHeight="1">
      <c r="A1" s="70" t="s">
        <v>177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</row>
    <row r="2" spans="1:33" s="64" customFormat="1" ht="18" customHeight="1">
      <c r="A2" s="71" t="s">
        <v>166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</row>
    <row r="3" spans="1:33" s="73" customFormat="1" ht="18" customHeight="1" thickBot="1">
      <c r="A3" s="80" t="s">
        <v>167</v>
      </c>
      <c r="B3" s="81"/>
      <c r="C3" s="81"/>
      <c r="D3" s="81"/>
      <c r="E3" s="81"/>
      <c r="F3" s="81"/>
      <c r="G3" s="81"/>
      <c r="H3" s="81"/>
      <c r="I3" s="81"/>
      <c r="J3" s="72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72"/>
      <c r="Z3" s="72"/>
      <c r="AA3" s="64"/>
      <c r="AB3" s="64"/>
      <c r="AC3" s="64"/>
      <c r="AD3" s="64"/>
      <c r="AE3" s="64"/>
      <c r="AF3" s="64"/>
      <c r="AG3" s="64"/>
    </row>
    <row r="4" spans="1:33" ht="21.75" customHeight="1">
      <c r="A4" s="139" t="s">
        <v>173</v>
      </c>
      <c r="B4" s="132" t="s">
        <v>243</v>
      </c>
      <c r="C4" s="133"/>
      <c r="D4" s="133"/>
      <c r="E4" s="133"/>
      <c r="F4" s="133"/>
      <c r="G4" s="133"/>
      <c r="H4" s="133"/>
      <c r="I4" s="133"/>
      <c r="J4" s="134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4"/>
      <c r="AA4" s="64"/>
      <c r="AB4" s="64"/>
      <c r="AC4" s="64"/>
      <c r="AD4" s="64"/>
      <c r="AE4" s="64"/>
      <c r="AF4" s="64"/>
      <c r="AG4" s="64"/>
    </row>
    <row r="5" spans="1:33" ht="21.75" customHeight="1">
      <c r="A5" s="130"/>
      <c r="B5" s="135" t="s">
        <v>185</v>
      </c>
      <c r="C5" s="135"/>
      <c r="D5" s="136"/>
      <c r="E5" s="137" t="s">
        <v>201</v>
      </c>
      <c r="F5" s="137"/>
      <c r="G5" s="137"/>
      <c r="H5" s="137" t="s">
        <v>202</v>
      </c>
      <c r="I5" s="137"/>
      <c r="J5" s="138"/>
      <c r="K5" s="137" t="s">
        <v>203</v>
      </c>
      <c r="L5" s="137"/>
      <c r="M5" s="137"/>
      <c r="N5" s="137" t="s">
        <v>204</v>
      </c>
      <c r="O5" s="137"/>
      <c r="P5" s="137"/>
      <c r="Q5" s="137" t="s">
        <v>205</v>
      </c>
      <c r="R5" s="137"/>
      <c r="S5" s="137"/>
      <c r="T5" s="137" t="s">
        <v>206</v>
      </c>
      <c r="U5" s="137"/>
      <c r="V5" s="137"/>
      <c r="W5" s="137" t="s">
        <v>207</v>
      </c>
      <c r="X5" s="137"/>
      <c r="Y5" s="138"/>
      <c r="AA5" s="64"/>
      <c r="AB5" s="64"/>
      <c r="AC5" s="64"/>
      <c r="AD5" s="64"/>
      <c r="AE5" s="64"/>
      <c r="AF5" s="64"/>
      <c r="AG5" s="64"/>
    </row>
    <row r="6" spans="1:33" ht="40.15" customHeight="1" thickBot="1">
      <c r="A6" s="131"/>
      <c r="B6" s="84" t="s">
        <v>170</v>
      </c>
      <c r="C6" s="85" t="s">
        <v>171</v>
      </c>
      <c r="D6" s="85" t="s">
        <v>172</v>
      </c>
      <c r="E6" s="86" t="s">
        <v>170</v>
      </c>
      <c r="F6" s="85" t="s">
        <v>171</v>
      </c>
      <c r="G6" s="85" t="s">
        <v>172</v>
      </c>
      <c r="H6" s="86" t="s">
        <v>170</v>
      </c>
      <c r="I6" s="85" t="s">
        <v>171</v>
      </c>
      <c r="J6" s="85" t="s">
        <v>172</v>
      </c>
      <c r="K6" s="86" t="s">
        <v>170</v>
      </c>
      <c r="L6" s="85" t="s">
        <v>171</v>
      </c>
      <c r="M6" s="85" t="s">
        <v>172</v>
      </c>
      <c r="N6" s="86" t="s">
        <v>170</v>
      </c>
      <c r="O6" s="85" t="s">
        <v>171</v>
      </c>
      <c r="P6" s="85" t="s">
        <v>172</v>
      </c>
      <c r="Q6" s="86" t="s">
        <v>170</v>
      </c>
      <c r="R6" s="85" t="s">
        <v>171</v>
      </c>
      <c r="S6" s="85" t="s">
        <v>172</v>
      </c>
      <c r="T6" s="86" t="s">
        <v>170</v>
      </c>
      <c r="U6" s="85" t="s">
        <v>171</v>
      </c>
      <c r="V6" s="85" t="s">
        <v>172</v>
      </c>
      <c r="W6" s="86" t="s">
        <v>170</v>
      </c>
      <c r="X6" s="85" t="s">
        <v>171</v>
      </c>
      <c r="Y6" s="87" t="s">
        <v>172</v>
      </c>
      <c r="AA6" s="64"/>
      <c r="AB6" s="64"/>
      <c r="AC6" s="64"/>
      <c r="AD6" s="64"/>
      <c r="AE6" s="64"/>
      <c r="AF6" s="64"/>
      <c r="AG6" s="64"/>
    </row>
    <row r="7" spans="1:33" s="75" customFormat="1" ht="21" customHeight="1">
      <c r="A7" s="79" t="s">
        <v>176</v>
      </c>
      <c r="B7" s="82">
        <v>144412</v>
      </c>
      <c r="C7" s="83">
        <v>67657</v>
      </c>
      <c r="D7" s="83">
        <v>76755</v>
      </c>
      <c r="E7" s="83">
        <v>3288</v>
      </c>
      <c r="F7" s="83">
        <v>1339</v>
      </c>
      <c r="G7" s="83">
        <v>1949</v>
      </c>
      <c r="H7" s="83">
        <v>4248</v>
      </c>
      <c r="I7" s="83">
        <v>1810</v>
      </c>
      <c r="J7" s="83">
        <v>2438</v>
      </c>
      <c r="K7" s="83">
        <v>33852</v>
      </c>
      <c r="L7" s="83">
        <v>15356</v>
      </c>
      <c r="M7" s="83">
        <v>18496</v>
      </c>
      <c r="N7" s="83">
        <v>28711</v>
      </c>
      <c r="O7" s="83">
        <v>14167</v>
      </c>
      <c r="P7" s="83">
        <v>14544</v>
      </c>
      <c r="Q7" s="83">
        <v>20468</v>
      </c>
      <c r="R7" s="83">
        <v>9671</v>
      </c>
      <c r="S7" s="83">
        <v>10797</v>
      </c>
      <c r="T7" s="83">
        <v>24230</v>
      </c>
      <c r="U7" s="83">
        <v>11304</v>
      </c>
      <c r="V7" s="83">
        <v>12926</v>
      </c>
      <c r="W7" s="83">
        <v>29615</v>
      </c>
      <c r="X7" s="83">
        <v>14010</v>
      </c>
      <c r="Y7" s="83">
        <v>15605</v>
      </c>
      <c r="AA7" s="64"/>
      <c r="AB7" s="64"/>
      <c r="AC7" s="64"/>
      <c r="AD7" s="64"/>
      <c r="AE7" s="64"/>
      <c r="AF7" s="64"/>
      <c r="AG7" s="64"/>
    </row>
    <row r="8" spans="1:33" s="76" customFormat="1" ht="21" customHeight="1">
      <c r="A8" s="90" t="s">
        <v>186</v>
      </c>
      <c r="B8" s="66">
        <v>25356</v>
      </c>
      <c r="C8" s="67">
        <v>11870</v>
      </c>
      <c r="D8" s="67">
        <v>13486</v>
      </c>
      <c r="E8" s="67">
        <v>323</v>
      </c>
      <c r="F8" s="67">
        <v>130</v>
      </c>
      <c r="G8" s="67">
        <v>193</v>
      </c>
      <c r="H8" s="67">
        <v>478</v>
      </c>
      <c r="I8" s="67">
        <v>200</v>
      </c>
      <c r="J8" s="67">
        <v>278</v>
      </c>
      <c r="K8" s="67">
        <v>6490</v>
      </c>
      <c r="L8" s="67">
        <v>2934</v>
      </c>
      <c r="M8" s="67">
        <v>3556</v>
      </c>
      <c r="N8" s="67">
        <v>5468</v>
      </c>
      <c r="O8" s="67">
        <v>2718</v>
      </c>
      <c r="P8" s="67">
        <v>2750</v>
      </c>
      <c r="Q8" s="67">
        <v>3967</v>
      </c>
      <c r="R8" s="67">
        <v>1883</v>
      </c>
      <c r="S8" s="67">
        <v>2084</v>
      </c>
      <c r="T8" s="67">
        <v>3968</v>
      </c>
      <c r="U8" s="67">
        <v>1811</v>
      </c>
      <c r="V8" s="67">
        <v>2157</v>
      </c>
      <c r="W8" s="67">
        <v>4662</v>
      </c>
      <c r="X8" s="67">
        <v>2194</v>
      </c>
      <c r="Y8" s="67">
        <v>2468</v>
      </c>
      <c r="AA8" s="64"/>
      <c r="AB8" s="64"/>
      <c r="AC8" s="64"/>
      <c r="AD8" s="64"/>
      <c r="AE8" s="64"/>
      <c r="AF8" s="64"/>
      <c r="AG8" s="64"/>
    </row>
    <row r="9" spans="1:33" s="76" customFormat="1" ht="21" customHeight="1">
      <c r="A9" s="90" t="s">
        <v>187</v>
      </c>
      <c r="B9" s="66">
        <v>18188</v>
      </c>
      <c r="C9" s="67">
        <v>7823</v>
      </c>
      <c r="D9" s="67">
        <v>10365</v>
      </c>
      <c r="E9" s="67">
        <v>66</v>
      </c>
      <c r="F9" s="67">
        <v>29</v>
      </c>
      <c r="G9" s="67">
        <v>37</v>
      </c>
      <c r="H9" s="67">
        <v>169</v>
      </c>
      <c r="I9" s="67">
        <v>56</v>
      </c>
      <c r="J9" s="67">
        <v>113</v>
      </c>
      <c r="K9" s="67">
        <v>4259</v>
      </c>
      <c r="L9" s="67">
        <v>1730</v>
      </c>
      <c r="M9" s="67">
        <v>2529</v>
      </c>
      <c r="N9" s="67">
        <v>3355</v>
      </c>
      <c r="O9" s="67">
        <v>1554</v>
      </c>
      <c r="P9" s="67">
        <v>1801</v>
      </c>
      <c r="Q9" s="67">
        <v>2498</v>
      </c>
      <c r="R9" s="67">
        <v>1061</v>
      </c>
      <c r="S9" s="67">
        <v>1437</v>
      </c>
      <c r="T9" s="67">
        <v>3586</v>
      </c>
      <c r="U9" s="67">
        <v>1554</v>
      </c>
      <c r="V9" s="67">
        <v>2032</v>
      </c>
      <c r="W9" s="67">
        <v>4255</v>
      </c>
      <c r="X9" s="67">
        <v>1839</v>
      </c>
      <c r="Y9" s="67">
        <v>2416</v>
      </c>
      <c r="AA9" s="64"/>
      <c r="AB9" s="64"/>
      <c r="AC9" s="64"/>
      <c r="AD9" s="64"/>
      <c r="AE9" s="64"/>
      <c r="AF9" s="64"/>
      <c r="AG9" s="64"/>
    </row>
    <row r="10" spans="1:33" s="76" customFormat="1" ht="21" customHeight="1">
      <c r="A10" s="90" t="s">
        <v>188</v>
      </c>
      <c r="B10" s="66">
        <v>11571</v>
      </c>
      <c r="C10" s="67">
        <v>5500</v>
      </c>
      <c r="D10" s="67">
        <v>6071</v>
      </c>
      <c r="E10" s="67">
        <v>162</v>
      </c>
      <c r="F10" s="67">
        <v>54</v>
      </c>
      <c r="G10" s="67">
        <v>108</v>
      </c>
      <c r="H10" s="67">
        <v>249</v>
      </c>
      <c r="I10" s="67">
        <v>100</v>
      </c>
      <c r="J10" s="67">
        <v>149</v>
      </c>
      <c r="K10" s="67">
        <v>2256</v>
      </c>
      <c r="L10" s="67">
        <v>1033</v>
      </c>
      <c r="M10" s="67">
        <v>1223</v>
      </c>
      <c r="N10" s="67">
        <v>2203</v>
      </c>
      <c r="O10" s="67">
        <v>1087</v>
      </c>
      <c r="P10" s="67">
        <v>1116</v>
      </c>
      <c r="Q10" s="67">
        <v>2033</v>
      </c>
      <c r="R10" s="67">
        <v>1001</v>
      </c>
      <c r="S10" s="67">
        <v>1032</v>
      </c>
      <c r="T10" s="67">
        <v>2071</v>
      </c>
      <c r="U10" s="67">
        <v>960</v>
      </c>
      <c r="V10" s="67">
        <v>1111</v>
      </c>
      <c r="W10" s="67">
        <v>2597</v>
      </c>
      <c r="X10" s="67">
        <v>1265</v>
      </c>
      <c r="Y10" s="67">
        <v>1332</v>
      </c>
      <c r="AA10" s="64"/>
      <c r="AB10" s="64"/>
      <c r="AC10" s="64"/>
      <c r="AD10" s="64"/>
      <c r="AE10" s="64"/>
      <c r="AF10" s="64"/>
      <c r="AG10" s="64"/>
    </row>
    <row r="11" spans="1:33" s="76" customFormat="1" ht="21" customHeight="1">
      <c r="A11" s="90" t="s">
        <v>189</v>
      </c>
      <c r="B11" s="66">
        <v>17648</v>
      </c>
      <c r="C11" s="67">
        <v>8222</v>
      </c>
      <c r="D11" s="67">
        <v>9426</v>
      </c>
      <c r="E11" s="67">
        <v>195</v>
      </c>
      <c r="F11" s="67">
        <v>86</v>
      </c>
      <c r="G11" s="67">
        <v>109</v>
      </c>
      <c r="H11" s="67">
        <v>336</v>
      </c>
      <c r="I11" s="67">
        <v>122</v>
      </c>
      <c r="J11" s="67">
        <v>214</v>
      </c>
      <c r="K11" s="67">
        <v>3856</v>
      </c>
      <c r="L11" s="67">
        <v>1762</v>
      </c>
      <c r="M11" s="67">
        <v>2094</v>
      </c>
      <c r="N11" s="67">
        <v>3852</v>
      </c>
      <c r="O11" s="67">
        <v>1834</v>
      </c>
      <c r="P11" s="67">
        <v>2018</v>
      </c>
      <c r="Q11" s="67">
        <v>2508</v>
      </c>
      <c r="R11" s="67">
        <v>1190</v>
      </c>
      <c r="S11" s="67">
        <v>1318</v>
      </c>
      <c r="T11" s="67">
        <v>3078</v>
      </c>
      <c r="U11" s="67">
        <v>1434</v>
      </c>
      <c r="V11" s="67">
        <v>1644</v>
      </c>
      <c r="W11" s="67">
        <v>3823</v>
      </c>
      <c r="X11" s="67">
        <v>1794</v>
      </c>
      <c r="Y11" s="67">
        <v>2029</v>
      </c>
      <c r="AA11" s="64"/>
      <c r="AB11" s="64"/>
      <c r="AC11" s="64"/>
      <c r="AD11" s="64"/>
      <c r="AE11" s="64"/>
      <c r="AF11" s="64"/>
      <c r="AG11" s="64"/>
    </row>
    <row r="12" spans="1:33" s="76" customFormat="1" ht="21" customHeight="1">
      <c r="A12" s="90" t="s">
        <v>190</v>
      </c>
      <c r="B12" s="66">
        <v>7282</v>
      </c>
      <c r="C12" s="67">
        <v>3409</v>
      </c>
      <c r="D12" s="67">
        <v>3873</v>
      </c>
      <c r="E12" s="67">
        <v>53</v>
      </c>
      <c r="F12" s="67">
        <v>21</v>
      </c>
      <c r="G12" s="67">
        <v>32</v>
      </c>
      <c r="H12" s="67">
        <v>115</v>
      </c>
      <c r="I12" s="67">
        <v>56</v>
      </c>
      <c r="J12" s="67">
        <v>59</v>
      </c>
      <c r="K12" s="67">
        <v>1455</v>
      </c>
      <c r="L12" s="67">
        <v>622</v>
      </c>
      <c r="M12" s="67">
        <v>833</v>
      </c>
      <c r="N12" s="67">
        <v>1382</v>
      </c>
      <c r="O12" s="67">
        <v>698</v>
      </c>
      <c r="P12" s="67">
        <v>684</v>
      </c>
      <c r="Q12" s="67">
        <v>935</v>
      </c>
      <c r="R12" s="67">
        <v>443</v>
      </c>
      <c r="S12" s="67">
        <v>492</v>
      </c>
      <c r="T12" s="67">
        <v>1486</v>
      </c>
      <c r="U12" s="67">
        <v>692</v>
      </c>
      <c r="V12" s="67">
        <v>794</v>
      </c>
      <c r="W12" s="67">
        <v>1856</v>
      </c>
      <c r="X12" s="67">
        <v>877</v>
      </c>
      <c r="Y12" s="67">
        <v>979</v>
      </c>
      <c r="AA12" s="64"/>
      <c r="AB12" s="64"/>
      <c r="AC12" s="64"/>
      <c r="AD12" s="64"/>
      <c r="AE12" s="64"/>
      <c r="AF12" s="64"/>
      <c r="AG12" s="64"/>
    </row>
    <row r="13" spans="1:33" s="76" customFormat="1" ht="21" customHeight="1">
      <c r="A13" s="90" t="s">
        <v>191</v>
      </c>
      <c r="B13" s="66">
        <v>15525</v>
      </c>
      <c r="C13" s="67">
        <v>7451</v>
      </c>
      <c r="D13" s="67">
        <v>8074</v>
      </c>
      <c r="E13" s="67">
        <v>395</v>
      </c>
      <c r="F13" s="67">
        <v>178</v>
      </c>
      <c r="G13" s="67">
        <v>217</v>
      </c>
      <c r="H13" s="67">
        <v>633</v>
      </c>
      <c r="I13" s="67">
        <v>273</v>
      </c>
      <c r="J13" s="67">
        <v>360</v>
      </c>
      <c r="K13" s="67">
        <v>4652</v>
      </c>
      <c r="L13" s="67">
        <v>2153</v>
      </c>
      <c r="M13" s="67">
        <v>2499</v>
      </c>
      <c r="N13" s="67">
        <v>3002</v>
      </c>
      <c r="O13" s="67">
        <v>1536</v>
      </c>
      <c r="P13" s="67">
        <v>1466</v>
      </c>
      <c r="Q13" s="67">
        <v>1685</v>
      </c>
      <c r="R13" s="67">
        <v>835</v>
      </c>
      <c r="S13" s="67">
        <v>850</v>
      </c>
      <c r="T13" s="67">
        <v>2225</v>
      </c>
      <c r="U13" s="67">
        <v>1057</v>
      </c>
      <c r="V13" s="67">
        <v>1168</v>
      </c>
      <c r="W13" s="67">
        <v>2933</v>
      </c>
      <c r="X13" s="67">
        <v>1419</v>
      </c>
      <c r="Y13" s="67">
        <v>1514</v>
      </c>
      <c r="AA13" s="64"/>
      <c r="AB13" s="64"/>
      <c r="AC13" s="64"/>
      <c r="AD13" s="64"/>
      <c r="AE13" s="64"/>
      <c r="AF13" s="64"/>
      <c r="AG13" s="64"/>
    </row>
    <row r="14" spans="1:33" s="76" customFormat="1" ht="21" customHeight="1">
      <c r="A14" s="90" t="s">
        <v>192</v>
      </c>
      <c r="B14" s="66">
        <v>4384</v>
      </c>
      <c r="C14" s="67">
        <v>2071</v>
      </c>
      <c r="D14" s="67">
        <v>2313</v>
      </c>
      <c r="E14" s="67">
        <v>88</v>
      </c>
      <c r="F14" s="67">
        <v>35</v>
      </c>
      <c r="G14" s="67">
        <v>53</v>
      </c>
      <c r="H14" s="67">
        <v>81</v>
      </c>
      <c r="I14" s="67">
        <v>38</v>
      </c>
      <c r="J14" s="67">
        <v>43</v>
      </c>
      <c r="K14" s="67">
        <v>949</v>
      </c>
      <c r="L14" s="67">
        <v>433</v>
      </c>
      <c r="M14" s="67">
        <v>516</v>
      </c>
      <c r="N14" s="67">
        <v>866</v>
      </c>
      <c r="O14" s="67">
        <v>424</v>
      </c>
      <c r="P14" s="67">
        <v>442</v>
      </c>
      <c r="Q14" s="67">
        <v>625</v>
      </c>
      <c r="R14" s="67">
        <v>308</v>
      </c>
      <c r="S14" s="67">
        <v>317</v>
      </c>
      <c r="T14" s="67">
        <v>757</v>
      </c>
      <c r="U14" s="67">
        <v>370</v>
      </c>
      <c r="V14" s="67">
        <v>387</v>
      </c>
      <c r="W14" s="67">
        <v>1018</v>
      </c>
      <c r="X14" s="67">
        <v>463</v>
      </c>
      <c r="Y14" s="67">
        <v>555</v>
      </c>
      <c r="AA14" s="64"/>
      <c r="AB14" s="64"/>
      <c r="AC14" s="64"/>
      <c r="AD14" s="64"/>
      <c r="AE14" s="64"/>
      <c r="AF14" s="64"/>
      <c r="AG14" s="64"/>
    </row>
    <row r="15" spans="1:33" s="76" customFormat="1" ht="21" customHeight="1">
      <c r="A15" s="90" t="s">
        <v>193</v>
      </c>
      <c r="B15" s="66">
        <v>3278</v>
      </c>
      <c r="C15" s="67">
        <v>1620</v>
      </c>
      <c r="D15" s="67">
        <v>1658</v>
      </c>
      <c r="E15" s="67">
        <v>60</v>
      </c>
      <c r="F15" s="67">
        <v>32</v>
      </c>
      <c r="G15" s="67">
        <v>28</v>
      </c>
      <c r="H15" s="67">
        <v>79</v>
      </c>
      <c r="I15" s="67">
        <v>28</v>
      </c>
      <c r="J15" s="67">
        <v>51</v>
      </c>
      <c r="K15" s="67">
        <v>637</v>
      </c>
      <c r="L15" s="67">
        <v>295</v>
      </c>
      <c r="M15" s="67">
        <v>342</v>
      </c>
      <c r="N15" s="67">
        <v>570</v>
      </c>
      <c r="O15" s="67">
        <v>286</v>
      </c>
      <c r="P15" s="67">
        <v>284</v>
      </c>
      <c r="Q15" s="67">
        <v>641</v>
      </c>
      <c r="R15" s="67">
        <v>333</v>
      </c>
      <c r="S15" s="67">
        <v>308</v>
      </c>
      <c r="T15" s="67">
        <v>595</v>
      </c>
      <c r="U15" s="67">
        <v>300</v>
      </c>
      <c r="V15" s="67">
        <v>295</v>
      </c>
      <c r="W15" s="67">
        <v>696</v>
      </c>
      <c r="X15" s="67">
        <v>346</v>
      </c>
      <c r="Y15" s="67">
        <v>350</v>
      </c>
      <c r="AA15" s="64"/>
      <c r="AB15" s="64"/>
      <c r="AC15" s="64"/>
      <c r="AD15" s="64"/>
      <c r="AE15" s="64"/>
      <c r="AF15" s="64"/>
      <c r="AG15" s="64"/>
    </row>
    <row r="16" spans="1:33" s="76" customFormat="1" ht="21" customHeight="1">
      <c r="A16" s="90" t="s">
        <v>194</v>
      </c>
      <c r="B16" s="66">
        <v>3614</v>
      </c>
      <c r="C16" s="67">
        <v>1811</v>
      </c>
      <c r="D16" s="67">
        <v>1803</v>
      </c>
      <c r="E16" s="67">
        <v>74</v>
      </c>
      <c r="F16" s="67">
        <v>33</v>
      </c>
      <c r="G16" s="67">
        <v>41</v>
      </c>
      <c r="H16" s="67">
        <v>67</v>
      </c>
      <c r="I16" s="67">
        <v>24</v>
      </c>
      <c r="J16" s="67">
        <v>43</v>
      </c>
      <c r="K16" s="67">
        <v>684</v>
      </c>
      <c r="L16" s="67">
        <v>342</v>
      </c>
      <c r="M16" s="67">
        <v>342</v>
      </c>
      <c r="N16" s="67">
        <v>788</v>
      </c>
      <c r="O16" s="67">
        <v>420</v>
      </c>
      <c r="P16" s="67">
        <v>368</v>
      </c>
      <c r="Q16" s="67">
        <v>630</v>
      </c>
      <c r="R16" s="67">
        <v>298</v>
      </c>
      <c r="S16" s="67">
        <v>332</v>
      </c>
      <c r="T16" s="67">
        <v>615</v>
      </c>
      <c r="U16" s="67">
        <v>323</v>
      </c>
      <c r="V16" s="67">
        <v>292</v>
      </c>
      <c r="W16" s="67">
        <v>756</v>
      </c>
      <c r="X16" s="67">
        <v>371</v>
      </c>
      <c r="Y16" s="67">
        <v>385</v>
      </c>
      <c r="AA16" s="64"/>
      <c r="AB16" s="64"/>
      <c r="AC16" s="64"/>
      <c r="AD16" s="64"/>
      <c r="AE16" s="64"/>
      <c r="AF16" s="64"/>
      <c r="AG16" s="64"/>
    </row>
    <row r="17" spans="1:33" s="76" customFormat="1" ht="21" customHeight="1">
      <c r="A17" s="90" t="s">
        <v>195</v>
      </c>
      <c r="B17" s="66">
        <v>7804</v>
      </c>
      <c r="C17" s="67">
        <v>3653</v>
      </c>
      <c r="D17" s="67">
        <v>4151</v>
      </c>
      <c r="E17" s="67">
        <v>34</v>
      </c>
      <c r="F17" s="67">
        <v>16</v>
      </c>
      <c r="G17" s="67">
        <v>18</v>
      </c>
      <c r="H17" s="67">
        <v>73</v>
      </c>
      <c r="I17" s="67">
        <v>32</v>
      </c>
      <c r="J17" s="67">
        <v>41</v>
      </c>
      <c r="K17" s="67">
        <v>2004</v>
      </c>
      <c r="L17" s="67">
        <v>919</v>
      </c>
      <c r="M17" s="67">
        <v>1085</v>
      </c>
      <c r="N17" s="67">
        <v>1752</v>
      </c>
      <c r="O17" s="67">
        <v>843</v>
      </c>
      <c r="P17" s="67">
        <v>909</v>
      </c>
      <c r="Q17" s="67">
        <v>1064</v>
      </c>
      <c r="R17" s="67">
        <v>510</v>
      </c>
      <c r="S17" s="67">
        <v>554</v>
      </c>
      <c r="T17" s="67">
        <v>1368</v>
      </c>
      <c r="U17" s="67">
        <v>624</v>
      </c>
      <c r="V17" s="67">
        <v>744</v>
      </c>
      <c r="W17" s="67">
        <v>1509</v>
      </c>
      <c r="X17" s="67">
        <v>709</v>
      </c>
      <c r="Y17" s="67">
        <v>800</v>
      </c>
      <c r="AA17" s="64"/>
      <c r="AB17" s="64"/>
      <c r="AC17" s="64"/>
      <c r="AD17" s="64"/>
      <c r="AE17" s="64"/>
      <c r="AF17" s="64"/>
      <c r="AG17" s="64"/>
    </row>
    <row r="18" spans="1:33" s="76" customFormat="1" ht="21" customHeight="1">
      <c r="A18" s="90" t="s">
        <v>196</v>
      </c>
      <c r="B18" s="66">
        <v>4017</v>
      </c>
      <c r="C18" s="67">
        <v>2000</v>
      </c>
      <c r="D18" s="67">
        <v>2017</v>
      </c>
      <c r="E18" s="67">
        <v>271</v>
      </c>
      <c r="F18" s="67">
        <v>106</v>
      </c>
      <c r="G18" s="67">
        <v>165</v>
      </c>
      <c r="H18" s="67">
        <v>258</v>
      </c>
      <c r="I18" s="67">
        <v>110</v>
      </c>
      <c r="J18" s="67">
        <v>148</v>
      </c>
      <c r="K18" s="67">
        <v>891</v>
      </c>
      <c r="L18" s="67">
        <v>464</v>
      </c>
      <c r="M18" s="67">
        <v>427</v>
      </c>
      <c r="N18" s="67">
        <v>827</v>
      </c>
      <c r="O18" s="67">
        <v>436</v>
      </c>
      <c r="P18" s="67">
        <v>391</v>
      </c>
      <c r="Q18" s="67">
        <v>525</v>
      </c>
      <c r="R18" s="67">
        <v>248</v>
      </c>
      <c r="S18" s="67">
        <v>277</v>
      </c>
      <c r="T18" s="67">
        <v>571</v>
      </c>
      <c r="U18" s="67">
        <v>293</v>
      </c>
      <c r="V18" s="67">
        <v>278</v>
      </c>
      <c r="W18" s="67">
        <v>674</v>
      </c>
      <c r="X18" s="67">
        <v>343</v>
      </c>
      <c r="Y18" s="67">
        <v>331</v>
      </c>
      <c r="AA18" s="64"/>
      <c r="AB18" s="64"/>
      <c r="AC18" s="64"/>
      <c r="AD18" s="64"/>
      <c r="AE18" s="64"/>
      <c r="AF18" s="64"/>
      <c r="AG18" s="64"/>
    </row>
    <row r="19" spans="1:33" s="76" customFormat="1" ht="21" customHeight="1">
      <c r="A19" s="90" t="s">
        <v>197</v>
      </c>
      <c r="B19" s="66">
        <v>2726</v>
      </c>
      <c r="C19" s="67">
        <v>1338</v>
      </c>
      <c r="D19" s="67">
        <v>1388</v>
      </c>
      <c r="E19" s="67">
        <v>16</v>
      </c>
      <c r="F19" s="67">
        <v>5</v>
      </c>
      <c r="G19" s="67">
        <v>11</v>
      </c>
      <c r="H19" s="67">
        <v>28</v>
      </c>
      <c r="I19" s="67">
        <v>14</v>
      </c>
      <c r="J19" s="67">
        <v>14</v>
      </c>
      <c r="K19" s="67">
        <v>530</v>
      </c>
      <c r="L19" s="67">
        <v>241</v>
      </c>
      <c r="M19" s="67">
        <v>289</v>
      </c>
      <c r="N19" s="67">
        <v>506</v>
      </c>
      <c r="O19" s="67">
        <v>277</v>
      </c>
      <c r="P19" s="67">
        <v>229</v>
      </c>
      <c r="Q19" s="67">
        <v>399</v>
      </c>
      <c r="R19" s="67">
        <v>182</v>
      </c>
      <c r="S19" s="67">
        <v>217</v>
      </c>
      <c r="T19" s="67">
        <v>510</v>
      </c>
      <c r="U19" s="67">
        <v>257</v>
      </c>
      <c r="V19" s="67">
        <v>253</v>
      </c>
      <c r="W19" s="67">
        <v>737</v>
      </c>
      <c r="X19" s="67">
        <v>362</v>
      </c>
      <c r="Y19" s="67">
        <v>375</v>
      </c>
      <c r="AA19" s="64"/>
      <c r="AB19" s="64"/>
      <c r="AC19" s="64"/>
      <c r="AD19" s="64"/>
      <c r="AE19" s="64"/>
      <c r="AF19" s="64"/>
      <c r="AG19" s="64"/>
    </row>
    <row r="20" spans="1:33" s="76" customFormat="1" ht="21" customHeight="1">
      <c r="A20" s="90" t="s">
        <v>198</v>
      </c>
      <c r="B20" s="66">
        <v>3309</v>
      </c>
      <c r="C20" s="67">
        <v>1548</v>
      </c>
      <c r="D20" s="67">
        <v>1761</v>
      </c>
      <c r="E20" s="67">
        <v>105</v>
      </c>
      <c r="F20" s="67">
        <v>46</v>
      </c>
      <c r="G20" s="67">
        <v>59</v>
      </c>
      <c r="H20" s="67">
        <v>128</v>
      </c>
      <c r="I20" s="67">
        <v>59</v>
      </c>
      <c r="J20" s="67">
        <v>69</v>
      </c>
      <c r="K20" s="67">
        <v>912</v>
      </c>
      <c r="L20" s="67">
        <v>426</v>
      </c>
      <c r="M20" s="67">
        <v>486</v>
      </c>
      <c r="N20" s="67">
        <v>594</v>
      </c>
      <c r="O20" s="67">
        <v>279</v>
      </c>
      <c r="P20" s="67">
        <v>315</v>
      </c>
      <c r="Q20" s="67">
        <v>350</v>
      </c>
      <c r="R20" s="67">
        <v>154</v>
      </c>
      <c r="S20" s="67">
        <v>196</v>
      </c>
      <c r="T20" s="67">
        <v>482</v>
      </c>
      <c r="U20" s="67">
        <v>223</v>
      </c>
      <c r="V20" s="67">
        <v>259</v>
      </c>
      <c r="W20" s="67">
        <v>738</v>
      </c>
      <c r="X20" s="67">
        <v>361</v>
      </c>
      <c r="Y20" s="67">
        <v>377</v>
      </c>
      <c r="AA20" s="64"/>
      <c r="AB20" s="64"/>
      <c r="AC20" s="64"/>
      <c r="AD20" s="64"/>
      <c r="AE20" s="64"/>
      <c r="AF20" s="64"/>
      <c r="AG20" s="64"/>
    </row>
    <row r="21" spans="1:33" s="76" customFormat="1" ht="21" customHeight="1">
      <c r="A21" s="90" t="s">
        <v>199</v>
      </c>
      <c r="B21" s="66">
        <v>5360</v>
      </c>
      <c r="C21" s="67">
        <v>2571</v>
      </c>
      <c r="D21" s="67">
        <v>2789</v>
      </c>
      <c r="E21" s="67">
        <v>238</v>
      </c>
      <c r="F21" s="67">
        <v>102</v>
      </c>
      <c r="G21" s="67">
        <v>136</v>
      </c>
      <c r="H21" s="67">
        <v>252</v>
      </c>
      <c r="I21" s="67">
        <v>103</v>
      </c>
      <c r="J21" s="67">
        <v>149</v>
      </c>
      <c r="K21" s="67">
        <v>1197</v>
      </c>
      <c r="L21" s="67">
        <v>560</v>
      </c>
      <c r="M21" s="67">
        <v>637</v>
      </c>
      <c r="N21" s="67">
        <v>1114</v>
      </c>
      <c r="O21" s="67">
        <v>556</v>
      </c>
      <c r="P21" s="67">
        <v>558</v>
      </c>
      <c r="Q21" s="67">
        <v>831</v>
      </c>
      <c r="R21" s="67">
        <v>381</v>
      </c>
      <c r="S21" s="67">
        <v>450</v>
      </c>
      <c r="T21" s="67">
        <v>845</v>
      </c>
      <c r="U21" s="67">
        <v>423</v>
      </c>
      <c r="V21" s="67">
        <v>422</v>
      </c>
      <c r="W21" s="67">
        <v>883</v>
      </c>
      <c r="X21" s="67">
        <v>446</v>
      </c>
      <c r="Y21" s="67">
        <v>437</v>
      </c>
      <c r="AA21" s="64"/>
      <c r="AB21" s="64"/>
      <c r="AC21" s="64"/>
      <c r="AD21" s="64"/>
      <c r="AE21" s="64"/>
      <c r="AF21" s="64"/>
      <c r="AG21" s="64"/>
    </row>
    <row r="22" spans="1:33" s="76" customFormat="1" ht="21" customHeight="1">
      <c r="A22" s="90" t="s">
        <v>200</v>
      </c>
      <c r="B22" s="66">
        <v>2553</v>
      </c>
      <c r="C22" s="67">
        <v>1264</v>
      </c>
      <c r="D22" s="67">
        <v>1289</v>
      </c>
      <c r="E22" s="67">
        <v>378</v>
      </c>
      <c r="F22" s="67">
        <v>144</v>
      </c>
      <c r="G22" s="67">
        <v>234</v>
      </c>
      <c r="H22" s="67">
        <v>421</v>
      </c>
      <c r="I22" s="67">
        <v>195</v>
      </c>
      <c r="J22" s="67">
        <v>226</v>
      </c>
      <c r="K22" s="67">
        <v>390</v>
      </c>
      <c r="L22" s="67">
        <v>207</v>
      </c>
      <c r="M22" s="67">
        <v>183</v>
      </c>
      <c r="N22" s="67">
        <v>390</v>
      </c>
      <c r="O22" s="67">
        <v>224</v>
      </c>
      <c r="P22" s="67">
        <v>166</v>
      </c>
      <c r="Q22" s="67">
        <v>221</v>
      </c>
      <c r="R22" s="67">
        <v>103</v>
      </c>
      <c r="S22" s="67">
        <v>118</v>
      </c>
      <c r="T22" s="67">
        <v>336</v>
      </c>
      <c r="U22" s="67">
        <v>174</v>
      </c>
      <c r="V22" s="67">
        <v>162</v>
      </c>
      <c r="W22" s="67">
        <v>417</v>
      </c>
      <c r="X22" s="67">
        <v>217</v>
      </c>
      <c r="Y22" s="67">
        <v>200</v>
      </c>
      <c r="AA22" s="64"/>
      <c r="AB22" s="64"/>
      <c r="AC22" s="64"/>
      <c r="AD22" s="64"/>
      <c r="AE22" s="64"/>
      <c r="AF22" s="64"/>
      <c r="AG22" s="64"/>
    </row>
    <row r="23" spans="1:33" s="76" customFormat="1" ht="21" customHeight="1">
      <c r="A23" s="90" t="s">
        <v>178</v>
      </c>
      <c r="B23" s="66">
        <v>4148</v>
      </c>
      <c r="C23" s="67">
        <v>2042</v>
      </c>
      <c r="D23" s="67">
        <v>2106</v>
      </c>
      <c r="E23" s="67">
        <v>630</v>
      </c>
      <c r="F23" s="67">
        <v>252</v>
      </c>
      <c r="G23" s="67">
        <v>378</v>
      </c>
      <c r="H23" s="67">
        <v>645</v>
      </c>
      <c r="I23" s="67">
        <v>298</v>
      </c>
      <c r="J23" s="67">
        <v>347</v>
      </c>
      <c r="K23" s="67">
        <v>690</v>
      </c>
      <c r="L23" s="67">
        <v>357</v>
      </c>
      <c r="M23" s="67">
        <v>333</v>
      </c>
      <c r="N23" s="67">
        <v>577</v>
      </c>
      <c r="O23" s="67">
        <v>282</v>
      </c>
      <c r="P23" s="67">
        <v>295</v>
      </c>
      <c r="Q23" s="67">
        <v>387</v>
      </c>
      <c r="R23" s="67">
        <v>195</v>
      </c>
      <c r="S23" s="67">
        <v>192</v>
      </c>
      <c r="T23" s="67">
        <v>539</v>
      </c>
      <c r="U23" s="67">
        <v>283</v>
      </c>
      <c r="V23" s="67">
        <v>256</v>
      </c>
      <c r="W23" s="67">
        <v>680</v>
      </c>
      <c r="X23" s="67">
        <v>375</v>
      </c>
      <c r="Y23" s="67">
        <v>305</v>
      </c>
      <c r="AA23" s="64"/>
      <c r="AB23" s="64"/>
      <c r="AC23" s="64"/>
      <c r="AD23" s="64"/>
      <c r="AE23" s="64"/>
      <c r="AF23" s="64"/>
      <c r="AG23" s="64"/>
    </row>
    <row r="24" spans="1:33" s="76" customFormat="1" ht="21" customHeight="1">
      <c r="A24" s="90" t="s">
        <v>179</v>
      </c>
      <c r="B24" s="66">
        <v>567</v>
      </c>
      <c r="C24" s="67">
        <v>256</v>
      </c>
      <c r="D24" s="67">
        <v>311</v>
      </c>
      <c r="E24" s="67">
        <v>49</v>
      </c>
      <c r="F24" s="67">
        <v>17</v>
      </c>
      <c r="G24" s="67">
        <v>32</v>
      </c>
      <c r="H24" s="67">
        <v>42</v>
      </c>
      <c r="I24" s="67">
        <v>15</v>
      </c>
      <c r="J24" s="67">
        <v>27</v>
      </c>
      <c r="K24" s="67">
        <v>135</v>
      </c>
      <c r="L24" s="67">
        <v>62</v>
      </c>
      <c r="M24" s="67">
        <v>73</v>
      </c>
      <c r="N24" s="67">
        <v>82</v>
      </c>
      <c r="O24" s="67">
        <v>47</v>
      </c>
      <c r="P24" s="67">
        <v>35</v>
      </c>
      <c r="Q24" s="67">
        <v>81</v>
      </c>
      <c r="R24" s="67">
        <v>37</v>
      </c>
      <c r="S24" s="67">
        <v>44</v>
      </c>
      <c r="T24" s="67">
        <v>102</v>
      </c>
      <c r="U24" s="67">
        <v>41</v>
      </c>
      <c r="V24" s="67">
        <v>61</v>
      </c>
      <c r="W24" s="67">
        <v>76</v>
      </c>
      <c r="X24" s="67">
        <v>37</v>
      </c>
      <c r="Y24" s="67">
        <v>39</v>
      </c>
      <c r="AA24" s="64"/>
      <c r="AB24" s="64"/>
      <c r="AC24" s="64"/>
      <c r="AD24" s="64"/>
      <c r="AE24" s="64"/>
      <c r="AF24" s="64"/>
      <c r="AG24" s="64"/>
    </row>
    <row r="25" spans="1:33" s="76" customFormat="1" ht="21" customHeight="1">
      <c r="A25" s="90" t="s">
        <v>180</v>
      </c>
      <c r="B25" s="66">
        <v>1765</v>
      </c>
      <c r="C25" s="67">
        <v>817</v>
      </c>
      <c r="D25" s="67">
        <v>948</v>
      </c>
      <c r="E25" s="67">
        <v>11</v>
      </c>
      <c r="F25" s="67">
        <v>4</v>
      </c>
      <c r="G25" s="67">
        <v>7</v>
      </c>
      <c r="H25" s="67">
        <v>18</v>
      </c>
      <c r="I25" s="67">
        <v>8</v>
      </c>
      <c r="J25" s="67">
        <v>10</v>
      </c>
      <c r="K25" s="67">
        <v>448</v>
      </c>
      <c r="L25" s="67">
        <v>187</v>
      </c>
      <c r="M25" s="67">
        <v>261</v>
      </c>
      <c r="N25" s="67">
        <v>364</v>
      </c>
      <c r="O25" s="67">
        <v>174</v>
      </c>
      <c r="P25" s="67">
        <v>190</v>
      </c>
      <c r="Q25" s="67">
        <v>210</v>
      </c>
      <c r="R25" s="67">
        <v>127</v>
      </c>
      <c r="S25" s="67">
        <v>83</v>
      </c>
      <c r="T25" s="67">
        <v>356</v>
      </c>
      <c r="U25" s="67">
        <v>150</v>
      </c>
      <c r="V25" s="67">
        <v>206</v>
      </c>
      <c r="W25" s="67">
        <v>358</v>
      </c>
      <c r="X25" s="67">
        <v>167</v>
      </c>
      <c r="Y25" s="67">
        <v>191</v>
      </c>
      <c r="AA25" s="64"/>
      <c r="AB25" s="64"/>
      <c r="AC25" s="64"/>
      <c r="AD25" s="64"/>
      <c r="AE25" s="64"/>
      <c r="AF25" s="64"/>
      <c r="AG25" s="64"/>
    </row>
    <row r="26" spans="1:33" s="76" customFormat="1" ht="21" customHeight="1">
      <c r="A26" s="90" t="s">
        <v>181</v>
      </c>
      <c r="B26" s="66">
        <v>3688</v>
      </c>
      <c r="C26" s="67">
        <v>1670</v>
      </c>
      <c r="D26" s="67">
        <v>2018</v>
      </c>
      <c r="E26" s="67">
        <v>32</v>
      </c>
      <c r="F26" s="67">
        <v>14</v>
      </c>
      <c r="G26" s="67">
        <v>18</v>
      </c>
      <c r="H26" s="67">
        <v>50</v>
      </c>
      <c r="I26" s="67">
        <v>25</v>
      </c>
      <c r="J26" s="67">
        <v>25</v>
      </c>
      <c r="K26" s="67">
        <v>1094</v>
      </c>
      <c r="L26" s="67">
        <v>487</v>
      </c>
      <c r="M26" s="67">
        <v>607</v>
      </c>
      <c r="N26" s="67">
        <v>750</v>
      </c>
      <c r="O26" s="67">
        <v>356</v>
      </c>
      <c r="P26" s="67">
        <v>394</v>
      </c>
      <c r="Q26" s="67">
        <v>631</v>
      </c>
      <c r="R26" s="67">
        <v>280</v>
      </c>
      <c r="S26" s="67">
        <v>351</v>
      </c>
      <c r="T26" s="67">
        <v>489</v>
      </c>
      <c r="U26" s="67">
        <v>219</v>
      </c>
      <c r="V26" s="67">
        <v>270</v>
      </c>
      <c r="W26" s="67">
        <v>642</v>
      </c>
      <c r="X26" s="67">
        <v>289</v>
      </c>
      <c r="Y26" s="67">
        <v>353</v>
      </c>
      <c r="AA26" s="64"/>
      <c r="AB26" s="64"/>
      <c r="AC26" s="64"/>
      <c r="AD26" s="64"/>
      <c r="AE26" s="64"/>
      <c r="AF26" s="64"/>
      <c r="AG26" s="64"/>
    </row>
    <row r="27" spans="1:33" s="76" customFormat="1" ht="21" customHeight="1">
      <c r="A27" s="90" t="s">
        <v>182</v>
      </c>
      <c r="B27" s="66">
        <v>873</v>
      </c>
      <c r="C27" s="67">
        <v>390</v>
      </c>
      <c r="D27" s="67">
        <v>483</v>
      </c>
      <c r="E27" s="67">
        <v>6</v>
      </c>
      <c r="F27" s="67">
        <v>3</v>
      </c>
      <c r="G27" s="67">
        <v>3</v>
      </c>
      <c r="H27" s="67">
        <v>10</v>
      </c>
      <c r="I27" s="67">
        <v>3</v>
      </c>
      <c r="J27" s="67">
        <v>7</v>
      </c>
      <c r="K27" s="67">
        <v>209</v>
      </c>
      <c r="L27" s="67">
        <v>89</v>
      </c>
      <c r="M27" s="67">
        <v>120</v>
      </c>
      <c r="N27" s="67">
        <v>175</v>
      </c>
      <c r="O27" s="67">
        <v>86</v>
      </c>
      <c r="P27" s="67">
        <v>89</v>
      </c>
      <c r="Q27" s="67">
        <v>133</v>
      </c>
      <c r="R27" s="67">
        <v>57</v>
      </c>
      <c r="S27" s="67">
        <v>76</v>
      </c>
      <c r="T27" s="67">
        <v>153</v>
      </c>
      <c r="U27" s="67">
        <v>69</v>
      </c>
      <c r="V27" s="67">
        <v>84</v>
      </c>
      <c r="W27" s="67">
        <v>187</v>
      </c>
      <c r="X27" s="67">
        <v>83</v>
      </c>
      <c r="Y27" s="67">
        <v>104</v>
      </c>
      <c r="AA27" s="64"/>
      <c r="AB27" s="64"/>
      <c r="AC27" s="64"/>
      <c r="AD27" s="64"/>
      <c r="AE27" s="64"/>
      <c r="AF27" s="64"/>
      <c r="AG27" s="64"/>
    </row>
    <row r="28" spans="1:33" s="76" customFormat="1" ht="21" customHeight="1">
      <c r="A28" s="90" t="s">
        <v>183</v>
      </c>
      <c r="B28" s="66">
        <v>723</v>
      </c>
      <c r="C28" s="67">
        <v>316</v>
      </c>
      <c r="D28" s="67">
        <v>407</v>
      </c>
      <c r="E28" s="67">
        <v>97</v>
      </c>
      <c r="F28" s="67">
        <v>30</v>
      </c>
      <c r="G28" s="67">
        <v>67</v>
      </c>
      <c r="H28" s="67">
        <v>113</v>
      </c>
      <c r="I28" s="67">
        <v>49</v>
      </c>
      <c r="J28" s="67">
        <v>64</v>
      </c>
      <c r="K28" s="67">
        <v>110</v>
      </c>
      <c r="L28" s="67">
        <v>51</v>
      </c>
      <c r="M28" s="67">
        <v>59</v>
      </c>
      <c r="N28" s="67">
        <v>91</v>
      </c>
      <c r="O28" s="67">
        <v>49</v>
      </c>
      <c r="P28" s="67">
        <v>42</v>
      </c>
      <c r="Q28" s="67">
        <v>105</v>
      </c>
      <c r="R28" s="67">
        <v>38</v>
      </c>
      <c r="S28" s="67">
        <v>67</v>
      </c>
      <c r="T28" s="67">
        <v>94</v>
      </c>
      <c r="U28" s="67">
        <v>47</v>
      </c>
      <c r="V28" s="67">
        <v>47</v>
      </c>
      <c r="W28" s="67">
        <v>113</v>
      </c>
      <c r="X28" s="67">
        <v>52</v>
      </c>
      <c r="Y28" s="67">
        <v>61</v>
      </c>
      <c r="AA28" s="64"/>
      <c r="AB28" s="64"/>
      <c r="AC28" s="64"/>
      <c r="AD28" s="64"/>
      <c r="AE28" s="64"/>
      <c r="AF28" s="64"/>
      <c r="AG28" s="64"/>
    </row>
    <row r="29" spans="1:33" s="76" customFormat="1" ht="21" customHeight="1" thickBot="1">
      <c r="A29" s="91" t="s">
        <v>184</v>
      </c>
      <c r="B29" s="88">
        <v>33</v>
      </c>
      <c r="C29" s="89">
        <v>15</v>
      </c>
      <c r="D29" s="89">
        <v>18</v>
      </c>
      <c r="E29" s="89">
        <v>5</v>
      </c>
      <c r="F29" s="89">
        <v>2</v>
      </c>
      <c r="G29" s="89">
        <v>3</v>
      </c>
      <c r="H29" s="89">
        <v>3</v>
      </c>
      <c r="I29" s="89">
        <v>2</v>
      </c>
      <c r="J29" s="89">
        <v>1</v>
      </c>
      <c r="K29" s="89">
        <v>4</v>
      </c>
      <c r="L29" s="89">
        <v>2</v>
      </c>
      <c r="M29" s="89">
        <v>2</v>
      </c>
      <c r="N29" s="89">
        <v>3</v>
      </c>
      <c r="O29" s="89">
        <v>1</v>
      </c>
      <c r="P29" s="89">
        <v>2</v>
      </c>
      <c r="Q29" s="89">
        <v>9</v>
      </c>
      <c r="R29" s="89">
        <v>7</v>
      </c>
      <c r="S29" s="89">
        <v>2</v>
      </c>
      <c r="T29" s="89">
        <v>4</v>
      </c>
      <c r="U29" s="89">
        <v>0</v>
      </c>
      <c r="V29" s="89">
        <v>4</v>
      </c>
      <c r="W29" s="89">
        <v>5</v>
      </c>
      <c r="X29" s="89">
        <v>1</v>
      </c>
      <c r="Y29" s="89">
        <v>4</v>
      </c>
      <c r="AA29" s="64"/>
      <c r="AB29" s="64"/>
      <c r="AC29" s="64"/>
      <c r="AD29" s="64"/>
      <c r="AE29" s="64"/>
      <c r="AF29" s="64"/>
      <c r="AG29" s="64"/>
    </row>
    <row r="30" spans="1:33" ht="20.25">
      <c r="A30" s="77" t="s">
        <v>175</v>
      </c>
      <c r="AA30" s="64"/>
      <c r="AB30" s="64"/>
      <c r="AC30" s="64"/>
      <c r="AD30" s="64"/>
      <c r="AE30" s="64"/>
      <c r="AF30" s="64"/>
      <c r="AG30" s="64"/>
    </row>
    <row r="31" spans="1:33">
      <c r="A31" s="6" t="s">
        <v>168</v>
      </c>
    </row>
    <row r="32" spans="1:33">
      <c r="A32" s="6" t="s">
        <v>174</v>
      </c>
    </row>
    <row r="33" spans="1:1">
      <c r="A33" s="69"/>
    </row>
    <row r="34" spans="1:1">
      <c r="A34" s="78" t="s">
        <v>169</v>
      </c>
    </row>
  </sheetData>
  <mergeCells count="10">
    <mergeCell ref="W5:Y5"/>
    <mergeCell ref="Q5:S5"/>
    <mergeCell ref="N5:P5"/>
    <mergeCell ref="K5:M5"/>
    <mergeCell ref="B4:Y4"/>
    <mergeCell ref="A4:A6"/>
    <mergeCell ref="H5:J5"/>
    <mergeCell ref="E5:G5"/>
    <mergeCell ref="B5:D5"/>
    <mergeCell ref="T5:V5"/>
  </mergeCells>
  <phoneticPr fontId="6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28"/>
  <sheetViews>
    <sheetView workbookViewId="0">
      <selection activeCell="H38" sqref="H38"/>
    </sheetView>
  </sheetViews>
  <sheetFormatPr defaultColWidth="9.375" defaultRowHeight="12.75"/>
  <cols>
    <col min="1" max="1" width="16.375" style="2" customWidth="1"/>
    <col min="2" max="25" width="8.5" style="2" customWidth="1"/>
    <col min="26" max="256" width="9.375" style="2"/>
    <col min="257" max="257" width="16.375" style="2" customWidth="1"/>
    <col min="258" max="281" width="8.5" style="2" customWidth="1"/>
    <col min="282" max="512" width="9.375" style="2"/>
    <col min="513" max="513" width="16.375" style="2" customWidth="1"/>
    <col min="514" max="537" width="8.5" style="2" customWidth="1"/>
    <col min="538" max="768" width="9.375" style="2"/>
    <col min="769" max="769" width="16.375" style="2" customWidth="1"/>
    <col min="770" max="793" width="8.5" style="2" customWidth="1"/>
    <col min="794" max="1024" width="9.375" style="2"/>
    <col min="1025" max="1025" width="16.375" style="2" customWidth="1"/>
    <col min="1026" max="1049" width="8.5" style="2" customWidth="1"/>
    <col min="1050" max="1280" width="9.375" style="2"/>
    <col min="1281" max="1281" width="16.375" style="2" customWidth="1"/>
    <col min="1282" max="1305" width="8.5" style="2" customWidth="1"/>
    <col min="1306" max="1536" width="9.375" style="2"/>
    <col min="1537" max="1537" width="16.375" style="2" customWidth="1"/>
    <col min="1538" max="1561" width="8.5" style="2" customWidth="1"/>
    <col min="1562" max="1792" width="9.375" style="2"/>
    <col min="1793" max="1793" width="16.375" style="2" customWidth="1"/>
    <col min="1794" max="1817" width="8.5" style="2" customWidth="1"/>
    <col min="1818" max="2048" width="9.375" style="2"/>
    <col min="2049" max="2049" width="16.375" style="2" customWidth="1"/>
    <col min="2050" max="2073" width="8.5" style="2" customWidth="1"/>
    <col min="2074" max="2304" width="9.375" style="2"/>
    <col min="2305" max="2305" width="16.375" style="2" customWidth="1"/>
    <col min="2306" max="2329" width="8.5" style="2" customWidth="1"/>
    <col min="2330" max="2560" width="9.375" style="2"/>
    <col min="2561" max="2561" width="16.375" style="2" customWidth="1"/>
    <col min="2562" max="2585" width="8.5" style="2" customWidth="1"/>
    <col min="2586" max="2816" width="9.375" style="2"/>
    <col min="2817" max="2817" width="16.375" style="2" customWidth="1"/>
    <col min="2818" max="2841" width="8.5" style="2" customWidth="1"/>
    <col min="2842" max="3072" width="9.375" style="2"/>
    <col min="3073" max="3073" width="16.375" style="2" customWidth="1"/>
    <col min="3074" max="3097" width="8.5" style="2" customWidth="1"/>
    <col min="3098" max="3328" width="9.375" style="2"/>
    <col min="3329" max="3329" width="16.375" style="2" customWidth="1"/>
    <col min="3330" max="3353" width="8.5" style="2" customWidth="1"/>
    <col min="3354" max="3584" width="9.375" style="2"/>
    <col min="3585" max="3585" width="16.375" style="2" customWidth="1"/>
    <col min="3586" max="3609" width="8.5" style="2" customWidth="1"/>
    <col min="3610" max="3840" width="9.375" style="2"/>
    <col min="3841" max="3841" width="16.375" style="2" customWidth="1"/>
    <col min="3842" max="3865" width="8.5" style="2" customWidth="1"/>
    <col min="3866" max="4096" width="9.375" style="2"/>
    <col min="4097" max="4097" width="16.375" style="2" customWidth="1"/>
    <col min="4098" max="4121" width="8.5" style="2" customWidth="1"/>
    <col min="4122" max="4352" width="9.375" style="2"/>
    <col min="4353" max="4353" width="16.375" style="2" customWidth="1"/>
    <col min="4354" max="4377" width="8.5" style="2" customWidth="1"/>
    <col min="4378" max="4608" width="9.375" style="2"/>
    <col min="4609" max="4609" width="16.375" style="2" customWidth="1"/>
    <col min="4610" max="4633" width="8.5" style="2" customWidth="1"/>
    <col min="4634" max="4864" width="9.375" style="2"/>
    <col min="4865" max="4865" width="16.375" style="2" customWidth="1"/>
    <col min="4866" max="4889" width="8.5" style="2" customWidth="1"/>
    <col min="4890" max="5120" width="9.375" style="2"/>
    <col min="5121" max="5121" width="16.375" style="2" customWidth="1"/>
    <col min="5122" max="5145" width="8.5" style="2" customWidth="1"/>
    <col min="5146" max="5376" width="9.375" style="2"/>
    <col min="5377" max="5377" width="16.375" style="2" customWidth="1"/>
    <col min="5378" max="5401" width="8.5" style="2" customWidth="1"/>
    <col min="5402" max="5632" width="9.375" style="2"/>
    <col min="5633" max="5633" width="16.375" style="2" customWidth="1"/>
    <col min="5634" max="5657" width="8.5" style="2" customWidth="1"/>
    <col min="5658" max="5888" width="9.375" style="2"/>
    <col min="5889" max="5889" width="16.375" style="2" customWidth="1"/>
    <col min="5890" max="5913" width="8.5" style="2" customWidth="1"/>
    <col min="5914" max="6144" width="9.375" style="2"/>
    <col min="6145" max="6145" width="16.375" style="2" customWidth="1"/>
    <col min="6146" max="6169" width="8.5" style="2" customWidth="1"/>
    <col min="6170" max="6400" width="9.375" style="2"/>
    <col min="6401" max="6401" width="16.375" style="2" customWidth="1"/>
    <col min="6402" max="6425" width="8.5" style="2" customWidth="1"/>
    <col min="6426" max="6656" width="9.375" style="2"/>
    <col min="6657" max="6657" width="16.375" style="2" customWidth="1"/>
    <col min="6658" max="6681" width="8.5" style="2" customWidth="1"/>
    <col min="6682" max="6912" width="9.375" style="2"/>
    <col min="6913" max="6913" width="16.375" style="2" customWidth="1"/>
    <col min="6914" max="6937" width="8.5" style="2" customWidth="1"/>
    <col min="6938" max="7168" width="9.375" style="2"/>
    <col min="7169" max="7169" width="16.375" style="2" customWidth="1"/>
    <col min="7170" max="7193" width="8.5" style="2" customWidth="1"/>
    <col min="7194" max="7424" width="9.375" style="2"/>
    <col min="7425" max="7425" width="16.375" style="2" customWidth="1"/>
    <col min="7426" max="7449" width="8.5" style="2" customWidth="1"/>
    <col min="7450" max="7680" width="9.375" style="2"/>
    <col min="7681" max="7681" width="16.375" style="2" customWidth="1"/>
    <col min="7682" max="7705" width="8.5" style="2" customWidth="1"/>
    <col min="7706" max="7936" width="9.375" style="2"/>
    <col min="7937" max="7937" width="16.375" style="2" customWidth="1"/>
    <col min="7938" max="7961" width="8.5" style="2" customWidth="1"/>
    <col min="7962" max="8192" width="9.375" style="2"/>
    <col min="8193" max="8193" width="16.375" style="2" customWidth="1"/>
    <col min="8194" max="8217" width="8.5" style="2" customWidth="1"/>
    <col min="8218" max="8448" width="9.375" style="2"/>
    <col min="8449" max="8449" width="16.375" style="2" customWidth="1"/>
    <col min="8450" max="8473" width="8.5" style="2" customWidth="1"/>
    <col min="8474" max="8704" width="9.375" style="2"/>
    <col min="8705" max="8705" width="16.375" style="2" customWidth="1"/>
    <col min="8706" max="8729" width="8.5" style="2" customWidth="1"/>
    <col min="8730" max="8960" width="9.375" style="2"/>
    <col min="8961" max="8961" width="16.375" style="2" customWidth="1"/>
    <col min="8962" max="8985" width="8.5" style="2" customWidth="1"/>
    <col min="8986" max="9216" width="9.375" style="2"/>
    <col min="9217" max="9217" width="16.375" style="2" customWidth="1"/>
    <col min="9218" max="9241" width="8.5" style="2" customWidth="1"/>
    <col min="9242" max="9472" width="9.375" style="2"/>
    <col min="9473" max="9473" width="16.375" style="2" customWidth="1"/>
    <col min="9474" max="9497" width="8.5" style="2" customWidth="1"/>
    <col min="9498" max="9728" width="9.375" style="2"/>
    <col min="9729" max="9729" width="16.375" style="2" customWidth="1"/>
    <col min="9730" max="9753" width="8.5" style="2" customWidth="1"/>
    <col min="9754" max="9984" width="9.375" style="2"/>
    <col min="9985" max="9985" width="16.375" style="2" customWidth="1"/>
    <col min="9986" max="10009" width="8.5" style="2" customWidth="1"/>
    <col min="10010" max="10240" width="9.375" style="2"/>
    <col min="10241" max="10241" width="16.375" style="2" customWidth="1"/>
    <col min="10242" max="10265" width="8.5" style="2" customWidth="1"/>
    <col min="10266" max="10496" width="9.375" style="2"/>
    <col min="10497" max="10497" width="16.375" style="2" customWidth="1"/>
    <col min="10498" max="10521" width="8.5" style="2" customWidth="1"/>
    <col min="10522" max="10752" width="9.375" style="2"/>
    <col min="10753" max="10753" width="16.375" style="2" customWidth="1"/>
    <col min="10754" max="10777" width="8.5" style="2" customWidth="1"/>
    <col min="10778" max="11008" width="9.375" style="2"/>
    <col min="11009" max="11009" width="16.375" style="2" customWidth="1"/>
    <col min="11010" max="11033" width="8.5" style="2" customWidth="1"/>
    <col min="11034" max="11264" width="9.375" style="2"/>
    <col min="11265" max="11265" width="16.375" style="2" customWidth="1"/>
    <col min="11266" max="11289" width="8.5" style="2" customWidth="1"/>
    <col min="11290" max="11520" width="9.375" style="2"/>
    <col min="11521" max="11521" width="16.375" style="2" customWidth="1"/>
    <col min="11522" max="11545" width="8.5" style="2" customWidth="1"/>
    <col min="11546" max="11776" width="9.375" style="2"/>
    <col min="11777" max="11777" width="16.375" style="2" customWidth="1"/>
    <col min="11778" max="11801" width="8.5" style="2" customWidth="1"/>
    <col min="11802" max="12032" width="9.375" style="2"/>
    <col min="12033" max="12033" width="16.375" style="2" customWidth="1"/>
    <col min="12034" max="12057" width="8.5" style="2" customWidth="1"/>
    <col min="12058" max="12288" width="9.375" style="2"/>
    <col min="12289" max="12289" width="16.375" style="2" customWidth="1"/>
    <col min="12290" max="12313" width="8.5" style="2" customWidth="1"/>
    <col min="12314" max="12544" width="9.375" style="2"/>
    <col min="12545" max="12545" width="16.375" style="2" customWidth="1"/>
    <col min="12546" max="12569" width="8.5" style="2" customWidth="1"/>
    <col min="12570" max="12800" width="9.375" style="2"/>
    <col min="12801" max="12801" width="16.375" style="2" customWidth="1"/>
    <col min="12802" max="12825" width="8.5" style="2" customWidth="1"/>
    <col min="12826" max="13056" width="9.375" style="2"/>
    <col min="13057" max="13057" width="16.375" style="2" customWidth="1"/>
    <col min="13058" max="13081" width="8.5" style="2" customWidth="1"/>
    <col min="13082" max="13312" width="9.375" style="2"/>
    <col min="13313" max="13313" width="16.375" style="2" customWidth="1"/>
    <col min="13314" max="13337" width="8.5" style="2" customWidth="1"/>
    <col min="13338" max="13568" width="9.375" style="2"/>
    <col min="13569" max="13569" width="16.375" style="2" customWidth="1"/>
    <col min="13570" max="13593" width="8.5" style="2" customWidth="1"/>
    <col min="13594" max="13824" width="9.375" style="2"/>
    <col min="13825" max="13825" width="16.375" style="2" customWidth="1"/>
    <col min="13826" max="13849" width="8.5" style="2" customWidth="1"/>
    <col min="13850" max="14080" width="9.375" style="2"/>
    <col min="14081" max="14081" width="16.375" style="2" customWidth="1"/>
    <col min="14082" max="14105" width="8.5" style="2" customWidth="1"/>
    <col min="14106" max="14336" width="9.375" style="2"/>
    <col min="14337" max="14337" width="16.375" style="2" customWidth="1"/>
    <col min="14338" max="14361" width="8.5" style="2" customWidth="1"/>
    <col min="14362" max="14592" width="9.375" style="2"/>
    <col min="14593" max="14593" width="16.375" style="2" customWidth="1"/>
    <col min="14594" max="14617" width="8.5" style="2" customWidth="1"/>
    <col min="14618" max="14848" width="9.375" style="2"/>
    <col min="14849" max="14849" width="16.375" style="2" customWidth="1"/>
    <col min="14850" max="14873" width="8.5" style="2" customWidth="1"/>
    <col min="14874" max="15104" width="9.375" style="2"/>
    <col min="15105" max="15105" width="16.375" style="2" customWidth="1"/>
    <col min="15106" max="15129" width="8.5" style="2" customWidth="1"/>
    <col min="15130" max="15360" width="9.375" style="2"/>
    <col min="15361" max="15361" width="16.375" style="2" customWidth="1"/>
    <col min="15362" max="15385" width="8.5" style="2" customWidth="1"/>
    <col min="15386" max="15616" width="9.375" style="2"/>
    <col min="15617" max="15617" width="16.375" style="2" customWidth="1"/>
    <col min="15618" max="15641" width="8.5" style="2" customWidth="1"/>
    <col min="15642" max="15872" width="9.375" style="2"/>
    <col min="15873" max="15873" width="16.375" style="2" customWidth="1"/>
    <col min="15874" max="15897" width="8.5" style="2" customWidth="1"/>
    <col min="15898" max="16128" width="9.375" style="2"/>
    <col min="16129" max="16129" width="16.375" style="2" customWidth="1"/>
    <col min="16130" max="16153" width="8.5" style="2" customWidth="1"/>
    <col min="16154" max="16384" width="9.375" style="2"/>
  </cols>
  <sheetData>
    <row r="1" spans="1:60" ht="21">
      <c r="A1" s="1" t="s">
        <v>1</v>
      </c>
    </row>
    <row r="3" spans="1:60" s="98" customFormat="1" ht="12">
      <c r="A3" s="166" t="s">
        <v>211</v>
      </c>
      <c r="B3" s="169" t="s">
        <v>212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1"/>
      <c r="N3" s="169" t="s">
        <v>213</v>
      </c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</row>
    <row r="4" spans="1:60" s="99" customFormat="1" ht="27">
      <c r="A4" s="167"/>
      <c r="B4" s="3" t="s">
        <v>2</v>
      </c>
      <c r="C4" s="4"/>
      <c r="D4" s="5"/>
      <c r="E4" s="172" t="s">
        <v>3</v>
      </c>
      <c r="F4" s="173"/>
      <c r="G4" s="174"/>
      <c r="H4" s="172" t="s">
        <v>4</v>
      </c>
      <c r="I4" s="173"/>
      <c r="J4" s="174"/>
      <c r="K4" s="172" t="s">
        <v>5</v>
      </c>
      <c r="L4" s="173"/>
      <c r="M4" s="174"/>
      <c r="N4" s="3" t="s">
        <v>2</v>
      </c>
      <c r="O4" s="4"/>
      <c r="P4" s="5"/>
      <c r="Q4" s="172" t="s">
        <v>3</v>
      </c>
      <c r="R4" s="173"/>
      <c r="S4" s="174"/>
      <c r="T4" s="172" t="s">
        <v>4</v>
      </c>
      <c r="U4" s="173"/>
      <c r="V4" s="174"/>
      <c r="W4" s="172" t="s">
        <v>5</v>
      </c>
      <c r="X4" s="173"/>
      <c r="Y4" s="173"/>
    </row>
    <row r="5" spans="1:60" s="100" customFormat="1" ht="12">
      <c r="A5" s="167"/>
      <c r="B5" s="158" t="s">
        <v>6</v>
      </c>
      <c r="C5" s="158" t="s">
        <v>7</v>
      </c>
      <c r="D5" s="158" t="s">
        <v>8</v>
      </c>
      <c r="E5" s="158" t="s">
        <v>6</v>
      </c>
      <c r="F5" s="158" t="s">
        <v>7</v>
      </c>
      <c r="G5" s="158" t="s">
        <v>8</v>
      </c>
      <c r="H5" s="158" t="s">
        <v>6</v>
      </c>
      <c r="I5" s="158" t="s">
        <v>7</v>
      </c>
      <c r="J5" s="158" t="s">
        <v>8</v>
      </c>
      <c r="K5" s="158" t="s">
        <v>6</v>
      </c>
      <c r="L5" s="158" t="s">
        <v>7</v>
      </c>
      <c r="M5" s="158" t="s">
        <v>8</v>
      </c>
      <c r="N5" s="158" t="s">
        <v>6</v>
      </c>
      <c r="O5" s="158" t="s">
        <v>7</v>
      </c>
      <c r="P5" s="158" t="s">
        <v>8</v>
      </c>
      <c r="Q5" s="158" t="s">
        <v>6</v>
      </c>
      <c r="R5" s="158" t="s">
        <v>7</v>
      </c>
      <c r="S5" s="158" t="s">
        <v>8</v>
      </c>
      <c r="T5" s="158" t="s">
        <v>6</v>
      </c>
      <c r="U5" s="158" t="s">
        <v>7</v>
      </c>
      <c r="V5" s="158" t="s">
        <v>8</v>
      </c>
      <c r="W5" s="158" t="s">
        <v>6</v>
      </c>
      <c r="X5" s="158" t="s">
        <v>7</v>
      </c>
      <c r="Y5" s="160" t="s">
        <v>8</v>
      </c>
    </row>
    <row r="6" spans="1:60" s="98" customFormat="1" ht="12">
      <c r="A6" s="168"/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61"/>
    </row>
    <row r="7" spans="1:60" s="6" customFormat="1" ht="14.25">
      <c r="A7" s="95" t="s">
        <v>214</v>
      </c>
      <c r="B7" s="101">
        <v>8956</v>
      </c>
      <c r="C7" s="101">
        <v>5067</v>
      </c>
      <c r="D7" s="101">
        <v>3889</v>
      </c>
      <c r="E7" s="101">
        <v>918</v>
      </c>
      <c r="F7" s="101">
        <v>559</v>
      </c>
      <c r="G7" s="101">
        <v>359</v>
      </c>
      <c r="H7" s="101">
        <v>1010</v>
      </c>
      <c r="I7" s="101">
        <v>657</v>
      </c>
      <c r="J7" s="101">
        <v>353</v>
      </c>
      <c r="K7" s="101">
        <v>7028</v>
      </c>
      <c r="L7" s="101">
        <v>3851</v>
      </c>
      <c r="M7" s="101">
        <v>3177</v>
      </c>
      <c r="N7" s="101">
        <v>147681</v>
      </c>
      <c r="O7" s="101">
        <v>82475</v>
      </c>
      <c r="P7" s="101">
        <v>65206</v>
      </c>
      <c r="Q7" s="101">
        <v>10283</v>
      </c>
      <c r="R7" s="101">
        <v>7084</v>
      </c>
      <c r="S7" s="101">
        <v>3199</v>
      </c>
      <c r="T7" s="101">
        <v>9404</v>
      </c>
      <c r="U7" s="101">
        <v>6608</v>
      </c>
      <c r="V7" s="101">
        <v>2796</v>
      </c>
      <c r="W7" s="101">
        <v>127994</v>
      </c>
      <c r="X7" s="101">
        <v>68783</v>
      </c>
      <c r="Y7" s="101">
        <v>59211</v>
      </c>
    </row>
    <row r="8" spans="1:60" s="6" customFormat="1" ht="14.25">
      <c r="A8" s="96" t="s">
        <v>215</v>
      </c>
      <c r="B8" s="101">
        <v>9413</v>
      </c>
      <c r="C8" s="101">
        <v>5370</v>
      </c>
      <c r="D8" s="101">
        <v>4043</v>
      </c>
      <c r="E8" s="101">
        <v>1115</v>
      </c>
      <c r="F8" s="101">
        <v>655</v>
      </c>
      <c r="G8" s="101">
        <v>460</v>
      </c>
      <c r="H8" s="101">
        <v>1625</v>
      </c>
      <c r="I8" s="101">
        <v>1028</v>
      </c>
      <c r="J8" s="101">
        <v>597</v>
      </c>
      <c r="K8" s="101">
        <v>6673</v>
      </c>
      <c r="L8" s="101">
        <v>3687</v>
      </c>
      <c r="M8" s="101">
        <v>2986</v>
      </c>
      <c r="N8" s="101">
        <v>192382</v>
      </c>
      <c r="O8" s="101">
        <v>107398</v>
      </c>
      <c r="P8" s="101">
        <v>84984</v>
      </c>
      <c r="Q8" s="101">
        <v>14652</v>
      </c>
      <c r="R8" s="101">
        <v>8432</v>
      </c>
      <c r="S8" s="101">
        <v>6220</v>
      </c>
      <c r="T8" s="101">
        <v>21680</v>
      </c>
      <c r="U8" s="101">
        <v>13564</v>
      </c>
      <c r="V8" s="101">
        <v>8116</v>
      </c>
      <c r="W8" s="101">
        <v>156050</v>
      </c>
      <c r="X8" s="101">
        <v>85402</v>
      </c>
      <c r="Y8" s="101">
        <v>70648</v>
      </c>
    </row>
    <row r="9" spans="1:60" s="6" customFormat="1" ht="14.25">
      <c r="A9" s="96" t="s">
        <v>216</v>
      </c>
      <c r="B9" s="101">
        <v>20368</v>
      </c>
      <c r="C9" s="101">
        <v>10706</v>
      </c>
      <c r="D9" s="101">
        <v>9662</v>
      </c>
      <c r="E9" s="101">
        <v>2757</v>
      </c>
      <c r="F9" s="101">
        <v>1524</v>
      </c>
      <c r="G9" s="101">
        <v>1233</v>
      </c>
      <c r="H9" s="101">
        <v>2887</v>
      </c>
      <c r="I9" s="101">
        <v>1706</v>
      </c>
      <c r="J9" s="101">
        <v>1181</v>
      </c>
      <c r="K9" s="101">
        <v>14724</v>
      </c>
      <c r="L9" s="101">
        <v>7476</v>
      </c>
      <c r="M9" s="101">
        <v>7248</v>
      </c>
      <c r="N9" s="101">
        <v>201438</v>
      </c>
      <c r="O9" s="101">
        <v>111314</v>
      </c>
      <c r="P9" s="101">
        <v>90124</v>
      </c>
      <c r="Q9" s="101">
        <v>24775</v>
      </c>
      <c r="R9" s="101">
        <v>13801</v>
      </c>
      <c r="S9" s="101">
        <v>10974</v>
      </c>
      <c r="T9" s="101">
        <v>29420</v>
      </c>
      <c r="U9" s="101">
        <v>18326</v>
      </c>
      <c r="V9" s="101">
        <v>11094</v>
      </c>
      <c r="W9" s="101">
        <v>147243</v>
      </c>
      <c r="X9" s="101">
        <v>79187</v>
      </c>
      <c r="Y9" s="101">
        <v>68056</v>
      </c>
    </row>
    <row r="10" spans="1:60" s="6" customFormat="1" ht="14.25">
      <c r="A10" s="96" t="s">
        <v>217</v>
      </c>
      <c r="B10" s="101">
        <v>23638</v>
      </c>
      <c r="C10" s="101">
        <v>12380</v>
      </c>
      <c r="D10" s="101">
        <v>11258</v>
      </c>
      <c r="E10" s="101">
        <v>2867</v>
      </c>
      <c r="F10" s="101">
        <v>1557</v>
      </c>
      <c r="G10" s="101">
        <v>1310</v>
      </c>
      <c r="H10" s="101">
        <v>3465</v>
      </c>
      <c r="I10" s="101">
        <v>1979</v>
      </c>
      <c r="J10" s="101">
        <v>1486</v>
      </c>
      <c r="K10" s="101">
        <v>17306</v>
      </c>
      <c r="L10" s="101">
        <v>8844</v>
      </c>
      <c r="M10" s="101">
        <v>8462</v>
      </c>
      <c r="N10" s="101">
        <v>238963</v>
      </c>
      <c r="O10" s="101">
        <v>128839</v>
      </c>
      <c r="P10" s="101">
        <v>110124</v>
      </c>
      <c r="Q10" s="101">
        <v>26047</v>
      </c>
      <c r="R10" s="101">
        <v>14221</v>
      </c>
      <c r="S10" s="101">
        <v>11826</v>
      </c>
      <c r="T10" s="101">
        <v>32437</v>
      </c>
      <c r="U10" s="101">
        <v>19681</v>
      </c>
      <c r="V10" s="101">
        <v>12756</v>
      </c>
      <c r="W10" s="101">
        <v>180479</v>
      </c>
      <c r="X10" s="101">
        <v>94937</v>
      </c>
      <c r="Y10" s="101">
        <v>85542</v>
      </c>
    </row>
    <row r="11" spans="1:60" s="6" customFormat="1" ht="14.25">
      <c r="A11" s="96" t="s">
        <v>218</v>
      </c>
      <c r="B11" s="101">
        <v>25782</v>
      </c>
      <c r="C11" s="101">
        <v>13660</v>
      </c>
      <c r="D11" s="101">
        <v>12122</v>
      </c>
      <c r="E11" s="101">
        <v>2975</v>
      </c>
      <c r="F11" s="101">
        <v>1669</v>
      </c>
      <c r="G11" s="101">
        <v>1306</v>
      </c>
      <c r="H11" s="101">
        <v>3342</v>
      </c>
      <c r="I11" s="101">
        <v>1863</v>
      </c>
      <c r="J11" s="101">
        <v>1479</v>
      </c>
      <c r="K11" s="101">
        <v>19465</v>
      </c>
      <c r="L11" s="101">
        <v>10128</v>
      </c>
      <c r="M11" s="101">
        <v>9337</v>
      </c>
      <c r="N11" s="101">
        <v>271462</v>
      </c>
      <c r="O11" s="101">
        <v>146793</v>
      </c>
      <c r="P11" s="101">
        <v>124669</v>
      </c>
      <c r="Q11" s="101">
        <v>27459</v>
      </c>
      <c r="R11" s="101">
        <v>15340</v>
      </c>
      <c r="S11" s="101">
        <v>12119</v>
      </c>
      <c r="T11" s="101">
        <v>36407</v>
      </c>
      <c r="U11" s="101">
        <v>20908</v>
      </c>
      <c r="V11" s="101">
        <v>15499</v>
      </c>
      <c r="W11" s="101">
        <v>207596</v>
      </c>
      <c r="X11" s="101">
        <v>110545</v>
      </c>
      <c r="Y11" s="101">
        <v>97051</v>
      </c>
    </row>
    <row r="12" spans="1:60" s="103" customFormat="1" ht="14.25">
      <c r="A12" s="96" t="s">
        <v>219</v>
      </c>
      <c r="B12" s="102">
        <v>25549</v>
      </c>
      <c r="C12" s="102">
        <v>13223</v>
      </c>
      <c r="D12" s="102">
        <v>12326</v>
      </c>
      <c r="E12" s="101">
        <v>3091</v>
      </c>
      <c r="F12" s="102">
        <v>1698</v>
      </c>
      <c r="G12" s="102">
        <v>1393</v>
      </c>
      <c r="H12" s="101">
        <v>2705</v>
      </c>
      <c r="I12" s="102">
        <v>1560</v>
      </c>
      <c r="J12" s="102">
        <v>1145</v>
      </c>
      <c r="K12" s="101">
        <v>19753</v>
      </c>
      <c r="L12" s="102">
        <v>9965</v>
      </c>
      <c r="M12" s="102">
        <v>9788</v>
      </c>
      <c r="N12" s="102">
        <v>293279</v>
      </c>
      <c r="O12" s="102">
        <v>155236</v>
      </c>
      <c r="P12" s="102">
        <v>138043</v>
      </c>
      <c r="Q12" s="101">
        <v>32434</v>
      </c>
      <c r="R12" s="102">
        <v>18341</v>
      </c>
      <c r="S12" s="102">
        <v>14093</v>
      </c>
      <c r="T12" s="101">
        <v>34288</v>
      </c>
      <c r="U12" s="102">
        <v>20517</v>
      </c>
      <c r="V12" s="102">
        <v>13771</v>
      </c>
      <c r="W12" s="101">
        <v>226557</v>
      </c>
      <c r="X12" s="102">
        <v>116378</v>
      </c>
      <c r="Y12" s="102">
        <v>110179</v>
      </c>
    </row>
    <row r="13" spans="1:60" s="103" customFormat="1" ht="14.25">
      <c r="A13" s="96" t="s">
        <v>220</v>
      </c>
      <c r="B13" s="102">
        <v>24724</v>
      </c>
      <c r="C13" s="102">
        <v>12694</v>
      </c>
      <c r="D13" s="102">
        <v>12030</v>
      </c>
      <c r="E13" s="101">
        <v>3406</v>
      </c>
      <c r="F13" s="102">
        <v>1871</v>
      </c>
      <c r="G13" s="102">
        <v>1535</v>
      </c>
      <c r="H13" s="101">
        <v>2699</v>
      </c>
      <c r="I13" s="102">
        <v>1410</v>
      </c>
      <c r="J13" s="102">
        <v>1289</v>
      </c>
      <c r="K13" s="101">
        <v>18619</v>
      </c>
      <c r="L13" s="102">
        <v>9413</v>
      </c>
      <c r="M13" s="102">
        <v>9206</v>
      </c>
      <c r="N13" s="102">
        <v>304667</v>
      </c>
      <c r="O13" s="102">
        <v>160366</v>
      </c>
      <c r="P13" s="102">
        <v>144301</v>
      </c>
      <c r="Q13" s="101">
        <v>37771</v>
      </c>
      <c r="R13" s="102">
        <v>21237</v>
      </c>
      <c r="S13" s="102">
        <v>16534</v>
      </c>
      <c r="T13" s="101">
        <v>35742</v>
      </c>
      <c r="U13" s="102">
        <v>20624</v>
      </c>
      <c r="V13" s="102">
        <v>15118</v>
      </c>
      <c r="W13" s="101">
        <v>231154</v>
      </c>
      <c r="X13" s="102">
        <v>118505</v>
      </c>
      <c r="Y13" s="102">
        <v>112649</v>
      </c>
    </row>
    <row r="14" spans="1:60" s="103" customFormat="1" ht="14.25">
      <c r="A14" s="96" t="s">
        <v>221</v>
      </c>
      <c r="B14" s="102">
        <v>24703</v>
      </c>
      <c r="C14" s="102">
        <v>12761</v>
      </c>
      <c r="D14" s="102">
        <v>11942</v>
      </c>
      <c r="E14" s="101">
        <v>3322</v>
      </c>
      <c r="F14" s="102">
        <v>1761</v>
      </c>
      <c r="G14" s="102">
        <v>1561</v>
      </c>
      <c r="H14" s="101">
        <v>2800</v>
      </c>
      <c r="I14" s="102">
        <v>1542</v>
      </c>
      <c r="J14" s="102">
        <v>1258</v>
      </c>
      <c r="K14" s="101">
        <v>18581</v>
      </c>
      <c r="L14" s="102">
        <v>9458</v>
      </c>
      <c r="M14" s="102">
        <v>9123</v>
      </c>
      <c r="N14" s="102">
        <v>328853</v>
      </c>
      <c r="O14" s="102">
        <v>173975</v>
      </c>
      <c r="P14" s="102">
        <v>154878</v>
      </c>
      <c r="Q14" s="101">
        <v>39449</v>
      </c>
      <c r="R14" s="102">
        <v>21670</v>
      </c>
      <c r="S14" s="102">
        <v>17779</v>
      </c>
      <c r="T14" s="101">
        <v>38429</v>
      </c>
      <c r="U14" s="102">
        <v>21790</v>
      </c>
      <c r="V14" s="102">
        <v>16639</v>
      </c>
      <c r="W14" s="101">
        <v>250975</v>
      </c>
      <c r="X14" s="102">
        <v>130515</v>
      </c>
      <c r="Y14" s="102">
        <v>120460</v>
      </c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2"/>
      <c r="BF14" s="102"/>
      <c r="BG14" s="102"/>
      <c r="BH14" s="102"/>
    </row>
    <row r="15" spans="1:60" s="103" customFormat="1" ht="14.25">
      <c r="A15" s="96" t="s">
        <v>222</v>
      </c>
      <c r="B15" s="102">
        <v>27428</v>
      </c>
      <c r="C15" s="102">
        <v>14163</v>
      </c>
      <c r="D15" s="102">
        <v>13265</v>
      </c>
      <c r="E15" s="101">
        <v>3761</v>
      </c>
      <c r="F15" s="102">
        <v>2019</v>
      </c>
      <c r="G15" s="102">
        <v>1742</v>
      </c>
      <c r="H15" s="101">
        <v>3033</v>
      </c>
      <c r="I15" s="102">
        <v>1731</v>
      </c>
      <c r="J15" s="102">
        <v>1302</v>
      </c>
      <c r="K15" s="101">
        <v>20634</v>
      </c>
      <c r="L15" s="102">
        <v>10413</v>
      </c>
      <c r="M15" s="102">
        <v>10221</v>
      </c>
      <c r="N15" s="102">
        <v>367650</v>
      </c>
      <c r="O15" s="102">
        <v>195122</v>
      </c>
      <c r="P15" s="102">
        <v>172528</v>
      </c>
      <c r="Q15" s="101">
        <v>43657</v>
      </c>
      <c r="R15" s="102">
        <v>24442</v>
      </c>
      <c r="S15" s="102">
        <v>19215</v>
      </c>
      <c r="T15" s="101">
        <v>44588</v>
      </c>
      <c r="U15" s="102">
        <v>26841</v>
      </c>
      <c r="V15" s="102">
        <v>17747</v>
      </c>
      <c r="W15" s="101">
        <v>279405</v>
      </c>
      <c r="X15" s="102">
        <v>143839</v>
      </c>
      <c r="Y15" s="102">
        <v>135566</v>
      </c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</row>
    <row r="16" spans="1:60" s="106" customFormat="1" ht="14.25">
      <c r="A16" s="97" t="s">
        <v>223</v>
      </c>
      <c r="B16" s="104">
        <v>41013</v>
      </c>
      <c r="C16" s="104">
        <v>21177</v>
      </c>
      <c r="D16" s="104">
        <v>19836</v>
      </c>
      <c r="E16" s="104">
        <v>5769</v>
      </c>
      <c r="F16" s="104">
        <v>3315</v>
      </c>
      <c r="G16" s="104">
        <v>2454</v>
      </c>
      <c r="H16" s="104">
        <v>3362</v>
      </c>
      <c r="I16" s="104">
        <v>2037</v>
      </c>
      <c r="J16" s="104">
        <v>1325</v>
      </c>
      <c r="K16" s="104">
        <v>31882</v>
      </c>
      <c r="L16" s="104">
        <v>15825</v>
      </c>
      <c r="M16" s="104">
        <v>16057</v>
      </c>
      <c r="N16" s="104">
        <v>501681</v>
      </c>
      <c r="O16" s="104">
        <v>261664</v>
      </c>
      <c r="P16" s="104">
        <v>240017</v>
      </c>
      <c r="Q16" s="104">
        <v>63967</v>
      </c>
      <c r="R16" s="104">
        <v>37519</v>
      </c>
      <c r="S16" s="104">
        <v>26448</v>
      </c>
      <c r="T16" s="104">
        <v>46458</v>
      </c>
      <c r="U16" s="104">
        <v>28369</v>
      </c>
      <c r="V16" s="104">
        <v>18089</v>
      </c>
      <c r="W16" s="104">
        <v>391256</v>
      </c>
      <c r="X16" s="104">
        <v>195776</v>
      </c>
      <c r="Y16" s="104">
        <v>195480</v>
      </c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05"/>
      <c r="BG16" s="105"/>
      <c r="BH16" s="105"/>
    </row>
    <row r="17" spans="1:72" s="103" customFormat="1">
      <c r="A17" s="107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2"/>
      <c r="BM17" s="102"/>
      <c r="BN17" s="102"/>
      <c r="BO17" s="102"/>
      <c r="BP17" s="102"/>
      <c r="BQ17" s="102"/>
      <c r="BR17" s="102"/>
      <c r="BS17" s="102"/>
      <c r="BT17" s="102"/>
    </row>
    <row r="18" spans="1:72" ht="14.25">
      <c r="A18" s="162" t="s">
        <v>224</v>
      </c>
      <c r="B18" s="151" t="s">
        <v>9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65"/>
      <c r="Z18" s="151" t="s">
        <v>10</v>
      </c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1"/>
      <c r="AU18" s="151"/>
      <c r="AV18" s="151"/>
      <c r="AW18" s="151"/>
    </row>
    <row r="19" spans="1:72" ht="14.25">
      <c r="A19" s="163"/>
      <c r="B19" s="152" t="s">
        <v>0</v>
      </c>
      <c r="C19" s="152"/>
      <c r="D19" s="152"/>
      <c r="E19" s="153"/>
      <c r="F19" s="154" t="s">
        <v>11</v>
      </c>
      <c r="G19" s="155"/>
      <c r="H19" s="155"/>
      <c r="I19" s="156"/>
      <c r="J19" s="154" t="s">
        <v>12</v>
      </c>
      <c r="K19" s="155"/>
      <c r="L19" s="155"/>
      <c r="M19" s="156"/>
      <c r="N19" s="154" t="s">
        <v>13</v>
      </c>
      <c r="O19" s="155"/>
      <c r="P19" s="155"/>
      <c r="Q19" s="156"/>
      <c r="R19" s="154" t="s">
        <v>14</v>
      </c>
      <c r="S19" s="155"/>
      <c r="T19" s="155"/>
      <c r="U19" s="156"/>
      <c r="V19" s="154" t="s">
        <v>15</v>
      </c>
      <c r="W19" s="155"/>
      <c r="X19" s="155"/>
      <c r="Y19" s="157"/>
      <c r="Z19" s="152" t="s">
        <v>0</v>
      </c>
      <c r="AA19" s="152"/>
      <c r="AB19" s="152"/>
      <c r="AC19" s="153"/>
      <c r="AD19" s="154" t="s">
        <v>11</v>
      </c>
      <c r="AE19" s="155"/>
      <c r="AF19" s="155"/>
      <c r="AG19" s="156"/>
      <c r="AH19" s="154" t="s">
        <v>12</v>
      </c>
      <c r="AI19" s="155"/>
      <c r="AJ19" s="155"/>
      <c r="AK19" s="156"/>
      <c r="AL19" s="154" t="s">
        <v>13</v>
      </c>
      <c r="AM19" s="155"/>
      <c r="AN19" s="155"/>
      <c r="AO19" s="156"/>
      <c r="AP19" s="154" t="s">
        <v>14</v>
      </c>
      <c r="AQ19" s="155"/>
      <c r="AR19" s="155"/>
      <c r="AS19" s="156"/>
      <c r="AT19" s="154" t="s">
        <v>15</v>
      </c>
      <c r="AU19" s="155"/>
      <c r="AV19" s="155"/>
      <c r="AW19" s="155"/>
    </row>
    <row r="20" spans="1:72" s="7" customFormat="1">
      <c r="A20" s="163"/>
      <c r="B20" s="145" t="s">
        <v>16</v>
      </c>
      <c r="C20" s="140" t="s">
        <v>17</v>
      </c>
      <c r="D20" s="140" t="s">
        <v>18</v>
      </c>
      <c r="E20" s="140" t="s">
        <v>19</v>
      </c>
      <c r="F20" s="145" t="s">
        <v>16</v>
      </c>
      <c r="G20" s="140" t="s">
        <v>17</v>
      </c>
      <c r="H20" s="140" t="s">
        <v>18</v>
      </c>
      <c r="I20" s="147" t="s">
        <v>19</v>
      </c>
      <c r="J20" s="145" t="s">
        <v>16</v>
      </c>
      <c r="K20" s="140" t="s">
        <v>17</v>
      </c>
      <c r="L20" s="140" t="s">
        <v>18</v>
      </c>
      <c r="M20" s="147" t="s">
        <v>19</v>
      </c>
      <c r="N20" s="145" t="s">
        <v>16</v>
      </c>
      <c r="O20" s="140" t="s">
        <v>17</v>
      </c>
      <c r="P20" s="140" t="s">
        <v>18</v>
      </c>
      <c r="Q20" s="147" t="s">
        <v>19</v>
      </c>
      <c r="R20" s="145" t="s">
        <v>16</v>
      </c>
      <c r="S20" s="140" t="s">
        <v>17</v>
      </c>
      <c r="T20" s="140" t="s">
        <v>18</v>
      </c>
      <c r="U20" s="147" t="s">
        <v>19</v>
      </c>
      <c r="V20" s="145" t="s">
        <v>16</v>
      </c>
      <c r="W20" s="140" t="s">
        <v>17</v>
      </c>
      <c r="X20" s="140" t="s">
        <v>18</v>
      </c>
      <c r="Y20" s="149" t="s">
        <v>19</v>
      </c>
      <c r="Z20" s="145" t="s">
        <v>16</v>
      </c>
      <c r="AA20" s="140" t="s">
        <v>17</v>
      </c>
      <c r="AB20" s="140" t="s">
        <v>18</v>
      </c>
      <c r="AC20" s="140" t="s">
        <v>19</v>
      </c>
      <c r="AD20" s="145" t="s">
        <v>16</v>
      </c>
      <c r="AE20" s="140" t="s">
        <v>17</v>
      </c>
      <c r="AF20" s="140" t="s">
        <v>18</v>
      </c>
      <c r="AG20" s="147" t="s">
        <v>19</v>
      </c>
      <c r="AH20" s="145" t="s">
        <v>16</v>
      </c>
      <c r="AI20" s="140" t="s">
        <v>17</v>
      </c>
      <c r="AJ20" s="140" t="s">
        <v>18</v>
      </c>
      <c r="AK20" s="147" t="s">
        <v>19</v>
      </c>
      <c r="AL20" s="145" t="s">
        <v>16</v>
      </c>
      <c r="AM20" s="140" t="s">
        <v>17</v>
      </c>
      <c r="AN20" s="140" t="s">
        <v>18</v>
      </c>
      <c r="AO20" s="147" t="s">
        <v>19</v>
      </c>
      <c r="AP20" s="145" t="s">
        <v>16</v>
      </c>
      <c r="AQ20" s="140" t="s">
        <v>17</v>
      </c>
      <c r="AR20" s="140" t="s">
        <v>18</v>
      </c>
      <c r="AS20" s="147" t="s">
        <v>19</v>
      </c>
      <c r="AT20" s="145" t="s">
        <v>16</v>
      </c>
      <c r="AU20" s="140" t="s">
        <v>17</v>
      </c>
      <c r="AV20" s="140" t="s">
        <v>18</v>
      </c>
      <c r="AW20" s="142" t="s">
        <v>19</v>
      </c>
    </row>
    <row r="21" spans="1:72">
      <c r="A21" s="164"/>
      <c r="B21" s="146"/>
      <c r="C21" s="141"/>
      <c r="D21" s="141"/>
      <c r="E21" s="141"/>
      <c r="F21" s="146"/>
      <c r="G21" s="141"/>
      <c r="H21" s="141"/>
      <c r="I21" s="148"/>
      <c r="J21" s="146"/>
      <c r="K21" s="141"/>
      <c r="L21" s="141"/>
      <c r="M21" s="148"/>
      <c r="N21" s="146"/>
      <c r="O21" s="141"/>
      <c r="P21" s="141"/>
      <c r="Q21" s="148"/>
      <c r="R21" s="146"/>
      <c r="S21" s="141"/>
      <c r="T21" s="141"/>
      <c r="U21" s="148"/>
      <c r="V21" s="146"/>
      <c r="W21" s="141"/>
      <c r="X21" s="141"/>
      <c r="Y21" s="150"/>
      <c r="Z21" s="146"/>
      <c r="AA21" s="141"/>
      <c r="AB21" s="141"/>
      <c r="AC21" s="141"/>
      <c r="AD21" s="146"/>
      <c r="AE21" s="141"/>
      <c r="AF21" s="141"/>
      <c r="AG21" s="148"/>
      <c r="AH21" s="146"/>
      <c r="AI21" s="141"/>
      <c r="AJ21" s="141"/>
      <c r="AK21" s="148"/>
      <c r="AL21" s="146"/>
      <c r="AM21" s="141"/>
      <c r="AN21" s="141"/>
      <c r="AO21" s="148"/>
      <c r="AP21" s="146"/>
      <c r="AQ21" s="141"/>
      <c r="AR21" s="141"/>
      <c r="AS21" s="148"/>
      <c r="AT21" s="146"/>
      <c r="AU21" s="141"/>
      <c r="AV21" s="141"/>
      <c r="AW21" s="143"/>
    </row>
    <row r="22" spans="1:72" ht="14.25">
      <c r="A22" s="95" t="s">
        <v>225</v>
      </c>
      <c r="B22" s="108">
        <v>19493</v>
      </c>
      <c r="C22" s="108">
        <v>2849</v>
      </c>
      <c r="D22" s="108">
        <v>1965</v>
      </c>
      <c r="E22" s="108">
        <v>14679</v>
      </c>
      <c r="F22" s="108">
        <v>6050</v>
      </c>
      <c r="G22" s="108">
        <v>711</v>
      </c>
      <c r="H22" s="108">
        <v>254</v>
      </c>
      <c r="I22" s="108">
        <v>5085</v>
      </c>
      <c r="J22" s="108">
        <v>7379</v>
      </c>
      <c r="K22" s="108">
        <v>816</v>
      </c>
      <c r="L22" s="108">
        <v>555</v>
      </c>
      <c r="M22" s="108">
        <v>6008</v>
      </c>
      <c r="N22" s="108">
        <v>3100</v>
      </c>
      <c r="O22" s="108">
        <v>823</v>
      </c>
      <c r="P22" s="108">
        <v>838</v>
      </c>
      <c r="Q22" s="108">
        <v>1439</v>
      </c>
      <c r="R22" s="108">
        <v>247</v>
      </c>
      <c r="S22" s="108">
        <v>94</v>
      </c>
      <c r="T22" s="108">
        <v>64</v>
      </c>
      <c r="U22" s="108">
        <v>89</v>
      </c>
      <c r="V22" s="108">
        <v>2717</v>
      </c>
      <c r="W22" s="108">
        <v>405</v>
      </c>
      <c r="X22" s="108">
        <v>254</v>
      </c>
      <c r="Y22" s="108">
        <v>2058</v>
      </c>
      <c r="Z22" s="108">
        <v>53367</v>
      </c>
      <c r="AA22" s="108">
        <v>7579</v>
      </c>
      <c r="AB22" s="108">
        <v>5355</v>
      </c>
      <c r="AC22" s="108">
        <v>40433</v>
      </c>
      <c r="AD22" s="108">
        <v>18265</v>
      </c>
      <c r="AE22" s="108">
        <v>2091</v>
      </c>
      <c r="AF22" s="108">
        <v>881</v>
      </c>
      <c r="AG22" s="108">
        <v>15293</v>
      </c>
      <c r="AH22" s="108">
        <v>18783</v>
      </c>
      <c r="AI22" s="108">
        <v>2197</v>
      </c>
      <c r="AJ22" s="108">
        <v>1358</v>
      </c>
      <c r="AK22" s="108">
        <v>15228</v>
      </c>
      <c r="AL22" s="108">
        <v>7842</v>
      </c>
      <c r="AM22" s="108">
        <v>1941</v>
      </c>
      <c r="AN22" s="108">
        <v>2306</v>
      </c>
      <c r="AO22" s="108">
        <v>3595</v>
      </c>
      <c r="AP22" s="108">
        <v>587</v>
      </c>
      <c r="AQ22" s="108">
        <v>238</v>
      </c>
      <c r="AR22" s="108">
        <v>159</v>
      </c>
      <c r="AS22" s="108">
        <v>190</v>
      </c>
      <c r="AT22" s="108">
        <v>7890</v>
      </c>
      <c r="AU22" s="108">
        <v>1112</v>
      </c>
      <c r="AV22" s="108">
        <v>651</v>
      </c>
      <c r="AW22" s="108">
        <v>6127</v>
      </c>
    </row>
    <row r="23" spans="1:72" ht="14.25">
      <c r="A23" s="96" t="s">
        <v>226</v>
      </c>
      <c r="B23" s="108">
        <v>29878</v>
      </c>
      <c r="C23" s="108">
        <v>4473</v>
      </c>
      <c r="D23" s="108">
        <v>3197</v>
      </c>
      <c r="E23" s="108">
        <v>22208</v>
      </c>
      <c r="F23" s="108">
        <v>11588</v>
      </c>
      <c r="G23" s="108">
        <v>1364</v>
      </c>
      <c r="H23" s="108">
        <v>668</v>
      </c>
      <c r="I23" s="108">
        <v>9556</v>
      </c>
      <c r="J23" s="108">
        <v>8697</v>
      </c>
      <c r="K23" s="108">
        <v>1055</v>
      </c>
      <c r="L23" s="108">
        <v>649</v>
      </c>
      <c r="M23" s="108">
        <v>6993</v>
      </c>
      <c r="N23" s="108">
        <v>4974</v>
      </c>
      <c r="O23" s="108">
        <v>1280</v>
      </c>
      <c r="P23" s="108">
        <v>1187</v>
      </c>
      <c r="Q23" s="108">
        <v>2507</v>
      </c>
      <c r="R23" s="108">
        <v>1002</v>
      </c>
      <c r="S23" s="108">
        <v>229</v>
      </c>
      <c r="T23" s="108">
        <v>336</v>
      </c>
      <c r="U23" s="108">
        <v>437</v>
      </c>
      <c r="V23" s="108">
        <v>3617</v>
      </c>
      <c r="W23" s="108">
        <v>545</v>
      </c>
      <c r="X23" s="108">
        <v>357</v>
      </c>
      <c r="Y23" s="108">
        <v>2715</v>
      </c>
      <c r="Z23" s="108">
        <v>78097</v>
      </c>
      <c r="AA23" s="108">
        <v>13109</v>
      </c>
      <c r="AB23" s="108">
        <v>7519</v>
      </c>
      <c r="AC23" s="108">
        <v>57469</v>
      </c>
      <c r="AD23" s="108">
        <v>31363</v>
      </c>
      <c r="AE23" s="108">
        <v>3617</v>
      </c>
      <c r="AF23" s="108">
        <v>2057</v>
      </c>
      <c r="AG23" s="108">
        <v>25689</v>
      </c>
      <c r="AH23" s="108">
        <v>23266</v>
      </c>
      <c r="AI23" s="108">
        <v>2778</v>
      </c>
      <c r="AJ23" s="108">
        <v>1370</v>
      </c>
      <c r="AK23" s="108">
        <v>19118</v>
      </c>
      <c r="AL23" s="108">
        <v>11322</v>
      </c>
      <c r="AM23" s="108">
        <v>2959</v>
      </c>
      <c r="AN23" s="108">
        <v>2656</v>
      </c>
      <c r="AO23" s="108">
        <v>5707</v>
      </c>
      <c r="AP23" s="108">
        <v>2181</v>
      </c>
      <c r="AQ23" s="108">
        <v>558</v>
      </c>
      <c r="AR23" s="108">
        <v>658</v>
      </c>
      <c r="AS23" s="108">
        <v>965</v>
      </c>
      <c r="AT23" s="108">
        <v>9965</v>
      </c>
      <c r="AU23" s="108">
        <v>3197</v>
      </c>
      <c r="AV23" s="108">
        <v>778</v>
      </c>
      <c r="AW23" s="108">
        <v>5990</v>
      </c>
    </row>
    <row r="24" spans="1:72" hidden="1">
      <c r="A24" s="109" t="s">
        <v>227</v>
      </c>
      <c r="B24" s="110">
        <v>0</v>
      </c>
      <c r="C24" s="110">
        <v>0</v>
      </c>
      <c r="D24" s="110">
        <v>0</v>
      </c>
      <c r="E24" s="110">
        <v>0</v>
      </c>
      <c r="F24" s="110">
        <v>0</v>
      </c>
      <c r="G24" s="110">
        <v>0</v>
      </c>
      <c r="H24" s="110">
        <v>0</v>
      </c>
      <c r="I24" s="110">
        <v>0</v>
      </c>
      <c r="J24" s="110">
        <v>0</v>
      </c>
      <c r="K24" s="110">
        <v>0</v>
      </c>
      <c r="L24" s="110">
        <v>0</v>
      </c>
      <c r="M24" s="110">
        <v>0</v>
      </c>
      <c r="N24" s="110">
        <v>0</v>
      </c>
      <c r="O24" s="110">
        <v>0</v>
      </c>
      <c r="P24" s="110">
        <v>0</v>
      </c>
      <c r="Q24" s="110">
        <v>0</v>
      </c>
      <c r="R24" s="110">
        <v>0</v>
      </c>
      <c r="S24" s="110">
        <v>0</v>
      </c>
      <c r="T24" s="110">
        <v>0</v>
      </c>
      <c r="U24" s="110">
        <v>0</v>
      </c>
      <c r="V24" s="110">
        <v>0</v>
      </c>
      <c r="W24" s="110">
        <v>0</v>
      </c>
      <c r="X24" s="110">
        <v>0</v>
      </c>
      <c r="Y24" s="110">
        <v>0</v>
      </c>
      <c r="Z24" s="110">
        <v>0</v>
      </c>
      <c r="AA24" s="110">
        <v>0</v>
      </c>
      <c r="AB24" s="110">
        <v>0</v>
      </c>
      <c r="AC24" s="110">
        <v>0</v>
      </c>
      <c r="AD24" s="110">
        <v>0</v>
      </c>
      <c r="AE24" s="110">
        <v>0</v>
      </c>
      <c r="AF24" s="110">
        <v>0</v>
      </c>
      <c r="AG24" s="110">
        <v>0</v>
      </c>
      <c r="AH24" s="110">
        <v>0</v>
      </c>
      <c r="AI24" s="110">
        <v>0</v>
      </c>
      <c r="AJ24" s="110">
        <v>0</v>
      </c>
      <c r="AK24" s="110">
        <v>0</v>
      </c>
      <c r="AL24" s="110">
        <v>0</v>
      </c>
      <c r="AM24" s="110">
        <v>0</v>
      </c>
      <c r="AN24" s="110">
        <v>0</v>
      </c>
      <c r="AO24" s="110">
        <v>0</v>
      </c>
      <c r="AP24" s="110">
        <v>0</v>
      </c>
      <c r="AQ24" s="110">
        <v>0</v>
      </c>
      <c r="AR24" s="110">
        <v>0</v>
      </c>
      <c r="AS24" s="110">
        <v>0</v>
      </c>
      <c r="AT24" s="110">
        <v>0</v>
      </c>
      <c r="AU24" s="110">
        <v>0</v>
      </c>
      <c r="AV24" s="110">
        <v>0</v>
      </c>
      <c r="AW24" s="110">
        <v>0</v>
      </c>
    </row>
    <row r="25" spans="1:72" s="115" customFormat="1">
      <c r="A25" s="111" t="s">
        <v>228</v>
      </c>
      <c r="B25" s="112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72" s="6" customFormat="1" ht="15">
      <c r="A26" s="116" t="s">
        <v>229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</row>
    <row r="27" spans="1:72">
      <c r="A27" s="144" t="s">
        <v>230</v>
      </c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</row>
    <row r="28" spans="1:72">
      <c r="A28" s="117" t="s">
        <v>20</v>
      </c>
    </row>
  </sheetData>
  <mergeCells count="97">
    <mergeCell ref="H5:H6"/>
    <mergeCell ref="A3:A6"/>
    <mergeCell ref="B3:M3"/>
    <mergeCell ref="N3:Y3"/>
    <mergeCell ref="E4:G4"/>
    <mergeCell ref="H4:J4"/>
    <mergeCell ref="K4:M4"/>
    <mergeCell ref="Q4:S4"/>
    <mergeCell ref="T4:V4"/>
    <mergeCell ref="W4:Y4"/>
    <mergeCell ref="B5:B6"/>
    <mergeCell ref="C5:C6"/>
    <mergeCell ref="D5:D6"/>
    <mergeCell ref="E5:E6"/>
    <mergeCell ref="F5:F6"/>
    <mergeCell ref="G5:G6"/>
    <mergeCell ref="T5:T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A18:A21"/>
    <mergeCell ref="B18:Y18"/>
    <mergeCell ref="I20:I21"/>
    <mergeCell ref="J20:J21"/>
    <mergeCell ref="K20:K21"/>
    <mergeCell ref="Q20:Q21"/>
    <mergeCell ref="B20:B21"/>
    <mergeCell ref="C20:C21"/>
    <mergeCell ref="D20:D21"/>
    <mergeCell ref="E20:E21"/>
    <mergeCell ref="F20:F21"/>
    <mergeCell ref="G20:G21"/>
    <mergeCell ref="H20:H21"/>
    <mergeCell ref="L20:L21"/>
    <mergeCell ref="M20:M21"/>
    <mergeCell ref="N20:N21"/>
    <mergeCell ref="U5:U6"/>
    <mergeCell ref="V5:V6"/>
    <mergeCell ref="W5:W6"/>
    <mergeCell ref="X5:X6"/>
    <mergeCell ref="Y5:Y6"/>
    <mergeCell ref="Z18:AW18"/>
    <mergeCell ref="B19:E19"/>
    <mergeCell ref="F19:I19"/>
    <mergeCell ref="J19:M19"/>
    <mergeCell ref="N19:Q19"/>
    <mergeCell ref="R19:U19"/>
    <mergeCell ref="V19:Y19"/>
    <mergeCell ref="Z19:AC19"/>
    <mergeCell ref="AD19:AG19"/>
    <mergeCell ref="AH19:AK19"/>
    <mergeCell ref="AL19:AO19"/>
    <mergeCell ref="AP19:AS19"/>
    <mergeCell ref="AT19:AW19"/>
    <mergeCell ref="O20:O21"/>
    <mergeCell ref="P20:P21"/>
    <mergeCell ref="AC20:AC21"/>
    <mergeCell ref="R20:R21"/>
    <mergeCell ref="S20:S21"/>
    <mergeCell ref="T20:T21"/>
    <mergeCell ref="U20:U21"/>
    <mergeCell ref="V20:V21"/>
    <mergeCell ref="W20:W21"/>
    <mergeCell ref="X20:X21"/>
    <mergeCell ref="Y20:Y21"/>
    <mergeCell ref="Z20:Z21"/>
    <mergeCell ref="AA20:AA21"/>
    <mergeCell ref="AB20:AB21"/>
    <mergeCell ref="AE20:AE21"/>
    <mergeCell ref="AF20:AF21"/>
    <mergeCell ref="AG20:AG21"/>
    <mergeCell ref="AH20:AH21"/>
    <mergeCell ref="AI20:AI21"/>
    <mergeCell ref="AV20:AV21"/>
    <mergeCell ref="AW20:AW21"/>
    <mergeCell ref="A27:S27"/>
    <mergeCell ref="AP20:AP21"/>
    <mergeCell ref="AQ20:AQ21"/>
    <mergeCell ref="AR20:AR21"/>
    <mergeCell ref="AS20:AS21"/>
    <mergeCell ref="AT20:AT21"/>
    <mergeCell ref="AU20:AU21"/>
    <mergeCell ref="AJ20:AJ21"/>
    <mergeCell ref="AK20:AK21"/>
    <mergeCell ref="AL20:AL21"/>
    <mergeCell ref="AM20:AM21"/>
    <mergeCell ref="AN20:AN21"/>
    <mergeCell ref="AO20:AO21"/>
    <mergeCell ref="AD20:AD2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X80"/>
  <sheetViews>
    <sheetView zoomScaleNormal="100" zoomScaleSheetLayoutView="75" workbookViewId="0">
      <pane xSplit="3" ySplit="7" topLeftCell="D65" activePane="bottomRight" state="frozen"/>
      <selection pane="topRight" activeCell="D1" sqref="D1"/>
      <selection pane="bottomLeft" activeCell="A8" sqref="A8"/>
      <selection pane="bottomRight"/>
    </sheetView>
  </sheetViews>
  <sheetFormatPr defaultColWidth="9.375" defaultRowHeight="12.75"/>
  <cols>
    <col min="1" max="1" width="15" style="2" customWidth="1"/>
    <col min="2" max="2" width="15.5" style="2" customWidth="1"/>
    <col min="3" max="26" width="8.375" style="2" customWidth="1"/>
    <col min="27" max="50" width="7.75" style="2" customWidth="1"/>
    <col min="51" max="16384" width="9.375" style="2"/>
  </cols>
  <sheetData>
    <row r="1" spans="1:50" ht="21">
      <c r="A1" s="68" t="s">
        <v>1</v>
      </c>
      <c r="B1" s="10"/>
    </row>
    <row r="2" spans="1:50" ht="25.5" customHeight="1">
      <c r="A2" s="11" t="s">
        <v>21</v>
      </c>
      <c r="B2" s="12"/>
      <c r="C2" s="13" t="str">
        <f>IF(C7=SUM(C10,C13,C16,C19,C22,C25,C28,C31,C34,C37,C40,C43,C46,C49,C52,C55,C58,C61,C64,C67,C70,C73),"","*")</f>
        <v/>
      </c>
      <c r="D2" s="13" t="str">
        <f t="shared" ref="D2:AX2" si="0">IF(D7=SUM(D10,D13,D16,D19,D22,D25,D28,D31,D34,D37,D40,D43,D46,D49,D52,D55,D58,D61,D64,D67,D70,D73),"","*")</f>
        <v/>
      </c>
      <c r="E2" s="13" t="str">
        <f t="shared" si="0"/>
        <v/>
      </c>
      <c r="F2" s="13" t="str">
        <f t="shared" si="0"/>
        <v/>
      </c>
      <c r="G2" s="13" t="str">
        <f t="shared" si="0"/>
        <v/>
      </c>
      <c r="H2" s="13" t="str">
        <f t="shared" si="0"/>
        <v/>
      </c>
      <c r="I2" s="13" t="str">
        <f t="shared" si="0"/>
        <v/>
      </c>
      <c r="J2" s="13" t="str">
        <f t="shared" si="0"/>
        <v/>
      </c>
      <c r="K2" s="13" t="str">
        <f t="shared" si="0"/>
        <v/>
      </c>
      <c r="L2" s="13" t="str">
        <f t="shared" si="0"/>
        <v/>
      </c>
      <c r="M2" s="13" t="str">
        <f t="shared" si="0"/>
        <v/>
      </c>
      <c r="N2" s="13" t="str">
        <f t="shared" si="0"/>
        <v/>
      </c>
      <c r="O2" s="13" t="str">
        <f t="shared" si="0"/>
        <v/>
      </c>
      <c r="P2" s="13" t="str">
        <f t="shared" si="0"/>
        <v/>
      </c>
      <c r="Q2" s="13" t="str">
        <f t="shared" si="0"/>
        <v/>
      </c>
      <c r="R2" s="13" t="str">
        <f t="shared" si="0"/>
        <v/>
      </c>
      <c r="S2" s="13" t="str">
        <f t="shared" si="0"/>
        <v/>
      </c>
      <c r="T2" s="13" t="str">
        <f t="shared" si="0"/>
        <v/>
      </c>
      <c r="U2" s="13" t="str">
        <f t="shared" si="0"/>
        <v/>
      </c>
      <c r="V2" s="13" t="str">
        <f t="shared" si="0"/>
        <v/>
      </c>
      <c r="W2" s="13" t="str">
        <f t="shared" si="0"/>
        <v/>
      </c>
      <c r="X2" s="13" t="str">
        <f t="shared" si="0"/>
        <v/>
      </c>
      <c r="Y2" s="13" t="str">
        <f t="shared" si="0"/>
        <v/>
      </c>
      <c r="Z2" s="13" t="str">
        <f t="shared" si="0"/>
        <v/>
      </c>
      <c r="AA2" s="13" t="str">
        <f t="shared" si="0"/>
        <v/>
      </c>
      <c r="AB2" s="13" t="str">
        <f>IF(AB7=SUM(AB10,AB13,AB16,AB19,AB22,AB25,AB28,AB31,AB34,AB37,AB40,AB43,AB46,AB49,AB52,AB55,AB58,AB61,AB64,AB67,AB70,AB73),"","*")</f>
        <v/>
      </c>
      <c r="AC2" s="13" t="str">
        <f t="shared" si="0"/>
        <v/>
      </c>
      <c r="AD2" s="13" t="str">
        <f t="shared" si="0"/>
        <v/>
      </c>
      <c r="AE2" s="13" t="str">
        <f t="shared" si="0"/>
        <v/>
      </c>
      <c r="AF2" s="13" t="str">
        <f t="shared" si="0"/>
        <v/>
      </c>
      <c r="AG2" s="13" t="str">
        <f t="shared" si="0"/>
        <v/>
      </c>
      <c r="AH2" s="13" t="str">
        <f t="shared" si="0"/>
        <v/>
      </c>
      <c r="AI2" s="13" t="str">
        <f t="shared" si="0"/>
        <v/>
      </c>
      <c r="AJ2" s="13" t="str">
        <f t="shared" si="0"/>
        <v/>
      </c>
      <c r="AK2" s="13" t="str">
        <f t="shared" si="0"/>
        <v/>
      </c>
      <c r="AL2" s="13" t="str">
        <f t="shared" si="0"/>
        <v/>
      </c>
      <c r="AM2" s="13" t="str">
        <f t="shared" si="0"/>
        <v/>
      </c>
      <c r="AN2" s="13" t="str">
        <f t="shared" si="0"/>
        <v/>
      </c>
      <c r="AO2" s="13" t="str">
        <f t="shared" si="0"/>
        <v/>
      </c>
      <c r="AP2" s="13" t="str">
        <f t="shared" si="0"/>
        <v/>
      </c>
      <c r="AQ2" s="13" t="str">
        <f t="shared" si="0"/>
        <v/>
      </c>
      <c r="AR2" s="13" t="str">
        <f t="shared" si="0"/>
        <v/>
      </c>
      <c r="AS2" s="13" t="str">
        <f t="shared" si="0"/>
        <v/>
      </c>
      <c r="AT2" s="13" t="str">
        <f t="shared" si="0"/>
        <v/>
      </c>
      <c r="AU2" s="13" t="str">
        <f t="shared" si="0"/>
        <v/>
      </c>
      <c r="AV2" s="13" t="str">
        <f t="shared" si="0"/>
        <v/>
      </c>
      <c r="AW2" s="13" t="str">
        <f t="shared" si="0"/>
        <v/>
      </c>
      <c r="AX2" s="13" t="str">
        <f t="shared" si="0"/>
        <v/>
      </c>
    </row>
    <row r="3" spans="1:50" ht="20.25" customHeight="1">
      <c r="A3" s="179" t="s">
        <v>22</v>
      </c>
      <c r="B3" s="180"/>
      <c r="C3" s="151" t="s">
        <v>9</v>
      </c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65"/>
      <c r="AA3" s="151" t="s">
        <v>10</v>
      </c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1"/>
      <c r="AX3" s="151"/>
    </row>
    <row r="4" spans="1:50" ht="33.75" customHeight="1">
      <c r="A4" s="181"/>
      <c r="B4" s="182"/>
      <c r="C4" s="152" t="s">
        <v>0</v>
      </c>
      <c r="D4" s="152"/>
      <c r="E4" s="152"/>
      <c r="F4" s="153"/>
      <c r="G4" s="154" t="s">
        <v>11</v>
      </c>
      <c r="H4" s="155"/>
      <c r="I4" s="155"/>
      <c r="J4" s="156"/>
      <c r="K4" s="154" t="s">
        <v>12</v>
      </c>
      <c r="L4" s="155"/>
      <c r="M4" s="155"/>
      <c r="N4" s="156"/>
      <c r="O4" s="154" t="s">
        <v>13</v>
      </c>
      <c r="P4" s="155"/>
      <c r="Q4" s="155"/>
      <c r="R4" s="156"/>
      <c r="S4" s="154" t="s">
        <v>14</v>
      </c>
      <c r="T4" s="155"/>
      <c r="U4" s="155"/>
      <c r="V4" s="156"/>
      <c r="W4" s="154" t="s">
        <v>15</v>
      </c>
      <c r="X4" s="155"/>
      <c r="Y4" s="155"/>
      <c r="Z4" s="157"/>
      <c r="AA4" s="152" t="s">
        <v>0</v>
      </c>
      <c r="AB4" s="152"/>
      <c r="AC4" s="152"/>
      <c r="AD4" s="153"/>
      <c r="AE4" s="154" t="s">
        <v>11</v>
      </c>
      <c r="AF4" s="155"/>
      <c r="AG4" s="155"/>
      <c r="AH4" s="156"/>
      <c r="AI4" s="154" t="s">
        <v>12</v>
      </c>
      <c r="AJ4" s="155"/>
      <c r="AK4" s="155"/>
      <c r="AL4" s="156"/>
      <c r="AM4" s="154" t="s">
        <v>13</v>
      </c>
      <c r="AN4" s="155"/>
      <c r="AO4" s="155"/>
      <c r="AP4" s="156"/>
      <c r="AQ4" s="154" t="s">
        <v>14</v>
      </c>
      <c r="AR4" s="155"/>
      <c r="AS4" s="155"/>
      <c r="AT4" s="156"/>
      <c r="AU4" s="154" t="s">
        <v>15</v>
      </c>
      <c r="AV4" s="155"/>
      <c r="AW4" s="155"/>
      <c r="AX4" s="155"/>
    </row>
    <row r="5" spans="1:50" s="7" customFormat="1" ht="19.5" customHeight="1">
      <c r="A5" s="181"/>
      <c r="B5" s="182"/>
      <c r="C5" s="145" t="s">
        <v>16</v>
      </c>
      <c r="D5" s="140" t="s">
        <v>17</v>
      </c>
      <c r="E5" s="140" t="s">
        <v>18</v>
      </c>
      <c r="F5" s="140" t="s">
        <v>19</v>
      </c>
      <c r="G5" s="145" t="s">
        <v>16</v>
      </c>
      <c r="H5" s="140" t="s">
        <v>17</v>
      </c>
      <c r="I5" s="140" t="s">
        <v>18</v>
      </c>
      <c r="J5" s="147" t="s">
        <v>19</v>
      </c>
      <c r="K5" s="145" t="s">
        <v>16</v>
      </c>
      <c r="L5" s="140" t="s">
        <v>17</v>
      </c>
      <c r="M5" s="140" t="s">
        <v>18</v>
      </c>
      <c r="N5" s="147" t="s">
        <v>19</v>
      </c>
      <c r="O5" s="145" t="s">
        <v>16</v>
      </c>
      <c r="P5" s="140" t="s">
        <v>17</v>
      </c>
      <c r="Q5" s="140" t="s">
        <v>18</v>
      </c>
      <c r="R5" s="147" t="s">
        <v>19</v>
      </c>
      <c r="S5" s="145" t="s">
        <v>16</v>
      </c>
      <c r="T5" s="140" t="s">
        <v>17</v>
      </c>
      <c r="U5" s="140" t="s">
        <v>18</v>
      </c>
      <c r="V5" s="147" t="s">
        <v>19</v>
      </c>
      <c r="W5" s="145" t="s">
        <v>16</v>
      </c>
      <c r="X5" s="140" t="s">
        <v>17</v>
      </c>
      <c r="Y5" s="140" t="s">
        <v>18</v>
      </c>
      <c r="Z5" s="149" t="s">
        <v>19</v>
      </c>
      <c r="AA5" s="145" t="s">
        <v>16</v>
      </c>
      <c r="AB5" s="140" t="s">
        <v>17</v>
      </c>
      <c r="AC5" s="140" t="s">
        <v>18</v>
      </c>
      <c r="AD5" s="140" t="s">
        <v>19</v>
      </c>
      <c r="AE5" s="145" t="s">
        <v>16</v>
      </c>
      <c r="AF5" s="140" t="s">
        <v>17</v>
      </c>
      <c r="AG5" s="140" t="s">
        <v>18</v>
      </c>
      <c r="AH5" s="147" t="s">
        <v>19</v>
      </c>
      <c r="AI5" s="145" t="s">
        <v>16</v>
      </c>
      <c r="AJ5" s="140" t="s">
        <v>17</v>
      </c>
      <c r="AK5" s="140" t="s">
        <v>18</v>
      </c>
      <c r="AL5" s="147" t="s">
        <v>19</v>
      </c>
      <c r="AM5" s="145" t="s">
        <v>16</v>
      </c>
      <c r="AN5" s="140" t="s">
        <v>17</v>
      </c>
      <c r="AO5" s="140" t="s">
        <v>18</v>
      </c>
      <c r="AP5" s="147" t="s">
        <v>19</v>
      </c>
      <c r="AQ5" s="145" t="s">
        <v>16</v>
      </c>
      <c r="AR5" s="140" t="s">
        <v>17</v>
      </c>
      <c r="AS5" s="140" t="s">
        <v>18</v>
      </c>
      <c r="AT5" s="147" t="s">
        <v>19</v>
      </c>
      <c r="AU5" s="145" t="s">
        <v>16</v>
      </c>
      <c r="AV5" s="140" t="s">
        <v>17</v>
      </c>
      <c r="AW5" s="140" t="s">
        <v>18</v>
      </c>
      <c r="AX5" s="142" t="s">
        <v>19</v>
      </c>
    </row>
    <row r="6" spans="1:50" ht="19.5" customHeight="1">
      <c r="A6" s="183"/>
      <c r="B6" s="184"/>
      <c r="C6" s="146"/>
      <c r="D6" s="141"/>
      <c r="E6" s="141"/>
      <c r="F6" s="141"/>
      <c r="G6" s="146"/>
      <c r="H6" s="141"/>
      <c r="I6" s="141"/>
      <c r="J6" s="148"/>
      <c r="K6" s="146"/>
      <c r="L6" s="141"/>
      <c r="M6" s="141"/>
      <c r="N6" s="148"/>
      <c r="O6" s="146"/>
      <c r="P6" s="141"/>
      <c r="Q6" s="141"/>
      <c r="R6" s="148"/>
      <c r="S6" s="146"/>
      <c r="T6" s="141"/>
      <c r="U6" s="141"/>
      <c r="V6" s="148"/>
      <c r="W6" s="146"/>
      <c r="X6" s="141"/>
      <c r="Y6" s="141"/>
      <c r="Z6" s="150"/>
      <c r="AA6" s="146"/>
      <c r="AB6" s="141"/>
      <c r="AC6" s="141"/>
      <c r="AD6" s="141"/>
      <c r="AE6" s="146"/>
      <c r="AF6" s="141"/>
      <c r="AG6" s="141"/>
      <c r="AH6" s="148"/>
      <c r="AI6" s="146"/>
      <c r="AJ6" s="141"/>
      <c r="AK6" s="141"/>
      <c r="AL6" s="148"/>
      <c r="AM6" s="146"/>
      <c r="AN6" s="141"/>
      <c r="AO6" s="141"/>
      <c r="AP6" s="148"/>
      <c r="AQ6" s="146"/>
      <c r="AR6" s="141"/>
      <c r="AS6" s="141"/>
      <c r="AT6" s="148"/>
      <c r="AU6" s="146"/>
      <c r="AV6" s="141"/>
      <c r="AW6" s="141"/>
      <c r="AX6" s="143"/>
    </row>
    <row r="7" spans="1:50" s="6" customFormat="1" ht="15.75" customHeight="1">
      <c r="A7" s="14" t="s">
        <v>23</v>
      </c>
      <c r="B7" s="125" t="s">
        <v>24</v>
      </c>
      <c r="C7" s="15">
        <v>29878</v>
      </c>
      <c r="D7" s="15">
        <v>4473</v>
      </c>
      <c r="E7" s="15">
        <v>3197</v>
      </c>
      <c r="F7" s="15">
        <v>22208</v>
      </c>
      <c r="G7" s="15">
        <v>11588</v>
      </c>
      <c r="H7" s="15">
        <v>1364</v>
      </c>
      <c r="I7" s="15">
        <v>668</v>
      </c>
      <c r="J7" s="15">
        <v>9556</v>
      </c>
      <c r="K7" s="15">
        <v>8697</v>
      </c>
      <c r="L7" s="15">
        <v>1055</v>
      </c>
      <c r="M7" s="15">
        <v>649</v>
      </c>
      <c r="N7" s="15">
        <v>6993</v>
      </c>
      <c r="O7" s="15">
        <v>4974</v>
      </c>
      <c r="P7" s="15">
        <v>1280</v>
      </c>
      <c r="Q7" s="15">
        <v>1187</v>
      </c>
      <c r="R7" s="15">
        <v>2507</v>
      </c>
      <c r="S7" s="15">
        <v>1002</v>
      </c>
      <c r="T7" s="15">
        <v>229</v>
      </c>
      <c r="U7" s="15">
        <v>336</v>
      </c>
      <c r="V7" s="15">
        <v>437</v>
      </c>
      <c r="W7" s="15">
        <v>3617</v>
      </c>
      <c r="X7" s="15">
        <v>545</v>
      </c>
      <c r="Y7" s="15">
        <v>357</v>
      </c>
      <c r="Z7" s="15">
        <v>2715</v>
      </c>
      <c r="AA7" s="15">
        <v>78097</v>
      </c>
      <c r="AB7" s="15">
        <v>13109</v>
      </c>
      <c r="AC7" s="15">
        <v>7519</v>
      </c>
      <c r="AD7" s="15">
        <v>57469</v>
      </c>
      <c r="AE7" s="15">
        <v>31363</v>
      </c>
      <c r="AF7" s="15">
        <v>3617</v>
      </c>
      <c r="AG7" s="15">
        <v>2057</v>
      </c>
      <c r="AH7" s="15">
        <v>25689</v>
      </c>
      <c r="AI7" s="15">
        <v>23266</v>
      </c>
      <c r="AJ7" s="15">
        <v>2778</v>
      </c>
      <c r="AK7" s="15">
        <v>1370</v>
      </c>
      <c r="AL7" s="15">
        <v>19118</v>
      </c>
      <c r="AM7" s="15">
        <v>11322</v>
      </c>
      <c r="AN7" s="15">
        <v>2959</v>
      </c>
      <c r="AO7" s="15">
        <v>2656</v>
      </c>
      <c r="AP7" s="15">
        <v>5707</v>
      </c>
      <c r="AQ7" s="15">
        <v>2181</v>
      </c>
      <c r="AR7" s="15">
        <v>558</v>
      </c>
      <c r="AS7" s="15">
        <v>658</v>
      </c>
      <c r="AT7" s="15">
        <v>965</v>
      </c>
      <c r="AU7" s="15">
        <v>9965</v>
      </c>
      <c r="AV7" s="15">
        <v>3197</v>
      </c>
      <c r="AW7" s="15">
        <v>778</v>
      </c>
      <c r="AX7" s="15">
        <v>5990</v>
      </c>
    </row>
    <row r="8" spans="1:50" s="6" customFormat="1" ht="15.75" customHeight="1">
      <c r="A8" s="177" t="s">
        <v>25</v>
      </c>
      <c r="B8" s="126" t="s">
        <v>26</v>
      </c>
      <c r="C8" s="16">
        <v>14885</v>
      </c>
      <c r="D8" s="16">
        <v>2528</v>
      </c>
      <c r="E8" s="16">
        <v>1845</v>
      </c>
      <c r="F8" s="16">
        <v>10512</v>
      </c>
      <c r="G8" s="16">
        <v>5163</v>
      </c>
      <c r="H8" s="16">
        <v>652</v>
      </c>
      <c r="I8" s="16">
        <v>367</v>
      </c>
      <c r="J8" s="16">
        <v>4144</v>
      </c>
      <c r="K8" s="16">
        <v>4366</v>
      </c>
      <c r="L8" s="16">
        <v>559</v>
      </c>
      <c r="M8" s="16">
        <v>356</v>
      </c>
      <c r="N8" s="16">
        <v>3451</v>
      </c>
      <c r="O8" s="16">
        <v>3089</v>
      </c>
      <c r="P8" s="16">
        <v>867</v>
      </c>
      <c r="Q8" s="16">
        <v>724</v>
      </c>
      <c r="R8" s="16">
        <v>1498</v>
      </c>
      <c r="S8" s="16">
        <v>628</v>
      </c>
      <c r="T8" s="16">
        <v>160</v>
      </c>
      <c r="U8" s="16">
        <v>210</v>
      </c>
      <c r="V8" s="16">
        <v>258</v>
      </c>
      <c r="W8" s="16">
        <v>1639</v>
      </c>
      <c r="X8" s="16">
        <v>290</v>
      </c>
      <c r="Y8" s="16">
        <v>188</v>
      </c>
      <c r="Z8" s="16">
        <v>1161</v>
      </c>
      <c r="AA8" s="16">
        <v>38161</v>
      </c>
      <c r="AB8" s="16">
        <v>6870</v>
      </c>
      <c r="AC8" s="16">
        <v>4263</v>
      </c>
      <c r="AD8" s="16">
        <v>27028</v>
      </c>
      <c r="AE8" s="16">
        <v>14359</v>
      </c>
      <c r="AF8" s="16">
        <v>1703</v>
      </c>
      <c r="AG8" s="16">
        <v>1118</v>
      </c>
      <c r="AH8" s="16">
        <v>11538</v>
      </c>
      <c r="AI8" s="16">
        <v>11243</v>
      </c>
      <c r="AJ8" s="16">
        <v>1399</v>
      </c>
      <c r="AK8" s="16">
        <v>753</v>
      </c>
      <c r="AL8" s="16">
        <v>9091</v>
      </c>
      <c r="AM8" s="16">
        <v>6959</v>
      </c>
      <c r="AN8" s="16">
        <v>1944</v>
      </c>
      <c r="AO8" s="16">
        <v>1630</v>
      </c>
      <c r="AP8" s="16">
        <v>3385</v>
      </c>
      <c r="AQ8" s="16">
        <v>1343</v>
      </c>
      <c r="AR8" s="16">
        <v>394</v>
      </c>
      <c r="AS8" s="16">
        <v>413</v>
      </c>
      <c r="AT8" s="16">
        <v>536</v>
      </c>
      <c r="AU8" s="16">
        <v>4257</v>
      </c>
      <c r="AV8" s="16">
        <v>1430</v>
      </c>
      <c r="AW8" s="16">
        <v>349</v>
      </c>
      <c r="AX8" s="16">
        <v>2478</v>
      </c>
    </row>
    <row r="9" spans="1:50" s="6" customFormat="1" ht="15.75" customHeight="1">
      <c r="A9" s="178"/>
      <c r="B9" s="126" t="s">
        <v>27</v>
      </c>
      <c r="C9" s="16">
        <v>14993</v>
      </c>
      <c r="D9" s="16">
        <v>1945</v>
      </c>
      <c r="E9" s="16">
        <v>1352</v>
      </c>
      <c r="F9" s="16">
        <v>11696</v>
      </c>
      <c r="G9" s="16">
        <v>6425</v>
      </c>
      <c r="H9" s="16">
        <v>712</v>
      </c>
      <c r="I9" s="16">
        <v>301</v>
      </c>
      <c r="J9" s="16">
        <v>5412</v>
      </c>
      <c r="K9" s="16">
        <v>4331</v>
      </c>
      <c r="L9" s="16">
        <v>496</v>
      </c>
      <c r="M9" s="16">
        <v>293</v>
      </c>
      <c r="N9" s="16">
        <v>3542</v>
      </c>
      <c r="O9" s="16">
        <v>1885</v>
      </c>
      <c r="P9" s="16">
        <v>413</v>
      </c>
      <c r="Q9" s="16">
        <v>463</v>
      </c>
      <c r="R9" s="16">
        <v>1009</v>
      </c>
      <c r="S9" s="16">
        <v>374</v>
      </c>
      <c r="T9" s="16">
        <v>69</v>
      </c>
      <c r="U9" s="16">
        <v>126</v>
      </c>
      <c r="V9" s="16">
        <v>179</v>
      </c>
      <c r="W9" s="16">
        <v>1978</v>
      </c>
      <c r="X9" s="16">
        <v>255</v>
      </c>
      <c r="Y9" s="16">
        <v>169</v>
      </c>
      <c r="Z9" s="16">
        <v>1554</v>
      </c>
      <c r="AA9" s="16">
        <v>39936</v>
      </c>
      <c r="AB9" s="16">
        <v>6239</v>
      </c>
      <c r="AC9" s="16">
        <v>3256</v>
      </c>
      <c r="AD9" s="16">
        <v>30441</v>
      </c>
      <c r="AE9" s="16">
        <v>17004</v>
      </c>
      <c r="AF9" s="16">
        <v>1914</v>
      </c>
      <c r="AG9" s="16">
        <v>939</v>
      </c>
      <c r="AH9" s="16">
        <v>14151</v>
      </c>
      <c r="AI9" s="16">
        <v>12023</v>
      </c>
      <c r="AJ9" s="16">
        <v>1379</v>
      </c>
      <c r="AK9" s="16">
        <v>617</v>
      </c>
      <c r="AL9" s="16">
        <v>10027</v>
      </c>
      <c r="AM9" s="16">
        <v>4363</v>
      </c>
      <c r="AN9" s="16">
        <v>1015</v>
      </c>
      <c r="AO9" s="16">
        <v>1026</v>
      </c>
      <c r="AP9" s="16">
        <v>2322</v>
      </c>
      <c r="AQ9" s="16">
        <v>838</v>
      </c>
      <c r="AR9" s="16">
        <v>164</v>
      </c>
      <c r="AS9" s="16">
        <v>245</v>
      </c>
      <c r="AT9" s="16">
        <v>429</v>
      </c>
      <c r="AU9" s="16">
        <v>5708</v>
      </c>
      <c r="AV9" s="16">
        <v>1767</v>
      </c>
      <c r="AW9" s="16">
        <v>429</v>
      </c>
      <c r="AX9" s="16">
        <v>3512</v>
      </c>
    </row>
    <row r="10" spans="1:50" s="17" customFormat="1" ht="15.75" customHeight="1">
      <c r="A10" s="14" t="s">
        <v>28</v>
      </c>
      <c r="B10" s="125" t="s">
        <v>24</v>
      </c>
      <c r="C10" s="15">
        <v>5440</v>
      </c>
      <c r="D10" s="15">
        <v>575</v>
      </c>
      <c r="E10" s="15">
        <v>543</v>
      </c>
      <c r="F10" s="15">
        <v>4322</v>
      </c>
      <c r="G10" s="15">
        <v>2213</v>
      </c>
      <c r="H10" s="15">
        <v>198</v>
      </c>
      <c r="I10" s="15">
        <v>11</v>
      </c>
      <c r="J10" s="15">
        <v>2004</v>
      </c>
      <c r="K10" s="15">
        <v>1519</v>
      </c>
      <c r="L10" s="15">
        <v>126</v>
      </c>
      <c r="M10" s="15">
        <v>122</v>
      </c>
      <c r="N10" s="15">
        <v>1271</v>
      </c>
      <c r="O10" s="15">
        <v>900</v>
      </c>
      <c r="P10" s="15">
        <v>157</v>
      </c>
      <c r="Q10" s="15">
        <v>323</v>
      </c>
      <c r="R10" s="15">
        <v>420</v>
      </c>
      <c r="S10" s="15">
        <v>8</v>
      </c>
      <c r="T10" s="15">
        <v>0</v>
      </c>
      <c r="U10" s="15">
        <v>1</v>
      </c>
      <c r="V10" s="15">
        <v>7</v>
      </c>
      <c r="W10" s="15">
        <v>800</v>
      </c>
      <c r="X10" s="15">
        <v>94</v>
      </c>
      <c r="Y10" s="15">
        <v>86</v>
      </c>
      <c r="Z10" s="15">
        <v>620</v>
      </c>
      <c r="AA10" s="15">
        <v>14906</v>
      </c>
      <c r="AB10" s="15">
        <v>3255</v>
      </c>
      <c r="AC10" s="15">
        <v>1381</v>
      </c>
      <c r="AD10" s="15">
        <v>10270</v>
      </c>
      <c r="AE10" s="15">
        <v>5391</v>
      </c>
      <c r="AF10" s="15">
        <v>461</v>
      </c>
      <c r="AG10" s="15">
        <v>394</v>
      </c>
      <c r="AH10" s="15">
        <v>4536</v>
      </c>
      <c r="AI10" s="15">
        <v>4742</v>
      </c>
      <c r="AJ10" s="15">
        <v>289</v>
      </c>
      <c r="AK10" s="15">
        <v>29</v>
      </c>
      <c r="AL10" s="15">
        <v>4424</v>
      </c>
      <c r="AM10" s="15">
        <v>2140</v>
      </c>
      <c r="AN10" s="15">
        <v>362</v>
      </c>
      <c r="AO10" s="15">
        <v>687</v>
      </c>
      <c r="AP10" s="15">
        <v>1091</v>
      </c>
      <c r="AQ10" s="15">
        <v>26</v>
      </c>
      <c r="AR10" s="15">
        <v>0</v>
      </c>
      <c r="AS10" s="15">
        <v>7</v>
      </c>
      <c r="AT10" s="15">
        <v>19</v>
      </c>
      <c r="AU10" s="15">
        <v>2607</v>
      </c>
      <c r="AV10" s="15">
        <v>2143</v>
      </c>
      <c r="AW10" s="15">
        <v>264</v>
      </c>
      <c r="AX10" s="15">
        <v>200</v>
      </c>
    </row>
    <row r="11" spans="1:50" s="17" customFormat="1" ht="15.75" customHeight="1">
      <c r="A11" s="175" t="s">
        <v>29</v>
      </c>
      <c r="B11" s="126" t="s">
        <v>26</v>
      </c>
      <c r="C11" s="16">
        <v>2696</v>
      </c>
      <c r="D11" s="16">
        <v>344</v>
      </c>
      <c r="E11" s="16">
        <v>314</v>
      </c>
      <c r="F11" s="16">
        <v>2038</v>
      </c>
      <c r="G11" s="16">
        <v>975</v>
      </c>
      <c r="H11" s="16">
        <v>129</v>
      </c>
      <c r="I11" s="16">
        <v>4</v>
      </c>
      <c r="J11" s="16">
        <v>842</v>
      </c>
      <c r="K11" s="16">
        <v>788</v>
      </c>
      <c r="L11" s="16">
        <v>68</v>
      </c>
      <c r="M11" s="16">
        <v>68</v>
      </c>
      <c r="N11" s="16">
        <v>652</v>
      </c>
      <c r="O11" s="16">
        <v>569</v>
      </c>
      <c r="P11" s="16">
        <v>103</v>
      </c>
      <c r="Q11" s="16">
        <v>198</v>
      </c>
      <c r="R11" s="16">
        <v>268</v>
      </c>
      <c r="S11" s="16">
        <v>6</v>
      </c>
      <c r="T11" s="16">
        <v>0</v>
      </c>
      <c r="U11" s="16">
        <v>1</v>
      </c>
      <c r="V11" s="16">
        <v>5</v>
      </c>
      <c r="W11" s="16">
        <v>358</v>
      </c>
      <c r="X11" s="16">
        <v>44</v>
      </c>
      <c r="Y11" s="16">
        <v>43</v>
      </c>
      <c r="Z11" s="16">
        <v>271</v>
      </c>
      <c r="AA11" s="16">
        <v>7079</v>
      </c>
      <c r="AB11" s="16">
        <v>1442</v>
      </c>
      <c r="AC11" s="16">
        <v>760</v>
      </c>
      <c r="AD11" s="16">
        <v>4877</v>
      </c>
      <c r="AE11" s="16">
        <v>2678</v>
      </c>
      <c r="AF11" s="16">
        <v>225</v>
      </c>
      <c r="AG11" s="16">
        <v>224</v>
      </c>
      <c r="AH11" s="16">
        <v>2229</v>
      </c>
      <c r="AI11" s="16">
        <v>2008</v>
      </c>
      <c r="AJ11" s="16">
        <v>114</v>
      </c>
      <c r="AK11" s="16">
        <v>11</v>
      </c>
      <c r="AL11" s="16">
        <v>1883</v>
      </c>
      <c r="AM11" s="16">
        <v>1309</v>
      </c>
      <c r="AN11" s="16">
        <v>230</v>
      </c>
      <c r="AO11" s="16">
        <v>419</v>
      </c>
      <c r="AP11" s="16">
        <v>660</v>
      </c>
      <c r="AQ11" s="16">
        <v>14</v>
      </c>
      <c r="AR11" s="16">
        <v>0</v>
      </c>
      <c r="AS11" s="16">
        <v>5</v>
      </c>
      <c r="AT11" s="16">
        <v>9</v>
      </c>
      <c r="AU11" s="16">
        <v>1070</v>
      </c>
      <c r="AV11" s="16">
        <v>873</v>
      </c>
      <c r="AW11" s="16">
        <v>101</v>
      </c>
      <c r="AX11" s="16">
        <v>96</v>
      </c>
    </row>
    <row r="12" spans="1:50" s="17" customFormat="1" ht="15.75" customHeight="1">
      <c r="A12" s="176"/>
      <c r="B12" s="126" t="s">
        <v>27</v>
      </c>
      <c r="C12" s="16">
        <v>2744</v>
      </c>
      <c r="D12" s="16">
        <v>231</v>
      </c>
      <c r="E12" s="16">
        <v>229</v>
      </c>
      <c r="F12" s="16">
        <v>2284</v>
      </c>
      <c r="G12" s="16">
        <v>1238</v>
      </c>
      <c r="H12" s="16">
        <v>69</v>
      </c>
      <c r="I12" s="16">
        <v>7</v>
      </c>
      <c r="J12" s="16">
        <v>1162</v>
      </c>
      <c r="K12" s="16">
        <v>731</v>
      </c>
      <c r="L12" s="16">
        <v>58</v>
      </c>
      <c r="M12" s="16">
        <v>54</v>
      </c>
      <c r="N12" s="16">
        <v>619</v>
      </c>
      <c r="O12" s="16">
        <v>331</v>
      </c>
      <c r="P12" s="16">
        <v>54</v>
      </c>
      <c r="Q12" s="16">
        <v>125</v>
      </c>
      <c r="R12" s="16">
        <v>152</v>
      </c>
      <c r="S12" s="16">
        <v>2</v>
      </c>
      <c r="T12" s="16">
        <v>0</v>
      </c>
      <c r="U12" s="16">
        <v>0</v>
      </c>
      <c r="V12" s="16">
        <v>2</v>
      </c>
      <c r="W12" s="16">
        <v>442</v>
      </c>
      <c r="X12" s="16">
        <v>50</v>
      </c>
      <c r="Y12" s="16">
        <v>43</v>
      </c>
      <c r="Z12" s="16">
        <v>349</v>
      </c>
      <c r="AA12" s="16">
        <v>7827</v>
      </c>
      <c r="AB12" s="16">
        <v>1813</v>
      </c>
      <c r="AC12" s="16">
        <v>621</v>
      </c>
      <c r="AD12" s="16">
        <v>5393</v>
      </c>
      <c r="AE12" s="16">
        <v>2713</v>
      </c>
      <c r="AF12" s="16">
        <v>236</v>
      </c>
      <c r="AG12" s="16">
        <v>170</v>
      </c>
      <c r="AH12" s="16">
        <v>2307</v>
      </c>
      <c r="AI12" s="16">
        <v>2734</v>
      </c>
      <c r="AJ12" s="16">
        <v>175</v>
      </c>
      <c r="AK12" s="16">
        <v>18</v>
      </c>
      <c r="AL12" s="16">
        <v>2541</v>
      </c>
      <c r="AM12" s="16">
        <v>831</v>
      </c>
      <c r="AN12" s="16">
        <v>132</v>
      </c>
      <c r="AO12" s="16">
        <v>268</v>
      </c>
      <c r="AP12" s="16">
        <v>431</v>
      </c>
      <c r="AQ12" s="16">
        <v>12</v>
      </c>
      <c r="AR12" s="16">
        <v>0</v>
      </c>
      <c r="AS12" s="16">
        <v>2</v>
      </c>
      <c r="AT12" s="16">
        <v>10</v>
      </c>
      <c r="AU12" s="16">
        <v>1537</v>
      </c>
      <c r="AV12" s="16">
        <v>1270</v>
      </c>
      <c r="AW12" s="16">
        <v>163</v>
      </c>
      <c r="AX12" s="16">
        <v>104</v>
      </c>
    </row>
    <row r="13" spans="1:50" s="17" customFormat="1" ht="15.75" customHeight="1">
      <c r="A13" s="14" t="s">
        <v>30</v>
      </c>
      <c r="B13" s="125" t="s">
        <v>24</v>
      </c>
      <c r="C13" s="15">
        <v>2350</v>
      </c>
      <c r="D13" s="15">
        <v>195</v>
      </c>
      <c r="E13" s="15">
        <v>42</v>
      </c>
      <c r="F13" s="15">
        <v>2113</v>
      </c>
      <c r="G13" s="15">
        <v>857</v>
      </c>
      <c r="H13" s="15">
        <v>43</v>
      </c>
      <c r="I13" s="15">
        <v>2</v>
      </c>
      <c r="J13" s="15">
        <v>812</v>
      </c>
      <c r="K13" s="15">
        <v>804</v>
      </c>
      <c r="L13" s="15">
        <v>58</v>
      </c>
      <c r="M13" s="15">
        <v>15</v>
      </c>
      <c r="N13" s="15">
        <v>731</v>
      </c>
      <c r="O13" s="15">
        <v>211</v>
      </c>
      <c r="P13" s="15">
        <v>42</v>
      </c>
      <c r="Q13" s="15">
        <v>17</v>
      </c>
      <c r="R13" s="15">
        <v>152</v>
      </c>
      <c r="S13" s="15">
        <v>2</v>
      </c>
      <c r="T13" s="15">
        <v>1</v>
      </c>
      <c r="U13" s="15">
        <v>0</v>
      </c>
      <c r="V13" s="15">
        <v>1</v>
      </c>
      <c r="W13" s="15">
        <v>476</v>
      </c>
      <c r="X13" s="15">
        <v>51</v>
      </c>
      <c r="Y13" s="15">
        <v>8</v>
      </c>
      <c r="Z13" s="15">
        <v>417</v>
      </c>
      <c r="AA13" s="15">
        <v>7102</v>
      </c>
      <c r="AB13" s="15">
        <v>609</v>
      </c>
      <c r="AC13" s="15">
        <v>132</v>
      </c>
      <c r="AD13" s="15">
        <v>6361</v>
      </c>
      <c r="AE13" s="15">
        <v>2627</v>
      </c>
      <c r="AF13" s="15">
        <v>156</v>
      </c>
      <c r="AG13" s="15">
        <v>8</v>
      </c>
      <c r="AH13" s="15">
        <v>2463</v>
      </c>
      <c r="AI13" s="15">
        <v>2400</v>
      </c>
      <c r="AJ13" s="15">
        <v>179</v>
      </c>
      <c r="AK13" s="15">
        <v>50</v>
      </c>
      <c r="AL13" s="15">
        <v>2171</v>
      </c>
      <c r="AM13" s="15">
        <v>539</v>
      </c>
      <c r="AN13" s="15">
        <v>112</v>
      </c>
      <c r="AO13" s="15">
        <v>42</v>
      </c>
      <c r="AP13" s="15">
        <v>385</v>
      </c>
      <c r="AQ13" s="15">
        <v>4</v>
      </c>
      <c r="AR13" s="15">
        <v>2</v>
      </c>
      <c r="AS13" s="15">
        <v>0</v>
      </c>
      <c r="AT13" s="15">
        <v>2</v>
      </c>
      <c r="AU13" s="15">
        <v>1532</v>
      </c>
      <c r="AV13" s="15">
        <v>160</v>
      </c>
      <c r="AW13" s="15">
        <v>32</v>
      </c>
      <c r="AX13" s="15">
        <v>1340</v>
      </c>
    </row>
    <row r="14" spans="1:50" s="17" customFormat="1" ht="15.75" customHeight="1">
      <c r="A14" s="175" t="s">
        <v>31</v>
      </c>
      <c r="B14" s="126" t="s">
        <v>26</v>
      </c>
      <c r="C14" s="16">
        <v>1034</v>
      </c>
      <c r="D14" s="16">
        <v>84</v>
      </c>
      <c r="E14" s="16">
        <v>23</v>
      </c>
      <c r="F14" s="16">
        <v>927</v>
      </c>
      <c r="G14" s="16">
        <v>336</v>
      </c>
      <c r="H14" s="16">
        <v>11</v>
      </c>
      <c r="I14" s="16">
        <v>1</v>
      </c>
      <c r="J14" s="16">
        <v>324</v>
      </c>
      <c r="K14" s="16">
        <v>375</v>
      </c>
      <c r="L14" s="16">
        <v>25</v>
      </c>
      <c r="M14" s="16">
        <v>7</v>
      </c>
      <c r="N14" s="16">
        <v>343</v>
      </c>
      <c r="O14" s="16">
        <v>133</v>
      </c>
      <c r="P14" s="16">
        <v>26</v>
      </c>
      <c r="Q14" s="16">
        <v>9</v>
      </c>
      <c r="R14" s="16">
        <v>98</v>
      </c>
      <c r="S14" s="16">
        <v>0</v>
      </c>
      <c r="T14" s="16">
        <v>0</v>
      </c>
      <c r="U14" s="16">
        <v>0</v>
      </c>
      <c r="V14" s="16">
        <v>0</v>
      </c>
      <c r="W14" s="16">
        <v>190</v>
      </c>
      <c r="X14" s="16">
        <v>22</v>
      </c>
      <c r="Y14" s="16">
        <v>6</v>
      </c>
      <c r="Z14" s="16">
        <v>162</v>
      </c>
      <c r="AA14" s="16">
        <v>3112</v>
      </c>
      <c r="AB14" s="16">
        <v>277</v>
      </c>
      <c r="AC14" s="16">
        <v>75</v>
      </c>
      <c r="AD14" s="16">
        <v>2760</v>
      </c>
      <c r="AE14" s="16">
        <v>1057</v>
      </c>
      <c r="AF14" s="16">
        <v>53</v>
      </c>
      <c r="AG14" s="16">
        <v>4</v>
      </c>
      <c r="AH14" s="16">
        <v>1000</v>
      </c>
      <c r="AI14" s="16">
        <v>1135</v>
      </c>
      <c r="AJ14" s="16">
        <v>81</v>
      </c>
      <c r="AK14" s="16">
        <v>28</v>
      </c>
      <c r="AL14" s="16">
        <v>1026</v>
      </c>
      <c r="AM14" s="16">
        <v>321</v>
      </c>
      <c r="AN14" s="16">
        <v>69</v>
      </c>
      <c r="AO14" s="16">
        <v>27</v>
      </c>
      <c r="AP14" s="16">
        <v>225</v>
      </c>
      <c r="AQ14" s="16">
        <v>1</v>
      </c>
      <c r="AR14" s="16">
        <v>1</v>
      </c>
      <c r="AS14" s="16">
        <v>0</v>
      </c>
      <c r="AT14" s="16">
        <v>0</v>
      </c>
      <c r="AU14" s="16">
        <v>598</v>
      </c>
      <c r="AV14" s="16">
        <v>73</v>
      </c>
      <c r="AW14" s="16">
        <v>16</v>
      </c>
      <c r="AX14" s="16">
        <v>509</v>
      </c>
    </row>
    <row r="15" spans="1:50" s="17" customFormat="1" ht="15.75" customHeight="1">
      <c r="A15" s="176"/>
      <c r="B15" s="126" t="s">
        <v>27</v>
      </c>
      <c r="C15" s="16">
        <v>1316</v>
      </c>
      <c r="D15" s="16">
        <v>111</v>
      </c>
      <c r="E15" s="16">
        <v>19</v>
      </c>
      <c r="F15" s="16">
        <v>1186</v>
      </c>
      <c r="G15" s="16">
        <v>521</v>
      </c>
      <c r="H15" s="16">
        <v>32</v>
      </c>
      <c r="I15" s="16">
        <v>1</v>
      </c>
      <c r="J15" s="16">
        <v>488</v>
      </c>
      <c r="K15" s="16">
        <v>429</v>
      </c>
      <c r="L15" s="16">
        <v>33</v>
      </c>
      <c r="M15" s="16">
        <v>8</v>
      </c>
      <c r="N15" s="16">
        <v>388</v>
      </c>
      <c r="O15" s="16">
        <v>78</v>
      </c>
      <c r="P15" s="16">
        <v>16</v>
      </c>
      <c r="Q15" s="16">
        <v>8</v>
      </c>
      <c r="R15" s="16">
        <v>54</v>
      </c>
      <c r="S15" s="16">
        <v>2</v>
      </c>
      <c r="T15" s="16">
        <v>1</v>
      </c>
      <c r="U15" s="16">
        <v>0</v>
      </c>
      <c r="V15" s="16">
        <v>1</v>
      </c>
      <c r="W15" s="16">
        <v>286</v>
      </c>
      <c r="X15" s="16">
        <v>29</v>
      </c>
      <c r="Y15" s="16">
        <v>2</v>
      </c>
      <c r="Z15" s="16">
        <v>255</v>
      </c>
      <c r="AA15" s="16">
        <v>3990</v>
      </c>
      <c r="AB15" s="16">
        <v>332</v>
      </c>
      <c r="AC15" s="16">
        <v>57</v>
      </c>
      <c r="AD15" s="16">
        <v>3601</v>
      </c>
      <c r="AE15" s="16">
        <v>1570</v>
      </c>
      <c r="AF15" s="16">
        <v>103</v>
      </c>
      <c r="AG15" s="16">
        <v>4</v>
      </c>
      <c r="AH15" s="16">
        <v>1463</v>
      </c>
      <c r="AI15" s="16">
        <v>1265</v>
      </c>
      <c r="AJ15" s="16">
        <v>98</v>
      </c>
      <c r="AK15" s="16">
        <v>22</v>
      </c>
      <c r="AL15" s="16">
        <v>1145</v>
      </c>
      <c r="AM15" s="16">
        <v>218</v>
      </c>
      <c r="AN15" s="16">
        <v>43</v>
      </c>
      <c r="AO15" s="16">
        <v>15</v>
      </c>
      <c r="AP15" s="16">
        <v>160</v>
      </c>
      <c r="AQ15" s="16">
        <v>3</v>
      </c>
      <c r="AR15" s="16">
        <v>1</v>
      </c>
      <c r="AS15" s="16">
        <v>0</v>
      </c>
      <c r="AT15" s="16">
        <v>2</v>
      </c>
      <c r="AU15" s="16">
        <v>934</v>
      </c>
      <c r="AV15" s="16">
        <v>87</v>
      </c>
      <c r="AW15" s="16">
        <v>16</v>
      </c>
      <c r="AX15" s="16">
        <v>831</v>
      </c>
    </row>
    <row r="16" spans="1:50" s="17" customFormat="1" ht="15.75" customHeight="1">
      <c r="A16" s="14" t="s">
        <v>32</v>
      </c>
      <c r="B16" s="125" t="s">
        <v>24</v>
      </c>
      <c r="C16" s="15">
        <v>894</v>
      </c>
      <c r="D16" s="15">
        <v>135</v>
      </c>
      <c r="E16" s="15">
        <v>88</v>
      </c>
      <c r="F16" s="15">
        <v>671</v>
      </c>
      <c r="G16" s="15">
        <v>364</v>
      </c>
      <c r="H16" s="15">
        <v>40</v>
      </c>
      <c r="I16" s="15">
        <v>7</v>
      </c>
      <c r="J16" s="15">
        <v>317</v>
      </c>
      <c r="K16" s="15">
        <v>259</v>
      </c>
      <c r="L16" s="15">
        <v>38</v>
      </c>
      <c r="M16" s="15">
        <v>23</v>
      </c>
      <c r="N16" s="15">
        <v>198</v>
      </c>
      <c r="O16" s="15">
        <v>133</v>
      </c>
      <c r="P16" s="15">
        <v>33</v>
      </c>
      <c r="Q16" s="15">
        <v>41</v>
      </c>
      <c r="R16" s="15">
        <v>59</v>
      </c>
      <c r="S16" s="15">
        <v>13</v>
      </c>
      <c r="T16" s="15">
        <v>4</v>
      </c>
      <c r="U16" s="15">
        <v>4</v>
      </c>
      <c r="V16" s="15">
        <v>5</v>
      </c>
      <c r="W16" s="15">
        <v>125</v>
      </c>
      <c r="X16" s="15">
        <v>20</v>
      </c>
      <c r="Y16" s="15">
        <v>13</v>
      </c>
      <c r="Z16" s="15">
        <v>92</v>
      </c>
      <c r="AA16" s="15">
        <v>2754</v>
      </c>
      <c r="AB16" s="15">
        <v>347</v>
      </c>
      <c r="AC16" s="15">
        <v>300</v>
      </c>
      <c r="AD16" s="15">
        <v>2107</v>
      </c>
      <c r="AE16" s="15">
        <v>939</v>
      </c>
      <c r="AF16" s="15">
        <v>116</v>
      </c>
      <c r="AG16" s="15">
        <v>19</v>
      </c>
      <c r="AH16" s="15">
        <v>804</v>
      </c>
      <c r="AI16" s="15">
        <v>970</v>
      </c>
      <c r="AJ16" s="15">
        <v>107</v>
      </c>
      <c r="AK16" s="15">
        <v>86</v>
      </c>
      <c r="AL16" s="15">
        <v>777</v>
      </c>
      <c r="AM16" s="15">
        <v>367</v>
      </c>
      <c r="AN16" s="15">
        <v>65</v>
      </c>
      <c r="AO16" s="15">
        <v>145</v>
      </c>
      <c r="AP16" s="15">
        <v>157</v>
      </c>
      <c r="AQ16" s="15">
        <v>25</v>
      </c>
      <c r="AR16" s="15">
        <v>7</v>
      </c>
      <c r="AS16" s="15">
        <v>6</v>
      </c>
      <c r="AT16" s="15">
        <v>12</v>
      </c>
      <c r="AU16" s="15">
        <v>453</v>
      </c>
      <c r="AV16" s="15">
        <v>52</v>
      </c>
      <c r="AW16" s="15">
        <v>44</v>
      </c>
      <c r="AX16" s="15">
        <v>357</v>
      </c>
    </row>
    <row r="17" spans="1:50" s="17" customFormat="1" ht="15.75" customHeight="1">
      <c r="A17" s="175" t="s">
        <v>33</v>
      </c>
      <c r="B17" s="126" t="s">
        <v>26</v>
      </c>
      <c r="C17" s="16">
        <v>411</v>
      </c>
      <c r="D17" s="16">
        <v>70</v>
      </c>
      <c r="E17" s="16">
        <v>49</v>
      </c>
      <c r="F17" s="16">
        <v>292</v>
      </c>
      <c r="G17" s="16">
        <v>146</v>
      </c>
      <c r="H17" s="16">
        <v>16</v>
      </c>
      <c r="I17" s="16">
        <v>4</v>
      </c>
      <c r="J17" s="16">
        <v>126</v>
      </c>
      <c r="K17" s="16">
        <v>120</v>
      </c>
      <c r="L17" s="16">
        <v>18</v>
      </c>
      <c r="M17" s="16">
        <v>12</v>
      </c>
      <c r="N17" s="16">
        <v>90</v>
      </c>
      <c r="O17" s="16">
        <v>80</v>
      </c>
      <c r="P17" s="16">
        <v>20</v>
      </c>
      <c r="Q17" s="16">
        <v>24</v>
      </c>
      <c r="R17" s="16">
        <v>36</v>
      </c>
      <c r="S17" s="16">
        <v>7</v>
      </c>
      <c r="T17" s="16">
        <v>4</v>
      </c>
      <c r="U17" s="16">
        <v>1</v>
      </c>
      <c r="V17" s="16">
        <v>2</v>
      </c>
      <c r="W17" s="16">
        <v>58</v>
      </c>
      <c r="X17" s="16">
        <v>12</v>
      </c>
      <c r="Y17" s="16">
        <v>8</v>
      </c>
      <c r="Z17" s="16">
        <v>38</v>
      </c>
      <c r="AA17" s="16">
        <v>1386</v>
      </c>
      <c r="AB17" s="16">
        <v>182</v>
      </c>
      <c r="AC17" s="16">
        <v>169</v>
      </c>
      <c r="AD17" s="16">
        <v>1035</v>
      </c>
      <c r="AE17" s="16">
        <v>427</v>
      </c>
      <c r="AF17" s="16">
        <v>51</v>
      </c>
      <c r="AG17" s="16">
        <v>10</v>
      </c>
      <c r="AH17" s="16">
        <v>366</v>
      </c>
      <c r="AI17" s="16">
        <v>500</v>
      </c>
      <c r="AJ17" s="16">
        <v>47</v>
      </c>
      <c r="AK17" s="16">
        <v>58</v>
      </c>
      <c r="AL17" s="16">
        <v>395</v>
      </c>
      <c r="AM17" s="16">
        <v>230</v>
      </c>
      <c r="AN17" s="16">
        <v>45</v>
      </c>
      <c r="AO17" s="16">
        <v>79</v>
      </c>
      <c r="AP17" s="16">
        <v>106</v>
      </c>
      <c r="AQ17" s="16">
        <v>13</v>
      </c>
      <c r="AR17" s="16">
        <v>7</v>
      </c>
      <c r="AS17" s="16">
        <v>2</v>
      </c>
      <c r="AT17" s="16">
        <v>4</v>
      </c>
      <c r="AU17" s="16">
        <v>216</v>
      </c>
      <c r="AV17" s="16">
        <v>32</v>
      </c>
      <c r="AW17" s="16">
        <v>20</v>
      </c>
      <c r="AX17" s="16">
        <v>164</v>
      </c>
    </row>
    <row r="18" spans="1:50" s="17" customFormat="1" ht="15.75" customHeight="1">
      <c r="A18" s="176"/>
      <c r="B18" s="126" t="s">
        <v>27</v>
      </c>
      <c r="C18" s="16">
        <v>483</v>
      </c>
      <c r="D18" s="16">
        <v>65</v>
      </c>
      <c r="E18" s="16">
        <v>39</v>
      </c>
      <c r="F18" s="16">
        <v>379</v>
      </c>
      <c r="G18" s="16">
        <v>218</v>
      </c>
      <c r="H18" s="16">
        <v>24</v>
      </c>
      <c r="I18" s="16">
        <v>3</v>
      </c>
      <c r="J18" s="16">
        <v>191</v>
      </c>
      <c r="K18" s="16">
        <v>139</v>
      </c>
      <c r="L18" s="16">
        <v>20</v>
      </c>
      <c r="M18" s="16">
        <v>11</v>
      </c>
      <c r="N18" s="16">
        <v>108</v>
      </c>
      <c r="O18" s="16">
        <v>53</v>
      </c>
      <c r="P18" s="16">
        <v>13</v>
      </c>
      <c r="Q18" s="16">
        <v>17</v>
      </c>
      <c r="R18" s="16">
        <v>23</v>
      </c>
      <c r="S18" s="16">
        <v>6</v>
      </c>
      <c r="T18" s="16">
        <v>0</v>
      </c>
      <c r="U18" s="16">
        <v>3</v>
      </c>
      <c r="V18" s="16">
        <v>3</v>
      </c>
      <c r="W18" s="16">
        <v>67</v>
      </c>
      <c r="X18" s="16">
        <v>8</v>
      </c>
      <c r="Y18" s="16">
        <v>5</v>
      </c>
      <c r="Z18" s="16">
        <v>54</v>
      </c>
      <c r="AA18" s="16">
        <v>1368</v>
      </c>
      <c r="AB18" s="16">
        <v>165</v>
      </c>
      <c r="AC18" s="16">
        <v>131</v>
      </c>
      <c r="AD18" s="16">
        <v>1072</v>
      </c>
      <c r="AE18" s="16">
        <v>512</v>
      </c>
      <c r="AF18" s="16">
        <v>65</v>
      </c>
      <c r="AG18" s="16">
        <v>9</v>
      </c>
      <c r="AH18" s="16">
        <v>438</v>
      </c>
      <c r="AI18" s="16">
        <v>470</v>
      </c>
      <c r="AJ18" s="16">
        <v>60</v>
      </c>
      <c r="AK18" s="16">
        <v>28</v>
      </c>
      <c r="AL18" s="16">
        <v>382</v>
      </c>
      <c r="AM18" s="16">
        <v>137</v>
      </c>
      <c r="AN18" s="16">
        <v>20</v>
      </c>
      <c r="AO18" s="16">
        <v>66</v>
      </c>
      <c r="AP18" s="16">
        <v>51</v>
      </c>
      <c r="AQ18" s="16">
        <v>12</v>
      </c>
      <c r="AR18" s="16">
        <v>0</v>
      </c>
      <c r="AS18" s="16">
        <v>4</v>
      </c>
      <c r="AT18" s="16">
        <v>8</v>
      </c>
      <c r="AU18" s="16">
        <v>237</v>
      </c>
      <c r="AV18" s="16">
        <v>20</v>
      </c>
      <c r="AW18" s="16">
        <v>24</v>
      </c>
      <c r="AX18" s="16">
        <v>193</v>
      </c>
    </row>
    <row r="19" spans="1:50" s="17" customFormat="1" ht="15.75" customHeight="1">
      <c r="A19" s="14" t="s">
        <v>34</v>
      </c>
      <c r="B19" s="125" t="s">
        <v>24</v>
      </c>
      <c r="C19" s="15">
        <v>3253</v>
      </c>
      <c r="D19" s="15">
        <v>865</v>
      </c>
      <c r="E19" s="15">
        <v>232</v>
      </c>
      <c r="F19" s="15">
        <v>2156</v>
      </c>
      <c r="G19" s="15">
        <v>1055</v>
      </c>
      <c r="H19" s="15">
        <v>147</v>
      </c>
      <c r="I19" s="15">
        <v>30</v>
      </c>
      <c r="J19" s="15">
        <v>878</v>
      </c>
      <c r="K19" s="15">
        <v>1083</v>
      </c>
      <c r="L19" s="15">
        <v>259</v>
      </c>
      <c r="M19" s="15">
        <v>83</v>
      </c>
      <c r="N19" s="15">
        <v>741</v>
      </c>
      <c r="O19" s="15">
        <v>616</v>
      </c>
      <c r="P19" s="15">
        <v>313</v>
      </c>
      <c r="Q19" s="15">
        <v>87</v>
      </c>
      <c r="R19" s="15">
        <v>216</v>
      </c>
      <c r="S19" s="15">
        <v>14</v>
      </c>
      <c r="T19" s="15">
        <v>6</v>
      </c>
      <c r="U19" s="15">
        <v>1</v>
      </c>
      <c r="V19" s="15">
        <v>7</v>
      </c>
      <c r="W19" s="15">
        <v>485</v>
      </c>
      <c r="X19" s="15">
        <v>140</v>
      </c>
      <c r="Y19" s="15">
        <v>31</v>
      </c>
      <c r="Z19" s="15">
        <v>314</v>
      </c>
      <c r="AA19" s="15">
        <v>11072</v>
      </c>
      <c r="AB19" s="15">
        <v>2732</v>
      </c>
      <c r="AC19" s="15">
        <v>677</v>
      </c>
      <c r="AD19" s="15">
        <v>7663</v>
      </c>
      <c r="AE19" s="15">
        <v>3804</v>
      </c>
      <c r="AF19" s="15">
        <v>485</v>
      </c>
      <c r="AG19" s="15">
        <v>93</v>
      </c>
      <c r="AH19" s="15">
        <v>3226</v>
      </c>
      <c r="AI19" s="15">
        <v>3651</v>
      </c>
      <c r="AJ19" s="15">
        <v>850</v>
      </c>
      <c r="AK19" s="15">
        <v>227</v>
      </c>
      <c r="AL19" s="15">
        <v>2574</v>
      </c>
      <c r="AM19" s="15">
        <v>1772</v>
      </c>
      <c r="AN19" s="15">
        <v>919</v>
      </c>
      <c r="AO19" s="15">
        <v>239</v>
      </c>
      <c r="AP19" s="15">
        <v>614</v>
      </c>
      <c r="AQ19" s="15">
        <v>53</v>
      </c>
      <c r="AR19" s="15">
        <v>24</v>
      </c>
      <c r="AS19" s="15">
        <v>6</v>
      </c>
      <c r="AT19" s="15">
        <v>23</v>
      </c>
      <c r="AU19" s="15">
        <v>1792</v>
      </c>
      <c r="AV19" s="15">
        <v>454</v>
      </c>
      <c r="AW19" s="15">
        <v>112</v>
      </c>
      <c r="AX19" s="15">
        <v>1226</v>
      </c>
    </row>
    <row r="20" spans="1:50" s="17" customFormat="1" ht="15.75" customHeight="1">
      <c r="A20" s="175" t="s">
        <v>35</v>
      </c>
      <c r="B20" s="126" t="s">
        <v>26</v>
      </c>
      <c r="C20" s="16">
        <v>1611</v>
      </c>
      <c r="D20" s="16">
        <v>494</v>
      </c>
      <c r="E20" s="16">
        <v>123</v>
      </c>
      <c r="F20" s="16">
        <v>994</v>
      </c>
      <c r="G20" s="16">
        <v>430</v>
      </c>
      <c r="H20" s="16">
        <v>56</v>
      </c>
      <c r="I20" s="16">
        <v>11</v>
      </c>
      <c r="J20" s="16">
        <v>363</v>
      </c>
      <c r="K20" s="16">
        <v>561</v>
      </c>
      <c r="L20" s="16">
        <v>142</v>
      </c>
      <c r="M20" s="16">
        <v>46</v>
      </c>
      <c r="N20" s="16">
        <v>373</v>
      </c>
      <c r="O20" s="16">
        <v>402</v>
      </c>
      <c r="P20" s="16">
        <v>218</v>
      </c>
      <c r="Q20" s="16">
        <v>50</v>
      </c>
      <c r="R20" s="16">
        <v>134</v>
      </c>
      <c r="S20" s="16">
        <v>5</v>
      </c>
      <c r="T20" s="16">
        <v>3</v>
      </c>
      <c r="U20" s="16">
        <v>1</v>
      </c>
      <c r="V20" s="16">
        <v>1</v>
      </c>
      <c r="W20" s="16">
        <v>213</v>
      </c>
      <c r="X20" s="16">
        <v>75</v>
      </c>
      <c r="Y20" s="16">
        <v>15</v>
      </c>
      <c r="Z20" s="16">
        <v>123</v>
      </c>
      <c r="AA20" s="16">
        <v>5478</v>
      </c>
      <c r="AB20" s="16">
        <v>1520</v>
      </c>
      <c r="AC20" s="16">
        <v>372</v>
      </c>
      <c r="AD20" s="16">
        <v>3586</v>
      </c>
      <c r="AE20" s="16">
        <v>1544</v>
      </c>
      <c r="AF20" s="16">
        <v>185</v>
      </c>
      <c r="AG20" s="16">
        <v>38</v>
      </c>
      <c r="AH20" s="16">
        <v>1321</v>
      </c>
      <c r="AI20" s="16">
        <v>1973</v>
      </c>
      <c r="AJ20" s="16">
        <v>468</v>
      </c>
      <c r="AK20" s="16">
        <v>131</v>
      </c>
      <c r="AL20" s="16">
        <v>1374</v>
      </c>
      <c r="AM20" s="16">
        <v>1154</v>
      </c>
      <c r="AN20" s="16">
        <v>604</v>
      </c>
      <c r="AO20" s="16">
        <v>141</v>
      </c>
      <c r="AP20" s="16">
        <v>409</v>
      </c>
      <c r="AQ20" s="16">
        <v>25</v>
      </c>
      <c r="AR20" s="16">
        <v>13</v>
      </c>
      <c r="AS20" s="16">
        <v>5</v>
      </c>
      <c r="AT20" s="16">
        <v>7</v>
      </c>
      <c r="AU20" s="16">
        <v>782</v>
      </c>
      <c r="AV20" s="16">
        <v>250</v>
      </c>
      <c r="AW20" s="16">
        <v>57</v>
      </c>
      <c r="AX20" s="16">
        <v>475</v>
      </c>
    </row>
    <row r="21" spans="1:50" s="17" customFormat="1" ht="15.75" customHeight="1">
      <c r="A21" s="176"/>
      <c r="B21" s="126" t="s">
        <v>27</v>
      </c>
      <c r="C21" s="16">
        <v>1642</v>
      </c>
      <c r="D21" s="16">
        <v>371</v>
      </c>
      <c r="E21" s="16">
        <v>109</v>
      </c>
      <c r="F21" s="16">
        <v>1162</v>
      </c>
      <c r="G21" s="16">
        <v>625</v>
      </c>
      <c r="H21" s="16">
        <v>91</v>
      </c>
      <c r="I21" s="16">
        <v>19</v>
      </c>
      <c r="J21" s="16">
        <v>515</v>
      </c>
      <c r="K21" s="16">
        <v>522</v>
      </c>
      <c r="L21" s="16">
        <v>117</v>
      </c>
      <c r="M21" s="16">
        <v>37</v>
      </c>
      <c r="N21" s="16">
        <v>368</v>
      </c>
      <c r="O21" s="16">
        <v>214</v>
      </c>
      <c r="P21" s="16">
        <v>95</v>
      </c>
      <c r="Q21" s="16">
        <v>37</v>
      </c>
      <c r="R21" s="16">
        <v>82</v>
      </c>
      <c r="S21" s="16">
        <v>9</v>
      </c>
      <c r="T21" s="16">
        <v>3</v>
      </c>
      <c r="U21" s="16">
        <v>0</v>
      </c>
      <c r="V21" s="16">
        <v>6</v>
      </c>
      <c r="W21" s="16">
        <v>272</v>
      </c>
      <c r="X21" s="16">
        <v>65</v>
      </c>
      <c r="Y21" s="16">
        <v>16</v>
      </c>
      <c r="Z21" s="16">
        <v>191</v>
      </c>
      <c r="AA21" s="16">
        <v>5594</v>
      </c>
      <c r="AB21" s="16">
        <v>1212</v>
      </c>
      <c r="AC21" s="16">
        <v>305</v>
      </c>
      <c r="AD21" s="16">
        <v>4077</v>
      </c>
      <c r="AE21" s="16">
        <v>2260</v>
      </c>
      <c r="AF21" s="16">
        <v>300</v>
      </c>
      <c r="AG21" s="16">
        <v>55</v>
      </c>
      <c r="AH21" s="16">
        <v>1905</v>
      </c>
      <c r="AI21" s="16">
        <v>1678</v>
      </c>
      <c r="AJ21" s="16">
        <v>382</v>
      </c>
      <c r="AK21" s="16">
        <v>96</v>
      </c>
      <c r="AL21" s="16">
        <v>1200</v>
      </c>
      <c r="AM21" s="16">
        <v>618</v>
      </c>
      <c r="AN21" s="16">
        <v>315</v>
      </c>
      <c r="AO21" s="16">
        <v>98</v>
      </c>
      <c r="AP21" s="16">
        <v>205</v>
      </c>
      <c r="AQ21" s="16">
        <v>28</v>
      </c>
      <c r="AR21" s="16">
        <v>11</v>
      </c>
      <c r="AS21" s="16">
        <v>1</v>
      </c>
      <c r="AT21" s="16">
        <v>16</v>
      </c>
      <c r="AU21" s="16">
        <v>1010</v>
      </c>
      <c r="AV21" s="16">
        <v>204</v>
      </c>
      <c r="AW21" s="16">
        <v>55</v>
      </c>
      <c r="AX21" s="16">
        <v>751</v>
      </c>
    </row>
    <row r="22" spans="1:50" s="17" customFormat="1" ht="15.75" customHeight="1">
      <c r="A22" s="14" t="s">
        <v>36</v>
      </c>
      <c r="B22" s="125" t="s">
        <v>24</v>
      </c>
      <c r="C22" s="15">
        <v>714</v>
      </c>
      <c r="D22" s="15">
        <v>77</v>
      </c>
      <c r="E22" s="15">
        <v>98</v>
      </c>
      <c r="F22" s="15">
        <v>539</v>
      </c>
      <c r="G22" s="15">
        <v>285</v>
      </c>
      <c r="H22" s="15">
        <v>24</v>
      </c>
      <c r="I22" s="15">
        <v>6</v>
      </c>
      <c r="J22" s="15">
        <v>255</v>
      </c>
      <c r="K22" s="15">
        <v>223</v>
      </c>
      <c r="L22" s="15">
        <v>25</v>
      </c>
      <c r="M22" s="15">
        <v>34</v>
      </c>
      <c r="N22" s="15">
        <v>164</v>
      </c>
      <c r="O22" s="15">
        <v>99</v>
      </c>
      <c r="P22" s="15">
        <v>14</v>
      </c>
      <c r="Q22" s="15">
        <v>44</v>
      </c>
      <c r="R22" s="15">
        <v>41</v>
      </c>
      <c r="S22" s="15">
        <v>0</v>
      </c>
      <c r="T22" s="15">
        <v>0</v>
      </c>
      <c r="U22" s="15">
        <v>0</v>
      </c>
      <c r="V22" s="15">
        <v>0</v>
      </c>
      <c r="W22" s="15">
        <v>107</v>
      </c>
      <c r="X22" s="15">
        <v>14</v>
      </c>
      <c r="Y22" s="15">
        <v>14</v>
      </c>
      <c r="Z22" s="15">
        <v>79</v>
      </c>
      <c r="AA22" s="15">
        <v>2573</v>
      </c>
      <c r="AB22" s="15">
        <v>300</v>
      </c>
      <c r="AC22" s="15">
        <v>302</v>
      </c>
      <c r="AD22" s="15">
        <v>1971</v>
      </c>
      <c r="AE22" s="15">
        <v>1239</v>
      </c>
      <c r="AF22" s="15">
        <v>112</v>
      </c>
      <c r="AG22" s="15">
        <v>84</v>
      </c>
      <c r="AH22" s="15">
        <v>1043</v>
      </c>
      <c r="AI22" s="15">
        <v>816</v>
      </c>
      <c r="AJ22" s="15">
        <v>98</v>
      </c>
      <c r="AK22" s="15">
        <v>97</v>
      </c>
      <c r="AL22" s="15">
        <v>621</v>
      </c>
      <c r="AM22" s="15">
        <v>208</v>
      </c>
      <c r="AN22" s="15">
        <v>48</v>
      </c>
      <c r="AO22" s="15">
        <v>91</v>
      </c>
      <c r="AP22" s="15">
        <v>69</v>
      </c>
      <c r="AQ22" s="15">
        <v>0</v>
      </c>
      <c r="AR22" s="15">
        <v>0</v>
      </c>
      <c r="AS22" s="15">
        <v>0</v>
      </c>
      <c r="AT22" s="15">
        <v>0</v>
      </c>
      <c r="AU22" s="15">
        <v>310</v>
      </c>
      <c r="AV22" s="15">
        <v>42</v>
      </c>
      <c r="AW22" s="15">
        <v>30</v>
      </c>
      <c r="AX22" s="15">
        <v>238</v>
      </c>
    </row>
    <row r="23" spans="1:50" s="17" customFormat="1" ht="15.75" customHeight="1">
      <c r="A23" s="175" t="s">
        <v>37</v>
      </c>
      <c r="B23" s="126" t="s">
        <v>26</v>
      </c>
      <c r="C23" s="16">
        <v>335</v>
      </c>
      <c r="D23" s="16">
        <v>32</v>
      </c>
      <c r="E23" s="16">
        <v>62</v>
      </c>
      <c r="F23" s="16">
        <v>241</v>
      </c>
      <c r="G23" s="16">
        <v>110</v>
      </c>
      <c r="H23" s="16">
        <v>4</v>
      </c>
      <c r="I23" s="16">
        <v>2</v>
      </c>
      <c r="J23" s="16">
        <v>104</v>
      </c>
      <c r="K23" s="16">
        <v>110</v>
      </c>
      <c r="L23" s="16">
        <v>12</v>
      </c>
      <c r="M23" s="16">
        <v>22</v>
      </c>
      <c r="N23" s="16">
        <v>76</v>
      </c>
      <c r="O23" s="16">
        <v>65</v>
      </c>
      <c r="P23" s="16">
        <v>9</v>
      </c>
      <c r="Q23" s="16">
        <v>28</v>
      </c>
      <c r="R23" s="16">
        <v>28</v>
      </c>
      <c r="S23" s="16">
        <v>0</v>
      </c>
      <c r="T23" s="16">
        <v>0</v>
      </c>
      <c r="U23" s="16">
        <v>0</v>
      </c>
      <c r="V23" s="16">
        <v>0</v>
      </c>
      <c r="W23" s="16">
        <v>50</v>
      </c>
      <c r="X23" s="16">
        <v>7</v>
      </c>
      <c r="Y23" s="16">
        <v>10</v>
      </c>
      <c r="Z23" s="16">
        <v>33</v>
      </c>
      <c r="AA23" s="16">
        <v>1202</v>
      </c>
      <c r="AB23" s="16">
        <v>127</v>
      </c>
      <c r="AC23" s="16">
        <v>173</v>
      </c>
      <c r="AD23" s="16">
        <v>902</v>
      </c>
      <c r="AE23" s="16">
        <v>559</v>
      </c>
      <c r="AF23" s="16">
        <v>45</v>
      </c>
      <c r="AG23" s="16">
        <v>45</v>
      </c>
      <c r="AH23" s="16">
        <v>469</v>
      </c>
      <c r="AI23" s="16">
        <v>389</v>
      </c>
      <c r="AJ23" s="16">
        <v>36</v>
      </c>
      <c r="AK23" s="16">
        <v>55</v>
      </c>
      <c r="AL23" s="16">
        <v>298</v>
      </c>
      <c r="AM23" s="16">
        <v>128</v>
      </c>
      <c r="AN23" s="16">
        <v>30</v>
      </c>
      <c r="AO23" s="16">
        <v>55</v>
      </c>
      <c r="AP23" s="16">
        <v>43</v>
      </c>
      <c r="AQ23" s="16">
        <v>0</v>
      </c>
      <c r="AR23" s="16">
        <v>0</v>
      </c>
      <c r="AS23" s="16">
        <v>0</v>
      </c>
      <c r="AT23" s="16">
        <v>0</v>
      </c>
      <c r="AU23" s="16">
        <v>126</v>
      </c>
      <c r="AV23" s="16">
        <v>16</v>
      </c>
      <c r="AW23" s="16">
        <v>18</v>
      </c>
      <c r="AX23" s="16">
        <v>92</v>
      </c>
    </row>
    <row r="24" spans="1:50" s="17" customFormat="1" ht="15.75" customHeight="1">
      <c r="A24" s="176"/>
      <c r="B24" s="126" t="s">
        <v>27</v>
      </c>
      <c r="C24" s="16">
        <v>379</v>
      </c>
      <c r="D24" s="16">
        <v>45</v>
      </c>
      <c r="E24" s="16">
        <v>36</v>
      </c>
      <c r="F24" s="16">
        <v>298</v>
      </c>
      <c r="G24" s="16">
        <v>175</v>
      </c>
      <c r="H24" s="16">
        <v>20</v>
      </c>
      <c r="I24" s="16">
        <v>4</v>
      </c>
      <c r="J24" s="16">
        <v>151</v>
      </c>
      <c r="K24" s="16">
        <v>113</v>
      </c>
      <c r="L24" s="16">
        <v>13</v>
      </c>
      <c r="M24" s="16">
        <v>12</v>
      </c>
      <c r="N24" s="16">
        <v>88</v>
      </c>
      <c r="O24" s="16">
        <v>34</v>
      </c>
      <c r="P24" s="16">
        <v>5</v>
      </c>
      <c r="Q24" s="16">
        <v>16</v>
      </c>
      <c r="R24" s="16">
        <v>13</v>
      </c>
      <c r="S24" s="16">
        <v>0</v>
      </c>
      <c r="T24" s="16">
        <v>0</v>
      </c>
      <c r="U24" s="16">
        <v>0</v>
      </c>
      <c r="V24" s="16">
        <v>0</v>
      </c>
      <c r="W24" s="16">
        <v>57</v>
      </c>
      <c r="X24" s="16">
        <v>7</v>
      </c>
      <c r="Y24" s="16">
        <v>4</v>
      </c>
      <c r="Z24" s="16">
        <v>46</v>
      </c>
      <c r="AA24" s="16">
        <v>1371</v>
      </c>
      <c r="AB24" s="16">
        <v>173</v>
      </c>
      <c r="AC24" s="16">
        <v>129</v>
      </c>
      <c r="AD24" s="16">
        <v>1069</v>
      </c>
      <c r="AE24" s="16">
        <v>680</v>
      </c>
      <c r="AF24" s="16">
        <v>67</v>
      </c>
      <c r="AG24" s="16">
        <v>39</v>
      </c>
      <c r="AH24" s="16">
        <v>574</v>
      </c>
      <c r="AI24" s="16">
        <v>427</v>
      </c>
      <c r="AJ24" s="16">
        <v>62</v>
      </c>
      <c r="AK24" s="16">
        <v>42</v>
      </c>
      <c r="AL24" s="16">
        <v>323</v>
      </c>
      <c r="AM24" s="16">
        <v>80</v>
      </c>
      <c r="AN24" s="16">
        <v>18</v>
      </c>
      <c r="AO24" s="16">
        <v>36</v>
      </c>
      <c r="AP24" s="16">
        <v>26</v>
      </c>
      <c r="AQ24" s="16">
        <v>0</v>
      </c>
      <c r="AR24" s="16">
        <v>0</v>
      </c>
      <c r="AS24" s="16">
        <v>0</v>
      </c>
      <c r="AT24" s="16">
        <v>0</v>
      </c>
      <c r="AU24" s="16">
        <v>184</v>
      </c>
      <c r="AV24" s="16">
        <v>26</v>
      </c>
      <c r="AW24" s="16">
        <v>12</v>
      </c>
      <c r="AX24" s="16">
        <v>146</v>
      </c>
    </row>
    <row r="25" spans="1:50" s="17" customFormat="1" ht="15.75" customHeight="1">
      <c r="A25" s="14" t="s">
        <v>38</v>
      </c>
      <c r="B25" s="125" t="s">
        <v>24</v>
      </c>
      <c r="C25" s="15">
        <v>6758</v>
      </c>
      <c r="D25" s="15">
        <v>1076</v>
      </c>
      <c r="E25" s="15">
        <v>990</v>
      </c>
      <c r="F25" s="15">
        <v>4692</v>
      </c>
      <c r="G25" s="15">
        <v>3717</v>
      </c>
      <c r="H25" s="15">
        <v>595</v>
      </c>
      <c r="I25" s="15">
        <v>543</v>
      </c>
      <c r="J25" s="15">
        <v>2579</v>
      </c>
      <c r="K25" s="15">
        <v>912</v>
      </c>
      <c r="L25" s="15">
        <v>138</v>
      </c>
      <c r="M25" s="15">
        <v>29</v>
      </c>
      <c r="N25" s="15">
        <v>745</v>
      </c>
      <c r="O25" s="15">
        <v>1367</v>
      </c>
      <c r="P25" s="15">
        <v>204</v>
      </c>
      <c r="Q25" s="15">
        <v>137</v>
      </c>
      <c r="R25" s="15">
        <v>1026</v>
      </c>
      <c r="S25" s="15">
        <v>750</v>
      </c>
      <c r="T25" s="15">
        <v>137</v>
      </c>
      <c r="U25" s="15">
        <v>278</v>
      </c>
      <c r="V25" s="15">
        <v>335</v>
      </c>
      <c r="W25" s="15">
        <v>12</v>
      </c>
      <c r="X25" s="15">
        <v>2</v>
      </c>
      <c r="Y25" s="15">
        <v>3</v>
      </c>
      <c r="Z25" s="15">
        <v>7</v>
      </c>
      <c r="AA25" s="15">
        <v>14712</v>
      </c>
      <c r="AB25" s="15">
        <v>2421</v>
      </c>
      <c r="AC25" s="15">
        <v>1947</v>
      </c>
      <c r="AD25" s="15">
        <v>10344</v>
      </c>
      <c r="AE25" s="15">
        <v>8121</v>
      </c>
      <c r="AF25" s="15">
        <v>1330</v>
      </c>
      <c r="AG25" s="15">
        <v>1061</v>
      </c>
      <c r="AH25" s="15">
        <v>5730</v>
      </c>
      <c r="AI25" s="15">
        <v>2262</v>
      </c>
      <c r="AJ25" s="15">
        <v>346</v>
      </c>
      <c r="AK25" s="15">
        <v>77</v>
      </c>
      <c r="AL25" s="15">
        <v>1839</v>
      </c>
      <c r="AM25" s="15">
        <v>2968</v>
      </c>
      <c r="AN25" s="15">
        <v>466</v>
      </c>
      <c r="AO25" s="15">
        <v>309</v>
      </c>
      <c r="AP25" s="15">
        <v>2193</v>
      </c>
      <c r="AQ25" s="15">
        <v>1323</v>
      </c>
      <c r="AR25" s="15">
        <v>275</v>
      </c>
      <c r="AS25" s="15">
        <v>487</v>
      </c>
      <c r="AT25" s="15">
        <v>561</v>
      </c>
      <c r="AU25" s="15">
        <v>38</v>
      </c>
      <c r="AV25" s="15">
        <v>4</v>
      </c>
      <c r="AW25" s="15">
        <v>13</v>
      </c>
      <c r="AX25" s="15">
        <v>21</v>
      </c>
    </row>
    <row r="26" spans="1:50" s="17" customFormat="1" ht="15.75" customHeight="1">
      <c r="A26" s="175" t="s">
        <v>39</v>
      </c>
      <c r="B26" s="126" t="s">
        <v>26</v>
      </c>
      <c r="C26" s="16">
        <v>3482</v>
      </c>
      <c r="D26" s="16">
        <v>559</v>
      </c>
      <c r="E26" s="16">
        <v>592</v>
      </c>
      <c r="F26" s="16">
        <v>2331</v>
      </c>
      <c r="G26" s="16">
        <v>1904</v>
      </c>
      <c r="H26" s="16">
        <v>308</v>
      </c>
      <c r="I26" s="16">
        <v>324</v>
      </c>
      <c r="J26" s="16">
        <v>1272</v>
      </c>
      <c r="K26" s="16">
        <v>392</v>
      </c>
      <c r="L26" s="16">
        <v>58</v>
      </c>
      <c r="M26" s="16">
        <v>12</v>
      </c>
      <c r="N26" s="16">
        <v>322</v>
      </c>
      <c r="O26" s="16">
        <v>711</v>
      </c>
      <c r="P26" s="16">
        <v>103</v>
      </c>
      <c r="Q26" s="16">
        <v>78</v>
      </c>
      <c r="R26" s="16">
        <v>530</v>
      </c>
      <c r="S26" s="16">
        <v>470</v>
      </c>
      <c r="T26" s="16">
        <v>89</v>
      </c>
      <c r="U26" s="16">
        <v>178</v>
      </c>
      <c r="V26" s="16">
        <v>203</v>
      </c>
      <c r="W26" s="16">
        <v>5</v>
      </c>
      <c r="X26" s="16">
        <v>1</v>
      </c>
      <c r="Y26" s="16">
        <v>0</v>
      </c>
      <c r="Z26" s="16">
        <v>4</v>
      </c>
      <c r="AA26" s="16">
        <v>7501</v>
      </c>
      <c r="AB26" s="16">
        <v>1245</v>
      </c>
      <c r="AC26" s="16">
        <v>1160</v>
      </c>
      <c r="AD26" s="16">
        <v>5096</v>
      </c>
      <c r="AE26" s="16">
        <v>4110</v>
      </c>
      <c r="AF26" s="16">
        <v>678</v>
      </c>
      <c r="AG26" s="16">
        <v>627</v>
      </c>
      <c r="AH26" s="16">
        <v>2805</v>
      </c>
      <c r="AI26" s="16">
        <v>956</v>
      </c>
      <c r="AJ26" s="16">
        <v>145</v>
      </c>
      <c r="AK26" s="16">
        <v>25</v>
      </c>
      <c r="AL26" s="16">
        <v>786</v>
      </c>
      <c r="AM26" s="16">
        <v>1564</v>
      </c>
      <c r="AN26" s="16">
        <v>237</v>
      </c>
      <c r="AO26" s="16">
        <v>186</v>
      </c>
      <c r="AP26" s="16">
        <v>1141</v>
      </c>
      <c r="AQ26" s="16">
        <v>856</v>
      </c>
      <c r="AR26" s="16">
        <v>183</v>
      </c>
      <c r="AS26" s="16">
        <v>318</v>
      </c>
      <c r="AT26" s="16">
        <v>355</v>
      </c>
      <c r="AU26" s="16">
        <v>15</v>
      </c>
      <c r="AV26" s="16">
        <v>2</v>
      </c>
      <c r="AW26" s="16">
        <v>4</v>
      </c>
      <c r="AX26" s="16">
        <v>9</v>
      </c>
    </row>
    <row r="27" spans="1:50" s="17" customFormat="1" ht="15.75" customHeight="1">
      <c r="A27" s="176"/>
      <c r="B27" s="126" t="s">
        <v>27</v>
      </c>
      <c r="C27" s="16">
        <v>3276</v>
      </c>
      <c r="D27" s="16">
        <v>517</v>
      </c>
      <c r="E27" s="16">
        <v>398</v>
      </c>
      <c r="F27" s="16">
        <v>2361</v>
      </c>
      <c r="G27" s="16">
        <v>1813</v>
      </c>
      <c r="H27" s="16">
        <v>287</v>
      </c>
      <c r="I27" s="16">
        <v>219</v>
      </c>
      <c r="J27" s="16">
        <v>1307</v>
      </c>
      <c r="K27" s="16">
        <v>520</v>
      </c>
      <c r="L27" s="16">
        <v>80</v>
      </c>
      <c r="M27" s="16">
        <v>17</v>
      </c>
      <c r="N27" s="16">
        <v>423</v>
      </c>
      <c r="O27" s="16">
        <v>656</v>
      </c>
      <c r="P27" s="16">
        <v>101</v>
      </c>
      <c r="Q27" s="16">
        <v>59</v>
      </c>
      <c r="R27" s="16">
        <v>496</v>
      </c>
      <c r="S27" s="16">
        <v>280</v>
      </c>
      <c r="T27" s="16">
        <v>48</v>
      </c>
      <c r="U27" s="16">
        <v>100</v>
      </c>
      <c r="V27" s="16">
        <v>132</v>
      </c>
      <c r="W27" s="16">
        <v>7</v>
      </c>
      <c r="X27" s="16">
        <v>1</v>
      </c>
      <c r="Y27" s="16">
        <v>3</v>
      </c>
      <c r="Z27" s="16">
        <v>3</v>
      </c>
      <c r="AA27" s="16">
        <v>7211</v>
      </c>
      <c r="AB27" s="16">
        <v>1176</v>
      </c>
      <c r="AC27" s="16">
        <v>787</v>
      </c>
      <c r="AD27" s="16">
        <v>5248</v>
      </c>
      <c r="AE27" s="16">
        <v>4011</v>
      </c>
      <c r="AF27" s="16">
        <v>652</v>
      </c>
      <c r="AG27" s="16">
        <v>434</v>
      </c>
      <c r="AH27" s="16">
        <v>2925</v>
      </c>
      <c r="AI27" s="16">
        <v>1306</v>
      </c>
      <c r="AJ27" s="16">
        <v>201</v>
      </c>
      <c r="AK27" s="16">
        <v>52</v>
      </c>
      <c r="AL27" s="16">
        <v>1053</v>
      </c>
      <c r="AM27" s="16">
        <v>1404</v>
      </c>
      <c r="AN27" s="16">
        <v>229</v>
      </c>
      <c r="AO27" s="16">
        <v>123</v>
      </c>
      <c r="AP27" s="16">
        <v>1052</v>
      </c>
      <c r="AQ27" s="16">
        <v>467</v>
      </c>
      <c r="AR27" s="16">
        <v>92</v>
      </c>
      <c r="AS27" s="16">
        <v>169</v>
      </c>
      <c r="AT27" s="16">
        <v>206</v>
      </c>
      <c r="AU27" s="16">
        <v>23</v>
      </c>
      <c r="AV27" s="16">
        <v>2</v>
      </c>
      <c r="AW27" s="16">
        <v>9</v>
      </c>
      <c r="AX27" s="16">
        <v>12</v>
      </c>
    </row>
    <row r="28" spans="1:50" ht="15.75" customHeight="1">
      <c r="A28" s="14" t="s">
        <v>40</v>
      </c>
      <c r="B28" s="125" t="s">
        <v>24</v>
      </c>
      <c r="C28" s="15">
        <v>1130</v>
      </c>
      <c r="D28" s="15">
        <v>115</v>
      </c>
      <c r="E28" s="15">
        <v>125</v>
      </c>
      <c r="F28" s="15">
        <v>890</v>
      </c>
      <c r="G28" s="15">
        <v>257</v>
      </c>
      <c r="H28" s="15">
        <v>25</v>
      </c>
      <c r="I28" s="15">
        <v>7</v>
      </c>
      <c r="J28" s="15">
        <v>225</v>
      </c>
      <c r="K28" s="15">
        <v>489</v>
      </c>
      <c r="L28" s="15">
        <v>36</v>
      </c>
      <c r="M28" s="15">
        <v>25</v>
      </c>
      <c r="N28" s="15">
        <v>428</v>
      </c>
      <c r="O28" s="15">
        <v>198</v>
      </c>
      <c r="P28" s="15">
        <v>37</v>
      </c>
      <c r="Q28" s="15">
        <v>70</v>
      </c>
      <c r="R28" s="15">
        <v>91</v>
      </c>
      <c r="S28" s="15">
        <v>13</v>
      </c>
      <c r="T28" s="15">
        <v>4</v>
      </c>
      <c r="U28" s="15">
        <v>5</v>
      </c>
      <c r="V28" s="15">
        <v>4</v>
      </c>
      <c r="W28" s="15">
        <v>173</v>
      </c>
      <c r="X28" s="15">
        <v>13</v>
      </c>
      <c r="Y28" s="15">
        <v>18</v>
      </c>
      <c r="Z28" s="15">
        <v>142</v>
      </c>
      <c r="AA28" s="15">
        <v>3499</v>
      </c>
      <c r="AB28" s="15">
        <v>363</v>
      </c>
      <c r="AC28" s="15">
        <v>342</v>
      </c>
      <c r="AD28" s="15">
        <v>2794</v>
      </c>
      <c r="AE28" s="15">
        <v>832</v>
      </c>
      <c r="AF28" s="15">
        <v>70</v>
      </c>
      <c r="AG28" s="15">
        <v>13</v>
      </c>
      <c r="AH28" s="15">
        <v>749</v>
      </c>
      <c r="AI28" s="15">
        <v>1552</v>
      </c>
      <c r="AJ28" s="15">
        <v>127</v>
      </c>
      <c r="AK28" s="15">
        <v>93</v>
      </c>
      <c r="AL28" s="15">
        <v>1332</v>
      </c>
      <c r="AM28" s="15">
        <v>482</v>
      </c>
      <c r="AN28" s="15">
        <v>97</v>
      </c>
      <c r="AO28" s="15">
        <v>170</v>
      </c>
      <c r="AP28" s="15">
        <v>215</v>
      </c>
      <c r="AQ28" s="15">
        <v>31</v>
      </c>
      <c r="AR28" s="15">
        <v>11</v>
      </c>
      <c r="AS28" s="15">
        <v>8</v>
      </c>
      <c r="AT28" s="15">
        <v>12</v>
      </c>
      <c r="AU28" s="15">
        <v>602</v>
      </c>
      <c r="AV28" s="15">
        <v>58</v>
      </c>
      <c r="AW28" s="15">
        <v>58</v>
      </c>
      <c r="AX28" s="15">
        <v>486</v>
      </c>
    </row>
    <row r="29" spans="1:50" ht="15.75" customHeight="1">
      <c r="A29" s="175" t="s">
        <v>41</v>
      </c>
      <c r="B29" s="126" t="s">
        <v>26</v>
      </c>
      <c r="C29" s="16">
        <v>556</v>
      </c>
      <c r="D29" s="16">
        <v>74</v>
      </c>
      <c r="E29" s="16">
        <v>63</v>
      </c>
      <c r="F29" s="16">
        <v>419</v>
      </c>
      <c r="G29" s="16">
        <v>107</v>
      </c>
      <c r="H29" s="16">
        <v>12</v>
      </c>
      <c r="I29" s="16">
        <v>1</v>
      </c>
      <c r="J29" s="16">
        <v>94</v>
      </c>
      <c r="K29" s="16">
        <v>232</v>
      </c>
      <c r="L29" s="16">
        <v>23</v>
      </c>
      <c r="M29" s="16">
        <v>8</v>
      </c>
      <c r="N29" s="16">
        <v>201</v>
      </c>
      <c r="O29" s="16">
        <v>135</v>
      </c>
      <c r="P29" s="16">
        <v>30</v>
      </c>
      <c r="Q29" s="16">
        <v>46</v>
      </c>
      <c r="R29" s="16">
        <v>59</v>
      </c>
      <c r="S29" s="16">
        <v>8</v>
      </c>
      <c r="T29" s="16">
        <v>3</v>
      </c>
      <c r="U29" s="16">
        <v>2</v>
      </c>
      <c r="V29" s="16">
        <v>3</v>
      </c>
      <c r="W29" s="16">
        <v>74</v>
      </c>
      <c r="X29" s="16">
        <v>6</v>
      </c>
      <c r="Y29" s="16">
        <v>6</v>
      </c>
      <c r="Z29" s="16">
        <v>62</v>
      </c>
      <c r="AA29" s="16">
        <v>1698</v>
      </c>
      <c r="AB29" s="16">
        <v>228</v>
      </c>
      <c r="AC29" s="16">
        <v>176</v>
      </c>
      <c r="AD29" s="16">
        <v>1294</v>
      </c>
      <c r="AE29" s="16">
        <v>337</v>
      </c>
      <c r="AF29" s="16">
        <v>30</v>
      </c>
      <c r="AG29" s="16">
        <v>2</v>
      </c>
      <c r="AH29" s="16">
        <v>305</v>
      </c>
      <c r="AI29" s="16">
        <v>784</v>
      </c>
      <c r="AJ29" s="16">
        <v>85</v>
      </c>
      <c r="AK29" s="16">
        <v>44</v>
      </c>
      <c r="AL29" s="16">
        <v>655</v>
      </c>
      <c r="AM29" s="16">
        <v>310</v>
      </c>
      <c r="AN29" s="16">
        <v>75</v>
      </c>
      <c r="AO29" s="16">
        <v>107</v>
      </c>
      <c r="AP29" s="16">
        <v>128</v>
      </c>
      <c r="AQ29" s="16">
        <v>20</v>
      </c>
      <c r="AR29" s="16">
        <v>9</v>
      </c>
      <c r="AS29" s="16">
        <v>4</v>
      </c>
      <c r="AT29" s="16">
        <v>7</v>
      </c>
      <c r="AU29" s="16">
        <v>247</v>
      </c>
      <c r="AV29" s="16">
        <v>29</v>
      </c>
      <c r="AW29" s="16">
        <v>19</v>
      </c>
      <c r="AX29" s="16">
        <v>199</v>
      </c>
    </row>
    <row r="30" spans="1:50" ht="15.75" customHeight="1">
      <c r="A30" s="176"/>
      <c r="B30" s="126" t="s">
        <v>27</v>
      </c>
      <c r="C30" s="16">
        <v>574</v>
      </c>
      <c r="D30" s="16">
        <v>41</v>
      </c>
      <c r="E30" s="16">
        <v>62</v>
      </c>
      <c r="F30" s="16">
        <v>471</v>
      </c>
      <c r="G30" s="16">
        <v>150</v>
      </c>
      <c r="H30" s="16">
        <v>13</v>
      </c>
      <c r="I30" s="16">
        <v>6</v>
      </c>
      <c r="J30" s="16">
        <v>131</v>
      </c>
      <c r="K30" s="16">
        <v>257</v>
      </c>
      <c r="L30" s="16">
        <v>13</v>
      </c>
      <c r="M30" s="16">
        <v>17</v>
      </c>
      <c r="N30" s="16">
        <v>227</v>
      </c>
      <c r="O30" s="16">
        <v>63</v>
      </c>
      <c r="P30" s="16">
        <v>7</v>
      </c>
      <c r="Q30" s="16">
        <v>24</v>
      </c>
      <c r="R30" s="16">
        <v>32</v>
      </c>
      <c r="S30" s="16">
        <v>5</v>
      </c>
      <c r="T30" s="16">
        <v>1</v>
      </c>
      <c r="U30" s="16">
        <v>3</v>
      </c>
      <c r="V30" s="16">
        <v>1</v>
      </c>
      <c r="W30" s="16">
        <v>99</v>
      </c>
      <c r="X30" s="16">
        <v>7</v>
      </c>
      <c r="Y30" s="16">
        <v>12</v>
      </c>
      <c r="Z30" s="16">
        <v>80</v>
      </c>
      <c r="AA30" s="16">
        <v>1801</v>
      </c>
      <c r="AB30" s="16">
        <v>135</v>
      </c>
      <c r="AC30" s="16">
        <v>166</v>
      </c>
      <c r="AD30" s="16">
        <v>1500</v>
      </c>
      <c r="AE30" s="16">
        <v>495</v>
      </c>
      <c r="AF30" s="16">
        <v>40</v>
      </c>
      <c r="AG30" s="16">
        <v>11</v>
      </c>
      <c r="AH30" s="16">
        <v>444</v>
      </c>
      <c r="AI30" s="16">
        <v>768</v>
      </c>
      <c r="AJ30" s="16">
        <v>42</v>
      </c>
      <c r="AK30" s="16">
        <v>49</v>
      </c>
      <c r="AL30" s="16">
        <v>677</v>
      </c>
      <c r="AM30" s="16">
        <v>172</v>
      </c>
      <c r="AN30" s="16">
        <v>22</v>
      </c>
      <c r="AO30" s="16">
        <v>63</v>
      </c>
      <c r="AP30" s="16">
        <v>87</v>
      </c>
      <c r="AQ30" s="16">
        <v>11</v>
      </c>
      <c r="AR30" s="16">
        <v>2</v>
      </c>
      <c r="AS30" s="16">
        <v>4</v>
      </c>
      <c r="AT30" s="16">
        <v>5</v>
      </c>
      <c r="AU30" s="16">
        <v>355</v>
      </c>
      <c r="AV30" s="16">
        <v>29</v>
      </c>
      <c r="AW30" s="16">
        <v>39</v>
      </c>
      <c r="AX30" s="16">
        <v>287</v>
      </c>
    </row>
    <row r="31" spans="1:50" ht="15.75" customHeight="1">
      <c r="A31" s="14" t="s">
        <v>42</v>
      </c>
      <c r="B31" s="125" t="s">
        <v>24</v>
      </c>
      <c r="C31" s="15">
        <v>421</v>
      </c>
      <c r="D31" s="15">
        <v>43</v>
      </c>
      <c r="E31" s="15">
        <v>40</v>
      </c>
      <c r="F31" s="15">
        <v>338</v>
      </c>
      <c r="G31" s="15">
        <v>130</v>
      </c>
      <c r="H31" s="15">
        <v>14</v>
      </c>
      <c r="I31" s="15">
        <v>1</v>
      </c>
      <c r="J31" s="15">
        <v>115</v>
      </c>
      <c r="K31" s="15">
        <v>164</v>
      </c>
      <c r="L31" s="15">
        <v>9</v>
      </c>
      <c r="M31" s="15">
        <v>13</v>
      </c>
      <c r="N31" s="15">
        <v>142</v>
      </c>
      <c r="O31" s="15">
        <v>66</v>
      </c>
      <c r="P31" s="15">
        <v>12</v>
      </c>
      <c r="Q31" s="15">
        <v>22</v>
      </c>
      <c r="R31" s="15">
        <v>32</v>
      </c>
      <c r="S31" s="15">
        <v>5</v>
      </c>
      <c r="T31" s="15">
        <v>3</v>
      </c>
      <c r="U31" s="15">
        <v>1</v>
      </c>
      <c r="V31" s="15">
        <v>1</v>
      </c>
      <c r="W31" s="15">
        <v>56</v>
      </c>
      <c r="X31" s="15">
        <v>5</v>
      </c>
      <c r="Y31" s="15">
        <v>3</v>
      </c>
      <c r="Z31" s="15">
        <v>48</v>
      </c>
      <c r="AA31" s="15">
        <v>864</v>
      </c>
      <c r="AB31" s="15">
        <v>78</v>
      </c>
      <c r="AC31" s="15">
        <v>78</v>
      </c>
      <c r="AD31" s="15">
        <v>708</v>
      </c>
      <c r="AE31" s="15">
        <v>280</v>
      </c>
      <c r="AF31" s="15">
        <v>23</v>
      </c>
      <c r="AG31" s="15">
        <v>1</v>
      </c>
      <c r="AH31" s="15">
        <v>256</v>
      </c>
      <c r="AI31" s="15">
        <v>345</v>
      </c>
      <c r="AJ31" s="15">
        <v>26</v>
      </c>
      <c r="AK31" s="15">
        <v>27</v>
      </c>
      <c r="AL31" s="15">
        <v>292</v>
      </c>
      <c r="AM31" s="15">
        <v>127</v>
      </c>
      <c r="AN31" s="15">
        <v>20</v>
      </c>
      <c r="AO31" s="15">
        <v>46</v>
      </c>
      <c r="AP31" s="15">
        <v>61</v>
      </c>
      <c r="AQ31" s="15">
        <v>8</v>
      </c>
      <c r="AR31" s="15">
        <v>4</v>
      </c>
      <c r="AS31" s="15">
        <v>2</v>
      </c>
      <c r="AT31" s="15">
        <v>2</v>
      </c>
      <c r="AU31" s="15">
        <v>104</v>
      </c>
      <c r="AV31" s="15">
        <v>5</v>
      </c>
      <c r="AW31" s="15">
        <v>2</v>
      </c>
      <c r="AX31" s="15">
        <v>97</v>
      </c>
    </row>
    <row r="32" spans="1:50" ht="15.75" customHeight="1">
      <c r="A32" s="175" t="s">
        <v>43</v>
      </c>
      <c r="B32" s="126" t="s">
        <v>26</v>
      </c>
      <c r="C32" s="16">
        <v>219</v>
      </c>
      <c r="D32" s="16">
        <v>24</v>
      </c>
      <c r="E32" s="16">
        <v>22</v>
      </c>
      <c r="F32" s="16">
        <v>173</v>
      </c>
      <c r="G32" s="16">
        <v>58</v>
      </c>
      <c r="H32" s="16">
        <v>7</v>
      </c>
      <c r="I32" s="16">
        <v>1</v>
      </c>
      <c r="J32" s="16">
        <v>50</v>
      </c>
      <c r="K32" s="16">
        <v>87</v>
      </c>
      <c r="L32" s="16">
        <v>3</v>
      </c>
      <c r="M32" s="16">
        <v>5</v>
      </c>
      <c r="N32" s="16">
        <v>79</v>
      </c>
      <c r="O32" s="16">
        <v>43</v>
      </c>
      <c r="P32" s="16">
        <v>8</v>
      </c>
      <c r="Q32" s="16">
        <v>15</v>
      </c>
      <c r="R32" s="16">
        <v>20</v>
      </c>
      <c r="S32" s="16">
        <v>4</v>
      </c>
      <c r="T32" s="16">
        <v>3</v>
      </c>
      <c r="U32" s="16">
        <v>0</v>
      </c>
      <c r="V32" s="16">
        <v>1</v>
      </c>
      <c r="W32" s="16">
        <v>27</v>
      </c>
      <c r="X32" s="16">
        <v>3</v>
      </c>
      <c r="Y32" s="16">
        <v>1</v>
      </c>
      <c r="Z32" s="16">
        <v>23</v>
      </c>
      <c r="AA32" s="16">
        <v>444</v>
      </c>
      <c r="AB32" s="16">
        <v>43</v>
      </c>
      <c r="AC32" s="16">
        <v>48</v>
      </c>
      <c r="AD32" s="16">
        <v>353</v>
      </c>
      <c r="AE32" s="16">
        <v>118</v>
      </c>
      <c r="AF32" s="16">
        <v>11</v>
      </c>
      <c r="AG32" s="16">
        <v>1</v>
      </c>
      <c r="AH32" s="16">
        <v>106</v>
      </c>
      <c r="AI32" s="16">
        <v>186</v>
      </c>
      <c r="AJ32" s="16">
        <v>12</v>
      </c>
      <c r="AK32" s="16">
        <v>13</v>
      </c>
      <c r="AL32" s="16">
        <v>161</v>
      </c>
      <c r="AM32" s="16">
        <v>87</v>
      </c>
      <c r="AN32" s="16">
        <v>15</v>
      </c>
      <c r="AO32" s="16">
        <v>31</v>
      </c>
      <c r="AP32" s="16">
        <v>41</v>
      </c>
      <c r="AQ32" s="16">
        <v>5</v>
      </c>
      <c r="AR32" s="16">
        <v>3</v>
      </c>
      <c r="AS32" s="16">
        <v>1</v>
      </c>
      <c r="AT32" s="16">
        <v>1</v>
      </c>
      <c r="AU32" s="16">
        <v>48</v>
      </c>
      <c r="AV32" s="16">
        <v>2</v>
      </c>
      <c r="AW32" s="16">
        <v>2</v>
      </c>
      <c r="AX32" s="16">
        <v>44</v>
      </c>
    </row>
    <row r="33" spans="1:50" ht="15.75" customHeight="1">
      <c r="A33" s="176"/>
      <c r="B33" s="126" t="s">
        <v>27</v>
      </c>
      <c r="C33" s="16">
        <v>202</v>
      </c>
      <c r="D33" s="16">
        <v>19</v>
      </c>
      <c r="E33" s="16">
        <v>18</v>
      </c>
      <c r="F33" s="16">
        <v>165</v>
      </c>
      <c r="G33" s="16">
        <v>72</v>
      </c>
      <c r="H33" s="16">
        <v>7</v>
      </c>
      <c r="I33" s="16">
        <v>0</v>
      </c>
      <c r="J33" s="16">
        <v>65</v>
      </c>
      <c r="K33" s="16">
        <v>77</v>
      </c>
      <c r="L33" s="16">
        <v>6</v>
      </c>
      <c r="M33" s="16">
        <v>8</v>
      </c>
      <c r="N33" s="16">
        <v>63</v>
      </c>
      <c r="O33" s="16">
        <v>23</v>
      </c>
      <c r="P33" s="16">
        <v>4</v>
      </c>
      <c r="Q33" s="16">
        <v>7</v>
      </c>
      <c r="R33" s="16">
        <v>12</v>
      </c>
      <c r="S33" s="16">
        <v>1</v>
      </c>
      <c r="T33" s="16">
        <v>0</v>
      </c>
      <c r="U33" s="16">
        <v>1</v>
      </c>
      <c r="V33" s="16">
        <v>0</v>
      </c>
      <c r="W33" s="16">
        <v>29</v>
      </c>
      <c r="X33" s="16">
        <v>2</v>
      </c>
      <c r="Y33" s="16">
        <v>2</v>
      </c>
      <c r="Z33" s="16">
        <v>25</v>
      </c>
      <c r="AA33" s="16">
        <v>420</v>
      </c>
      <c r="AB33" s="16">
        <v>35</v>
      </c>
      <c r="AC33" s="16">
        <v>30</v>
      </c>
      <c r="AD33" s="16">
        <v>355</v>
      </c>
      <c r="AE33" s="16">
        <v>162</v>
      </c>
      <c r="AF33" s="16">
        <v>12</v>
      </c>
      <c r="AG33" s="16">
        <v>0</v>
      </c>
      <c r="AH33" s="16">
        <v>150</v>
      </c>
      <c r="AI33" s="16">
        <v>159</v>
      </c>
      <c r="AJ33" s="16">
        <v>14</v>
      </c>
      <c r="AK33" s="16">
        <v>14</v>
      </c>
      <c r="AL33" s="16">
        <v>131</v>
      </c>
      <c r="AM33" s="16">
        <v>40</v>
      </c>
      <c r="AN33" s="16">
        <v>5</v>
      </c>
      <c r="AO33" s="16">
        <v>15</v>
      </c>
      <c r="AP33" s="16">
        <v>20</v>
      </c>
      <c r="AQ33" s="16">
        <v>3</v>
      </c>
      <c r="AR33" s="16">
        <v>1</v>
      </c>
      <c r="AS33" s="16">
        <v>1</v>
      </c>
      <c r="AT33" s="16">
        <v>1</v>
      </c>
      <c r="AU33" s="16">
        <v>56</v>
      </c>
      <c r="AV33" s="16">
        <v>3</v>
      </c>
      <c r="AW33" s="16">
        <v>0</v>
      </c>
      <c r="AX33" s="16">
        <v>53</v>
      </c>
    </row>
    <row r="34" spans="1:50" ht="15.75" customHeight="1">
      <c r="A34" s="14" t="s">
        <v>44</v>
      </c>
      <c r="B34" s="125" t="s">
        <v>24</v>
      </c>
      <c r="C34" s="15">
        <v>1081</v>
      </c>
      <c r="D34" s="15">
        <v>101</v>
      </c>
      <c r="E34" s="15">
        <v>127</v>
      </c>
      <c r="F34" s="15">
        <v>853</v>
      </c>
      <c r="G34" s="15">
        <v>292</v>
      </c>
      <c r="H34" s="15">
        <v>15</v>
      </c>
      <c r="I34" s="15">
        <v>7</v>
      </c>
      <c r="J34" s="15">
        <v>270</v>
      </c>
      <c r="K34" s="15">
        <v>380</v>
      </c>
      <c r="L34" s="15">
        <v>22</v>
      </c>
      <c r="M34" s="15">
        <v>39</v>
      </c>
      <c r="N34" s="15">
        <v>319</v>
      </c>
      <c r="O34" s="15">
        <v>131</v>
      </c>
      <c r="P34" s="15">
        <v>36</v>
      </c>
      <c r="Q34" s="15">
        <v>48</v>
      </c>
      <c r="R34" s="15">
        <v>47</v>
      </c>
      <c r="S34" s="15">
        <v>7</v>
      </c>
      <c r="T34" s="15">
        <v>2</v>
      </c>
      <c r="U34" s="15">
        <v>2</v>
      </c>
      <c r="V34" s="15">
        <v>3</v>
      </c>
      <c r="W34" s="15">
        <v>271</v>
      </c>
      <c r="X34" s="15">
        <v>26</v>
      </c>
      <c r="Y34" s="15">
        <v>31</v>
      </c>
      <c r="Z34" s="15">
        <v>214</v>
      </c>
      <c r="AA34" s="15">
        <v>2727</v>
      </c>
      <c r="AB34" s="15">
        <v>259</v>
      </c>
      <c r="AC34" s="15">
        <v>286</v>
      </c>
      <c r="AD34" s="15">
        <v>2182</v>
      </c>
      <c r="AE34" s="15">
        <v>1332</v>
      </c>
      <c r="AF34" s="15">
        <v>90</v>
      </c>
      <c r="AG34" s="15">
        <v>116</v>
      </c>
      <c r="AH34" s="15">
        <v>1126</v>
      </c>
      <c r="AI34" s="15">
        <v>683</v>
      </c>
      <c r="AJ34" s="15">
        <v>41</v>
      </c>
      <c r="AK34" s="15">
        <v>13</v>
      </c>
      <c r="AL34" s="15">
        <v>629</v>
      </c>
      <c r="AM34" s="15">
        <v>368</v>
      </c>
      <c r="AN34" s="15">
        <v>106</v>
      </c>
      <c r="AO34" s="15">
        <v>143</v>
      </c>
      <c r="AP34" s="15">
        <v>119</v>
      </c>
      <c r="AQ34" s="15">
        <v>11</v>
      </c>
      <c r="AR34" s="15">
        <v>2</v>
      </c>
      <c r="AS34" s="15">
        <v>3</v>
      </c>
      <c r="AT34" s="15">
        <v>6</v>
      </c>
      <c r="AU34" s="15">
        <v>333</v>
      </c>
      <c r="AV34" s="15">
        <v>20</v>
      </c>
      <c r="AW34" s="15">
        <v>11</v>
      </c>
      <c r="AX34" s="15">
        <v>302</v>
      </c>
    </row>
    <row r="35" spans="1:50" ht="15.75" customHeight="1">
      <c r="A35" s="175" t="s">
        <v>45</v>
      </c>
      <c r="B35" s="126" t="s">
        <v>26</v>
      </c>
      <c r="C35" s="16">
        <v>559</v>
      </c>
      <c r="D35" s="16">
        <v>66</v>
      </c>
      <c r="E35" s="16">
        <v>75</v>
      </c>
      <c r="F35" s="16">
        <v>418</v>
      </c>
      <c r="G35" s="16">
        <v>125</v>
      </c>
      <c r="H35" s="16">
        <v>7</v>
      </c>
      <c r="I35" s="16">
        <v>1</v>
      </c>
      <c r="J35" s="16">
        <v>117</v>
      </c>
      <c r="K35" s="16">
        <v>209</v>
      </c>
      <c r="L35" s="16">
        <v>16</v>
      </c>
      <c r="M35" s="16">
        <v>21</v>
      </c>
      <c r="N35" s="16">
        <v>172</v>
      </c>
      <c r="O35" s="16">
        <v>93</v>
      </c>
      <c r="P35" s="16">
        <v>26</v>
      </c>
      <c r="Q35" s="16">
        <v>32</v>
      </c>
      <c r="R35" s="16">
        <v>35</v>
      </c>
      <c r="S35" s="16">
        <v>4</v>
      </c>
      <c r="T35" s="16">
        <v>1</v>
      </c>
      <c r="U35" s="16">
        <v>1</v>
      </c>
      <c r="V35" s="16">
        <v>2</v>
      </c>
      <c r="W35" s="16">
        <v>128</v>
      </c>
      <c r="X35" s="16">
        <v>16</v>
      </c>
      <c r="Y35" s="16">
        <v>20</v>
      </c>
      <c r="Z35" s="16">
        <v>92</v>
      </c>
      <c r="AA35" s="16">
        <v>1351</v>
      </c>
      <c r="AB35" s="16">
        <v>168</v>
      </c>
      <c r="AC35" s="16">
        <v>156</v>
      </c>
      <c r="AD35" s="16">
        <v>1027</v>
      </c>
      <c r="AE35" s="16">
        <v>692</v>
      </c>
      <c r="AF35" s="16">
        <v>66</v>
      </c>
      <c r="AG35" s="16">
        <v>61</v>
      </c>
      <c r="AH35" s="16">
        <v>565</v>
      </c>
      <c r="AI35" s="16">
        <v>268</v>
      </c>
      <c r="AJ35" s="16">
        <v>18</v>
      </c>
      <c r="AK35" s="16">
        <v>3</v>
      </c>
      <c r="AL35" s="16">
        <v>247</v>
      </c>
      <c r="AM35" s="16">
        <v>243</v>
      </c>
      <c r="AN35" s="16">
        <v>73</v>
      </c>
      <c r="AO35" s="16">
        <v>86</v>
      </c>
      <c r="AP35" s="16">
        <v>84</v>
      </c>
      <c r="AQ35" s="16">
        <v>7</v>
      </c>
      <c r="AR35" s="16">
        <v>1</v>
      </c>
      <c r="AS35" s="16">
        <v>2</v>
      </c>
      <c r="AT35" s="16">
        <v>4</v>
      </c>
      <c r="AU35" s="16">
        <v>141</v>
      </c>
      <c r="AV35" s="16">
        <v>10</v>
      </c>
      <c r="AW35" s="16">
        <v>4</v>
      </c>
      <c r="AX35" s="16">
        <v>127</v>
      </c>
    </row>
    <row r="36" spans="1:50" ht="15.75" customHeight="1">
      <c r="A36" s="176"/>
      <c r="B36" s="126" t="s">
        <v>27</v>
      </c>
      <c r="C36" s="16">
        <v>522</v>
      </c>
      <c r="D36" s="16">
        <v>35</v>
      </c>
      <c r="E36" s="16">
        <v>52</v>
      </c>
      <c r="F36" s="16">
        <v>435</v>
      </c>
      <c r="G36" s="16">
        <v>167</v>
      </c>
      <c r="H36" s="16">
        <v>8</v>
      </c>
      <c r="I36" s="16">
        <v>6</v>
      </c>
      <c r="J36" s="16">
        <v>153</v>
      </c>
      <c r="K36" s="16">
        <v>171</v>
      </c>
      <c r="L36" s="16">
        <v>6</v>
      </c>
      <c r="M36" s="16">
        <v>18</v>
      </c>
      <c r="N36" s="16">
        <v>147</v>
      </c>
      <c r="O36" s="16">
        <v>38</v>
      </c>
      <c r="P36" s="16">
        <v>10</v>
      </c>
      <c r="Q36" s="16">
        <v>16</v>
      </c>
      <c r="R36" s="16">
        <v>12</v>
      </c>
      <c r="S36" s="16">
        <v>3</v>
      </c>
      <c r="T36" s="16">
        <v>1</v>
      </c>
      <c r="U36" s="16">
        <v>1</v>
      </c>
      <c r="V36" s="16">
        <v>1</v>
      </c>
      <c r="W36" s="16">
        <v>143</v>
      </c>
      <c r="X36" s="16">
        <v>10</v>
      </c>
      <c r="Y36" s="16">
        <v>11</v>
      </c>
      <c r="Z36" s="16">
        <v>122</v>
      </c>
      <c r="AA36" s="16">
        <v>1376</v>
      </c>
      <c r="AB36" s="16">
        <v>91</v>
      </c>
      <c r="AC36" s="16">
        <v>130</v>
      </c>
      <c r="AD36" s="16">
        <v>1155</v>
      </c>
      <c r="AE36" s="16">
        <v>640</v>
      </c>
      <c r="AF36" s="16">
        <v>24</v>
      </c>
      <c r="AG36" s="16">
        <v>55</v>
      </c>
      <c r="AH36" s="16">
        <v>561</v>
      </c>
      <c r="AI36" s="16">
        <v>415</v>
      </c>
      <c r="AJ36" s="16">
        <v>23</v>
      </c>
      <c r="AK36" s="16">
        <v>10</v>
      </c>
      <c r="AL36" s="16">
        <v>382</v>
      </c>
      <c r="AM36" s="16">
        <v>125</v>
      </c>
      <c r="AN36" s="16">
        <v>33</v>
      </c>
      <c r="AO36" s="16">
        <v>57</v>
      </c>
      <c r="AP36" s="16">
        <v>35</v>
      </c>
      <c r="AQ36" s="16">
        <v>4</v>
      </c>
      <c r="AR36" s="16">
        <v>1</v>
      </c>
      <c r="AS36" s="16">
        <v>1</v>
      </c>
      <c r="AT36" s="16">
        <v>2</v>
      </c>
      <c r="AU36" s="16">
        <v>192</v>
      </c>
      <c r="AV36" s="16">
        <v>10</v>
      </c>
      <c r="AW36" s="16">
        <v>7</v>
      </c>
      <c r="AX36" s="16">
        <v>175</v>
      </c>
    </row>
    <row r="37" spans="1:50" ht="15.75" customHeight="1">
      <c r="A37" s="14" t="s">
        <v>46</v>
      </c>
      <c r="B37" s="125" t="s">
        <v>24</v>
      </c>
      <c r="C37" s="15">
        <v>1799</v>
      </c>
      <c r="D37" s="15">
        <v>247</v>
      </c>
      <c r="E37" s="15">
        <v>191</v>
      </c>
      <c r="F37" s="15">
        <v>1361</v>
      </c>
      <c r="G37" s="15">
        <v>621</v>
      </c>
      <c r="H37" s="15">
        <v>52</v>
      </c>
      <c r="I37" s="15">
        <v>11</v>
      </c>
      <c r="J37" s="15">
        <v>558</v>
      </c>
      <c r="K37" s="15">
        <v>610</v>
      </c>
      <c r="L37" s="15">
        <v>58</v>
      </c>
      <c r="M37" s="15">
        <v>48</v>
      </c>
      <c r="N37" s="15">
        <v>504</v>
      </c>
      <c r="O37" s="15">
        <v>294</v>
      </c>
      <c r="P37" s="15">
        <v>102</v>
      </c>
      <c r="Q37" s="15">
        <v>92</v>
      </c>
      <c r="R37" s="15">
        <v>100</v>
      </c>
      <c r="S37" s="15">
        <v>2</v>
      </c>
      <c r="T37" s="15">
        <v>0</v>
      </c>
      <c r="U37" s="15">
        <v>0</v>
      </c>
      <c r="V37" s="15">
        <v>2</v>
      </c>
      <c r="W37" s="15">
        <v>272</v>
      </c>
      <c r="X37" s="15">
        <v>35</v>
      </c>
      <c r="Y37" s="15">
        <v>40</v>
      </c>
      <c r="Z37" s="15">
        <v>197</v>
      </c>
      <c r="AA37" s="15">
        <v>3098</v>
      </c>
      <c r="AB37" s="15">
        <v>403</v>
      </c>
      <c r="AC37" s="15">
        <v>295</v>
      </c>
      <c r="AD37" s="15">
        <v>2400</v>
      </c>
      <c r="AE37" s="15">
        <v>1185</v>
      </c>
      <c r="AF37" s="15">
        <v>100</v>
      </c>
      <c r="AG37" s="15">
        <v>22</v>
      </c>
      <c r="AH37" s="15">
        <v>1063</v>
      </c>
      <c r="AI37" s="15">
        <v>1080</v>
      </c>
      <c r="AJ37" s="15">
        <v>119</v>
      </c>
      <c r="AK37" s="15">
        <v>112</v>
      </c>
      <c r="AL37" s="15">
        <v>849</v>
      </c>
      <c r="AM37" s="15">
        <v>453</v>
      </c>
      <c r="AN37" s="15">
        <v>153</v>
      </c>
      <c r="AO37" s="15">
        <v>140</v>
      </c>
      <c r="AP37" s="15">
        <v>160</v>
      </c>
      <c r="AQ37" s="15">
        <v>4</v>
      </c>
      <c r="AR37" s="15">
        <v>2</v>
      </c>
      <c r="AS37" s="15">
        <v>0</v>
      </c>
      <c r="AT37" s="15">
        <v>2</v>
      </c>
      <c r="AU37" s="15">
        <v>376</v>
      </c>
      <c r="AV37" s="15">
        <v>29</v>
      </c>
      <c r="AW37" s="15">
        <v>21</v>
      </c>
      <c r="AX37" s="15">
        <v>326</v>
      </c>
    </row>
    <row r="38" spans="1:50" ht="15.75" customHeight="1">
      <c r="A38" s="175" t="s">
        <v>47</v>
      </c>
      <c r="B38" s="126" t="s">
        <v>26</v>
      </c>
      <c r="C38" s="16">
        <v>916</v>
      </c>
      <c r="D38" s="16">
        <v>149</v>
      </c>
      <c r="E38" s="16">
        <v>113</v>
      </c>
      <c r="F38" s="16">
        <v>654</v>
      </c>
      <c r="G38" s="16">
        <v>247</v>
      </c>
      <c r="H38" s="16">
        <v>18</v>
      </c>
      <c r="I38" s="16">
        <v>2</v>
      </c>
      <c r="J38" s="16">
        <v>227</v>
      </c>
      <c r="K38" s="16">
        <v>341</v>
      </c>
      <c r="L38" s="16">
        <v>33</v>
      </c>
      <c r="M38" s="16">
        <v>36</v>
      </c>
      <c r="N38" s="16">
        <v>272</v>
      </c>
      <c r="O38" s="16">
        <v>195</v>
      </c>
      <c r="P38" s="16">
        <v>75</v>
      </c>
      <c r="Q38" s="16">
        <v>52</v>
      </c>
      <c r="R38" s="16">
        <v>68</v>
      </c>
      <c r="S38" s="16">
        <v>2</v>
      </c>
      <c r="T38" s="16">
        <v>0</v>
      </c>
      <c r="U38" s="16">
        <v>0</v>
      </c>
      <c r="V38" s="16">
        <v>2</v>
      </c>
      <c r="W38" s="16">
        <v>131</v>
      </c>
      <c r="X38" s="16">
        <v>23</v>
      </c>
      <c r="Y38" s="16">
        <v>23</v>
      </c>
      <c r="Z38" s="16">
        <v>85</v>
      </c>
      <c r="AA38" s="16">
        <v>1621</v>
      </c>
      <c r="AB38" s="16">
        <v>241</v>
      </c>
      <c r="AC38" s="16">
        <v>191</v>
      </c>
      <c r="AD38" s="16">
        <v>1189</v>
      </c>
      <c r="AE38" s="16">
        <v>466</v>
      </c>
      <c r="AF38" s="16">
        <v>37</v>
      </c>
      <c r="AG38" s="16">
        <v>7</v>
      </c>
      <c r="AH38" s="16">
        <v>422</v>
      </c>
      <c r="AI38" s="16">
        <v>655</v>
      </c>
      <c r="AJ38" s="16">
        <v>69</v>
      </c>
      <c r="AK38" s="16">
        <v>84</v>
      </c>
      <c r="AL38" s="16">
        <v>502</v>
      </c>
      <c r="AM38" s="16">
        <v>315</v>
      </c>
      <c r="AN38" s="16">
        <v>115</v>
      </c>
      <c r="AO38" s="16">
        <v>89</v>
      </c>
      <c r="AP38" s="16">
        <v>111</v>
      </c>
      <c r="AQ38" s="16">
        <v>4</v>
      </c>
      <c r="AR38" s="16">
        <v>2</v>
      </c>
      <c r="AS38" s="16">
        <v>0</v>
      </c>
      <c r="AT38" s="16">
        <v>2</v>
      </c>
      <c r="AU38" s="16">
        <v>181</v>
      </c>
      <c r="AV38" s="16">
        <v>18</v>
      </c>
      <c r="AW38" s="16">
        <v>11</v>
      </c>
      <c r="AX38" s="16">
        <v>152</v>
      </c>
    </row>
    <row r="39" spans="1:50" ht="15.75" customHeight="1">
      <c r="A39" s="176"/>
      <c r="B39" s="126" t="s">
        <v>27</v>
      </c>
      <c r="C39" s="16">
        <v>883</v>
      </c>
      <c r="D39" s="16">
        <v>98</v>
      </c>
      <c r="E39" s="16">
        <v>78</v>
      </c>
      <c r="F39" s="16">
        <v>707</v>
      </c>
      <c r="G39" s="16">
        <v>374</v>
      </c>
      <c r="H39" s="16">
        <v>34</v>
      </c>
      <c r="I39" s="16">
        <v>9</v>
      </c>
      <c r="J39" s="16">
        <v>331</v>
      </c>
      <c r="K39" s="16">
        <v>269</v>
      </c>
      <c r="L39" s="16">
        <v>25</v>
      </c>
      <c r="M39" s="16">
        <v>12</v>
      </c>
      <c r="N39" s="16">
        <v>232</v>
      </c>
      <c r="O39" s="16">
        <v>99</v>
      </c>
      <c r="P39" s="16">
        <v>27</v>
      </c>
      <c r="Q39" s="16">
        <v>40</v>
      </c>
      <c r="R39" s="16">
        <v>32</v>
      </c>
      <c r="S39" s="16">
        <v>0</v>
      </c>
      <c r="T39" s="16">
        <v>0</v>
      </c>
      <c r="U39" s="16">
        <v>0</v>
      </c>
      <c r="V39" s="16">
        <v>0</v>
      </c>
      <c r="W39" s="16">
        <v>141</v>
      </c>
      <c r="X39" s="16">
        <v>12</v>
      </c>
      <c r="Y39" s="16">
        <v>17</v>
      </c>
      <c r="Z39" s="16">
        <v>112</v>
      </c>
      <c r="AA39" s="16">
        <v>1477</v>
      </c>
      <c r="AB39" s="16">
        <v>162</v>
      </c>
      <c r="AC39" s="16">
        <v>104</v>
      </c>
      <c r="AD39" s="16">
        <v>1211</v>
      </c>
      <c r="AE39" s="16">
        <v>719</v>
      </c>
      <c r="AF39" s="16">
        <v>63</v>
      </c>
      <c r="AG39" s="16">
        <v>15</v>
      </c>
      <c r="AH39" s="16">
        <v>641</v>
      </c>
      <c r="AI39" s="16">
        <v>425</v>
      </c>
      <c r="AJ39" s="16">
        <v>50</v>
      </c>
      <c r="AK39" s="16">
        <v>28</v>
      </c>
      <c r="AL39" s="16">
        <v>347</v>
      </c>
      <c r="AM39" s="16">
        <v>138</v>
      </c>
      <c r="AN39" s="16">
        <v>38</v>
      </c>
      <c r="AO39" s="16">
        <v>51</v>
      </c>
      <c r="AP39" s="16">
        <v>49</v>
      </c>
      <c r="AQ39" s="16">
        <v>0</v>
      </c>
      <c r="AR39" s="16">
        <v>0</v>
      </c>
      <c r="AS39" s="16">
        <v>0</v>
      </c>
      <c r="AT39" s="16">
        <v>0</v>
      </c>
      <c r="AU39" s="16">
        <v>195</v>
      </c>
      <c r="AV39" s="16">
        <v>11</v>
      </c>
      <c r="AW39" s="16">
        <v>10</v>
      </c>
      <c r="AX39" s="16">
        <v>174</v>
      </c>
    </row>
    <row r="40" spans="1:50" ht="15.75" customHeight="1">
      <c r="A40" s="14" t="s">
        <v>48</v>
      </c>
      <c r="B40" s="125" t="s">
        <v>24</v>
      </c>
      <c r="C40" s="15">
        <v>903</v>
      </c>
      <c r="D40" s="15">
        <v>179</v>
      </c>
      <c r="E40" s="15">
        <v>139</v>
      </c>
      <c r="F40" s="15">
        <v>585</v>
      </c>
      <c r="G40" s="15">
        <v>244</v>
      </c>
      <c r="H40" s="15">
        <v>43</v>
      </c>
      <c r="I40" s="15">
        <v>9</v>
      </c>
      <c r="J40" s="15">
        <v>192</v>
      </c>
      <c r="K40" s="15">
        <v>301</v>
      </c>
      <c r="L40" s="15">
        <v>57</v>
      </c>
      <c r="M40" s="15">
        <v>33</v>
      </c>
      <c r="N40" s="15">
        <v>211</v>
      </c>
      <c r="O40" s="15">
        <v>175</v>
      </c>
      <c r="P40" s="15">
        <v>51</v>
      </c>
      <c r="Q40" s="15">
        <v>69</v>
      </c>
      <c r="R40" s="15">
        <v>55</v>
      </c>
      <c r="S40" s="15">
        <v>26</v>
      </c>
      <c r="T40" s="15">
        <v>8</v>
      </c>
      <c r="U40" s="15">
        <v>7</v>
      </c>
      <c r="V40" s="15">
        <v>11</v>
      </c>
      <c r="W40" s="15">
        <v>157</v>
      </c>
      <c r="X40" s="15">
        <v>20</v>
      </c>
      <c r="Y40" s="15">
        <v>21</v>
      </c>
      <c r="Z40" s="15">
        <v>116</v>
      </c>
      <c r="AA40" s="15">
        <v>2849</v>
      </c>
      <c r="AB40" s="15">
        <v>496</v>
      </c>
      <c r="AC40" s="15">
        <v>402</v>
      </c>
      <c r="AD40" s="15">
        <v>1951</v>
      </c>
      <c r="AE40" s="15">
        <v>766</v>
      </c>
      <c r="AF40" s="15">
        <v>118</v>
      </c>
      <c r="AG40" s="15">
        <v>24</v>
      </c>
      <c r="AH40" s="15">
        <v>624</v>
      </c>
      <c r="AI40" s="15">
        <v>1051</v>
      </c>
      <c r="AJ40" s="15">
        <v>158</v>
      </c>
      <c r="AK40" s="15">
        <v>111</v>
      </c>
      <c r="AL40" s="15">
        <v>782</v>
      </c>
      <c r="AM40" s="15">
        <v>455</v>
      </c>
      <c r="AN40" s="15">
        <v>129</v>
      </c>
      <c r="AO40" s="15">
        <v>174</v>
      </c>
      <c r="AP40" s="15">
        <v>152</v>
      </c>
      <c r="AQ40" s="15">
        <v>72</v>
      </c>
      <c r="AR40" s="15">
        <v>21</v>
      </c>
      <c r="AS40" s="15">
        <v>23</v>
      </c>
      <c r="AT40" s="15">
        <v>28</v>
      </c>
      <c r="AU40" s="15">
        <v>505</v>
      </c>
      <c r="AV40" s="15">
        <v>70</v>
      </c>
      <c r="AW40" s="15">
        <v>70</v>
      </c>
      <c r="AX40" s="15">
        <v>365</v>
      </c>
    </row>
    <row r="41" spans="1:50" ht="15.75" customHeight="1">
      <c r="A41" s="175" t="s">
        <v>49</v>
      </c>
      <c r="B41" s="126" t="s">
        <v>26</v>
      </c>
      <c r="C41" s="16">
        <v>504</v>
      </c>
      <c r="D41" s="16">
        <v>104</v>
      </c>
      <c r="E41" s="16">
        <v>86</v>
      </c>
      <c r="F41" s="16">
        <v>314</v>
      </c>
      <c r="G41" s="16">
        <v>110</v>
      </c>
      <c r="H41" s="16">
        <v>18</v>
      </c>
      <c r="I41" s="16">
        <v>5</v>
      </c>
      <c r="J41" s="16">
        <v>87</v>
      </c>
      <c r="K41" s="16">
        <v>159</v>
      </c>
      <c r="L41" s="16">
        <v>27</v>
      </c>
      <c r="M41" s="16">
        <v>17</v>
      </c>
      <c r="N41" s="16">
        <v>115</v>
      </c>
      <c r="O41" s="16">
        <v>132</v>
      </c>
      <c r="P41" s="16">
        <v>41</v>
      </c>
      <c r="Q41" s="16">
        <v>46</v>
      </c>
      <c r="R41" s="16">
        <v>45</v>
      </c>
      <c r="S41" s="16">
        <v>15</v>
      </c>
      <c r="T41" s="16">
        <v>7</v>
      </c>
      <c r="U41" s="16">
        <v>3</v>
      </c>
      <c r="V41" s="16">
        <v>5</v>
      </c>
      <c r="W41" s="16">
        <v>88</v>
      </c>
      <c r="X41" s="16">
        <v>11</v>
      </c>
      <c r="Y41" s="16">
        <v>15</v>
      </c>
      <c r="Z41" s="16">
        <v>62</v>
      </c>
      <c r="AA41" s="16">
        <v>1521</v>
      </c>
      <c r="AB41" s="16">
        <v>295</v>
      </c>
      <c r="AC41" s="16">
        <v>229</v>
      </c>
      <c r="AD41" s="16">
        <v>997</v>
      </c>
      <c r="AE41" s="16">
        <v>329</v>
      </c>
      <c r="AF41" s="16">
        <v>53</v>
      </c>
      <c r="AG41" s="16">
        <v>6</v>
      </c>
      <c r="AH41" s="16">
        <v>270</v>
      </c>
      <c r="AI41" s="16">
        <v>555</v>
      </c>
      <c r="AJ41" s="16">
        <v>82</v>
      </c>
      <c r="AK41" s="16">
        <v>55</v>
      </c>
      <c r="AL41" s="16">
        <v>418</v>
      </c>
      <c r="AM41" s="16">
        <v>327</v>
      </c>
      <c r="AN41" s="16">
        <v>101</v>
      </c>
      <c r="AO41" s="16">
        <v>111</v>
      </c>
      <c r="AP41" s="16">
        <v>115</v>
      </c>
      <c r="AQ41" s="16">
        <v>45</v>
      </c>
      <c r="AR41" s="16">
        <v>18</v>
      </c>
      <c r="AS41" s="16">
        <v>12</v>
      </c>
      <c r="AT41" s="16">
        <v>15</v>
      </c>
      <c r="AU41" s="16">
        <v>265</v>
      </c>
      <c r="AV41" s="16">
        <v>41</v>
      </c>
      <c r="AW41" s="16">
        <v>45</v>
      </c>
      <c r="AX41" s="16">
        <v>179</v>
      </c>
    </row>
    <row r="42" spans="1:50" ht="15.75" customHeight="1">
      <c r="A42" s="176"/>
      <c r="B42" s="126" t="s">
        <v>27</v>
      </c>
      <c r="C42" s="16">
        <v>399</v>
      </c>
      <c r="D42" s="16">
        <v>75</v>
      </c>
      <c r="E42" s="16">
        <v>53</v>
      </c>
      <c r="F42" s="16">
        <v>271</v>
      </c>
      <c r="G42" s="16">
        <v>134</v>
      </c>
      <c r="H42" s="16">
        <v>25</v>
      </c>
      <c r="I42" s="16">
        <v>4</v>
      </c>
      <c r="J42" s="16">
        <v>105</v>
      </c>
      <c r="K42" s="16">
        <v>142</v>
      </c>
      <c r="L42" s="16">
        <v>30</v>
      </c>
      <c r="M42" s="16">
        <v>16</v>
      </c>
      <c r="N42" s="16">
        <v>96</v>
      </c>
      <c r="O42" s="16">
        <v>43</v>
      </c>
      <c r="P42" s="16">
        <v>10</v>
      </c>
      <c r="Q42" s="16">
        <v>23</v>
      </c>
      <c r="R42" s="16">
        <v>10</v>
      </c>
      <c r="S42" s="16">
        <v>11</v>
      </c>
      <c r="T42" s="16">
        <v>1</v>
      </c>
      <c r="U42" s="16">
        <v>4</v>
      </c>
      <c r="V42" s="16">
        <v>6</v>
      </c>
      <c r="W42" s="16">
        <v>69</v>
      </c>
      <c r="X42" s="16">
        <v>9</v>
      </c>
      <c r="Y42" s="16">
        <v>6</v>
      </c>
      <c r="Z42" s="16">
        <v>54</v>
      </c>
      <c r="AA42" s="16">
        <v>1328</v>
      </c>
      <c r="AB42" s="16">
        <v>201</v>
      </c>
      <c r="AC42" s="16">
        <v>173</v>
      </c>
      <c r="AD42" s="16">
        <v>954</v>
      </c>
      <c r="AE42" s="16">
        <v>437</v>
      </c>
      <c r="AF42" s="16">
        <v>65</v>
      </c>
      <c r="AG42" s="16">
        <v>18</v>
      </c>
      <c r="AH42" s="16">
        <v>354</v>
      </c>
      <c r="AI42" s="16">
        <v>496</v>
      </c>
      <c r="AJ42" s="16">
        <v>76</v>
      </c>
      <c r="AK42" s="16">
        <v>56</v>
      </c>
      <c r="AL42" s="16">
        <v>364</v>
      </c>
      <c r="AM42" s="16">
        <v>128</v>
      </c>
      <c r="AN42" s="16">
        <v>28</v>
      </c>
      <c r="AO42" s="16">
        <v>63</v>
      </c>
      <c r="AP42" s="16">
        <v>37</v>
      </c>
      <c r="AQ42" s="16">
        <v>27</v>
      </c>
      <c r="AR42" s="16">
        <v>3</v>
      </c>
      <c r="AS42" s="16">
        <v>11</v>
      </c>
      <c r="AT42" s="16">
        <v>13</v>
      </c>
      <c r="AU42" s="16">
        <v>240</v>
      </c>
      <c r="AV42" s="16">
        <v>29</v>
      </c>
      <c r="AW42" s="16">
        <v>25</v>
      </c>
      <c r="AX42" s="16">
        <v>186</v>
      </c>
    </row>
    <row r="43" spans="1:50" ht="15.75" customHeight="1">
      <c r="A43" s="14" t="s">
        <v>50</v>
      </c>
      <c r="B43" s="125" t="s">
        <v>24</v>
      </c>
      <c r="C43" s="15">
        <v>565</v>
      </c>
      <c r="D43" s="15">
        <v>67</v>
      </c>
      <c r="E43" s="15">
        <v>44</v>
      </c>
      <c r="F43" s="15">
        <v>454</v>
      </c>
      <c r="G43" s="15">
        <v>185</v>
      </c>
      <c r="H43" s="15">
        <v>24</v>
      </c>
      <c r="I43" s="15">
        <v>2</v>
      </c>
      <c r="J43" s="15">
        <v>159</v>
      </c>
      <c r="K43" s="15">
        <v>312</v>
      </c>
      <c r="L43" s="15">
        <v>23</v>
      </c>
      <c r="M43" s="15">
        <v>18</v>
      </c>
      <c r="N43" s="15">
        <v>271</v>
      </c>
      <c r="O43" s="15">
        <v>68</v>
      </c>
      <c r="P43" s="15">
        <v>20</v>
      </c>
      <c r="Q43" s="15">
        <v>24</v>
      </c>
      <c r="R43" s="15">
        <v>24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1507</v>
      </c>
      <c r="AB43" s="15">
        <v>186</v>
      </c>
      <c r="AC43" s="15">
        <v>96</v>
      </c>
      <c r="AD43" s="15">
        <v>1225</v>
      </c>
      <c r="AE43" s="15">
        <v>685</v>
      </c>
      <c r="AF43" s="15">
        <v>91</v>
      </c>
      <c r="AG43" s="15">
        <v>17</v>
      </c>
      <c r="AH43" s="15">
        <v>577</v>
      </c>
      <c r="AI43" s="15">
        <v>678</v>
      </c>
      <c r="AJ43" s="15">
        <v>46</v>
      </c>
      <c r="AK43" s="15">
        <v>30</v>
      </c>
      <c r="AL43" s="15">
        <v>602</v>
      </c>
      <c r="AM43" s="15">
        <v>144</v>
      </c>
      <c r="AN43" s="15">
        <v>49</v>
      </c>
      <c r="AO43" s="15">
        <v>49</v>
      </c>
      <c r="AP43" s="15">
        <v>46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</row>
    <row r="44" spans="1:50" ht="15.75" customHeight="1">
      <c r="A44" s="175" t="s">
        <v>51</v>
      </c>
      <c r="B44" s="126" t="s">
        <v>26</v>
      </c>
      <c r="C44" s="16">
        <v>298</v>
      </c>
      <c r="D44" s="16">
        <v>33</v>
      </c>
      <c r="E44" s="16">
        <v>30</v>
      </c>
      <c r="F44" s="16">
        <v>235</v>
      </c>
      <c r="G44" s="16">
        <v>75</v>
      </c>
      <c r="H44" s="16">
        <v>7</v>
      </c>
      <c r="I44" s="16">
        <v>2</v>
      </c>
      <c r="J44" s="16">
        <v>66</v>
      </c>
      <c r="K44" s="16">
        <v>177</v>
      </c>
      <c r="L44" s="16">
        <v>14</v>
      </c>
      <c r="M44" s="16">
        <v>13</v>
      </c>
      <c r="N44" s="16">
        <v>150</v>
      </c>
      <c r="O44" s="16">
        <v>46</v>
      </c>
      <c r="P44" s="16">
        <v>12</v>
      </c>
      <c r="Q44" s="16">
        <v>15</v>
      </c>
      <c r="R44" s="16">
        <v>19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756</v>
      </c>
      <c r="AB44" s="16">
        <v>99</v>
      </c>
      <c r="AC44" s="16">
        <v>68</v>
      </c>
      <c r="AD44" s="16">
        <v>589</v>
      </c>
      <c r="AE44" s="16">
        <v>317</v>
      </c>
      <c r="AF44" s="16">
        <v>49</v>
      </c>
      <c r="AG44" s="16">
        <v>14</v>
      </c>
      <c r="AH44" s="16">
        <v>254</v>
      </c>
      <c r="AI44" s="16">
        <v>338</v>
      </c>
      <c r="AJ44" s="16">
        <v>22</v>
      </c>
      <c r="AK44" s="16">
        <v>21</v>
      </c>
      <c r="AL44" s="16">
        <v>295</v>
      </c>
      <c r="AM44" s="16">
        <v>101</v>
      </c>
      <c r="AN44" s="16">
        <v>28</v>
      </c>
      <c r="AO44" s="16">
        <v>33</v>
      </c>
      <c r="AP44" s="16">
        <v>40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</row>
    <row r="45" spans="1:50" ht="15.75" customHeight="1">
      <c r="A45" s="176"/>
      <c r="B45" s="126" t="s">
        <v>27</v>
      </c>
      <c r="C45" s="16">
        <v>267</v>
      </c>
      <c r="D45" s="16">
        <v>34</v>
      </c>
      <c r="E45" s="16">
        <v>14</v>
      </c>
      <c r="F45" s="16">
        <v>219</v>
      </c>
      <c r="G45" s="16">
        <v>110</v>
      </c>
      <c r="H45" s="16">
        <v>17</v>
      </c>
      <c r="I45" s="16">
        <v>0</v>
      </c>
      <c r="J45" s="16">
        <v>93</v>
      </c>
      <c r="K45" s="16">
        <v>135</v>
      </c>
      <c r="L45" s="16">
        <v>9</v>
      </c>
      <c r="M45" s="16">
        <v>5</v>
      </c>
      <c r="N45" s="16">
        <v>121</v>
      </c>
      <c r="O45" s="16">
        <v>22</v>
      </c>
      <c r="P45" s="16">
        <v>8</v>
      </c>
      <c r="Q45" s="16">
        <v>9</v>
      </c>
      <c r="R45" s="16">
        <v>5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751</v>
      </c>
      <c r="AB45" s="16">
        <v>87</v>
      </c>
      <c r="AC45" s="16">
        <v>28</v>
      </c>
      <c r="AD45" s="16">
        <v>636</v>
      </c>
      <c r="AE45" s="16">
        <v>368</v>
      </c>
      <c r="AF45" s="16">
        <v>42</v>
      </c>
      <c r="AG45" s="16">
        <v>3</v>
      </c>
      <c r="AH45" s="16">
        <v>323</v>
      </c>
      <c r="AI45" s="16">
        <v>340</v>
      </c>
      <c r="AJ45" s="16">
        <v>24</v>
      </c>
      <c r="AK45" s="16">
        <v>9</v>
      </c>
      <c r="AL45" s="16">
        <v>307</v>
      </c>
      <c r="AM45" s="16">
        <v>43</v>
      </c>
      <c r="AN45" s="16">
        <v>21</v>
      </c>
      <c r="AO45" s="16">
        <v>16</v>
      </c>
      <c r="AP45" s="16">
        <v>6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</row>
    <row r="46" spans="1:50" ht="15.75" customHeight="1">
      <c r="A46" s="14" t="s">
        <v>52</v>
      </c>
      <c r="B46" s="125" t="s">
        <v>24</v>
      </c>
      <c r="C46" s="15">
        <v>595</v>
      </c>
      <c r="D46" s="15">
        <v>85</v>
      </c>
      <c r="E46" s="15">
        <v>87</v>
      </c>
      <c r="F46" s="15">
        <v>423</v>
      </c>
      <c r="G46" s="15">
        <v>160</v>
      </c>
      <c r="H46" s="15">
        <v>13</v>
      </c>
      <c r="I46" s="15">
        <v>4</v>
      </c>
      <c r="J46" s="15">
        <v>143</v>
      </c>
      <c r="K46" s="15">
        <v>227</v>
      </c>
      <c r="L46" s="15">
        <v>35</v>
      </c>
      <c r="M46" s="15">
        <v>18</v>
      </c>
      <c r="N46" s="15">
        <v>174</v>
      </c>
      <c r="O46" s="15">
        <v>103</v>
      </c>
      <c r="P46" s="15">
        <v>27</v>
      </c>
      <c r="Q46" s="15">
        <v>49</v>
      </c>
      <c r="R46" s="15">
        <v>27</v>
      </c>
      <c r="S46" s="15">
        <v>1</v>
      </c>
      <c r="T46" s="15">
        <v>0</v>
      </c>
      <c r="U46" s="15">
        <v>1</v>
      </c>
      <c r="V46" s="15">
        <v>0</v>
      </c>
      <c r="W46" s="15">
        <v>104</v>
      </c>
      <c r="X46" s="15">
        <v>10</v>
      </c>
      <c r="Y46" s="15">
        <v>15</v>
      </c>
      <c r="Z46" s="15">
        <v>79</v>
      </c>
      <c r="AA46" s="15">
        <v>1839</v>
      </c>
      <c r="AB46" s="15">
        <v>267</v>
      </c>
      <c r="AC46" s="15">
        <v>299</v>
      </c>
      <c r="AD46" s="15">
        <v>1273</v>
      </c>
      <c r="AE46" s="15">
        <v>1069</v>
      </c>
      <c r="AF46" s="15">
        <v>137</v>
      </c>
      <c r="AG46" s="15">
        <v>53</v>
      </c>
      <c r="AH46" s="15">
        <v>879</v>
      </c>
      <c r="AI46" s="15">
        <v>246</v>
      </c>
      <c r="AJ46" s="15">
        <v>62</v>
      </c>
      <c r="AK46" s="15">
        <v>112</v>
      </c>
      <c r="AL46" s="15">
        <v>72</v>
      </c>
      <c r="AM46" s="15">
        <v>241</v>
      </c>
      <c r="AN46" s="15">
        <v>56</v>
      </c>
      <c r="AO46" s="15">
        <v>116</v>
      </c>
      <c r="AP46" s="15">
        <v>69</v>
      </c>
      <c r="AQ46" s="15">
        <v>3</v>
      </c>
      <c r="AR46" s="15">
        <v>1</v>
      </c>
      <c r="AS46" s="15">
        <v>1</v>
      </c>
      <c r="AT46" s="15">
        <v>1</v>
      </c>
      <c r="AU46" s="15">
        <v>280</v>
      </c>
      <c r="AV46" s="15">
        <v>11</v>
      </c>
      <c r="AW46" s="15">
        <v>17</v>
      </c>
      <c r="AX46" s="15">
        <v>252</v>
      </c>
    </row>
    <row r="47" spans="1:50" ht="15.75" customHeight="1">
      <c r="A47" s="175" t="s">
        <v>53</v>
      </c>
      <c r="B47" s="126" t="s">
        <v>26</v>
      </c>
      <c r="C47" s="16">
        <v>315</v>
      </c>
      <c r="D47" s="16">
        <v>60</v>
      </c>
      <c r="E47" s="16">
        <v>53</v>
      </c>
      <c r="F47" s="16">
        <v>202</v>
      </c>
      <c r="G47" s="16">
        <v>66</v>
      </c>
      <c r="H47" s="16">
        <v>6</v>
      </c>
      <c r="I47" s="16">
        <v>1</v>
      </c>
      <c r="J47" s="16">
        <v>59</v>
      </c>
      <c r="K47" s="16">
        <v>124</v>
      </c>
      <c r="L47" s="16">
        <v>27</v>
      </c>
      <c r="M47" s="16">
        <v>9</v>
      </c>
      <c r="N47" s="16">
        <v>88</v>
      </c>
      <c r="O47" s="16">
        <v>66</v>
      </c>
      <c r="P47" s="16">
        <v>22</v>
      </c>
      <c r="Q47" s="16">
        <v>29</v>
      </c>
      <c r="R47" s="16">
        <v>15</v>
      </c>
      <c r="S47" s="16">
        <v>1</v>
      </c>
      <c r="T47" s="16">
        <v>0</v>
      </c>
      <c r="U47" s="16">
        <v>1</v>
      </c>
      <c r="V47" s="16">
        <v>0</v>
      </c>
      <c r="W47" s="16">
        <v>58</v>
      </c>
      <c r="X47" s="16">
        <v>5</v>
      </c>
      <c r="Y47" s="16">
        <v>13</v>
      </c>
      <c r="Z47" s="16">
        <v>40</v>
      </c>
      <c r="AA47" s="16">
        <v>1002</v>
      </c>
      <c r="AB47" s="16">
        <v>176</v>
      </c>
      <c r="AC47" s="16">
        <v>195</v>
      </c>
      <c r="AD47" s="16">
        <v>631</v>
      </c>
      <c r="AE47" s="16">
        <v>531</v>
      </c>
      <c r="AF47" s="16">
        <v>80</v>
      </c>
      <c r="AG47" s="16">
        <v>29</v>
      </c>
      <c r="AH47" s="16">
        <v>422</v>
      </c>
      <c r="AI47" s="16">
        <v>169</v>
      </c>
      <c r="AJ47" s="16">
        <v>46</v>
      </c>
      <c r="AK47" s="16">
        <v>75</v>
      </c>
      <c r="AL47" s="16">
        <v>48</v>
      </c>
      <c r="AM47" s="16">
        <v>170</v>
      </c>
      <c r="AN47" s="16">
        <v>43</v>
      </c>
      <c r="AO47" s="16">
        <v>81</v>
      </c>
      <c r="AP47" s="16">
        <v>46</v>
      </c>
      <c r="AQ47" s="16">
        <v>3</v>
      </c>
      <c r="AR47" s="16">
        <v>1</v>
      </c>
      <c r="AS47" s="16">
        <v>1</v>
      </c>
      <c r="AT47" s="16">
        <v>1</v>
      </c>
      <c r="AU47" s="16">
        <v>129</v>
      </c>
      <c r="AV47" s="16">
        <v>6</v>
      </c>
      <c r="AW47" s="16">
        <v>9</v>
      </c>
      <c r="AX47" s="16">
        <v>114</v>
      </c>
    </row>
    <row r="48" spans="1:50" ht="15.75" customHeight="1">
      <c r="A48" s="176"/>
      <c r="B48" s="126" t="s">
        <v>27</v>
      </c>
      <c r="C48" s="16">
        <v>280</v>
      </c>
      <c r="D48" s="16">
        <v>25</v>
      </c>
      <c r="E48" s="16">
        <v>34</v>
      </c>
      <c r="F48" s="16">
        <v>221</v>
      </c>
      <c r="G48" s="16">
        <v>94</v>
      </c>
      <c r="H48" s="16">
        <v>7</v>
      </c>
      <c r="I48" s="16">
        <v>3</v>
      </c>
      <c r="J48" s="16">
        <v>84</v>
      </c>
      <c r="K48" s="16">
        <v>103</v>
      </c>
      <c r="L48" s="16">
        <v>8</v>
      </c>
      <c r="M48" s="16">
        <v>9</v>
      </c>
      <c r="N48" s="16">
        <v>86</v>
      </c>
      <c r="O48" s="16">
        <v>37</v>
      </c>
      <c r="P48" s="16">
        <v>5</v>
      </c>
      <c r="Q48" s="16">
        <v>20</v>
      </c>
      <c r="R48" s="16">
        <v>12</v>
      </c>
      <c r="S48" s="16">
        <v>0</v>
      </c>
      <c r="T48" s="16">
        <v>0</v>
      </c>
      <c r="U48" s="16">
        <v>0</v>
      </c>
      <c r="V48" s="16">
        <v>0</v>
      </c>
      <c r="W48" s="16">
        <v>46</v>
      </c>
      <c r="X48" s="16">
        <v>5</v>
      </c>
      <c r="Y48" s="16">
        <v>2</v>
      </c>
      <c r="Z48" s="16">
        <v>39</v>
      </c>
      <c r="AA48" s="16">
        <v>837</v>
      </c>
      <c r="AB48" s="16">
        <v>91</v>
      </c>
      <c r="AC48" s="16">
        <v>104</v>
      </c>
      <c r="AD48" s="16">
        <v>642</v>
      </c>
      <c r="AE48" s="16">
        <v>538</v>
      </c>
      <c r="AF48" s="16">
        <v>57</v>
      </c>
      <c r="AG48" s="16">
        <v>24</v>
      </c>
      <c r="AH48" s="16">
        <v>457</v>
      </c>
      <c r="AI48" s="16">
        <v>77</v>
      </c>
      <c r="AJ48" s="16">
        <v>16</v>
      </c>
      <c r="AK48" s="16">
        <v>37</v>
      </c>
      <c r="AL48" s="16">
        <v>24</v>
      </c>
      <c r="AM48" s="16">
        <v>71</v>
      </c>
      <c r="AN48" s="16">
        <v>13</v>
      </c>
      <c r="AO48" s="16">
        <v>35</v>
      </c>
      <c r="AP48" s="16">
        <v>23</v>
      </c>
      <c r="AQ48" s="16">
        <v>0</v>
      </c>
      <c r="AR48" s="16">
        <v>0</v>
      </c>
      <c r="AS48" s="16">
        <v>0</v>
      </c>
      <c r="AT48" s="16">
        <v>0</v>
      </c>
      <c r="AU48" s="16">
        <v>151</v>
      </c>
      <c r="AV48" s="16">
        <v>5</v>
      </c>
      <c r="AW48" s="16">
        <v>8</v>
      </c>
      <c r="AX48" s="16">
        <v>138</v>
      </c>
    </row>
    <row r="49" spans="1:50" ht="15.75" customHeight="1">
      <c r="A49" s="14" t="s">
        <v>54</v>
      </c>
      <c r="B49" s="125" t="s">
        <v>24</v>
      </c>
      <c r="C49" s="15">
        <v>728</v>
      </c>
      <c r="D49" s="15">
        <v>128</v>
      </c>
      <c r="E49" s="15">
        <v>90</v>
      </c>
      <c r="F49" s="15">
        <v>510</v>
      </c>
      <c r="G49" s="15">
        <v>303</v>
      </c>
      <c r="H49" s="15">
        <v>44</v>
      </c>
      <c r="I49" s="15">
        <v>10</v>
      </c>
      <c r="J49" s="15">
        <v>249</v>
      </c>
      <c r="K49" s="15">
        <v>242</v>
      </c>
      <c r="L49" s="15">
        <v>33</v>
      </c>
      <c r="M49" s="15">
        <v>33</v>
      </c>
      <c r="N49" s="15">
        <v>176</v>
      </c>
      <c r="O49" s="15">
        <v>91</v>
      </c>
      <c r="P49" s="15">
        <v>32</v>
      </c>
      <c r="Q49" s="15">
        <v>32</v>
      </c>
      <c r="R49" s="15">
        <v>27</v>
      </c>
      <c r="S49" s="15">
        <v>9</v>
      </c>
      <c r="T49" s="15">
        <v>1</v>
      </c>
      <c r="U49" s="15">
        <v>4</v>
      </c>
      <c r="V49" s="15">
        <v>4</v>
      </c>
      <c r="W49" s="15">
        <v>83</v>
      </c>
      <c r="X49" s="15">
        <v>18</v>
      </c>
      <c r="Y49" s="15">
        <v>11</v>
      </c>
      <c r="Z49" s="15">
        <v>54</v>
      </c>
      <c r="AA49" s="15">
        <v>1061</v>
      </c>
      <c r="AB49" s="15">
        <v>209</v>
      </c>
      <c r="AC49" s="15">
        <v>108</v>
      </c>
      <c r="AD49" s="15">
        <v>744</v>
      </c>
      <c r="AE49" s="15">
        <v>629</v>
      </c>
      <c r="AF49" s="15">
        <v>93</v>
      </c>
      <c r="AG49" s="15">
        <v>35</v>
      </c>
      <c r="AH49" s="15">
        <v>501</v>
      </c>
      <c r="AI49" s="15">
        <v>266</v>
      </c>
      <c r="AJ49" s="15">
        <v>52</v>
      </c>
      <c r="AK49" s="15">
        <v>27</v>
      </c>
      <c r="AL49" s="15">
        <v>187</v>
      </c>
      <c r="AM49" s="15">
        <v>124</v>
      </c>
      <c r="AN49" s="15">
        <v>53</v>
      </c>
      <c r="AO49" s="15">
        <v>38</v>
      </c>
      <c r="AP49" s="15">
        <v>33</v>
      </c>
      <c r="AQ49" s="15">
        <v>13</v>
      </c>
      <c r="AR49" s="15">
        <v>6</v>
      </c>
      <c r="AS49" s="15">
        <v>3</v>
      </c>
      <c r="AT49" s="15">
        <v>4</v>
      </c>
      <c r="AU49" s="15">
        <v>29</v>
      </c>
      <c r="AV49" s="15">
        <v>5</v>
      </c>
      <c r="AW49" s="15">
        <v>5</v>
      </c>
      <c r="AX49" s="15">
        <v>19</v>
      </c>
    </row>
    <row r="50" spans="1:50" ht="15.75" customHeight="1">
      <c r="A50" s="175" t="s">
        <v>55</v>
      </c>
      <c r="B50" s="126" t="s">
        <v>26</v>
      </c>
      <c r="C50" s="16">
        <v>335</v>
      </c>
      <c r="D50" s="16">
        <v>73</v>
      </c>
      <c r="E50" s="16">
        <v>42</v>
      </c>
      <c r="F50" s="16">
        <v>220</v>
      </c>
      <c r="G50" s="16">
        <v>115</v>
      </c>
      <c r="H50" s="16">
        <v>17</v>
      </c>
      <c r="I50" s="16">
        <v>2</v>
      </c>
      <c r="J50" s="16">
        <v>96</v>
      </c>
      <c r="K50" s="16">
        <v>113</v>
      </c>
      <c r="L50" s="16">
        <v>19</v>
      </c>
      <c r="M50" s="16">
        <v>15</v>
      </c>
      <c r="N50" s="16">
        <v>79</v>
      </c>
      <c r="O50" s="16">
        <v>61</v>
      </c>
      <c r="P50" s="16">
        <v>26</v>
      </c>
      <c r="Q50" s="16">
        <v>19</v>
      </c>
      <c r="R50" s="16">
        <v>16</v>
      </c>
      <c r="S50" s="16">
        <v>4</v>
      </c>
      <c r="T50" s="16">
        <v>1</v>
      </c>
      <c r="U50" s="16">
        <v>1</v>
      </c>
      <c r="V50" s="16">
        <v>2</v>
      </c>
      <c r="W50" s="16">
        <v>42</v>
      </c>
      <c r="X50" s="16">
        <v>10</v>
      </c>
      <c r="Y50" s="16">
        <v>5</v>
      </c>
      <c r="Z50" s="16">
        <v>27</v>
      </c>
      <c r="AA50" s="16">
        <v>499</v>
      </c>
      <c r="AB50" s="16">
        <v>123</v>
      </c>
      <c r="AC50" s="16">
        <v>50</v>
      </c>
      <c r="AD50" s="16">
        <v>326</v>
      </c>
      <c r="AE50" s="16">
        <v>260</v>
      </c>
      <c r="AF50" s="16">
        <v>40</v>
      </c>
      <c r="AG50" s="16">
        <v>16</v>
      </c>
      <c r="AH50" s="16">
        <v>204</v>
      </c>
      <c r="AI50" s="16">
        <v>124</v>
      </c>
      <c r="AJ50" s="16">
        <v>29</v>
      </c>
      <c r="AK50" s="16">
        <v>8</v>
      </c>
      <c r="AL50" s="16">
        <v>87</v>
      </c>
      <c r="AM50" s="16">
        <v>85</v>
      </c>
      <c r="AN50" s="16">
        <v>44</v>
      </c>
      <c r="AO50" s="16">
        <v>22</v>
      </c>
      <c r="AP50" s="16">
        <v>19</v>
      </c>
      <c r="AQ50" s="16">
        <v>8</v>
      </c>
      <c r="AR50" s="16">
        <v>6</v>
      </c>
      <c r="AS50" s="16">
        <v>0</v>
      </c>
      <c r="AT50" s="16">
        <v>2</v>
      </c>
      <c r="AU50" s="16">
        <v>22</v>
      </c>
      <c r="AV50" s="16">
        <v>4</v>
      </c>
      <c r="AW50" s="16">
        <v>4</v>
      </c>
      <c r="AX50" s="16">
        <v>14</v>
      </c>
    </row>
    <row r="51" spans="1:50" ht="15.75" customHeight="1">
      <c r="A51" s="176"/>
      <c r="B51" s="126" t="s">
        <v>27</v>
      </c>
      <c r="C51" s="16">
        <v>393</v>
      </c>
      <c r="D51" s="16">
        <v>55</v>
      </c>
      <c r="E51" s="16">
        <v>48</v>
      </c>
      <c r="F51" s="16">
        <v>290</v>
      </c>
      <c r="G51" s="16">
        <v>188</v>
      </c>
      <c r="H51" s="16">
        <v>27</v>
      </c>
      <c r="I51" s="16">
        <v>8</v>
      </c>
      <c r="J51" s="16">
        <v>153</v>
      </c>
      <c r="K51" s="16">
        <v>129</v>
      </c>
      <c r="L51" s="16">
        <v>14</v>
      </c>
      <c r="M51" s="16">
        <v>18</v>
      </c>
      <c r="N51" s="16">
        <v>97</v>
      </c>
      <c r="O51" s="16">
        <v>30</v>
      </c>
      <c r="P51" s="16">
        <v>6</v>
      </c>
      <c r="Q51" s="16">
        <v>13</v>
      </c>
      <c r="R51" s="16">
        <v>11</v>
      </c>
      <c r="S51" s="16">
        <v>5</v>
      </c>
      <c r="T51" s="16">
        <v>0</v>
      </c>
      <c r="U51" s="16">
        <v>3</v>
      </c>
      <c r="V51" s="16">
        <v>2</v>
      </c>
      <c r="W51" s="16">
        <v>41</v>
      </c>
      <c r="X51" s="16">
        <v>8</v>
      </c>
      <c r="Y51" s="16">
        <v>6</v>
      </c>
      <c r="Z51" s="16">
        <v>27</v>
      </c>
      <c r="AA51" s="16">
        <v>562</v>
      </c>
      <c r="AB51" s="16">
        <v>86</v>
      </c>
      <c r="AC51" s="16">
        <v>58</v>
      </c>
      <c r="AD51" s="16">
        <v>418</v>
      </c>
      <c r="AE51" s="16">
        <v>369</v>
      </c>
      <c r="AF51" s="16">
        <v>53</v>
      </c>
      <c r="AG51" s="16">
        <v>19</v>
      </c>
      <c r="AH51" s="16">
        <v>297</v>
      </c>
      <c r="AI51" s="16">
        <v>142</v>
      </c>
      <c r="AJ51" s="16">
        <v>23</v>
      </c>
      <c r="AK51" s="16">
        <v>19</v>
      </c>
      <c r="AL51" s="16">
        <v>100</v>
      </c>
      <c r="AM51" s="16">
        <v>39</v>
      </c>
      <c r="AN51" s="16">
        <v>9</v>
      </c>
      <c r="AO51" s="16">
        <v>16</v>
      </c>
      <c r="AP51" s="16">
        <v>14</v>
      </c>
      <c r="AQ51" s="16">
        <v>5</v>
      </c>
      <c r="AR51" s="16">
        <v>0</v>
      </c>
      <c r="AS51" s="16">
        <v>3</v>
      </c>
      <c r="AT51" s="16">
        <v>2</v>
      </c>
      <c r="AU51" s="16">
        <v>7</v>
      </c>
      <c r="AV51" s="16">
        <v>1</v>
      </c>
      <c r="AW51" s="16">
        <v>1</v>
      </c>
      <c r="AX51" s="16">
        <v>5</v>
      </c>
    </row>
    <row r="52" spans="1:50" ht="15.75" customHeight="1">
      <c r="A52" s="14" t="s">
        <v>56</v>
      </c>
      <c r="B52" s="125" t="s">
        <v>24</v>
      </c>
      <c r="C52" s="15">
        <v>620</v>
      </c>
      <c r="D52" s="15">
        <v>202</v>
      </c>
      <c r="E52" s="15">
        <v>62</v>
      </c>
      <c r="F52" s="15">
        <v>356</v>
      </c>
      <c r="G52" s="15">
        <v>184</v>
      </c>
      <c r="H52" s="15">
        <v>33</v>
      </c>
      <c r="I52" s="15">
        <v>4</v>
      </c>
      <c r="J52" s="15">
        <v>147</v>
      </c>
      <c r="K52" s="15">
        <v>202</v>
      </c>
      <c r="L52" s="15">
        <v>41</v>
      </c>
      <c r="M52" s="15">
        <v>20</v>
      </c>
      <c r="N52" s="15">
        <v>141</v>
      </c>
      <c r="O52" s="15">
        <v>99</v>
      </c>
      <c r="P52" s="15">
        <v>69</v>
      </c>
      <c r="Q52" s="15">
        <v>16</v>
      </c>
      <c r="R52" s="15">
        <v>14</v>
      </c>
      <c r="S52" s="15">
        <v>61</v>
      </c>
      <c r="T52" s="15">
        <v>29</v>
      </c>
      <c r="U52" s="15">
        <v>12</v>
      </c>
      <c r="V52" s="15">
        <v>20</v>
      </c>
      <c r="W52" s="15">
        <v>74</v>
      </c>
      <c r="X52" s="15">
        <v>30</v>
      </c>
      <c r="Y52" s="15">
        <v>10</v>
      </c>
      <c r="Z52" s="15">
        <v>34</v>
      </c>
      <c r="AA52" s="15">
        <v>1031</v>
      </c>
      <c r="AB52" s="15">
        <v>288</v>
      </c>
      <c r="AC52" s="15">
        <v>102</v>
      </c>
      <c r="AD52" s="15">
        <v>641</v>
      </c>
      <c r="AE52" s="15">
        <v>348</v>
      </c>
      <c r="AF52" s="15">
        <v>48</v>
      </c>
      <c r="AG52" s="15">
        <v>7</v>
      </c>
      <c r="AH52" s="15">
        <v>293</v>
      </c>
      <c r="AI52" s="15">
        <v>323</v>
      </c>
      <c r="AJ52" s="15">
        <v>58</v>
      </c>
      <c r="AK52" s="15">
        <v>31</v>
      </c>
      <c r="AL52" s="15">
        <v>234</v>
      </c>
      <c r="AM52" s="15">
        <v>149</v>
      </c>
      <c r="AN52" s="15">
        <v>90</v>
      </c>
      <c r="AO52" s="15">
        <v>36</v>
      </c>
      <c r="AP52" s="15">
        <v>23</v>
      </c>
      <c r="AQ52" s="15">
        <v>87</v>
      </c>
      <c r="AR52" s="15">
        <v>43</v>
      </c>
      <c r="AS52" s="15">
        <v>16</v>
      </c>
      <c r="AT52" s="15">
        <v>28</v>
      </c>
      <c r="AU52" s="15">
        <v>124</v>
      </c>
      <c r="AV52" s="15">
        <v>49</v>
      </c>
      <c r="AW52" s="15">
        <v>12</v>
      </c>
      <c r="AX52" s="15">
        <v>63</v>
      </c>
    </row>
    <row r="53" spans="1:50" ht="15.75" customHeight="1">
      <c r="A53" s="175" t="s">
        <v>57</v>
      </c>
      <c r="B53" s="126" t="s">
        <v>26</v>
      </c>
      <c r="C53" s="16">
        <v>339</v>
      </c>
      <c r="D53" s="16">
        <v>142</v>
      </c>
      <c r="E53" s="16">
        <v>38</v>
      </c>
      <c r="F53" s="16">
        <v>159</v>
      </c>
      <c r="G53" s="16">
        <v>78</v>
      </c>
      <c r="H53" s="16">
        <v>15</v>
      </c>
      <c r="I53" s="16">
        <v>1</v>
      </c>
      <c r="J53" s="16">
        <v>62</v>
      </c>
      <c r="K53" s="16">
        <v>94</v>
      </c>
      <c r="L53" s="16">
        <v>26</v>
      </c>
      <c r="M53" s="16">
        <v>11</v>
      </c>
      <c r="N53" s="16">
        <v>57</v>
      </c>
      <c r="O53" s="16">
        <v>77</v>
      </c>
      <c r="P53" s="16">
        <v>56</v>
      </c>
      <c r="Q53" s="16">
        <v>11</v>
      </c>
      <c r="R53" s="16">
        <v>10</v>
      </c>
      <c r="S53" s="16">
        <v>44</v>
      </c>
      <c r="T53" s="16">
        <v>25</v>
      </c>
      <c r="U53" s="16">
        <v>8</v>
      </c>
      <c r="V53" s="16">
        <v>11</v>
      </c>
      <c r="W53" s="16">
        <v>46</v>
      </c>
      <c r="X53" s="16">
        <v>20</v>
      </c>
      <c r="Y53" s="16">
        <v>7</v>
      </c>
      <c r="Z53" s="16">
        <v>19</v>
      </c>
      <c r="AA53" s="16">
        <v>511</v>
      </c>
      <c r="AB53" s="16">
        <v>188</v>
      </c>
      <c r="AC53" s="16">
        <v>59</v>
      </c>
      <c r="AD53" s="16">
        <v>264</v>
      </c>
      <c r="AE53" s="16">
        <v>130</v>
      </c>
      <c r="AF53" s="16">
        <v>20</v>
      </c>
      <c r="AG53" s="16">
        <v>1</v>
      </c>
      <c r="AH53" s="16">
        <v>109</v>
      </c>
      <c r="AI53" s="16">
        <v>151</v>
      </c>
      <c r="AJ53" s="16">
        <v>33</v>
      </c>
      <c r="AK53" s="16">
        <v>17</v>
      </c>
      <c r="AL53" s="16">
        <v>101</v>
      </c>
      <c r="AM53" s="16">
        <v>106</v>
      </c>
      <c r="AN53" s="16">
        <v>69</v>
      </c>
      <c r="AO53" s="16">
        <v>22</v>
      </c>
      <c r="AP53" s="16">
        <v>15</v>
      </c>
      <c r="AQ53" s="16">
        <v>59</v>
      </c>
      <c r="AR53" s="16">
        <v>36</v>
      </c>
      <c r="AS53" s="16">
        <v>11</v>
      </c>
      <c r="AT53" s="16">
        <v>12</v>
      </c>
      <c r="AU53" s="16">
        <v>65</v>
      </c>
      <c r="AV53" s="16">
        <v>30</v>
      </c>
      <c r="AW53" s="16">
        <v>8</v>
      </c>
      <c r="AX53" s="16">
        <v>27</v>
      </c>
    </row>
    <row r="54" spans="1:50" ht="15.75" customHeight="1">
      <c r="A54" s="176"/>
      <c r="B54" s="126" t="s">
        <v>27</v>
      </c>
      <c r="C54" s="16">
        <v>281</v>
      </c>
      <c r="D54" s="16">
        <v>60</v>
      </c>
      <c r="E54" s="16">
        <v>24</v>
      </c>
      <c r="F54" s="16">
        <v>197</v>
      </c>
      <c r="G54" s="16">
        <v>106</v>
      </c>
      <c r="H54" s="16">
        <v>18</v>
      </c>
      <c r="I54" s="16">
        <v>3</v>
      </c>
      <c r="J54" s="16">
        <v>85</v>
      </c>
      <c r="K54" s="16">
        <v>108</v>
      </c>
      <c r="L54" s="16">
        <v>15</v>
      </c>
      <c r="M54" s="16">
        <v>9</v>
      </c>
      <c r="N54" s="16">
        <v>84</v>
      </c>
      <c r="O54" s="16">
        <v>22</v>
      </c>
      <c r="P54" s="16">
        <v>13</v>
      </c>
      <c r="Q54" s="16">
        <v>5</v>
      </c>
      <c r="R54" s="16">
        <v>4</v>
      </c>
      <c r="S54" s="16">
        <v>17</v>
      </c>
      <c r="T54" s="16">
        <v>4</v>
      </c>
      <c r="U54" s="16">
        <v>4</v>
      </c>
      <c r="V54" s="16">
        <v>9</v>
      </c>
      <c r="W54" s="16">
        <v>28</v>
      </c>
      <c r="X54" s="16">
        <v>10</v>
      </c>
      <c r="Y54" s="16">
        <v>3</v>
      </c>
      <c r="Z54" s="16">
        <v>15</v>
      </c>
      <c r="AA54" s="16">
        <v>520</v>
      </c>
      <c r="AB54" s="16">
        <v>100</v>
      </c>
      <c r="AC54" s="16">
        <v>43</v>
      </c>
      <c r="AD54" s="16">
        <v>377</v>
      </c>
      <c r="AE54" s="16">
        <v>218</v>
      </c>
      <c r="AF54" s="16">
        <v>28</v>
      </c>
      <c r="AG54" s="16">
        <v>6</v>
      </c>
      <c r="AH54" s="16">
        <v>184</v>
      </c>
      <c r="AI54" s="16">
        <v>172</v>
      </c>
      <c r="AJ54" s="16">
        <v>25</v>
      </c>
      <c r="AK54" s="16">
        <v>14</v>
      </c>
      <c r="AL54" s="16">
        <v>133</v>
      </c>
      <c r="AM54" s="16">
        <v>43</v>
      </c>
      <c r="AN54" s="16">
        <v>21</v>
      </c>
      <c r="AO54" s="16">
        <v>14</v>
      </c>
      <c r="AP54" s="16">
        <v>8</v>
      </c>
      <c r="AQ54" s="16">
        <v>28</v>
      </c>
      <c r="AR54" s="16">
        <v>7</v>
      </c>
      <c r="AS54" s="16">
        <v>5</v>
      </c>
      <c r="AT54" s="16">
        <v>16</v>
      </c>
      <c r="AU54" s="16">
        <v>59</v>
      </c>
      <c r="AV54" s="16">
        <v>19</v>
      </c>
      <c r="AW54" s="16">
        <v>4</v>
      </c>
      <c r="AX54" s="16">
        <v>36</v>
      </c>
    </row>
    <row r="55" spans="1:50" ht="15.75" customHeight="1">
      <c r="A55" s="14" t="s">
        <v>58</v>
      </c>
      <c r="B55" s="125" t="s">
        <v>24</v>
      </c>
      <c r="C55" s="15">
        <v>1004</v>
      </c>
      <c r="D55" s="15">
        <v>234</v>
      </c>
      <c r="E55" s="15">
        <v>138</v>
      </c>
      <c r="F55" s="15">
        <v>632</v>
      </c>
      <c r="G55" s="15">
        <v>222</v>
      </c>
      <c r="H55" s="15">
        <v>29</v>
      </c>
      <c r="I55" s="15">
        <v>5</v>
      </c>
      <c r="J55" s="15">
        <v>188</v>
      </c>
      <c r="K55" s="15">
        <v>340</v>
      </c>
      <c r="L55" s="15">
        <v>53</v>
      </c>
      <c r="M55" s="15">
        <v>38</v>
      </c>
      <c r="N55" s="15">
        <v>249</v>
      </c>
      <c r="O55" s="15">
        <v>196</v>
      </c>
      <c r="P55" s="15">
        <v>84</v>
      </c>
      <c r="Q55" s="15">
        <v>50</v>
      </c>
      <c r="R55" s="15">
        <v>62</v>
      </c>
      <c r="S55" s="15">
        <v>88</v>
      </c>
      <c r="T55" s="15">
        <v>33</v>
      </c>
      <c r="U55" s="15">
        <v>20</v>
      </c>
      <c r="V55" s="15">
        <v>35</v>
      </c>
      <c r="W55" s="15">
        <v>158</v>
      </c>
      <c r="X55" s="15">
        <v>35</v>
      </c>
      <c r="Y55" s="15">
        <v>25</v>
      </c>
      <c r="Z55" s="15">
        <v>98</v>
      </c>
      <c r="AA55" s="15">
        <v>2988</v>
      </c>
      <c r="AB55" s="15">
        <v>625</v>
      </c>
      <c r="AC55" s="15">
        <v>478</v>
      </c>
      <c r="AD55" s="15">
        <v>1885</v>
      </c>
      <c r="AE55" s="15">
        <v>929</v>
      </c>
      <c r="AF55" s="15">
        <v>134</v>
      </c>
      <c r="AG55" s="15">
        <v>94</v>
      </c>
      <c r="AH55" s="15">
        <v>701</v>
      </c>
      <c r="AI55" s="15">
        <v>887</v>
      </c>
      <c r="AJ55" s="15">
        <v>136</v>
      </c>
      <c r="AK55" s="15">
        <v>135</v>
      </c>
      <c r="AL55" s="15">
        <v>616</v>
      </c>
      <c r="AM55" s="15">
        <v>404</v>
      </c>
      <c r="AN55" s="15">
        <v>159</v>
      </c>
      <c r="AO55" s="15">
        <v>127</v>
      </c>
      <c r="AP55" s="15">
        <v>118</v>
      </c>
      <c r="AQ55" s="15">
        <v>518</v>
      </c>
      <c r="AR55" s="15">
        <v>159</v>
      </c>
      <c r="AS55" s="15">
        <v>96</v>
      </c>
      <c r="AT55" s="15">
        <v>263</v>
      </c>
      <c r="AU55" s="15">
        <v>250</v>
      </c>
      <c r="AV55" s="15">
        <v>37</v>
      </c>
      <c r="AW55" s="15">
        <v>26</v>
      </c>
      <c r="AX55" s="15">
        <v>187</v>
      </c>
    </row>
    <row r="56" spans="1:50" ht="15.75" customHeight="1">
      <c r="A56" s="175" t="s">
        <v>59</v>
      </c>
      <c r="B56" s="126" t="s">
        <v>26</v>
      </c>
      <c r="C56" s="16">
        <v>522</v>
      </c>
      <c r="D56" s="16">
        <v>147</v>
      </c>
      <c r="E56" s="16">
        <v>74</v>
      </c>
      <c r="F56" s="16">
        <v>301</v>
      </c>
      <c r="G56" s="16">
        <v>96</v>
      </c>
      <c r="H56" s="16">
        <v>14</v>
      </c>
      <c r="I56" s="16">
        <v>2</v>
      </c>
      <c r="J56" s="16">
        <v>80</v>
      </c>
      <c r="K56" s="16">
        <v>178</v>
      </c>
      <c r="L56" s="16">
        <v>30</v>
      </c>
      <c r="M56" s="16">
        <v>19</v>
      </c>
      <c r="N56" s="16">
        <v>129</v>
      </c>
      <c r="O56" s="16">
        <v>132</v>
      </c>
      <c r="P56" s="16">
        <v>59</v>
      </c>
      <c r="Q56" s="16">
        <v>33</v>
      </c>
      <c r="R56" s="16">
        <v>40</v>
      </c>
      <c r="S56" s="16">
        <v>57</v>
      </c>
      <c r="T56" s="16">
        <v>24</v>
      </c>
      <c r="U56" s="16">
        <v>13</v>
      </c>
      <c r="V56" s="16">
        <v>20</v>
      </c>
      <c r="W56" s="16">
        <v>59</v>
      </c>
      <c r="X56" s="16">
        <v>20</v>
      </c>
      <c r="Y56" s="16">
        <v>7</v>
      </c>
      <c r="Z56" s="16">
        <v>32</v>
      </c>
      <c r="AA56" s="16">
        <v>1405</v>
      </c>
      <c r="AB56" s="16">
        <v>381</v>
      </c>
      <c r="AC56" s="16">
        <v>219</v>
      </c>
      <c r="AD56" s="16">
        <v>805</v>
      </c>
      <c r="AE56" s="16">
        <v>356</v>
      </c>
      <c r="AF56" s="16">
        <v>67</v>
      </c>
      <c r="AG56" s="16">
        <v>24</v>
      </c>
      <c r="AH56" s="16">
        <v>265</v>
      </c>
      <c r="AI56" s="16">
        <v>407</v>
      </c>
      <c r="AJ56" s="16">
        <v>72</v>
      </c>
      <c r="AK56" s="16">
        <v>59</v>
      </c>
      <c r="AL56" s="16">
        <v>276</v>
      </c>
      <c r="AM56" s="16">
        <v>261</v>
      </c>
      <c r="AN56" s="16">
        <v>111</v>
      </c>
      <c r="AO56" s="16">
        <v>76</v>
      </c>
      <c r="AP56" s="16">
        <v>74</v>
      </c>
      <c r="AQ56" s="16">
        <v>282</v>
      </c>
      <c r="AR56" s="16">
        <v>114</v>
      </c>
      <c r="AS56" s="16">
        <v>52</v>
      </c>
      <c r="AT56" s="16">
        <v>116</v>
      </c>
      <c r="AU56" s="16">
        <v>99</v>
      </c>
      <c r="AV56" s="16">
        <v>17</v>
      </c>
      <c r="AW56" s="16">
        <v>8</v>
      </c>
      <c r="AX56" s="16">
        <v>74</v>
      </c>
    </row>
    <row r="57" spans="1:50" ht="15.75" customHeight="1">
      <c r="A57" s="176"/>
      <c r="B57" s="126" t="s">
        <v>27</v>
      </c>
      <c r="C57" s="16">
        <v>482</v>
      </c>
      <c r="D57" s="16">
        <v>87</v>
      </c>
      <c r="E57" s="16">
        <v>64</v>
      </c>
      <c r="F57" s="16">
        <v>331</v>
      </c>
      <c r="G57" s="16">
        <v>126</v>
      </c>
      <c r="H57" s="16">
        <v>15</v>
      </c>
      <c r="I57" s="16">
        <v>3</v>
      </c>
      <c r="J57" s="16">
        <v>108</v>
      </c>
      <c r="K57" s="16">
        <v>162</v>
      </c>
      <c r="L57" s="16">
        <v>23</v>
      </c>
      <c r="M57" s="16">
        <v>19</v>
      </c>
      <c r="N57" s="16">
        <v>120</v>
      </c>
      <c r="O57" s="16">
        <v>64</v>
      </c>
      <c r="P57" s="16">
        <v>25</v>
      </c>
      <c r="Q57" s="16">
        <v>17</v>
      </c>
      <c r="R57" s="16">
        <v>22</v>
      </c>
      <c r="S57" s="16">
        <v>31</v>
      </c>
      <c r="T57" s="16">
        <v>9</v>
      </c>
      <c r="U57" s="16">
        <v>7</v>
      </c>
      <c r="V57" s="16">
        <v>15</v>
      </c>
      <c r="W57" s="16">
        <v>99</v>
      </c>
      <c r="X57" s="16">
        <v>15</v>
      </c>
      <c r="Y57" s="16">
        <v>18</v>
      </c>
      <c r="Z57" s="16">
        <v>66</v>
      </c>
      <c r="AA57" s="16">
        <v>1583</v>
      </c>
      <c r="AB57" s="16">
        <v>244</v>
      </c>
      <c r="AC57" s="16">
        <v>259</v>
      </c>
      <c r="AD57" s="16">
        <v>1080</v>
      </c>
      <c r="AE57" s="16">
        <v>573</v>
      </c>
      <c r="AF57" s="16">
        <v>67</v>
      </c>
      <c r="AG57" s="16">
        <v>70</v>
      </c>
      <c r="AH57" s="16">
        <v>436</v>
      </c>
      <c r="AI57" s="16">
        <v>480</v>
      </c>
      <c r="AJ57" s="16">
        <v>64</v>
      </c>
      <c r="AK57" s="16">
        <v>76</v>
      </c>
      <c r="AL57" s="16">
        <v>340</v>
      </c>
      <c r="AM57" s="16">
        <v>143</v>
      </c>
      <c r="AN57" s="16">
        <v>48</v>
      </c>
      <c r="AO57" s="16">
        <v>51</v>
      </c>
      <c r="AP57" s="16">
        <v>44</v>
      </c>
      <c r="AQ57" s="16">
        <v>236</v>
      </c>
      <c r="AR57" s="16">
        <v>45</v>
      </c>
      <c r="AS57" s="16">
        <v>44</v>
      </c>
      <c r="AT57" s="16">
        <v>147</v>
      </c>
      <c r="AU57" s="16">
        <v>151</v>
      </c>
      <c r="AV57" s="16">
        <v>20</v>
      </c>
      <c r="AW57" s="16">
        <v>18</v>
      </c>
      <c r="AX57" s="16">
        <v>113</v>
      </c>
    </row>
    <row r="58" spans="1:50" ht="15.75" customHeight="1">
      <c r="A58" s="14" t="s">
        <v>60</v>
      </c>
      <c r="B58" s="125" t="s">
        <v>24</v>
      </c>
      <c r="C58" s="15">
        <v>172</v>
      </c>
      <c r="D58" s="15">
        <v>18</v>
      </c>
      <c r="E58" s="15">
        <v>14</v>
      </c>
      <c r="F58" s="15">
        <v>140</v>
      </c>
      <c r="G58" s="15">
        <v>64</v>
      </c>
      <c r="H58" s="15">
        <v>3</v>
      </c>
      <c r="I58" s="15">
        <v>0</v>
      </c>
      <c r="J58" s="15">
        <v>61</v>
      </c>
      <c r="K58" s="15">
        <v>71</v>
      </c>
      <c r="L58" s="15">
        <v>6</v>
      </c>
      <c r="M58" s="15">
        <v>3</v>
      </c>
      <c r="N58" s="15">
        <v>62</v>
      </c>
      <c r="O58" s="15">
        <v>24</v>
      </c>
      <c r="P58" s="15">
        <v>8</v>
      </c>
      <c r="Q58" s="15">
        <v>9</v>
      </c>
      <c r="R58" s="15">
        <v>7</v>
      </c>
      <c r="S58" s="15">
        <v>1</v>
      </c>
      <c r="T58" s="15">
        <v>1</v>
      </c>
      <c r="U58" s="15">
        <v>0</v>
      </c>
      <c r="V58" s="15">
        <v>0</v>
      </c>
      <c r="W58" s="15">
        <v>12</v>
      </c>
      <c r="X58" s="15">
        <v>0</v>
      </c>
      <c r="Y58" s="15">
        <v>2</v>
      </c>
      <c r="Z58" s="15">
        <v>10</v>
      </c>
      <c r="AA58" s="15">
        <v>496</v>
      </c>
      <c r="AB58" s="15">
        <v>41</v>
      </c>
      <c r="AC58" s="15">
        <v>40</v>
      </c>
      <c r="AD58" s="15">
        <v>415</v>
      </c>
      <c r="AE58" s="15">
        <v>221</v>
      </c>
      <c r="AF58" s="15">
        <v>12</v>
      </c>
      <c r="AG58" s="15">
        <v>1</v>
      </c>
      <c r="AH58" s="15">
        <v>208</v>
      </c>
      <c r="AI58" s="15">
        <v>170</v>
      </c>
      <c r="AJ58" s="15">
        <v>11</v>
      </c>
      <c r="AK58" s="15">
        <v>10</v>
      </c>
      <c r="AL58" s="15">
        <v>149</v>
      </c>
      <c r="AM58" s="15">
        <v>45</v>
      </c>
      <c r="AN58" s="15">
        <v>11</v>
      </c>
      <c r="AO58" s="15">
        <v>20</v>
      </c>
      <c r="AP58" s="15">
        <v>14</v>
      </c>
      <c r="AQ58" s="15">
        <v>1</v>
      </c>
      <c r="AR58" s="15">
        <v>1</v>
      </c>
      <c r="AS58" s="15">
        <v>0</v>
      </c>
      <c r="AT58" s="15">
        <v>0</v>
      </c>
      <c r="AU58" s="15">
        <v>59</v>
      </c>
      <c r="AV58" s="15">
        <v>6</v>
      </c>
      <c r="AW58" s="15">
        <v>9</v>
      </c>
      <c r="AX58" s="15">
        <v>44</v>
      </c>
    </row>
    <row r="59" spans="1:50" ht="15.75" customHeight="1">
      <c r="A59" s="175" t="s">
        <v>61</v>
      </c>
      <c r="B59" s="126" t="s">
        <v>26</v>
      </c>
      <c r="C59" s="16">
        <v>64</v>
      </c>
      <c r="D59" s="16">
        <v>9</v>
      </c>
      <c r="E59" s="16">
        <v>9</v>
      </c>
      <c r="F59" s="16">
        <v>46</v>
      </c>
      <c r="G59" s="16">
        <v>15</v>
      </c>
      <c r="H59" s="16">
        <v>0</v>
      </c>
      <c r="I59" s="16">
        <v>0</v>
      </c>
      <c r="J59" s="16">
        <v>15</v>
      </c>
      <c r="K59" s="16">
        <v>31</v>
      </c>
      <c r="L59" s="16">
        <v>3</v>
      </c>
      <c r="M59" s="16">
        <v>3</v>
      </c>
      <c r="N59" s="16">
        <v>25</v>
      </c>
      <c r="O59" s="16">
        <v>16</v>
      </c>
      <c r="P59" s="16">
        <v>6</v>
      </c>
      <c r="Q59" s="16">
        <v>6</v>
      </c>
      <c r="R59" s="16">
        <v>4</v>
      </c>
      <c r="S59" s="16">
        <v>0</v>
      </c>
      <c r="T59" s="16">
        <v>0</v>
      </c>
      <c r="U59" s="16">
        <v>0</v>
      </c>
      <c r="V59" s="16">
        <v>0</v>
      </c>
      <c r="W59" s="16">
        <v>2</v>
      </c>
      <c r="X59" s="16">
        <v>0</v>
      </c>
      <c r="Y59" s="16">
        <v>0</v>
      </c>
      <c r="Z59" s="16">
        <v>2</v>
      </c>
      <c r="AA59" s="16">
        <v>193</v>
      </c>
      <c r="AB59" s="16">
        <v>20</v>
      </c>
      <c r="AC59" s="16">
        <v>25</v>
      </c>
      <c r="AD59" s="16">
        <v>148</v>
      </c>
      <c r="AE59" s="16">
        <v>68</v>
      </c>
      <c r="AF59" s="16">
        <v>2</v>
      </c>
      <c r="AG59" s="16">
        <v>1</v>
      </c>
      <c r="AH59" s="16">
        <v>65</v>
      </c>
      <c r="AI59" s="16">
        <v>77</v>
      </c>
      <c r="AJ59" s="16">
        <v>6</v>
      </c>
      <c r="AK59" s="16">
        <v>8</v>
      </c>
      <c r="AL59" s="16">
        <v>63</v>
      </c>
      <c r="AM59" s="16">
        <v>27</v>
      </c>
      <c r="AN59" s="16">
        <v>8</v>
      </c>
      <c r="AO59" s="16">
        <v>12</v>
      </c>
      <c r="AP59" s="16">
        <v>7</v>
      </c>
      <c r="AQ59" s="16">
        <v>0</v>
      </c>
      <c r="AR59" s="16">
        <v>0</v>
      </c>
      <c r="AS59" s="16">
        <v>0</v>
      </c>
      <c r="AT59" s="16">
        <v>0</v>
      </c>
      <c r="AU59" s="16">
        <v>21</v>
      </c>
      <c r="AV59" s="16">
        <v>4</v>
      </c>
      <c r="AW59" s="16">
        <v>4</v>
      </c>
      <c r="AX59" s="16">
        <v>13</v>
      </c>
    </row>
    <row r="60" spans="1:50" ht="15.75" customHeight="1">
      <c r="A60" s="176"/>
      <c r="B60" s="126" t="s">
        <v>27</v>
      </c>
      <c r="C60" s="16">
        <v>108</v>
      </c>
      <c r="D60" s="16">
        <v>9</v>
      </c>
      <c r="E60" s="16">
        <v>5</v>
      </c>
      <c r="F60" s="16">
        <v>94</v>
      </c>
      <c r="G60" s="16">
        <v>49</v>
      </c>
      <c r="H60" s="16">
        <v>3</v>
      </c>
      <c r="I60" s="16">
        <v>0</v>
      </c>
      <c r="J60" s="16">
        <v>46</v>
      </c>
      <c r="K60" s="16">
        <v>40</v>
      </c>
      <c r="L60" s="16">
        <v>3</v>
      </c>
      <c r="M60" s="16">
        <v>0</v>
      </c>
      <c r="N60" s="16">
        <v>37</v>
      </c>
      <c r="O60" s="16">
        <v>8</v>
      </c>
      <c r="P60" s="16">
        <v>2</v>
      </c>
      <c r="Q60" s="16">
        <v>3</v>
      </c>
      <c r="R60" s="16">
        <v>3</v>
      </c>
      <c r="S60" s="16">
        <v>1</v>
      </c>
      <c r="T60" s="16">
        <v>1</v>
      </c>
      <c r="U60" s="16">
        <v>0</v>
      </c>
      <c r="V60" s="16">
        <v>0</v>
      </c>
      <c r="W60" s="16">
        <v>10</v>
      </c>
      <c r="X60" s="16">
        <v>0</v>
      </c>
      <c r="Y60" s="16">
        <v>2</v>
      </c>
      <c r="Z60" s="16">
        <v>8</v>
      </c>
      <c r="AA60" s="16">
        <v>303</v>
      </c>
      <c r="AB60" s="16">
        <v>21</v>
      </c>
      <c r="AC60" s="16">
        <v>15</v>
      </c>
      <c r="AD60" s="16">
        <v>267</v>
      </c>
      <c r="AE60" s="16">
        <v>153</v>
      </c>
      <c r="AF60" s="16">
        <v>10</v>
      </c>
      <c r="AG60" s="16">
        <v>0</v>
      </c>
      <c r="AH60" s="16">
        <v>143</v>
      </c>
      <c r="AI60" s="16">
        <v>93</v>
      </c>
      <c r="AJ60" s="16">
        <v>5</v>
      </c>
      <c r="AK60" s="16">
        <v>2</v>
      </c>
      <c r="AL60" s="16">
        <v>86</v>
      </c>
      <c r="AM60" s="16">
        <v>18</v>
      </c>
      <c r="AN60" s="16">
        <v>3</v>
      </c>
      <c r="AO60" s="16">
        <v>8</v>
      </c>
      <c r="AP60" s="16">
        <v>7</v>
      </c>
      <c r="AQ60" s="16">
        <v>1</v>
      </c>
      <c r="AR60" s="16">
        <v>1</v>
      </c>
      <c r="AS60" s="16">
        <v>0</v>
      </c>
      <c r="AT60" s="16">
        <v>0</v>
      </c>
      <c r="AU60" s="16">
        <v>38</v>
      </c>
      <c r="AV60" s="16">
        <v>2</v>
      </c>
      <c r="AW60" s="16">
        <v>5</v>
      </c>
      <c r="AX60" s="16">
        <v>31</v>
      </c>
    </row>
    <row r="61" spans="1:50" ht="15.75" customHeight="1">
      <c r="A61" s="14" t="s">
        <v>62</v>
      </c>
      <c r="B61" s="125" t="s">
        <v>24</v>
      </c>
      <c r="C61" s="15">
        <v>327</v>
      </c>
      <c r="D61" s="15">
        <v>37</v>
      </c>
      <c r="E61" s="15">
        <v>58</v>
      </c>
      <c r="F61" s="15">
        <v>232</v>
      </c>
      <c r="G61" s="15">
        <v>77</v>
      </c>
      <c r="H61" s="15">
        <v>6</v>
      </c>
      <c r="I61" s="15">
        <v>3</v>
      </c>
      <c r="J61" s="15">
        <v>68</v>
      </c>
      <c r="K61" s="15">
        <v>132</v>
      </c>
      <c r="L61" s="15">
        <v>11</v>
      </c>
      <c r="M61" s="15">
        <v>22</v>
      </c>
      <c r="N61" s="15">
        <v>99</v>
      </c>
      <c r="O61" s="15">
        <v>67</v>
      </c>
      <c r="P61" s="15">
        <v>12</v>
      </c>
      <c r="Q61" s="15">
        <v>26</v>
      </c>
      <c r="R61" s="15">
        <v>29</v>
      </c>
      <c r="S61" s="15">
        <v>1</v>
      </c>
      <c r="T61" s="15">
        <v>0</v>
      </c>
      <c r="U61" s="15">
        <v>0</v>
      </c>
      <c r="V61" s="15">
        <v>1</v>
      </c>
      <c r="W61" s="15">
        <v>50</v>
      </c>
      <c r="X61" s="15">
        <v>8</v>
      </c>
      <c r="Y61" s="15">
        <v>7</v>
      </c>
      <c r="Z61" s="15">
        <v>35</v>
      </c>
      <c r="AA61" s="15">
        <v>327</v>
      </c>
      <c r="AB61" s="15">
        <v>37</v>
      </c>
      <c r="AC61" s="15">
        <v>58</v>
      </c>
      <c r="AD61" s="15">
        <v>232</v>
      </c>
      <c r="AE61" s="15">
        <v>77</v>
      </c>
      <c r="AF61" s="15">
        <v>6</v>
      </c>
      <c r="AG61" s="15">
        <v>3</v>
      </c>
      <c r="AH61" s="15">
        <v>68</v>
      </c>
      <c r="AI61" s="15">
        <v>132</v>
      </c>
      <c r="AJ61" s="15">
        <v>11</v>
      </c>
      <c r="AK61" s="15">
        <v>22</v>
      </c>
      <c r="AL61" s="15">
        <v>99</v>
      </c>
      <c r="AM61" s="15">
        <v>67</v>
      </c>
      <c r="AN61" s="15">
        <v>12</v>
      </c>
      <c r="AO61" s="15">
        <v>26</v>
      </c>
      <c r="AP61" s="15">
        <v>29</v>
      </c>
      <c r="AQ61" s="15">
        <v>1</v>
      </c>
      <c r="AR61" s="15">
        <v>0</v>
      </c>
      <c r="AS61" s="15">
        <v>0</v>
      </c>
      <c r="AT61" s="15">
        <v>1</v>
      </c>
      <c r="AU61" s="15">
        <v>50</v>
      </c>
      <c r="AV61" s="15">
        <v>8</v>
      </c>
      <c r="AW61" s="15">
        <v>7</v>
      </c>
      <c r="AX61" s="15">
        <v>35</v>
      </c>
    </row>
    <row r="62" spans="1:50" ht="15.75" customHeight="1">
      <c r="A62" s="175" t="s">
        <v>63</v>
      </c>
      <c r="B62" s="126" t="s">
        <v>26</v>
      </c>
      <c r="C62" s="16">
        <v>159</v>
      </c>
      <c r="D62" s="16">
        <v>22</v>
      </c>
      <c r="E62" s="16">
        <v>30</v>
      </c>
      <c r="F62" s="16">
        <v>107</v>
      </c>
      <c r="G62" s="16">
        <v>31</v>
      </c>
      <c r="H62" s="16">
        <v>4</v>
      </c>
      <c r="I62" s="16">
        <v>1</v>
      </c>
      <c r="J62" s="16">
        <v>26</v>
      </c>
      <c r="K62" s="16">
        <v>61</v>
      </c>
      <c r="L62" s="16">
        <v>5</v>
      </c>
      <c r="M62" s="16">
        <v>12</v>
      </c>
      <c r="N62" s="16">
        <v>44</v>
      </c>
      <c r="O62" s="16">
        <v>46</v>
      </c>
      <c r="P62" s="16">
        <v>8</v>
      </c>
      <c r="Q62" s="16">
        <v>15</v>
      </c>
      <c r="R62" s="16">
        <v>23</v>
      </c>
      <c r="S62" s="16">
        <v>0</v>
      </c>
      <c r="T62" s="16">
        <v>0</v>
      </c>
      <c r="U62" s="16">
        <v>0</v>
      </c>
      <c r="V62" s="16">
        <v>0</v>
      </c>
      <c r="W62" s="16">
        <v>21</v>
      </c>
      <c r="X62" s="16">
        <v>5</v>
      </c>
      <c r="Y62" s="16">
        <v>2</v>
      </c>
      <c r="Z62" s="16">
        <v>14</v>
      </c>
      <c r="AA62" s="16">
        <v>159</v>
      </c>
      <c r="AB62" s="16">
        <v>22</v>
      </c>
      <c r="AC62" s="16">
        <v>30</v>
      </c>
      <c r="AD62" s="16">
        <v>107</v>
      </c>
      <c r="AE62" s="16">
        <v>31</v>
      </c>
      <c r="AF62" s="16">
        <v>4</v>
      </c>
      <c r="AG62" s="16">
        <v>1</v>
      </c>
      <c r="AH62" s="16">
        <v>26</v>
      </c>
      <c r="AI62" s="16">
        <v>61</v>
      </c>
      <c r="AJ62" s="16">
        <v>5</v>
      </c>
      <c r="AK62" s="16">
        <v>12</v>
      </c>
      <c r="AL62" s="16">
        <v>44</v>
      </c>
      <c r="AM62" s="16">
        <v>46</v>
      </c>
      <c r="AN62" s="16">
        <v>8</v>
      </c>
      <c r="AO62" s="16">
        <v>15</v>
      </c>
      <c r="AP62" s="16">
        <v>23</v>
      </c>
      <c r="AQ62" s="16">
        <v>0</v>
      </c>
      <c r="AR62" s="16">
        <v>0</v>
      </c>
      <c r="AS62" s="16">
        <v>0</v>
      </c>
      <c r="AT62" s="16">
        <v>0</v>
      </c>
      <c r="AU62" s="16">
        <v>21</v>
      </c>
      <c r="AV62" s="16">
        <v>5</v>
      </c>
      <c r="AW62" s="16">
        <v>2</v>
      </c>
      <c r="AX62" s="16">
        <v>14</v>
      </c>
    </row>
    <row r="63" spans="1:50" ht="15.75" customHeight="1">
      <c r="A63" s="176"/>
      <c r="B63" s="126" t="s">
        <v>27</v>
      </c>
      <c r="C63" s="16">
        <v>168</v>
      </c>
      <c r="D63" s="16">
        <v>15</v>
      </c>
      <c r="E63" s="16">
        <v>28</v>
      </c>
      <c r="F63" s="16">
        <v>125</v>
      </c>
      <c r="G63" s="16">
        <v>46</v>
      </c>
      <c r="H63" s="16">
        <v>2</v>
      </c>
      <c r="I63" s="16">
        <v>2</v>
      </c>
      <c r="J63" s="16">
        <v>42</v>
      </c>
      <c r="K63" s="16">
        <v>71</v>
      </c>
      <c r="L63" s="16">
        <v>6</v>
      </c>
      <c r="M63" s="16">
        <v>10</v>
      </c>
      <c r="N63" s="16">
        <v>55</v>
      </c>
      <c r="O63" s="16">
        <v>21</v>
      </c>
      <c r="P63" s="16">
        <v>4</v>
      </c>
      <c r="Q63" s="16">
        <v>11</v>
      </c>
      <c r="R63" s="16">
        <v>6</v>
      </c>
      <c r="S63" s="16">
        <v>1</v>
      </c>
      <c r="T63" s="16">
        <v>0</v>
      </c>
      <c r="U63" s="16">
        <v>0</v>
      </c>
      <c r="V63" s="16">
        <v>1</v>
      </c>
      <c r="W63" s="16">
        <v>29</v>
      </c>
      <c r="X63" s="16">
        <v>3</v>
      </c>
      <c r="Y63" s="16">
        <v>5</v>
      </c>
      <c r="Z63" s="16">
        <v>21</v>
      </c>
      <c r="AA63" s="16">
        <v>168</v>
      </c>
      <c r="AB63" s="16">
        <v>15</v>
      </c>
      <c r="AC63" s="16">
        <v>28</v>
      </c>
      <c r="AD63" s="16">
        <v>125</v>
      </c>
      <c r="AE63" s="16">
        <v>46</v>
      </c>
      <c r="AF63" s="16">
        <v>2</v>
      </c>
      <c r="AG63" s="16">
        <v>2</v>
      </c>
      <c r="AH63" s="16">
        <v>42</v>
      </c>
      <c r="AI63" s="16">
        <v>71</v>
      </c>
      <c r="AJ63" s="16">
        <v>6</v>
      </c>
      <c r="AK63" s="16">
        <v>10</v>
      </c>
      <c r="AL63" s="16">
        <v>55</v>
      </c>
      <c r="AM63" s="16">
        <v>21</v>
      </c>
      <c r="AN63" s="16">
        <v>4</v>
      </c>
      <c r="AO63" s="16">
        <v>11</v>
      </c>
      <c r="AP63" s="16">
        <v>6</v>
      </c>
      <c r="AQ63" s="16">
        <v>1</v>
      </c>
      <c r="AR63" s="16">
        <v>0</v>
      </c>
      <c r="AS63" s="16">
        <v>0</v>
      </c>
      <c r="AT63" s="16">
        <v>1</v>
      </c>
      <c r="AU63" s="16">
        <v>29</v>
      </c>
      <c r="AV63" s="16">
        <v>3</v>
      </c>
      <c r="AW63" s="16">
        <v>5</v>
      </c>
      <c r="AX63" s="16">
        <v>21</v>
      </c>
    </row>
    <row r="64" spans="1:50" ht="15.75" customHeight="1">
      <c r="A64" s="14" t="s">
        <v>64</v>
      </c>
      <c r="B64" s="125" t="s">
        <v>24</v>
      </c>
      <c r="C64" s="15">
        <v>654</v>
      </c>
      <c r="D64" s="15">
        <v>38</v>
      </c>
      <c r="E64" s="15">
        <v>57</v>
      </c>
      <c r="F64" s="15">
        <v>559</v>
      </c>
      <c r="G64" s="15">
        <v>187</v>
      </c>
      <c r="H64" s="15">
        <v>2</v>
      </c>
      <c r="I64" s="15">
        <v>4</v>
      </c>
      <c r="J64" s="15">
        <v>181</v>
      </c>
      <c r="K64" s="15">
        <v>273</v>
      </c>
      <c r="L64" s="15">
        <v>14</v>
      </c>
      <c r="M64" s="15">
        <v>23</v>
      </c>
      <c r="N64" s="15">
        <v>236</v>
      </c>
      <c r="O64" s="15">
        <v>73</v>
      </c>
      <c r="P64" s="15">
        <v>14</v>
      </c>
      <c r="Q64" s="15">
        <v>19</v>
      </c>
      <c r="R64" s="15">
        <v>40</v>
      </c>
      <c r="S64" s="15">
        <v>1</v>
      </c>
      <c r="T64" s="15">
        <v>0</v>
      </c>
      <c r="U64" s="15">
        <v>0</v>
      </c>
      <c r="V64" s="15">
        <v>1</v>
      </c>
      <c r="W64" s="15">
        <v>120</v>
      </c>
      <c r="X64" s="15">
        <v>8</v>
      </c>
      <c r="Y64" s="15">
        <v>11</v>
      </c>
      <c r="Z64" s="15">
        <v>101</v>
      </c>
      <c r="AA64" s="15">
        <v>1931</v>
      </c>
      <c r="AB64" s="15">
        <v>133</v>
      </c>
      <c r="AC64" s="15">
        <v>156</v>
      </c>
      <c r="AD64" s="15">
        <v>1642</v>
      </c>
      <c r="AE64" s="15">
        <v>610</v>
      </c>
      <c r="AF64" s="15">
        <v>21</v>
      </c>
      <c r="AG64" s="15">
        <v>10</v>
      </c>
      <c r="AH64" s="15">
        <v>579</v>
      </c>
      <c r="AI64" s="15">
        <v>732</v>
      </c>
      <c r="AJ64" s="15">
        <v>48</v>
      </c>
      <c r="AK64" s="15">
        <v>70</v>
      </c>
      <c r="AL64" s="15">
        <v>614</v>
      </c>
      <c r="AM64" s="15">
        <v>172</v>
      </c>
      <c r="AN64" s="15">
        <v>34</v>
      </c>
      <c r="AO64" s="15">
        <v>39</v>
      </c>
      <c r="AP64" s="15">
        <v>99</v>
      </c>
      <c r="AQ64" s="15">
        <v>1</v>
      </c>
      <c r="AR64" s="15">
        <v>0</v>
      </c>
      <c r="AS64" s="15">
        <v>0</v>
      </c>
      <c r="AT64" s="15">
        <v>1</v>
      </c>
      <c r="AU64" s="15">
        <v>416</v>
      </c>
      <c r="AV64" s="15">
        <v>30</v>
      </c>
      <c r="AW64" s="15">
        <v>37</v>
      </c>
      <c r="AX64" s="15">
        <v>349</v>
      </c>
    </row>
    <row r="65" spans="1:50" ht="15.75" customHeight="1">
      <c r="A65" s="175" t="s">
        <v>65</v>
      </c>
      <c r="B65" s="126" t="s">
        <v>26</v>
      </c>
      <c r="C65" s="16">
        <v>309</v>
      </c>
      <c r="D65" s="16">
        <v>17</v>
      </c>
      <c r="E65" s="16">
        <v>28</v>
      </c>
      <c r="F65" s="16">
        <v>264</v>
      </c>
      <c r="G65" s="16">
        <v>74</v>
      </c>
      <c r="H65" s="16">
        <v>0</v>
      </c>
      <c r="I65" s="16">
        <v>1</v>
      </c>
      <c r="J65" s="16">
        <v>73</v>
      </c>
      <c r="K65" s="16">
        <v>136</v>
      </c>
      <c r="L65" s="16">
        <v>6</v>
      </c>
      <c r="M65" s="16">
        <v>12</v>
      </c>
      <c r="N65" s="16">
        <v>118</v>
      </c>
      <c r="O65" s="16">
        <v>44</v>
      </c>
      <c r="P65" s="16">
        <v>10</v>
      </c>
      <c r="Q65" s="16">
        <v>11</v>
      </c>
      <c r="R65" s="16">
        <v>23</v>
      </c>
      <c r="S65" s="16">
        <v>1</v>
      </c>
      <c r="T65" s="16">
        <v>0</v>
      </c>
      <c r="U65" s="16">
        <v>0</v>
      </c>
      <c r="V65" s="16">
        <v>1</v>
      </c>
      <c r="W65" s="16">
        <v>54</v>
      </c>
      <c r="X65" s="16">
        <v>1</v>
      </c>
      <c r="Y65" s="16">
        <v>4</v>
      </c>
      <c r="Z65" s="16">
        <v>49</v>
      </c>
      <c r="AA65" s="16">
        <v>876</v>
      </c>
      <c r="AB65" s="16">
        <v>65</v>
      </c>
      <c r="AC65" s="16">
        <v>83</v>
      </c>
      <c r="AD65" s="16">
        <v>728</v>
      </c>
      <c r="AE65" s="16">
        <v>236</v>
      </c>
      <c r="AF65" s="16">
        <v>4</v>
      </c>
      <c r="AG65" s="16">
        <v>6</v>
      </c>
      <c r="AH65" s="16">
        <v>226</v>
      </c>
      <c r="AI65" s="16">
        <v>365</v>
      </c>
      <c r="AJ65" s="16">
        <v>24</v>
      </c>
      <c r="AK65" s="16">
        <v>38</v>
      </c>
      <c r="AL65" s="16">
        <v>303</v>
      </c>
      <c r="AM65" s="16">
        <v>109</v>
      </c>
      <c r="AN65" s="16">
        <v>26</v>
      </c>
      <c r="AO65" s="16">
        <v>25</v>
      </c>
      <c r="AP65" s="16">
        <v>58</v>
      </c>
      <c r="AQ65" s="16">
        <v>1</v>
      </c>
      <c r="AR65" s="16">
        <v>0</v>
      </c>
      <c r="AS65" s="16">
        <v>0</v>
      </c>
      <c r="AT65" s="16">
        <v>1</v>
      </c>
      <c r="AU65" s="16">
        <v>165</v>
      </c>
      <c r="AV65" s="16">
        <v>11</v>
      </c>
      <c r="AW65" s="16">
        <v>14</v>
      </c>
      <c r="AX65" s="16">
        <v>140</v>
      </c>
    </row>
    <row r="66" spans="1:50" ht="15.75" customHeight="1">
      <c r="A66" s="176"/>
      <c r="B66" s="126" t="s">
        <v>27</v>
      </c>
      <c r="C66" s="16">
        <v>345</v>
      </c>
      <c r="D66" s="16">
        <v>21</v>
      </c>
      <c r="E66" s="16">
        <v>29</v>
      </c>
      <c r="F66" s="16">
        <v>295</v>
      </c>
      <c r="G66" s="16">
        <v>113</v>
      </c>
      <c r="H66" s="16">
        <v>2</v>
      </c>
      <c r="I66" s="16">
        <v>3</v>
      </c>
      <c r="J66" s="16">
        <v>108</v>
      </c>
      <c r="K66" s="16">
        <v>137</v>
      </c>
      <c r="L66" s="16">
        <v>8</v>
      </c>
      <c r="M66" s="16">
        <v>11</v>
      </c>
      <c r="N66" s="16">
        <v>118</v>
      </c>
      <c r="O66" s="16">
        <v>29</v>
      </c>
      <c r="P66" s="16">
        <v>4</v>
      </c>
      <c r="Q66" s="16">
        <v>8</v>
      </c>
      <c r="R66" s="16">
        <v>17</v>
      </c>
      <c r="S66" s="16">
        <v>0</v>
      </c>
      <c r="T66" s="16">
        <v>0</v>
      </c>
      <c r="U66" s="16">
        <v>0</v>
      </c>
      <c r="V66" s="16">
        <v>0</v>
      </c>
      <c r="W66" s="16">
        <v>66</v>
      </c>
      <c r="X66" s="16">
        <v>7</v>
      </c>
      <c r="Y66" s="16">
        <v>7</v>
      </c>
      <c r="Z66" s="16">
        <v>52</v>
      </c>
      <c r="AA66" s="16">
        <v>1055</v>
      </c>
      <c r="AB66" s="16">
        <v>68</v>
      </c>
      <c r="AC66" s="16">
        <v>73</v>
      </c>
      <c r="AD66" s="16">
        <v>914</v>
      </c>
      <c r="AE66" s="16">
        <v>374</v>
      </c>
      <c r="AF66" s="16">
        <v>17</v>
      </c>
      <c r="AG66" s="16">
        <v>4</v>
      </c>
      <c r="AH66" s="16">
        <v>353</v>
      </c>
      <c r="AI66" s="16">
        <v>367</v>
      </c>
      <c r="AJ66" s="16">
        <v>24</v>
      </c>
      <c r="AK66" s="16">
        <v>32</v>
      </c>
      <c r="AL66" s="16">
        <v>311</v>
      </c>
      <c r="AM66" s="16">
        <v>63</v>
      </c>
      <c r="AN66" s="16">
        <v>8</v>
      </c>
      <c r="AO66" s="16">
        <v>14</v>
      </c>
      <c r="AP66" s="16">
        <v>41</v>
      </c>
      <c r="AQ66" s="16">
        <v>0</v>
      </c>
      <c r="AR66" s="16">
        <v>0</v>
      </c>
      <c r="AS66" s="16">
        <v>0</v>
      </c>
      <c r="AT66" s="16">
        <v>0</v>
      </c>
      <c r="AU66" s="16">
        <v>251</v>
      </c>
      <c r="AV66" s="16">
        <v>19</v>
      </c>
      <c r="AW66" s="16">
        <v>23</v>
      </c>
      <c r="AX66" s="16">
        <v>209</v>
      </c>
    </row>
    <row r="67" spans="1:50" ht="15.75" customHeight="1">
      <c r="A67" s="14" t="s">
        <v>66</v>
      </c>
      <c r="B67" s="125" t="s">
        <v>24</v>
      </c>
      <c r="C67" s="15">
        <v>262</v>
      </c>
      <c r="D67" s="15">
        <v>50</v>
      </c>
      <c r="E67" s="15">
        <v>29</v>
      </c>
      <c r="F67" s="15">
        <v>183</v>
      </c>
      <c r="G67" s="15">
        <v>105</v>
      </c>
      <c r="H67" s="15">
        <v>14</v>
      </c>
      <c r="I67" s="15">
        <v>2</v>
      </c>
      <c r="J67" s="15">
        <v>89</v>
      </c>
      <c r="K67" s="15">
        <v>74</v>
      </c>
      <c r="L67" s="15">
        <v>12</v>
      </c>
      <c r="M67" s="15">
        <v>10</v>
      </c>
      <c r="N67" s="15">
        <v>52</v>
      </c>
      <c r="O67" s="15">
        <v>32</v>
      </c>
      <c r="P67" s="15">
        <v>12</v>
      </c>
      <c r="Q67" s="15">
        <v>10</v>
      </c>
      <c r="R67" s="15">
        <v>10</v>
      </c>
      <c r="S67" s="15">
        <v>0</v>
      </c>
      <c r="T67" s="15">
        <v>0</v>
      </c>
      <c r="U67" s="15">
        <v>0</v>
      </c>
      <c r="V67" s="15">
        <v>0</v>
      </c>
      <c r="W67" s="15">
        <v>51</v>
      </c>
      <c r="X67" s="15">
        <v>12</v>
      </c>
      <c r="Y67" s="15">
        <v>7</v>
      </c>
      <c r="Z67" s="15">
        <v>32</v>
      </c>
      <c r="AA67" s="15">
        <v>262</v>
      </c>
      <c r="AB67" s="15">
        <v>50</v>
      </c>
      <c r="AC67" s="15">
        <v>29</v>
      </c>
      <c r="AD67" s="15">
        <v>183</v>
      </c>
      <c r="AE67" s="15">
        <v>105</v>
      </c>
      <c r="AF67" s="15">
        <v>14</v>
      </c>
      <c r="AG67" s="15">
        <v>2</v>
      </c>
      <c r="AH67" s="15">
        <v>89</v>
      </c>
      <c r="AI67" s="15">
        <v>74</v>
      </c>
      <c r="AJ67" s="15">
        <v>12</v>
      </c>
      <c r="AK67" s="15">
        <v>10</v>
      </c>
      <c r="AL67" s="15">
        <v>52</v>
      </c>
      <c r="AM67" s="15">
        <v>32</v>
      </c>
      <c r="AN67" s="15">
        <v>12</v>
      </c>
      <c r="AO67" s="15">
        <v>10</v>
      </c>
      <c r="AP67" s="15">
        <v>10</v>
      </c>
      <c r="AQ67" s="15">
        <v>0</v>
      </c>
      <c r="AR67" s="15">
        <v>0</v>
      </c>
      <c r="AS67" s="15">
        <v>0</v>
      </c>
      <c r="AT67" s="15">
        <v>0</v>
      </c>
      <c r="AU67" s="15">
        <v>51</v>
      </c>
      <c r="AV67" s="15">
        <v>12</v>
      </c>
      <c r="AW67" s="15">
        <v>7</v>
      </c>
      <c r="AX67" s="15">
        <v>32</v>
      </c>
    </row>
    <row r="68" spans="1:50" ht="15.75" customHeight="1">
      <c r="A68" s="175" t="s">
        <v>67</v>
      </c>
      <c r="B68" s="126" t="s">
        <v>26</v>
      </c>
      <c r="C68" s="16">
        <v>125</v>
      </c>
      <c r="D68" s="16">
        <v>21</v>
      </c>
      <c r="E68" s="16">
        <v>17</v>
      </c>
      <c r="F68" s="16">
        <v>87</v>
      </c>
      <c r="G68" s="16">
        <v>43</v>
      </c>
      <c r="H68" s="16">
        <v>3</v>
      </c>
      <c r="I68" s="16">
        <v>1</v>
      </c>
      <c r="J68" s="16">
        <v>39</v>
      </c>
      <c r="K68" s="16">
        <v>41</v>
      </c>
      <c r="L68" s="16">
        <v>4</v>
      </c>
      <c r="M68" s="16">
        <v>8</v>
      </c>
      <c r="N68" s="16">
        <v>29</v>
      </c>
      <c r="O68" s="16">
        <v>20</v>
      </c>
      <c r="P68" s="16">
        <v>8</v>
      </c>
      <c r="Q68" s="16">
        <v>5</v>
      </c>
      <c r="R68" s="16">
        <v>7</v>
      </c>
      <c r="S68" s="16">
        <v>0</v>
      </c>
      <c r="T68" s="16">
        <v>0</v>
      </c>
      <c r="U68" s="16">
        <v>0</v>
      </c>
      <c r="V68" s="16">
        <v>0</v>
      </c>
      <c r="W68" s="16">
        <v>21</v>
      </c>
      <c r="X68" s="16">
        <v>6</v>
      </c>
      <c r="Y68" s="16">
        <v>3</v>
      </c>
      <c r="Z68" s="16">
        <v>12</v>
      </c>
      <c r="AA68" s="16">
        <v>125</v>
      </c>
      <c r="AB68" s="16">
        <v>21</v>
      </c>
      <c r="AC68" s="16">
        <v>17</v>
      </c>
      <c r="AD68" s="16">
        <v>87</v>
      </c>
      <c r="AE68" s="16">
        <v>43</v>
      </c>
      <c r="AF68" s="16">
        <v>3</v>
      </c>
      <c r="AG68" s="16">
        <v>1</v>
      </c>
      <c r="AH68" s="16">
        <v>39</v>
      </c>
      <c r="AI68" s="16">
        <v>41</v>
      </c>
      <c r="AJ68" s="16">
        <v>4</v>
      </c>
      <c r="AK68" s="16">
        <v>8</v>
      </c>
      <c r="AL68" s="16">
        <v>29</v>
      </c>
      <c r="AM68" s="16">
        <v>20</v>
      </c>
      <c r="AN68" s="16">
        <v>8</v>
      </c>
      <c r="AO68" s="16">
        <v>5</v>
      </c>
      <c r="AP68" s="16">
        <v>7</v>
      </c>
      <c r="AQ68" s="16">
        <v>0</v>
      </c>
      <c r="AR68" s="16">
        <v>0</v>
      </c>
      <c r="AS68" s="16">
        <v>0</v>
      </c>
      <c r="AT68" s="16">
        <v>0</v>
      </c>
      <c r="AU68" s="16">
        <v>21</v>
      </c>
      <c r="AV68" s="16">
        <v>6</v>
      </c>
      <c r="AW68" s="16">
        <v>3</v>
      </c>
      <c r="AX68" s="16">
        <v>12</v>
      </c>
    </row>
    <row r="69" spans="1:50" ht="15.75" customHeight="1">
      <c r="A69" s="176"/>
      <c r="B69" s="126" t="s">
        <v>27</v>
      </c>
      <c r="C69" s="16">
        <v>137</v>
      </c>
      <c r="D69" s="16">
        <v>29</v>
      </c>
      <c r="E69" s="16">
        <v>12</v>
      </c>
      <c r="F69" s="16">
        <v>96</v>
      </c>
      <c r="G69" s="16">
        <v>62</v>
      </c>
      <c r="H69" s="16">
        <v>11</v>
      </c>
      <c r="I69" s="16">
        <v>1</v>
      </c>
      <c r="J69" s="16">
        <v>50</v>
      </c>
      <c r="K69" s="16">
        <v>33</v>
      </c>
      <c r="L69" s="16">
        <v>8</v>
      </c>
      <c r="M69" s="16">
        <v>2</v>
      </c>
      <c r="N69" s="16">
        <v>23</v>
      </c>
      <c r="O69" s="16">
        <v>12</v>
      </c>
      <c r="P69" s="16">
        <v>4</v>
      </c>
      <c r="Q69" s="16">
        <v>5</v>
      </c>
      <c r="R69" s="16">
        <v>3</v>
      </c>
      <c r="S69" s="16">
        <v>0</v>
      </c>
      <c r="T69" s="16">
        <v>0</v>
      </c>
      <c r="U69" s="16">
        <v>0</v>
      </c>
      <c r="V69" s="16">
        <v>0</v>
      </c>
      <c r="W69" s="16">
        <v>30</v>
      </c>
      <c r="X69" s="16">
        <v>6</v>
      </c>
      <c r="Y69" s="16">
        <v>4</v>
      </c>
      <c r="Z69" s="16">
        <v>20</v>
      </c>
      <c r="AA69" s="16">
        <v>137</v>
      </c>
      <c r="AB69" s="16">
        <v>29</v>
      </c>
      <c r="AC69" s="16">
        <v>12</v>
      </c>
      <c r="AD69" s="16">
        <v>96</v>
      </c>
      <c r="AE69" s="16">
        <v>62</v>
      </c>
      <c r="AF69" s="16">
        <v>11</v>
      </c>
      <c r="AG69" s="16">
        <v>1</v>
      </c>
      <c r="AH69" s="16">
        <v>50</v>
      </c>
      <c r="AI69" s="16">
        <v>33</v>
      </c>
      <c r="AJ69" s="16">
        <v>8</v>
      </c>
      <c r="AK69" s="16">
        <v>2</v>
      </c>
      <c r="AL69" s="16">
        <v>23</v>
      </c>
      <c r="AM69" s="16">
        <v>12</v>
      </c>
      <c r="AN69" s="16">
        <v>4</v>
      </c>
      <c r="AO69" s="16">
        <v>5</v>
      </c>
      <c r="AP69" s="16">
        <v>3</v>
      </c>
      <c r="AQ69" s="16">
        <v>0</v>
      </c>
      <c r="AR69" s="16">
        <v>0</v>
      </c>
      <c r="AS69" s="16">
        <v>0</v>
      </c>
      <c r="AT69" s="16">
        <v>0</v>
      </c>
      <c r="AU69" s="16">
        <v>30</v>
      </c>
      <c r="AV69" s="16">
        <v>6</v>
      </c>
      <c r="AW69" s="16">
        <v>4</v>
      </c>
      <c r="AX69" s="16">
        <v>20</v>
      </c>
    </row>
    <row r="70" spans="1:50" ht="15.75" customHeight="1">
      <c r="A70" s="14" t="s">
        <v>68</v>
      </c>
      <c r="B70" s="125" t="s">
        <v>24</v>
      </c>
      <c r="C70" s="15">
        <v>202</v>
      </c>
      <c r="D70" s="15">
        <v>5</v>
      </c>
      <c r="E70" s="15">
        <v>3</v>
      </c>
      <c r="F70" s="15">
        <v>194</v>
      </c>
      <c r="G70" s="15">
        <v>65</v>
      </c>
      <c r="H70" s="15">
        <v>0</v>
      </c>
      <c r="I70" s="15">
        <v>0</v>
      </c>
      <c r="J70" s="15">
        <v>65</v>
      </c>
      <c r="K70" s="15">
        <v>79</v>
      </c>
      <c r="L70" s="15">
        <v>1</v>
      </c>
      <c r="M70" s="15">
        <v>0</v>
      </c>
      <c r="N70" s="15">
        <v>78</v>
      </c>
      <c r="O70" s="15">
        <v>30</v>
      </c>
      <c r="P70" s="15">
        <v>1</v>
      </c>
      <c r="Q70" s="15">
        <v>2</v>
      </c>
      <c r="R70" s="15">
        <v>27</v>
      </c>
      <c r="S70" s="15">
        <v>0</v>
      </c>
      <c r="T70" s="15">
        <v>0</v>
      </c>
      <c r="U70" s="15">
        <v>0</v>
      </c>
      <c r="V70" s="15">
        <v>0</v>
      </c>
      <c r="W70" s="15">
        <v>28</v>
      </c>
      <c r="X70" s="15">
        <v>3</v>
      </c>
      <c r="Y70" s="15">
        <v>1</v>
      </c>
      <c r="Z70" s="15">
        <v>24</v>
      </c>
      <c r="AA70" s="15">
        <v>486</v>
      </c>
      <c r="AB70" s="15">
        <v>9</v>
      </c>
      <c r="AC70" s="15">
        <v>10</v>
      </c>
      <c r="AD70" s="15">
        <v>467</v>
      </c>
      <c r="AE70" s="15">
        <v>170</v>
      </c>
      <c r="AF70" s="15">
        <v>0</v>
      </c>
      <c r="AG70" s="15">
        <v>0</v>
      </c>
      <c r="AH70" s="15">
        <v>170</v>
      </c>
      <c r="AI70" s="15">
        <v>203</v>
      </c>
      <c r="AJ70" s="15">
        <v>2</v>
      </c>
      <c r="AK70" s="15">
        <v>1</v>
      </c>
      <c r="AL70" s="15">
        <v>200</v>
      </c>
      <c r="AM70" s="15">
        <v>63</v>
      </c>
      <c r="AN70" s="15">
        <v>6</v>
      </c>
      <c r="AO70" s="15">
        <v>8</v>
      </c>
      <c r="AP70" s="15">
        <v>49</v>
      </c>
      <c r="AQ70" s="15">
        <v>0</v>
      </c>
      <c r="AR70" s="15">
        <v>0</v>
      </c>
      <c r="AS70" s="15">
        <v>0</v>
      </c>
      <c r="AT70" s="15">
        <v>0</v>
      </c>
      <c r="AU70" s="15">
        <v>50</v>
      </c>
      <c r="AV70" s="15">
        <v>1</v>
      </c>
      <c r="AW70" s="15">
        <v>1</v>
      </c>
      <c r="AX70" s="15">
        <v>48</v>
      </c>
    </row>
    <row r="71" spans="1:50" ht="15.75" customHeight="1">
      <c r="A71" s="175" t="s">
        <v>69</v>
      </c>
      <c r="B71" s="126" t="s">
        <v>26</v>
      </c>
      <c r="C71" s="16">
        <v>94</v>
      </c>
      <c r="D71" s="16">
        <v>3</v>
      </c>
      <c r="E71" s="16">
        <v>2</v>
      </c>
      <c r="F71" s="16">
        <v>89</v>
      </c>
      <c r="G71" s="16">
        <v>22</v>
      </c>
      <c r="H71" s="16">
        <v>0</v>
      </c>
      <c r="I71" s="16">
        <v>0</v>
      </c>
      <c r="J71" s="16">
        <v>22</v>
      </c>
      <c r="K71" s="16">
        <v>37</v>
      </c>
      <c r="L71" s="16">
        <v>0</v>
      </c>
      <c r="M71" s="16">
        <v>0</v>
      </c>
      <c r="N71" s="16">
        <v>37</v>
      </c>
      <c r="O71" s="16">
        <v>23</v>
      </c>
      <c r="P71" s="16">
        <v>1</v>
      </c>
      <c r="Q71" s="16">
        <v>2</v>
      </c>
      <c r="R71" s="16">
        <v>20</v>
      </c>
      <c r="S71" s="16">
        <v>0</v>
      </c>
      <c r="T71" s="16">
        <v>0</v>
      </c>
      <c r="U71" s="16">
        <v>0</v>
      </c>
      <c r="V71" s="16">
        <v>0</v>
      </c>
      <c r="W71" s="16">
        <v>12</v>
      </c>
      <c r="X71" s="16">
        <v>2</v>
      </c>
      <c r="Y71" s="16">
        <v>0</v>
      </c>
      <c r="Z71" s="16">
        <v>10</v>
      </c>
      <c r="AA71" s="16">
        <v>236</v>
      </c>
      <c r="AB71" s="16">
        <v>6</v>
      </c>
      <c r="AC71" s="16">
        <v>7</v>
      </c>
      <c r="AD71" s="16">
        <v>223</v>
      </c>
      <c r="AE71" s="16">
        <v>69</v>
      </c>
      <c r="AF71" s="16">
        <v>0</v>
      </c>
      <c r="AG71" s="16">
        <v>0</v>
      </c>
      <c r="AH71" s="16">
        <v>69</v>
      </c>
      <c r="AI71" s="16">
        <v>100</v>
      </c>
      <c r="AJ71" s="16">
        <v>1</v>
      </c>
      <c r="AK71" s="16">
        <v>0</v>
      </c>
      <c r="AL71" s="16">
        <v>99</v>
      </c>
      <c r="AM71" s="16">
        <v>45</v>
      </c>
      <c r="AN71" s="16">
        <v>5</v>
      </c>
      <c r="AO71" s="16">
        <v>7</v>
      </c>
      <c r="AP71" s="16">
        <v>33</v>
      </c>
      <c r="AQ71" s="16">
        <v>0</v>
      </c>
      <c r="AR71" s="16">
        <v>0</v>
      </c>
      <c r="AS71" s="16">
        <v>0</v>
      </c>
      <c r="AT71" s="16">
        <v>0</v>
      </c>
      <c r="AU71" s="16">
        <v>22</v>
      </c>
      <c r="AV71" s="16">
        <v>0</v>
      </c>
      <c r="AW71" s="16">
        <v>0</v>
      </c>
      <c r="AX71" s="16">
        <v>22</v>
      </c>
    </row>
    <row r="72" spans="1:50" ht="15.75" customHeight="1">
      <c r="A72" s="176"/>
      <c r="B72" s="126" t="s">
        <v>27</v>
      </c>
      <c r="C72" s="16">
        <v>108</v>
      </c>
      <c r="D72" s="16">
        <v>2</v>
      </c>
      <c r="E72" s="16">
        <v>1</v>
      </c>
      <c r="F72" s="16">
        <v>105</v>
      </c>
      <c r="G72" s="16">
        <v>43</v>
      </c>
      <c r="H72" s="16">
        <v>0</v>
      </c>
      <c r="I72" s="16">
        <v>0</v>
      </c>
      <c r="J72" s="16">
        <v>43</v>
      </c>
      <c r="K72" s="16">
        <v>42</v>
      </c>
      <c r="L72" s="16">
        <v>1</v>
      </c>
      <c r="M72" s="16">
        <v>0</v>
      </c>
      <c r="N72" s="16">
        <v>41</v>
      </c>
      <c r="O72" s="16">
        <v>7</v>
      </c>
      <c r="P72" s="16">
        <v>0</v>
      </c>
      <c r="Q72" s="16">
        <v>0</v>
      </c>
      <c r="R72" s="16">
        <v>7</v>
      </c>
      <c r="S72" s="16">
        <v>0</v>
      </c>
      <c r="T72" s="16">
        <v>0</v>
      </c>
      <c r="U72" s="16">
        <v>0</v>
      </c>
      <c r="V72" s="16">
        <v>0</v>
      </c>
      <c r="W72" s="16">
        <v>16</v>
      </c>
      <c r="X72" s="16">
        <v>1</v>
      </c>
      <c r="Y72" s="16">
        <v>1</v>
      </c>
      <c r="Z72" s="16">
        <v>14</v>
      </c>
      <c r="AA72" s="16">
        <v>250</v>
      </c>
      <c r="AB72" s="16">
        <v>3</v>
      </c>
      <c r="AC72" s="16">
        <v>3</v>
      </c>
      <c r="AD72" s="16">
        <v>244</v>
      </c>
      <c r="AE72" s="16">
        <v>101</v>
      </c>
      <c r="AF72" s="16">
        <v>0</v>
      </c>
      <c r="AG72" s="16">
        <v>0</v>
      </c>
      <c r="AH72" s="16">
        <v>101</v>
      </c>
      <c r="AI72" s="16">
        <v>103</v>
      </c>
      <c r="AJ72" s="16">
        <v>1</v>
      </c>
      <c r="AK72" s="16">
        <v>1</v>
      </c>
      <c r="AL72" s="16">
        <v>101</v>
      </c>
      <c r="AM72" s="16">
        <v>18</v>
      </c>
      <c r="AN72" s="16">
        <v>1</v>
      </c>
      <c r="AO72" s="16">
        <v>1</v>
      </c>
      <c r="AP72" s="16">
        <v>16</v>
      </c>
      <c r="AQ72" s="16">
        <v>0</v>
      </c>
      <c r="AR72" s="16">
        <v>0</v>
      </c>
      <c r="AS72" s="16">
        <v>0</v>
      </c>
      <c r="AT72" s="16">
        <v>0</v>
      </c>
      <c r="AU72" s="16">
        <v>28</v>
      </c>
      <c r="AV72" s="16">
        <v>1</v>
      </c>
      <c r="AW72" s="16">
        <v>1</v>
      </c>
      <c r="AX72" s="16">
        <v>26</v>
      </c>
    </row>
    <row r="73" spans="1:50" ht="15.75" customHeight="1">
      <c r="A73" s="14" t="s">
        <v>70</v>
      </c>
      <c r="B73" s="125" t="s">
        <v>24</v>
      </c>
      <c r="C73" s="15">
        <v>6</v>
      </c>
      <c r="D73" s="15">
        <v>1</v>
      </c>
      <c r="E73" s="15">
        <v>0</v>
      </c>
      <c r="F73" s="15">
        <v>5</v>
      </c>
      <c r="G73" s="15">
        <v>1</v>
      </c>
      <c r="H73" s="15">
        <v>0</v>
      </c>
      <c r="I73" s="15">
        <v>0</v>
      </c>
      <c r="J73" s="15">
        <v>1</v>
      </c>
      <c r="K73" s="15">
        <v>1</v>
      </c>
      <c r="L73" s="15">
        <v>0</v>
      </c>
      <c r="M73" s="15">
        <v>0</v>
      </c>
      <c r="N73" s="15">
        <v>1</v>
      </c>
      <c r="O73" s="15">
        <v>1</v>
      </c>
      <c r="P73" s="15">
        <v>0</v>
      </c>
      <c r="Q73" s="15">
        <v>0</v>
      </c>
      <c r="R73" s="15">
        <v>1</v>
      </c>
      <c r="S73" s="15">
        <v>0</v>
      </c>
      <c r="T73" s="15">
        <v>0</v>
      </c>
      <c r="U73" s="15">
        <v>0</v>
      </c>
      <c r="V73" s="15">
        <v>0</v>
      </c>
      <c r="W73" s="15">
        <v>3</v>
      </c>
      <c r="X73" s="15">
        <v>1</v>
      </c>
      <c r="Y73" s="15">
        <v>0</v>
      </c>
      <c r="Z73" s="15">
        <v>2</v>
      </c>
      <c r="AA73" s="15">
        <v>13</v>
      </c>
      <c r="AB73" s="15">
        <v>1</v>
      </c>
      <c r="AC73" s="15">
        <v>1</v>
      </c>
      <c r="AD73" s="15">
        <v>11</v>
      </c>
      <c r="AE73" s="15">
        <v>4</v>
      </c>
      <c r="AF73" s="15">
        <v>0</v>
      </c>
      <c r="AG73" s="15">
        <v>0</v>
      </c>
      <c r="AH73" s="15">
        <v>4</v>
      </c>
      <c r="AI73" s="15">
        <v>3</v>
      </c>
      <c r="AJ73" s="15">
        <v>0</v>
      </c>
      <c r="AK73" s="15">
        <v>0</v>
      </c>
      <c r="AL73" s="15">
        <v>3</v>
      </c>
      <c r="AM73" s="15">
        <v>2</v>
      </c>
      <c r="AN73" s="15">
        <v>0</v>
      </c>
      <c r="AO73" s="15">
        <v>1</v>
      </c>
      <c r="AP73" s="15">
        <v>1</v>
      </c>
      <c r="AQ73" s="15">
        <v>0</v>
      </c>
      <c r="AR73" s="15">
        <v>0</v>
      </c>
      <c r="AS73" s="15">
        <v>0</v>
      </c>
      <c r="AT73" s="15">
        <v>0</v>
      </c>
      <c r="AU73" s="15">
        <v>4</v>
      </c>
      <c r="AV73" s="15">
        <v>1</v>
      </c>
      <c r="AW73" s="15">
        <v>0</v>
      </c>
      <c r="AX73" s="15">
        <v>3</v>
      </c>
    </row>
    <row r="74" spans="1:50" ht="15.75" customHeight="1">
      <c r="A74" s="175" t="s">
        <v>71</v>
      </c>
      <c r="B74" s="126" t="s">
        <v>26</v>
      </c>
      <c r="C74" s="16">
        <v>2</v>
      </c>
      <c r="D74" s="16">
        <v>1</v>
      </c>
      <c r="E74" s="16">
        <v>0</v>
      </c>
      <c r="F74" s="16">
        <v>1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2</v>
      </c>
      <c r="X74" s="16">
        <v>1</v>
      </c>
      <c r="Y74" s="16">
        <v>0</v>
      </c>
      <c r="Z74" s="16">
        <v>1</v>
      </c>
      <c r="AA74" s="16">
        <v>6</v>
      </c>
      <c r="AB74" s="16">
        <v>1</v>
      </c>
      <c r="AC74" s="16">
        <v>1</v>
      </c>
      <c r="AD74" s="16">
        <v>4</v>
      </c>
      <c r="AE74" s="16">
        <v>1</v>
      </c>
      <c r="AF74" s="16">
        <v>0</v>
      </c>
      <c r="AG74" s="16">
        <v>0</v>
      </c>
      <c r="AH74" s="16">
        <v>1</v>
      </c>
      <c r="AI74" s="16">
        <v>1</v>
      </c>
      <c r="AJ74" s="16">
        <v>0</v>
      </c>
      <c r="AK74" s="16">
        <v>0</v>
      </c>
      <c r="AL74" s="16">
        <v>1</v>
      </c>
      <c r="AM74" s="16">
        <v>1</v>
      </c>
      <c r="AN74" s="16">
        <v>0</v>
      </c>
      <c r="AO74" s="16">
        <v>1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3</v>
      </c>
      <c r="AV74" s="16">
        <v>1</v>
      </c>
      <c r="AW74" s="16">
        <v>0</v>
      </c>
      <c r="AX74" s="16">
        <v>2</v>
      </c>
    </row>
    <row r="75" spans="1:50" ht="15.75" customHeight="1">
      <c r="A75" s="176"/>
      <c r="B75" s="127" t="s">
        <v>27</v>
      </c>
      <c r="C75" s="18">
        <v>4</v>
      </c>
      <c r="D75" s="18">
        <v>0</v>
      </c>
      <c r="E75" s="18">
        <v>0</v>
      </c>
      <c r="F75" s="18">
        <v>4</v>
      </c>
      <c r="G75" s="18">
        <v>1</v>
      </c>
      <c r="H75" s="18">
        <v>0</v>
      </c>
      <c r="I75" s="18">
        <v>0</v>
      </c>
      <c r="J75" s="18">
        <v>1</v>
      </c>
      <c r="K75" s="18">
        <v>1</v>
      </c>
      <c r="L75" s="18">
        <v>0</v>
      </c>
      <c r="M75" s="18">
        <v>0</v>
      </c>
      <c r="N75" s="18">
        <v>1</v>
      </c>
      <c r="O75" s="18">
        <v>1</v>
      </c>
      <c r="P75" s="18">
        <v>0</v>
      </c>
      <c r="Q75" s="18">
        <v>0</v>
      </c>
      <c r="R75" s="18">
        <v>1</v>
      </c>
      <c r="S75" s="18">
        <v>0</v>
      </c>
      <c r="T75" s="18">
        <v>0</v>
      </c>
      <c r="U75" s="18">
        <v>0</v>
      </c>
      <c r="V75" s="18">
        <v>0</v>
      </c>
      <c r="W75" s="18">
        <v>1</v>
      </c>
      <c r="X75" s="18">
        <v>0</v>
      </c>
      <c r="Y75" s="18">
        <v>0</v>
      </c>
      <c r="Z75" s="18">
        <v>1</v>
      </c>
      <c r="AA75" s="18">
        <v>7</v>
      </c>
      <c r="AB75" s="18">
        <v>0</v>
      </c>
      <c r="AC75" s="18">
        <v>0</v>
      </c>
      <c r="AD75" s="18">
        <v>7</v>
      </c>
      <c r="AE75" s="18">
        <v>3</v>
      </c>
      <c r="AF75" s="18">
        <v>0</v>
      </c>
      <c r="AG75" s="18">
        <v>0</v>
      </c>
      <c r="AH75" s="18">
        <v>3</v>
      </c>
      <c r="AI75" s="18">
        <v>2</v>
      </c>
      <c r="AJ75" s="18">
        <v>0</v>
      </c>
      <c r="AK75" s="18">
        <v>0</v>
      </c>
      <c r="AL75" s="18">
        <v>2</v>
      </c>
      <c r="AM75" s="18">
        <v>1</v>
      </c>
      <c r="AN75" s="18">
        <v>0</v>
      </c>
      <c r="AO75" s="18">
        <v>0</v>
      </c>
      <c r="AP75" s="18">
        <v>1</v>
      </c>
      <c r="AQ75" s="18">
        <v>0</v>
      </c>
      <c r="AR75" s="18">
        <v>0</v>
      </c>
      <c r="AS75" s="18">
        <v>0</v>
      </c>
      <c r="AT75" s="18">
        <v>0</v>
      </c>
      <c r="AU75" s="18">
        <v>1</v>
      </c>
      <c r="AV75" s="18">
        <v>0</v>
      </c>
      <c r="AW75" s="18">
        <v>0</v>
      </c>
      <c r="AX75" s="18">
        <v>1</v>
      </c>
    </row>
    <row r="76" spans="1:50" ht="15" customHeight="1">
      <c r="A76" s="8" t="s">
        <v>72</v>
      </c>
      <c r="B76" s="19"/>
    </row>
    <row r="77" spans="1:50" ht="15" customHeight="1">
      <c r="A77" s="19" t="s">
        <v>73</v>
      </c>
      <c r="B77" s="19"/>
    </row>
    <row r="78" spans="1:50" ht="15" customHeight="1">
      <c r="A78" s="20" t="s">
        <v>74</v>
      </c>
      <c r="B78" s="20"/>
    </row>
    <row r="80" spans="1:50">
      <c r="A80" s="9" t="s">
        <v>20</v>
      </c>
    </row>
  </sheetData>
  <mergeCells count="86">
    <mergeCell ref="A3:B6"/>
    <mergeCell ref="C3:Z3"/>
    <mergeCell ref="AA3:AX3"/>
    <mergeCell ref="C4:F4"/>
    <mergeCell ref="G4:J4"/>
    <mergeCell ref="K4:N4"/>
    <mergeCell ref="O4:R4"/>
    <mergeCell ref="S4:V4"/>
    <mergeCell ref="W4:Z4"/>
    <mergeCell ref="AA4:AD4"/>
    <mergeCell ref="C5:C6"/>
    <mergeCell ref="D5:D6"/>
    <mergeCell ref="E5:E6"/>
    <mergeCell ref="F5:F6"/>
    <mergeCell ref="G5:G6"/>
    <mergeCell ref="AE4:AH4"/>
    <mergeCell ref="AI4:AL4"/>
    <mergeCell ref="AM4:AP4"/>
    <mergeCell ref="AQ4:AT4"/>
    <mergeCell ref="AU4:AX4"/>
    <mergeCell ref="S5:S6"/>
    <mergeCell ref="AO5:AO6"/>
    <mergeCell ref="AP5:AP6"/>
    <mergeCell ref="AQ5:AQ6"/>
    <mergeCell ref="AF5:AF6"/>
    <mergeCell ref="AG5:AG6"/>
    <mergeCell ref="AH5:AH6"/>
    <mergeCell ref="AI5:AI6"/>
    <mergeCell ref="AJ5:AJ6"/>
    <mergeCell ref="AK5:AK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AE5:AE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38:A39"/>
    <mergeCell ref="AX5:AX6"/>
    <mergeCell ref="A8:A9"/>
    <mergeCell ref="A11:A12"/>
    <mergeCell ref="A14:A15"/>
    <mergeCell ref="A17:A18"/>
    <mergeCell ref="A20:A21"/>
    <mergeCell ref="AR5:AR6"/>
    <mergeCell ref="AS5:AS6"/>
    <mergeCell ref="AT5:AT6"/>
    <mergeCell ref="AU5:AU6"/>
    <mergeCell ref="AV5:AV6"/>
    <mergeCell ref="AW5:AW6"/>
    <mergeCell ref="AL5:AL6"/>
    <mergeCell ref="AM5:AM6"/>
    <mergeCell ref="AN5:AN6"/>
    <mergeCell ref="A23:A24"/>
    <mergeCell ref="A26:A27"/>
    <mergeCell ref="A29:A30"/>
    <mergeCell ref="A32:A33"/>
    <mergeCell ref="A35:A36"/>
    <mergeCell ref="A74:A75"/>
    <mergeCell ref="A41:A42"/>
    <mergeCell ref="A44:A45"/>
    <mergeCell ref="A47:A48"/>
    <mergeCell ref="A50:A51"/>
    <mergeCell ref="A53:A54"/>
    <mergeCell ref="A56:A57"/>
    <mergeCell ref="A59:A60"/>
    <mergeCell ref="A62:A63"/>
    <mergeCell ref="A65:A66"/>
    <mergeCell ref="A68:A69"/>
    <mergeCell ref="A71:A72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86" fitToWidth="10" orientation="landscape" useFirstPageNumber="1" horizontalDpi="4294967292" verticalDpi="300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X80"/>
  <sheetViews>
    <sheetView zoomScaleNormal="100" zoomScaleSheetLayoutView="75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9.375" defaultRowHeight="12.75"/>
  <cols>
    <col min="1" max="1" width="15" style="2" customWidth="1"/>
    <col min="2" max="2" width="15.5" style="2" customWidth="1"/>
    <col min="3" max="26" width="8.375" style="2" customWidth="1"/>
    <col min="27" max="50" width="7.75" style="2" customWidth="1"/>
    <col min="51" max="16384" width="9.375" style="2"/>
  </cols>
  <sheetData>
    <row r="1" spans="1:50" ht="21">
      <c r="A1" s="1" t="s">
        <v>1</v>
      </c>
      <c r="B1" s="10"/>
    </row>
    <row r="2" spans="1:50" ht="25.5" customHeight="1">
      <c r="A2" s="11" t="s">
        <v>75</v>
      </c>
      <c r="B2" s="21"/>
      <c r="C2" s="13" t="str">
        <f>IF(C7=SUM(C10,C13,C16,C19,C22,C25,C28,C31,C34,C37,C40,C43,C46,C49,C52,C55,C58,C61,C64,C67,C70,C73),"","*")</f>
        <v/>
      </c>
      <c r="D2" s="13" t="str">
        <f t="shared" ref="D2:AX2" si="0">IF(D7=SUM(D10,D13,D16,D19,D22,D25,D28,D31,D34,D37,D40,D43,D46,D49,D52,D55,D58,D61,D64,D67,D70,D73),"","*")</f>
        <v/>
      </c>
      <c r="E2" s="13" t="str">
        <f t="shared" si="0"/>
        <v/>
      </c>
      <c r="F2" s="13" t="str">
        <f t="shared" si="0"/>
        <v/>
      </c>
      <c r="G2" s="13" t="str">
        <f t="shared" si="0"/>
        <v/>
      </c>
      <c r="H2" s="13" t="str">
        <f t="shared" si="0"/>
        <v/>
      </c>
      <c r="I2" s="13" t="str">
        <f t="shared" si="0"/>
        <v/>
      </c>
      <c r="J2" s="13" t="str">
        <f t="shared" si="0"/>
        <v/>
      </c>
      <c r="K2" s="13" t="str">
        <f t="shared" si="0"/>
        <v/>
      </c>
      <c r="L2" s="13" t="str">
        <f t="shared" si="0"/>
        <v/>
      </c>
      <c r="M2" s="13" t="str">
        <f t="shared" si="0"/>
        <v/>
      </c>
      <c r="N2" s="13" t="str">
        <f t="shared" si="0"/>
        <v/>
      </c>
      <c r="O2" s="13" t="str">
        <f t="shared" si="0"/>
        <v/>
      </c>
      <c r="P2" s="13" t="str">
        <f t="shared" si="0"/>
        <v/>
      </c>
      <c r="Q2" s="13" t="str">
        <f t="shared" si="0"/>
        <v/>
      </c>
      <c r="R2" s="13" t="str">
        <f t="shared" si="0"/>
        <v/>
      </c>
      <c r="S2" s="13" t="str">
        <f t="shared" si="0"/>
        <v/>
      </c>
      <c r="T2" s="13" t="str">
        <f t="shared" si="0"/>
        <v/>
      </c>
      <c r="U2" s="13" t="str">
        <f t="shared" si="0"/>
        <v/>
      </c>
      <c r="V2" s="13" t="str">
        <f t="shared" si="0"/>
        <v/>
      </c>
      <c r="W2" s="13" t="str">
        <f t="shared" si="0"/>
        <v/>
      </c>
      <c r="X2" s="13" t="str">
        <f t="shared" si="0"/>
        <v/>
      </c>
      <c r="Y2" s="13" t="str">
        <f t="shared" si="0"/>
        <v/>
      </c>
      <c r="Z2" s="13" t="str">
        <f t="shared" si="0"/>
        <v/>
      </c>
      <c r="AA2" s="13" t="str">
        <f t="shared" si="0"/>
        <v/>
      </c>
      <c r="AB2" s="13" t="str">
        <f t="shared" si="0"/>
        <v/>
      </c>
      <c r="AC2" s="13" t="str">
        <f t="shared" si="0"/>
        <v/>
      </c>
      <c r="AD2" s="13" t="str">
        <f t="shared" si="0"/>
        <v/>
      </c>
      <c r="AE2" s="13" t="str">
        <f t="shared" si="0"/>
        <v/>
      </c>
      <c r="AF2" s="13" t="str">
        <f t="shared" si="0"/>
        <v/>
      </c>
      <c r="AG2" s="13" t="str">
        <f t="shared" si="0"/>
        <v/>
      </c>
      <c r="AH2" s="13" t="str">
        <f t="shared" si="0"/>
        <v/>
      </c>
      <c r="AI2" s="13" t="str">
        <f t="shared" si="0"/>
        <v/>
      </c>
      <c r="AJ2" s="13" t="str">
        <f t="shared" si="0"/>
        <v/>
      </c>
      <c r="AK2" s="13" t="str">
        <f t="shared" si="0"/>
        <v/>
      </c>
      <c r="AL2" s="13" t="str">
        <f t="shared" si="0"/>
        <v/>
      </c>
      <c r="AM2" s="13" t="str">
        <f t="shared" si="0"/>
        <v/>
      </c>
      <c r="AN2" s="13" t="str">
        <f t="shared" si="0"/>
        <v/>
      </c>
      <c r="AO2" s="13" t="str">
        <f t="shared" si="0"/>
        <v/>
      </c>
      <c r="AP2" s="13" t="str">
        <f t="shared" si="0"/>
        <v/>
      </c>
      <c r="AQ2" s="13" t="str">
        <f t="shared" si="0"/>
        <v/>
      </c>
      <c r="AR2" s="13" t="str">
        <f t="shared" si="0"/>
        <v/>
      </c>
      <c r="AS2" s="13" t="str">
        <f t="shared" si="0"/>
        <v/>
      </c>
      <c r="AT2" s="13" t="str">
        <f t="shared" si="0"/>
        <v/>
      </c>
      <c r="AU2" s="13" t="str">
        <f t="shared" si="0"/>
        <v/>
      </c>
      <c r="AV2" s="13" t="str">
        <f t="shared" si="0"/>
        <v/>
      </c>
      <c r="AW2" s="13" t="str">
        <f t="shared" si="0"/>
        <v/>
      </c>
      <c r="AX2" s="13" t="str">
        <f t="shared" si="0"/>
        <v/>
      </c>
    </row>
    <row r="3" spans="1:50" ht="20.25" customHeight="1">
      <c r="A3" s="179" t="s">
        <v>22</v>
      </c>
      <c r="B3" s="180"/>
      <c r="C3" s="151" t="s">
        <v>9</v>
      </c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65"/>
      <c r="AA3" s="151" t="s">
        <v>10</v>
      </c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1"/>
      <c r="AX3" s="151"/>
    </row>
    <row r="4" spans="1:50" ht="33.75" customHeight="1">
      <c r="A4" s="181"/>
      <c r="B4" s="182"/>
      <c r="C4" s="152" t="s">
        <v>0</v>
      </c>
      <c r="D4" s="152"/>
      <c r="E4" s="152"/>
      <c r="F4" s="153"/>
      <c r="G4" s="154" t="s">
        <v>11</v>
      </c>
      <c r="H4" s="155"/>
      <c r="I4" s="155"/>
      <c r="J4" s="156"/>
      <c r="K4" s="154" t="s">
        <v>12</v>
      </c>
      <c r="L4" s="155"/>
      <c r="M4" s="155"/>
      <c r="N4" s="156"/>
      <c r="O4" s="154" t="s">
        <v>13</v>
      </c>
      <c r="P4" s="155"/>
      <c r="Q4" s="155"/>
      <c r="R4" s="156"/>
      <c r="S4" s="154" t="s">
        <v>14</v>
      </c>
      <c r="T4" s="155"/>
      <c r="U4" s="155"/>
      <c r="V4" s="156"/>
      <c r="W4" s="154" t="s">
        <v>15</v>
      </c>
      <c r="X4" s="155"/>
      <c r="Y4" s="155"/>
      <c r="Z4" s="157"/>
      <c r="AA4" s="152" t="s">
        <v>0</v>
      </c>
      <c r="AB4" s="152"/>
      <c r="AC4" s="152"/>
      <c r="AD4" s="153"/>
      <c r="AE4" s="154" t="s">
        <v>11</v>
      </c>
      <c r="AF4" s="155"/>
      <c r="AG4" s="155"/>
      <c r="AH4" s="156"/>
      <c r="AI4" s="154" t="s">
        <v>12</v>
      </c>
      <c r="AJ4" s="155"/>
      <c r="AK4" s="155"/>
      <c r="AL4" s="156"/>
      <c r="AM4" s="154" t="s">
        <v>13</v>
      </c>
      <c r="AN4" s="155"/>
      <c r="AO4" s="155"/>
      <c r="AP4" s="156"/>
      <c r="AQ4" s="154" t="s">
        <v>14</v>
      </c>
      <c r="AR4" s="155"/>
      <c r="AS4" s="155"/>
      <c r="AT4" s="156"/>
      <c r="AU4" s="154" t="s">
        <v>15</v>
      </c>
      <c r="AV4" s="155"/>
      <c r="AW4" s="155"/>
      <c r="AX4" s="155"/>
    </row>
    <row r="5" spans="1:50" s="7" customFormat="1" ht="19.5" customHeight="1">
      <c r="A5" s="181"/>
      <c r="B5" s="182"/>
      <c r="C5" s="145" t="s">
        <v>16</v>
      </c>
      <c r="D5" s="140" t="s">
        <v>17</v>
      </c>
      <c r="E5" s="140" t="s">
        <v>18</v>
      </c>
      <c r="F5" s="140" t="s">
        <v>19</v>
      </c>
      <c r="G5" s="145" t="s">
        <v>16</v>
      </c>
      <c r="H5" s="140" t="s">
        <v>17</v>
      </c>
      <c r="I5" s="140" t="s">
        <v>18</v>
      </c>
      <c r="J5" s="147" t="s">
        <v>19</v>
      </c>
      <c r="K5" s="145" t="s">
        <v>16</v>
      </c>
      <c r="L5" s="140" t="s">
        <v>17</v>
      </c>
      <c r="M5" s="140" t="s">
        <v>18</v>
      </c>
      <c r="N5" s="147" t="s">
        <v>19</v>
      </c>
      <c r="O5" s="145" t="s">
        <v>16</v>
      </c>
      <c r="P5" s="140" t="s">
        <v>17</v>
      </c>
      <c r="Q5" s="140" t="s">
        <v>18</v>
      </c>
      <c r="R5" s="147" t="s">
        <v>19</v>
      </c>
      <c r="S5" s="145" t="s">
        <v>16</v>
      </c>
      <c r="T5" s="140" t="s">
        <v>17</v>
      </c>
      <c r="U5" s="140" t="s">
        <v>18</v>
      </c>
      <c r="V5" s="147" t="s">
        <v>19</v>
      </c>
      <c r="W5" s="145" t="s">
        <v>16</v>
      </c>
      <c r="X5" s="140" t="s">
        <v>17</v>
      </c>
      <c r="Y5" s="140" t="s">
        <v>18</v>
      </c>
      <c r="Z5" s="149" t="s">
        <v>19</v>
      </c>
      <c r="AA5" s="145" t="s">
        <v>16</v>
      </c>
      <c r="AB5" s="140" t="s">
        <v>17</v>
      </c>
      <c r="AC5" s="140" t="s">
        <v>18</v>
      </c>
      <c r="AD5" s="140" t="s">
        <v>19</v>
      </c>
      <c r="AE5" s="145" t="s">
        <v>16</v>
      </c>
      <c r="AF5" s="140" t="s">
        <v>17</v>
      </c>
      <c r="AG5" s="140" t="s">
        <v>18</v>
      </c>
      <c r="AH5" s="147" t="s">
        <v>19</v>
      </c>
      <c r="AI5" s="145" t="s">
        <v>16</v>
      </c>
      <c r="AJ5" s="140" t="s">
        <v>17</v>
      </c>
      <c r="AK5" s="140" t="s">
        <v>18</v>
      </c>
      <c r="AL5" s="147" t="s">
        <v>19</v>
      </c>
      <c r="AM5" s="145" t="s">
        <v>16</v>
      </c>
      <c r="AN5" s="140" t="s">
        <v>17</v>
      </c>
      <c r="AO5" s="140" t="s">
        <v>18</v>
      </c>
      <c r="AP5" s="147" t="s">
        <v>19</v>
      </c>
      <c r="AQ5" s="145" t="s">
        <v>16</v>
      </c>
      <c r="AR5" s="140" t="s">
        <v>17</v>
      </c>
      <c r="AS5" s="140" t="s">
        <v>18</v>
      </c>
      <c r="AT5" s="147" t="s">
        <v>19</v>
      </c>
      <c r="AU5" s="145" t="s">
        <v>16</v>
      </c>
      <c r="AV5" s="140" t="s">
        <v>17</v>
      </c>
      <c r="AW5" s="140" t="s">
        <v>18</v>
      </c>
      <c r="AX5" s="142" t="s">
        <v>19</v>
      </c>
    </row>
    <row r="6" spans="1:50" ht="19.5" customHeight="1">
      <c r="A6" s="183"/>
      <c r="B6" s="184"/>
      <c r="C6" s="146"/>
      <c r="D6" s="141"/>
      <c r="E6" s="141"/>
      <c r="F6" s="141"/>
      <c r="G6" s="146"/>
      <c r="H6" s="141"/>
      <c r="I6" s="141"/>
      <c r="J6" s="148"/>
      <c r="K6" s="146"/>
      <c r="L6" s="141"/>
      <c r="M6" s="141"/>
      <c r="N6" s="148"/>
      <c r="O6" s="146"/>
      <c r="P6" s="141"/>
      <c r="Q6" s="141"/>
      <c r="R6" s="148"/>
      <c r="S6" s="146"/>
      <c r="T6" s="141"/>
      <c r="U6" s="141"/>
      <c r="V6" s="148"/>
      <c r="W6" s="146"/>
      <c r="X6" s="141"/>
      <c r="Y6" s="141"/>
      <c r="Z6" s="150"/>
      <c r="AA6" s="146"/>
      <c r="AB6" s="141"/>
      <c r="AC6" s="141"/>
      <c r="AD6" s="141"/>
      <c r="AE6" s="146"/>
      <c r="AF6" s="141"/>
      <c r="AG6" s="141"/>
      <c r="AH6" s="148"/>
      <c r="AI6" s="146"/>
      <c r="AJ6" s="141"/>
      <c r="AK6" s="141"/>
      <c r="AL6" s="148"/>
      <c r="AM6" s="146"/>
      <c r="AN6" s="141"/>
      <c r="AO6" s="141"/>
      <c r="AP6" s="148"/>
      <c r="AQ6" s="146"/>
      <c r="AR6" s="141"/>
      <c r="AS6" s="141"/>
      <c r="AT6" s="148"/>
      <c r="AU6" s="146"/>
      <c r="AV6" s="141"/>
      <c r="AW6" s="141"/>
      <c r="AX6" s="143"/>
    </row>
    <row r="7" spans="1:50" s="6" customFormat="1" ht="15.75" customHeight="1">
      <c r="A7" s="14" t="s">
        <v>23</v>
      </c>
      <c r="B7" s="125" t="s">
        <v>24</v>
      </c>
      <c r="C7" s="15">
        <v>19493</v>
      </c>
      <c r="D7" s="15">
        <v>2849</v>
      </c>
      <c r="E7" s="15">
        <v>1965</v>
      </c>
      <c r="F7" s="15">
        <v>14679</v>
      </c>
      <c r="G7" s="15">
        <v>6050</v>
      </c>
      <c r="H7" s="15">
        <v>711</v>
      </c>
      <c r="I7" s="15">
        <v>254</v>
      </c>
      <c r="J7" s="15">
        <v>5085</v>
      </c>
      <c r="K7" s="15">
        <v>7379</v>
      </c>
      <c r="L7" s="15">
        <v>816</v>
      </c>
      <c r="M7" s="15">
        <v>555</v>
      </c>
      <c r="N7" s="15">
        <v>6008</v>
      </c>
      <c r="O7" s="15">
        <v>3100</v>
      </c>
      <c r="P7" s="15">
        <v>823</v>
      </c>
      <c r="Q7" s="15">
        <v>838</v>
      </c>
      <c r="R7" s="15">
        <v>1439</v>
      </c>
      <c r="S7" s="15">
        <v>247</v>
      </c>
      <c r="T7" s="15">
        <v>94</v>
      </c>
      <c r="U7" s="15">
        <v>64</v>
      </c>
      <c r="V7" s="15">
        <v>89</v>
      </c>
      <c r="W7" s="15">
        <v>2717</v>
      </c>
      <c r="X7" s="15">
        <v>405</v>
      </c>
      <c r="Y7" s="15">
        <v>254</v>
      </c>
      <c r="Z7" s="15">
        <v>2058</v>
      </c>
      <c r="AA7" s="15">
        <v>53367</v>
      </c>
      <c r="AB7" s="15">
        <v>7579</v>
      </c>
      <c r="AC7" s="15">
        <v>5355</v>
      </c>
      <c r="AD7" s="15">
        <v>40433</v>
      </c>
      <c r="AE7" s="15">
        <v>18265</v>
      </c>
      <c r="AF7" s="15">
        <v>2091</v>
      </c>
      <c r="AG7" s="15">
        <v>881</v>
      </c>
      <c r="AH7" s="15">
        <v>15293</v>
      </c>
      <c r="AI7" s="15">
        <v>18783</v>
      </c>
      <c r="AJ7" s="15">
        <v>2197</v>
      </c>
      <c r="AK7" s="15">
        <v>1358</v>
      </c>
      <c r="AL7" s="15">
        <v>15228</v>
      </c>
      <c r="AM7" s="15">
        <v>7842</v>
      </c>
      <c r="AN7" s="15">
        <v>1941</v>
      </c>
      <c r="AO7" s="15">
        <v>2306</v>
      </c>
      <c r="AP7" s="15">
        <v>3595</v>
      </c>
      <c r="AQ7" s="15">
        <v>587</v>
      </c>
      <c r="AR7" s="15">
        <v>238</v>
      </c>
      <c r="AS7" s="15">
        <v>159</v>
      </c>
      <c r="AT7" s="15">
        <v>190</v>
      </c>
      <c r="AU7" s="15">
        <v>7890</v>
      </c>
      <c r="AV7" s="15">
        <v>1112</v>
      </c>
      <c r="AW7" s="15">
        <v>651</v>
      </c>
      <c r="AX7" s="15">
        <v>6127</v>
      </c>
    </row>
    <row r="8" spans="1:50" s="6" customFormat="1" ht="15.75" customHeight="1">
      <c r="A8" s="177" t="s">
        <v>25</v>
      </c>
      <c r="B8" s="126" t="s">
        <v>26</v>
      </c>
      <c r="C8" s="16">
        <v>10008</v>
      </c>
      <c r="D8" s="16">
        <v>1549</v>
      </c>
      <c r="E8" s="16">
        <v>1119</v>
      </c>
      <c r="F8" s="16">
        <v>7340</v>
      </c>
      <c r="G8" s="16">
        <v>2705</v>
      </c>
      <c r="H8" s="16">
        <v>319</v>
      </c>
      <c r="I8" s="16">
        <v>117</v>
      </c>
      <c r="J8" s="16">
        <v>2269</v>
      </c>
      <c r="K8" s="16">
        <v>3847</v>
      </c>
      <c r="L8" s="16">
        <v>396</v>
      </c>
      <c r="M8" s="16">
        <v>305</v>
      </c>
      <c r="N8" s="16">
        <v>3146</v>
      </c>
      <c r="O8" s="16">
        <v>2011</v>
      </c>
      <c r="P8" s="16">
        <v>560</v>
      </c>
      <c r="Q8" s="16">
        <v>520</v>
      </c>
      <c r="R8" s="16">
        <v>931</v>
      </c>
      <c r="S8" s="16">
        <v>152</v>
      </c>
      <c r="T8" s="16">
        <v>68</v>
      </c>
      <c r="U8" s="16">
        <v>31</v>
      </c>
      <c r="V8" s="16">
        <v>53</v>
      </c>
      <c r="W8" s="16">
        <v>1293</v>
      </c>
      <c r="X8" s="16">
        <v>206</v>
      </c>
      <c r="Y8" s="16">
        <v>146</v>
      </c>
      <c r="Z8" s="16">
        <v>941</v>
      </c>
      <c r="AA8" s="16">
        <v>26274</v>
      </c>
      <c r="AB8" s="16">
        <v>4039</v>
      </c>
      <c r="AC8" s="16">
        <v>2960</v>
      </c>
      <c r="AD8" s="16">
        <v>19275</v>
      </c>
      <c r="AE8" s="16">
        <v>7971</v>
      </c>
      <c r="AF8" s="16">
        <v>959</v>
      </c>
      <c r="AG8" s="16">
        <v>436</v>
      </c>
      <c r="AH8" s="16">
        <v>6576</v>
      </c>
      <c r="AI8" s="16">
        <v>9426</v>
      </c>
      <c r="AJ8" s="16">
        <v>1057</v>
      </c>
      <c r="AK8" s="16">
        <v>710</v>
      </c>
      <c r="AL8" s="16">
        <v>7659</v>
      </c>
      <c r="AM8" s="16">
        <v>4893</v>
      </c>
      <c r="AN8" s="16">
        <v>1294</v>
      </c>
      <c r="AO8" s="16">
        <v>1385</v>
      </c>
      <c r="AP8" s="16">
        <v>2214</v>
      </c>
      <c r="AQ8" s="16">
        <v>374</v>
      </c>
      <c r="AR8" s="16">
        <v>170</v>
      </c>
      <c r="AS8" s="16">
        <v>94</v>
      </c>
      <c r="AT8" s="16">
        <v>110</v>
      </c>
      <c r="AU8" s="16">
        <v>3610</v>
      </c>
      <c r="AV8" s="16">
        <v>559</v>
      </c>
      <c r="AW8" s="16">
        <v>335</v>
      </c>
      <c r="AX8" s="16">
        <v>2716</v>
      </c>
    </row>
    <row r="9" spans="1:50" s="6" customFormat="1" ht="15.75" customHeight="1">
      <c r="A9" s="178"/>
      <c r="B9" s="126" t="s">
        <v>27</v>
      </c>
      <c r="C9" s="16">
        <v>9485</v>
      </c>
      <c r="D9" s="16">
        <v>1300</v>
      </c>
      <c r="E9" s="16">
        <v>846</v>
      </c>
      <c r="F9" s="16">
        <v>7339</v>
      </c>
      <c r="G9" s="16">
        <v>3345</v>
      </c>
      <c r="H9" s="16">
        <v>392</v>
      </c>
      <c r="I9" s="16">
        <v>137</v>
      </c>
      <c r="J9" s="16">
        <v>2816</v>
      </c>
      <c r="K9" s="16">
        <v>3532</v>
      </c>
      <c r="L9" s="16">
        <v>420</v>
      </c>
      <c r="M9" s="16">
        <v>250</v>
      </c>
      <c r="N9" s="16">
        <v>2862</v>
      </c>
      <c r="O9" s="16">
        <v>1089</v>
      </c>
      <c r="P9" s="16">
        <v>263</v>
      </c>
      <c r="Q9" s="16">
        <v>318</v>
      </c>
      <c r="R9" s="16">
        <v>508</v>
      </c>
      <c r="S9" s="16">
        <v>95</v>
      </c>
      <c r="T9" s="16">
        <v>26</v>
      </c>
      <c r="U9" s="16">
        <v>33</v>
      </c>
      <c r="V9" s="16">
        <v>36</v>
      </c>
      <c r="W9" s="16">
        <v>1424</v>
      </c>
      <c r="X9" s="16">
        <v>199</v>
      </c>
      <c r="Y9" s="16">
        <v>108</v>
      </c>
      <c r="Z9" s="16">
        <v>1117</v>
      </c>
      <c r="AA9" s="16">
        <v>27093</v>
      </c>
      <c r="AB9" s="16">
        <v>3540</v>
      </c>
      <c r="AC9" s="16">
        <v>2395</v>
      </c>
      <c r="AD9" s="16">
        <v>21158</v>
      </c>
      <c r="AE9" s="16">
        <v>10294</v>
      </c>
      <c r="AF9" s="16">
        <v>1132</v>
      </c>
      <c r="AG9" s="16">
        <v>445</v>
      </c>
      <c r="AH9" s="16">
        <v>8717</v>
      </c>
      <c r="AI9" s="16">
        <v>9357</v>
      </c>
      <c r="AJ9" s="16">
        <v>1140</v>
      </c>
      <c r="AK9" s="16">
        <v>648</v>
      </c>
      <c r="AL9" s="16">
        <v>7569</v>
      </c>
      <c r="AM9" s="16">
        <v>2949</v>
      </c>
      <c r="AN9" s="16">
        <v>647</v>
      </c>
      <c r="AO9" s="16">
        <v>921</v>
      </c>
      <c r="AP9" s="16">
        <v>1381</v>
      </c>
      <c r="AQ9" s="16">
        <v>213</v>
      </c>
      <c r="AR9" s="16">
        <v>68</v>
      </c>
      <c r="AS9" s="16">
        <v>65</v>
      </c>
      <c r="AT9" s="16">
        <v>80</v>
      </c>
      <c r="AU9" s="16">
        <v>4280</v>
      </c>
      <c r="AV9" s="16">
        <v>553</v>
      </c>
      <c r="AW9" s="16">
        <v>316</v>
      </c>
      <c r="AX9" s="16">
        <v>3411</v>
      </c>
    </row>
    <row r="10" spans="1:50" s="17" customFormat="1" ht="15.75" customHeight="1">
      <c r="A10" s="14" t="s">
        <v>28</v>
      </c>
      <c r="B10" s="125" t="s">
        <v>24</v>
      </c>
      <c r="C10" s="15">
        <v>2370</v>
      </c>
      <c r="D10" s="15">
        <v>225</v>
      </c>
      <c r="E10" s="15">
        <v>212</v>
      </c>
      <c r="F10" s="15">
        <v>1933</v>
      </c>
      <c r="G10" s="15">
        <v>907</v>
      </c>
      <c r="H10" s="15">
        <v>49</v>
      </c>
      <c r="I10" s="15">
        <v>7</v>
      </c>
      <c r="J10" s="15">
        <v>851</v>
      </c>
      <c r="K10" s="15">
        <v>685</v>
      </c>
      <c r="L10" s="15">
        <v>51</v>
      </c>
      <c r="M10" s="15">
        <v>52</v>
      </c>
      <c r="N10" s="15">
        <v>582</v>
      </c>
      <c r="O10" s="15">
        <v>420</v>
      </c>
      <c r="P10" s="15">
        <v>79</v>
      </c>
      <c r="Q10" s="15">
        <v>125</v>
      </c>
      <c r="R10" s="15">
        <v>216</v>
      </c>
      <c r="S10" s="15">
        <v>2</v>
      </c>
      <c r="T10" s="15">
        <v>0</v>
      </c>
      <c r="U10" s="15">
        <v>0</v>
      </c>
      <c r="V10" s="15">
        <v>2</v>
      </c>
      <c r="W10" s="15">
        <v>356</v>
      </c>
      <c r="X10" s="15">
        <v>46</v>
      </c>
      <c r="Y10" s="15">
        <v>28</v>
      </c>
      <c r="Z10" s="15">
        <v>282</v>
      </c>
      <c r="AA10" s="15">
        <v>9163</v>
      </c>
      <c r="AB10" s="15">
        <v>789</v>
      </c>
      <c r="AC10" s="15">
        <v>761</v>
      </c>
      <c r="AD10" s="15">
        <v>7613</v>
      </c>
      <c r="AE10" s="15">
        <v>3233</v>
      </c>
      <c r="AF10" s="15">
        <v>165</v>
      </c>
      <c r="AG10" s="15">
        <v>24</v>
      </c>
      <c r="AH10" s="15">
        <v>3044</v>
      </c>
      <c r="AI10" s="15">
        <v>3064</v>
      </c>
      <c r="AJ10" s="15">
        <v>217</v>
      </c>
      <c r="AK10" s="15">
        <v>217</v>
      </c>
      <c r="AL10" s="15">
        <v>2630</v>
      </c>
      <c r="AM10" s="15">
        <v>1368</v>
      </c>
      <c r="AN10" s="15">
        <v>244</v>
      </c>
      <c r="AO10" s="15">
        <v>418</v>
      </c>
      <c r="AP10" s="15">
        <v>706</v>
      </c>
      <c r="AQ10" s="15">
        <v>6</v>
      </c>
      <c r="AR10" s="15">
        <v>0</v>
      </c>
      <c r="AS10" s="15">
        <v>2</v>
      </c>
      <c r="AT10" s="15">
        <v>4</v>
      </c>
      <c r="AU10" s="15">
        <v>1492</v>
      </c>
      <c r="AV10" s="15">
        <v>163</v>
      </c>
      <c r="AW10" s="15">
        <v>100</v>
      </c>
      <c r="AX10" s="15">
        <v>1229</v>
      </c>
    </row>
    <row r="11" spans="1:50" s="17" customFormat="1" ht="15.75" customHeight="1">
      <c r="A11" s="175" t="s">
        <v>29</v>
      </c>
      <c r="B11" s="126" t="s">
        <v>26</v>
      </c>
      <c r="C11" s="16">
        <v>1299</v>
      </c>
      <c r="D11" s="16">
        <v>114</v>
      </c>
      <c r="E11" s="16">
        <v>131</v>
      </c>
      <c r="F11" s="16">
        <v>1054</v>
      </c>
      <c r="G11" s="16">
        <v>433</v>
      </c>
      <c r="H11" s="16">
        <v>18</v>
      </c>
      <c r="I11" s="16">
        <v>3</v>
      </c>
      <c r="J11" s="16">
        <v>412</v>
      </c>
      <c r="K11" s="16">
        <v>419</v>
      </c>
      <c r="L11" s="16">
        <v>28</v>
      </c>
      <c r="M11" s="16">
        <v>33</v>
      </c>
      <c r="N11" s="16">
        <v>358</v>
      </c>
      <c r="O11" s="16">
        <v>271</v>
      </c>
      <c r="P11" s="16">
        <v>49</v>
      </c>
      <c r="Q11" s="16">
        <v>81</v>
      </c>
      <c r="R11" s="16">
        <v>141</v>
      </c>
      <c r="S11" s="16">
        <v>0</v>
      </c>
      <c r="T11" s="16">
        <v>0</v>
      </c>
      <c r="U11" s="16">
        <v>0</v>
      </c>
      <c r="V11" s="16">
        <v>0</v>
      </c>
      <c r="W11" s="16">
        <v>176</v>
      </c>
      <c r="X11" s="16">
        <v>19</v>
      </c>
      <c r="Y11" s="16">
        <v>14</v>
      </c>
      <c r="Z11" s="16">
        <v>143</v>
      </c>
      <c r="AA11" s="16">
        <v>4473</v>
      </c>
      <c r="AB11" s="16">
        <v>393</v>
      </c>
      <c r="AC11" s="16">
        <v>412</v>
      </c>
      <c r="AD11" s="16">
        <v>3668</v>
      </c>
      <c r="AE11" s="16">
        <v>1365</v>
      </c>
      <c r="AF11" s="16">
        <v>60</v>
      </c>
      <c r="AG11" s="16">
        <v>5</v>
      </c>
      <c r="AH11" s="16">
        <v>1300</v>
      </c>
      <c r="AI11" s="16">
        <v>1601</v>
      </c>
      <c r="AJ11" s="16">
        <v>116</v>
      </c>
      <c r="AK11" s="16">
        <v>109</v>
      </c>
      <c r="AL11" s="16">
        <v>1376</v>
      </c>
      <c r="AM11" s="16">
        <v>836</v>
      </c>
      <c r="AN11" s="16">
        <v>152</v>
      </c>
      <c r="AO11" s="16">
        <v>251</v>
      </c>
      <c r="AP11" s="16">
        <v>433</v>
      </c>
      <c r="AQ11" s="16">
        <v>1</v>
      </c>
      <c r="AR11" s="16">
        <v>0</v>
      </c>
      <c r="AS11" s="16">
        <v>0</v>
      </c>
      <c r="AT11" s="16">
        <v>1</v>
      </c>
      <c r="AU11" s="16">
        <v>670</v>
      </c>
      <c r="AV11" s="16">
        <v>65</v>
      </c>
      <c r="AW11" s="16">
        <v>47</v>
      </c>
      <c r="AX11" s="16">
        <v>558</v>
      </c>
    </row>
    <row r="12" spans="1:50" s="17" customFormat="1" ht="15.75" customHeight="1">
      <c r="A12" s="176"/>
      <c r="B12" s="126" t="s">
        <v>27</v>
      </c>
      <c r="C12" s="16">
        <v>1071</v>
      </c>
      <c r="D12" s="16">
        <v>111</v>
      </c>
      <c r="E12" s="16">
        <v>81</v>
      </c>
      <c r="F12" s="16">
        <v>879</v>
      </c>
      <c r="G12" s="16">
        <v>474</v>
      </c>
      <c r="H12" s="16">
        <v>31</v>
      </c>
      <c r="I12" s="16">
        <v>4</v>
      </c>
      <c r="J12" s="16">
        <v>439</v>
      </c>
      <c r="K12" s="16">
        <v>266</v>
      </c>
      <c r="L12" s="16">
        <v>23</v>
      </c>
      <c r="M12" s="16">
        <v>19</v>
      </c>
      <c r="N12" s="16">
        <v>224</v>
      </c>
      <c r="O12" s="16">
        <v>149</v>
      </c>
      <c r="P12" s="16">
        <v>30</v>
      </c>
      <c r="Q12" s="16">
        <v>44</v>
      </c>
      <c r="R12" s="16">
        <v>75</v>
      </c>
      <c r="S12" s="16">
        <v>2</v>
      </c>
      <c r="T12" s="16">
        <v>0</v>
      </c>
      <c r="U12" s="16">
        <v>0</v>
      </c>
      <c r="V12" s="16">
        <v>2</v>
      </c>
      <c r="W12" s="16">
        <v>180</v>
      </c>
      <c r="X12" s="16">
        <v>27</v>
      </c>
      <c r="Y12" s="16">
        <v>14</v>
      </c>
      <c r="Z12" s="16">
        <v>139</v>
      </c>
      <c r="AA12" s="16">
        <v>4690</v>
      </c>
      <c r="AB12" s="16">
        <v>396</v>
      </c>
      <c r="AC12" s="16">
        <v>349</v>
      </c>
      <c r="AD12" s="16">
        <v>3945</v>
      </c>
      <c r="AE12" s="16">
        <v>1868</v>
      </c>
      <c r="AF12" s="16">
        <v>105</v>
      </c>
      <c r="AG12" s="16">
        <v>19</v>
      </c>
      <c r="AH12" s="16">
        <v>1744</v>
      </c>
      <c r="AI12" s="16">
        <v>1463</v>
      </c>
      <c r="AJ12" s="16">
        <v>101</v>
      </c>
      <c r="AK12" s="16">
        <v>108</v>
      </c>
      <c r="AL12" s="16">
        <v>1254</v>
      </c>
      <c r="AM12" s="16">
        <v>532</v>
      </c>
      <c r="AN12" s="16">
        <v>92</v>
      </c>
      <c r="AO12" s="16">
        <v>167</v>
      </c>
      <c r="AP12" s="16">
        <v>273</v>
      </c>
      <c r="AQ12" s="16">
        <v>5</v>
      </c>
      <c r="AR12" s="16">
        <v>0</v>
      </c>
      <c r="AS12" s="16">
        <v>2</v>
      </c>
      <c r="AT12" s="16">
        <v>3</v>
      </c>
      <c r="AU12" s="16">
        <v>822</v>
      </c>
      <c r="AV12" s="16">
        <v>98</v>
      </c>
      <c r="AW12" s="16">
        <v>53</v>
      </c>
      <c r="AX12" s="16">
        <v>671</v>
      </c>
    </row>
    <row r="13" spans="1:50" s="17" customFormat="1" ht="15.75" customHeight="1">
      <c r="A13" s="14" t="s">
        <v>30</v>
      </c>
      <c r="B13" s="125" t="s">
        <v>24</v>
      </c>
      <c r="C13" s="15">
        <v>1400</v>
      </c>
      <c r="D13" s="15">
        <v>128</v>
      </c>
      <c r="E13" s="15">
        <v>23</v>
      </c>
      <c r="F13" s="15">
        <v>1249</v>
      </c>
      <c r="G13" s="15">
        <v>434</v>
      </c>
      <c r="H13" s="15">
        <v>33</v>
      </c>
      <c r="I13" s="15">
        <v>3</v>
      </c>
      <c r="J13" s="15">
        <v>398</v>
      </c>
      <c r="K13" s="15">
        <v>578</v>
      </c>
      <c r="L13" s="15">
        <v>40</v>
      </c>
      <c r="M13" s="15">
        <v>12</v>
      </c>
      <c r="N13" s="15">
        <v>526</v>
      </c>
      <c r="O13" s="15">
        <v>91</v>
      </c>
      <c r="P13" s="15">
        <v>21</v>
      </c>
      <c r="Q13" s="15">
        <v>6</v>
      </c>
      <c r="R13" s="15">
        <v>64</v>
      </c>
      <c r="S13" s="15">
        <v>2</v>
      </c>
      <c r="T13" s="15">
        <v>0</v>
      </c>
      <c r="U13" s="15">
        <v>0</v>
      </c>
      <c r="V13" s="15">
        <v>2</v>
      </c>
      <c r="W13" s="15">
        <v>295</v>
      </c>
      <c r="X13" s="15">
        <v>34</v>
      </c>
      <c r="Y13" s="15">
        <v>2</v>
      </c>
      <c r="Z13" s="15">
        <v>259</v>
      </c>
      <c r="AA13" s="15">
        <v>4267</v>
      </c>
      <c r="AB13" s="15">
        <v>366</v>
      </c>
      <c r="AC13" s="15">
        <v>78</v>
      </c>
      <c r="AD13" s="15">
        <v>3823</v>
      </c>
      <c r="AE13" s="15">
        <v>1304</v>
      </c>
      <c r="AF13" s="15">
        <v>83</v>
      </c>
      <c r="AG13" s="15">
        <v>7</v>
      </c>
      <c r="AH13" s="15">
        <v>1214</v>
      </c>
      <c r="AI13" s="15">
        <v>1768</v>
      </c>
      <c r="AJ13" s="15">
        <v>136</v>
      </c>
      <c r="AK13" s="15">
        <v>37</v>
      </c>
      <c r="AL13" s="15">
        <v>1595</v>
      </c>
      <c r="AM13" s="15">
        <v>240</v>
      </c>
      <c r="AN13" s="15">
        <v>56</v>
      </c>
      <c r="AO13" s="15">
        <v>20</v>
      </c>
      <c r="AP13" s="15">
        <v>164</v>
      </c>
      <c r="AQ13" s="15">
        <v>3</v>
      </c>
      <c r="AR13" s="15">
        <v>0</v>
      </c>
      <c r="AS13" s="15">
        <v>0</v>
      </c>
      <c r="AT13" s="15">
        <v>3</v>
      </c>
      <c r="AU13" s="15">
        <v>952</v>
      </c>
      <c r="AV13" s="15">
        <v>91</v>
      </c>
      <c r="AW13" s="15">
        <v>14</v>
      </c>
      <c r="AX13" s="15">
        <v>847</v>
      </c>
    </row>
    <row r="14" spans="1:50" s="17" customFormat="1" ht="15.75" customHeight="1">
      <c r="A14" s="175" t="s">
        <v>31</v>
      </c>
      <c r="B14" s="126" t="s">
        <v>26</v>
      </c>
      <c r="C14" s="16">
        <v>621</v>
      </c>
      <c r="D14" s="16">
        <v>57</v>
      </c>
      <c r="E14" s="16">
        <v>11</v>
      </c>
      <c r="F14" s="16">
        <v>553</v>
      </c>
      <c r="G14" s="16">
        <v>169</v>
      </c>
      <c r="H14" s="16">
        <v>13</v>
      </c>
      <c r="I14" s="16">
        <v>0</v>
      </c>
      <c r="J14" s="16">
        <v>156</v>
      </c>
      <c r="K14" s="16">
        <v>272</v>
      </c>
      <c r="L14" s="16">
        <v>13</v>
      </c>
      <c r="M14" s="16">
        <v>5</v>
      </c>
      <c r="N14" s="16">
        <v>254</v>
      </c>
      <c r="O14" s="16">
        <v>53</v>
      </c>
      <c r="P14" s="16">
        <v>15</v>
      </c>
      <c r="Q14" s="16">
        <v>5</v>
      </c>
      <c r="R14" s="16">
        <v>33</v>
      </c>
      <c r="S14" s="16">
        <v>1</v>
      </c>
      <c r="T14" s="16">
        <v>0</v>
      </c>
      <c r="U14" s="16">
        <v>0</v>
      </c>
      <c r="V14" s="16">
        <v>1</v>
      </c>
      <c r="W14" s="16">
        <v>126</v>
      </c>
      <c r="X14" s="16">
        <v>16</v>
      </c>
      <c r="Y14" s="16">
        <v>1</v>
      </c>
      <c r="Z14" s="16">
        <v>109</v>
      </c>
      <c r="AA14" s="16">
        <v>1853</v>
      </c>
      <c r="AB14" s="16">
        <v>159</v>
      </c>
      <c r="AC14" s="16">
        <v>34</v>
      </c>
      <c r="AD14" s="16">
        <v>1660</v>
      </c>
      <c r="AE14" s="16">
        <v>527</v>
      </c>
      <c r="AF14" s="16">
        <v>32</v>
      </c>
      <c r="AG14" s="16">
        <v>1</v>
      </c>
      <c r="AH14" s="16">
        <v>494</v>
      </c>
      <c r="AI14" s="16">
        <v>820</v>
      </c>
      <c r="AJ14" s="16">
        <v>51</v>
      </c>
      <c r="AK14" s="16">
        <v>14</v>
      </c>
      <c r="AL14" s="16">
        <v>755</v>
      </c>
      <c r="AM14" s="16">
        <v>127</v>
      </c>
      <c r="AN14" s="16">
        <v>33</v>
      </c>
      <c r="AO14" s="16">
        <v>13</v>
      </c>
      <c r="AP14" s="16">
        <v>81</v>
      </c>
      <c r="AQ14" s="16">
        <v>1</v>
      </c>
      <c r="AR14" s="16">
        <v>0</v>
      </c>
      <c r="AS14" s="16">
        <v>0</v>
      </c>
      <c r="AT14" s="16">
        <v>1</v>
      </c>
      <c r="AU14" s="16">
        <v>378</v>
      </c>
      <c r="AV14" s="16">
        <v>43</v>
      </c>
      <c r="AW14" s="16">
        <v>6</v>
      </c>
      <c r="AX14" s="16">
        <v>329</v>
      </c>
    </row>
    <row r="15" spans="1:50" s="17" customFormat="1" ht="15.75" customHeight="1">
      <c r="A15" s="176"/>
      <c r="B15" s="126" t="s">
        <v>27</v>
      </c>
      <c r="C15" s="16">
        <v>779</v>
      </c>
      <c r="D15" s="16">
        <v>71</v>
      </c>
      <c r="E15" s="16">
        <v>12</v>
      </c>
      <c r="F15" s="16">
        <v>696</v>
      </c>
      <c r="G15" s="16">
        <v>265</v>
      </c>
      <c r="H15" s="16">
        <v>20</v>
      </c>
      <c r="I15" s="16">
        <v>3</v>
      </c>
      <c r="J15" s="16">
        <v>242</v>
      </c>
      <c r="K15" s="16">
        <v>306</v>
      </c>
      <c r="L15" s="16">
        <v>27</v>
      </c>
      <c r="M15" s="16">
        <v>7</v>
      </c>
      <c r="N15" s="16">
        <v>272</v>
      </c>
      <c r="O15" s="16">
        <v>38</v>
      </c>
      <c r="P15" s="16">
        <v>6</v>
      </c>
      <c r="Q15" s="16">
        <v>1</v>
      </c>
      <c r="R15" s="16">
        <v>31</v>
      </c>
      <c r="S15" s="16">
        <v>1</v>
      </c>
      <c r="T15" s="16">
        <v>0</v>
      </c>
      <c r="U15" s="16">
        <v>0</v>
      </c>
      <c r="V15" s="16">
        <v>1</v>
      </c>
      <c r="W15" s="16">
        <v>169</v>
      </c>
      <c r="X15" s="16">
        <v>18</v>
      </c>
      <c r="Y15" s="16">
        <v>1</v>
      </c>
      <c r="Z15" s="16">
        <v>150</v>
      </c>
      <c r="AA15" s="16">
        <v>2414</v>
      </c>
      <c r="AB15" s="16">
        <v>207</v>
      </c>
      <c r="AC15" s="16">
        <v>44</v>
      </c>
      <c r="AD15" s="16">
        <v>2163</v>
      </c>
      <c r="AE15" s="16">
        <v>777</v>
      </c>
      <c r="AF15" s="16">
        <v>51</v>
      </c>
      <c r="AG15" s="16">
        <v>6</v>
      </c>
      <c r="AH15" s="16">
        <v>720</v>
      </c>
      <c r="AI15" s="16">
        <v>948</v>
      </c>
      <c r="AJ15" s="16">
        <v>85</v>
      </c>
      <c r="AK15" s="16">
        <v>23</v>
      </c>
      <c r="AL15" s="16">
        <v>840</v>
      </c>
      <c r="AM15" s="16">
        <v>113</v>
      </c>
      <c r="AN15" s="16">
        <v>23</v>
      </c>
      <c r="AO15" s="16">
        <v>7</v>
      </c>
      <c r="AP15" s="16">
        <v>83</v>
      </c>
      <c r="AQ15" s="16">
        <v>2</v>
      </c>
      <c r="AR15" s="16">
        <v>0</v>
      </c>
      <c r="AS15" s="16">
        <v>0</v>
      </c>
      <c r="AT15" s="16">
        <v>2</v>
      </c>
      <c r="AU15" s="16">
        <v>574</v>
      </c>
      <c r="AV15" s="16">
        <v>48</v>
      </c>
      <c r="AW15" s="16">
        <v>8</v>
      </c>
      <c r="AX15" s="16">
        <v>518</v>
      </c>
    </row>
    <row r="16" spans="1:50" s="17" customFormat="1" ht="15.75" customHeight="1">
      <c r="A16" s="14" t="s">
        <v>32</v>
      </c>
      <c r="B16" s="125" t="s">
        <v>24</v>
      </c>
      <c r="C16" s="15">
        <v>604</v>
      </c>
      <c r="D16" s="15">
        <v>72</v>
      </c>
      <c r="E16" s="15">
        <v>62</v>
      </c>
      <c r="F16" s="15">
        <v>470</v>
      </c>
      <c r="G16" s="15">
        <v>220</v>
      </c>
      <c r="H16" s="15">
        <v>27</v>
      </c>
      <c r="I16" s="15">
        <v>4</v>
      </c>
      <c r="J16" s="15">
        <v>189</v>
      </c>
      <c r="K16" s="15">
        <v>215</v>
      </c>
      <c r="L16" s="15">
        <v>22</v>
      </c>
      <c r="M16" s="15">
        <v>12</v>
      </c>
      <c r="N16" s="15">
        <v>181</v>
      </c>
      <c r="O16" s="15">
        <v>85</v>
      </c>
      <c r="P16" s="15">
        <v>14</v>
      </c>
      <c r="Q16" s="15">
        <v>33</v>
      </c>
      <c r="R16" s="15">
        <v>38</v>
      </c>
      <c r="S16" s="15">
        <v>2</v>
      </c>
      <c r="T16" s="15">
        <v>1</v>
      </c>
      <c r="U16" s="15">
        <v>1</v>
      </c>
      <c r="V16" s="15">
        <v>0</v>
      </c>
      <c r="W16" s="15">
        <v>82</v>
      </c>
      <c r="X16" s="15">
        <v>8</v>
      </c>
      <c r="Y16" s="15">
        <v>12</v>
      </c>
      <c r="Z16" s="15">
        <v>62</v>
      </c>
      <c r="AA16" s="15">
        <v>1911</v>
      </c>
      <c r="AB16" s="15">
        <v>251</v>
      </c>
      <c r="AC16" s="15">
        <v>203</v>
      </c>
      <c r="AD16" s="15">
        <v>1457</v>
      </c>
      <c r="AE16" s="15">
        <v>642</v>
      </c>
      <c r="AF16" s="15">
        <v>71</v>
      </c>
      <c r="AG16" s="15">
        <v>16</v>
      </c>
      <c r="AH16" s="15">
        <v>555</v>
      </c>
      <c r="AI16" s="15">
        <v>744</v>
      </c>
      <c r="AJ16" s="15">
        <v>93</v>
      </c>
      <c r="AK16" s="15">
        <v>55</v>
      </c>
      <c r="AL16" s="15">
        <v>596</v>
      </c>
      <c r="AM16" s="15">
        <v>234</v>
      </c>
      <c r="AN16" s="15">
        <v>51</v>
      </c>
      <c r="AO16" s="15">
        <v>93</v>
      </c>
      <c r="AP16" s="15">
        <v>90</v>
      </c>
      <c r="AQ16" s="15">
        <v>10</v>
      </c>
      <c r="AR16" s="15">
        <v>4</v>
      </c>
      <c r="AS16" s="15">
        <v>5</v>
      </c>
      <c r="AT16" s="15">
        <v>1</v>
      </c>
      <c r="AU16" s="15">
        <v>281</v>
      </c>
      <c r="AV16" s="15">
        <v>32</v>
      </c>
      <c r="AW16" s="15">
        <v>34</v>
      </c>
      <c r="AX16" s="15">
        <v>215</v>
      </c>
    </row>
    <row r="17" spans="1:50" s="17" customFormat="1" ht="15.75" customHeight="1">
      <c r="A17" s="175" t="s">
        <v>33</v>
      </c>
      <c r="B17" s="126" t="s">
        <v>26</v>
      </c>
      <c r="C17" s="16">
        <v>316</v>
      </c>
      <c r="D17" s="16">
        <v>38</v>
      </c>
      <c r="E17" s="16">
        <v>36</v>
      </c>
      <c r="F17" s="16">
        <v>242</v>
      </c>
      <c r="G17" s="16">
        <v>105</v>
      </c>
      <c r="H17" s="16">
        <v>15</v>
      </c>
      <c r="I17" s="16">
        <v>3</v>
      </c>
      <c r="J17" s="16">
        <v>87</v>
      </c>
      <c r="K17" s="16">
        <v>110</v>
      </c>
      <c r="L17" s="16">
        <v>8</v>
      </c>
      <c r="M17" s="16">
        <v>7</v>
      </c>
      <c r="N17" s="16">
        <v>95</v>
      </c>
      <c r="O17" s="16">
        <v>51</v>
      </c>
      <c r="P17" s="16">
        <v>9</v>
      </c>
      <c r="Q17" s="16">
        <v>18</v>
      </c>
      <c r="R17" s="16">
        <v>24</v>
      </c>
      <c r="S17" s="16">
        <v>0</v>
      </c>
      <c r="T17" s="16">
        <v>0</v>
      </c>
      <c r="U17" s="16">
        <v>0</v>
      </c>
      <c r="V17" s="16">
        <v>0</v>
      </c>
      <c r="W17" s="16">
        <v>50</v>
      </c>
      <c r="X17" s="16">
        <v>6</v>
      </c>
      <c r="Y17" s="16">
        <v>8</v>
      </c>
      <c r="Z17" s="16">
        <v>36</v>
      </c>
      <c r="AA17" s="16">
        <v>951</v>
      </c>
      <c r="AB17" s="16">
        <v>120</v>
      </c>
      <c r="AC17" s="16">
        <v>105</v>
      </c>
      <c r="AD17" s="16">
        <v>726</v>
      </c>
      <c r="AE17" s="16">
        <v>297</v>
      </c>
      <c r="AF17" s="16">
        <v>30</v>
      </c>
      <c r="AG17" s="16">
        <v>10</v>
      </c>
      <c r="AH17" s="16">
        <v>257</v>
      </c>
      <c r="AI17" s="16">
        <v>358</v>
      </c>
      <c r="AJ17" s="16">
        <v>38</v>
      </c>
      <c r="AK17" s="16">
        <v>27</v>
      </c>
      <c r="AL17" s="16">
        <v>293</v>
      </c>
      <c r="AM17" s="16">
        <v>139</v>
      </c>
      <c r="AN17" s="16">
        <v>36</v>
      </c>
      <c r="AO17" s="16">
        <v>46</v>
      </c>
      <c r="AP17" s="16">
        <v>57</v>
      </c>
      <c r="AQ17" s="16">
        <v>2</v>
      </c>
      <c r="AR17" s="16">
        <v>1</v>
      </c>
      <c r="AS17" s="16">
        <v>1</v>
      </c>
      <c r="AT17" s="16">
        <v>0</v>
      </c>
      <c r="AU17" s="16">
        <v>155</v>
      </c>
      <c r="AV17" s="16">
        <v>15</v>
      </c>
      <c r="AW17" s="16">
        <v>21</v>
      </c>
      <c r="AX17" s="16">
        <v>119</v>
      </c>
    </row>
    <row r="18" spans="1:50" s="17" customFormat="1" ht="15.75" customHeight="1">
      <c r="A18" s="176"/>
      <c r="B18" s="126" t="s">
        <v>27</v>
      </c>
      <c r="C18" s="16">
        <v>288</v>
      </c>
      <c r="D18" s="16">
        <v>34</v>
      </c>
      <c r="E18" s="16">
        <v>26</v>
      </c>
      <c r="F18" s="16">
        <v>228</v>
      </c>
      <c r="G18" s="16">
        <v>115</v>
      </c>
      <c r="H18" s="16">
        <v>12</v>
      </c>
      <c r="I18" s="16">
        <v>1</v>
      </c>
      <c r="J18" s="16">
        <v>102</v>
      </c>
      <c r="K18" s="16">
        <v>105</v>
      </c>
      <c r="L18" s="16">
        <v>14</v>
      </c>
      <c r="M18" s="16">
        <v>5</v>
      </c>
      <c r="N18" s="16">
        <v>86</v>
      </c>
      <c r="O18" s="16">
        <v>34</v>
      </c>
      <c r="P18" s="16">
        <v>5</v>
      </c>
      <c r="Q18" s="16">
        <v>15</v>
      </c>
      <c r="R18" s="16">
        <v>14</v>
      </c>
      <c r="S18" s="16">
        <v>2</v>
      </c>
      <c r="T18" s="16">
        <v>1</v>
      </c>
      <c r="U18" s="16">
        <v>1</v>
      </c>
      <c r="V18" s="16">
        <v>0</v>
      </c>
      <c r="W18" s="16">
        <v>32</v>
      </c>
      <c r="X18" s="16">
        <v>2</v>
      </c>
      <c r="Y18" s="16">
        <v>4</v>
      </c>
      <c r="Z18" s="16">
        <v>26</v>
      </c>
      <c r="AA18" s="16">
        <v>960</v>
      </c>
      <c r="AB18" s="16">
        <v>131</v>
      </c>
      <c r="AC18" s="16">
        <v>98</v>
      </c>
      <c r="AD18" s="16">
        <v>731</v>
      </c>
      <c r="AE18" s="16">
        <v>345</v>
      </c>
      <c r="AF18" s="16">
        <v>41</v>
      </c>
      <c r="AG18" s="16">
        <v>6</v>
      </c>
      <c r="AH18" s="16">
        <v>298</v>
      </c>
      <c r="AI18" s="16">
        <v>386</v>
      </c>
      <c r="AJ18" s="16">
        <v>55</v>
      </c>
      <c r="AK18" s="16">
        <v>28</v>
      </c>
      <c r="AL18" s="16">
        <v>303</v>
      </c>
      <c r="AM18" s="16">
        <v>95</v>
      </c>
      <c r="AN18" s="16">
        <v>15</v>
      </c>
      <c r="AO18" s="16">
        <v>47</v>
      </c>
      <c r="AP18" s="16">
        <v>33</v>
      </c>
      <c r="AQ18" s="16">
        <v>8</v>
      </c>
      <c r="AR18" s="16">
        <v>3</v>
      </c>
      <c r="AS18" s="16">
        <v>4</v>
      </c>
      <c r="AT18" s="16">
        <v>1</v>
      </c>
      <c r="AU18" s="16">
        <v>126</v>
      </c>
      <c r="AV18" s="16">
        <v>17</v>
      </c>
      <c r="AW18" s="16">
        <v>13</v>
      </c>
      <c r="AX18" s="16">
        <v>96</v>
      </c>
    </row>
    <row r="19" spans="1:50" s="17" customFormat="1" ht="15.75" customHeight="1">
      <c r="A19" s="14" t="s">
        <v>34</v>
      </c>
      <c r="B19" s="125" t="s">
        <v>24</v>
      </c>
      <c r="C19" s="15">
        <v>2412</v>
      </c>
      <c r="D19" s="15">
        <v>646</v>
      </c>
      <c r="E19" s="15">
        <v>146</v>
      </c>
      <c r="F19" s="15">
        <v>1620</v>
      </c>
      <c r="G19" s="15">
        <v>745</v>
      </c>
      <c r="H19" s="15">
        <v>120</v>
      </c>
      <c r="I19" s="15">
        <v>13</v>
      </c>
      <c r="J19" s="15">
        <v>612</v>
      </c>
      <c r="K19" s="15">
        <v>859</v>
      </c>
      <c r="L19" s="15">
        <v>198</v>
      </c>
      <c r="M19" s="15">
        <v>49</v>
      </c>
      <c r="N19" s="15">
        <v>612</v>
      </c>
      <c r="O19" s="15">
        <v>467</v>
      </c>
      <c r="P19" s="15">
        <v>242</v>
      </c>
      <c r="Q19" s="15">
        <v>61</v>
      </c>
      <c r="R19" s="15">
        <v>164</v>
      </c>
      <c r="S19" s="15">
        <v>11</v>
      </c>
      <c r="T19" s="15">
        <v>6</v>
      </c>
      <c r="U19" s="15">
        <v>0</v>
      </c>
      <c r="V19" s="15">
        <v>5</v>
      </c>
      <c r="W19" s="15">
        <v>330</v>
      </c>
      <c r="X19" s="15">
        <v>80</v>
      </c>
      <c r="Y19" s="15">
        <v>23</v>
      </c>
      <c r="Z19" s="15">
        <v>227</v>
      </c>
      <c r="AA19" s="15">
        <v>5344</v>
      </c>
      <c r="AB19" s="15">
        <v>1278</v>
      </c>
      <c r="AC19" s="15">
        <v>294</v>
      </c>
      <c r="AD19" s="15">
        <v>3772</v>
      </c>
      <c r="AE19" s="15">
        <v>1630</v>
      </c>
      <c r="AF19" s="15">
        <v>242</v>
      </c>
      <c r="AG19" s="15">
        <v>28</v>
      </c>
      <c r="AH19" s="15">
        <v>1360</v>
      </c>
      <c r="AI19" s="15">
        <v>1947</v>
      </c>
      <c r="AJ19" s="15">
        <v>427</v>
      </c>
      <c r="AK19" s="15">
        <v>97</v>
      </c>
      <c r="AL19" s="15">
        <v>1423</v>
      </c>
      <c r="AM19" s="15">
        <v>819</v>
      </c>
      <c r="AN19" s="15">
        <v>390</v>
      </c>
      <c r="AO19" s="15">
        <v>104</v>
      </c>
      <c r="AP19" s="15">
        <v>325</v>
      </c>
      <c r="AQ19" s="15">
        <v>29</v>
      </c>
      <c r="AR19" s="15">
        <v>12</v>
      </c>
      <c r="AS19" s="15">
        <v>0</v>
      </c>
      <c r="AT19" s="15">
        <v>17</v>
      </c>
      <c r="AU19" s="15">
        <v>919</v>
      </c>
      <c r="AV19" s="15">
        <v>207</v>
      </c>
      <c r="AW19" s="15">
        <v>65</v>
      </c>
      <c r="AX19" s="15">
        <v>647</v>
      </c>
    </row>
    <row r="20" spans="1:50" s="17" customFormat="1" ht="15.75" customHeight="1">
      <c r="A20" s="175" t="s">
        <v>35</v>
      </c>
      <c r="B20" s="126" t="s">
        <v>26</v>
      </c>
      <c r="C20" s="16">
        <v>1227</v>
      </c>
      <c r="D20" s="16">
        <v>358</v>
      </c>
      <c r="E20" s="16">
        <v>73</v>
      </c>
      <c r="F20" s="16">
        <v>796</v>
      </c>
      <c r="G20" s="16">
        <v>310</v>
      </c>
      <c r="H20" s="16">
        <v>52</v>
      </c>
      <c r="I20" s="16">
        <v>5</v>
      </c>
      <c r="J20" s="16">
        <v>253</v>
      </c>
      <c r="K20" s="16">
        <v>469</v>
      </c>
      <c r="L20" s="16">
        <v>107</v>
      </c>
      <c r="M20" s="16">
        <v>26</v>
      </c>
      <c r="N20" s="16">
        <v>336</v>
      </c>
      <c r="O20" s="16">
        <v>289</v>
      </c>
      <c r="P20" s="16">
        <v>152</v>
      </c>
      <c r="Q20" s="16">
        <v>31</v>
      </c>
      <c r="R20" s="16">
        <v>106</v>
      </c>
      <c r="S20" s="16">
        <v>4</v>
      </c>
      <c r="T20" s="16">
        <v>1</v>
      </c>
      <c r="U20" s="16">
        <v>0</v>
      </c>
      <c r="V20" s="16">
        <v>3</v>
      </c>
      <c r="W20" s="16">
        <v>155</v>
      </c>
      <c r="X20" s="16">
        <v>46</v>
      </c>
      <c r="Y20" s="16">
        <v>11</v>
      </c>
      <c r="Z20" s="16">
        <v>98</v>
      </c>
      <c r="AA20" s="16">
        <v>2600</v>
      </c>
      <c r="AB20" s="16">
        <v>678</v>
      </c>
      <c r="AC20" s="16">
        <v>143</v>
      </c>
      <c r="AD20" s="16">
        <v>1779</v>
      </c>
      <c r="AE20" s="16">
        <v>584</v>
      </c>
      <c r="AF20" s="16">
        <v>86</v>
      </c>
      <c r="AG20" s="16">
        <v>11</v>
      </c>
      <c r="AH20" s="16">
        <v>487</v>
      </c>
      <c r="AI20" s="16">
        <v>1018</v>
      </c>
      <c r="AJ20" s="16">
        <v>206</v>
      </c>
      <c r="AK20" s="16">
        <v>47</v>
      </c>
      <c r="AL20" s="16">
        <v>765</v>
      </c>
      <c r="AM20" s="16">
        <v>563</v>
      </c>
      <c r="AN20" s="16">
        <v>267</v>
      </c>
      <c r="AO20" s="16">
        <v>56</v>
      </c>
      <c r="AP20" s="16">
        <v>240</v>
      </c>
      <c r="AQ20" s="16">
        <v>13</v>
      </c>
      <c r="AR20" s="16">
        <v>6</v>
      </c>
      <c r="AS20" s="16">
        <v>0</v>
      </c>
      <c r="AT20" s="16">
        <v>7</v>
      </c>
      <c r="AU20" s="16">
        <v>422</v>
      </c>
      <c r="AV20" s="16">
        <v>113</v>
      </c>
      <c r="AW20" s="16">
        <v>29</v>
      </c>
      <c r="AX20" s="16">
        <v>280</v>
      </c>
    </row>
    <row r="21" spans="1:50" s="17" customFormat="1" ht="15.75" customHeight="1">
      <c r="A21" s="176"/>
      <c r="B21" s="126" t="s">
        <v>27</v>
      </c>
      <c r="C21" s="16">
        <v>1185</v>
      </c>
      <c r="D21" s="16">
        <v>288</v>
      </c>
      <c r="E21" s="16">
        <v>73</v>
      </c>
      <c r="F21" s="16">
        <v>824</v>
      </c>
      <c r="G21" s="16">
        <v>435</v>
      </c>
      <c r="H21" s="16">
        <v>68</v>
      </c>
      <c r="I21" s="16">
        <v>8</v>
      </c>
      <c r="J21" s="16">
        <v>359</v>
      </c>
      <c r="K21" s="16">
        <v>390</v>
      </c>
      <c r="L21" s="16">
        <v>91</v>
      </c>
      <c r="M21" s="16">
        <v>23</v>
      </c>
      <c r="N21" s="16">
        <v>276</v>
      </c>
      <c r="O21" s="16">
        <v>178</v>
      </c>
      <c r="P21" s="16">
        <v>90</v>
      </c>
      <c r="Q21" s="16">
        <v>30</v>
      </c>
      <c r="R21" s="16">
        <v>58</v>
      </c>
      <c r="S21" s="16">
        <v>7</v>
      </c>
      <c r="T21" s="16">
        <v>5</v>
      </c>
      <c r="U21" s="16">
        <v>0</v>
      </c>
      <c r="V21" s="16">
        <v>2</v>
      </c>
      <c r="W21" s="16">
        <v>175</v>
      </c>
      <c r="X21" s="16">
        <v>34</v>
      </c>
      <c r="Y21" s="16">
        <v>12</v>
      </c>
      <c r="Z21" s="16">
        <v>129</v>
      </c>
      <c r="AA21" s="16">
        <v>2744</v>
      </c>
      <c r="AB21" s="16">
        <v>600</v>
      </c>
      <c r="AC21" s="16">
        <v>151</v>
      </c>
      <c r="AD21" s="16">
        <v>1993</v>
      </c>
      <c r="AE21" s="16">
        <v>1046</v>
      </c>
      <c r="AF21" s="16">
        <v>156</v>
      </c>
      <c r="AG21" s="16">
        <v>17</v>
      </c>
      <c r="AH21" s="16">
        <v>873</v>
      </c>
      <c r="AI21" s="16">
        <v>929</v>
      </c>
      <c r="AJ21" s="16">
        <v>221</v>
      </c>
      <c r="AK21" s="16">
        <v>50</v>
      </c>
      <c r="AL21" s="16">
        <v>658</v>
      </c>
      <c r="AM21" s="16">
        <v>256</v>
      </c>
      <c r="AN21" s="16">
        <v>123</v>
      </c>
      <c r="AO21" s="16">
        <v>48</v>
      </c>
      <c r="AP21" s="16">
        <v>85</v>
      </c>
      <c r="AQ21" s="16">
        <v>16</v>
      </c>
      <c r="AR21" s="16">
        <v>6</v>
      </c>
      <c r="AS21" s="16">
        <v>0</v>
      </c>
      <c r="AT21" s="16">
        <v>10</v>
      </c>
      <c r="AU21" s="16">
        <v>497</v>
      </c>
      <c r="AV21" s="16">
        <v>94</v>
      </c>
      <c r="AW21" s="16">
        <v>36</v>
      </c>
      <c r="AX21" s="16">
        <v>367</v>
      </c>
    </row>
    <row r="22" spans="1:50" s="17" customFormat="1" ht="15.75" customHeight="1">
      <c r="A22" s="14" t="s">
        <v>36</v>
      </c>
      <c r="B22" s="125" t="s">
        <v>24</v>
      </c>
      <c r="C22" s="15">
        <v>370</v>
      </c>
      <c r="D22" s="15">
        <v>56</v>
      </c>
      <c r="E22" s="15">
        <v>43</v>
      </c>
      <c r="F22" s="15">
        <v>271</v>
      </c>
      <c r="G22" s="15">
        <v>116</v>
      </c>
      <c r="H22" s="15">
        <v>12</v>
      </c>
      <c r="I22" s="15">
        <v>1</v>
      </c>
      <c r="J22" s="15">
        <v>103</v>
      </c>
      <c r="K22" s="15">
        <v>140</v>
      </c>
      <c r="L22" s="15">
        <v>20</v>
      </c>
      <c r="M22" s="15">
        <v>14</v>
      </c>
      <c r="N22" s="15">
        <v>106</v>
      </c>
      <c r="O22" s="15">
        <v>42</v>
      </c>
      <c r="P22" s="15">
        <v>5</v>
      </c>
      <c r="Q22" s="15">
        <v>19</v>
      </c>
      <c r="R22" s="15">
        <v>18</v>
      </c>
      <c r="S22" s="15">
        <v>0</v>
      </c>
      <c r="T22" s="15">
        <v>0</v>
      </c>
      <c r="U22" s="15">
        <v>0</v>
      </c>
      <c r="V22" s="15">
        <v>0</v>
      </c>
      <c r="W22" s="15">
        <v>72</v>
      </c>
      <c r="X22" s="15">
        <v>19</v>
      </c>
      <c r="Y22" s="15">
        <v>9</v>
      </c>
      <c r="Z22" s="15">
        <v>44</v>
      </c>
      <c r="AA22" s="15">
        <v>1005</v>
      </c>
      <c r="AB22" s="15">
        <v>131</v>
      </c>
      <c r="AC22" s="15">
        <v>100</v>
      </c>
      <c r="AD22" s="15">
        <v>774</v>
      </c>
      <c r="AE22" s="15">
        <v>282</v>
      </c>
      <c r="AF22" s="15">
        <v>25</v>
      </c>
      <c r="AG22" s="15">
        <v>1</v>
      </c>
      <c r="AH22" s="15">
        <v>256</v>
      </c>
      <c r="AI22" s="15">
        <v>409</v>
      </c>
      <c r="AJ22" s="15">
        <v>56</v>
      </c>
      <c r="AK22" s="15">
        <v>37</v>
      </c>
      <c r="AL22" s="15">
        <v>316</v>
      </c>
      <c r="AM22" s="15">
        <v>107</v>
      </c>
      <c r="AN22" s="15">
        <v>17</v>
      </c>
      <c r="AO22" s="15">
        <v>44</v>
      </c>
      <c r="AP22" s="15">
        <v>46</v>
      </c>
      <c r="AQ22" s="15">
        <v>0</v>
      </c>
      <c r="AR22" s="15">
        <v>0</v>
      </c>
      <c r="AS22" s="15">
        <v>0</v>
      </c>
      <c r="AT22" s="15">
        <v>0</v>
      </c>
      <c r="AU22" s="15">
        <v>207</v>
      </c>
      <c r="AV22" s="15">
        <v>33</v>
      </c>
      <c r="AW22" s="15">
        <v>18</v>
      </c>
      <c r="AX22" s="15">
        <v>156</v>
      </c>
    </row>
    <row r="23" spans="1:50" s="17" customFormat="1" ht="15.75" customHeight="1">
      <c r="A23" s="175" t="s">
        <v>37</v>
      </c>
      <c r="B23" s="126" t="s">
        <v>26</v>
      </c>
      <c r="C23" s="16">
        <v>160</v>
      </c>
      <c r="D23" s="16">
        <v>20</v>
      </c>
      <c r="E23" s="16">
        <v>26</v>
      </c>
      <c r="F23" s="16">
        <v>114</v>
      </c>
      <c r="G23" s="16">
        <v>47</v>
      </c>
      <c r="H23" s="16">
        <v>2</v>
      </c>
      <c r="I23" s="16">
        <v>1</v>
      </c>
      <c r="J23" s="16">
        <v>44</v>
      </c>
      <c r="K23" s="16">
        <v>59</v>
      </c>
      <c r="L23" s="16">
        <v>6</v>
      </c>
      <c r="M23" s="16">
        <v>8</v>
      </c>
      <c r="N23" s="16">
        <v>45</v>
      </c>
      <c r="O23" s="16">
        <v>26</v>
      </c>
      <c r="P23" s="16">
        <v>4</v>
      </c>
      <c r="Q23" s="16">
        <v>12</v>
      </c>
      <c r="R23" s="16">
        <v>10</v>
      </c>
      <c r="S23" s="16">
        <v>0</v>
      </c>
      <c r="T23" s="16">
        <v>0</v>
      </c>
      <c r="U23" s="16">
        <v>0</v>
      </c>
      <c r="V23" s="16">
        <v>0</v>
      </c>
      <c r="W23" s="16">
        <v>28</v>
      </c>
      <c r="X23" s="16">
        <v>8</v>
      </c>
      <c r="Y23" s="16">
        <v>5</v>
      </c>
      <c r="Z23" s="16">
        <v>15</v>
      </c>
      <c r="AA23" s="16">
        <v>465</v>
      </c>
      <c r="AB23" s="16">
        <v>56</v>
      </c>
      <c r="AC23" s="16">
        <v>56</v>
      </c>
      <c r="AD23" s="16">
        <v>353</v>
      </c>
      <c r="AE23" s="16">
        <v>118</v>
      </c>
      <c r="AF23" s="16">
        <v>10</v>
      </c>
      <c r="AG23" s="16">
        <v>1</v>
      </c>
      <c r="AH23" s="16">
        <v>107</v>
      </c>
      <c r="AI23" s="16">
        <v>195</v>
      </c>
      <c r="AJ23" s="16">
        <v>24</v>
      </c>
      <c r="AK23" s="16">
        <v>17</v>
      </c>
      <c r="AL23" s="16">
        <v>154</v>
      </c>
      <c r="AM23" s="16">
        <v>70</v>
      </c>
      <c r="AN23" s="16">
        <v>11</v>
      </c>
      <c r="AO23" s="16">
        <v>30</v>
      </c>
      <c r="AP23" s="16">
        <v>29</v>
      </c>
      <c r="AQ23" s="16">
        <v>0</v>
      </c>
      <c r="AR23" s="16">
        <v>0</v>
      </c>
      <c r="AS23" s="16">
        <v>0</v>
      </c>
      <c r="AT23" s="16">
        <v>0</v>
      </c>
      <c r="AU23" s="16">
        <v>82</v>
      </c>
      <c r="AV23" s="16">
        <v>11</v>
      </c>
      <c r="AW23" s="16">
        <v>8</v>
      </c>
      <c r="AX23" s="16">
        <v>63</v>
      </c>
    </row>
    <row r="24" spans="1:50" s="17" customFormat="1" ht="15.75" customHeight="1">
      <c r="A24" s="176"/>
      <c r="B24" s="126" t="s">
        <v>27</v>
      </c>
      <c r="C24" s="16">
        <v>210</v>
      </c>
      <c r="D24" s="16">
        <v>36</v>
      </c>
      <c r="E24" s="16">
        <v>17</v>
      </c>
      <c r="F24" s="16">
        <v>157</v>
      </c>
      <c r="G24" s="16">
        <v>69</v>
      </c>
      <c r="H24" s="16">
        <v>10</v>
      </c>
      <c r="I24" s="16">
        <v>0</v>
      </c>
      <c r="J24" s="16">
        <v>59</v>
      </c>
      <c r="K24" s="16">
        <v>81</v>
      </c>
      <c r="L24" s="16">
        <v>14</v>
      </c>
      <c r="M24" s="16">
        <v>6</v>
      </c>
      <c r="N24" s="16">
        <v>61</v>
      </c>
      <c r="O24" s="16">
        <v>16</v>
      </c>
      <c r="P24" s="16">
        <v>1</v>
      </c>
      <c r="Q24" s="16">
        <v>7</v>
      </c>
      <c r="R24" s="16">
        <v>8</v>
      </c>
      <c r="S24" s="16">
        <v>0</v>
      </c>
      <c r="T24" s="16">
        <v>0</v>
      </c>
      <c r="U24" s="16">
        <v>0</v>
      </c>
      <c r="V24" s="16">
        <v>0</v>
      </c>
      <c r="W24" s="16">
        <v>44</v>
      </c>
      <c r="X24" s="16">
        <v>11</v>
      </c>
      <c r="Y24" s="16">
        <v>4</v>
      </c>
      <c r="Z24" s="16">
        <v>29</v>
      </c>
      <c r="AA24" s="16">
        <v>540</v>
      </c>
      <c r="AB24" s="16">
        <v>75</v>
      </c>
      <c r="AC24" s="16">
        <v>44</v>
      </c>
      <c r="AD24" s="16">
        <v>421</v>
      </c>
      <c r="AE24" s="16">
        <v>164</v>
      </c>
      <c r="AF24" s="16">
        <v>15</v>
      </c>
      <c r="AG24" s="16">
        <v>0</v>
      </c>
      <c r="AH24" s="16">
        <v>149</v>
      </c>
      <c r="AI24" s="16">
        <v>214</v>
      </c>
      <c r="AJ24" s="16">
        <v>32</v>
      </c>
      <c r="AK24" s="16">
        <v>20</v>
      </c>
      <c r="AL24" s="16">
        <v>162</v>
      </c>
      <c r="AM24" s="16">
        <v>37</v>
      </c>
      <c r="AN24" s="16">
        <v>6</v>
      </c>
      <c r="AO24" s="16">
        <v>14</v>
      </c>
      <c r="AP24" s="16">
        <v>17</v>
      </c>
      <c r="AQ24" s="16">
        <v>0</v>
      </c>
      <c r="AR24" s="16">
        <v>0</v>
      </c>
      <c r="AS24" s="16">
        <v>0</v>
      </c>
      <c r="AT24" s="16">
        <v>0</v>
      </c>
      <c r="AU24" s="16">
        <v>125</v>
      </c>
      <c r="AV24" s="16">
        <v>22</v>
      </c>
      <c r="AW24" s="16">
        <v>10</v>
      </c>
      <c r="AX24" s="16">
        <v>93</v>
      </c>
    </row>
    <row r="25" spans="1:50" s="17" customFormat="1" ht="15.75" customHeight="1">
      <c r="A25" s="14" t="s">
        <v>38</v>
      </c>
      <c r="B25" s="125" t="s">
        <v>24</v>
      </c>
      <c r="C25" s="15">
        <v>2679</v>
      </c>
      <c r="D25" s="15">
        <v>421</v>
      </c>
      <c r="E25" s="15">
        <v>390</v>
      </c>
      <c r="F25" s="15">
        <v>1868</v>
      </c>
      <c r="G25" s="15">
        <v>502</v>
      </c>
      <c r="H25" s="15">
        <v>73</v>
      </c>
      <c r="I25" s="15">
        <v>12</v>
      </c>
      <c r="J25" s="15">
        <v>417</v>
      </c>
      <c r="K25" s="15">
        <v>1117</v>
      </c>
      <c r="L25" s="15">
        <v>146</v>
      </c>
      <c r="M25" s="15">
        <v>117</v>
      </c>
      <c r="N25" s="15">
        <v>854</v>
      </c>
      <c r="O25" s="15">
        <v>586</v>
      </c>
      <c r="P25" s="15">
        <v>119</v>
      </c>
      <c r="Q25" s="15">
        <v>203</v>
      </c>
      <c r="R25" s="15">
        <v>264</v>
      </c>
      <c r="S25" s="15">
        <v>4</v>
      </c>
      <c r="T25" s="15">
        <v>0</v>
      </c>
      <c r="U25" s="15">
        <v>0</v>
      </c>
      <c r="V25" s="15">
        <v>4</v>
      </c>
      <c r="W25" s="15">
        <v>470</v>
      </c>
      <c r="X25" s="15">
        <v>83</v>
      </c>
      <c r="Y25" s="15">
        <v>58</v>
      </c>
      <c r="Z25" s="15">
        <v>329</v>
      </c>
      <c r="AA25" s="15">
        <v>6718</v>
      </c>
      <c r="AB25" s="15">
        <v>1135</v>
      </c>
      <c r="AC25" s="15">
        <v>896</v>
      </c>
      <c r="AD25" s="15">
        <v>4687</v>
      </c>
      <c r="AE25" s="15">
        <v>1356</v>
      </c>
      <c r="AF25" s="15">
        <v>218</v>
      </c>
      <c r="AG25" s="15">
        <v>36</v>
      </c>
      <c r="AH25" s="15">
        <v>1102</v>
      </c>
      <c r="AI25" s="15">
        <v>2771</v>
      </c>
      <c r="AJ25" s="15">
        <v>406</v>
      </c>
      <c r="AK25" s="15">
        <v>256</v>
      </c>
      <c r="AL25" s="15">
        <v>2109</v>
      </c>
      <c r="AM25" s="15">
        <v>1332</v>
      </c>
      <c r="AN25" s="15">
        <v>301</v>
      </c>
      <c r="AO25" s="15">
        <v>462</v>
      </c>
      <c r="AP25" s="15">
        <v>569</v>
      </c>
      <c r="AQ25" s="15">
        <v>15</v>
      </c>
      <c r="AR25" s="15">
        <v>1</v>
      </c>
      <c r="AS25" s="15">
        <v>4</v>
      </c>
      <c r="AT25" s="15">
        <v>10</v>
      </c>
      <c r="AU25" s="15">
        <v>1244</v>
      </c>
      <c r="AV25" s="15">
        <v>209</v>
      </c>
      <c r="AW25" s="15">
        <v>138</v>
      </c>
      <c r="AX25" s="15">
        <v>897</v>
      </c>
    </row>
    <row r="26" spans="1:50" s="17" customFormat="1" ht="15.75" customHeight="1">
      <c r="A26" s="175" t="s">
        <v>39</v>
      </c>
      <c r="B26" s="126" t="s">
        <v>26</v>
      </c>
      <c r="C26" s="16">
        <v>1397</v>
      </c>
      <c r="D26" s="16">
        <v>205</v>
      </c>
      <c r="E26" s="16">
        <v>234</v>
      </c>
      <c r="F26" s="16">
        <v>958</v>
      </c>
      <c r="G26" s="16">
        <v>194</v>
      </c>
      <c r="H26" s="16">
        <v>24</v>
      </c>
      <c r="I26" s="16">
        <v>4</v>
      </c>
      <c r="J26" s="16">
        <v>166</v>
      </c>
      <c r="K26" s="16">
        <v>597</v>
      </c>
      <c r="L26" s="16">
        <v>76</v>
      </c>
      <c r="M26" s="16">
        <v>64</v>
      </c>
      <c r="N26" s="16">
        <v>457</v>
      </c>
      <c r="O26" s="16">
        <v>373</v>
      </c>
      <c r="P26" s="16">
        <v>71</v>
      </c>
      <c r="Q26" s="16">
        <v>128</v>
      </c>
      <c r="R26" s="16">
        <v>174</v>
      </c>
      <c r="S26" s="16">
        <v>4</v>
      </c>
      <c r="T26" s="16">
        <v>0</v>
      </c>
      <c r="U26" s="16">
        <v>0</v>
      </c>
      <c r="V26" s="16">
        <v>4</v>
      </c>
      <c r="W26" s="16">
        <v>229</v>
      </c>
      <c r="X26" s="16">
        <v>34</v>
      </c>
      <c r="Y26" s="16">
        <v>38</v>
      </c>
      <c r="Z26" s="16">
        <v>157</v>
      </c>
      <c r="AA26" s="16">
        <v>3540</v>
      </c>
      <c r="AB26" s="16">
        <v>572</v>
      </c>
      <c r="AC26" s="16">
        <v>537</v>
      </c>
      <c r="AD26" s="16">
        <v>2431</v>
      </c>
      <c r="AE26" s="16">
        <v>559</v>
      </c>
      <c r="AF26" s="16">
        <v>80</v>
      </c>
      <c r="AG26" s="16">
        <v>11</v>
      </c>
      <c r="AH26" s="16">
        <v>468</v>
      </c>
      <c r="AI26" s="16">
        <v>1497</v>
      </c>
      <c r="AJ26" s="16">
        <v>203</v>
      </c>
      <c r="AK26" s="16">
        <v>140</v>
      </c>
      <c r="AL26" s="16">
        <v>1154</v>
      </c>
      <c r="AM26" s="16">
        <v>864</v>
      </c>
      <c r="AN26" s="16">
        <v>193</v>
      </c>
      <c r="AO26" s="16">
        <v>300</v>
      </c>
      <c r="AP26" s="16">
        <v>371</v>
      </c>
      <c r="AQ26" s="16">
        <v>11</v>
      </c>
      <c r="AR26" s="16">
        <v>1</v>
      </c>
      <c r="AS26" s="16">
        <v>3</v>
      </c>
      <c r="AT26" s="16">
        <v>7</v>
      </c>
      <c r="AU26" s="16">
        <v>609</v>
      </c>
      <c r="AV26" s="16">
        <v>95</v>
      </c>
      <c r="AW26" s="16">
        <v>83</v>
      </c>
      <c r="AX26" s="16">
        <v>431</v>
      </c>
    </row>
    <row r="27" spans="1:50" s="17" customFormat="1" ht="15.75" customHeight="1">
      <c r="A27" s="176"/>
      <c r="B27" s="126" t="s">
        <v>27</v>
      </c>
      <c r="C27" s="16">
        <v>1282</v>
      </c>
      <c r="D27" s="16">
        <v>216</v>
      </c>
      <c r="E27" s="16">
        <v>156</v>
      </c>
      <c r="F27" s="16">
        <v>910</v>
      </c>
      <c r="G27" s="16">
        <v>308</v>
      </c>
      <c r="H27" s="16">
        <v>49</v>
      </c>
      <c r="I27" s="16">
        <v>8</v>
      </c>
      <c r="J27" s="16">
        <v>251</v>
      </c>
      <c r="K27" s="16">
        <v>520</v>
      </c>
      <c r="L27" s="16">
        <v>70</v>
      </c>
      <c r="M27" s="16">
        <v>53</v>
      </c>
      <c r="N27" s="16">
        <v>397</v>
      </c>
      <c r="O27" s="16">
        <v>213</v>
      </c>
      <c r="P27" s="16">
        <v>48</v>
      </c>
      <c r="Q27" s="16">
        <v>75</v>
      </c>
      <c r="R27" s="16">
        <v>90</v>
      </c>
      <c r="S27" s="16">
        <v>0</v>
      </c>
      <c r="T27" s="16">
        <v>0</v>
      </c>
      <c r="U27" s="16">
        <v>0</v>
      </c>
      <c r="V27" s="16">
        <v>0</v>
      </c>
      <c r="W27" s="16">
        <v>241</v>
      </c>
      <c r="X27" s="16">
        <v>49</v>
      </c>
      <c r="Y27" s="16">
        <v>20</v>
      </c>
      <c r="Z27" s="16">
        <v>172</v>
      </c>
      <c r="AA27" s="16">
        <v>3178</v>
      </c>
      <c r="AB27" s="16">
        <v>563</v>
      </c>
      <c r="AC27" s="16">
        <v>359</v>
      </c>
      <c r="AD27" s="16">
        <v>2256</v>
      </c>
      <c r="AE27" s="16">
        <v>797</v>
      </c>
      <c r="AF27" s="16">
        <v>138</v>
      </c>
      <c r="AG27" s="16">
        <v>25</v>
      </c>
      <c r="AH27" s="16">
        <v>634</v>
      </c>
      <c r="AI27" s="16">
        <v>1274</v>
      </c>
      <c r="AJ27" s="16">
        <v>203</v>
      </c>
      <c r="AK27" s="16">
        <v>116</v>
      </c>
      <c r="AL27" s="16">
        <v>955</v>
      </c>
      <c r="AM27" s="16">
        <v>468</v>
      </c>
      <c r="AN27" s="16">
        <v>108</v>
      </c>
      <c r="AO27" s="16">
        <v>162</v>
      </c>
      <c r="AP27" s="16">
        <v>198</v>
      </c>
      <c r="AQ27" s="16">
        <v>4</v>
      </c>
      <c r="AR27" s="16">
        <v>0</v>
      </c>
      <c r="AS27" s="16">
        <v>1</v>
      </c>
      <c r="AT27" s="16">
        <v>3</v>
      </c>
      <c r="AU27" s="16">
        <v>635</v>
      </c>
      <c r="AV27" s="16">
        <v>114</v>
      </c>
      <c r="AW27" s="16">
        <v>55</v>
      </c>
      <c r="AX27" s="16">
        <v>466</v>
      </c>
    </row>
    <row r="28" spans="1:50" ht="15.75" customHeight="1">
      <c r="A28" s="14" t="s">
        <v>40</v>
      </c>
      <c r="B28" s="125" t="s">
        <v>24</v>
      </c>
      <c r="C28" s="15">
        <v>1772</v>
      </c>
      <c r="D28" s="15">
        <v>215</v>
      </c>
      <c r="E28" s="15">
        <v>160</v>
      </c>
      <c r="F28" s="15">
        <v>1397</v>
      </c>
      <c r="G28" s="15">
        <v>520</v>
      </c>
      <c r="H28" s="15">
        <v>76</v>
      </c>
      <c r="I28" s="15">
        <v>36</v>
      </c>
      <c r="J28" s="15">
        <v>408</v>
      </c>
      <c r="K28" s="15">
        <v>969</v>
      </c>
      <c r="L28" s="15">
        <v>97</v>
      </c>
      <c r="M28" s="15">
        <v>61</v>
      </c>
      <c r="N28" s="15">
        <v>811</v>
      </c>
      <c r="O28" s="15">
        <v>239</v>
      </c>
      <c r="P28" s="15">
        <v>34</v>
      </c>
      <c r="Q28" s="15">
        <v>62</v>
      </c>
      <c r="R28" s="15">
        <v>143</v>
      </c>
      <c r="S28" s="15">
        <v>13</v>
      </c>
      <c r="T28" s="15">
        <v>7</v>
      </c>
      <c r="U28" s="15">
        <v>0</v>
      </c>
      <c r="V28" s="15">
        <v>6</v>
      </c>
      <c r="W28" s="15">
        <v>31</v>
      </c>
      <c r="X28" s="15">
        <v>1</v>
      </c>
      <c r="Y28" s="15">
        <v>1</v>
      </c>
      <c r="Z28" s="15">
        <v>29</v>
      </c>
      <c r="AA28" s="15">
        <v>3833</v>
      </c>
      <c r="AB28" s="15">
        <v>493</v>
      </c>
      <c r="AC28" s="15">
        <v>419</v>
      </c>
      <c r="AD28" s="15">
        <v>2921</v>
      </c>
      <c r="AE28" s="15">
        <v>1181</v>
      </c>
      <c r="AF28" s="15">
        <v>151</v>
      </c>
      <c r="AG28" s="15">
        <v>80</v>
      </c>
      <c r="AH28" s="15">
        <v>950</v>
      </c>
      <c r="AI28" s="15">
        <v>1982</v>
      </c>
      <c r="AJ28" s="15">
        <v>221</v>
      </c>
      <c r="AK28" s="15">
        <v>159</v>
      </c>
      <c r="AL28" s="15">
        <v>1602</v>
      </c>
      <c r="AM28" s="15">
        <v>502</v>
      </c>
      <c r="AN28" s="15">
        <v>84</v>
      </c>
      <c r="AO28" s="15">
        <v>175</v>
      </c>
      <c r="AP28" s="15">
        <v>243</v>
      </c>
      <c r="AQ28" s="15">
        <v>50</v>
      </c>
      <c r="AR28" s="15">
        <v>34</v>
      </c>
      <c r="AS28" s="15">
        <v>0</v>
      </c>
      <c r="AT28" s="15">
        <v>16</v>
      </c>
      <c r="AU28" s="15">
        <v>118</v>
      </c>
      <c r="AV28" s="15">
        <v>3</v>
      </c>
      <c r="AW28" s="15">
        <v>5</v>
      </c>
      <c r="AX28" s="15">
        <v>110</v>
      </c>
    </row>
    <row r="29" spans="1:50" ht="15.75" customHeight="1">
      <c r="A29" s="175" t="s">
        <v>41</v>
      </c>
      <c r="B29" s="126" t="s">
        <v>26</v>
      </c>
      <c r="C29" s="16">
        <v>893</v>
      </c>
      <c r="D29" s="16">
        <v>92</v>
      </c>
      <c r="E29" s="16">
        <v>76</v>
      </c>
      <c r="F29" s="16">
        <v>725</v>
      </c>
      <c r="G29" s="16">
        <v>246</v>
      </c>
      <c r="H29" s="16">
        <v>24</v>
      </c>
      <c r="I29" s="16">
        <v>13</v>
      </c>
      <c r="J29" s="16">
        <v>209</v>
      </c>
      <c r="K29" s="16">
        <v>469</v>
      </c>
      <c r="L29" s="16">
        <v>37</v>
      </c>
      <c r="M29" s="16">
        <v>29</v>
      </c>
      <c r="N29" s="16">
        <v>403</v>
      </c>
      <c r="O29" s="16">
        <v>155</v>
      </c>
      <c r="P29" s="16">
        <v>25</v>
      </c>
      <c r="Q29" s="16">
        <v>34</v>
      </c>
      <c r="R29" s="16">
        <v>96</v>
      </c>
      <c r="S29" s="16">
        <v>8</v>
      </c>
      <c r="T29" s="16">
        <v>5</v>
      </c>
      <c r="U29" s="16">
        <v>0</v>
      </c>
      <c r="V29" s="16">
        <v>3</v>
      </c>
      <c r="W29" s="16">
        <v>15</v>
      </c>
      <c r="X29" s="16">
        <v>1</v>
      </c>
      <c r="Y29" s="16">
        <v>0</v>
      </c>
      <c r="Z29" s="16">
        <v>14</v>
      </c>
      <c r="AA29" s="16">
        <v>1903</v>
      </c>
      <c r="AB29" s="16">
        <v>233</v>
      </c>
      <c r="AC29" s="16">
        <v>202</v>
      </c>
      <c r="AD29" s="16">
        <v>1468</v>
      </c>
      <c r="AE29" s="16">
        <v>542</v>
      </c>
      <c r="AF29" s="16">
        <v>43</v>
      </c>
      <c r="AG29" s="16">
        <v>29</v>
      </c>
      <c r="AH29" s="16">
        <v>470</v>
      </c>
      <c r="AI29" s="16">
        <v>947</v>
      </c>
      <c r="AJ29" s="16">
        <v>98</v>
      </c>
      <c r="AK29" s="16">
        <v>77</v>
      </c>
      <c r="AL29" s="16">
        <v>772</v>
      </c>
      <c r="AM29" s="16">
        <v>325</v>
      </c>
      <c r="AN29" s="16">
        <v>63</v>
      </c>
      <c r="AO29" s="16">
        <v>95</v>
      </c>
      <c r="AP29" s="16">
        <v>167</v>
      </c>
      <c r="AQ29" s="16">
        <v>37</v>
      </c>
      <c r="AR29" s="16">
        <v>26</v>
      </c>
      <c r="AS29" s="16">
        <v>0</v>
      </c>
      <c r="AT29" s="16">
        <v>11</v>
      </c>
      <c r="AU29" s="16">
        <v>52</v>
      </c>
      <c r="AV29" s="16">
        <v>3</v>
      </c>
      <c r="AW29" s="16">
        <v>1</v>
      </c>
      <c r="AX29" s="16">
        <v>48</v>
      </c>
    </row>
    <row r="30" spans="1:50" ht="15.75" customHeight="1">
      <c r="A30" s="176"/>
      <c r="B30" s="126" t="s">
        <v>27</v>
      </c>
      <c r="C30" s="16">
        <v>879</v>
      </c>
      <c r="D30" s="16">
        <v>123</v>
      </c>
      <c r="E30" s="16">
        <v>84</v>
      </c>
      <c r="F30" s="16">
        <v>672</v>
      </c>
      <c r="G30" s="16">
        <v>274</v>
      </c>
      <c r="H30" s="16">
        <v>52</v>
      </c>
      <c r="I30" s="16">
        <v>23</v>
      </c>
      <c r="J30" s="16">
        <v>199</v>
      </c>
      <c r="K30" s="16">
        <v>500</v>
      </c>
      <c r="L30" s="16">
        <v>60</v>
      </c>
      <c r="M30" s="16">
        <v>32</v>
      </c>
      <c r="N30" s="16">
        <v>408</v>
      </c>
      <c r="O30" s="16">
        <v>84</v>
      </c>
      <c r="P30" s="16">
        <v>9</v>
      </c>
      <c r="Q30" s="16">
        <v>28</v>
      </c>
      <c r="R30" s="16">
        <v>47</v>
      </c>
      <c r="S30" s="16">
        <v>5</v>
      </c>
      <c r="T30" s="16">
        <v>2</v>
      </c>
      <c r="U30" s="16">
        <v>0</v>
      </c>
      <c r="V30" s="16">
        <v>3</v>
      </c>
      <c r="W30" s="16">
        <v>16</v>
      </c>
      <c r="X30" s="16">
        <v>0</v>
      </c>
      <c r="Y30" s="16">
        <v>1</v>
      </c>
      <c r="Z30" s="16">
        <v>15</v>
      </c>
      <c r="AA30" s="16">
        <v>1930</v>
      </c>
      <c r="AB30" s="16">
        <v>260</v>
      </c>
      <c r="AC30" s="16">
        <v>217</v>
      </c>
      <c r="AD30" s="16">
        <v>1453</v>
      </c>
      <c r="AE30" s="16">
        <v>639</v>
      </c>
      <c r="AF30" s="16">
        <v>108</v>
      </c>
      <c r="AG30" s="16">
        <v>51</v>
      </c>
      <c r="AH30" s="16">
        <v>480</v>
      </c>
      <c r="AI30" s="16">
        <v>1035</v>
      </c>
      <c r="AJ30" s="16">
        <v>123</v>
      </c>
      <c r="AK30" s="16">
        <v>82</v>
      </c>
      <c r="AL30" s="16">
        <v>830</v>
      </c>
      <c r="AM30" s="16">
        <v>177</v>
      </c>
      <c r="AN30" s="16">
        <v>21</v>
      </c>
      <c r="AO30" s="16">
        <v>80</v>
      </c>
      <c r="AP30" s="16">
        <v>76</v>
      </c>
      <c r="AQ30" s="16">
        <v>13</v>
      </c>
      <c r="AR30" s="16">
        <v>8</v>
      </c>
      <c r="AS30" s="16">
        <v>0</v>
      </c>
      <c r="AT30" s="16">
        <v>5</v>
      </c>
      <c r="AU30" s="16">
        <v>66</v>
      </c>
      <c r="AV30" s="16">
        <v>0</v>
      </c>
      <c r="AW30" s="16">
        <v>4</v>
      </c>
      <c r="AX30" s="16">
        <v>62</v>
      </c>
    </row>
    <row r="31" spans="1:50" ht="15.75" customHeight="1">
      <c r="A31" s="14" t="s">
        <v>42</v>
      </c>
      <c r="B31" s="125" t="s">
        <v>24</v>
      </c>
      <c r="C31" s="15">
        <v>173</v>
      </c>
      <c r="D31" s="15">
        <v>8</v>
      </c>
      <c r="E31" s="15">
        <v>11</v>
      </c>
      <c r="F31" s="15">
        <v>154</v>
      </c>
      <c r="G31" s="15">
        <v>49</v>
      </c>
      <c r="H31" s="15">
        <v>2</v>
      </c>
      <c r="I31" s="15">
        <v>1</v>
      </c>
      <c r="J31" s="15">
        <v>46</v>
      </c>
      <c r="K31" s="15">
        <v>84</v>
      </c>
      <c r="L31" s="15">
        <v>2</v>
      </c>
      <c r="M31" s="15">
        <v>3</v>
      </c>
      <c r="N31" s="15">
        <v>79</v>
      </c>
      <c r="O31" s="15">
        <v>20</v>
      </c>
      <c r="P31" s="15">
        <v>4</v>
      </c>
      <c r="Q31" s="15">
        <v>6</v>
      </c>
      <c r="R31" s="15">
        <v>10</v>
      </c>
      <c r="S31" s="15">
        <v>0</v>
      </c>
      <c r="T31" s="15">
        <v>0</v>
      </c>
      <c r="U31" s="15">
        <v>0</v>
      </c>
      <c r="V31" s="15">
        <v>0</v>
      </c>
      <c r="W31" s="15">
        <v>20</v>
      </c>
      <c r="X31" s="15">
        <v>0</v>
      </c>
      <c r="Y31" s="15">
        <v>1</v>
      </c>
      <c r="Z31" s="15">
        <v>19</v>
      </c>
      <c r="AA31" s="15">
        <v>423</v>
      </c>
      <c r="AB31" s="15">
        <v>23</v>
      </c>
      <c r="AC31" s="15">
        <v>20</v>
      </c>
      <c r="AD31" s="15">
        <v>380</v>
      </c>
      <c r="AE31" s="15">
        <v>126</v>
      </c>
      <c r="AF31" s="15">
        <v>7</v>
      </c>
      <c r="AG31" s="15">
        <v>1</v>
      </c>
      <c r="AH31" s="15">
        <v>118</v>
      </c>
      <c r="AI31" s="15">
        <v>206</v>
      </c>
      <c r="AJ31" s="15">
        <v>8</v>
      </c>
      <c r="AK31" s="15">
        <v>8</v>
      </c>
      <c r="AL31" s="15">
        <v>190</v>
      </c>
      <c r="AM31" s="15">
        <v>37</v>
      </c>
      <c r="AN31" s="15">
        <v>7</v>
      </c>
      <c r="AO31" s="15">
        <v>9</v>
      </c>
      <c r="AP31" s="15">
        <v>21</v>
      </c>
      <c r="AQ31" s="15">
        <v>0</v>
      </c>
      <c r="AR31" s="15">
        <v>0</v>
      </c>
      <c r="AS31" s="15">
        <v>0</v>
      </c>
      <c r="AT31" s="15">
        <v>0</v>
      </c>
      <c r="AU31" s="15">
        <v>54</v>
      </c>
      <c r="AV31" s="15">
        <v>1</v>
      </c>
      <c r="AW31" s="15">
        <v>2</v>
      </c>
      <c r="AX31" s="15">
        <v>51</v>
      </c>
    </row>
    <row r="32" spans="1:50" ht="15.75" customHeight="1">
      <c r="A32" s="175" t="s">
        <v>43</v>
      </c>
      <c r="B32" s="126" t="s">
        <v>26</v>
      </c>
      <c r="C32" s="16">
        <v>98</v>
      </c>
      <c r="D32" s="16">
        <v>6</v>
      </c>
      <c r="E32" s="16">
        <v>6</v>
      </c>
      <c r="F32" s="16">
        <v>86</v>
      </c>
      <c r="G32" s="16">
        <v>26</v>
      </c>
      <c r="H32" s="16">
        <v>2</v>
      </c>
      <c r="I32" s="16">
        <v>1</v>
      </c>
      <c r="J32" s="16">
        <v>23</v>
      </c>
      <c r="K32" s="16">
        <v>44</v>
      </c>
      <c r="L32" s="16">
        <v>0</v>
      </c>
      <c r="M32" s="16">
        <v>1</v>
      </c>
      <c r="N32" s="16">
        <v>43</v>
      </c>
      <c r="O32" s="16">
        <v>17</v>
      </c>
      <c r="P32" s="16">
        <v>4</v>
      </c>
      <c r="Q32" s="16">
        <v>4</v>
      </c>
      <c r="R32" s="16">
        <v>9</v>
      </c>
      <c r="S32" s="16">
        <v>0</v>
      </c>
      <c r="T32" s="16">
        <v>0</v>
      </c>
      <c r="U32" s="16">
        <v>0</v>
      </c>
      <c r="V32" s="16">
        <v>0</v>
      </c>
      <c r="W32" s="16">
        <v>11</v>
      </c>
      <c r="X32" s="16">
        <v>0</v>
      </c>
      <c r="Y32" s="16">
        <v>0</v>
      </c>
      <c r="Z32" s="16">
        <v>11</v>
      </c>
      <c r="AA32" s="16">
        <v>221</v>
      </c>
      <c r="AB32" s="16">
        <v>14</v>
      </c>
      <c r="AC32" s="16">
        <v>11</v>
      </c>
      <c r="AD32" s="16">
        <v>196</v>
      </c>
      <c r="AE32" s="16">
        <v>58</v>
      </c>
      <c r="AF32" s="16">
        <v>5</v>
      </c>
      <c r="AG32" s="16">
        <v>1</v>
      </c>
      <c r="AH32" s="16">
        <v>52</v>
      </c>
      <c r="AI32" s="16">
        <v>107</v>
      </c>
      <c r="AJ32" s="16">
        <v>3</v>
      </c>
      <c r="AK32" s="16">
        <v>3</v>
      </c>
      <c r="AL32" s="16">
        <v>101</v>
      </c>
      <c r="AM32" s="16">
        <v>29</v>
      </c>
      <c r="AN32" s="16">
        <v>6</v>
      </c>
      <c r="AO32" s="16">
        <v>7</v>
      </c>
      <c r="AP32" s="16">
        <v>16</v>
      </c>
      <c r="AQ32" s="16">
        <v>0</v>
      </c>
      <c r="AR32" s="16">
        <v>0</v>
      </c>
      <c r="AS32" s="16">
        <v>0</v>
      </c>
      <c r="AT32" s="16">
        <v>0</v>
      </c>
      <c r="AU32" s="16">
        <v>27</v>
      </c>
      <c r="AV32" s="16">
        <v>0</v>
      </c>
      <c r="AW32" s="16">
        <v>0</v>
      </c>
      <c r="AX32" s="16">
        <v>27</v>
      </c>
    </row>
    <row r="33" spans="1:50" ht="15.75" customHeight="1">
      <c r="A33" s="176"/>
      <c r="B33" s="126" t="s">
        <v>27</v>
      </c>
      <c r="C33" s="16">
        <v>75</v>
      </c>
      <c r="D33" s="16">
        <v>2</v>
      </c>
      <c r="E33" s="16">
        <v>5</v>
      </c>
      <c r="F33" s="16">
        <v>68</v>
      </c>
      <c r="G33" s="16">
        <v>23</v>
      </c>
      <c r="H33" s="16">
        <v>0</v>
      </c>
      <c r="I33" s="16">
        <v>0</v>
      </c>
      <c r="J33" s="16">
        <v>23</v>
      </c>
      <c r="K33" s="16">
        <v>40</v>
      </c>
      <c r="L33" s="16">
        <v>2</v>
      </c>
      <c r="M33" s="16">
        <v>2</v>
      </c>
      <c r="N33" s="16">
        <v>36</v>
      </c>
      <c r="O33" s="16">
        <v>3</v>
      </c>
      <c r="P33" s="16">
        <v>0</v>
      </c>
      <c r="Q33" s="16">
        <v>2</v>
      </c>
      <c r="R33" s="16">
        <v>1</v>
      </c>
      <c r="S33" s="16">
        <v>0</v>
      </c>
      <c r="T33" s="16">
        <v>0</v>
      </c>
      <c r="U33" s="16">
        <v>0</v>
      </c>
      <c r="V33" s="16">
        <v>0</v>
      </c>
      <c r="W33" s="16">
        <v>9</v>
      </c>
      <c r="X33" s="16">
        <v>0</v>
      </c>
      <c r="Y33" s="16">
        <v>1</v>
      </c>
      <c r="Z33" s="16">
        <v>8</v>
      </c>
      <c r="AA33" s="16">
        <v>202</v>
      </c>
      <c r="AB33" s="16">
        <v>9</v>
      </c>
      <c r="AC33" s="16">
        <v>9</v>
      </c>
      <c r="AD33" s="16">
        <v>184</v>
      </c>
      <c r="AE33" s="16">
        <v>68</v>
      </c>
      <c r="AF33" s="16">
        <v>2</v>
      </c>
      <c r="AG33" s="16">
        <v>0</v>
      </c>
      <c r="AH33" s="16">
        <v>66</v>
      </c>
      <c r="AI33" s="16">
        <v>99</v>
      </c>
      <c r="AJ33" s="16">
        <v>5</v>
      </c>
      <c r="AK33" s="16">
        <v>5</v>
      </c>
      <c r="AL33" s="16">
        <v>89</v>
      </c>
      <c r="AM33" s="16">
        <v>8</v>
      </c>
      <c r="AN33" s="16">
        <v>1</v>
      </c>
      <c r="AO33" s="16">
        <v>2</v>
      </c>
      <c r="AP33" s="16">
        <v>5</v>
      </c>
      <c r="AQ33" s="16">
        <v>0</v>
      </c>
      <c r="AR33" s="16">
        <v>0</v>
      </c>
      <c r="AS33" s="16">
        <v>0</v>
      </c>
      <c r="AT33" s="16">
        <v>0</v>
      </c>
      <c r="AU33" s="16">
        <v>27</v>
      </c>
      <c r="AV33" s="16">
        <v>1</v>
      </c>
      <c r="AW33" s="16">
        <v>2</v>
      </c>
      <c r="AX33" s="16">
        <v>24</v>
      </c>
    </row>
    <row r="34" spans="1:50" ht="15.75" customHeight="1">
      <c r="A34" s="14" t="s">
        <v>44</v>
      </c>
      <c r="B34" s="125" t="s">
        <v>24</v>
      </c>
      <c r="C34" s="15">
        <v>846</v>
      </c>
      <c r="D34" s="15">
        <v>79</v>
      </c>
      <c r="E34" s="15">
        <v>94</v>
      </c>
      <c r="F34" s="15">
        <v>673</v>
      </c>
      <c r="G34" s="15">
        <v>172</v>
      </c>
      <c r="H34" s="15">
        <v>11</v>
      </c>
      <c r="I34" s="15">
        <v>2</v>
      </c>
      <c r="J34" s="15">
        <v>159</v>
      </c>
      <c r="K34" s="15">
        <v>364</v>
      </c>
      <c r="L34" s="15">
        <v>21</v>
      </c>
      <c r="M34" s="15">
        <v>32</v>
      </c>
      <c r="N34" s="15">
        <v>311</v>
      </c>
      <c r="O34" s="15">
        <v>101</v>
      </c>
      <c r="P34" s="15">
        <v>23</v>
      </c>
      <c r="Q34" s="15">
        <v>36</v>
      </c>
      <c r="R34" s="15">
        <v>42</v>
      </c>
      <c r="S34" s="15">
        <v>3</v>
      </c>
      <c r="T34" s="15">
        <v>0</v>
      </c>
      <c r="U34" s="15">
        <v>1</v>
      </c>
      <c r="V34" s="15">
        <v>2</v>
      </c>
      <c r="W34" s="15">
        <v>206</v>
      </c>
      <c r="X34" s="15">
        <v>24</v>
      </c>
      <c r="Y34" s="15">
        <v>23</v>
      </c>
      <c r="Z34" s="15">
        <v>159</v>
      </c>
      <c r="AA34" s="15">
        <v>1761</v>
      </c>
      <c r="AB34" s="15">
        <v>169</v>
      </c>
      <c r="AC34" s="15">
        <v>225</v>
      </c>
      <c r="AD34" s="15">
        <v>1367</v>
      </c>
      <c r="AE34" s="15">
        <v>1105</v>
      </c>
      <c r="AF34" s="15">
        <v>78</v>
      </c>
      <c r="AG34" s="15">
        <v>94</v>
      </c>
      <c r="AH34" s="15">
        <v>933</v>
      </c>
      <c r="AI34" s="15">
        <v>181</v>
      </c>
      <c r="AJ34" s="15">
        <v>13</v>
      </c>
      <c r="AK34" s="15">
        <v>19</v>
      </c>
      <c r="AL34" s="15">
        <v>149</v>
      </c>
      <c r="AM34" s="15">
        <v>232</v>
      </c>
      <c r="AN34" s="15">
        <v>59</v>
      </c>
      <c r="AO34" s="15">
        <v>96</v>
      </c>
      <c r="AP34" s="15">
        <v>77</v>
      </c>
      <c r="AQ34" s="15">
        <v>4</v>
      </c>
      <c r="AR34" s="15">
        <v>0</v>
      </c>
      <c r="AS34" s="15">
        <v>2</v>
      </c>
      <c r="AT34" s="15">
        <v>2</v>
      </c>
      <c r="AU34" s="15">
        <v>239</v>
      </c>
      <c r="AV34" s="15">
        <v>19</v>
      </c>
      <c r="AW34" s="15">
        <v>14</v>
      </c>
      <c r="AX34" s="15">
        <v>206</v>
      </c>
    </row>
    <row r="35" spans="1:50" ht="15.75" customHeight="1">
      <c r="A35" s="175" t="s">
        <v>45</v>
      </c>
      <c r="B35" s="126" t="s">
        <v>26</v>
      </c>
      <c r="C35" s="16">
        <v>464</v>
      </c>
      <c r="D35" s="16">
        <v>51</v>
      </c>
      <c r="E35" s="16">
        <v>57</v>
      </c>
      <c r="F35" s="16">
        <v>356</v>
      </c>
      <c r="G35" s="16">
        <v>79</v>
      </c>
      <c r="H35" s="16">
        <v>6</v>
      </c>
      <c r="I35" s="16">
        <v>1</v>
      </c>
      <c r="J35" s="16">
        <v>72</v>
      </c>
      <c r="K35" s="16">
        <v>209</v>
      </c>
      <c r="L35" s="16">
        <v>13</v>
      </c>
      <c r="M35" s="16">
        <v>21</v>
      </c>
      <c r="N35" s="16">
        <v>175</v>
      </c>
      <c r="O35" s="16">
        <v>75</v>
      </c>
      <c r="P35" s="16">
        <v>17</v>
      </c>
      <c r="Q35" s="16">
        <v>23</v>
      </c>
      <c r="R35" s="16">
        <v>35</v>
      </c>
      <c r="S35" s="16">
        <v>2</v>
      </c>
      <c r="T35" s="16">
        <v>0</v>
      </c>
      <c r="U35" s="16">
        <v>1</v>
      </c>
      <c r="V35" s="16">
        <v>1</v>
      </c>
      <c r="W35" s="16">
        <v>99</v>
      </c>
      <c r="X35" s="16">
        <v>15</v>
      </c>
      <c r="Y35" s="16">
        <v>11</v>
      </c>
      <c r="Z35" s="16">
        <v>73</v>
      </c>
      <c r="AA35" s="16">
        <v>906</v>
      </c>
      <c r="AB35" s="16">
        <v>106</v>
      </c>
      <c r="AC35" s="16">
        <v>124</v>
      </c>
      <c r="AD35" s="16">
        <v>676</v>
      </c>
      <c r="AE35" s="16">
        <v>563</v>
      </c>
      <c r="AF35" s="16">
        <v>49</v>
      </c>
      <c r="AG35" s="16">
        <v>54</v>
      </c>
      <c r="AH35" s="16">
        <v>460</v>
      </c>
      <c r="AI35" s="16">
        <v>75</v>
      </c>
      <c r="AJ35" s="16">
        <v>8</v>
      </c>
      <c r="AK35" s="16">
        <v>8</v>
      </c>
      <c r="AL35" s="16">
        <v>59</v>
      </c>
      <c r="AM35" s="16">
        <v>160</v>
      </c>
      <c r="AN35" s="16">
        <v>43</v>
      </c>
      <c r="AO35" s="16">
        <v>56</v>
      </c>
      <c r="AP35" s="16">
        <v>61</v>
      </c>
      <c r="AQ35" s="16">
        <v>3</v>
      </c>
      <c r="AR35" s="16">
        <v>0</v>
      </c>
      <c r="AS35" s="16">
        <v>2</v>
      </c>
      <c r="AT35" s="16">
        <v>1</v>
      </c>
      <c r="AU35" s="16">
        <v>105</v>
      </c>
      <c r="AV35" s="16">
        <v>6</v>
      </c>
      <c r="AW35" s="16">
        <v>4</v>
      </c>
      <c r="AX35" s="16">
        <v>95</v>
      </c>
    </row>
    <row r="36" spans="1:50" ht="15.75" customHeight="1">
      <c r="A36" s="176"/>
      <c r="B36" s="126" t="s">
        <v>27</v>
      </c>
      <c r="C36" s="16">
        <v>382</v>
      </c>
      <c r="D36" s="16">
        <v>28</v>
      </c>
      <c r="E36" s="16">
        <v>37</v>
      </c>
      <c r="F36" s="16">
        <v>317</v>
      </c>
      <c r="G36" s="16">
        <v>93</v>
      </c>
      <c r="H36" s="16">
        <v>5</v>
      </c>
      <c r="I36" s="16">
        <v>1</v>
      </c>
      <c r="J36" s="16">
        <v>87</v>
      </c>
      <c r="K36" s="16">
        <v>155</v>
      </c>
      <c r="L36" s="16">
        <v>8</v>
      </c>
      <c r="M36" s="16">
        <v>11</v>
      </c>
      <c r="N36" s="16">
        <v>136</v>
      </c>
      <c r="O36" s="16">
        <v>26</v>
      </c>
      <c r="P36" s="16">
        <v>6</v>
      </c>
      <c r="Q36" s="16">
        <v>13</v>
      </c>
      <c r="R36" s="16">
        <v>7</v>
      </c>
      <c r="S36" s="16">
        <v>1</v>
      </c>
      <c r="T36" s="16">
        <v>0</v>
      </c>
      <c r="U36" s="16">
        <v>0</v>
      </c>
      <c r="V36" s="16">
        <v>1</v>
      </c>
      <c r="W36" s="16">
        <v>107</v>
      </c>
      <c r="X36" s="16">
        <v>9</v>
      </c>
      <c r="Y36" s="16">
        <v>12</v>
      </c>
      <c r="Z36" s="16">
        <v>86</v>
      </c>
      <c r="AA36" s="16">
        <v>855</v>
      </c>
      <c r="AB36" s="16">
        <v>63</v>
      </c>
      <c r="AC36" s="16">
        <v>101</v>
      </c>
      <c r="AD36" s="16">
        <v>691</v>
      </c>
      <c r="AE36" s="16">
        <v>542</v>
      </c>
      <c r="AF36" s="16">
        <v>29</v>
      </c>
      <c r="AG36" s="16">
        <v>40</v>
      </c>
      <c r="AH36" s="16">
        <v>473</v>
      </c>
      <c r="AI36" s="16">
        <v>106</v>
      </c>
      <c r="AJ36" s="16">
        <v>5</v>
      </c>
      <c r="AK36" s="16">
        <v>11</v>
      </c>
      <c r="AL36" s="16">
        <v>90</v>
      </c>
      <c r="AM36" s="16">
        <v>72</v>
      </c>
      <c r="AN36" s="16">
        <v>16</v>
      </c>
      <c r="AO36" s="16">
        <v>40</v>
      </c>
      <c r="AP36" s="16">
        <v>16</v>
      </c>
      <c r="AQ36" s="16">
        <v>1</v>
      </c>
      <c r="AR36" s="16">
        <v>0</v>
      </c>
      <c r="AS36" s="16">
        <v>0</v>
      </c>
      <c r="AT36" s="16">
        <v>1</v>
      </c>
      <c r="AU36" s="16">
        <v>134</v>
      </c>
      <c r="AV36" s="16">
        <v>13</v>
      </c>
      <c r="AW36" s="16">
        <v>10</v>
      </c>
      <c r="AX36" s="16">
        <v>111</v>
      </c>
    </row>
    <row r="37" spans="1:50" ht="15.75" customHeight="1">
      <c r="A37" s="14" t="s">
        <v>46</v>
      </c>
      <c r="B37" s="125" t="s">
        <v>24</v>
      </c>
      <c r="C37" s="15">
        <v>1249</v>
      </c>
      <c r="D37" s="15">
        <v>131</v>
      </c>
      <c r="E37" s="15">
        <v>125</v>
      </c>
      <c r="F37" s="15">
        <v>993</v>
      </c>
      <c r="G37" s="15">
        <v>357</v>
      </c>
      <c r="H37" s="15">
        <v>23</v>
      </c>
      <c r="I37" s="15">
        <v>4</v>
      </c>
      <c r="J37" s="15">
        <v>330</v>
      </c>
      <c r="K37" s="15">
        <v>577</v>
      </c>
      <c r="L37" s="15">
        <v>37</v>
      </c>
      <c r="M37" s="15">
        <v>47</v>
      </c>
      <c r="N37" s="15">
        <v>493</v>
      </c>
      <c r="O37" s="15">
        <v>176</v>
      </c>
      <c r="P37" s="15">
        <v>51</v>
      </c>
      <c r="Q37" s="15">
        <v>55</v>
      </c>
      <c r="R37" s="15">
        <v>70</v>
      </c>
      <c r="S37" s="15">
        <v>1</v>
      </c>
      <c r="T37" s="15">
        <v>0</v>
      </c>
      <c r="U37" s="15">
        <v>0</v>
      </c>
      <c r="V37" s="15">
        <v>1</v>
      </c>
      <c r="W37" s="15">
        <v>138</v>
      </c>
      <c r="X37" s="15">
        <v>20</v>
      </c>
      <c r="Y37" s="15">
        <v>19</v>
      </c>
      <c r="Z37" s="15">
        <v>99</v>
      </c>
      <c r="AA37" s="15">
        <v>3711</v>
      </c>
      <c r="AB37" s="15">
        <v>389</v>
      </c>
      <c r="AC37" s="15">
        <v>320</v>
      </c>
      <c r="AD37" s="15">
        <v>3002</v>
      </c>
      <c r="AE37" s="15">
        <v>1285</v>
      </c>
      <c r="AF37" s="15">
        <v>95</v>
      </c>
      <c r="AG37" s="15">
        <v>15</v>
      </c>
      <c r="AH37" s="15">
        <v>1175</v>
      </c>
      <c r="AI37" s="15">
        <v>1492</v>
      </c>
      <c r="AJ37" s="15">
        <v>113</v>
      </c>
      <c r="AK37" s="15">
        <v>127</v>
      </c>
      <c r="AL37" s="15">
        <v>1252</v>
      </c>
      <c r="AM37" s="15">
        <v>448</v>
      </c>
      <c r="AN37" s="15">
        <v>136</v>
      </c>
      <c r="AO37" s="15">
        <v>154</v>
      </c>
      <c r="AP37" s="15">
        <v>158</v>
      </c>
      <c r="AQ37" s="15">
        <v>2</v>
      </c>
      <c r="AR37" s="15">
        <v>0</v>
      </c>
      <c r="AS37" s="15">
        <v>1</v>
      </c>
      <c r="AT37" s="15">
        <v>1</v>
      </c>
      <c r="AU37" s="15">
        <v>484</v>
      </c>
      <c r="AV37" s="15">
        <v>45</v>
      </c>
      <c r="AW37" s="15">
        <v>23</v>
      </c>
      <c r="AX37" s="15">
        <v>416</v>
      </c>
    </row>
    <row r="38" spans="1:50" ht="15.75" customHeight="1">
      <c r="A38" s="175" t="s">
        <v>47</v>
      </c>
      <c r="B38" s="126" t="s">
        <v>26</v>
      </c>
      <c r="C38" s="16">
        <v>640</v>
      </c>
      <c r="D38" s="16">
        <v>79</v>
      </c>
      <c r="E38" s="16">
        <v>72</v>
      </c>
      <c r="F38" s="16">
        <v>489</v>
      </c>
      <c r="G38" s="16">
        <v>147</v>
      </c>
      <c r="H38" s="16">
        <v>9</v>
      </c>
      <c r="I38" s="16">
        <v>0</v>
      </c>
      <c r="J38" s="16">
        <v>138</v>
      </c>
      <c r="K38" s="16">
        <v>297</v>
      </c>
      <c r="L38" s="16">
        <v>18</v>
      </c>
      <c r="M38" s="16">
        <v>30</v>
      </c>
      <c r="N38" s="16">
        <v>249</v>
      </c>
      <c r="O38" s="16">
        <v>119</v>
      </c>
      <c r="P38" s="16">
        <v>40</v>
      </c>
      <c r="Q38" s="16">
        <v>29</v>
      </c>
      <c r="R38" s="16">
        <v>50</v>
      </c>
      <c r="S38" s="16">
        <v>1</v>
      </c>
      <c r="T38" s="16">
        <v>0</v>
      </c>
      <c r="U38" s="16">
        <v>0</v>
      </c>
      <c r="V38" s="16">
        <v>1</v>
      </c>
      <c r="W38" s="16">
        <v>76</v>
      </c>
      <c r="X38" s="16">
        <v>12</v>
      </c>
      <c r="Y38" s="16">
        <v>13</v>
      </c>
      <c r="Z38" s="16">
        <v>51</v>
      </c>
      <c r="AA38" s="16">
        <v>1818</v>
      </c>
      <c r="AB38" s="16">
        <v>218</v>
      </c>
      <c r="AC38" s="16">
        <v>192</v>
      </c>
      <c r="AD38" s="16">
        <v>1408</v>
      </c>
      <c r="AE38" s="16">
        <v>530</v>
      </c>
      <c r="AF38" s="16">
        <v>39</v>
      </c>
      <c r="AG38" s="16">
        <v>2</v>
      </c>
      <c r="AH38" s="16">
        <v>489</v>
      </c>
      <c r="AI38" s="16">
        <v>781</v>
      </c>
      <c r="AJ38" s="16">
        <v>60</v>
      </c>
      <c r="AK38" s="16">
        <v>83</v>
      </c>
      <c r="AL38" s="16">
        <v>638</v>
      </c>
      <c r="AM38" s="16">
        <v>299</v>
      </c>
      <c r="AN38" s="16">
        <v>93</v>
      </c>
      <c r="AO38" s="16">
        <v>97</v>
      </c>
      <c r="AP38" s="16">
        <v>109</v>
      </c>
      <c r="AQ38" s="16">
        <v>2</v>
      </c>
      <c r="AR38" s="16">
        <v>0</v>
      </c>
      <c r="AS38" s="16">
        <v>1</v>
      </c>
      <c r="AT38" s="16">
        <v>1</v>
      </c>
      <c r="AU38" s="16">
        <v>206</v>
      </c>
      <c r="AV38" s="16">
        <v>26</v>
      </c>
      <c r="AW38" s="16">
        <v>9</v>
      </c>
      <c r="AX38" s="16">
        <v>171</v>
      </c>
    </row>
    <row r="39" spans="1:50" ht="15.75" customHeight="1">
      <c r="A39" s="176"/>
      <c r="B39" s="126" t="s">
        <v>27</v>
      </c>
      <c r="C39" s="16">
        <v>609</v>
      </c>
      <c r="D39" s="16">
        <v>52</v>
      </c>
      <c r="E39" s="16">
        <v>53</v>
      </c>
      <c r="F39" s="16">
        <v>504</v>
      </c>
      <c r="G39" s="16">
        <v>210</v>
      </c>
      <c r="H39" s="16">
        <v>14</v>
      </c>
      <c r="I39" s="16">
        <v>4</v>
      </c>
      <c r="J39" s="16">
        <v>192</v>
      </c>
      <c r="K39" s="16">
        <v>280</v>
      </c>
      <c r="L39" s="16">
        <v>19</v>
      </c>
      <c r="M39" s="16">
        <v>17</v>
      </c>
      <c r="N39" s="16">
        <v>244</v>
      </c>
      <c r="O39" s="16">
        <v>57</v>
      </c>
      <c r="P39" s="16">
        <v>11</v>
      </c>
      <c r="Q39" s="16">
        <v>26</v>
      </c>
      <c r="R39" s="16">
        <v>20</v>
      </c>
      <c r="S39" s="16">
        <v>0</v>
      </c>
      <c r="T39" s="16">
        <v>0</v>
      </c>
      <c r="U39" s="16">
        <v>0</v>
      </c>
      <c r="V39" s="16">
        <v>0</v>
      </c>
      <c r="W39" s="16">
        <v>62</v>
      </c>
      <c r="X39" s="16">
        <v>8</v>
      </c>
      <c r="Y39" s="16">
        <v>6</v>
      </c>
      <c r="Z39" s="16">
        <v>48</v>
      </c>
      <c r="AA39" s="16">
        <v>1893</v>
      </c>
      <c r="AB39" s="16">
        <v>171</v>
      </c>
      <c r="AC39" s="16">
        <v>128</v>
      </c>
      <c r="AD39" s="16">
        <v>1594</v>
      </c>
      <c r="AE39" s="16">
        <v>755</v>
      </c>
      <c r="AF39" s="16">
        <v>56</v>
      </c>
      <c r="AG39" s="16">
        <v>13</v>
      </c>
      <c r="AH39" s="16">
        <v>686</v>
      </c>
      <c r="AI39" s="16">
        <v>711</v>
      </c>
      <c r="AJ39" s="16">
        <v>53</v>
      </c>
      <c r="AK39" s="16">
        <v>44</v>
      </c>
      <c r="AL39" s="16">
        <v>614</v>
      </c>
      <c r="AM39" s="16">
        <v>149</v>
      </c>
      <c r="AN39" s="16">
        <v>43</v>
      </c>
      <c r="AO39" s="16">
        <v>57</v>
      </c>
      <c r="AP39" s="16">
        <v>49</v>
      </c>
      <c r="AQ39" s="16">
        <v>0</v>
      </c>
      <c r="AR39" s="16">
        <v>0</v>
      </c>
      <c r="AS39" s="16">
        <v>0</v>
      </c>
      <c r="AT39" s="16">
        <v>0</v>
      </c>
      <c r="AU39" s="16">
        <v>278</v>
      </c>
      <c r="AV39" s="16">
        <v>19</v>
      </c>
      <c r="AW39" s="16">
        <v>14</v>
      </c>
      <c r="AX39" s="16">
        <v>245</v>
      </c>
    </row>
    <row r="40" spans="1:50" ht="15.75" customHeight="1">
      <c r="A40" s="14" t="s">
        <v>48</v>
      </c>
      <c r="B40" s="125" t="s">
        <v>24</v>
      </c>
      <c r="C40" s="15">
        <v>772</v>
      </c>
      <c r="D40" s="15">
        <v>133</v>
      </c>
      <c r="E40" s="15">
        <v>112</v>
      </c>
      <c r="F40" s="15">
        <v>527</v>
      </c>
      <c r="G40" s="15">
        <v>168</v>
      </c>
      <c r="H40" s="15">
        <v>22</v>
      </c>
      <c r="I40" s="15">
        <v>8</v>
      </c>
      <c r="J40" s="15">
        <v>138</v>
      </c>
      <c r="K40" s="15">
        <v>315</v>
      </c>
      <c r="L40" s="15">
        <v>38</v>
      </c>
      <c r="M40" s="15">
        <v>31</v>
      </c>
      <c r="N40" s="15">
        <v>246</v>
      </c>
      <c r="O40" s="15">
        <v>144</v>
      </c>
      <c r="P40" s="15">
        <v>44</v>
      </c>
      <c r="Q40" s="15">
        <v>50</v>
      </c>
      <c r="R40" s="15">
        <v>50</v>
      </c>
      <c r="S40" s="15">
        <v>19</v>
      </c>
      <c r="T40" s="15">
        <v>6</v>
      </c>
      <c r="U40" s="15">
        <v>5</v>
      </c>
      <c r="V40" s="15">
        <v>8</v>
      </c>
      <c r="W40" s="15">
        <v>126</v>
      </c>
      <c r="X40" s="15">
        <v>23</v>
      </c>
      <c r="Y40" s="15">
        <v>18</v>
      </c>
      <c r="Z40" s="15">
        <v>85</v>
      </c>
      <c r="AA40" s="15">
        <v>2215</v>
      </c>
      <c r="AB40" s="15">
        <v>365</v>
      </c>
      <c r="AC40" s="15">
        <v>316</v>
      </c>
      <c r="AD40" s="15">
        <v>1534</v>
      </c>
      <c r="AE40" s="15">
        <v>488</v>
      </c>
      <c r="AF40" s="15">
        <v>65</v>
      </c>
      <c r="AG40" s="15">
        <v>16</v>
      </c>
      <c r="AH40" s="15">
        <v>407</v>
      </c>
      <c r="AI40" s="15">
        <v>907</v>
      </c>
      <c r="AJ40" s="15">
        <v>129</v>
      </c>
      <c r="AK40" s="15">
        <v>93</v>
      </c>
      <c r="AL40" s="15">
        <v>685</v>
      </c>
      <c r="AM40" s="15">
        <v>367</v>
      </c>
      <c r="AN40" s="15">
        <v>100</v>
      </c>
      <c r="AO40" s="15">
        <v>134</v>
      </c>
      <c r="AP40" s="15">
        <v>133</v>
      </c>
      <c r="AQ40" s="15">
        <v>44</v>
      </c>
      <c r="AR40" s="15">
        <v>11</v>
      </c>
      <c r="AS40" s="15">
        <v>16</v>
      </c>
      <c r="AT40" s="15">
        <v>17</v>
      </c>
      <c r="AU40" s="15">
        <v>409</v>
      </c>
      <c r="AV40" s="15">
        <v>60</v>
      </c>
      <c r="AW40" s="15">
        <v>57</v>
      </c>
      <c r="AX40" s="15">
        <v>292</v>
      </c>
    </row>
    <row r="41" spans="1:50" ht="15.75" customHeight="1">
      <c r="A41" s="175" t="s">
        <v>49</v>
      </c>
      <c r="B41" s="126" t="s">
        <v>26</v>
      </c>
      <c r="C41" s="16">
        <v>407</v>
      </c>
      <c r="D41" s="16">
        <v>82</v>
      </c>
      <c r="E41" s="16">
        <v>62</v>
      </c>
      <c r="F41" s="16">
        <v>263</v>
      </c>
      <c r="G41" s="16">
        <v>73</v>
      </c>
      <c r="H41" s="16">
        <v>12</v>
      </c>
      <c r="I41" s="16">
        <v>0</v>
      </c>
      <c r="J41" s="16">
        <v>61</v>
      </c>
      <c r="K41" s="16">
        <v>152</v>
      </c>
      <c r="L41" s="16">
        <v>15</v>
      </c>
      <c r="M41" s="16">
        <v>16</v>
      </c>
      <c r="N41" s="16">
        <v>121</v>
      </c>
      <c r="O41" s="16">
        <v>106</v>
      </c>
      <c r="P41" s="16">
        <v>35</v>
      </c>
      <c r="Q41" s="16">
        <v>33</v>
      </c>
      <c r="R41" s="16">
        <v>38</v>
      </c>
      <c r="S41" s="16">
        <v>10</v>
      </c>
      <c r="T41" s="16">
        <v>5</v>
      </c>
      <c r="U41" s="16">
        <v>2</v>
      </c>
      <c r="V41" s="16">
        <v>3</v>
      </c>
      <c r="W41" s="16">
        <v>66</v>
      </c>
      <c r="X41" s="16">
        <v>15</v>
      </c>
      <c r="Y41" s="16">
        <v>11</v>
      </c>
      <c r="Z41" s="16">
        <v>40</v>
      </c>
      <c r="AA41" s="16">
        <v>1158</v>
      </c>
      <c r="AB41" s="16">
        <v>216</v>
      </c>
      <c r="AC41" s="16">
        <v>179</v>
      </c>
      <c r="AD41" s="16">
        <v>763</v>
      </c>
      <c r="AE41" s="16">
        <v>224</v>
      </c>
      <c r="AF41" s="16">
        <v>35</v>
      </c>
      <c r="AG41" s="16">
        <v>2</v>
      </c>
      <c r="AH41" s="16">
        <v>187</v>
      </c>
      <c r="AI41" s="16">
        <v>450</v>
      </c>
      <c r="AJ41" s="16">
        <v>61</v>
      </c>
      <c r="AK41" s="16">
        <v>49</v>
      </c>
      <c r="AL41" s="16">
        <v>340</v>
      </c>
      <c r="AM41" s="16">
        <v>256</v>
      </c>
      <c r="AN41" s="16">
        <v>76</v>
      </c>
      <c r="AO41" s="16">
        <v>86</v>
      </c>
      <c r="AP41" s="16">
        <v>94</v>
      </c>
      <c r="AQ41" s="16">
        <v>25</v>
      </c>
      <c r="AR41" s="16">
        <v>9</v>
      </c>
      <c r="AS41" s="16">
        <v>8</v>
      </c>
      <c r="AT41" s="16">
        <v>8</v>
      </c>
      <c r="AU41" s="16">
        <v>203</v>
      </c>
      <c r="AV41" s="16">
        <v>35</v>
      </c>
      <c r="AW41" s="16">
        <v>34</v>
      </c>
      <c r="AX41" s="16">
        <v>134</v>
      </c>
    </row>
    <row r="42" spans="1:50" ht="15.75" customHeight="1">
      <c r="A42" s="176"/>
      <c r="B42" s="126" t="s">
        <v>27</v>
      </c>
      <c r="C42" s="16">
        <v>365</v>
      </c>
      <c r="D42" s="16">
        <v>51</v>
      </c>
      <c r="E42" s="16">
        <v>50</v>
      </c>
      <c r="F42" s="16">
        <v>264</v>
      </c>
      <c r="G42" s="16">
        <v>95</v>
      </c>
      <c r="H42" s="16">
        <v>10</v>
      </c>
      <c r="I42" s="16">
        <v>8</v>
      </c>
      <c r="J42" s="16">
        <v>77</v>
      </c>
      <c r="K42" s="16">
        <v>163</v>
      </c>
      <c r="L42" s="16">
        <v>23</v>
      </c>
      <c r="M42" s="16">
        <v>15</v>
      </c>
      <c r="N42" s="16">
        <v>125</v>
      </c>
      <c r="O42" s="16">
        <v>38</v>
      </c>
      <c r="P42" s="16">
        <v>9</v>
      </c>
      <c r="Q42" s="16">
        <v>17</v>
      </c>
      <c r="R42" s="16">
        <v>12</v>
      </c>
      <c r="S42" s="16">
        <v>9</v>
      </c>
      <c r="T42" s="16">
        <v>1</v>
      </c>
      <c r="U42" s="16">
        <v>3</v>
      </c>
      <c r="V42" s="16">
        <v>5</v>
      </c>
      <c r="W42" s="16">
        <v>60</v>
      </c>
      <c r="X42" s="16">
        <v>8</v>
      </c>
      <c r="Y42" s="16">
        <v>7</v>
      </c>
      <c r="Z42" s="16">
        <v>45</v>
      </c>
      <c r="AA42" s="16">
        <v>1057</v>
      </c>
      <c r="AB42" s="16">
        <v>149</v>
      </c>
      <c r="AC42" s="16">
        <v>137</v>
      </c>
      <c r="AD42" s="16">
        <v>771</v>
      </c>
      <c r="AE42" s="16">
        <v>264</v>
      </c>
      <c r="AF42" s="16">
        <v>30</v>
      </c>
      <c r="AG42" s="16">
        <v>14</v>
      </c>
      <c r="AH42" s="16">
        <v>220</v>
      </c>
      <c r="AI42" s="16">
        <v>457</v>
      </c>
      <c r="AJ42" s="16">
        <v>68</v>
      </c>
      <c r="AK42" s="16">
        <v>44</v>
      </c>
      <c r="AL42" s="16">
        <v>345</v>
      </c>
      <c r="AM42" s="16">
        <v>111</v>
      </c>
      <c r="AN42" s="16">
        <v>24</v>
      </c>
      <c r="AO42" s="16">
        <v>48</v>
      </c>
      <c r="AP42" s="16">
        <v>39</v>
      </c>
      <c r="AQ42" s="16">
        <v>19</v>
      </c>
      <c r="AR42" s="16">
        <v>2</v>
      </c>
      <c r="AS42" s="16">
        <v>8</v>
      </c>
      <c r="AT42" s="16">
        <v>9</v>
      </c>
      <c r="AU42" s="16">
        <v>206</v>
      </c>
      <c r="AV42" s="16">
        <v>25</v>
      </c>
      <c r="AW42" s="16">
        <v>23</v>
      </c>
      <c r="AX42" s="16">
        <v>158</v>
      </c>
    </row>
    <row r="43" spans="1:50" ht="15.75" customHeight="1">
      <c r="A43" s="14" t="s">
        <v>50</v>
      </c>
      <c r="B43" s="125" t="s">
        <v>24</v>
      </c>
      <c r="C43" s="15">
        <v>440</v>
      </c>
      <c r="D43" s="15">
        <v>40</v>
      </c>
      <c r="E43" s="15">
        <v>42</v>
      </c>
      <c r="F43" s="15">
        <v>358</v>
      </c>
      <c r="G43" s="15">
        <v>112</v>
      </c>
      <c r="H43" s="15">
        <v>8</v>
      </c>
      <c r="I43" s="15">
        <v>3</v>
      </c>
      <c r="J43" s="15">
        <v>101</v>
      </c>
      <c r="K43" s="15">
        <v>195</v>
      </c>
      <c r="L43" s="15">
        <v>12</v>
      </c>
      <c r="M43" s="15">
        <v>13</v>
      </c>
      <c r="N43" s="15">
        <v>170</v>
      </c>
      <c r="O43" s="15">
        <v>65</v>
      </c>
      <c r="P43" s="15">
        <v>15</v>
      </c>
      <c r="Q43" s="15">
        <v>21</v>
      </c>
      <c r="R43" s="15">
        <v>29</v>
      </c>
      <c r="S43" s="15">
        <v>0</v>
      </c>
      <c r="T43" s="15">
        <v>0</v>
      </c>
      <c r="U43" s="15">
        <v>0</v>
      </c>
      <c r="V43" s="15">
        <v>0</v>
      </c>
      <c r="W43" s="15">
        <v>68</v>
      </c>
      <c r="X43" s="15">
        <v>5</v>
      </c>
      <c r="Y43" s="15">
        <v>5</v>
      </c>
      <c r="Z43" s="15">
        <v>58</v>
      </c>
      <c r="AA43" s="15">
        <v>822</v>
      </c>
      <c r="AB43" s="15">
        <v>96</v>
      </c>
      <c r="AC43" s="15">
        <v>63</v>
      </c>
      <c r="AD43" s="15">
        <v>663</v>
      </c>
      <c r="AE43" s="15">
        <v>216</v>
      </c>
      <c r="AF43" s="15">
        <v>21</v>
      </c>
      <c r="AG43" s="15">
        <v>4</v>
      </c>
      <c r="AH43" s="15">
        <v>191</v>
      </c>
      <c r="AI43" s="15">
        <v>364</v>
      </c>
      <c r="AJ43" s="15">
        <v>33</v>
      </c>
      <c r="AK43" s="15">
        <v>19</v>
      </c>
      <c r="AL43" s="15">
        <v>312</v>
      </c>
      <c r="AM43" s="15">
        <v>102</v>
      </c>
      <c r="AN43" s="15">
        <v>27</v>
      </c>
      <c r="AO43" s="15">
        <v>30</v>
      </c>
      <c r="AP43" s="15">
        <v>45</v>
      </c>
      <c r="AQ43" s="15">
        <v>0</v>
      </c>
      <c r="AR43" s="15">
        <v>0</v>
      </c>
      <c r="AS43" s="15">
        <v>0</v>
      </c>
      <c r="AT43" s="15">
        <v>0</v>
      </c>
      <c r="AU43" s="15">
        <v>140</v>
      </c>
      <c r="AV43" s="15">
        <v>15</v>
      </c>
      <c r="AW43" s="15">
        <v>10</v>
      </c>
      <c r="AX43" s="15">
        <v>115</v>
      </c>
    </row>
    <row r="44" spans="1:50" ht="15.75" customHeight="1">
      <c r="A44" s="175" t="s">
        <v>51</v>
      </c>
      <c r="B44" s="126" t="s">
        <v>26</v>
      </c>
      <c r="C44" s="16">
        <v>233</v>
      </c>
      <c r="D44" s="16">
        <v>23</v>
      </c>
      <c r="E44" s="16">
        <v>31</v>
      </c>
      <c r="F44" s="16">
        <v>179</v>
      </c>
      <c r="G44" s="16">
        <v>42</v>
      </c>
      <c r="H44" s="16">
        <v>4</v>
      </c>
      <c r="I44" s="16">
        <v>2</v>
      </c>
      <c r="J44" s="16">
        <v>36</v>
      </c>
      <c r="K44" s="16">
        <v>111</v>
      </c>
      <c r="L44" s="16">
        <v>6</v>
      </c>
      <c r="M44" s="16">
        <v>11</v>
      </c>
      <c r="N44" s="16">
        <v>94</v>
      </c>
      <c r="O44" s="16">
        <v>51</v>
      </c>
      <c r="P44" s="16">
        <v>12</v>
      </c>
      <c r="Q44" s="16">
        <v>15</v>
      </c>
      <c r="R44" s="16">
        <v>24</v>
      </c>
      <c r="S44" s="16">
        <v>0</v>
      </c>
      <c r="T44" s="16">
        <v>0</v>
      </c>
      <c r="U44" s="16">
        <v>0</v>
      </c>
      <c r="V44" s="16">
        <v>0</v>
      </c>
      <c r="W44" s="16">
        <v>29</v>
      </c>
      <c r="X44" s="16">
        <v>1</v>
      </c>
      <c r="Y44" s="16">
        <v>3</v>
      </c>
      <c r="Z44" s="16">
        <v>25</v>
      </c>
      <c r="AA44" s="16">
        <v>413</v>
      </c>
      <c r="AB44" s="16">
        <v>48</v>
      </c>
      <c r="AC44" s="16">
        <v>44</v>
      </c>
      <c r="AD44" s="16">
        <v>321</v>
      </c>
      <c r="AE44" s="16">
        <v>80</v>
      </c>
      <c r="AF44" s="16">
        <v>8</v>
      </c>
      <c r="AG44" s="16">
        <v>3</v>
      </c>
      <c r="AH44" s="16">
        <v>69</v>
      </c>
      <c r="AI44" s="16">
        <v>194</v>
      </c>
      <c r="AJ44" s="16">
        <v>16</v>
      </c>
      <c r="AK44" s="16">
        <v>16</v>
      </c>
      <c r="AL44" s="16">
        <v>162</v>
      </c>
      <c r="AM44" s="16">
        <v>70</v>
      </c>
      <c r="AN44" s="16">
        <v>17</v>
      </c>
      <c r="AO44" s="16">
        <v>20</v>
      </c>
      <c r="AP44" s="16">
        <v>33</v>
      </c>
      <c r="AQ44" s="16">
        <v>0</v>
      </c>
      <c r="AR44" s="16">
        <v>0</v>
      </c>
      <c r="AS44" s="16">
        <v>0</v>
      </c>
      <c r="AT44" s="16">
        <v>0</v>
      </c>
      <c r="AU44" s="16">
        <v>69</v>
      </c>
      <c r="AV44" s="16">
        <v>7</v>
      </c>
      <c r="AW44" s="16">
        <v>5</v>
      </c>
      <c r="AX44" s="16">
        <v>57</v>
      </c>
    </row>
    <row r="45" spans="1:50" ht="15.75" customHeight="1">
      <c r="A45" s="176"/>
      <c r="B45" s="126" t="s">
        <v>27</v>
      </c>
      <c r="C45" s="16">
        <v>207</v>
      </c>
      <c r="D45" s="16">
        <v>17</v>
      </c>
      <c r="E45" s="16">
        <v>11</v>
      </c>
      <c r="F45" s="16">
        <v>179</v>
      </c>
      <c r="G45" s="16">
        <v>70</v>
      </c>
      <c r="H45" s="16">
        <v>4</v>
      </c>
      <c r="I45" s="16">
        <v>1</v>
      </c>
      <c r="J45" s="16">
        <v>65</v>
      </c>
      <c r="K45" s="16">
        <v>84</v>
      </c>
      <c r="L45" s="16">
        <v>6</v>
      </c>
      <c r="M45" s="16">
        <v>2</v>
      </c>
      <c r="N45" s="16">
        <v>76</v>
      </c>
      <c r="O45" s="16">
        <v>14</v>
      </c>
      <c r="P45" s="16">
        <v>3</v>
      </c>
      <c r="Q45" s="16">
        <v>6</v>
      </c>
      <c r="R45" s="16">
        <v>5</v>
      </c>
      <c r="S45" s="16">
        <v>0</v>
      </c>
      <c r="T45" s="16">
        <v>0</v>
      </c>
      <c r="U45" s="16">
        <v>0</v>
      </c>
      <c r="V45" s="16">
        <v>0</v>
      </c>
      <c r="W45" s="16">
        <v>39</v>
      </c>
      <c r="X45" s="16">
        <v>4</v>
      </c>
      <c r="Y45" s="16">
        <v>2</v>
      </c>
      <c r="Z45" s="16">
        <v>33</v>
      </c>
      <c r="AA45" s="16">
        <v>409</v>
      </c>
      <c r="AB45" s="16">
        <v>48</v>
      </c>
      <c r="AC45" s="16">
        <v>19</v>
      </c>
      <c r="AD45" s="16">
        <v>342</v>
      </c>
      <c r="AE45" s="16">
        <v>136</v>
      </c>
      <c r="AF45" s="16">
        <v>13</v>
      </c>
      <c r="AG45" s="16">
        <v>1</v>
      </c>
      <c r="AH45" s="16">
        <v>122</v>
      </c>
      <c r="AI45" s="16">
        <v>170</v>
      </c>
      <c r="AJ45" s="16">
        <v>17</v>
      </c>
      <c r="AK45" s="16">
        <v>3</v>
      </c>
      <c r="AL45" s="16">
        <v>150</v>
      </c>
      <c r="AM45" s="16">
        <v>32</v>
      </c>
      <c r="AN45" s="16">
        <v>10</v>
      </c>
      <c r="AO45" s="16">
        <v>10</v>
      </c>
      <c r="AP45" s="16">
        <v>12</v>
      </c>
      <c r="AQ45" s="16">
        <v>0</v>
      </c>
      <c r="AR45" s="16">
        <v>0</v>
      </c>
      <c r="AS45" s="16">
        <v>0</v>
      </c>
      <c r="AT45" s="16">
        <v>0</v>
      </c>
      <c r="AU45" s="16">
        <v>71</v>
      </c>
      <c r="AV45" s="16">
        <v>8</v>
      </c>
      <c r="AW45" s="16">
        <v>5</v>
      </c>
      <c r="AX45" s="16">
        <v>58</v>
      </c>
    </row>
    <row r="46" spans="1:50" ht="15.75" customHeight="1">
      <c r="A46" s="14" t="s">
        <v>52</v>
      </c>
      <c r="B46" s="125" t="s">
        <v>24</v>
      </c>
      <c r="C46" s="15">
        <v>451</v>
      </c>
      <c r="D46" s="15">
        <v>79</v>
      </c>
      <c r="E46" s="15">
        <v>59</v>
      </c>
      <c r="F46" s="15">
        <v>313</v>
      </c>
      <c r="G46" s="15">
        <v>311</v>
      </c>
      <c r="H46" s="15">
        <v>47</v>
      </c>
      <c r="I46" s="15">
        <v>26</v>
      </c>
      <c r="J46" s="15">
        <v>238</v>
      </c>
      <c r="K46" s="15">
        <v>1</v>
      </c>
      <c r="L46" s="15">
        <v>0</v>
      </c>
      <c r="M46" s="15">
        <v>1</v>
      </c>
      <c r="N46" s="15">
        <v>0</v>
      </c>
      <c r="O46" s="15">
        <v>83</v>
      </c>
      <c r="P46" s="15">
        <v>29</v>
      </c>
      <c r="Q46" s="15">
        <v>30</v>
      </c>
      <c r="R46" s="15">
        <v>24</v>
      </c>
      <c r="S46" s="15">
        <v>2</v>
      </c>
      <c r="T46" s="15">
        <v>1</v>
      </c>
      <c r="U46" s="15">
        <v>0</v>
      </c>
      <c r="V46" s="15">
        <v>1</v>
      </c>
      <c r="W46" s="15">
        <v>54</v>
      </c>
      <c r="X46" s="15">
        <v>2</v>
      </c>
      <c r="Y46" s="15">
        <v>2</v>
      </c>
      <c r="Z46" s="15">
        <v>50</v>
      </c>
      <c r="AA46" s="15">
        <v>1491</v>
      </c>
      <c r="AB46" s="15">
        <v>295</v>
      </c>
      <c r="AC46" s="15">
        <v>398</v>
      </c>
      <c r="AD46" s="15">
        <v>798</v>
      </c>
      <c r="AE46" s="15">
        <v>862</v>
      </c>
      <c r="AF46" s="15">
        <v>137</v>
      </c>
      <c r="AG46" s="15">
        <v>149</v>
      </c>
      <c r="AH46" s="15">
        <v>576</v>
      </c>
      <c r="AI46" s="15">
        <v>12</v>
      </c>
      <c r="AJ46" s="15">
        <v>4</v>
      </c>
      <c r="AK46" s="15">
        <v>4</v>
      </c>
      <c r="AL46" s="15">
        <v>4</v>
      </c>
      <c r="AM46" s="15">
        <v>333</v>
      </c>
      <c r="AN46" s="15">
        <v>89</v>
      </c>
      <c r="AO46" s="15">
        <v>204</v>
      </c>
      <c r="AP46" s="15">
        <v>40</v>
      </c>
      <c r="AQ46" s="15">
        <v>59</v>
      </c>
      <c r="AR46" s="15">
        <v>33</v>
      </c>
      <c r="AS46" s="15">
        <v>17</v>
      </c>
      <c r="AT46" s="15">
        <v>9</v>
      </c>
      <c r="AU46" s="15">
        <v>225</v>
      </c>
      <c r="AV46" s="15">
        <v>32</v>
      </c>
      <c r="AW46" s="15">
        <v>24</v>
      </c>
      <c r="AX46" s="15">
        <v>169</v>
      </c>
    </row>
    <row r="47" spans="1:50" ht="15.75" customHeight="1">
      <c r="A47" s="175" t="s">
        <v>53</v>
      </c>
      <c r="B47" s="126" t="s">
        <v>26</v>
      </c>
      <c r="C47" s="16">
        <v>252</v>
      </c>
      <c r="D47" s="16">
        <v>47</v>
      </c>
      <c r="E47" s="16">
        <v>41</v>
      </c>
      <c r="F47" s="16">
        <v>164</v>
      </c>
      <c r="G47" s="16">
        <v>168</v>
      </c>
      <c r="H47" s="16">
        <v>25</v>
      </c>
      <c r="I47" s="16">
        <v>14</v>
      </c>
      <c r="J47" s="16">
        <v>129</v>
      </c>
      <c r="K47" s="16">
        <v>1</v>
      </c>
      <c r="L47" s="16">
        <v>0</v>
      </c>
      <c r="M47" s="16">
        <v>1</v>
      </c>
      <c r="N47" s="16">
        <v>0</v>
      </c>
      <c r="O47" s="16">
        <v>57</v>
      </c>
      <c r="P47" s="16">
        <v>20</v>
      </c>
      <c r="Q47" s="16">
        <v>25</v>
      </c>
      <c r="R47" s="16">
        <v>12</v>
      </c>
      <c r="S47" s="16">
        <v>2</v>
      </c>
      <c r="T47" s="16">
        <v>1</v>
      </c>
      <c r="U47" s="16">
        <v>0</v>
      </c>
      <c r="V47" s="16">
        <v>1</v>
      </c>
      <c r="W47" s="16">
        <v>24</v>
      </c>
      <c r="X47" s="16">
        <v>1</v>
      </c>
      <c r="Y47" s="16">
        <v>1</v>
      </c>
      <c r="Z47" s="16">
        <v>22</v>
      </c>
      <c r="AA47" s="16">
        <v>774</v>
      </c>
      <c r="AB47" s="16">
        <v>178</v>
      </c>
      <c r="AC47" s="16">
        <v>211</v>
      </c>
      <c r="AD47" s="16">
        <v>385</v>
      </c>
      <c r="AE47" s="16">
        <v>450</v>
      </c>
      <c r="AF47" s="16">
        <v>91</v>
      </c>
      <c r="AG47" s="16">
        <v>76</v>
      </c>
      <c r="AH47" s="16">
        <v>283</v>
      </c>
      <c r="AI47" s="16">
        <v>4</v>
      </c>
      <c r="AJ47" s="16">
        <v>2</v>
      </c>
      <c r="AK47" s="16">
        <v>1</v>
      </c>
      <c r="AL47" s="16">
        <v>1</v>
      </c>
      <c r="AM47" s="16">
        <v>188</v>
      </c>
      <c r="AN47" s="16">
        <v>50</v>
      </c>
      <c r="AO47" s="16">
        <v>117</v>
      </c>
      <c r="AP47" s="16">
        <v>21</v>
      </c>
      <c r="AQ47" s="16">
        <v>26</v>
      </c>
      <c r="AR47" s="16">
        <v>16</v>
      </c>
      <c r="AS47" s="16">
        <v>8</v>
      </c>
      <c r="AT47" s="16">
        <v>2</v>
      </c>
      <c r="AU47" s="16">
        <v>106</v>
      </c>
      <c r="AV47" s="16">
        <v>19</v>
      </c>
      <c r="AW47" s="16">
        <v>9</v>
      </c>
      <c r="AX47" s="16">
        <v>78</v>
      </c>
    </row>
    <row r="48" spans="1:50" ht="15.75" customHeight="1">
      <c r="A48" s="176"/>
      <c r="B48" s="126" t="s">
        <v>27</v>
      </c>
      <c r="C48" s="16">
        <v>199</v>
      </c>
      <c r="D48" s="16">
        <v>32</v>
      </c>
      <c r="E48" s="16">
        <v>18</v>
      </c>
      <c r="F48" s="16">
        <v>149</v>
      </c>
      <c r="G48" s="16">
        <v>143</v>
      </c>
      <c r="H48" s="16">
        <v>22</v>
      </c>
      <c r="I48" s="16">
        <v>12</v>
      </c>
      <c r="J48" s="16">
        <v>109</v>
      </c>
      <c r="K48" s="16">
        <v>0</v>
      </c>
      <c r="L48" s="16">
        <v>0</v>
      </c>
      <c r="M48" s="16">
        <v>0</v>
      </c>
      <c r="N48" s="16">
        <v>0</v>
      </c>
      <c r="O48" s="16">
        <v>26</v>
      </c>
      <c r="P48" s="16">
        <v>9</v>
      </c>
      <c r="Q48" s="16">
        <v>5</v>
      </c>
      <c r="R48" s="16">
        <v>12</v>
      </c>
      <c r="S48" s="16">
        <v>0</v>
      </c>
      <c r="T48" s="16">
        <v>0</v>
      </c>
      <c r="U48" s="16">
        <v>0</v>
      </c>
      <c r="V48" s="16">
        <v>0</v>
      </c>
      <c r="W48" s="16">
        <v>30</v>
      </c>
      <c r="X48" s="16">
        <v>1</v>
      </c>
      <c r="Y48" s="16">
        <v>1</v>
      </c>
      <c r="Z48" s="16">
        <v>28</v>
      </c>
      <c r="AA48" s="16">
        <v>717</v>
      </c>
      <c r="AB48" s="16">
        <v>117</v>
      </c>
      <c r="AC48" s="16">
        <v>187</v>
      </c>
      <c r="AD48" s="16">
        <v>413</v>
      </c>
      <c r="AE48" s="16">
        <v>412</v>
      </c>
      <c r="AF48" s="16">
        <v>46</v>
      </c>
      <c r="AG48" s="16">
        <v>73</v>
      </c>
      <c r="AH48" s="16">
        <v>293</v>
      </c>
      <c r="AI48" s="16">
        <v>8</v>
      </c>
      <c r="AJ48" s="16">
        <v>2</v>
      </c>
      <c r="AK48" s="16">
        <v>3</v>
      </c>
      <c r="AL48" s="16">
        <v>3</v>
      </c>
      <c r="AM48" s="16">
        <v>145</v>
      </c>
      <c r="AN48" s="16">
        <v>39</v>
      </c>
      <c r="AO48" s="16">
        <v>87</v>
      </c>
      <c r="AP48" s="16">
        <v>19</v>
      </c>
      <c r="AQ48" s="16">
        <v>33</v>
      </c>
      <c r="AR48" s="16">
        <v>17</v>
      </c>
      <c r="AS48" s="16">
        <v>9</v>
      </c>
      <c r="AT48" s="16">
        <v>7</v>
      </c>
      <c r="AU48" s="16">
        <v>119</v>
      </c>
      <c r="AV48" s="16">
        <v>13</v>
      </c>
      <c r="AW48" s="16">
        <v>15</v>
      </c>
      <c r="AX48" s="16">
        <v>91</v>
      </c>
    </row>
    <row r="49" spans="1:50" ht="15.75" customHeight="1">
      <c r="A49" s="14" t="s">
        <v>54</v>
      </c>
      <c r="B49" s="125" t="s">
        <v>24</v>
      </c>
      <c r="C49" s="15">
        <v>546</v>
      </c>
      <c r="D49" s="15">
        <v>102</v>
      </c>
      <c r="E49" s="15">
        <v>70</v>
      </c>
      <c r="F49" s="15">
        <v>374</v>
      </c>
      <c r="G49" s="15">
        <v>175</v>
      </c>
      <c r="H49" s="15">
        <v>26</v>
      </c>
      <c r="I49" s="15">
        <v>4</v>
      </c>
      <c r="J49" s="15">
        <v>145</v>
      </c>
      <c r="K49" s="15">
        <v>223</v>
      </c>
      <c r="L49" s="15">
        <v>37</v>
      </c>
      <c r="M49" s="15">
        <v>22</v>
      </c>
      <c r="N49" s="15">
        <v>164</v>
      </c>
      <c r="O49" s="15">
        <v>75</v>
      </c>
      <c r="P49" s="15">
        <v>24</v>
      </c>
      <c r="Q49" s="15">
        <v>28</v>
      </c>
      <c r="R49" s="15">
        <v>23</v>
      </c>
      <c r="S49" s="15">
        <v>6</v>
      </c>
      <c r="T49" s="15">
        <v>2</v>
      </c>
      <c r="U49" s="15">
        <v>4</v>
      </c>
      <c r="V49" s="15">
        <v>0</v>
      </c>
      <c r="W49" s="15">
        <v>67</v>
      </c>
      <c r="X49" s="15">
        <v>13</v>
      </c>
      <c r="Y49" s="15">
        <v>12</v>
      </c>
      <c r="Z49" s="15">
        <v>42</v>
      </c>
      <c r="AA49" s="15">
        <v>2197</v>
      </c>
      <c r="AB49" s="15">
        <v>423</v>
      </c>
      <c r="AC49" s="15">
        <v>229</v>
      </c>
      <c r="AD49" s="15">
        <v>1545</v>
      </c>
      <c r="AE49" s="15">
        <v>1263</v>
      </c>
      <c r="AF49" s="15">
        <v>242</v>
      </c>
      <c r="AG49" s="15">
        <v>135</v>
      </c>
      <c r="AH49" s="15">
        <v>886</v>
      </c>
      <c r="AI49" s="15">
        <v>414</v>
      </c>
      <c r="AJ49" s="15">
        <v>59</v>
      </c>
      <c r="AK49" s="15">
        <v>10</v>
      </c>
      <c r="AL49" s="15">
        <v>345</v>
      </c>
      <c r="AM49" s="15">
        <v>382</v>
      </c>
      <c r="AN49" s="15">
        <v>66</v>
      </c>
      <c r="AO49" s="15">
        <v>43</v>
      </c>
      <c r="AP49" s="15">
        <v>273</v>
      </c>
      <c r="AQ49" s="15">
        <v>14</v>
      </c>
      <c r="AR49" s="15">
        <v>8</v>
      </c>
      <c r="AS49" s="15">
        <v>1</v>
      </c>
      <c r="AT49" s="15">
        <v>5</v>
      </c>
      <c r="AU49" s="15">
        <v>124</v>
      </c>
      <c r="AV49" s="15">
        <v>48</v>
      </c>
      <c r="AW49" s="15">
        <v>40</v>
      </c>
      <c r="AX49" s="15">
        <v>36</v>
      </c>
    </row>
    <row r="50" spans="1:50" ht="15.75" customHeight="1">
      <c r="A50" s="175" t="s">
        <v>55</v>
      </c>
      <c r="B50" s="126" t="s">
        <v>26</v>
      </c>
      <c r="C50" s="16">
        <v>256</v>
      </c>
      <c r="D50" s="16">
        <v>59</v>
      </c>
      <c r="E50" s="16">
        <v>31</v>
      </c>
      <c r="F50" s="16">
        <v>166</v>
      </c>
      <c r="G50" s="16">
        <v>71</v>
      </c>
      <c r="H50" s="16">
        <v>11</v>
      </c>
      <c r="I50" s="16">
        <v>1</v>
      </c>
      <c r="J50" s="16">
        <v>59</v>
      </c>
      <c r="K50" s="16">
        <v>100</v>
      </c>
      <c r="L50" s="16">
        <v>19</v>
      </c>
      <c r="M50" s="16">
        <v>6</v>
      </c>
      <c r="N50" s="16">
        <v>75</v>
      </c>
      <c r="O50" s="16">
        <v>51</v>
      </c>
      <c r="P50" s="16">
        <v>20</v>
      </c>
      <c r="Q50" s="16">
        <v>16</v>
      </c>
      <c r="R50" s="16">
        <v>15</v>
      </c>
      <c r="S50" s="16">
        <v>4</v>
      </c>
      <c r="T50" s="16">
        <v>2</v>
      </c>
      <c r="U50" s="16">
        <v>2</v>
      </c>
      <c r="V50" s="16">
        <v>0</v>
      </c>
      <c r="W50" s="16">
        <v>30</v>
      </c>
      <c r="X50" s="16">
        <v>7</v>
      </c>
      <c r="Y50" s="16">
        <v>6</v>
      </c>
      <c r="Z50" s="16">
        <v>17</v>
      </c>
      <c r="AA50" s="16">
        <v>1047</v>
      </c>
      <c r="AB50" s="16">
        <v>245</v>
      </c>
      <c r="AC50" s="16">
        <v>118</v>
      </c>
      <c r="AD50" s="16">
        <v>684</v>
      </c>
      <c r="AE50" s="16">
        <v>604</v>
      </c>
      <c r="AF50" s="16">
        <v>137</v>
      </c>
      <c r="AG50" s="16">
        <v>70</v>
      </c>
      <c r="AH50" s="16">
        <v>397</v>
      </c>
      <c r="AI50" s="16">
        <v>163</v>
      </c>
      <c r="AJ50" s="16">
        <v>24</v>
      </c>
      <c r="AK50" s="16">
        <v>3</v>
      </c>
      <c r="AL50" s="16">
        <v>136</v>
      </c>
      <c r="AM50" s="16">
        <v>186</v>
      </c>
      <c r="AN50" s="16">
        <v>36</v>
      </c>
      <c r="AO50" s="16">
        <v>23</v>
      </c>
      <c r="AP50" s="16">
        <v>127</v>
      </c>
      <c r="AQ50" s="16">
        <v>10</v>
      </c>
      <c r="AR50" s="16">
        <v>7</v>
      </c>
      <c r="AS50" s="16">
        <v>0</v>
      </c>
      <c r="AT50" s="16">
        <v>3</v>
      </c>
      <c r="AU50" s="16">
        <v>84</v>
      </c>
      <c r="AV50" s="16">
        <v>41</v>
      </c>
      <c r="AW50" s="16">
        <v>22</v>
      </c>
      <c r="AX50" s="16">
        <v>21</v>
      </c>
    </row>
    <row r="51" spans="1:50" ht="15.75" customHeight="1">
      <c r="A51" s="176"/>
      <c r="B51" s="126" t="s">
        <v>27</v>
      </c>
      <c r="C51" s="16">
        <v>290</v>
      </c>
      <c r="D51" s="16">
        <v>43</v>
      </c>
      <c r="E51" s="16">
        <v>39</v>
      </c>
      <c r="F51" s="16">
        <v>208</v>
      </c>
      <c r="G51" s="16">
        <v>104</v>
      </c>
      <c r="H51" s="16">
        <v>15</v>
      </c>
      <c r="I51" s="16">
        <v>3</v>
      </c>
      <c r="J51" s="16">
        <v>86</v>
      </c>
      <c r="K51" s="16">
        <v>123</v>
      </c>
      <c r="L51" s="16">
        <v>18</v>
      </c>
      <c r="M51" s="16">
        <v>16</v>
      </c>
      <c r="N51" s="16">
        <v>89</v>
      </c>
      <c r="O51" s="16">
        <v>24</v>
      </c>
      <c r="P51" s="16">
        <v>4</v>
      </c>
      <c r="Q51" s="16">
        <v>12</v>
      </c>
      <c r="R51" s="16">
        <v>8</v>
      </c>
      <c r="S51" s="16">
        <v>2</v>
      </c>
      <c r="T51" s="16">
        <v>0</v>
      </c>
      <c r="U51" s="16">
        <v>2</v>
      </c>
      <c r="V51" s="16">
        <v>0</v>
      </c>
      <c r="W51" s="16">
        <v>37</v>
      </c>
      <c r="X51" s="16">
        <v>6</v>
      </c>
      <c r="Y51" s="16">
        <v>6</v>
      </c>
      <c r="Z51" s="16">
        <v>25</v>
      </c>
      <c r="AA51" s="16">
        <v>1150</v>
      </c>
      <c r="AB51" s="16">
        <v>178</v>
      </c>
      <c r="AC51" s="16">
        <v>111</v>
      </c>
      <c r="AD51" s="16">
        <v>861</v>
      </c>
      <c r="AE51" s="16">
        <v>659</v>
      </c>
      <c r="AF51" s="16">
        <v>105</v>
      </c>
      <c r="AG51" s="16">
        <v>65</v>
      </c>
      <c r="AH51" s="16">
        <v>489</v>
      </c>
      <c r="AI51" s="16">
        <v>251</v>
      </c>
      <c r="AJ51" s="16">
        <v>35</v>
      </c>
      <c r="AK51" s="16">
        <v>7</v>
      </c>
      <c r="AL51" s="16">
        <v>209</v>
      </c>
      <c r="AM51" s="16">
        <v>196</v>
      </c>
      <c r="AN51" s="16">
        <v>30</v>
      </c>
      <c r="AO51" s="16">
        <v>20</v>
      </c>
      <c r="AP51" s="16">
        <v>146</v>
      </c>
      <c r="AQ51" s="16">
        <v>4</v>
      </c>
      <c r="AR51" s="16">
        <v>1</v>
      </c>
      <c r="AS51" s="16">
        <v>1</v>
      </c>
      <c r="AT51" s="16">
        <v>2</v>
      </c>
      <c r="AU51" s="16">
        <v>40</v>
      </c>
      <c r="AV51" s="16">
        <v>7</v>
      </c>
      <c r="AW51" s="16">
        <v>18</v>
      </c>
      <c r="AX51" s="16">
        <v>15</v>
      </c>
    </row>
    <row r="52" spans="1:50" ht="15.75" customHeight="1">
      <c r="A52" s="14" t="s">
        <v>56</v>
      </c>
      <c r="B52" s="125" t="s">
        <v>24</v>
      </c>
      <c r="C52" s="15">
        <v>406</v>
      </c>
      <c r="D52" s="15">
        <v>122</v>
      </c>
      <c r="E52" s="15">
        <v>43</v>
      </c>
      <c r="F52" s="15">
        <v>241</v>
      </c>
      <c r="G52" s="15">
        <v>82</v>
      </c>
      <c r="H52" s="15">
        <v>12</v>
      </c>
      <c r="I52" s="15">
        <v>4</v>
      </c>
      <c r="J52" s="15">
        <v>66</v>
      </c>
      <c r="K52" s="15">
        <v>160</v>
      </c>
      <c r="L52" s="15">
        <v>25</v>
      </c>
      <c r="M52" s="15">
        <v>15</v>
      </c>
      <c r="N52" s="15">
        <v>120</v>
      </c>
      <c r="O52" s="15">
        <v>75</v>
      </c>
      <c r="P52" s="15">
        <v>44</v>
      </c>
      <c r="Q52" s="15">
        <v>17</v>
      </c>
      <c r="R52" s="15">
        <v>14</v>
      </c>
      <c r="S52" s="15">
        <v>33</v>
      </c>
      <c r="T52" s="15">
        <v>21</v>
      </c>
      <c r="U52" s="15">
        <v>4</v>
      </c>
      <c r="V52" s="15">
        <v>8</v>
      </c>
      <c r="W52" s="15">
        <v>56</v>
      </c>
      <c r="X52" s="15">
        <v>20</v>
      </c>
      <c r="Y52" s="15">
        <v>3</v>
      </c>
      <c r="Z52" s="15">
        <v>33</v>
      </c>
      <c r="AA52" s="15">
        <v>737</v>
      </c>
      <c r="AB52" s="15">
        <v>204</v>
      </c>
      <c r="AC52" s="15">
        <v>72</v>
      </c>
      <c r="AD52" s="15">
        <v>461</v>
      </c>
      <c r="AE52" s="15">
        <v>192</v>
      </c>
      <c r="AF52" s="15">
        <v>26</v>
      </c>
      <c r="AG52" s="15">
        <v>4</v>
      </c>
      <c r="AH52" s="15">
        <v>162</v>
      </c>
      <c r="AI52" s="15">
        <v>271</v>
      </c>
      <c r="AJ52" s="15">
        <v>48</v>
      </c>
      <c r="AK52" s="15">
        <v>22</v>
      </c>
      <c r="AL52" s="15">
        <v>201</v>
      </c>
      <c r="AM52" s="15">
        <v>125</v>
      </c>
      <c r="AN52" s="15">
        <v>69</v>
      </c>
      <c r="AO52" s="15">
        <v>32</v>
      </c>
      <c r="AP52" s="15">
        <v>24</v>
      </c>
      <c r="AQ52" s="15">
        <v>52</v>
      </c>
      <c r="AR52" s="15">
        <v>27</v>
      </c>
      <c r="AS52" s="15">
        <v>9</v>
      </c>
      <c r="AT52" s="15">
        <v>16</v>
      </c>
      <c r="AU52" s="15">
        <v>97</v>
      </c>
      <c r="AV52" s="15">
        <v>34</v>
      </c>
      <c r="AW52" s="15">
        <v>5</v>
      </c>
      <c r="AX52" s="15">
        <v>58</v>
      </c>
    </row>
    <row r="53" spans="1:50" ht="15.75" customHeight="1">
      <c r="A53" s="175" t="s">
        <v>57</v>
      </c>
      <c r="B53" s="126" t="s">
        <v>26</v>
      </c>
      <c r="C53" s="16">
        <v>215</v>
      </c>
      <c r="D53" s="16">
        <v>82</v>
      </c>
      <c r="E53" s="16">
        <v>22</v>
      </c>
      <c r="F53" s="16">
        <v>111</v>
      </c>
      <c r="G53" s="16">
        <v>31</v>
      </c>
      <c r="H53" s="16">
        <v>4</v>
      </c>
      <c r="I53" s="16">
        <v>2</v>
      </c>
      <c r="J53" s="16">
        <v>25</v>
      </c>
      <c r="K53" s="16">
        <v>78</v>
      </c>
      <c r="L53" s="16">
        <v>13</v>
      </c>
      <c r="M53" s="16">
        <v>6</v>
      </c>
      <c r="N53" s="16">
        <v>59</v>
      </c>
      <c r="O53" s="16">
        <v>57</v>
      </c>
      <c r="P53" s="16">
        <v>38</v>
      </c>
      <c r="Q53" s="16">
        <v>11</v>
      </c>
      <c r="R53" s="16">
        <v>8</v>
      </c>
      <c r="S53" s="16">
        <v>22</v>
      </c>
      <c r="T53" s="16">
        <v>16</v>
      </c>
      <c r="U53" s="16">
        <v>2</v>
      </c>
      <c r="V53" s="16">
        <v>4</v>
      </c>
      <c r="W53" s="16">
        <v>27</v>
      </c>
      <c r="X53" s="16">
        <v>11</v>
      </c>
      <c r="Y53" s="16">
        <v>1</v>
      </c>
      <c r="Z53" s="16">
        <v>15</v>
      </c>
      <c r="AA53" s="16">
        <v>384</v>
      </c>
      <c r="AB53" s="16">
        <v>133</v>
      </c>
      <c r="AC53" s="16">
        <v>41</v>
      </c>
      <c r="AD53" s="16">
        <v>210</v>
      </c>
      <c r="AE53" s="16">
        <v>73</v>
      </c>
      <c r="AF53" s="16">
        <v>9</v>
      </c>
      <c r="AG53" s="16">
        <v>2</v>
      </c>
      <c r="AH53" s="16">
        <v>62</v>
      </c>
      <c r="AI53" s="16">
        <v>138</v>
      </c>
      <c r="AJ53" s="16">
        <v>28</v>
      </c>
      <c r="AK53" s="16">
        <v>12</v>
      </c>
      <c r="AL53" s="16">
        <v>98</v>
      </c>
      <c r="AM53" s="16">
        <v>92</v>
      </c>
      <c r="AN53" s="16">
        <v>57</v>
      </c>
      <c r="AO53" s="16">
        <v>18</v>
      </c>
      <c r="AP53" s="16">
        <v>17</v>
      </c>
      <c r="AQ53" s="16">
        <v>35</v>
      </c>
      <c r="AR53" s="16">
        <v>21</v>
      </c>
      <c r="AS53" s="16">
        <v>6</v>
      </c>
      <c r="AT53" s="16">
        <v>8</v>
      </c>
      <c r="AU53" s="16">
        <v>46</v>
      </c>
      <c r="AV53" s="16">
        <v>18</v>
      </c>
      <c r="AW53" s="16">
        <v>3</v>
      </c>
      <c r="AX53" s="16">
        <v>25</v>
      </c>
    </row>
    <row r="54" spans="1:50" ht="15.75" customHeight="1">
      <c r="A54" s="176"/>
      <c r="B54" s="126" t="s">
        <v>27</v>
      </c>
      <c r="C54" s="16">
        <v>191</v>
      </c>
      <c r="D54" s="16">
        <v>40</v>
      </c>
      <c r="E54" s="16">
        <v>21</v>
      </c>
      <c r="F54" s="16">
        <v>130</v>
      </c>
      <c r="G54" s="16">
        <v>51</v>
      </c>
      <c r="H54" s="16">
        <v>8</v>
      </c>
      <c r="I54" s="16">
        <v>2</v>
      </c>
      <c r="J54" s="16">
        <v>41</v>
      </c>
      <c r="K54" s="16">
        <v>82</v>
      </c>
      <c r="L54" s="16">
        <v>12</v>
      </c>
      <c r="M54" s="16">
        <v>9</v>
      </c>
      <c r="N54" s="16">
        <v>61</v>
      </c>
      <c r="O54" s="16">
        <v>18</v>
      </c>
      <c r="P54" s="16">
        <v>6</v>
      </c>
      <c r="Q54" s="16">
        <v>6</v>
      </c>
      <c r="R54" s="16">
        <v>6</v>
      </c>
      <c r="S54" s="16">
        <v>11</v>
      </c>
      <c r="T54" s="16">
        <v>5</v>
      </c>
      <c r="U54" s="16">
        <v>2</v>
      </c>
      <c r="V54" s="16">
        <v>4</v>
      </c>
      <c r="W54" s="16">
        <v>29</v>
      </c>
      <c r="X54" s="16">
        <v>9</v>
      </c>
      <c r="Y54" s="16">
        <v>2</v>
      </c>
      <c r="Z54" s="16">
        <v>18</v>
      </c>
      <c r="AA54" s="16">
        <v>353</v>
      </c>
      <c r="AB54" s="16">
        <v>71</v>
      </c>
      <c r="AC54" s="16">
        <v>31</v>
      </c>
      <c r="AD54" s="16">
        <v>251</v>
      </c>
      <c r="AE54" s="16">
        <v>119</v>
      </c>
      <c r="AF54" s="16">
        <v>17</v>
      </c>
      <c r="AG54" s="16">
        <v>2</v>
      </c>
      <c r="AH54" s="16">
        <v>100</v>
      </c>
      <c r="AI54" s="16">
        <v>133</v>
      </c>
      <c r="AJ54" s="16">
        <v>20</v>
      </c>
      <c r="AK54" s="16">
        <v>10</v>
      </c>
      <c r="AL54" s="16">
        <v>103</v>
      </c>
      <c r="AM54" s="16">
        <v>33</v>
      </c>
      <c r="AN54" s="16">
        <v>12</v>
      </c>
      <c r="AO54" s="16">
        <v>14</v>
      </c>
      <c r="AP54" s="16">
        <v>7</v>
      </c>
      <c r="AQ54" s="16">
        <v>17</v>
      </c>
      <c r="AR54" s="16">
        <v>6</v>
      </c>
      <c r="AS54" s="16">
        <v>3</v>
      </c>
      <c r="AT54" s="16">
        <v>8</v>
      </c>
      <c r="AU54" s="16">
        <v>51</v>
      </c>
      <c r="AV54" s="16">
        <v>16</v>
      </c>
      <c r="AW54" s="16">
        <v>2</v>
      </c>
      <c r="AX54" s="16">
        <v>33</v>
      </c>
    </row>
    <row r="55" spans="1:50" ht="15.75" customHeight="1">
      <c r="A55" s="14" t="s">
        <v>58</v>
      </c>
      <c r="B55" s="125" t="s">
        <v>24</v>
      </c>
      <c r="C55" s="15">
        <v>1175</v>
      </c>
      <c r="D55" s="15">
        <v>254</v>
      </c>
      <c r="E55" s="15">
        <v>200</v>
      </c>
      <c r="F55" s="15">
        <v>721</v>
      </c>
      <c r="G55" s="15">
        <v>632</v>
      </c>
      <c r="H55" s="15">
        <v>134</v>
      </c>
      <c r="I55" s="15">
        <v>108</v>
      </c>
      <c r="J55" s="15">
        <v>390</v>
      </c>
      <c r="K55" s="15">
        <v>113</v>
      </c>
      <c r="L55" s="15">
        <v>17</v>
      </c>
      <c r="M55" s="15">
        <v>2</v>
      </c>
      <c r="N55" s="15">
        <v>94</v>
      </c>
      <c r="O55" s="15">
        <v>246</v>
      </c>
      <c r="P55" s="15">
        <v>44</v>
      </c>
      <c r="Q55" s="15">
        <v>24</v>
      </c>
      <c r="R55" s="15">
        <v>178</v>
      </c>
      <c r="S55" s="15">
        <v>148</v>
      </c>
      <c r="T55" s="15">
        <v>50</v>
      </c>
      <c r="U55" s="15">
        <v>49</v>
      </c>
      <c r="V55" s="15">
        <v>49</v>
      </c>
      <c r="W55" s="15">
        <v>36</v>
      </c>
      <c r="X55" s="15">
        <v>9</v>
      </c>
      <c r="Y55" s="15">
        <v>17</v>
      </c>
      <c r="Z55" s="15">
        <v>10</v>
      </c>
      <c r="AA55" s="15">
        <v>2802</v>
      </c>
      <c r="AB55" s="15">
        <v>608</v>
      </c>
      <c r="AC55" s="15">
        <v>438</v>
      </c>
      <c r="AD55" s="15">
        <v>1756</v>
      </c>
      <c r="AE55" s="15">
        <v>1407</v>
      </c>
      <c r="AF55" s="15">
        <v>300</v>
      </c>
      <c r="AG55" s="15">
        <v>210</v>
      </c>
      <c r="AH55" s="15">
        <v>897</v>
      </c>
      <c r="AI55" s="15">
        <v>339</v>
      </c>
      <c r="AJ55" s="15">
        <v>49</v>
      </c>
      <c r="AK55" s="15">
        <v>11</v>
      </c>
      <c r="AL55" s="15">
        <v>279</v>
      </c>
      <c r="AM55" s="15">
        <v>660</v>
      </c>
      <c r="AN55" s="15">
        <v>118</v>
      </c>
      <c r="AO55" s="15">
        <v>76</v>
      </c>
      <c r="AP55" s="15">
        <v>466</v>
      </c>
      <c r="AQ55" s="15">
        <v>298</v>
      </c>
      <c r="AR55" s="15">
        <v>108</v>
      </c>
      <c r="AS55" s="15">
        <v>102</v>
      </c>
      <c r="AT55" s="15">
        <v>88</v>
      </c>
      <c r="AU55" s="15">
        <v>98</v>
      </c>
      <c r="AV55" s="15">
        <v>33</v>
      </c>
      <c r="AW55" s="15">
        <v>39</v>
      </c>
      <c r="AX55" s="15">
        <v>26</v>
      </c>
    </row>
    <row r="56" spans="1:50" ht="15.75" customHeight="1">
      <c r="A56" s="175" t="s">
        <v>59</v>
      </c>
      <c r="B56" s="126" t="s">
        <v>26</v>
      </c>
      <c r="C56" s="16">
        <v>627</v>
      </c>
      <c r="D56" s="16">
        <v>165</v>
      </c>
      <c r="E56" s="16">
        <v>101</v>
      </c>
      <c r="F56" s="16">
        <v>361</v>
      </c>
      <c r="G56" s="16">
        <v>332</v>
      </c>
      <c r="H56" s="16">
        <v>87</v>
      </c>
      <c r="I56" s="16">
        <v>53</v>
      </c>
      <c r="J56" s="16">
        <v>192</v>
      </c>
      <c r="K56" s="16">
        <v>49</v>
      </c>
      <c r="L56" s="16">
        <v>9</v>
      </c>
      <c r="M56" s="16">
        <v>0</v>
      </c>
      <c r="N56" s="16">
        <v>40</v>
      </c>
      <c r="O56" s="16">
        <v>130</v>
      </c>
      <c r="P56" s="16">
        <v>25</v>
      </c>
      <c r="Q56" s="16">
        <v>13</v>
      </c>
      <c r="R56" s="16">
        <v>92</v>
      </c>
      <c r="S56" s="16">
        <v>94</v>
      </c>
      <c r="T56" s="16">
        <v>38</v>
      </c>
      <c r="U56" s="16">
        <v>24</v>
      </c>
      <c r="V56" s="16">
        <v>32</v>
      </c>
      <c r="W56" s="16">
        <v>22</v>
      </c>
      <c r="X56" s="16">
        <v>6</v>
      </c>
      <c r="Y56" s="16">
        <v>11</v>
      </c>
      <c r="Z56" s="16">
        <v>5</v>
      </c>
      <c r="AA56" s="16">
        <v>1469</v>
      </c>
      <c r="AB56" s="16">
        <v>391</v>
      </c>
      <c r="AC56" s="16">
        <v>250</v>
      </c>
      <c r="AD56" s="16">
        <v>828</v>
      </c>
      <c r="AE56" s="16">
        <v>729</v>
      </c>
      <c r="AF56" s="16">
        <v>191</v>
      </c>
      <c r="AG56" s="16">
        <v>118</v>
      </c>
      <c r="AH56" s="16">
        <v>420</v>
      </c>
      <c r="AI56" s="16">
        <v>142</v>
      </c>
      <c r="AJ56" s="16">
        <v>26</v>
      </c>
      <c r="AK56" s="16">
        <v>7</v>
      </c>
      <c r="AL56" s="16">
        <v>109</v>
      </c>
      <c r="AM56" s="16">
        <v>329</v>
      </c>
      <c r="AN56" s="16">
        <v>67</v>
      </c>
      <c r="AO56" s="16">
        <v>38</v>
      </c>
      <c r="AP56" s="16">
        <v>224</v>
      </c>
      <c r="AQ56" s="16">
        <v>208</v>
      </c>
      <c r="AR56" s="16">
        <v>83</v>
      </c>
      <c r="AS56" s="16">
        <v>65</v>
      </c>
      <c r="AT56" s="16">
        <v>60</v>
      </c>
      <c r="AU56" s="16">
        <v>61</v>
      </c>
      <c r="AV56" s="16">
        <v>24</v>
      </c>
      <c r="AW56" s="16">
        <v>22</v>
      </c>
      <c r="AX56" s="16">
        <v>15</v>
      </c>
    </row>
    <row r="57" spans="1:50" ht="15.75" customHeight="1">
      <c r="A57" s="176"/>
      <c r="B57" s="126" t="s">
        <v>27</v>
      </c>
      <c r="C57" s="16">
        <v>548</v>
      </c>
      <c r="D57" s="16">
        <v>89</v>
      </c>
      <c r="E57" s="16">
        <v>99</v>
      </c>
      <c r="F57" s="16">
        <v>360</v>
      </c>
      <c r="G57" s="16">
        <v>300</v>
      </c>
      <c r="H57" s="16">
        <v>47</v>
      </c>
      <c r="I57" s="16">
        <v>55</v>
      </c>
      <c r="J57" s="16">
        <v>198</v>
      </c>
      <c r="K57" s="16">
        <v>64</v>
      </c>
      <c r="L57" s="16">
        <v>8</v>
      </c>
      <c r="M57" s="16">
        <v>2</v>
      </c>
      <c r="N57" s="16">
        <v>54</v>
      </c>
      <c r="O57" s="16">
        <v>116</v>
      </c>
      <c r="P57" s="16">
        <v>19</v>
      </c>
      <c r="Q57" s="16">
        <v>11</v>
      </c>
      <c r="R57" s="16">
        <v>86</v>
      </c>
      <c r="S57" s="16">
        <v>54</v>
      </c>
      <c r="T57" s="16">
        <v>12</v>
      </c>
      <c r="U57" s="16">
        <v>25</v>
      </c>
      <c r="V57" s="16">
        <v>17</v>
      </c>
      <c r="W57" s="16">
        <v>14</v>
      </c>
      <c r="X57" s="16">
        <v>3</v>
      </c>
      <c r="Y57" s="16">
        <v>6</v>
      </c>
      <c r="Z57" s="16">
        <v>5</v>
      </c>
      <c r="AA57" s="16">
        <v>1333</v>
      </c>
      <c r="AB57" s="16">
        <v>217</v>
      </c>
      <c r="AC57" s="16">
        <v>188</v>
      </c>
      <c r="AD57" s="16">
        <v>928</v>
      </c>
      <c r="AE57" s="16">
        <v>678</v>
      </c>
      <c r="AF57" s="16">
        <v>109</v>
      </c>
      <c r="AG57" s="16">
        <v>92</v>
      </c>
      <c r="AH57" s="16">
        <v>477</v>
      </c>
      <c r="AI57" s="16">
        <v>197</v>
      </c>
      <c r="AJ57" s="16">
        <v>23</v>
      </c>
      <c r="AK57" s="16">
        <v>4</v>
      </c>
      <c r="AL57" s="16">
        <v>170</v>
      </c>
      <c r="AM57" s="16">
        <v>331</v>
      </c>
      <c r="AN57" s="16">
        <v>51</v>
      </c>
      <c r="AO57" s="16">
        <v>38</v>
      </c>
      <c r="AP57" s="16">
        <v>242</v>
      </c>
      <c r="AQ57" s="16">
        <v>90</v>
      </c>
      <c r="AR57" s="16">
        <v>25</v>
      </c>
      <c r="AS57" s="16">
        <v>37</v>
      </c>
      <c r="AT57" s="16">
        <v>28</v>
      </c>
      <c r="AU57" s="16">
        <v>37</v>
      </c>
      <c r="AV57" s="16">
        <v>9</v>
      </c>
      <c r="AW57" s="16">
        <v>17</v>
      </c>
      <c r="AX57" s="16">
        <v>11</v>
      </c>
    </row>
    <row r="58" spans="1:50" ht="15.75" customHeight="1">
      <c r="A58" s="14" t="s">
        <v>60</v>
      </c>
      <c r="B58" s="125" t="s">
        <v>24</v>
      </c>
      <c r="C58" s="15">
        <v>149</v>
      </c>
      <c r="D58" s="15">
        <v>15</v>
      </c>
      <c r="E58" s="15">
        <v>11</v>
      </c>
      <c r="F58" s="15">
        <v>123</v>
      </c>
      <c r="G58" s="15">
        <v>57</v>
      </c>
      <c r="H58" s="15">
        <v>2</v>
      </c>
      <c r="I58" s="15">
        <v>1</v>
      </c>
      <c r="J58" s="15">
        <v>54</v>
      </c>
      <c r="K58" s="15">
        <v>73</v>
      </c>
      <c r="L58" s="15">
        <v>8</v>
      </c>
      <c r="M58" s="15">
        <v>5</v>
      </c>
      <c r="N58" s="15">
        <v>60</v>
      </c>
      <c r="O58" s="15">
        <v>11</v>
      </c>
      <c r="P58" s="15">
        <v>4</v>
      </c>
      <c r="Q58" s="15">
        <v>4</v>
      </c>
      <c r="R58" s="15">
        <v>3</v>
      </c>
      <c r="S58" s="15">
        <v>0</v>
      </c>
      <c r="T58" s="15">
        <v>0</v>
      </c>
      <c r="U58" s="15">
        <v>0</v>
      </c>
      <c r="V58" s="15">
        <v>0</v>
      </c>
      <c r="W58" s="15">
        <v>8</v>
      </c>
      <c r="X58" s="15">
        <v>1</v>
      </c>
      <c r="Y58" s="15">
        <v>1</v>
      </c>
      <c r="Z58" s="15">
        <v>6</v>
      </c>
      <c r="AA58" s="15">
        <v>470</v>
      </c>
      <c r="AB58" s="15">
        <v>40</v>
      </c>
      <c r="AC58" s="15">
        <v>23</v>
      </c>
      <c r="AD58" s="15">
        <v>407</v>
      </c>
      <c r="AE58" s="15">
        <v>205</v>
      </c>
      <c r="AF58" s="15">
        <v>8</v>
      </c>
      <c r="AG58" s="15">
        <v>1</v>
      </c>
      <c r="AH58" s="15">
        <v>196</v>
      </c>
      <c r="AI58" s="15">
        <v>188</v>
      </c>
      <c r="AJ58" s="15">
        <v>17</v>
      </c>
      <c r="AK58" s="15">
        <v>8</v>
      </c>
      <c r="AL58" s="15">
        <v>163</v>
      </c>
      <c r="AM58" s="15">
        <v>30</v>
      </c>
      <c r="AN58" s="15">
        <v>10</v>
      </c>
      <c r="AO58" s="15">
        <v>11</v>
      </c>
      <c r="AP58" s="15">
        <v>9</v>
      </c>
      <c r="AQ58" s="15">
        <v>0</v>
      </c>
      <c r="AR58" s="15">
        <v>0</v>
      </c>
      <c r="AS58" s="15">
        <v>0</v>
      </c>
      <c r="AT58" s="15">
        <v>0</v>
      </c>
      <c r="AU58" s="15">
        <v>47</v>
      </c>
      <c r="AV58" s="15">
        <v>5</v>
      </c>
      <c r="AW58" s="15">
        <v>3</v>
      </c>
      <c r="AX58" s="15">
        <v>39</v>
      </c>
    </row>
    <row r="59" spans="1:50" ht="15.75" customHeight="1">
      <c r="A59" s="175" t="s">
        <v>61</v>
      </c>
      <c r="B59" s="126" t="s">
        <v>26</v>
      </c>
      <c r="C59" s="16">
        <v>66</v>
      </c>
      <c r="D59" s="16">
        <v>9</v>
      </c>
      <c r="E59" s="16">
        <v>8</v>
      </c>
      <c r="F59" s="16">
        <v>49</v>
      </c>
      <c r="G59" s="16">
        <v>19</v>
      </c>
      <c r="H59" s="16">
        <v>0</v>
      </c>
      <c r="I59" s="16">
        <v>1</v>
      </c>
      <c r="J59" s="16">
        <v>18</v>
      </c>
      <c r="K59" s="16">
        <v>36</v>
      </c>
      <c r="L59" s="16">
        <v>5</v>
      </c>
      <c r="M59" s="16">
        <v>3</v>
      </c>
      <c r="N59" s="16">
        <v>28</v>
      </c>
      <c r="O59" s="16">
        <v>8</v>
      </c>
      <c r="P59" s="16">
        <v>3</v>
      </c>
      <c r="Q59" s="16">
        <v>3</v>
      </c>
      <c r="R59" s="16">
        <v>2</v>
      </c>
      <c r="S59" s="16">
        <v>0</v>
      </c>
      <c r="T59" s="16">
        <v>0</v>
      </c>
      <c r="U59" s="16">
        <v>0</v>
      </c>
      <c r="V59" s="16">
        <v>0</v>
      </c>
      <c r="W59" s="16">
        <v>3</v>
      </c>
      <c r="X59" s="16">
        <v>1</v>
      </c>
      <c r="Y59" s="16">
        <v>1</v>
      </c>
      <c r="Z59" s="16">
        <v>1</v>
      </c>
      <c r="AA59" s="16">
        <v>201</v>
      </c>
      <c r="AB59" s="16">
        <v>24</v>
      </c>
      <c r="AC59" s="16">
        <v>16</v>
      </c>
      <c r="AD59" s="16">
        <v>161</v>
      </c>
      <c r="AE59" s="16">
        <v>70</v>
      </c>
      <c r="AF59" s="16">
        <v>2</v>
      </c>
      <c r="AG59" s="16">
        <v>1</v>
      </c>
      <c r="AH59" s="16">
        <v>67</v>
      </c>
      <c r="AI59" s="16">
        <v>87</v>
      </c>
      <c r="AJ59" s="16">
        <v>9</v>
      </c>
      <c r="AK59" s="16">
        <v>4</v>
      </c>
      <c r="AL59" s="16">
        <v>74</v>
      </c>
      <c r="AM59" s="16">
        <v>24</v>
      </c>
      <c r="AN59" s="16">
        <v>9</v>
      </c>
      <c r="AO59" s="16">
        <v>8</v>
      </c>
      <c r="AP59" s="16">
        <v>7</v>
      </c>
      <c r="AQ59" s="16">
        <v>0</v>
      </c>
      <c r="AR59" s="16">
        <v>0</v>
      </c>
      <c r="AS59" s="16">
        <v>0</v>
      </c>
      <c r="AT59" s="16">
        <v>0</v>
      </c>
      <c r="AU59" s="16">
        <v>20</v>
      </c>
      <c r="AV59" s="16">
        <v>4</v>
      </c>
      <c r="AW59" s="16">
        <v>3</v>
      </c>
      <c r="AX59" s="16">
        <v>13</v>
      </c>
    </row>
    <row r="60" spans="1:50" ht="15.75" customHeight="1">
      <c r="A60" s="176"/>
      <c r="B60" s="126" t="s">
        <v>27</v>
      </c>
      <c r="C60" s="16">
        <v>83</v>
      </c>
      <c r="D60" s="16">
        <v>6</v>
      </c>
      <c r="E60" s="16">
        <v>3</v>
      </c>
      <c r="F60" s="16">
        <v>74</v>
      </c>
      <c r="G60" s="16">
        <v>38</v>
      </c>
      <c r="H60" s="16">
        <v>2</v>
      </c>
      <c r="I60" s="16">
        <v>0</v>
      </c>
      <c r="J60" s="16">
        <v>36</v>
      </c>
      <c r="K60" s="16">
        <v>37</v>
      </c>
      <c r="L60" s="16">
        <v>3</v>
      </c>
      <c r="M60" s="16">
        <v>2</v>
      </c>
      <c r="N60" s="16">
        <v>32</v>
      </c>
      <c r="O60" s="16">
        <v>3</v>
      </c>
      <c r="P60" s="16">
        <v>1</v>
      </c>
      <c r="Q60" s="16">
        <v>1</v>
      </c>
      <c r="R60" s="16">
        <v>1</v>
      </c>
      <c r="S60" s="16">
        <v>0</v>
      </c>
      <c r="T60" s="16">
        <v>0</v>
      </c>
      <c r="U60" s="16">
        <v>0</v>
      </c>
      <c r="V60" s="16">
        <v>0</v>
      </c>
      <c r="W60" s="16">
        <v>5</v>
      </c>
      <c r="X60" s="16">
        <v>0</v>
      </c>
      <c r="Y60" s="16">
        <v>0</v>
      </c>
      <c r="Z60" s="16">
        <v>5</v>
      </c>
      <c r="AA60" s="16">
        <v>269</v>
      </c>
      <c r="AB60" s="16">
        <v>16</v>
      </c>
      <c r="AC60" s="16">
        <v>7</v>
      </c>
      <c r="AD60" s="16">
        <v>246</v>
      </c>
      <c r="AE60" s="16">
        <v>135</v>
      </c>
      <c r="AF60" s="16">
        <v>6</v>
      </c>
      <c r="AG60" s="16">
        <v>0</v>
      </c>
      <c r="AH60" s="16">
        <v>129</v>
      </c>
      <c r="AI60" s="16">
        <v>101</v>
      </c>
      <c r="AJ60" s="16">
        <v>8</v>
      </c>
      <c r="AK60" s="16">
        <v>4</v>
      </c>
      <c r="AL60" s="16">
        <v>89</v>
      </c>
      <c r="AM60" s="16">
        <v>6</v>
      </c>
      <c r="AN60" s="16">
        <v>1</v>
      </c>
      <c r="AO60" s="16">
        <v>3</v>
      </c>
      <c r="AP60" s="16">
        <v>2</v>
      </c>
      <c r="AQ60" s="16">
        <v>0</v>
      </c>
      <c r="AR60" s="16">
        <v>0</v>
      </c>
      <c r="AS60" s="16">
        <v>0</v>
      </c>
      <c r="AT60" s="16">
        <v>0</v>
      </c>
      <c r="AU60" s="16">
        <v>27</v>
      </c>
      <c r="AV60" s="16">
        <v>1</v>
      </c>
      <c r="AW60" s="16">
        <v>0</v>
      </c>
      <c r="AX60" s="16">
        <v>26</v>
      </c>
    </row>
    <row r="61" spans="1:50" ht="15.75" customHeight="1">
      <c r="A61" s="14" t="s">
        <v>62</v>
      </c>
      <c r="B61" s="125" t="s">
        <v>24</v>
      </c>
      <c r="C61" s="15">
        <v>215</v>
      </c>
      <c r="D61" s="15">
        <v>25</v>
      </c>
      <c r="E61" s="15">
        <v>40</v>
      </c>
      <c r="F61" s="15">
        <v>150</v>
      </c>
      <c r="G61" s="15">
        <v>35</v>
      </c>
      <c r="H61" s="15">
        <v>3</v>
      </c>
      <c r="I61" s="15">
        <v>0</v>
      </c>
      <c r="J61" s="15">
        <v>32</v>
      </c>
      <c r="K61" s="15">
        <v>106</v>
      </c>
      <c r="L61" s="15">
        <v>9</v>
      </c>
      <c r="M61" s="15">
        <v>11</v>
      </c>
      <c r="N61" s="15">
        <v>86</v>
      </c>
      <c r="O61" s="15">
        <v>43</v>
      </c>
      <c r="P61" s="15">
        <v>8</v>
      </c>
      <c r="Q61" s="15">
        <v>24</v>
      </c>
      <c r="R61" s="15">
        <v>11</v>
      </c>
      <c r="S61" s="15">
        <v>0</v>
      </c>
      <c r="T61" s="15">
        <v>0</v>
      </c>
      <c r="U61" s="15">
        <v>0</v>
      </c>
      <c r="V61" s="15">
        <v>0</v>
      </c>
      <c r="W61" s="15">
        <v>31</v>
      </c>
      <c r="X61" s="15">
        <v>5</v>
      </c>
      <c r="Y61" s="15">
        <v>5</v>
      </c>
      <c r="Z61" s="15">
        <v>21</v>
      </c>
      <c r="AA61" s="15">
        <v>1213</v>
      </c>
      <c r="AB61" s="15">
        <v>252</v>
      </c>
      <c r="AC61" s="15">
        <v>218</v>
      </c>
      <c r="AD61" s="15">
        <v>743</v>
      </c>
      <c r="AE61" s="15">
        <v>377</v>
      </c>
      <c r="AF61" s="15">
        <v>64</v>
      </c>
      <c r="AG61" s="15">
        <v>14</v>
      </c>
      <c r="AH61" s="15">
        <v>299</v>
      </c>
      <c r="AI61" s="15">
        <v>414</v>
      </c>
      <c r="AJ61" s="15">
        <v>75</v>
      </c>
      <c r="AK61" s="15">
        <v>66</v>
      </c>
      <c r="AL61" s="15">
        <v>273</v>
      </c>
      <c r="AM61" s="15">
        <v>251</v>
      </c>
      <c r="AN61" s="15">
        <v>69</v>
      </c>
      <c r="AO61" s="15">
        <v>117</v>
      </c>
      <c r="AP61" s="15">
        <v>65</v>
      </c>
      <c r="AQ61" s="15">
        <v>0</v>
      </c>
      <c r="AR61" s="15">
        <v>0</v>
      </c>
      <c r="AS61" s="15">
        <v>0</v>
      </c>
      <c r="AT61" s="15">
        <v>0</v>
      </c>
      <c r="AU61" s="15">
        <v>171</v>
      </c>
      <c r="AV61" s="15">
        <v>44</v>
      </c>
      <c r="AW61" s="15">
        <v>21</v>
      </c>
      <c r="AX61" s="15">
        <v>106</v>
      </c>
    </row>
    <row r="62" spans="1:50" ht="15.75" customHeight="1">
      <c r="A62" s="175" t="s">
        <v>63</v>
      </c>
      <c r="B62" s="126" t="s">
        <v>26</v>
      </c>
      <c r="C62" s="16">
        <v>106</v>
      </c>
      <c r="D62" s="16">
        <v>13</v>
      </c>
      <c r="E62" s="16">
        <v>23</v>
      </c>
      <c r="F62" s="16">
        <v>70</v>
      </c>
      <c r="G62" s="16">
        <v>8</v>
      </c>
      <c r="H62" s="16">
        <v>1</v>
      </c>
      <c r="I62" s="16">
        <v>0</v>
      </c>
      <c r="J62" s="16">
        <v>7</v>
      </c>
      <c r="K62" s="16">
        <v>56</v>
      </c>
      <c r="L62" s="16">
        <v>5</v>
      </c>
      <c r="M62" s="16">
        <v>6</v>
      </c>
      <c r="N62" s="16">
        <v>45</v>
      </c>
      <c r="O62" s="16">
        <v>29</v>
      </c>
      <c r="P62" s="16">
        <v>6</v>
      </c>
      <c r="Q62" s="16">
        <v>14</v>
      </c>
      <c r="R62" s="16">
        <v>9</v>
      </c>
      <c r="S62" s="16">
        <v>0</v>
      </c>
      <c r="T62" s="16">
        <v>0</v>
      </c>
      <c r="U62" s="16">
        <v>0</v>
      </c>
      <c r="V62" s="16">
        <v>0</v>
      </c>
      <c r="W62" s="16">
        <v>13</v>
      </c>
      <c r="X62" s="16">
        <v>1</v>
      </c>
      <c r="Y62" s="16">
        <v>3</v>
      </c>
      <c r="Z62" s="16">
        <v>9</v>
      </c>
      <c r="AA62" s="16">
        <v>526</v>
      </c>
      <c r="AB62" s="16">
        <v>125</v>
      </c>
      <c r="AC62" s="16">
        <v>119</v>
      </c>
      <c r="AD62" s="16">
        <v>282</v>
      </c>
      <c r="AE62" s="16">
        <v>107</v>
      </c>
      <c r="AF62" s="16">
        <v>18</v>
      </c>
      <c r="AG62" s="16">
        <v>8</v>
      </c>
      <c r="AH62" s="16">
        <v>81</v>
      </c>
      <c r="AI62" s="16">
        <v>191</v>
      </c>
      <c r="AJ62" s="16">
        <v>38</v>
      </c>
      <c r="AK62" s="16">
        <v>32</v>
      </c>
      <c r="AL62" s="16">
        <v>121</v>
      </c>
      <c r="AM62" s="16">
        <v>150</v>
      </c>
      <c r="AN62" s="16">
        <v>48</v>
      </c>
      <c r="AO62" s="16">
        <v>66</v>
      </c>
      <c r="AP62" s="16">
        <v>36</v>
      </c>
      <c r="AQ62" s="16">
        <v>0</v>
      </c>
      <c r="AR62" s="16">
        <v>0</v>
      </c>
      <c r="AS62" s="16">
        <v>0</v>
      </c>
      <c r="AT62" s="16">
        <v>0</v>
      </c>
      <c r="AU62" s="16">
        <v>78</v>
      </c>
      <c r="AV62" s="16">
        <v>21</v>
      </c>
      <c r="AW62" s="16">
        <v>13</v>
      </c>
      <c r="AX62" s="16">
        <v>44</v>
      </c>
    </row>
    <row r="63" spans="1:50" ht="15.75" customHeight="1">
      <c r="A63" s="176"/>
      <c r="B63" s="126" t="s">
        <v>27</v>
      </c>
      <c r="C63" s="16">
        <v>109</v>
      </c>
      <c r="D63" s="16">
        <v>12</v>
      </c>
      <c r="E63" s="16">
        <v>17</v>
      </c>
      <c r="F63" s="16">
        <v>80</v>
      </c>
      <c r="G63" s="16">
        <v>27</v>
      </c>
      <c r="H63" s="16">
        <v>2</v>
      </c>
      <c r="I63" s="16">
        <v>0</v>
      </c>
      <c r="J63" s="16">
        <v>25</v>
      </c>
      <c r="K63" s="16">
        <v>50</v>
      </c>
      <c r="L63" s="16">
        <v>4</v>
      </c>
      <c r="M63" s="16">
        <v>5</v>
      </c>
      <c r="N63" s="16">
        <v>41</v>
      </c>
      <c r="O63" s="16">
        <v>14</v>
      </c>
      <c r="P63" s="16">
        <v>2</v>
      </c>
      <c r="Q63" s="16">
        <v>10</v>
      </c>
      <c r="R63" s="16">
        <v>2</v>
      </c>
      <c r="S63" s="16">
        <v>0</v>
      </c>
      <c r="T63" s="16">
        <v>0</v>
      </c>
      <c r="U63" s="16">
        <v>0</v>
      </c>
      <c r="V63" s="16">
        <v>0</v>
      </c>
      <c r="W63" s="16">
        <v>18</v>
      </c>
      <c r="X63" s="16">
        <v>4</v>
      </c>
      <c r="Y63" s="16">
        <v>2</v>
      </c>
      <c r="Z63" s="16">
        <v>12</v>
      </c>
      <c r="AA63" s="16">
        <v>687</v>
      </c>
      <c r="AB63" s="16">
        <v>127</v>
      </c>
      <c r="AC63" s="16">
        <v>99</v>
      </c>
      <c r="AD63" s="16">
        <v>461</v>
      </c>
      <c r="AE63" s="16">
        <v>270</v>
      </c>
      <c r="AF63" s="16">
        <v>46</v>
      </c>
      <c r="AG63" s="16">
        <v>6</v>
      </c>
      <c r="AH63" s="16">
        <v>218</v>
      </c>
      <c r="AI63" s="16">
        <v>223</v>
      </c>
      <c r="AJ63" s="16">
        <v>37</v>
      </c>
      <c r="AK63" s="16">
        <v>34</v>
      </c>
      <c r="AL63" s="16">
        <v>152</v>
      </c>
      <c r="AM63" s="16">
        <v>101</v>
      </c>
      <c r="AN63" s="16">
        <v>21</v>
      </c>
      <c r="AO63" s="16">
        <v>51</v>
      </c>
      <c r="AP63" s="16">
        <v>29</v>
      </c>
      <c r="AQ63" s="16">
        <v>0</v>
      </c>
      <c r="AR63" s="16">
        <v>0</v>
      </c>
      <c r="AS63" s="16">
        <v>0</v>
      </c>
      <c r="AT63" s="16">
        <v>0</v>
      </c>
      <c r="AU63" s="16">
        <v>93</v>
      </c>
      <c r="AV63" s="16">
        <v>23</v>
      </c>
      <c r="AW63" s="16">
        <v>8</v>
      </c>
      <c r="AX63" s="16">
        <v>62</v>
      </c>
    </row>
    <row r="64" spans="1:50" ht="15.75" customHeight="1">
      <c r="A64" s="14" t="s">
        <v>64</v>
      </c>
      <c r="B64" s="125" t="s">
        <v>24</v>
      </c>
      <c r="C64" s="15">
        <v>965</v>
      </c>
      <c r="D64" s="15">
        <v>54</v>
      </c>
      <c r="E64" s="15">
        <v>86</v>
      </c>
      <c r="F64" s="15">
        <v>825</v>
      </c>
      <c r="G64" s="15">
        <v>241</v>
      </c>
      <c r="H64" s="15">
        <v>9</v>
      </c>
      <c r="I64" s="15">
        <v>4</v>
      </c>
      <c r="J64" s="15">
        <v>228</v>
      </c>
      <c r="K64" s="15">
        <v>433</v>
      </c>
      <c r="L64" s="15">
        <v>22</v>
      </c>
      <c r="M64" s="15">
        <v>43</v>
      </c>
      <c r="N64" s="15">
        <v>368</v>
      </c>
      <c r="O64" s="15">
        <v>97</v>
      </c>
      <c r="P64" s="15">
        <v>17</v>
      </c>
      <c r="Q64" s="15">
        <v>25</v>
      </c>
      <c r="R64" s="15">
        <v>55</v>
      </c>
      <c r="S64" s="15">
        <v>1</v>
      </c>
      <c r="T64" s="15">
        <v>0</v>
      </c>
      <c r="U64" s="15">
        <v>0</v>
      </c>
      <c r="V64" s="15">
        <v>1</v>
      </c>
      <c r="W64" s="15">
        <v>193</v>
      </c>
      <c r="X64" s="15">
        <v>6</v>
      </c>
      <c r="Y64" s="15">
        <v>14</v>
      </c>
      <c r="Z64" s="15">
        <v>173</v>
      </c>
      <c r="AA64" s="15">
        <v>1895</v>
      </c>
      <c r="AB64" s="15">
        <v>141</v>
      </c>
      <c r="AC64" s="15">
        <v>179</v>
      </c>
      <c r="AD64" s="15">
        <v>1575</v>
      </c>
      <c r="AE64" s="15">
        <v>469</v>
      </c>
      <c r="AF64" s="15">
        <v>23</v>
      </c>
      <c r="AG64" s="15">
        <v>10</v>
      </c>
      <c r="AH64" s="15">
        <v>436</v>
      </c>
      <c r="AI64" s="15">
        <v>821</v>
      </c>
      <c r="AJ64" s="15">
        <v>59</v>
      </c>
      <c r="AK64" s="15">
        <v>79</v>
      </c>
      <c r="AL64" s="15">
        <v>683</v>
      </c>
      <c r="AM64" s="15">
        <v>191</v>
      </c>
      <c r="AN64" s="15">
        <v>41</v>
      </c>
      <c r="AO64" s="15">
        <v>59</v>
      </c>
      <c r="AP64" s="15">
        <v>91</v>
      </c>
      <c r="AQ64" s="15">
        <v>1</v>
      </c>
      <c r="AR64" s="15">
        <v>0</v>
      </c>
      <c r="AS64" s="15">
        <v>0</v>
      </c>
      <c r="AT64" s="15">
        <v>1</v>
      </c>
      <c r="AU64" s="15">
        <v>413</v>
      </c>
      <c r="AV64" s="15">
        <v>18</v>
      </c>
      <c r="AW64" s="15">
        <v>31</v>
      </c>
      <c r="AX64" s="15">
        <v>364</v>
      </c>
    </row>
    <row r="65" spans="1:50" ht="15.75" customHeight="1">
      <c r="A65" s="175" t="s">
        <v>65</v>
      </c>
      <c r="B65" s="126" t="s">
        <v>26</v>
      </c>
      <c r="C65" s="16">
        <v>475</v>
      </c>
      <c r="D65" s="16">
        <v>27</v>
      </c>
      <c r="E65" s="16">
        <v>52</v>
      </c>
      <c r="F65" s="16">
        <v>396</v>
      </c>
      <c r="G65" s="16">
        <v>98</v>
      </c>
      <c r="H65" s="16">
        <v>2</v>
      </c>
      <c r="I65" s="16">
        <v>4</v>
      </c>
      <c r="J65" s="16">
        <v>92</v>
      </c>
      <c r="K65" s="16">
        <v>225</v>
      </c>
      <c r="L65" s="16">
        <v>11</v>
      </c>
      <c r="M65" s="16">
        <v>23</v>
      </c>
      <c r="N65" s="16">
        <v>191</v>
      </c>
      <c r="O65" s="16">
        <v>68</v>
      </c>
      <c r="P65" s="16">
        <v>13</v>
      </c>
      <c r="Q65" s="16">
        <v>18</v>
      </c>
      <c r="R65" s="16">
        <v>37</v>
      </c>
      <c r="S65" s="16">
        <v>0</v>
      </c>
      <c r="T65" s="16">
        <v>0</v>
      </c>
      <c r="U65" s="16">
        <v>0</v>
      </c>
      <c r="V65" s="16">
        <v>0</v>
      </c>
      <c r="W65" s="16">
        <v>84</v>
      </c>
      <c r="X65" s="16">
        <v>1</v>
      </c>
      <c r="Y65" s="16">
        <v>7</v>
      </c>
      <c r="Z65" s="16">
        <v>76</v>
      </c>
      <c r="AA65" s="16">
        <v>891</v>
      </c>
      <c r="AB65" s="16">
        <v>66</v>
      </c>
      <c r="AC65" s="16">
        <v>104</v>
      </c>
      <c r="AD65" s="16">
        <v>721</v>
      </c>
      <c r="AE65" s="16">
        <v>194</v>
      </c>
      <c r="AF65" s="16">
        <v>4</v>
      </c>
      <c r="AG65" s="16">
        <v>10</v>
      </c>
      <c r="AH65" s="16">
        <v>180</v>
      </c>
      <c r="AI65" s="16">
        <v>402</v>
      </c>
      <c r="AJ65" s="16">
        <v>27</v>
      </c>
      <c r="AK65" s="16">
        <v>41</v>
      </c>
      <c r="AL65" s="16">
        <v>334</v>
      </c>
      <c r="AM65" s="16">
        <v>130</v>
      </c>
      <c r="AN65" s="16">
        <v>32</v>
      </c>
      <c r="AO65" s="16">
        <v>41</v>
      </c>
      <c r="AP65" s="16">
        <v>57</v>
      </c>
      <c r="AQ65" s="16">
        <v>0</v>
      </c>
      <c r="AR65" s="16">
        <v>0</v>
      </c>
      <c r="AS65" s="16">
        <v>0</v>
      </c>
      <c r="AT65" s="16">
        <v>0</v>
      </c>
      <c r="AU65" s="16">
        <v>165</v>
      </c>
      <c r="AV65" s="16">
        <v>3</v>
      </c>
      <c r="AW65" s="16">
        <v>12</v>
      </c>
      <c r="AX65" s="16">
        <v>150</v>
      </c>
    </row>
    <row r="66" spans="1:50" ht="15.75" customHeight="1">
      <c r="A66" s="176"/>
      <c r="B66" s="126" t="s">
        <v>27</v>
      </c>
      <c r="C66" s="16">
        <v>490</v>
      </c>
      <c r="D66" s="16">
        <v>27</v>
      </c>
      <c r="E66" s="16">
        <v>34</v>
      </c>
      <c r="F66" s="16">
        <v>429</v>
      </c>
      <c r="G66" s="16">
        <v>143</v>
      </c>
      <c r="H66" s="16">
        <v>7</v>
      </c>
      <c r="I66" s="16">
        <v>0</v>
      </c>
      <c r="J66" s="16">
        <v>136</v>
      </c>
      <c r="K66" s="16">
        <v>208</v>
      </c>
      <c r="L66" s="16">
        <v>11</v>
      </c>
      <c r="M66" s="16">
        <v>20</v>
      </c>
      <c r="N66" s="16">
        <v>177</v>
      </c>
      <c r="O66" s="16">
        <v>29</v>
      </c>
      <c r="P66" s="16">
        <v>4</v>
      </c>
      <c r="Q66" s="16">
        <v>7</v>
      </c>
      <c r="R66" s="16">
        <v>18</v>
      </c>
      <c r="S66" s="16">
        <v>1</v>
      </c>
      <c r="T66" s="16">
        <v>0</v>
      </c>
      <c r="U66" s="16">
        <v>0</v>
      </c>
      <c r="V66" s="16">
        <v>1</v>
      </c>
      <c r="W66" s="16">
        <v>109</v>
      </c>
      <c r="X66" s="16">
        <v>5</v>
      </c>
      <c r="Y66" s="16">
        <v>7</v>
      </c>
      <c r="Z66" s="16">
        <v>97</v>
      </c>
      <c r="AA66" s="16">
        <v>1004</v>
      </c>
      <c r="AB66" s="16">
        <v>75</v>
      </c>
      <c r="AC66" s="16">
        <v>75</v>
      </c>
      <c r="AD66" s="16">
        <v>854</v>
      </c>
      <c r="AE66" s="16">
        <v>275</v>
      </c>
      <c r="AF66" s="16">
        <v>19</v>
      </c>
      <c r="AG66" s="16">
        <v>0</v>
      </c>
      <c r="AH66" s="16">
        <v>256</v>
      </c>
      <c r="AI66" s="16">
        <v>419</v>
      </c>
      <c r="AJ66" s="16">
        <v>32</v>
      </c>
      <c r="AK66" s="16">
        <v>38</v>
      </c>
      <c r="AL66" s="16">
        <v>349</v>
      </c>
      <c r="AM66" s="16">
        <v>61</v>
      </c>
      <c r="AN66" s="16">
        <v>9</v>
      </c>
      <c r="AO66" s="16">
        <v>18</v>
      </c>
      <c r="AP66" s="16">
        <v>34</v>
      </c>
      <c r="AQ66" s="16">
        <v>1</v>
      </c>
      <c r="AR66" s="16">
        <v>0</v>
      </c>
      <c r="AS66" s="16">
        <v>0</v>
      </c>
      <c r="AT66" s="16">
        <v>1</v>
      </c>
      <c r="AU66" s="16">
        <v>248</v>
      </c>
      <c r="AV66" s="16">
        <v>15</v>
      </c>
      <c r="AW66" s="16">
        <v>19</v>
      </c>
      <c r="AX66" s="16">
        <v>214</v>
      </c>
    </row>
    <row r="67" spans="1:50" ht="15.75" customHeight="1">
      <c r="A67" s="14" t="s">
        <v>66</v>
      </c>
      <c r="B67" s="125" t="s">
        <v>24</v>
      </c>
      <c r="C67" s="15">
        <v>310</v>
      </c>
      <c r="D67" s="15">
        <v>38</v>
      </c>
      <c r="E67" s="15">
        <v>34</v>
      </c>
      <c r="F67" s="15">
        <v>238</v>
      </c>
      <c r="G67" s="15">
        <v>156</v>
      </c>
      <c r="H67" s="15">
        <v>22</v>
      </c>
      <c r="I67" s="15">
        <v>13</v>
      </c>
      <c r="J67" s="15">
        <v>121</v>
      </c>
      <c r="K67" s="15">
        <v>93</v>
      </c>
      <c r="L67" s="15">
        <v>12</v>
      </c>
      <c r="M67" s="15">
        <v>13</v>
      </c>
      <c r="N67" s="15">
        <v>68</v>
      </c>
      <c r="O67" s="15">
        <v>14</v>
      </c>
      <c r="P67" s="15">
        <v>1</v>
      </c>
      <c r="Q67" s="15">
        <v>7</v>
      </c>
      <c r="R67" s="15">
        <v>6</v>
      </c>
      <c r="S67" s="15">
        <v>0</v>
      </c>
      <c r="T67" s="15">
        <v>0</v>
      </c>
      <c r="U67" s="15">
        <v>0</v>
      </c>
      <c r="V67" s="15">
        <v>0</v>
      </c>
      <c r="W67" s="15">
        <v>47</v>
      </c>
      <c r="X67" s="15">
        <v>3</v>
      </c>
      <c r="Y67" s="15">
        <v>1</v>
      </c>
      <c r="Z67" s="15">
        <v>43</v>
      </c>
      <c r="AA67" s="15">
        <v>995</v>
      </c>
      <c r="AB67" s="15">
        <v>114</v>
      </c>
      <c r="AC67" s="15">
        <v>97</v>
      </c>
      <c r="AD67" s="15">
        <v>784</v>
      </c>
      <c r="AE67" s="15">
        <v>519</v>
      </c>
      <c r="AF67" s="15">
        <v>62</v>
      </c>
      <c r="AG67" s="15">
        <v>36</v>
      </c>
      <c r="AH67" s="15">
        <v>421</v>
      </c>
      <c r="AI67" s="15">
        <v>295</v>
      </c>
      <c r="AJ67" s="15">
        <v>33</v>
      </c>
      <c r="AK67" s="15">
        <v>34</v>
      </c>
      <c r="AL67" s="15">
        <v>228</v>
      </c>
      <c r="AM67" s="15">
        <v>43</v>
      </c>
      <c r="AN67" s="15">
        <v>2</v>
      </c>
      <c r="AO67" s="15">
        <v>21</v>
      </c>
      <c r="AP67" s="15">
        <v>20</v>
      </c>
      <c r="AQ67" s="15">
        <v>0</v>
      </c>
      <c r="AR67" s="15">
        <v>0</v>
      </c>
      <c r="AS67" s="15">
        <v>0</v>
      </c>
      <c r="AT67" s="15">
        <v>0</v>
      </c>
      <c r="AU67" s="15">
        <v>138</v>
      </c>
      <c r="AV67" s="15">
        <v>17</v>
      </c>
      <c r="AW67" s="15">
        <v>6</v>
      </c>
      <c r="AX67" s="15">
        <v>115</v>
      </c>
    </row>
    <row r="68" spans="1:50" ht="15.75" customHeight="1">
      <c r="A68" s="175" t="s">
        <v>67</v>
      </c>
      <c r="B68" s="126" t="s">
        <v>26</v>
      </c>
      <c r="C68" s="16">
        <v>164</v>
      </c>
      <c r="D68" s="16">
        <v>18</v>
      </c>
      <c r="E68" s="16">
        <v>24</v>
      </c>
      <c r="F68" s="16">
        <v>122</v>
      </c>
      <c r="G68" s="16">
        <v>80</v>
      </c>
      <c r="H68" s="16">
        <v>8</v>
      </c>
      <c r="I68" s="16">
        <v>9</v>
      </c>
      <c r="J68" s="16">
        <v>63</v>
      </c>
      <c r="K68" s="16">
        <v>55</v>
      </c>
      <c r="L68" s="16">
        <v>6</v>
      </c>
      <c r="M68" s="16">
        <v>9</v>
      </c>
      <c r="N68" s="16">
        <v>40</v>
      </c>
      <c r="O68" s="16">
        <v>10</v>
      </c>
      <c r="P68" s="16">
        <v>1</v>
      </c>
      <c r="Q68" s="16">
        <v>5</v>
      </c>
      <c r="R68" s="16">
        <v>4</v>
      </c>
      <c r="S68" s="16">
        <v>0</v>
      </c>
      <c r="T68" s="16">
        <v>0</v>
      </c>
      <c r="U68" s="16">
        <v>0</v>
      </c>
      <c r="V68" s="16">
        <v>0</v>
      </c>
      <c r="W68" s="16">
        <v>19</v>
      </c>
      <c r="X68" s="16">
        <v>3</v>
      </c>
      <c r="Y68" s="16">
        <v>1</v>
      </c>
      <c r="Z68" s="16">
        <v>15</v>
      </c>
      <c r="AA68" s="16">
        <v>491</v>
      </c>
      <c r="AB68" s="16">
        <v>54</v>
      </c>
      <c r="AC68" s="16">
        <v>59</v>
      </c>
      <c r="AD68" s="16">
        <v>378</v>
      </c>
      <c r="AE68" s="16">
        <v>240</v>
      </c>
      <c r="AF68" s="16">
        <v>25</v>
      </c>
      <c r="AG68" s="16">
        <v>21</v>
      </c>
      <c r="AH68" s="16">
        <v>194</v>
      </c>
      <c r="AI68" s="16">
        <v>162</v>
      </c>
      <c r="AJ68" s="16">
        <v>18</v>
      </c>
      <c r="AK68" s="16">
        <v>20</v>
      </c>
      <c r="AL68" s="16">
        <v>124</v>
      </c>
      <c r="AM68" s="16">
        <v>31</v>
      </c>
      <c r="AN68" s="16">
        <v>2</v>
      </c>
      <c r="AO68" s="16">
        <v>14</v>
      </c>
      <c r="AP68" s="16">
        <v>15</v>
      </c>
      <c r="AQ68" s="16">
        <v>0</v>
      </c>
      <c r="AR68" s="16">
        <v>0</v>
      </c>
      <c r="AS68" s="16">
        <v>0</v>
      </c>
      <c r="AT68" s="16">
        <v>0</v>
      </c>
      <c r="AU68" s="16">
        <v>58</v>
      </c>
      <c r="AV68" s="16">
        <v>9</v>
      </c>
      <c r="AW68" s="16">
        <v>4</v>
      </c>
      <c r="AX68" s="16">
        <v>45</v>
      </c>
    </row>
    <row r="69" spans="1:50" ht="15.75" customHeight="1">
      <c r="A69" s="176"/>
      <c r="B69" s="126" t="s">
        <v>27</v>
      </c>
      <c r="C69" s="16">
        <v>146</v>
      </c>
      <c r="D69" s="16">
        <v>20</v>
      </c>
      <c r="E69" s="16">
        <v>10</v>
      </c>
      <c r="F69" s="16">
        <v>116</v>
      </c>
      <c r="G69" s="16">
        <v>76</v>
      </c>
      <c r="H69" s="16">
        <v>14</v>
      </c>
      <c r="I69" s="16">
        <v>4</v>
      </c>
      <c r="J69" s="16">
        <v>58</v>
      </c>
      <c r="K69" s="16">
        <v>38</v>
      </c>
      <c r="L69" s="16">
        <v>6</v>
      </c>
      <c r="M69" s="16">
        <v>4</v>
      </c>
      <c r="N69" s="16">
        <v>28</v>
      </c>
      <c r="O69" s="16">
        <v>4</v>
      </c>
      <c r="P69" s="16">
        <v>0</v>
      </c>
      <c r="Q69" s="16">
        <v>2</v>
      </c>
      <c r="R69" s="16">
        <v>2</v>
      </c>
      <c r="S69" s="16">
        <v>0</v>
      </c>
      <c r="T69" s="16">
        <v>0</v>
      </c>
      <c r="U69" s="16">
        <v>0</v>
      </c>
      <c r="V69" s="16">
        <v>0</v>
      </c>
      <c r="W69" s="16">
        <v>28</v>
      </c>
      <c r="X69" s="16">
        <v>0</v>
      </c>
      <c r="Y69" s="16">
        <v>0</v>
      </c>
      <c r="Z69" s="16">
        <v>28</v>
      </c>
      <c r="AA69" s="16">
        <v>504</v>
      </c>
      <c r="AB69" s="16">
        <v>60</v>
      </c>
      <c r="AC69" s="16">
        <v>38</v>
      </c>
      <c r="AD69" s="16">
        <v>406</v>
      </c>
      <c r="AE69" s="16">
        <v>279</v>
      </c>
      <c r="AF69" s="16">
        <v>37</v>
      </c>
      <c r="AG69" s="16">
        <v>15</v>
      </c>
      <c r="AH69" s="16">
        <v>227</v>
      </c>
      <c r="AI69" s="16">
        <v>133</v>
      </c>
      <c r="AJ69" s="16">
        <v>15</v>
      </c>
      <c r="AK69" s="16">
        <v>14</v>
      </c>
      <c r="AL69" s="16">
        <v>104</v>
      </c>
      <c r="AM69" s="16">
        <v>12</v>
      </c>
      <c r="AN69" s="16">
        <v>0</v>
      </c>
      <c r="AO69" s="16">
        <v>7</v>
      </c>
      <c r="AP69" s="16">
        <v>5</v>
      </c>
      <c r="AQ69" s="16">
        <v>0</v>
      </c>
      <c r="AR69" s="16">
        <v>0</v>
      </c>
      <c r="AS69" s="16">
        <v>0</v>
      </c>
      <c r="AT69" s="16">
        <v>0</v>
      </c>
      <c r="AU69" s="16">
        <v>80</v>
      </c>
      <c r="AV69" s="16">
        <v>8</v>
      </c>
      <c r="AW69" s="16">
        <v>2</v>
      </c>
      <c r="AX69" s="16">
        <v>70</v>
      </c>
    </row>
    <row r="70" spans="1:50" ht="15.75" customHeight="1">
      <c r="A70" s="14" t="s">
        <v>68</v>
      </c>
      <c r="B70" s="125" t="s">
        <v>24</v>
      </c>
      <c r="C70" s="15">
        <v>180</v>
      </c>
      <c r="D70" s="15">
        <v>6</v>
      </c>
      <c r="E70" s="15">
        <v>2</v>
      </c>
      <c r="F70" s="15">
        <v>172</v>
      </c>
      <c r="G70" s="15">
        <v>50</v>
      </c>
      <c r="H70" s="15">
        <v>0</v>
      </c>
      <c r="I70" s="15">
        <v>0</v>
      </c>
      <c r="J70" s="15">
        <v>50</v>
      </c>
      <c r="K70" s="15">
        <v>79</v>
      </c>
      <c r="L70" s="15">
        <v>2</v>
      </c>
      <c r="M70" s="15">
        <v>0</v>
      </c>
      <c r="N70" s="15">
        <v>77</v>
      </c>
      <c r="O70" s="15">
        <v>20</v>
      </c>
      <c r="P70" s="15">
        <v>1</v>
      </c>
      <c r="Q70" s="15">
        <v>2</v>
      </c>
      <c r="R70" s="15">
        <v>17</v>
      </c>
      <c r="S70" s="15">
        <v>0</v>
      </c>
      <c r="T70" s="15">
        <v>0</v>
      </c>
      <c r="U70" s="15">
        <v>0</v>
      </c>
      <c r="V70" s="15">
        <v>0</v>
      </c>
      <c r="W70" s="15">
        <v>31</v>
      </c>
      <c r="X70" s="15">
        <v>3</v>
      </c>
      <c r="Y70" s="15">
        <v>0</v>
      </c>
      <c r="Z70" s="15">
        <v>28</v>
      </c>
      <c r="AA70" s="15">
        <v>373</v>
      </c>
      <c r="AB70" s="15">
        <v>6</v>
      </c>
      <c r="AC70" s="15">
        <v>5</v>
      </c>
      <c r="AD70" s="15">
        <v>362</v>
      </c>
      <c r="AE70" s="15">
        <v>115</v>
      </c>
      <c r="AF70" s="15">
        <v>0</v>
      </c>
      <c r="AG70" s="15">
        <v>0</v>
      </c>
      <c r="AH70" s="15">
        <v>115</v>
      </c>
      <c r="AI70" s="15">
        <v>185</v>
      </c>
      <c r="AJ70" s="15">
        <v>1</v>
      </c>
      <c r="AK70" s="15">
        <v>0</v>
      </c>
      <c r="AL70" s="15">
        <v>184</v>
      </c>
      <c r="AM70" s="15">
        <v>35</v>
      </c>
      <c r="AN70" s="15">
        <v>2</v>
      </c>
      <c r="AO70" s="15">
        <v>3</v>
      </c>
      <c r="AP70" s="15">
        <v>30</v>
      </c>
      <c r="AQ70" s="15">
        <v>0</v>
      </c>
      <c r="AR70" s="15">
        <v>0</v>
      </c>
      <c r="AS70" s="15">
        <v>0</v>
      </c>
      <c r="AT70" s="15">
        <v>0</v>
      </c>
      <c r="AU70" s="15">
        <v>38</v>
      </c>
      <c r="AV70" s="15">
        <v>3</v>
      </c>
      <c r="AW70" s="15">
        <v>2</v>
      </c>
      <c r="AX70" s="15">
        <v>33</v>
      </c>
    </row>
    <row r="71" spans="1:50" ht="15.75" customHeight="1">
      <c r="A71" s="175" t="s">
        <v>69</v>
      </c>
      <c r="B71" s="126" t="s">
        <v>26</v>
      </c>
      <c r="C71" s="16">
        <v>89</v>
      </c>
      <c r="D71" s="16">
        <v>4</v>
      </c>
      <c r="E71" s="16">
        <v>2</v>
      </c>
      <c r="F71" s="16">
        <v>83</v>
      </c>
      <c r="G71" s="16">
        <v>24</v>
      </c>
      <c r="H71" s="16">
        <v>0</v>
      </c>
      <c r="I71" s="16">
        <v>0</v>
      </c>
      <c r="J71" s="16">
        <v>24</v>
      </c>
      <c r="K71" s="16">
        <v>39</v>
      </c>
      <c r="L71" s="16">
        <v>1</v>
      </c>
      <c r="M71" s="16">
        <v>0</v>
      </c>
      <c r="N71" s="16">
        <v>38</v>
      </c>
      <c r="O71" s="16">
        <v>15</v>
      </c>
      <c r="P71" s="16">
        <v>1</v>
      </c>
      <c r="Q71" s="16">
        <v>2</v>
      </c>
      <c r="R71" s="16">
        <v>12</v>
      </c>
      <c r="S71" s="16">
        <v>0</v>
      </c>
      <c r="T71" s="16">
        <v>0</v>
      </c>
      <c r="U71" s="16">
        <v>0</v>
      </c>
      <c r="V71" s="16">
        <v>0</v>
      </c>
      <c r="W71" s="16">
        <v>11</v>
      </c>
      <c r="X71" s="16">
        <v>2</v>
      </c>
      <c r="Y71" s="16">
        <v>0</v>
      </c>
      <c r="Z71" s="16">
        <v>9</v>
      </c>
      <c r="AA71" s="16">
        <v>177</v>
      </c>
      <c r="AB71" s="16">
        <v>3</v>
      </c>
      <c r="AC71" s="16">
        <v>2</v>
      </c>
      <c r="AD71" s="16">
        <v>172</v>
      </c>
      <c r="AE71" s="16">
        <v>52</v>
      </c>
      <c r="AF71" s="16">
        <v>0</v>
      </c>
      <c r="AG71" s="16">
        <v>0</v>
      </c>
      <c r="AH71" s="16">
        <v>52</v>
      </c>
      <c r="AI71" s="16">
        <v>89</v>
      </c>
      <c r="AJ71" s="16">
        <v>1</v>
      </c>
      <c r="AK71" s="16">
        <v>0</v>
      </c>
      <c r="AL71" s="16">
        <v>88</v>
      </c>
      <c r="AM71" s="16">
        <v>22</v>
      </c>
      <c r="AN71" s="16">
        <v>1</v>
      </c>
      <c r="AO71" s="16">
        <v>2</v>
      </c>
      <c r="AP71" s="16">
        <v>19</v>
      </c>
      <c r="AQ71" s="16">
        <v>0</v>
      </c>
      <c r="AR71" s="16">
        <v>0</v>
      </c>
      <c r="AS71" s="16">
        <v>0</v>
      </c>
      <c r="AT71" s="16">
        <v>0</v>
      </c>
      <c r="AU71" s="16">
        <v>14</v>
      </c>
      <c r="AV71" s="16">
        <v>1</v>
      </c>
      <c r="AW71" s="16">
        <v>0</v>
      </c>
      <c r="AX71" s="16">
        <v>13</v>
      </c>
    </row>
    <row r="72" spans="1:50" ht="15.75" customHeight="1">
      <c r="A72" s="176"/>
      <c r="B72" s="126" t="s">
        <v>27</v>
      </c>
      <c r="C72" s="16">
        <v>91</v>
      </c>
      <c r="D72" s="16">
        <v>2</v>
      </c>
      <c r="E72" s="16">
        <v>0</v>
      </c>
      <c r="F72" s="16">
        <v>89</v>
      </c>
      <c r="G72" s="16">
        <v>26</v>
      </c>
      <c r="H72" s="16">
        <v>0</v>
      </c>
      <c r="I72" s="16">
        <v>0</v>
      </c>
      <c r="J72" s="16">
        <v>26</v>
      </c>
      <c r="K72" s="16">
        <v>40</v>
      </c>
      <c r="L72" s="16">
        <v>1</v>
      </c>
      <c r="M72" s="16">
        <v>0</v>
      </c>
      <c r="N72" s="16">
        <v>39</v>
      </c>
      <c r="O72" s="16">
        <v>5</v>
      </c>
      <c r="P72" s="16">
        <v>0</v>
      </c>
      <c r="Q72" s="16">
        <v>0</v>
      </c>
      <c r="R72" s="16">
        <v>5</v>
      </c>
      <c r="S72" s="16">
        <v>0</v>
      </c>
      <c r="T72" s="16">
        <v>0</v>
      </c>
      <c r="U72" s="16">
        <v>0</v>
      </c>
      <c r="V72" s="16">
        <v>0</v>
      </c>
      <c r="W72" s="16">
        <v>20</v>
      </c>
      <c r="X72" s="16">
        <v>1</v>
      </c>
      <c r="Y72" s="16">
        <v>0</v>
      </c>
      <c r="Z72" s="16">
        <v>19</v>
      </c>
      <c r="AA72" s="16">
        <v>196</v>
      </c>
      <c r="AB72" s="16">
        <v>3</v>
      </c>
      <c r="AC72" s="16">
        <v>3</v>
      </c>
      <c r="AD72" s="16">
        <v>190</v>
      </c>
      <c r="AE72" s="16">
        <v>63</v>
      </c>
      <c r="AF72" s="16">
        <v>0</v>
      </c>
      <c r="AG72" s="16">
        <v>0</v>
      </c>
      <c r="AH72" s="16">
        <v>63</v>
      </c>
      <c r="AI72" s="16">
        <v>96</v>
      </c>
      <c r="AJ72" s="16">
        <v>0</v>
      </c>
      <c r="AK72" s="16">
        <v>0</v>
      </c>
      <c r="AL72" s="16">
        <v>96</v>
      </c>
      <c r="AM72" s="16">
        <v>13</v>
      </c>
      <c r="AN72" s="16">
        <v>1</v>
      </c>
      <c r="AO72" s="16">
        <v>1</v>
      </c>
      <c r="AP72" s="16">
        <v>11</v>
      </c>
      <c r="AQ72" s="16">
        <v>0</v>
      </c>
      <c r="AR72" s="16">
        <v>0</v>
      </c>
      <c r="AS72" s="16">
        <v>0</v>
      </c>
      <c r="AT72" s="16">
        <v>0</v>
      </c>
      <c r="AU72" s="16">
        <v>24</v>
      </c>
      <c r="AV72" s="16">
        <v>2</v>
      </c>
      <c r="AW72" s="16">
        <v>2</v>
      </c>
      <c r="AX72" s="16">
        <v>20</v>
      </c>
    </row>
    <row r="73" spans="1:50" ht="15.75" customHeight="1">
      <c r="A73" s="14" t="s">
        <v>70</v>
      </c>
      <c r="B73" s="125" t="s">
        <v>24</v>
      </c>
      <c r="C73" s="15">
        <v>9</v>
      </c>
      <c r="D73" s="15">
        <v>0</v>
      </c>
      <c r="E73" s="15">
        <v>0</v>
      </c>
      <c r="F73" s="15">
        <v>9</v>
      </c>
      <c r="G73" s="15">
        <v>9</v>
      </c>
      <c r="H73" s="15">
        <v>0</v>
      </c>
      <c r="I73" s="15">
        <v>0</v>
      </c>
      <c r="J73" s="15">
        <v>9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21</v>
      </c>
      <c r="AB73" s="15">
        <v>11</v>
      </c>
      <c r="AC73" s="15">
        <v>1</v>
      </c>
      <c r="AD73" s="15">
        <v>9</v>
      </c>
      <c r="AE73" s="15">
        <v>8</v>
      </c>
      <c r="AF73" s="15">
        <v>8</v>
      </c>
      <c r="AG73" s="15">
        <v>0</v>
      </c>
      <c r="AH73" s="15">
        <v>0</v>
      </c>
      <c r="AI73" s="15">
        <v>9</v>
      </c>
      <c r="AJ73" s="15">
        <v>0</v>
      </c>
      <c r="AK73" s="15">
        <v>0</v>
      </c>
      <c r="AL73" s="15">
        <v>9</v>
      </c>
      <c r="AM73" s="15">
        <v>4</v>
      </c>
      <c r="AN73" s="15">
        <v>3</v>
      </c>
      <c r="AO73" s="15">
        <v>1</v>
      </c>
      <c r="AP73" s="15">
        <v>0</v>
      </c>
      <c r="AQ73" s="15">
        <v>0</v>
      </c>
      <c r="AR73" s="15">
        <v>0</v>
      </c>
      <c r="AS73" s="15">
        <v>0</v>
      </c>
      <c r="AT73" s="15">
        <v>0</v>
      </c>
      <c r="AU73" s="15">
        <v>0</v>
      </c>
      <c r="AV73" s="15">
        <v>0</v>
      </c>
      <c r="AW73" s="15">
        <v>0</v>
      </c>
      <c r="AX73" s="15">
        <v>0</v>
      </c>
    </row>
    <row r="74" spans="1:50" ht="15.75" customHeight="1">
      <c r="A74" s="175" t="s">
        <v>71</v>
      </c>
      <c r="B74" s="126" t="s">
        <v>26</v>
      </c>
      <c r="C74" s="16">
        <v>3</v>
      </c>
      <c r="D74" s="16">
        <v>0</v>
      </c>
      <c r="E74" s="16">
        <v>0</v>
      </c>
      <c r="F74" s="16">
        <v>3</v>
      </c>
      <c r="G74" s="16">
        <v>3</v>
      </c>
      <c r="H74" s="16">
        <v>0</v>
      </c>
      <c r="I74" s="16">
        <v>0</v>
      </c>
      <c r="J74" s="16">
        <v>3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13</v>
      </c>
      <c r="AB74" s="16">
        <v>7</v>
      </c>
      <c r="AC74" s="16">
        <v>1</v>
      </c>
      <c r="AD74" s="16">
        <v>5</v>
      </c>
      <c r="AE74" s="16">
        <v>5</v>
      </c>
      <c r="AF74" s="16">
        <v>5</v>
      </c>
      <c r="AG74" s="16">
        <v>0</v>
      </c>
      <c r="AH74" s="16">
        <v>0</v>
      </c>
      <c r="AI74" s="16">
        <v>5</v>
      </c>
      <c r="AJ74" s="16">
        <v>0</v>
      </c>
      <c r="AK74" s="16">
        <v>0</v>
      </c>
      <c r="AL74" s="16">
        <v>5</v>
      </c>
      <c r="AM74" s="16">
        <v>3</v>
      </c>
      <c r="AN74" s="16">
        <v>2</v>
      </c>
      <c r="AO74" s="16">
        <v>1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</row>
    <row r="75" spans="1:50" ht="15.75" customHeight="1">
      <c r="A75" s="176"/>
      <c r="B75" s="127" t="s">
        <v>27</v>
      </c>
      <c r="C75" s="18">
        <v>6</v>
      </c>
      <c r="D75" s="18">
        <v>0</v>
      </c>
      <c r="E75" s="18">
        <v>0</v>
      </c>
      <c r="F75" s="18">
        <v>6</v>
      </c>
      <c r="G75" s="18">
        <v>6</v>
      </c>
      <c r="H75" s="18">
        <v>0</v>
      </c>
      <c r="I75" s="18">
        <v>0</v>
      </c>
      <c r="J75" s="18">
        <v>6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8</v>
      </c>
      <c r="AB75" s="18">
        <v>4</v>
      </c>
      <c r="AC75" s="18">
        <v>0</v>
      </c>
      <c r="AD75" s="18">
        <v>4</v>
      </c>
      <c r="AE75" s="18">
        <v>3</v>
      </c>
      <c r="AF75" s="18">
        <v>3</v>
      </c>
      <c r="AG75" s="18">
        <v>0</v>
      </c>
      <c r="AH75" s="18">
        <v>0</v>
      </c>
      <c r="AI75" s="18">
        <v>4</v>
      </c>
      <c r="AJ75" s="18">
        <v>0</v>
      </c>
      <c r="AK75" s="18">
        <v>0</v>
      </c>
      <c r="AL75" s="18">
        <v>4</v>
      </c>
      <c r="AM75" s="18">
        <v>1</v>
      </c>
      <c r="AN75" s="18">
        <v>1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</row>
    <row r="76" spans="1:50" ht="15" customHeight="1">
      <c r="A76" s="8" t="s">
        <v>72</v>
      </c>
      <c r="B76" s="19"/>
    </row>
    <row r="77" spans="1:50" ht="15" customHeight="1">
      <c r="A77" s="19" t="s">
        <v>73</v>
      </c>
      <c r="B77" s="19"/>
    </row>
    <row r="78" spans="1:50" ht="15" customHeight="1">
      <c r="A78" s="20" t="s">
        <v>74</v>
      </c>
      <c r="B78" s="20"/>
    </row>
    <row r="80" spans="1:50">
      <c r="A80" s="9" t="s">
        <v>76</v>
      </c>
    </row>
  </sheetData>
  <mergeCells count="86">
    <mergeCell ref="A3:B6"/>
    <mergeCell ref="C3:Z3"/>
    <mergeCell ref="AA3:AX3"/>
    <mergeCell ref="C4:F4"/>
    <mergeCell ref="G4:J4"/>
    <mergeCell ref="K4:N4"/>
    <mergeCell ref="O4:R4"/>
    <mergeCell ref="S4:V4"/>
    <mergeCell ref="W4:Z4"/>
    <mergeCell ref="AA4:AD4"/>
    <mergeCell ref="C5:C6"/>
    <mergeCell ref="D5:D6"/>
    <mergeCell ref="E5:E6"/>
    <mergeCell ref="F5:F6"/>
    <mergeCell ref="G5:G6"/>
    <mergeCell ref="AE4:AH4"/>
    <mergeCell ref="AI4:AL4"/>
    <mergeCell ref="AM4:AP4"/>
    <mergeCell ref="AQ4:AT4"/>
    <mergeCell ref="AU4:AX4"/>
    <mergeCell ref="S5:S6"/>
    <mergeCell ref="AO5:AO6"/>
    <mergeCell ref="AP5:AP6"/>
    <mergeCell ref="AQ5:AQ6"/>
    <mergeCell ref="AF5:AF6"/>
    <mergeCell ref="AG5:AG6"/>
    <mergeCell ref="AH5:AH6"/>
    <mergeCell ref="AI5:AI6"/>
    <mergeCell ref="AJ5:AJ6"/>
    <mergeCell ref="AK5:AK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AE5:AE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38:A39"/>
    <mergeCell ref="AX5:AX6"/>
    <mergeCell ref="A8:A9"/>
    <mergeCell ref="A11:A12"/>
    <mergeCell ref="A14:A15"/>
    <mergeCell ref="A17:A18"/>
    <mergeCell ref="A20:A21"/>
    <mergeCell ref="AR5:AR6"/>
    <mergeCell ref="AS5:AS6"/>
    <mergeCell ref="AT5:AT6"/>
    <mergeCell ref="AU5:AU6"/>
    <mergeCell ref="AV5:AV6"/>
    <mergeCell ref="AW5:AW6"/>
    <mergeCell ref="AL5:AL6"/>
    <mergeCell ref="AM5:AM6"/>
    <mergeCell ref="AN5:AN6"/>
    <mergeCell ref="A23:A24"/>
    <mergeCell ref="A26:A27"/>
    <mergeCell ref="A29:A30"/>
    <mergeCell ref="A32:A33"/>
    <mergeCell ref="A35:A36"/>
    <mergeCell ref="A74:A75"/>
    <mergeCell ref="A41:A42"/>
    <mergeCell ref="A44:A45"/>
    <mergeCell ref="A47:A48"/>
    <mergeCell ref="A50:A51"/>
    <mergeCell ref="A53:A54"/>
    <mergeCell ref="A56:A57"/>
    <mergeCell ref="A59:A60"/>
    <mergeCell ref="A62:A63"/>
    <mergeCell ref="A65:A66"/>
    <mergeCell ref="A68:A69"/>
    <mergeCell ref="A71:A72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86" fitToWidth="10" orientation="landscape" useFirstPageNumber="1" horizontalDpi="4294967292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K80"/>
  <sheetViews>
    <sheetView zoomScaleNormal="100" zoomScaleSheetLayoutView="75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9.375" defaultRowHeight="12.75"/>
  <cols>
    <col min="1" max="1" width="8" style="2" customWidth="1"/>
    <col min="2" max="2" width="15.625" style="2" hidden="1" customWidth="1"/>
    <col min="3" max="5" width="8.5" style="2" customWidth="1"/>
    <col min="6" max="6" width="8.5" style="2" hidden="1" customWidth="1"/>
    <col min="7" max="8" width="8.5" style="2" customWidth="1"/>
    <col min="9" max="9" width="8.5" style="2" hidden="1" customWidth="1"/>
    <col min="10" max="11" width="8.5" style="2" customWidth="1"/>
    <col min="12" max="12" width="8.5" style="2" hidden="1" customWidth="1"/>
    <col min="13" max="17" width="8.5" style="2" customWidth="1"/>
    <col min="18" max="18" width="8.5" style="2" hidden="1" customWidth="1"/>
    <col min="19" max="20" width="8.5" style="2" customWidth="1"/>
    <col min="21" max="21" width="8.5" style="2" hidden="1" customWidth="1"/>
    <col min="22" max="23" width="8.5" style="2" customWidth="1"/>
    <col min="24" max="24" width="8.5" style="2" hidden="1" customWidth="1"/>
    <col min="25" max="26" width="8.5" style="2" customWidth="1"/>
    <col min="27" max="16384" width="9.375" style="2"/>
  </cols>
  <sheetData>
    <row r="1" spans="1:63" s="10" customFormat="1" ht="21">
      <c r="A1" s="1" t="s">
        <v>1</v>
      </c>
      <c r="B1" s="22"/>
    </row>
    <row r="2" spans="1:63" ht="26.25" customHeight="1">
      <c r="A2" s="11" t="s">
        <v>77</v>
      </c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63" ht="16.5" customHeight="1">
      <c r="A3" s="179" t="s">
        <v>22</v>
      </c>
      <c r="B3" s="185"/>
      <c r="C3" s="190" t="s">
        <v>78</v>
      </c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91"/>
      <c r="O3" s="190" t="s">
        <v>79</v>
      </c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</row>
    <row r="4" spans="1:63" s="25" customFormat="1" ht="29.25" customHeight="1">
      <c r="A4" s="186"/>
      <c r="B4" s="187"/>
      <c r="C4" s="3" t="s">
        <v>2</v>
      </c>
      <c r="D4" s="4"/>
      <c r="E4" s="5"/>
      <c r="F4" s="172" t="s">
        <v>3</v>
      </c>
      <c r="G4" s="173"/>
      <c r="H4" s="174"/>
      <c r="I4" s="172" t="s">
        <v>4</v>
      </c>
      <c r="J4" s="173"/>
      <c r="K4" s="174"/>
      <c r="L4" s="172" t="s">
        <v>5</v>
      </c>
      <c r="M4" s="173"/>
      <c r="N4" s="174"/>
      <c r="O4" s="3" t="s">
        <v>2</v>
      </c>
      <c r="P4" s="4"/>
      <c r="Q4" s="5"/>
      <c r="R4" s="172" t="s">
        <v>3</v>
      </c>
      <c r="S4" s="173"/>
      <c r="T4" s="174"/>
      <c r="U4" s="172" t="s">
        <v>4</v>
      </c>
      <c r="V4" s="173"/>
      <c r="W4" s="174"/>
      <c r="X4" s="172" t="s">
        <v>5</v>
      </c>
      <c r="Y4" s="173"/>
      <c r="Z4" s="173"/>
    </row>
    <row r="5" spans="1:63" s="7" customFormat="1" ht="16.5" customHeight="1">
      <c r="A5" s="186"/>
      <c r="B5" s="187"/>
      <c r="C5" s="158" t="s">
        <v>6</v>
      </c>
      <c r="D5" s="158" t="s">
        <v>7</v>
      </c>
      <c r="E5" s="158" t="s">
        <v>8</v>
      </c>
      <c r="F5" s="158" t="s">
        <v>6</v>
      </c>
      <c r="G5" s="158" t="s">
        <v>7</v>
      </c>
      <c r="H5" s="158" t="s">
        <v>8</v>
      </c>
      <c r="I5" s="158" t="s">
        <v>6</v>
      </c>
      <c r="J5" s="158" t="s">
        <v>7</v>
      </c>
      <c r="K5" s="158" t="s">
        <v>8</v>
      </c>
      <c r="L5" s="158" t="s">
        <v>6</v>
      </c>
      <c r="M5" s="158" t="s">
        <v>7</v>
      </c>
      <c r="N5" s="158" t="s">
        <v>8</v>
      </c>
      <c r="O5" s="158" t="s">
        <v>6</v>
      </c>
      <c r="P5" s="158" t="s">
        <v>7</v>
      </c>
      <c r="Q5" s="158" t="s">
        <v>8</v>
      </c>
      <c r="R5" s="158" t="s">
        <v>6</v>
      </c>
      <c r="S5" s="158" t="s">
        <v>7</v>
      </c>
      <c r="T5" s="158" t="s">
        <v>8</v>
      </c>
      <c r="U5" s="158" t="s">
        <v>6</v>
      </c>
      <c r="V5" s="158" t="s">
        <v>7</v>
      </c>
      <c r="W5" s="158" t="s">
        <v>8</v>
      </c>
      <c r="X5" s="158" t="s">
        <v>6</v>
      </c>
      <c r="Y5" s="158" t="s">
        <v>7</v>
      </c>
      <c r="Z5" s="160" t="s">
        <v>8</v>
      </c>
    </row>
    <row r="6" spans="1:63">
      <c r="A6" s="188"/>
      <c r="B6" s="18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61"/>
    </row>
    <row r="7" spans="1:63" s="6" customFormat="1" ht="15.6" customHeight="1">
      <c r="A7" s="26" t="s">
        <v>80</v>
      </c>
      <c r="B7" s="27" t="s">
        <v>81</v>
      </c>
      <c r="C7" s="28">
        <v>41013</v>
      </c>
      <c r="D7" s="28">
        <v>21177</v>
      </c>
      <c r="E7" s="28">
        <v>19836</v>
      </c>
      <c r="F7" s="28">
        <v>5769</v>
      </c>
      <c r="G7" s="28">
        <v>3315</v>
      </c>
      <c r="H7" s="28">
        <v>2454</v>
      </c>
      <c r="I7" s="28">
        <v>3362</v>
      </c>
      <c r="J7" s="28">
        <v>2037</v>
      </c>
      <c r="K7" s="28">
        <v>1325</v>
      </c>
      <c r="L7" s="28">
        <v>31882</v>
      </c>
      <c r="M7" s="28">
        <v>15825</v>
      </c>
      <c r="N7" s="28">
        <v>16057</v>
      </c>
      <c r="O7" s="28">
        <v>501681</v>
      </c>
      <c r="P7" s="28">
        <v>261664</v>
      </c>
      <c r="Q7" s="28">
        <v>240017</v>
      </c>
      <c r="R7" s="28">
        <v>63967</v>
      </c>
      <c r="S7" s="28">
        <v>37519</v>
      </c>
      <c r="T7" s="28">
        <v>26448</v>
      </c>
      <c r="U7" s="28">
        <v>46458</v>
      </c>
      <c r="V7" s="28">
        <v>28369</v>
      </c>
      <c r="W7" s="28">
        <v>18089</v>
      </c>
      <c r="X7" s="28">
        <v>391256</v>
      </c>
      <c r="Y7" s="28">
        <v>195776</v>
      </c>
      <c r="Z7" s="28">
        <v>195480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</row>
    <row r="8" spans="1:63" s="17" customFormat="1" ht="15.6" customHeight="1">
      <c r="A8" s="30" t="s">
        <v>82</v>
      </c>
      <c r="B8" s="31" t="s">
        <v>29</v>
      </c>
      <c r="C8" s="32">
        <v>6361</v>
      </c>
      <c r="D8" s="32">
        <v>3379</v>
      </c>
      <c r="E8" s="32">
        <v>2982</v>
      </c>
      <c r="F8" s="32">
        <v>549</v>
      </c>
      <c r="G8" s="32">
        <v>486</v>
      </c>
      <c r="H8" s="32">
        <v>63</v>
      </c>
      <c r="I8" s="32">
        <v>0</v>
      </c>
      <c r="J8" s="32">
        <v>0</v>
      </c>
      <c r="K8" s="32">
        <v>0</v>
      </c>
      <c r="L8" s="32">
        <v>5812</v>
      </c>
      <c r="M8" s="32">
        <v>2893</v>
      </c>
      <c r="N8" s="32">
        <v>2919</v>
      </c>
      <c r="O8" s="32">
        <v>97646</v>
      </c>
      <c r="P8" s="32">
        <v>50685</v>
      </c>
      <c r="Q8" s="32">
        <v>46961</v>
      </c>
      <c r="R8" s="32">
        <v>6511</v>
      </c>
      <c r="S8" s="32">
        <v>5708</v>
      </c>
      <c r="T8" s="32">
        <v>803</v>
      </c>
      <c r="U8" s="32">
        <v>0</v>
      </c>
      <c r="V8" s="32">
        <v>0</v>
      </c>
      <c r="W8" s="32">
        <v>0</v>
      </c>
      <c r="X8" s="32">
        <v>91135</v>
      </c>
      <c r="Y8" s="32">
        <v>44977</v>
      </c>
      <c r="Z8" s="32">
        <v>46158</v>
      </c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</row>
    <row r="9" spans="1:63" s="17" customFormat="1" ht="15.6" customHeight="1">
      <c r="A9" s="30" t="s">
        <v>83</v>
      </c>
      <c r="B9" s="31" t="s">
        <v>31</v>
      </c>
      <c r="C9" s="32">
        <v>5492</v>
      </c>
      <c r="D9" s="32">
        <v>2481</v>
      </c>
      <c r="E9" s="32">
        <v>3011</v>
      </c>
      <c r="F9" s="32">
        <v>563</v>
      </c>
      <c r="G9" s="32">
        <v>249</v>
      </c>
      <c r="H9" s="32">
        <v>314</v>
      </c>
      <c r="I9" s="32">
        <v>116</v>
      </c>
      <c r="J9" s="32">
        <v>63</v>
      </c>
      <c r="K9" s="32">
        <v>53</v>
      </c>
      <c r="L9" s="32">
        <v>4813</v>
      </c>
      <c r="M9" s="32">
        <v>2169</v>
      </c>
      <c r="N9" s="32">
        <v>2644</v>
      </c>
      <c r="O9" s="32">
        <v>42303</v>
      </c>
      <c r="P9" s="32">
        <v>18570</v>
      </c>
      <c r="Q9" s="32">
        <v>23733</v>
      </c>
      <c r="R9" s="32">
        <v>4386</v>
      </c>
      <c r="S9" s="32">
        <v>1964</v>
      </c>
      <c r="T9" s="32">
        <v>2422</v>
      </c>
      <c r="U9" s="32">
        <v>1562</v>
      </c>
      <c r="V9" s="32">
        <v>489</v>
      </c>
      <c r="W9" s="32">
        <v>1073</v>
      </c>
      <c r="X9" s="32">
        <v>36355</v>
      </c>
      <c r="Y9" s="32">
        <v>16117</v>
      </c>
      <c r="Z9" s="32">
        <v>20238</v>
      </c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</row>
    <row r="10" spans="1:63" s="17" customFormat="1" ht="15.6" customHeight="1">
      <c r="A10" s="30" t="s">
        <v>84</v>
      </c>
      <c r="B10" s="31" t="s">
        <v>33</v>
      </c>
      <c r="C10" s="32">
        <v>1729</v>
      </c>
      <c r="D10" s="32">
        <v>801</v>
      </c>
      <c r="E10" s="32">
        <v>928</v>
      </c>
      <c r="F10" s="32">
        <v>229</v>
      </c>
      <c r="G10" s="32">
        <v>96</v>
      </c>
      <c r="H10" s="32">
        <v>133</v>
      </c>
      <c r="I10" s="32">
        <v>203</v>
      </c>
      <c r="J10" s="32">
        <v>111</v>
      </c>
      <c r="K10" s="32">
        <v>92</v>
      </c>
      <c r="L10" s="32">
        <v>1297</v>
      </c>
      <c r="M10" s="32">
        <v>594</v>
      </c>
      <c r="N10" s="32">
        <v>703</v>
      </c>
      <c r="O10" s="32">
        <v>19158</v>
      </c>
      <c r="P10" s="32">
        <v>7438</v>
      </c>
      <c r="Q10" s="32">
        <v>11720</v>
      </c>
      <c r="R10" s="32">
        <v>2385</v>
      </c>
      <c r="S10" s="32">
        <v>965</v>
      </c>
      <c r="T10" s="32">
        <v>1420</v>
      </c>
      <c r="U10" s="32">
        <v>2115</v>
      </c>
      <c r="V10" s="32">
        <v>1162</v>
      </c>
      <c r="W10" s="32">
        <v>953</v>
      </c>
      <c r="X10" s="32">
        <v>14658</v>
      </c>
      <c r="Y10" s="32">
        <v>5311</v>
      </c>
      <c r="Z10" s="32">
        <v>9347</v>
      </c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</row>
    <row r="11" spans="1:63" s="17" customFormat="1" ht="15.6" customHeight="1">
      <c r="A11" s="30" t="s">
        <v>85</v>
      </c>
      <c r="B11" s="31" t="s">
        <v>35</v>
      </c>
      <c r="C11" s="32">
        <v>4299</v>
      </c>
      <c r="D11" s="32">
        <v>2302</v>
      </c>
      <c r="E11" s="32">
        <v>1997</v>
      </c>
      <c r="F11" s="32">
        <v>1199</v>
      </c>
      <c r="G11" s="32">
        <v>697</v>
      </c>
      <c r="H11" s="32">
        <v>502</v>
      </c>
      <c r="I11" s="32">
        <v>261</v>
      </c>
      <c r="J11" s="32">
        <v>121</v>
      </c>
      <c r="K11" s="32">
        <v>140</v>
      </c>
      <c r="L11" s="32">
        <v>2839</v>
      </c>
      <c r="M11" s="32">
        <v>1484</v>
      </c>
      <c r="N11" s="32">
        <v>1355</v>
      </c>
      <c r="O11" s="32">
        <v>27127</v>
      </c>
      <c r="P11" s="32">
        <v>15062</v>
      </c>
      <c r="Q11" s="32">
        <v>12065</v>
      </c>
      <c r="R11" s="32">
        <v>7976</v>
      </c>
      <c r="S11" s="32">
        <v>4701</v>
      </c>
      <c r="T11" s="32">
        <v>3275</v>
      </c>
      <c r="U11" s="32">
        <v>1861</v>
      </c>
      <c r="V11" s="32">
        <v>940</v>
      </c>
      <c r="W11" s="32">
        <v>921</v>
      </c>
      <c r="X11" s="32">
        <v>17290</v>
      </c>
      <c r="Y11" s="32">
        <v>9421</v>
      </c>
      <c r="Z11" s="32">
        <v>7869</v>
      </c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</row>
    <row r="12" spans="1:63" s="17" customFormat="1" ht="15.6" customHeight="1">
      <c r="A12" s="30" t="s">
        <v>86</v>
      </c>
      <c r="B12" s="31" t="s">
        <v>37</v>
      </c>
      <c r="C12" s="32">
        <v>240</v>
      </c>
      <c r="D12" s="32">
        <v>125</v>
      </c>
      <c r="E12" s="32">
        <v>115</v>
      </c>
      <c r="F12" s="32">
        <v>23</v>
      </c>
      <c r="G12" s="32">
        <v>11</v>
      </c>
      <c r="H12" s="32">
        <v>12</v>
      </c>
      <c r="I12" s="32">
        <v>49</v>
      </c>
      <c r="J12" s="32">
        <v>22</v>
      </c>
      <c r="K12" s="32">
        <v>27</v>
      </c>
      <c r="L12" s="32">
        <v>168</v>
      </c>
      <c r="M12" s="32">
        <v>92</v>
      </c>
      <c r="N12" s="32">
        <v>76</v>
      </c>
      <c r="O12" s="32">
        <v>17081</v>
      </c>
      <c r="P12" s="32">
        <v>9195</v>
      </c>
      <c r="Q12" s="32">
        <v>7886</v>
      </c>
      <c r="R12" s="32">
        <v>1234</v>
      </c>
      <c r="S12" s="32">
        <v>437</v>
      </c>
      <c r="T12" s="32">
        <v>797</v>
      </c>
      <c r="U12" s="32">
        <v>3239</v>
      </c>
      <c r="V12" s="32">
        <v>2172</v>
      </c>
      <c r="W12" s="32">
        <v>1067</v>
      </c>
      <c r="X12" s="32">
        <v>12608</v>
      </c>
      <c r="Y12" s="32">
        <v>6586</v>
      </c>
      <c r="Z12" s="32">
        <v>6022</v>
      </c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</row>
    <row r="13" spans="1:63" s="17" customFormat="1" ht="15.6" customHeight="1">
      <c r="A13" s="34" t="s">
        <v>87</v>
      </c>
      <c r="B13" s="31" t="s">
        <v>39</v>
      </c>
      <c r="C13" s="32">
        <v>6035</v>
      </c>
      <c r="D13" s="32">
        <v>3462</v>
      </c>
      <c r="E13" s="32">
        <v>2573</v>
      </c>
      <c r="F13" s="32">
        <v>1127</v>
      </c>
      <c r="G13" s="32">
        <v>590</v>
      </c>
      <c r="H13" s="32">
        <v>537</v>
      </c>
      <c r="I13" s="32">
        <v>897</v>
      </c>
      <c r="J13" s="32">
        <v>604</v>
      </c>
      <c r="K13" s="32">
        <v>293</v>
      </c>
      <c r="L13" s="32">
        <v>4011</v>
      </c>
      <c r="M13" s="32">
        <v>2268</v>
      </c>
      <c r="N13" s="32">
        <v>1743</v>
      </c>
      <c r="O13" s="32">
        <v>59723</v>
      </c>
      <c r="P13" s="32">
        <v>36007</v>
      </c>
      <c r="Q13" s="32">
        <v>23716</v>
      </c>
      <c r="R13" s="32">
        <v>10777</v>
      </c>
      <c r="S13" s="32">
        <v>5690</v>
      </c>
      <c r="T13" s="32">
        <v>5087</v>
      </c>
      <c r="U13" s="32">
        <v>9286</v>
      </c>
      <c r="V13" s="32">
        <v>6487</v>
      </c>
      <c r="W13" s="32">
        <v>2799</v>
      </c>
      <c r="X13" s="32">
        <v>39660</v>
      </c>
      <c r="Y13" s="32">
        <v>23830</v>
      </c>
      <c r="Z13" s="32">
        <v>15830</v>
      </c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</row>
    <row r="14" spans="1:63" ht="15.6" customHeight="1">
      <c r="A14" s="35" t="s">
        <v>88</v>
      </c>
      <c r="B14" s="36" t="s">
        <v>41</v>
      </c>
      <c r="C14" s="37">
        <v>1980</v>
      </c>
      <c r="D14" s="37">
        <v>1089</v>
      </c>
      <c r="E14" s="37">
        <v>891</v>
      </c>
      <c r="F14" s="37">
        <v>242</v>
      </c>
      <c r="G14" s="37">
        <v>159</v>
      </c>
      <c r="H14" s="37">
        <v>83</v>
      </c>
      <c r="I14" s="37">
        <v>204</v>
      </c>
      <c r="J14" s="37">
        <v>138</v>
      </c>
      <c r="K14" s="37">
        <v>66</v>
      </c>
      <c r="L14" s="37">
        <v>1534</v>
      </c>
      <c r="M14" s="37">
        <v>792</v>
      </c>
      <c r="N14" s="37">
        <v>742</v>
      </c>
      <c r="O14" s="37">
        <v>22112</v>
      </c>
      <c r="P14" s="37">
        <v>11330</v>
      </c>
      <c r="Q14" s="37">
        <v>10782</v>
      </c>
      <c r="R14" s="37">
        <v>2243</v>
      </c>
      <c r="S14" s="37">
        <v>1571</v>
      </c>
      <c r="T14" s="37">
        <v>672</v>
      </c>
      <c r="U14" s="37">
        <v>2492</v>
      </c>
      <c r="V14" s="37">
        <v>1497</v>
      </c>
      <c r="W14" s="37">
        <v>995</v>
      </c>
      <c r="X14" s="37">
        <v>17377</v>
      </c>
      <c r="Y14" s="37">
        <v>8262</v>
      </c>
      <c r="Z14" s="37">
        <v>9115</v>
      </c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</row>
    <row r="15" spans="1:63" ht="15.6" customHeight="1">
      <c r="A15" s="35" t="s">
        <v>89</v>
      </c>
      <c r="B15" s="36" t="s">
        <v>43</v>
      </c>
      <c r="C15" s="37">
        <v>129</v>
      </c>
      <c r="D15" s="37">
        <v>66</v>
      </c>
      <c r="E15" s="37">
        <v>63</v>
      </c>
      <c r="F15" s="37">
        <v>10</v>
      </c>
      <c r="G15" s="37">
        <v>6</v>
      </c>
      <c r="H15" s="37">
        <v>4</v>
      </c>
      <c r="I15" s="37">
        <v>7</v>
      </c>
      <c r="J15" s="37">
        <v>3</v>
      </c>
      <c r="K15" s="37">
        <v>4</v>
      </c>
      <c r="L15" s="37">
        <v>112</v>
      </c>
      <c r="M15" s="37">
        <v>57</v>
      </c>
      <c r="N15" s="37">
        <v>55</v>
      </c>
      <c r="O15" s="37">
        <v>7258</v>
      </c>
      <c r="P15" s="37">
        <v>4574</v>
      </c>
      <c r="Q15" s="37">
        <v>2684</v>
      </c>
      <c r="R15" s="37">
        <v>696</v>
      </c>
      <c r="S15" s="37">
        <v>505</v>
      </c>
      <c r="T15" s="37">
        <v>191</v>
      </c>
      <c r="U15" s="37">
        <v>406</v>
      </c>
      <c r="V15" s="37">
        <v>187</v>
      </c>
      <c r="W15" s="37">
        <v>219</v>
      </c>
      <c r="X15" s="37">
        <v>6156</v>
      </c>
      <c r="Y15" s="37">
        <v>3882</v>
      </c>
      <c r="Z15" s="37">
        <v>2274</v>
      </c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</row>
    <row r="16" spans="1:63" ht="15.6" customHeight="1">
      <c r="A16" s="35" t="s">
        <v>90</v>
      </c>
      <c r="B16" s="36" t="s">
        <v>45</v>
      </c>
      <c r="C16" s="37">
        <v>808</v>
      </c>
      <c r="D16" s="37">
        <v>371</v>
      </c>
      <c r="E16" s="37">
        <v>437</v>
      </c>
      <c r="F16" s="37">
        <v>64</v>
      </c>
      <c r="G16" s="37">
        <v>35</v>
      </c>
      <c r="H16" s="37">
        <v>29</v>
      </c>
      <c r="I16" s="37">
        <v>82</v>
      </c>
      <c r="J16" s="37">
        <v>50</v>
      </c>
      <c r="K16" s="37">
        <v>32</v>
      </c>
      <c r="L16" s="37">
        <v>662</v>
      </c>
      <c r="M16" s="37">
        <v>286</v>
      </c>
      <c r="N16" s="37">
        <v>376</v>
      </c>
      <c r="O16" s="37">
        <v>24767</v>
      </c>
      <c r="P16" s="37">
        <v>12708</v>
      </c>
      <c r="Q16" s="37">
        <v>12059</v>
      </c>
      <c r="R16" s="37">
        <v>3223</v>
      </c>
      <c r="S16" s="37">
        <v>1750</v>
      </c>
      <c r="T16" s="37">
        <v>1473</v>
      </c>
      <c r="U16" s="37">
        <v>4349</v>
      </c>
      <c r="V16" s="37">
        <v>2692</v>
      </c>
      <c r="W16" s="37">
        <v>1657</v>
      </c>
      <c r="X16" s="37">
        <v>17195</v>
      </c>
      <c r="Y16" s="37">
        <v>8266</v>
      </c>
      <c r="Z16" s="37">
        <v>8929</v>
      </c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</row>
    <row r="17" spans="1:45" ht="15.6" customHeight="1">
      <c r="A17" s="35" t="s">
        <v>91</v>
      </c>
      <c r="B17" s="36" t="s">
        <v>47</v>
      </c>
      <c r="C17" s="37">
        <v>3568</v>
      </c>
      <c r="D17" s="37">
        <v>1718</v>
      </c>
      <c r="E17" s="37">
        <v>1850</v>
      </c>
      <c r="F17" s="37">
        <v>403</v>
      </c>
      <c r="G17" s="37">
        <v>208</v>
      </c>
      <c r="H17" s="37">
        <v>195</v>
      </c>
      <c r="I17" s="37">
        <v>314</v>
      </c>
      <c r="J17" s="37">
        <v>202</v>
      </c>
      <c r="K17" s="37">
        <v>112</v>
      </c>
      <c r="L17" s="37">
        <v>2851</v>
      </c>
      <c r="M17" s="37">
        <v>1308</v>
      </c>
      <c r="N17" s="37">
        <v>1543</v>
      </c>
      <c r="O17" s="37">
        <v>32041</v>
      </c>
      <c r="P17" s="37">
        <v>16179</v>
      </c>
      <c r="Q17" s="37">
        <v>15862</v>
      </c>
      <c r="R17" s="37">
        <v>4110</v>
      </c>
      <c r="S17" s="37">
        <v>2007</v>
      </c>
      <c r="T17" s="37">
        <v>2103</v>
      </c>
      <c r="U17" s="37">
        <v>3731</v>
      </c>
      <c r="V17" s="37">
        <v>2515</v>
      </c>
      <c r="W17" s="37">
        <v>1216</v>
      </c>
      <c r="X17" s="37">
        <v>24200</v>
      </c>
      <c r="Y17" s="37">
        <v>11657</v>
      </c>
      <c r="Z17" s="37">
        <v>12543</v>
      </c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</row>
    <row r="18" spans="1:45" ht="15.6" customHeight="1">
      <c r="A18" s="35" t="s">
        <v>92</v>
      </c>
      <c r="B18" s="36" t="s">
        <v>49</v>
      </c>
      <c r="C18" s="37">
        <v>2759</v>
      </c>
      <c r="D18" s="37">
        <v>1487</v>
      </c>
      <c r="E18" s="37">
        <v>1272</v>
      </c>
      <c r="F18" s="37">
        <v>265</v>
      </c>
      <c r="G18" s="37">
        <v>125</v>
      </c>
      <c r="H18" s="37">
        <v>140</v>
      </c>
      <c r="I18" s="37">
        <v>422</v>
      </c>
      <c r="J18" s="37">
        <v>266</v>
      </c>
      <c r="K18" s="37">
        <v>156</v>
      </c>
      <c r="L18" s="37">
        <v>2072</v>
      </c>
      <c r="M18" s="37">
        <v>1096</v>
      </c>
      <c r="N18" s="37">
        <v>976</v>
      </c>
      <c r="O18" s="37">
        <v>21382</v>
      </c>
      <c r="P18" s="37">
        <v>12479</v>
      </c>
      <c r="Q18" s="37">
        <v>8903</v>
      </c>
      <c r="R18" s="37">
        <v>2401</v>
      </c>
      <c r="S18" s="37">
        <v>1448</v>
      </c>
      <c r="T18" s="37">
        <v>953</v>
      </c>
      <c r="U18" s="37">
        <v>3247</v>
      </c>
      <c r="V18" s="37">
        <v>2051</v>
      </c>
      <c r="W18" s="37">
        <v>1196</v>
      </c>
      <c r="X18" s="37">
        <v>15734</v>
      </c>
      <c r="Y18" s="37">
        <v>8980</v>
      </c>
      <c r="Z18" s="37">
        <v>6754</v>
      </c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</row>
    <row r="19" spans="1:45" ht="15.6" customHeight="1">
      <c r="A19" s="35" t="s">
        <v>93</v>
      </c>
      <c r="B19" s="36" t="s">
        <v>51</v>
      </c>
      <c r="C19" s="37">
        <v>1573</v>
      </c>
      <c r="D19" s="37">
        <v>890</v>
      </c>
      <c r="E19" s="37">
        <v>683</v>
      </c>
      <c r="F19" s="37">
        <v>142</v>
      </c>
      <c r="G19" s="37">
        <v>83</v>
      </c>
      <c r="H19" s="37">
        <v>59</v>
      </c>
      <c r="I19" s="37">
        <v>104</v>
      </c>
      <c r="J19" s="37">
        <v>70</v>
      </c>
      <c r="K19" s="37">
        <v>34</v>
      </c>
      <c r="L19" s="37">
        <v>1327</v>
      </c>
      <c r="M19" s="37">
        <v>737</v>
      </c>
      <c r="N19" s="37">
        <v>590</v>
      </c>
      <c r="O19" s="37">
        <v>14323</v>
      </c>
      <c r="P19" s="37">
        <v>8409</v>
      </c>
      <c r="Q19" s="37">
        <v>5914</v>
      </c>
      <c r="R19" s="37">
        <v>1179</v>
      </c>
      <c r="S19" s="37">
        <v>724</v>
      </c>
      <c r="T19" s="37">
        <v>455</v>
      </c>
      <c r="U19" s="37">
        <v>1166</v>
      </c>
      <c r="V19" s="37">
        <v>717</v>
      </c>
      <c r="W19" s="37">
        <v>449</v>
      </c>
      <c r="X19" s="37">
        <v>11978</v>
      </c>
      <c r="Y19" s="37">
        <v>6968</v>
      </c>
      <c r="Z19" s="37">
        <v>5010</v>
      </c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</row>
    <row r="20" spans="1:45" ht="15.6" customHeight="1">
      <c r="A20" s="35" t="s">
        <v>94</v>
      </c>
      <c r="B20" s="36" t="s">
        <v>53</v>
      </c>
      <c r="C20" s="37">
        <v>1231</v>
      </c>
      <c r="D20" s="37">
        <v>591</v>
      </c>
      <c r="E20" s="37">
        <v>640</v>
      </c>
      <c r="F20" s="37">
        <v>233</v>
      </c>
      <c r="G20" s="37">
        <v>139</v>
      </c>
      <c r="H20" s="37">
        <v>94</v>
      </c>
      <c r="I20" s="37">
        <v>160</v>
      </c>
      <c r="J20" s="37">
        <v>86</v>
      </c>
      <c r="K20" s="37">
        <v>74</v>
      </c>
      <c r="L20" s="37">
        <v>838</v>
      </c>
      <c r="M20" s="37">
        <v>366</v>
      </c>
      <c r="N20" s="37">
        <v>472</v>
      </c>
      <c r="O20" s="37">
        <v>10173</v>
      </c>
      <c r="P20" s="37">
        <v>4965</v>
      </c>
      <c r="Q20" s="37">
        <v>5208</v>
      </c>
      <c r="R20" s="37">
        <v>2153</v>
      </c>
      <c r="S20" s="37">
        <v>1292</v>
      </c>
      <c r="T20" s="37">
        <v>861</v>
      </c>
      <c r="U20" s="37">
        <v>1330</v>
      </c>
      <c r="V20" s="37">
        <v>731</v>
      </c>
      <c r="W20" s="37">
        <v>599</v>
      </c>
      <c r="X20" s="37">
        <v>6690</v>
      </c>
      <c r="Y20" s="37">
        <v>2942</v>
      </c>
      <c r="Z20" s="37">
        <v>3748</v>
      </c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</row>
    <row r="21" spans="1:45" ht="15.6" customHeight="1">
      <c r="A21" s="35" t="s">
        <v>95</v>
      </c>
      <c r="B21" s="36" t="s">
        <v>55</v>
      </c>
      <c r="C21" s="37">
        <v>652</v>
      </c>
      <c r="D21" s="37">
        <v>311</v>
      </c>
      <c r="E21" s="37">
        <v>341</v>
      </c>
      <c r="F21" s="37">
        <v>112</v>
      </c>
      <c r="G21" s="37">
        <v>70</v>
      </c>
      <c r="H21" s="37">
        <v>42</v>
      </c>
      <c r="I21" s="37">
        <v>61</v>
      </c>
      <c r="J21" s="37">
        <v>37</v>
      </c>
      <c r="K21" s="37">
        <v>24</v>
      </c>
      <c r="L21" s="37">
        <v>479</v>
      </c>
      <c r="M21" s="37">
        <v>204</v>
      </c>
      <c r="N21" s="37">
        <v>275</v>
      </c>
      <c r="O21" s="37">
        <v>15518</v>
      </c>
      <c r="P21" s="37">
        <v>6977</v>
      </c>
      <c r="Q21" s="37">
        <v>8541</v>
      </c>
      <c r="R21" s="37">
        <v>2769</v>
      </c>
      <c r="S21" s="37">
        <v>1493</v>
      </c>
      <c r="T21" s="37">
        <v>1276</v>
      </c>
      <c r="U21" s="37">
        <v>1992</v>
      </c>
      <c r="V21" s="37">
        <v>1120</v>
      </c>
      <c r="W21" s="37">
        <v>872</v>
      </c>
      <c r="X21" s="37">
        <v>10757</v>
      </c>
      <c r="Y21" s="37">
        <v>4364</v>
      </c>
      <c r="Z21" s="37">
        <v>6393</v>
      </c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</row>
    <row r="22" spans="1:45" ht="15.6" customHeight="1">
      <c r="A22" s="35" t="s">
        <v>96</v>
      </c>
      <c r="B22" s="36" t="s">
        <v>57</v>
      </c>
      <c r="C22" s="37">
        <v>1082</v>
      </c>
      <c r="D22" s="37">
        <v>582</v>
      </c>
      <c r="E22" s="37">
        <v>500</v>
      </c>
      <c r="F22" s="37">
        <v>236</v>
      </c>
      <c r="G22" s="37">
        <v>158</v>
      </c>
      <c r="H22" s="37">
        <v>78</v>
      </c>
      <c r="I22" s="37">
        <v>125</v>
      </c>
      <c r="J22" s="37">
        <v>75</v>
      </c>
      <c r="K22" s="37">
        <v>50</v>
      </c>
      <c r="L22" s="37">
        <v>721</v>
      </c>
      <c r="M22" s="37">
        <v>349</v>
      </c>
      <c r="N22" s="37">
        <v>372</v>
      </c>
      <c r="O22" s="37">
        <v>14078</v>
      </c>
      <c r="P22" s="37">
        <v>8029</v>
      </c>
      <c r="Q22" s="37">
        <v>6049</v>
      </c>
      <c r="R22" s="37">
        <v>3991</v>
      </c>
      <c r="S22" s="37">
        <v>3055</v>
      </c>
      <c r="T22" s="37">
        <v>936</v>
      </c>
      <c r="U22" s="37">
        <v>1599</v>
      </c>
      <c r="V22" s="37">
        <v>1005</v>
      </c>
      <c r="W22" s="37">
        <v>594</v>
      </c>
      <c r="X22" s="37">
        <v>8488</v>
      </c>
      <c r="Y22" s="37">
        <v>3969</v>
      </c>
      <c r="Z22" s="37">
        <v>4519</v>
      </c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</row>
    <row r="23" spans="1:45" ht="15.6" customHeight="1">
      <c r="A23" s="35" t="s">
        <v>97</v>
      </c>
      <c r="B23" s="36" t="s">
        <v>59</v>
      </c>
      <c r="C23" s="37">
        <v>782</v>
      </c>
      <c r="D23" s="37">
        <v>384</v>
      </c>
      <c r="E23" s="37">
        <v>398</v>
      </c>
      <c r="F23" s="37">
        <v>156</v>
      </c>
      <c r="G23" s="37">
        <v>90</v>
      </c>
      <c r="H23" s="37">
        <v>66</v>
      </c>
      <c r="I23" s="37">
        <v>146</v>
      </c>
      <c r="J23" s="37">
        <v>76</v>
      </c>
      <c r="K23" s="37">
        <v>70</v>
      </c>
      <c r="L23" s="37">
        <v>480</v>
      </c>
      <c r="M23" s="37">
        <v>218</v>
      </c>
      <c r="N23" s="37">
        <v>262</v>
      </c>
      <c r="O23" s="37">
        <v>20945</v>
      </c>
      <c r="P23" s="37">
        <v>11134</v>
      </c>
      <c r="Q23" s="37">
        <v>9811</v>
      </c>
      <c r="R23" s="37">
        <v>2664</v>
      </c>
      <c r="S23" s="37">
        <v>1388</v>
      </c>
      <c r="T23" s="37">
        <v>1276</v>
      </c>
      <c r="U23" s="37">
        <v>3807</v>
      </c>
      <c r="V23" s="37">
        <v>2241</v>
      </c>
      <c r="W23" s="37">
        <v>1566</v>
      </c>
      <c r="X23" s="37">
        <v>14474</v>
      </c>
      <c r="Y23" s="37">
        <v>7505</v>
      </c>
      <c r="Z23" s="37">
        <v>6969</v>
      </c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</row>
    <row r="24" spans="1:45" ht="15.6" customHeight="1">
      <c r="A24" s="35" t="s">
        <v>98</v>
      </c>
      <c r="B24" s="36" t="s">
        <v>61</v>
      </c>
      <c r="C24" s="37">
        <v>643</v>
      </c>
      <c r="D24" s="37">
        <v>311</v>
      </c>
      <c r="E24" s="37">
        <v>332</v>
      </c>
      <c r="F24" s="37">
        <v>64</v>
      </c>
      <c r="G24" s="37">
        <v>44</v>
      </c>
      <c r="H24" s="37">
        <v>20</v>
      </c>
      <c r="I24" s="37">
        <v>34</v>
      </c>
      <c r="J24" s="37">
        <v>28</v>
      </c>
      <c r="K24" s="37">
        <v>6</v>
      </c>
      <c r="L24" s="37">
        <v>545</v>
      </c>
      <c r="M24" s="37">
        <v>239</v>
      </c>
      <c r="N24" s="37">
        <v>306</v>
      </c>
      <c r="O24" s="37">
        <v>15478</v>
      </c>
      <c r="P24" s="37">
        <v>7319</v>
      </c>
      <c r="Q24" s="37">
        <v>8159</v>
      </c>
      <c r="R24" s="37">
        <v>1490</v>
      </c>
      <c r="S24" s="37">
        <v>1064</v>
      </c>
      <c r="T24" s="37">
        <v>426</v>
      </c>
      <c r="U24" s="37">
        <v>763</v>
      </c>
      <c r="V24" s="37">
        <v>523</v>
      </c>
      <c r="W24" s="37">
        <v>240</v>
      </c>
      <c r="X24" s="37">
        <v>13225</v>
      </c>
      <c r="Y24" s="37">
        <v>5732</v>
      </c>
      <c r="Z24" s="37">
        <v>7493</v>
      </c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</row>
    <row r="25" spans="1:45" ht="15.6" customHeight="1">
      <c r="A25" s="35" t="s">
        <v>99</v>
      </c>
      <c r="B25" s="36" t="s">
        <v>63</v>
      </c>
      <c r="C25" s="37">
        <v>545</v>
      </c>
      <c r="D25" s="37">
        <v>290</v>
      </c>
      <c r="E25" s="37">
        <v>255</v>
      </c>
      <c r="F25" s="37">
        <v>43</v>
      </c>
      <c r="G25" s="37">
        <v>16</v>
      </c>
      <c r="H25" s="37">
        <v>27</v>
      </c>
      <c r="I25" s="37">
        <v>86</v>
      </c>
      <c r="J25" s="37">
        <v>33</v>
      </c>
      <c r="K25" s="37">
        <v>53</v>
      </c>
      <c r="L25" s="37">
        <v>416</v>
      </c>
      <c r="M25" s="37">
        <v>241</v>
      </c>
      <c r="N25" s="37">
        <v>175</v>
      </c>
      <c r="O25" s="37">
        <v>6405</v>
      </c>
      <c r="P25" s="37">
        <v>3238</v>
      </c>
      <c r="Q25" s="37">
        <v>3167</v>
      </c>
      <c r="R25" s="37">
        <v>510</v>
      </c>
      <c r="S25" s="37">
        <v>181</v>
      </c>
      <c r="T25" s="37">
        <v>329</v>
      </c>
      <c r="U25" s="37">
        <v>1019</v>
      </c>
      <c r="V25" s="37">
        <v>375</v>
      </c>
      <c r="W25" s="37">
        <v>644</v>
      </c>
      <c r="X25" s="37">
        <v>4876</v>
      </c>
      <c r="Y25" s="37">
        <v>2682</v>
      </c>
      <c r="Z25" s="37">
        <v>2194</v>
      </c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</row>
    <row r="26" spans="1:45" ht="15.6" customHeight="1">
      <c r="A26" s="35" t="s">
        <v>100</v>
      </c>
      <c r="B26" s="36" t="s">
        <v>65</v>
      </c>
      <c r="C26" s="37">
        <v>579</v>
      </c>
      <c r="D26" s="37">
        <v>290</v>
      </c>
      <c r="E26" s="37">
        <v>289</v>
      </c>
      <c r="F26" s="37">
        <v>60</v>
      </c>
      <c r="G26" s="37">
        <v>30</v>
      </c>
      <c r="H26" s="37">
        <v>30</v>
      </c>
      <c r="I26" s="37">
        <v>62</v>
      </c>
      <c r="J26" s="37">
        <v>36</v>
      </c>
      <c r="K26" s="37">
        <v>26</v>
      </c>
      <c r="L26" s="37">
        <v>457</v>
      </c>
      <c r="M26" s="37">
        <v>224</v>
      </c>
      <c r="N26" s="37">
        <v>233</v>
      </c>
      <c r="O26" s="37">
        <v>16270</v>
      </c>
      <c r="P26" s="37">
        <v>8589</v>
      </c>
      <c r="Q26" s="37">
        <v>7681</v>
      </c>
      <c r="R26" s="37">
        <v>1723</v>
      </c>
      <c r="S26" s="37">
        <v>819</v>
      </c>
      <c r="T26" s="37">
        <v>904</v>
      </c>
      <c r="U26" s="37">
        <v>1843</v>
      </c>
      <c r="V26" s="37">
        <v>1063</v>
      </c>
      <c r="W26" s="37">
        <v>780</v>
      </c>
      <c r="X26" s="37">
        <v>12704</v>
      </c>
      <c r="Y26" s="37">
        <v>6707</v>
      </c>
      <c r="Z26" s="37">
        <v>5997</v>
      </c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</row>
    <row r="27" spans="1:45" ht="15.6" customHeight="1">
      <c r="A27" s="35" t="s">
        <v>101</v>
      </c>
      <c r="B27" s="36" t="s">
        <v>67</v>
      </c>
      <c r="C27" s="37">
        <v>369</v>
      </c>
      <c r="D27" s="37">
        <v>170</v>
      </c>
      <c r="E27" s="37">
        <v>199</v>
      </c>
      <c r="F27" s="37">
        <v>45</v>
      </c>
      <c r="G27" s="37">
        <v>21</v>
      </c>
      <c r="H27" s="37">
        <v>24</v>
      </c>
      <c r="I27" s="37">
        <v>27</v>
      </c>
      <c r="J27" s="37">
        <v>15</v>
      </c>
      <c r="K27" s="37">
        <v>12</v>
      </c>
      <c r="L27" s="37">
        <v>297</v>
      </c>
      <c r="M27" s="37">
        <v>134</v>
      </c>
      <c r="N27" s="37">
        <v>163</v>
      </c>
      <c r="O27" s="37">
        <v>7049</v>
      </c>
      <c r="P27" s="37">
        <v>3334</v>
      </c>
      <c r="Q27" s="37">
        <v>3715</v>
      </c>
      <c r="R27" s="37">
        <v>1200</v>
      </c>
      <c r="S27" s="37">
        <v>483</v>
      </c>
      <c r="T27" s="37">
        <v>717</v>
      </c>
      <c r="U27" s="37">
        <v>612</v>
      </c>
      <c r="V27" s="37">
        <v>364</v>
      </c>
      <c r="W27" s="37">
        <v>248</v>
      </c>
      <c r="X27" s="37">
        <v>5237</v>
      </c>
      <c r="Y27" s="37">
        <v>2487</v>
      </c>
      <c r="Z27" s="37">
        <v>2750</v>
      </c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</row>
    <row r="28" spans="1:45" ht="15.6" customHeight="1">
      <c r="A28" s="35" t="s">
        <v>102</v>
      </c>
      <c r="B28" s="36" t="s">
        <v>69</v>
      </c>
      <c r="C28" s="37">
        <v>142</v>
      </c>
      <c r="D28" s="37">
        <v>69</v>
      </c>
      <c r="E28" s="37">
        <v>73</v>
      </c>
      <c r="F28" s="37">
        <v>4</v>
      </c>
      <c r="G28" s="37">
        <v>2</v>
      </c>
      <c r="H28" s="37">
        <v>2</v>
      </c>
      <c r="I28" s="37">
        <v>2</v>
      </c>
      <c r="J28" s="37">
        <v>1</v>
      </c>
      <c r="K28" s="37">
        <v>1</v>
      </c>
      <c r="L28" s="37">
        <v>136</v>
      </c>
      <c r="M28" s="37">
        <v>66</v>
      </c>
      <c r="N28" s="37">
        <v>70</v>
      </c>
      <c r="O28" s="37">
        <v>10319</v>
      </c>
      <c r="P28" s="37">
        <v>5090</v>
      </c>
      <c r="Q28" s="37">
        <v>5229</v>
      </c>
      <c r="R28" s="37">
        <v>346</v>
      </c>
      <c r="S28" s="37">
        <v>274</v>
      </c>
      <c r="T28" s="37">
        <v>72</v>
      </c>
      <c r="U28" s="37">
        <v>39</v>
      </c>
      <c r="V28" s="37">
        <v>38</v>
      </c>
      <c r="W28" s="37">
        <v>1</v>
      </c>
      <c r="X28" s="37">
        <v>9934</v>
      </c>
      <c r="Y28" s="37">
        <v>4778</v>
      </c>
      <c r="Z28" s="37">
        <v>5156</v>
      </c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</row>
    <row r="29" spans="1:45" ht="15.6" customHeight="1">
      <c r="A29" s="38" t="s">
        <v>103</v>
      </c>
      <c r="B29" s="39" t="s">
        <v>71</v>
      </c>
      <c r="C29" s="40">
        <v>15</v>
      </c>
      <c r="D29" s="40">
        <v>8</v>
      </c>
      <c r="E29" s="40">
        <v>7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15</v>
      </c>
      <c r="M29" s="40">
        <v>8</v>
      </c>
      <c r="N29" s="40">
        <v>7</v>
      </c>
      <c r="O29" s="40">
        <v>525</v>
      </c>
      <c r="P29" s="40">
        <v>353</v>
      </c>
      <c r="Q29" s="40">
        <v>172</v>
      </c>
      <c r="R29" s="40">
        <v>0</v>
      </c>
      <c r="S29" s="40">
        <v>0</v>
      </c>
      <c r="T29" s="40">
        <v>0</v>
      </c>
      <c r="U29" s="40">
        <v>0</v>
      </c>
      <c r="V29" s="40">
        <v>0</v>
      </c>
      <c r="W29" s="40">
        <v>0</v>
      </c>
      <c r="X29" s="40">
        <v>525</v>
      </c>
      <c r="Y29" s="40">
        <v>353</v>
      </c>
      <c r="Z29" s="40">
        <v>172</v>
      </c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</row>
    <row r="30" spans="1:45" ht="16.5">
      <c r="A30" s="8" t="s">
        <v>72</v>
      </c>
      <c r="B30" s="19"/>
    </row>
    <row r="31" spans="1:45">
      <c r="A31" s="2" t="s">
        <v>74</v>
      </c>
    </row>
    <row r="33" spans="1:63">
      <c r="A33" s="9" t="s">
        <v>104</v>
      </c>
    </row>
    <row r="34" spans="1:63" s="6" customFormat="1" ht="15.6" hidden="1" customHeight="1">
      <c r="A34" s="26" t="s">
        <v>80</v>
      </c>
      <c r="B34" s="27" t="s">
        <v>81</v>
      </c>
      <c r="C34" s="28">
        <v>38540</v>
      </c>
      <c r="D34" s="28">
        <v>20156</v>
      </c>
      <c r="E34" s="28">
        <v>18384</v>
      </c>
      <c r="F34" s="28">
        <v>5499</v>
      </c>
      <c r="G34" s="28">
        <v>3207</v>
      </c>
      <c r="H34" s="28">
        <v>2292</v>
      </c>
      <c r="I34" s="28">
        <v>3187</v>
      </c>
      <c r="J34" s="28">
        <v>1946</v>
      </c>
      <c r="K34" s="28">
        <v>1241</v>
      </c>
      <c r="L34" s="28">
        <v>29854</v>
      </c>
      <c r="M34" s="28">
        <v>15003</v>
      </c>
      <c r="N34" s="28">
        <v>14851</v>
      </c>
      <c r="O34" s="28">
        <v>479535</v>
      </c>
      <c r="P34" s="28">
        <v>251956</v>
      </c>
      <c r="Q34" s="28">
        <v>227579</v>
      </c>
      <c r="R34" s="28">
        <v>61716</v>
      </c>
      <c r="S34" s="28">
        <v>36489</v>
      </c>
      <c r="T34" s="28">
        <v>25227</v>
      </c>
      <c r="U34" s="28">
        <v>44484</v>
      </c>
      <c r="V34" s="28">
        <v>27231</v>
      </c>
      <c r="W34" s="28">
        <v>17253</v>
      </c>
      <c r="X34" s="28">
        <v>373335</v>
      </c>
      <c r="Y34" s="28">
        <v>188236</v>
      </c>
      <c r="Z34" s="28">
        <v>185099</v>
      </c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</row>
    <row r="35" spans="1:63" s="17" customFormat="1" ht="15.6" hidden="1" customHeight="1">
      <c r="A35" s="30" t="s">
        <v>82</v>
      </c>
      <c r="B35" s="31" t="s">
        <v>29</v>
      </c>
      <c r="C35" s="32">
        <v>6361</v>
      </c>
      <c r="D35" s="32">
        <v>3379</v>
      </c>
      <c r="E35" s="32">
        <v>2982</v>
      </c>
      <c r="F35" s="32">
        <v>549</v>
      </c>
      <c r="G35" s="32">
        <v>486</v>
      </c>
      <c r="H35" s="32">
        <v>63</v>
      </c>
      <c r="I35" s="32" t="s">
        <v>105</v>
      </c>
      <c r="J35" s="32" t="s">
        <v>105</v>
      </c>
      <c r="K35" s="32" t="s">
        <v>105</v>
      </c>
      <c r="L35" s="32">
        <v>5812</v>
      </c>
      <c r="M35" s="32">
        <v>2893</v>
      </c>
      <c r="N35" s="32">
        <v>2919</v>
      </c>
      <c r="O35" s="32">
        <v>97646</v>
      </c>
      <c r="P35" s="32">
        <v>50685</v>
      </c>
      <c r="Q35" s="32">
        <v>46961</v>
      </c>
      <c r="R35" s="32">
        <v>6511</v>
      </c>
      <c r="S35" s="32">
        <v>5708</v>
      </c>
      <c r="T35" s="32">
        <v>803</v>
      </c>
      <c r="U35" s="32" t="s">
        <v>105</v>
      </c>
      <c r="V35" s="32" t="s">
        <v>105</v>
      </c>
      <c r="W35" s="32" t="s">
        <v>105</v>
      </c>
      <c r="X35" s="32">
        <v>91135</v>
      </c>
      <c r="Y35" s="32">
        <v>44977</v>
      </c>
      <c r="Z35" s="32">
        <v>46158</v>
      </c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</row>
    <row r="36" spans="1:63" s="17" customFormat="1" ht="15.6" hidden="1" customHeight="1">
      <c r="A36" s="30" t="s">
        <v>83</v>
      </c>
      <c r="B36" s="31" t="s">
        <v>31</v>
      </c>
      <c r="C36" s="32">
        <v>4271</v>
      </c>
      <c r="D36" s="32">
        <v>1993</v>
      </c>
      <c r="E36" s="32">
        <v>2278</v>
      </c>
      <c r="F36" s="32">
        <v>454</v>
      </c>
      <c r="G36" s="32">
        <v>202</v>
      </c>
      <c r="H36" s="32">
        <v>252</v>
      </c>
      <c r="I36" s="32">
        <v>94</v>
      </c>
      <c r="J36" s="32">
        <v>50</v>
      </c>
      <c r="K36" s="32">
        <v>44</v>
      </c>
      <c r="L36" s="32">
        <v>3723</v>
      </c>
      <c r="M36" s="32">
        <v>1741</v>
      </c>
      <c r="N36" s="32">
        <v>1982</v>
      </c>
      <c r="O36" s="32">
        <v>35902</v>
      </c>
      <c r="P36" s="32">
        <v>16109</v>
      </c>
      <c r="Q36" s="32">
        <v>19793</v>
      </c>
      <c r="R36" s="32">
        <v>3852</v>
      </c>
      <c r="S36" s="32">
        <v>1702</v>
      </c>
      <c r="T36" s="32">
        <v>2150</v>
      </c>
      <c r="U36" s="32">
        <v>1409</v>
      </c>
      <c r="V36" s="32">
        <v>431</v>
      </c>
      <c r="W36" s="32">
        <v>978</v>
      </c>
      <c r="X36" s="32">
        <v>30641</v>
      </c>
      <c r="Y36" s="32">
        <v>13976</v>
      </c>
      <c r="Z36" s="32">
        <v>16665</v>
      </c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</row>
    <row r="37" spans="1:63" s="17" customFormat="1" ht="15.6" hidden="1" customHeight="1">
      <c r="A37" s="30" t="s">
        <v>84</v>
      </c>
      <c r="B37" s="31" t="s">
        <v>33</v>
      </c>
      <c r="C37" s="32">
        <v>1729</v>
      </c>
      <c r="D37" s="32">
        <v>801</v>
      </c>
      <c r="E37" s="32">
        <v>928</v>
      </c>
      <c r="F37" s="32">
        <v>229</v>
      </c>
      <c r="G37" s="32">
        <v>96</v>
      </c>
      <c r="H37" s="32">
        <v>133</v>
      </c>
      <c r="I37" s="32">
        <v>203</v>
      </c>
      <c r="J37" s="32">
        <v>111</v>
      </c>
      <c r="K37" s="32">
        <v>92</v>
      </c>
      <c r="L37" s="32">
        <v>1297</v>
      </c>
      <c r="M37" s="32">
        <v>594</v>
      </c>
      <c r="N37" s="32">
        <v>703</v>
      </c>
      <c r="O37" s="32">
        <v>19158</v>
      </c>
      <c r="P37" s="32">
        <v>7438</v>
      </c>
      <c r="Q37" s="32">
        <v>11720</v>
      </c>
      <c r="R37" s="32">
        <v>2385</v>
      </c>
      <c r="S37" s="32">
        <v>965</v>
      </c>
      <c r="T37" s="32">
        <v>1420</v>
      </c>
      <c r="U37" s="32">
        <v>2115</v>
      </c>
      <c r="V37" s="32">
        <v>1162</v>
      </c>
      <c r="W37" s="32">
        <v>953</v>
      </c>
      <c r="X37" s="32">
        <v>14658</v>
      </c>
      <c r="Y37" s="32">
        <v>5311</v>
      </c>
      <c r="Z37" s="32">
        <v>9347</v>
      </c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</row>
    <row r="38" spans="1:63" s="17" customFormat="1" ht="15.6" hidden="1" customHeight="1">
      <c r="A38" s="30" t="s">
        <v>85</v>
      </c>
      <c r="B38" s="31" t="s">
        <v>35</v>
      </c>
      <c r="C38" s="32">
        <v>4198</v>
      </c>
      <c r="D38" s="32">
        <v>2265</v>
      </c>
      <c r="E38" s="32">
        <v>1933</v>
      </c>
      <c r="F38" s="32">
        <v>1176</v>
      </c>
      <c r="G38" s="32">
        <v>688</v>
      </c>
      <c r="H38" s="32">
        <v>488</v>
      </c>
      <c r="I38" s="32">
        <v>250</v>
      </c>
      <c r="J38" s="32">
        <v>120</v>
      </c>
      <c r="K38" s="32">
        <v>130</v>
      </c>
      <c r="L38" s="32">
        <v>2772</v>
      </c>
      <c r="M38" s="32">
        <v>1457</v>
      </c>
      <c r="N38" s="32">
        <v>1315</v>
      </c>
      <c r="O38" s="32">
        <v>26773</v>
      </c>
      <c r="P38" s="32">
        <v>14902</v>
      </c>
      <c r="Q38" s="32">
        <v>11871</v>
      </c>
      <c r="R38" s="32">
        <v>7911</v>
      </c>
      <c r="S38" s="32">
        <v>4672</v>
      </c>
      <c r="T38" s="32">
        <v>3239</v>
      </c>
      <c r="U38" s="32">
        <v>1799</v>
      </c>
      <c r="V38" s="32">
        <v>890</v>
      </c>
      <c r="W38" s="32">
        <v>909</v>
      </c>
      <c r="X38" s="32">
        <v>17063</v>
      </c>
      <c r="Y38" s="32">
        <v>9340</v>
      </c>
      <c r="Z38" s="32">
        <v>7723</v>
      </c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</row>
    <row r="39" spans="1:63" s="17" customFormat="1" ht="15.6" hidden="1" customHeight="1">
      <c r="A39" s="30" t="s">
        <v>86</v>
      </c>
      <c r="B39" s="31" t="s">
        <v>37</v>
      </c>
      <c r="C39" s="32">
        <v>240</v>
      </c>
      <c r="D39" s="32">
        <v>125</v>
      </c>
      <c r="E39" s="32">
        <v>115</v>
      </c>
      <c r="F39" s="32">
        <v>23</v>
      </c>
      <c r="G39" s="32">
        <v>11</v>
      </c>
      <c r="H39" s="32">
        <v>12</v>
      </c>
      <c r="I39" s="32">
        <v>49</v>
      </c>
      <c r="J39" s="32">
        <v>22</v>
      </c>
      <c r="K39" s="32">
        <v>27</v>
      </c>
      <c r="L39" s="32">
        <v>168</v>
      </c>
      <c r="M39" s="32">
        <v>92</v>
      </c>
      <c r="N39" s="32">
        <v>76</v>
      </c>
      <c r="O39" s="32">
        <v>17081</v>
      </c>
      <c r="P39" s="32">
        <v>9195</v>
      </c>
      <c r="Q39" s="32">
        <v>7886</v>
      </c>
      <c r="R39" s="32">
        <v>1234</v>
      </c>
      <c r="S39" s="32">
        <v>437</v>
      </c>
      <c r="T39" s="32">
        <v>797</v>
      </c>
      <c r="U39" s="32">
        <v>3239</v>
      </c>
      <c r="V39" s="32">
        <v>2172</v>
      </c>
      <c r="W39" s="32">
        <v>1067</v>
      </c>
      <c r="X39" s="32">
        <v>12608</v>
      </c>
      <c r="Y39" s="32">
        <v>6586</v>
      </c>
      <c r="Z39" s="32">
        <v>6022</v>
      </c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</row>
    <row r="40" spans="1:63" s="17" customFormat="1" ht="15.6" hidden="1" customHeight="1">
      <c r="A40" s="34" t="s">
        <v>87</v>
      </c>
      <c r="B40" s="31" t="s">
        <v>39</v>
      </c>
      <c r="C40" s="32">
        <v>6035</v>
      </c>
      <c r="D40" s="32">
        <v>3462</v>
      </c>
      <c r="E40" s="32">
        <v>2573</v>
      </c>
      <c r="F40" s="32">
        <v>1127</v>
      </c>
      <c r="G40" s="32">
        <v>590</v>
      </c>
      <c r="H40" s="32">
        <v>537</v>
      </c>
      <c r="I40" s="32">
        <v>897</v>
      </c>
      <c r="J40" s="32">
        <v>604</v>
      </c>
      <c r="K40" s="32">
        <v>293</v>
      </c>
      <c r="L40" s="32">
        <v>4011</v>
      </c>
      <c r="M40" s="32">
        <v>2268</v>
      </c>
      <c r="N40" s="32">
        <v>1743</v>
      </c>
      <c r="O40" s="32">
        <v>59723</v>
      </c>
      <c r="P40" s="32">
        <v>36007</v>
      </c>
      <c r="Q40" s="32">
        <v>23716</v>
      </c>
      <c r="R40" s="32">
        <v>10777</v>
      </c>
      <c r="S40" s="32">
        <v>5690</v>
      </c>
      <c r="T40" s="32">
        <v>5087</v>
      </c>
      <c r="U40" s="32">
        <v>9286</v>
      </c>
      <c r="V40" s="32">
        <v>6487</v>
      </c>
      <c r="W40" s="32">
        <v>2799</v>
      </c>
      <c r="X40" s="32">
        <v>39660</v>
      </c>
      <c r="Y40" s="32">
        <v>23830</v>
      </c>
      <c r="Z40" s="32">
        <v>15830</v>
      </c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</row>
    <row r="41" spans="1:63" ht="15.6" hidden="1" customHeight="1">
      <c r="A41" s="35" t="s">
        <v>88</v>
      </c>
      <c r="B41" s="36" t="s">
        <v>41</v>
      </c>
      <c r="C41" s="37">
        <v>1980</v>
      </c>
      <c r="D41" s="37">
        <v>1089</v>
      </c>
      <c r="E41" s="37">
        <v>891</v>
      </c>
      <c r="F41" s="37">
        <v>242</v>
      </c>
      <c r="G41" s="37">
        <v>159</v>
      </c>
      <c r="H41" s="37">
        <v>83</v>
      </c>
      <c r="I41" s="37">
        <v>204</v>
      </c>
      <c r="J41" s="37">
        <v>138</v>
      </c>
      <c r="K41" s="37">
        <v>66</v>
      </c>
      <c r="L41" s="37">
        <v>1534</v>
      </c>
      <c r="M41" s="37">
        <v>792</v>
      </c>
      <c r="N41" s="37">
        <v>742</v>
      </c>
      <c r="O41" s="37">
        <v>22112</v>
      </c>
      <c r="P41" s="37">
        <v>11330</v>
      </c>
      <c r="Q41" s="37">
        <v>10782</v>
      </c>
      <c r="R41" s="37">
        <v>2243</v>
      </c>
      <c r="S41" s="37">
        <v>1571</v>
      </c>
      <c r="T41" s="37">
        <v>672</v>
      </c>
      <c r="U41" s="37">
        <v>2492</v>
      </c>
      <c r="V41" s="37">
        <v>1497</v>
      </c>
      <c r="W41" s="37">
        <v>995</v>
      </c>
      <c r="X41" s="37">
        <v>17377</v>
      </c>
      <c r="Y41" s="37">
        <v>8262</v>
      </c>
      <c r="Z41" s="37">
        <v>9115</v>
      </c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</row>
    <row r="42" spans="1:63" ht="15.6" hidden="1" customHeight="1">
      <c r="A42" s="35" t="s">
        <v>89</v>
      </c>
      <c r="B42" s="36" t="s">
        <v>43</v>
      </c>
      <c r="C42" s="37">
        <v>129</v>
      </c>
      <c r="D42" s="37">
        <v>66</v>
      </c>
      <c r="E42" s="37">
        <v>63</v>
      </c>
      <c r="F42" s="37">
        <v>10</v>
      </c>
      <c r="G42" s="37">
        <v>6</v>
      </c>
      <c r="H42" s="37">
        <v>4</v>
      </c>
      <c r="I42" s="37">
        <v>7</v>
      </c>
      <c r="J42" s="37">
        <v>3</v>
      </c>
      <c r="K42" s="37">
        <v>4</v>
      </c>
      <c r="L42" s="37">
        <v>112</v>
      </c>
      <c r="M42" s="37">
        <v>57</v>
      </c>
      <c r="N42" s="37">
        <v>55</v>
      </c>
      <c r="O42" s="37">
        <v>7258</v>
      </c>
      <c r="P42" s="37">
        <v>4574</v>
      </c>
      <c r="Q42" s="37">
        <v>2684</v>
      </c>
      <c r="R42" s="37">
        <v>696</v>
      </c>
      <c r="S42" s="37">
        <v>505</v>
      </c>
      <c r="T42" s="37">
        <v>191</v>
      </c>
      <c r="U42" s="37">
        <v>406</v>
      </c>
      <c r="V42" s="37">
        <v>187</v>
      </c>
      <c r="W42" s="37">
        <v>219</v>
      </c>
      <c r="X42" s="37">
        <v>6156</v>
      </c>
      <c r="Y42" s="37">
        <v>3882</v>
      </c>
      <c r="Z42" s="37">
        <v>2274</v>
      </c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</row>
    <row r="43" spans="1:63" ht="15.6" hidden="1" customHeight="1">
      <c r="A43" s="35" t="s">
        <v>90</v>
      </c>
      <c r="B43" s="36" t="s">
        <v>45</v>
      </c>
      <c r="C43" s="37">
        <v>737</v>
      </c>
      <c r="D43" s="37">
        <v>345</v>
      </c>
      <c r="E43" s="37">
        <v>392</v>
      </c>
      <c r="F43" s="37">
        <v>57</v>
      </c>
      <c r="G43" s="37">
        <v>33</v>
      </c>
      <c r="H43" s="37">
        <v>24</v>
      </c>
      <c r="I43" s="37">
        <v>72</v>
      </c>
      <c r="J43" s="37">
        <v>45</v>
      </c>
      <c r="K43" s="37">
        <v>27</v>
      </c>
      <c r="L43" s="37">
        <v>608</v>
      </c>
      <c r="M43" s="37">
        <v>267</v>
      </c>
      <c r="N43" s="37">
        <v>341</v>
      </c>
      <c r="O43" s="37">
        <v>21978</v>
      </c>
      <c r="P43" s="37">
        <v>11499</v>
      </c>
      <c r="Q43" s="37">
        <v>10479</v>
      </c>
      <c r="R43" s="37">
        <v>2956</v>
      </c>
      <c r="S43" s="37">
        <v>1637</v>
      </c>
      <c r="T43" s="37">
        <v>1319</v>
      </c>
      <c r="U43" s="37">
        <v>4053</v>
      </c>
      <c r="V43" s="37">
        <v>2543</v>
      </c>
      <c r="W43" s="37">
        <v>1510</v>
      </c>
      <c r="X43" s="37">
        <v>14969</v>
      </c>
      <c r="Y43" s="37">
        <v>7319</v>
      </c>
      <c r="Z43" s="37">
        <v>7650</v>
      </c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</row>
    <row r="44" spans="1:63" ht="15.6" hidden="1" customHeight="1">
      <c r="A44" s="35" t="s">
        <v>91</v>
      </c>
      <c r="B44" s="36" t="s">
        <v>47</v>
      </c>
      <c r="C44" s="37">
        <v>3408</v>
      </c>
      <c r="D44" s="37">
        <v>1658</v>
      </c>
      <c r="E44" s="37">
        <v>1750</v>
      </c>
      <c r="F44" s="37">
        <v>387</v>
      </c>
      <c r="G44" s="37">
        <v>207</v>
      </c>
      <c r="H44" s="37">
        <v>180</v>
      </c>
      <c r="I44" s="37">
        <v>286</v>
      </c>
      <c r="J44" s="37">
        <v>191</v>
      </c>
      <c r="K44" s="37">
        <v>95</v>
      </c>
      <c r="L44" s="37">
        <v>2735</v>
      </c>
      <c r="M44" s="37">
        <v>1260</v>
      </c>
      <c r="N44" s="37">
        <v>1475</v>
      </c>
      <c r="O44" s="37">
        <v>30698</v>
      </c>
      <c r="P44" s="37">
        <v>15671</v>
      </c>
      <c r="Q44" s="37">
        <v>15027</v>
      </c>
      <c r="R44" s="37">
        <v>3995</v>
      </c>
      <c r="S44" s="37">
        <v>2005</v>
      </c>
      <c r="T44" s="37">
        <v>1990</v>
      </c>
      <c r="U44" s="37">
        <v>3485</v>
      </c>
      <c r="V44" s="37">
        <v>2401</v>
      </c>
      <c r="W44" s="37">
        <v>1084</v>
      </c>
      <c r="X44" s="37">
        <v>23218</v>
      </c>
      <c r="Y44" s="37">
        <v>11265</v>
      </c>
      <c r="Z44" s="37">
        <v>11953</v>
      </c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</row>
    <row r="45" spans="1:63" ht="15.6" hidden="1" customHeight="1">
      <c r="A45" s="35" t="s">
        <v>92</v>
      </c>
      <c r="B45" s="36" t="s">
        <v>49</v>
      </c>
      <c r="C45" s="37">
        <v>2419</v>
      </c>
      <c r="D45" s="37">
        <v>1338</v>
      </c>
      <c r="E45" s="37">
        <v>1081</v>
      </c>
      <c r="F45" s="37">
        <v>230</v>
      </c>
      <c r="G45" s="37">
        <v>107</v>
      </c>
      <c r="H45" s="37">
        <v>123</v>
      </c>
      <c r="I45" s="37">
        <v>402</v>
      </c>
      <c r="J45" s="37">
        <v>260</v>
      </c>
      <c r="K45" s="37">
        <v>142</v>
      </c>
      <c r="L45" s="37">
        <v>1787</v>
      </c>
      <c r="M45" s="37">
        <v>971</v>
      </c>
      <c r="N45" s="37">
        <v>816</v>
      </c>
      <c r="O45" s="37">
        <v>19139</v>
      </c>
      <c r="P45" s="37">
        <v>11314</v>
      </c>
      <c r="Q45" s="37">
        <v>7825</v>
      </c>
      <c r="R45" s="37">
        <v>2181</v>
      </c>
      <c r="S45" s="37">
        <v>1292</v>
      </c>
      <c r="T45" s="37">
        <v>889</v>
      </c>
      <c r="U45" s="37">
        <v>3126</v>
      </c>
      <c r="V45" s="37">
        <v>2023</v>
      </c>
      <c r="W45" s="37">
        <v>1103</v>
      </c>
      <c r="X45" s="37">
        <v>13832</v>
      </c>
      <c r="Y45" s="37">
        <v>7999</v>
      </c>
      <c r="Z45" s="37">
        <v>5833</v>
      </c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</row>
    <row r="46" spans="1:63" ht="15.6" hidden="1" customHeight="1">
      <c r="A46" s="35" t="s">
        <v>93</v>
      </c>
      <c r="B46" s="36" t="s">
        <v>51</v>
      </c>
      <c r="C46" s="37">
        <v>1573</v>
      </c>
      <c r="D46" s="37">
        <v>890</v>
      </c>
      <c r="E46" s="37">
        <v>683</v>
      </c>
      <c r="F46" s="37">
        <v>142</v>
      </c>
      <c r="G46" s="37">
        <v>83</v>
      </c>
      <c r="H46" s="37">
        <v>59</v>
      </c>
      <c r="I46" s="37">
        <v>104</v>
      </c>
      <c r="J46" s="37">
        <v>70</v>
      </c>
      <c r="K46" s="37">
        <v>34</v>
      </c>
      <c r="L46" s="37">
        <v>1327</v>
      </c>
      <c r="M46" s="37">
        <v>737</v>
      </c>
      <c r="N46" s="37">
        <v>590</v>
      </c>
      <c r="O46" s="37">
        <v>14323</v>
      </c>
      <c r="P46" s="37">
        <v>8409</v>
      </c>
      <c r="Q46" s="37">
        <v>5914</v>
      </c>
      <c r="R46" s="37">
        <v>1179</v>
      </c>
      <c r="S46" s="37">
        <v>724</v>
      </c>
      <c r="T46" s="37">
        <v>455</v>
      </c>
      <c r="U46" s="37">
        <v>1166</v>
      </c>
      <c r="V46" s="37">
        <v>717</v>
      </c>
      <c r="W46" s="37">
        <v>449</v>
      </c>
      <c r="X46" s="37">
        <v>11978</v>
      </c>
      <c r="Y46" s="37">
        <v>6968</v>
      </c>
      <c r="Z46" s="37">
        <v>5010</v>
      </c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</row>
    <row r="47" spans="1:63" ht="15.6" hidden="1" customHeight="1">
      <c r="A47" s="35" t="s">
        <v>94</v>
      </c>
      <c r="B47" s="36" t="s">
        <v>53</v>
      </c>
      <c r="C47" s="37">
        <v>1114</v>
      </c>
      <c r="D47" s="37">
        <v>546</v>
      </c>
      <c r="E47" s="37">
        <v>568</v>
      </c>
      <c r="F47" s="37">
        <v>209</v>
      </c>
      <c r="G47" s="37">
        <v>133</v>
      </c>
      <c r="H47" s="37">
        <v>76</v>
      </c>
      <c r="I47" s="37">
        <v>139</v>
      </c>
      <c r="J47" s="37">
        <v>73</v>
      </c>
      <c r="K47" s="37">
        <v>66</v>
      </c>
      <c r="L47" s="37">
        <v>766</v>
      </c>
      <c r="M47" s="37">
        <v>340</v>
      </c>
      <c r="N47" s="37">
        <v>426</v>
      </c>
      <c r="O47" s="37">
        <v>9206</v>
      </c>
      <c r="P47" s="37">
        <v>4589</v>
      </c>
      <c r="Q47" s="37">
        <v>4617</v>
      </c>
      <c r="R47" s="37">
        <v>1963</v>
      </c>
      <c r="S47" s="37">
        <v>1230</v>
      </c>
      <c r="T47" s="37">
        <v>733</v>
      </c>
      <c r="U47" s="37">
        <v>1120</v>
      </c>
      <c r="V47" s="37">
        <v>617</v>
      </c>
      <c r="W47" s="37">
        <v>503</v>
      </c>
      <c r="X47" s="37">
        <v>6123</v>
      </c>
      <c r="Y47" s="37">
        <v>2742</v>
      </c>
      <c r="Z47" s="37">
        <v>3381</v>
      </c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</row>
    <row r="48" spans="1:63" ht="15.6" hidden="1" customHeight="1">
      <c r="A48" s="35" t="s">
        <v>95</v>
      </c>
      <c r="B48" s="36" t="s">
        <v>55</v>
      </c>
      <c r="C48" s="37">
        <v>601</v>
      </c>
      <c r="D48" s="37">
        <v>287</v>
      </c>
      <c r="E48" s="37">
        <v>314</v>
      </c>
      <c r="F48" s="37">
        <v>103</v>
      </c>
      <c r="G48" s="37">
        <v>63</v>
      </c>
      <c r="H48" s="37">
        <v>40</v>
      </c>
      <c r="I48" s="37">
        <v>60</v>
      </c>
      <c r="J48" s="37">
        <v>36</v>
      </c>
      <c r="K48" s="37">
        <v>24</v>
      </c>
      <c r="L48" s="37">
        <v>438</v>
      </c>
      <c r="M48" s="37">
        <v>188</v>
      </c>
      <c r="N48" s="37">
        <v>250</v>
      </c>
      <c r="O48" s="37">
        <v>14755</v>
      </c>
      <c r="P48" s="37">
        <v>6561</v>
      </c>
      <c r="Q48" s="37">
        <v>8194</v>
      </c>
      <c r="R48" s="37">
        <v>2621</v>
      </c>
      <c r="S48" s="37">
        <v>1363</v>
      </c>
      <c r="T48" s="37">
        <v>1258</v>
      </c>
      <c r="U48" s="37">
        <v>1984</v>
      </c>
      <c r="V48" s="37">
        <v>1112</v>
      </c>
      <c r="W48" s="37">
        <v>872</v>
      </c>
      <c r="X48" s="37">
        <v>10150</v>
      </c>
      <c r="Y48" s="37">
        <v>4086</v>
      </c>
      <c r="Z48" s="37">
        <v>6064</v>
      </c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</row>
    <row r="49" spans="1:63" ht="15.6" hidden="1" customHeight="1">
      <c r="A49" s="35" t="s">
        <v>96</v>
      </c>
      <c r="B49" s="36" t="s">
        <v>57</v>
      </c>
      <c r="C49" s="37">
        <v>1008</v>
      </c>
      <c r="D49" s="37">
        <v>543</v>
      </c>
      <c r="E49" s="37">
        <v>465</v>
      </c>
      <c r="F49" s="37">
        <v>218</v>
      </c>
      <c r="G49" s="37">
        <v>152</v>
      </c>
      <c r="H49" s="37">
        <v>66</v>
      </c>
      <c r="I49" s="37">
        <v>86</v>
      </c>
      <c r="J49" s="37">
        <v>49</v>
      </c>
      <c r="K49" s="37">
        <v>37</v>
      </c>
      <c r="L49" s="37">
        <v>704</v>
      </c>
      <c r="M49" s="37">
        <v>342</v>
      </c>
      <c r="N49" s="37">
        <v>362</v>
      </c>
      <c r="O49" s="37">
        <v>12747</v>
      </c>
      <c r="P49" s="37">
        <v>7220</v>
      </c>
      <c r="Q49" s="37">
        <v>5527</v>
      </c>
      <c r="R49" s="37">
        <v>3794</v>
      </c>
      <c r="S49" s="37">
        <v>2935</v>
      </c>
      <c r="T49" s="37">
        <v>859</v>
      </c>
      <c r="U49" s="37">
        <v>1119</v>
      </c>
      <c r="V49" s="37">
        <v>659</v>
      </c>
      <c r="W49" s="37">
        <v>460</v>
      </c>
      <c r="X49" s="37">
        <v>7834</v>
      </c>
      <c r="Y49" s="37">
        <v>3626</v>
      </c>
      <c r="Z49" s="37">
        <v>4208</v>
      </c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</row>
    <row r="50" spans="1:63" ht="15.6" hidden="1" customHeight="1">
      <c r="A50" s="35" t="s">
        <v>97</v>
      </c>
      <c r="B50" s="36" t="s">
        <v>59</v>
      </c>
      <c r="C50" s="37">
        <v>742</v>
      </c>
      <c r="D50" s="37">
        <v>362</v>
      </c>
      <c r="E50" s="37">
        <v>380</v>
      </c>
      <c r="F50" s="37">
        <v>149</v>
      </c>
      <c r="G50" s="37">
        <v>85</v>
      </c>
      <c r="H50" s="37">
        <v>64</v>
      </c>
      <c r="I50" s="37">
        <v>145</v>
      </c>
      <c r="J50" s="37">
        <v>76</v>
      </c>
      <c r="K50" s="37">
        <v>69</v>
      </c>
      <c r="L50" s="37">
        <v>448</v>
      </c>
      <c r="M50" s="37">
        <v>201</v>
      </c>
      <c r="N50" s="37">
        <v>247</v>
      </c>
      <c r="O50" s="37">
        <v>20325</v>
      </c>
      <c r="P50" s="37">
        <v>10985</v>
      </c>
      <c r="Q50" s="37">
        <v>9340</v>
      </c>
      <c r="R50" s="37">
        <v>2640</v>
      </c>
      <c r="S50" s="37">
        <v>1372</v>
      </c>
      <c r="T50" s="37">
        <v>1268</v>
      </c>
      <c r="U50" s="37">
        <v>3773</v>
      </c>
      <c r="V50" s="37">
        <v>2241</v>
      </c>
      <c r="W50" s="37">
        <v>1532</v>
      </c>
      <c r="X50" s="37">
        <v>13912</v>
      </c>
      <c r="Y50" s="37">
        <v>7372</v>
      </c>
      <c r="Z50" s="37">
        <v>6540</v>
      </c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</row>
    <row r="51" spans="1:63" ht="15.6" hidden="1" customHeight="1">
      <c r="A51" s="35" t="s">
        <v>98</v>
      </c>
      <c r="B51" s="36" t="s">
        <v>61</v>
      </c>
      <c r="C51" s="37">
        <v>635</v>
      </c>
      <c r="D51" s="37">
        <v>307</v>
      </c>
      <c r="E51" s="37">
        <v>328</v>
      </c>
      <c r="F51" s="37">
        <v>64</v>
      </c>
      <c r="G51" s="37">
        <v>44</v>
      </c>
      <c r="H51" s="37">
        <v>20</v>
      </c>
      <c r="I51" s="37">
        <v>33</v>
      </c>
      <c r="J51" s="37">
        <v>27</v>
      </c>
      <c r="K51" s="37">
        <v>6</v>
      </c>
      <c r="L51" s="37">
        <v>538</v>
      </c>
      <c r="M51" s="37">
        <v>236</v>
      </c>
      <c r="N51" s="37">
        <v>302</v>
      </c>
      <c r="O51" s="37">
        <v>15346</v>
      </c>
      <c r="P51" s="37">
        <v>7307</v>
      </c>
      <c r="Q51" s="37">
        <v>8039</v>
      </c>
      <c r="R51" s="37">
        <v>1490</v>
      </c>
      <c r="S51" s="37">
        <v>1064</v>
      </c>
      <c r="T51" s="37">
        <v>426</v>
      </c>
      <c r="U51" s="37">
        <v>759</v>
      </c>
      <c r="V51" s="37">
        <v>519</v>
      </c>
      <c r="W51" s="37">
        <v>240</v>
      </c>
      <c r="X51" s="37">
        <v>13097</v>
      </c>
      <c r="Y51" s="37">
        <v>5724</v>
      </c>
      <c r="Z51" s="37">
        <v>7373</v>
      </c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</row>
    <row r="52" spans="1:63" ht="15.6" hidden="1" customHeight="1">
      <c r="A52" s="35" t="s">
        <v>99</v>
      </c>
      <c r="B52" s="36" t="s">
        <v>63</v>
      </c>
      <c r="C52" s="37">
        <v>473</v>
      </c>
      <c r="D52" s="37">
        <v>255</v>
      </c>
      <c r="E52" s="37">
        <v>218</v>
      </c>
      <c r="F52" s="37">
        <v>40</v>
      </c>
      <c r="G52" s="37">
        <v>16</v>
      </c>
      <c r="H52" s="37">
        <v>24</v>
      </c>
      <c r="I52" s="37">
        <v>80</v>
      </c>
      <c r="J52" s="37">
        <v>27</v>
      </c>
      <c r="K52" s="37">
        <v>53</v>
      </c>
      <c r="L52" s="37">
        <v>353</v>
      </c>
      <c r="M52" s="37">
        <v>212</v>
      </c>
      <c r="N52" s="37">
        <v>141</v>
      </c>
      <c r="O52" s="37">
        <v>5558</v>
      </c>
      <c r="P52" s="37">
        <v>2840</v>
      </c>
      <c r="Q52" s="37">
        <v>2718</v>
      </c>
      <c r="R52" s="37">
        <v>474</v>
      </c>
      <c r="S52" s="37">
        <v>181</v>
      </c>
      <c r="T52" s="37">
        <v>293</v>
      </c>
      <c r="U52" s="37">
        <v>951</v>
      </c>
      <c r="V52" s="37">
        <v>307</v>
      </c>
      <c r="W52" s="37">
        <v>644</v>
      </c>
      <c r="X52" s="37">
        <v>4133</v>
      </c>
      <c r="Y52" s="37">
        <v>2352</v>
      </c>
      <c r="Z52" s="37">
        <v>1781</v>
      </c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</row>
    <row r="53" spans="1:63" ht="15.6" hidden="1" customHeight="1">
      <c r="A53" s="35" t="s">
        <v>100</v>
      </c>
      <c r="B53" s="36" t="s">
        <v>65</v>
      </c>
      <c r="C53" s="37">
        <v>454</v>
      </c>
      <c r="D53" s="37">
        <v>237</v>
      </c>
      <c r="E53" s="37">
        <v>217</v>
      </c>
      <c r="F53" s="37">
        <v>49</v>
      </c>
      <c r="G53" s="37">
        <v>27</v>
      </c>
      <c r="H53" s="37">
        <v>22</v>
      </c>
      <c r="I53" s="37">
        <v>52</v>
      </c>
      <c r="J53" s="37">
        <v>30</v>
      </c>
      <c r="K53" s="37">
        <v>22</v>
      </c>
      <c r="L53" s="37">
        <v>353</v>
      </c>
      <c r="M53" s="37">
        <v>180</v>
      </c>
      <c r="N53" s="37">
        <v>173</v>
      </c>
      <c r="O53" s="37">
        <v>13245</v>
      </c>
      <c r="P53" s="37">
        <v>7185</v>
      </c>
      <c r="Q53" s="37">
        <v>6060</v>
      </c>
      <c r="R53" s="37">
        <v>1443</v>
      </c>
      <c r="S53" s="37">
        <v>766</v>
      </c>
      <c r="T53" s="37">
        <v>677</v>
      </c>
      <c r="U53" s="37">
        <v>1599</v>
      </c>
      <c r="V53" s="37">
        <v>880</v>
      </c>
      <c r="W53" s="37">
        <v>719</v>
      </c>
      <c r="X53" s="37">
        <v>10203</v>
      </c>
      <c r="Y53" s="37">
        <v>5539</v>
      </c>
      <c r="Z53" s="37">
        <v>4664</v>
      </c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</row>
    <row r="54" spans="1:63" ht="15.6" hidden="1" customHeight="1">
      <c r="A54" s="35" t="s">
        <v>101</v>
      </c>
      <c r="B54" s="36" t="s">
        <v>67</v>
      </c>
      <c r="C54" s="37">
        <v>295</v>
      </c>
      <c r="D54" s="37">
        <v>144</v>
      </c>
      <c r="E54" s="37">
        <v>151</v>
      </c>
      <c r="F54" s="37">
        <v>38</v>
      </c>
      <c r="G54" s="37">
        <v>17</v>
      </c>
      <c r="H54" s="37">
        <v>21</v>
      </c>
      <c r="I54" s="37">
        <v>22</v>
      </c>
      <c r="J54" s="37">
        <v>13</v>
      </c>
      <c r="K54" s="37">
        <v>9</v>
      </c>
      <c r="L54" s="37">
        <v>235</v>
      </c>
      <c r="M54" s="37">
        <v>114</v>
      </c>
      <c r="N54" s="37">
        <v>121</v>
      </c>
      <c r="O54" s="37">
        <v>6195</v>
      </c>
      <c r="P54" s="37">
        <v>2971</v>
      </c>
      <c r="Q54" s="37">
        <v>3224</v>
      </c>
      <c r="R54" s="37">
        <v>1087</v>
      </c>
      <c r="S54" s="37">
        <v>396</v>
      </c>
      <c r="T54" s="37">
        <v>691</v>
      </c>
      <c r="U54" s="37">
        <v>564</v>
      </c>
      <c r="V54" s="37">
        <v>348</v>
      </c>
      <c r="W54" s="37">
        <v>216</v>
      </c>
      <c r="X54" s="37">
        <v>4544</v>
      </c>
      <c r="Y54" s="37">
        <v>2227</v>
      </c>
      <c r="Z54" s="37">
        <v>2317</v>
      </c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</row>
    <row r="55" spans="1:63" ht="15.6" hidden="1" customHeight="1">
      <c r="A55" s="35" t="s">
        <v>102</v>
      </c>
      <c r="B55" s="36" t="s">
        <v>69</v>
      </c>
      <c r="C55" s="37">
        <v>123</v>
      </c>
      <c r="D55" s="37">
        <v>56</v>
      </c>
      <c r="E55" s="37">
        <v>67</v>
      </c>
      <c r="F55" s="37">
        <v>3</v>
      </c>
      <c r="G55" s="37">
        <v>2</v>
      </c>
      <c r="H55" s="37">
        <v>1</v>
      </c>
      <c r="I55" s="37">
        <v>2</v>
      </c>
      <c r="J55" s="37">
        <v>1</v>
      </c>
      <c r="K55" s="37">
        <v>1</v>
      </c>
      <c r="L55" s="37">
        <v>118</v>
      </c>
      <c r="M55" s="37">
        <v>53</v>
      </c>
      <c r="N55" s="37">
        <v>65</v>
      </c>
      <c r="O55" s="37">
        <v>9842</v>
      </c>
      <c r="P55" s="37">
        <v>4812</v>
      </c>
      <c r="Q55" s="37">
        <v>5030</v>
      </c>
      <c r="R55" s="37">
        <v>284</v>
      </c>
      <c r="S55" s="37">
        <v>274</v>
      </c>
      <c r="T55" s="37">
        <v>10</v>
      </c>
      <c r="U55" s="37">
        <v>39</v>
      </c>
      <c r="V55" s="37">
        <v>38</v>
      </c>
      <c r="W55" s="37">
        <v>1</v>
      </c>
      <c r="X55" s="37">
        <v>9519</v>
      </c>
      <c r="Y55" s="37">
        <v>4500</v>
      </c>
      <c r="Z55" s="37">
        <v>5019</v>
      </c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</row>
    <row r="56" spans="1:63" ht="15.6" hidden="1" customHeight="1">
      <c r="A56" s="38" t="s">
        <v>103</v>
      </c>
      <c r="B56" s="39" t="s">
        <v>71</v>
      </c>
      <c r="C56" s="40">
        <v>15</v>
      </c>
      <c r="D56" s="40">
        <v>8</v>
      </c>
      <c r="E56" s="40">
        <v>7</v>
      </c>
      <c r="F56" s="40" t="s">
        <v>105</v>
      </c>
      <c r="G56" s="40" t="s">
        <v>105</v>
      </c>
      <c r="H56" s="40" t="s">
        <v>105</v>
      </c>
      <c r="I56" s="40" t="s">
        <v>105</v>
      </c>
      <c r="J56" s="40" t="s">
        <v>105</v>
      </c>
      <c r="K56" s="40" t="s">
        <v>105</v>
      </c>
      <c r="L56" s="40">
        <v>15</v>
      </c>
      <c r="M56" s="40">
        <v>8</v>
      </c>
      <c r="N56" s="40">
        <v>7</v>
      </c>
      <c r="O56" s="40">
        <v>525</v>
      </c>
      <c r="P56" s="40">
        <v>353</v>
      </c>
      <c r="Q56" s="40">
        <v>172</v>
      </c>
      <c r="R56" s="40" t="s">
        <v>105</v>
      </c>
      <c r="S56" s="40" t="s">
        <v>105</v>
      </c>
      <c r="T56" s="40" t="s">
        <v>105</v>
      </c>
      <c r="U56" s="40" t="s">
        <v>105</v>
      </c>
      <c r="V56" s="40" t="s">
        <v>105</v>
      </c>
      <c r="W56" s="40" t="s">
        <v>105</v>
      </c>
      <c r="X56" s="40">
        <v>525</v>
      </c>
      <c r="Y56" s="40">
        <v>353</v>
      </c>
      <c r="Z56" s="40">
        <v>172</v>
      </c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</row>
    <row r="57" spans="1:63" s="17" customFormat="1" ht="15.6" hidden="1" customHeight="1">
      <c r="A57" s="30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</row>
    <row r="58" spans="1:63" s="6" customFormat="1" ht="15.6" hidden="1" customHeight="1">
      <c r="A58" s="26" t="s">
        <v>80</v>
      </c>
      <c r="B58" s="27" t="s">
        <v>81</v>
      </c>
      <c r="C58" s="28" t="str">
        <f t="shared" ref="C58:Z68" si="0">IF(C34=C7,"","*")</f>
        <v>*</v>
      </c>
      <c r="D58" s="28" t="str">
        <f t="shared" si="0"/>
        <v>*</v>
      </c>
      <c r="E58" s="28" t="str">
        <f t="shared" si="0"/>
        <v>*</v>
      </c>
      <c r="F58" s="28" t="str">
        <f t="shared" si="0"/>
        <v>*</v>
      </c>
      <c r="G58" s="28" t="str">
        <f t="shared" si="0"/>
        <v>*</v>
      </c>
      <c r="H58" s="28" t="str">
        <f t="shared" si="0"/>
        <v>*</v>
      </c>
      <c r="I58" s="28" t="str">
        <f t="shared" si="0"/>
        <v>*</v>
      </c>
      <c r="J58" s="28" t="str">
        <f t="shared" si="0"/>
        <v>*</v>
      </c>
      <c r="K58" s="28" t="str">
        <f t="shared" si="0"/>
        <v>*</v>
      </c>
      <c r="L58" s="28" t="str">
        <f t="shared" si="0"/>
        <v>*</v>
      </c>
      <c r="M58" s="28" t="str">
        <f t="shared" si="0"/>
        <v>*</v>
      </c>
      <c r="N58" s="28" t="str">
        <f t="shared" si="0"/>
        <v>*</v>
      </c>
      <c r="O58" s="28" t="str">
        <f t="shared" si="0"/>
        <v>*</v>
      </c>
      <c r="P58" s="28" t="str">
        <f t="shared" si="0"/>
        <v>*</v>
      </c>
      <c r="Q58" s="28" t="str">
        <f t="shared" si="0"/>
        <v>*</v>
      </c>
      <c r="R58" s="28" t="str">
        <f t="shared" si="0"/>
        <v>*</v>
      </c>
      <c r="S58" s="28" t="str">
        <f t="shared" si="0"/>
        <v>*</v>
      </c>
      <c r="T58" s="28" t="str">
        <f t="shared" si="0"/>
        <v>*</v>
      </c>
      <c r="U58" s="28" t="str">
        <f t="shared" si="0"/>
        <v>*</v>
      </c>
      <c r="V58" s="28" t="str">
        <f t="shared" si="0"/>
        <v>*</v>
      </c>
      <c r="W58" s="28" t="str">
        <f t="shared" si="0"/>
        <v>*</v>
      </c>
      <c r="X58" s="28" t="str">
        <f t="shared" si="0"/>
        <v>*</v>
      </c>
      <c r="Y58" s="28" t="str">
        <f t="shared" si="0"/>
        <v>*</v>
      </c>
      <c r="Z58" s="28" t="str">
        <f t="shared" si="0"/>
        <v>*</v>
      </c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</row>
    <row r="59" spans="1:63" s="17" customFormat="1" ht="15.6" hidden="1" customHeight="1">
      <c r="A59" s="30" t="s">
        <v>82</v>
      </c>
      <c r="B59" s="31" t="s">
        <v>29</v>
      </c>
      <c r="C59" s="28" t="str">
        <f t="shared" si="0"/>
        <v/>
      </c>
      <c r="D59" s="28" t="str">
        <f t="shared" si="0"/>
        <v/>
      </c>
      <c r="E59" s="28" t="str">
        <f t="shared" si="0"/>
        <v/>
      </c>
      <c r="F59" s="28" t="str">
        <f t="shared" si="0"/>
        <v/>
      </c>
      <c r="G59" s="28" t="str">
        <f t="shared" si="0"/>
        <v/>
      </c>
      <c r="H59" s="28" t="str">
        <f t="shared" si="0"/>
        <v/>
      </c>
      <c r="I59" s="28" t="str">
        <f t="shared" si="0"/>
        <v>*</v>
      </c>
      <c r="J59" s="28" t="str">
        <f t="shared" si="0"/>
        <v>*</v>
      </c>
      <c r="K59" s="28" t="str">
        <f t="shared" si="0"/>
        <v>*</v>
      </c>
      <c r="L59" s="28" t="str">
        <f t="shared" si="0"/>
        <v/>
      </c>
      <c r="M59" s="28" t="str">
        <f t="shared" si="0"/>
        <v/>
      </c>
      <c r="N59" s="28" t="str">
        <f t="shared" si="0"/>
        <v/>
      </c>
      <c r="O59" s="28" t="str">
        <f t="shared" si="0"/>
        <v/>
      </c>
      <c r="P59" s="28" t="str">
        <f t="shared" si="0"/>
        <v/>
      </c>
      <c r="Q59" s="28" t="str">
        <f t="shared" si="0"/>
        <v/>
      </c>
      <c r="R59" s="28" t="str">
        <f t="shared" si="0"/>
        <v/>
      </c>
      <c r="S59" s="28" t="str">
        <f t="shared" si="0"/>
        <v/>
      </c>
      <c r="T59" s="28" t="str">
        <f t="shared" si="0"/>
        <v/>
      </c>
      <c r="U59" s="28" t="str">
        <f t="shared" si="0"/>
        <v>*</v>
      </c>
      <c r="V59" s="28" t="str">
        <f t="shared" si="0"/>
        <v>*</v>
      </c>
      <c r="W59" s="28" t="str">
        <f t="shared" si="0"/>
        <v>*</v>
      </c>
      <c r="X59" s="28" t="str">
        <f t="shared" si="0"/>
        <v/>
      </c>
      <c r="Y59" s="28" t="str">
        <f t="shared" si="0"/>
        <v/>
      </c>
      <c r="Z59" s="28" t="str">
        <f t="shared" si="0"/>
        <v/>
      </c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</row>
    <row r="60" spans="1:63" s="17" customFormat="1" ht="15.6" hidden="1" customHeight="1">
      <c r="A60" s="30" t="s">
        <v>83</v>
      </c>
      <c r="B60" s="31" t="s">
        <v>31</v>
      </c>
      <c r="C60" s="28" t="str">
        <f t="shared" si="0"/>
        <v>*</v>
      </c>
      <c r="D60" s="28" t="str">
        <f t="shared" si="0"/>
        <v>*</v>
      </c>
      <c r="E60" s="28" t="str">
        <f t="shared" si="0"/>
        <v>*</v>
      </c>
      <c r="F60" s="28" t="str">
        <f t="shared" si="0"/>
        <v>*</v>
      </c>
      <c r="G60" s="28" t="str">
        <f t="shared" si="0"/>
        <v>*</v>
      </c>
      <c r="H60" s="28" t="str">
        <f t="shared" si="0"/>
        <v>*</v>
      </c>
      <c r="I60" s="28" t="str">
        <f t="shared" si="0"/>
        <v>*</v>
      </c>
      <c r="J60" s="28" t="str">
        <f t="shared" si="0"/>
        <v>*</v>
      </c>
      <c r="K60" s="28" t="str">
        <f t="shared" si="0"/>
        <v>*</v>
      </c>
      <c r="L60" s="28" t="str">
        <f t="shared" si="0"/>
        <v>*</v>
      </c>
      <c r="M60" s="28" t="str">
        <f t="shared" si="0"/>
        <v>*</v>
      </c>
      <c r="N60" s="28" t="str">
        <f t="shared" si="0"/>
        <v>*</v>
      </c>
      <c r="O60" s="28" t="str">
        <f t="shared" si="0"/>
        <v>*</v>
      </c>
      <c r="P60" s="28" t="str">
        <f t="shared" si="0"/>
        <v>*</v>
      </c>
      <c r="Q60" s="28" t="str">
        <f t="shared" si="0"/>
        <v>*</v>
      </c>
      <c r="R60" s="28" t="str">
        <f t="shared" si="0"/>
        <v>*</v>
      </c>
      <c r="S60" s="28" t="str">
        <f t="shared" si="0"/>
        <v>*</v>
      </c>
      <c r="T60" s="28" t="str">
        <f t="shared" si="0"/>
        <v>*</v>
      </c>
      <c r="U60" s="28" t="str">
        <f t="shared" si="0"/>
        <v>*</v>
      </c>
      <c r="V60" s="28" t="str">
        <f t="shared" si="0"/>
        <v>*</v>
      </c>
      <c r="W60" s="28" t="str">
        <f t="shared" si="0"/>
        <v>*</v>
      </c>
      <c r="X60" s="28" t="str">
        <f t="shared" si="0"/>
        <v>*</v>
      </c>
      <c r="Y60" s="28" t="str">
        <f t="shared" si="0"/>
        <v>*</v>
      </c>
      <c r="Z60" s="28" t="str">
        <f t="shared" si="0"/>
        <v>*</v>
      </c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</row>
    <row r="61" spans="1:63" s="17" customFormat="1" ht="15.6" hidden="1" customHeight="1">
      <c r="A61" s="30" t="s">
        <v>84</v>
      </c>
      <c r="B61" s="31" t="s">
        <v>33</v>
      </c>
      <c r="C61" s="28" t="str">
        <f t="shared" si="0"/>
        <v/>
      </c>
      <c r="D61" s="28" t="str">
        <f t="shared" si="0"/>
        <v/>
      </c>
      <c r="E61" s="28" t="str">
        <f t="shared" si="0"/>
        <v/>
      </c>
      <c r="F61" s="28" t="str">
        <f t="shared" si="0"/>
        <v/>
      </c>
      <c r="G61" s="28" t="str">
        <f t="shared" si="0"/>
        <v/>
      </c>
      <c r="H61" s="28" t="str">
        <f t="shared" si="0"/>
        <v/>
      </c>
      <c r="I61" s="28" t="str">
        <f t="shared" si="0"/>
        <v/>
      </c>
      <c r="J61" s="28" t="str">
        <f t="shared" si="0"/>
        <v/>
      </c>
      <c r="K61" s="28" t="str">
        <f t="shared" si="0"/>
        <v/>
      </c>
      <c r="L61" s="28" t="str">
        <f t="shared" si="0"/>
        <v/>
      </c>
      <c r="M61" s="28" t="str">
        <f t="shared" si="0"/>
        <v/>
      </c>
      <c r="N61" s="28" t="str">
        <f t="shared" si="0"/>
        <v/>
      </c>
      <c r="O61" s="28" t="str">
        <f t="shared" si="0"/>
        <v/>
      </c>
      <c r="P61" s="28" t="str">
        <f t="shared" si="0"/>
        <v/>
      </c>
      <c r="Q61" s="28" t="str">
        <f t="shared" si="0"/>
        <v/>
      </c>
      <c r="R61" s="28" t="str">
        <f t="shared" si="0"/>
        <v/>
      </c>
      <c r="S61" s="28" t="str">
        <f t="shared" si="0"/>
        <v/>
      </c>
      <c r="T61" s="28" t="str">
        <f t="shared" si="0"/>
        <v/>
      </c>
      <c r="U61" s="28" t="str">
        <f t="shared" si="0"/>
        <v/>
      </c>
      <c r="V61" s="28" t="str">
        <f t="shared" si="0"/>
        <v/>
      </c>
      <c r="W61" s="28" t="str">
        <f t="shared" si="0"/>
        <v/>
      </c>
      <c r="X61" s="28" t="str">
        <f t="shared" si="0"/>
        <v/>
      </c>
      <c r="Y61" s="28" t="str">
        <f t="shared" si="0"/>
        <v/>
      </c>
      <c r="Z61" s="28" t="str">
        <f t="shared" si="0"/>
        <v/>
      </c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</row>
    <row r="62" spans="1:63" s="17" customFormat="1" ht="15.6" hidden="1" customHeight="1">
      <c r="A62" s="30" t="s">
        <v>85</v>
      </c>
      <c r="B62" s="31" t="s">
        <v>35</v>
      </c>
      <c r="C62" s="28" t="str">
        <f t="shared" si="0"/>
        <v>*</v>
      </c>
      <c r="D62" s="28" t="str">
        <f t="shared" si="0"/>
        <v>*</v>
      </c>
      <c r="E62" s="28" t="str">
        <f t="shared" si="0"/>
        <v>*</v>
      </c>
      <c r="F62" s="28" t="str">
        <f t="shared" si="0"/>
        <v>*</v>
      </c>
      <c r="G62" s="28" t="str">
        <f t="shared" si="0"/>
        <v>*</v>
      </c>
      <c r="H62" s="28" t="str">
        <f t="shared" si="0"/>
        <v>*</v>
      </c>
      <c r="I62" s="28" t="str">
        <f t="shared" si="0"/>
        <v>*</v>
      </c>
      <c r="J62" s="28" t="str">
        <f t="shared" si="0"/>
        <v>*</v>
      </c>
      <c r="K62" s="28" t="str">
        <f t="shared" si="0"/>
        <v>*</v>
      </c>
      <c r="L62" s="28" t="str">
        <f t="shared" si="0"/>
        <v>*</v>
      </c>
      <c r="M62" s="28" t="str">
        <f t="shared" si="0"/>
        <v>*</v>
      </c>
      <c r="N62" s="28" t="str">
        <f t="shared" si="0"/>
        <v>*</v>
      </c>
      <c r="O62" s="28" t="str">
        <f t="shared" si="0"/>
        <v>*</v>
      </c>
      <c r="P62" s="28" t="str">
        <f t="shared" si="0"/>
        <v>*</v>
      </c>
      <c r="Q62" s="28" t="str">
        <f t="shared" si="0"/>
        <v>*</v>
      </c>
      <c r="R62" s="28" t="str">
        <f t="shared" si="0"/>
        <v>*</v>
      </c>
      <c r="S62" s="28" t="str">
        <f t="shared" si="0"/>
        <v>*</v>
      </c>
      <c r="T62" s="28" t="str">
        <f t="shared" si="0"/>
        <v>*</v>
      </c>
      <c r="U62" s="28" t="str">
        <f t="shared" si="0"/>
        <v>*</v>
      </c>
      <c r="V62" s="28" t="str">
        <f t="shared" si="0"/>
        <v>*</v>
      </c>
      <c r="W62" s="28" t="str">
        <f t="shared" si="0"/>
        <v>*</v>
      </c>
      <c r="X62" s="28" t="str">
        <f t="shared" si="0"/>
        <v>*</v>
      </c>
      <c r="Y62" s="28" t="str">
        <f t="shared" si="0"/>
        <v>*</v>
      </c>
      <c r="Z62" s="28" t="str">
        <f t="shared" si="0"/>
        <v>*</v>
      </c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</row>
    <row r="63" spans="1:63" s="17" customFormat="1" ht="15.6" hidden="1" customHeight="1">
      <c r="A63" s="30" t="s">
        <v>86</v>
      </c>
      <c r="B63" s="31" t="s">
        <v>37</v>
      </c>
      <c r="C63" s="28" t="str">
        <f t="shared" si="0"/>
        <v/>
      </c>
      <c r="D63" s="28" t="str">
        <f t="shared" si="0"/>
        <v/>
      </c>
      <c r="E63" s="28" t="str">
        <f t="shared" si="0"/>
        <v/>
      </c>
      <c r="F63" s="28" t="str">
        <f t="shared" si="0"/>
        <v/>
      </c>
      <c r="G63" s="28" t="str">
        <f t="shared" si="0"/>
        <v/>
      </c>
      <c r="H63" s="28" t="str">
        <f t="shared" si="0"/>
        <v/>
      </c>
      <c r="I63" s="28" t="str">
        <f t="shared" si="0"/>
        <v/>
      </c>
      <c r="J63" s="28" t="str">
        <f t="shared" si="0"/>
        <v/>
      </c>
      <c r="K63" s="28" t="str">
        <f t="shared" si="0"/>
        <v/>
      </c>
      <c r="L63" s="28" t="str">
        <f t="shared" si="0"/>
        <v/>
      </c>
      <c r="M63" s="28" t="str">
        <f t="shared" si="0"/>
        <v/>
      </c>
      <c r="N63" s="28" t="str">
        <f t="shared" si="0"/>
        <v/>
      </c>
      <c r="O63" s="28" t="str">
        <f t="shared" si="0"/>
        <v/>
      </c>
      <c r="P63" s="28" t="str">
        <f t="shared" si="0"/>
        <v/>
      </c>
      <c r="Q63" s="28" t="str">
        <f t="shared" si="0"/>
        <v/>
      </c>
      <c r="R63" s="28" t="str">
        <f t="shared" si="0"/>
        <v/>
      </c>
      <c r="S63" s="28" t="str">
        <f t="shared" si="0"/>
        <v/>
      </c>
      <c r="T63" s="28" t="str">
        <f t="shared" si="0"/>
        <v/>
      </c>
      <c r="U63" s="28" t="str">
        <f t="shared" si="0"/>
        <v/>
      </c>
      <c r="V63" s="28" t="str">
        <f t="shared" si="0"/>
        <v/>
      </c>
      <c r="W63" s="28" t="str">
        <f t="shared" si="0"/>
        <v/>
      </c>
      <c r="X63" s="28" t="str">
        <f t="shared" si="0"/>
        <v/>
      </c>
      <c r="Y63" s="28" t="str">
        <f t="shared" si="0"/>
        <v/>
      </c>
      <c r="Z63" s="28" t="str">
        <f t="shared" si="0"/>
        <v/>
      </c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</row>
    <row r="64" spans="1:63" s="17" customFormat="1" ht="15.6" hidden="1" customHeight="1">
      <c r="A64" s="34" t="s">
        <v>87</v>
      </c>
      <c r="B64" s="31" t="s">
        <v>39</v>
      </c>
      <c r="C64" s="28" t="str">
        <f t="shared" si="0"/>
        <v/>
      </c>
      <c r="D64" s="28" t="str">
        <f t="shared" si="0"/>
        <v/>
      </c>
      <c r="E64" s="28" t="str">
        <f t="shared" si="0"/>
        <v/>
      </c>
      <c r="F64" s="28" t="str">
        <f t="shared" si="0"/>
        <v/>
      </c>
      <c r="G64" s="28" t="str">
        <f t="shared" si="0"/>
        <v/>
      </c>
      <c r="H64" s="28" t="str">
        <f t="shared" si="0"/>
        <v/>
      </c>
      <c r="I64" s="28" t="str">
        <f t="shared" si="0"/>
        <v/>
      </c>
      <c r="J64" s="28" t="str">
        <f t="shared" si="0"/>
        <v/>
      </c>
      <c r="K64" s="28" t="str">
        <f t="shared" si="0"/>
        <v/>
      </c>
      <c r="L64" s="28" t="str">
        <f t="shared" si="0"/>
        <v/>
      </c>
      <c r="M64" s="28" t="str">
        <f t="shared" si="0"/>
        <v/>
      </c>
      <c r="N64" s="28" t="str">
        <f t="shared" si="0"/>
        <v/>
      </c>
      <c r="O64" s="28" t="str">
        <f t="shared" si="0"/>
        <v/>
      </c>
      <c r="P64" s="28" t="str">
        <f t="shared" si="0"/>
        <v/>
      </c>
      <c r="Q64" s="28" t="str">
        <f t="shared" si="0"/>
        <v/>
      </c>
      <c r="R64" s="28" t="str">
        <f t="shared" si="0"/>
        <v/>
      </c>
      <c r="S64" s="28" t="str">
        <f t="shared" si="0"/>
        <v/>
      </c>
      <c r="T64" s="28" t="str">
        <f t="shared" si="0"/>
        <v/>
      </c>
      <c r="U64" s="28" t="str">
        <f t="shared" si="0"/>
        <v/>
      </c>
      <c r="V64" s="28" t="str">
        <f t="shared" si="0"/>
        <v/>
      </c>
      <c r="W64" s="28" t="str">
        <f t="shared" si="0"/>
        <v/>
      </c>
      <c r="X64" s="28" t="str">
        <f t="shared" si="0"/>
        <v/>
      </c>
      <c r="Y64" s="28" t="str">
        <f t="shared" si="0"/>
        <v/>
      </c>
      <c r="Z64" s="28" t="str">
        <f t="shared" si="0"/>
        <v/>
      </c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</row>
    <row r="65" spans="1:45" ht="15.6" hidden="1" customHeight="1">
      <c r="A65" s="35" t="s">
        <v>88</v>
      </c>
      <c r="B65" s="36" t="s">
        <v>41</v>
      </c>
      <c r="C65" s="28" t="str">
        <f t="shared" si="0"/>
        <v/>
      </c>
      <c r="D65" s="28" t="str">
        <f t="shared" si="0"/>
        <v/>
      </c>
      <c r="E65" s="28" t="str">
        <f t="shared" si="0"/>
        <v/>
      </c>
      <c r="F65" s="28" t="str">
        <f t="shared" si="0"/>
        <v/>
      </c>
      <c r="G65" s="28" t="str">
        <f t="shared" si="0"/>
        <v/>
      </c>
      <c r="H65" s="28" t="str">
        <f t="shared" si="0"/>
        <v/>
      </c>
      <c r="I65" s="28" t="str">
        <f t="shared" si="0"/>
        <v/>
      </c>
      <c r="J65" s="28" t="str">
        <f t="shared" si="0"/>
        <v/>
      </c>
      <c r="K65" s="28" t="str">
        <f t="shared" si="0"/>
        <v/>
      </c>
      <c r="L65" s="28" t="str">
        <f t="shared" si="0"/>
        <v/>
      </c>
      <c r="M65" s="28" t="str">
        <f t="shared" si="0"/>
        <v/>
      </c>
      <c r="N65" s="28" t="str">
        <f t="shared" si="0"/>
        <v/>
      </c>
      <c r="O65" s="28" t="str">
        <f t="shared" si="0"/>
        <v/>
      </c>
      <c r="P65" s="28" t="str">
        <f t="shared" si="0"/>
        <v/>
      </c>
      <c r="Q65" s="28" t="str">
        <f t="shared" si="0"/>
        <v/>
      </c>
      <c r="R65" s="28" t="str">
        <f t="shared" si="0"/>
        <v/>
      </c>
      <c r="S65" s="28" t="str">
        <f t="shared" si="0"/>
        <v/>
      </c>
      <c r="T65" s="28" t="str">
        <f t="shared" si="0"/>
        <v/>
      </c>
      <c r="U65" s="28" t="str">
        <f t="shared" si="0"/>
        <v/>
      </c>
      <c r="V65" s="28" t="str">
        <f t="shared" si="0"/>
        <v/>
      </c>
      <c r="W65" s="28" t="str">
        <f t="shared" si="0"/>
        <v/>
      </c>
      <c r="X65" s="28" t="str">
        <f t="shared" si="0"/>
        <v/>
      </c>
      <c r="Y65" s="28" t="str">
        <f t="shared" si="0"/>
        <v/>
      </c>
      <c r="Z65" s="28" t="str">
        <f t="shared" si="0"/>
        <v/>
      </c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</row>
    <row r="66" spans="1:45" ht="15.6" hidden="1" customHeight="1">
      <c r="A66" s="35" t="s">
        <v>89</v>
      </c>
      <c r="B66" s="36" t="s">
        <v>43</v>
      </c>
      <c r="C66" s="28" t="str">
        <f t="shared" si="0"/>
        <v/>
      </c>
      <c r="D66" s="28" t="str">
        <f t="shared" si="0"/>
        <v/>
      </c>
      <c r="E66" s="28" t="str">
        <f t="shared" si="0"/>
        <v/>
      </c>
      <c r="F66" s="28" t="str">
        <f t="shared" si="0"/>
        <v/>
      </c>
      <c r="G66" s="28" t="str">
        <f t="shared" si="0"/>
        <v/>
      </c>
      <c r="H66" s="28" t="str">
        <f t="shared" si="0"/>
        <v/>
      </c>
      <c r="I66" s="28" t="str">
        <f t="shared" si="0"/>
        <v/>
      </c>
      <c r="J66" s="28" t="str">
        <f t="shared" si="0"/>
        <v/>
      </c>
      <c r="K66" s="28" t="str">
        <f t="shared" si="0"/>
        <v/>
      </c>
      <c r="L66" s="28" t="str">
        <f t="shared" si="0"/>
        <v/>
      </c>
      <c r="M66" s="28" t="str">
        <f t="shared" si="0"/>
        <v/>
      </c>
      <c r="N66" s="28" t="str">
        <f t="shared" si="0"/>
        <v/>
      </c>
      <c r="O66" s="28" t="str">
        <f t="shared" si="0"/>
        <v/>
      </c>
      <c r="P66" s="28" t="str">
        <f t="shared" si="0"/>
        <v/>
      </c>
      <c r="Q66" s="28" t="str">
        <f t="shared" si="0"/>
        <v/>
      </c>
      <c r="R66" s="28" t="str">
        <f t="shared" si="0"/>
        <v/>
      </c>
      <c r="S66" s="28" t="str">
        <f t="shared" si="0"/>
        <v/>
      </c>
      <c r="T66" s="28" t="str">
        <f t="shared" si="0"/>
        <v/>
      </c>
      <c r="U66" s="28" t="str">
        <f t="shared" si="0"/>
        <v/>
      </c>
      <c r="V66" s="28" t="str">
        <f t="shared" si="0"/>
        <v/>
      </c>
      <c r="W66" s="28" t="str">
        <f t="shared" si="0"/>
        <v/>
      </c>
      <c r="X66" s="28" t="str">
        <f t="shared" si="0"/>
        <v/>
      </c>
      <c r="Y66" s="28" t="str">
        <f t="shared" si="0"/>
        <v/>
      </c>
      <c r="Z66" s="28" t="str">
        <f t="shared" si="0"/>
        <v/>
      </c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</row>
    <row r="67" spans="1:45" ht="15.6" hidden="1" customHeight="1">
      <c r="A67" s="35" t="s">
        <v>90</v>
      </c>
      <c r="B67" s="36" t="s">
        <v>45</v>
      </c>
      <c r="C67" s="28" t="str">
        <f t="shared" si="0"/>
        <v>*</v>
      </c>
      <c r="D67" s="28" t="str">
        <f t="shared" si="0"/>
        <v>*</v>
      </c>
      <c r="E67" s="28" t="str">
        <f t="shared" si="0"/>
        <v>*</v>
      </c>
      <c r="F67" s="28" t="str">
        <f t="shared" si="0"/>
        <v>*</v>
      </c>
      <c r="G67" s="28" t="str">
        <f t="shared" si="0"/>
        <v>*</v>
      </c>
      <c r="H67" s="28" t="str">
        <f t="shared" si="0"/>
        <v>*</v>
      </c>
      <c r="I67" s="28" t="str">
        <f t="shared" si="0"/>
        <v>*</v>
      </c>
      <c r="J67" s="28" t="str">
        <f t="shared" si="0"/>
        <v>*</v>
      </c>
      <c r="K67" s="28" t="str">
        <f t="shared" si="0"/>
        <v>*</v>
      </c>
      <c r="L67" s="28" t="str">
        <f t="shared" si="0"/>
        <v>*</v>
      </c>
      <c r="M67" s="28" t="str">
        <f t="shared" si="0"/>
        <v>*</v>
      </c>
      <c r="N67" s="28" t="str">
        <f t="shared" si="0"/>
        <v>*</v>
      </c>
      <c r="O67" s="28" t="str">
        <f t="shared" si="0"/>
        <v>*</v>
      </c>
      <c r="P67" s="28" t="str">
        <f t="shared" si="0"/>
        <v>*</v>
      </c>
      <c r="Q67" s="28" t="str">
        <f t="shared" si="0"/>
        <v>*</v>
      </c>
      <c r="R67" s="28" t="str">
        <f t="shared" si="0"/>
        <v>*</v>
      </c>
      <c r="S67" s="28" t="str">
        <f t="shared" si="0"/>
        <v>*</v>
      </c>
      <c r="T67" s="28" t="str">
        <f t="shared" si="0"/>
        <v>*</v>
      </c>
      <c r="U67" s="28" t="str">
        <f t="shared" si="0"/>
        <v>*</v>
      </c>
      <c r="V67" s="28" t="str">
        <f t="shared" si="0"/>
        <v>*</v>
      </c>
      <c r="W67" s="28" t="str">
        <f t="shared" si="0"/>
        <v>*</v>
      </c>
      <c r="X67" s="28" t="str">
        <f t="shared" si="0"/>
        <v>*</v>
      </c>
      <c r="Y67" s="28" t="str">
        <f t="shared" si="0"/>
        <v>*</v>
      </c>
      <c r="Z67" s="28" t="str">
        <f t="shared" si="0"/>
        <v>*</v>
      </c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</row>
    <row r="68" spans="1:45" ht="15.6" hidden="1" customHeight="1">
      <c r="A68" s="35" t="s">
        <v>91</v>
      </c>
      <c r="B68" s="36" t="s">
        <v>47</v>
      </c>
      <c r="C68" s="28" t="str">
        <f t="shared" si="0"/>
        <v>*</v>
      </c>
      <c r="D68" s="28" t="str">
        <f t="shared" si="0"/>
        <v>*</v>
      </c>
      <c r="E68" s="28" t="str">
        <f t="shared" si="0"/>
        <v>*</v>
      </c>
      <c r="F68" s="28" t="str">
        <f t="shared" si="0"/>
        <v>*</v>
      </c>
      <c r="G68" s="28" t="str">
        <f t="shared" si="0"/>
        <v>*</v>
      </c>
      <c r="H68" s="28" t="str">
        <f t="shared" si="0"/>
        <v>*</v>
      </c>
      <c r="I68" s="28" t="str">
        <f t="shared" si="0"/>
        <v>*</v>
      </c>
      <c r="J68" s="28" t="str">
        <f t="shared" si="0"/>
        <v>*</v>
      </c>
      <c r="K68" s="28" t="str">
        <f t="shared" si="0"/>
        <v>*</v>
      </c>
      <c r="L68" s="28" t="str">
        <f t="shared" si="0"/>
        <v>*</v>
      </c>
      <c r="M68" s="28" t="str">
        <f t="shared" si="0"/>
        <v>*</v>
      </c>
      <c r="N68" s="28" t="str">
        <f t="shared" si="0"/>
        <v>*</v>
      </c>
      <c r="O68" s="28" t="str">
        <f t="shared" si="0"/>
        <v>*</v>
      </c>
      <c r="P68" s="28" t="str">
        <f t="shared" si="0"/>
        <v>*</v>
      </c>
      <c r="Q68" s="28" t="str">
        <f t="shared" si="0"/>
        <v>*</v>
      </c>
      <c r="R68" s="28" t="str">
        <f t="shared" ref="D68:Z79" si="1">IF(R44=R17,"","*")</f>
        <v>*</v>
      </c>
      <c r="S68" s="28" t="str">
        <f t="shared" si="1"/>
        <v>*</v>
      </c>
      <c r="T68" s="28" t="str">
        <f t="shared" si="1"/>
        <v>*</v>
      </c>
      <c r="U68" s="28" t="str">
        <f t="shared" si="1"/>
        <v>*</v>
      </c>
      <c r="V68" s="28" t="str">
        <f t="shared" si="1"/>
        <v>*</v>
      </c>
      <c r="W68" s="28" t="str">
        <f t="shared" si="1"/>
        <v>*</v>
      </c>
      <c r="X68" s="28" t="str">
        <f t="shared" si="1"/>
        <v>*</v>
      </c>
      <c r="Y68" s="28" t="str">
        <f t="shared" si="1"/>
        <v>*</v>
      </c>
      <c r="Z68" s="28" t="str">
        <f t="shared" si="1"/>
        <v>*</v>
      </c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</row>
    <row r="69" spans="1:45" ht="15.6" hidden="1" customHeight="1">
      <c r="A69" s="35" t="s">
        <v>92</v>
      </c>
      <c r="B69" s="36" t="s">
        <v>49</v>
      </c>
      <c r="C69" s="28" t="str">
        <f t="shared" ref="C69:C80" si="2">IF(C45=C18,"","*")</f>
        <v>*</v>
      </c>
      <c r="D69" s="28" t="str">
        <f t="shared" si="1"/>
        <v>*</v>
      </c>
      <c r="E69" s="28" t="str">
        <f t="shared" si="1"/>
        <v>*</v>
      </c>
      <c r="F69" s="28" t="str">
        <f t="shared" si="1"/>
        <v>*</v>
      </c>
      <c r="G69" s="28" t="str">
        <f t="shared" si="1"/>
        <v>*</v>
      </c>
      <c r="H69" s="28" t="str">
        <f t="shared" si="1"/>
        <v>*</v>
      </c>
      <c r="I69" s="28" t="str">
        <f t="shared" si="1"/>
        <v>*</v>
      </c>
      <c r="J69" s="28" t="str">
        <f t="shared" si="1"/>
        <v>*</v>
      </c>
      <c r="K69" s="28" t="str">
        <f t="shared" si="1"/>
        <v>*</v>
      </c>
      <c r="L69" s="28" t="str">
        <f t="shared" si="1"/>
        <v>*</v>
      </c>
      <c r="M69" s="28" t="str">
        <f t="shared" si="1"/>
        <v>*</v>
      </c>
      <c r="N69" s="28" t="str">
        <f t="shared" si="1"/>
        <v>*</v>
      </c>
      <c r="O69" s="28" t="str">
        <f t="shared" si="1"/>
        <v>*</v>
      </c>
      <c r="P69" s="28" t="str">
        <f t="shared" si="1"/>
        <v>*</v>
      </c>
      <c r="Q69" s="28" t="str">
        <f t="shared" si="1"/>
        <v>*</v>
      </c>
      <c r="R69" s="28" t="str">
        <f t="shared" si="1"/>
        <v>*</v>
      </c>
      <c r="S69" s="28" t="str">
        <f t="shared" si="1"/>
        <v>*</v>
      </c>
      <c r="T69" s="28" t="str">
        <f t="shared" si="1"/>
        <v>*</v>
      </c>
      <c r="U69" s="28" t="str">
        <f t="shared" si="1"/>
        <v>*</v>
      </c>
      <c r="V69" s="28" t="str">
        <f t="shared" si="1"/>
        <v>*</v>
      </c>
      <c r="W69" s="28" t="str">
        <f t="shared" si="1"/>
        <v>*</v>
      </c>
      <c r="X69" s="28" t="str">
        <f t="shared" si="1"/>
        <v>*</v>
      </c>
      <c r="Y69" s="28" t="str">
        <f t="shared" si="1"/>
        <v>*</v>
      </c>
      <c r="Z69" s="28" t="str">
        <f t="shared" si="1"/>
        <v>*</v>
      </c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</row>
    <row r="70" spans="1:45" ht="15.6" hidden="1" customHeight="1">
      <c r="A70" s="35" t="s">
        <v>93</v>
      </c>
      <c r="B70" s="36" t="s">
        <v>51</v>
      </c>
      <c r="C70" s="28" t="str">
        <f t="shared" si="2"/>
        <v/>
      </c>
      <c r="D70" s="28" t="str">
        <f t="shared" si="1"/>
        <v/>
      </c>
      <c r="E70" s="28" t="str">
        <f t="shared" si="1"/>
        <v/>
      </c>
      <c r="F70" s="28" t="str">
        <f t="shared" si="1"/>
        <v/>
      </c>
      <c r="G70" s="28" t="str">
        <f t="shared" si="1"/>
        <v/>
      </c>
      <c r="H70" s="28" t="str">
        <f t="shared" si="1"/>
        <v/>
      </c>
      <c r="I70" s="28" t="str">
        <f t="shared" si="1"/>
        <v/>
      </c>
      <c r="J70" s="28" t="str">
        <f t="shared" si="1"/>
        <v/>
      </c>
      <c r="K70" s="28" t="str">
        <f t="shared" si="1"/>
        <v/>
      </c>
      <c r="L70" s="28" t="str">
        <f t="shared" si="1"/>
        <v/>
      </c>
      <c r="M70" s="28" t="str">
        <f t="shared" si="1"/>
        <v/>
      </c>
      <c r="N70" s="28" t="str">
        <f t="shared" si="1"/>
        <v/>
      </c>
      <c r="O70" s="28" t="str">
        <f t="shared" si="1"/>
        <v/>
      </c>
      <c r="P70" s="28" t="str">
        <f t="shared" si="1"/>
        <v/>
      </c>
      <c r="Q70" s="28" t="str">
        <f t="shared" si="1"/>
        <v/>
      </c>
      <c r="R70" s="28" t="str">
        <f t="shared" si="1"/>
        <v/>
      </c>
      <c r="S70" s="28" t="str">
        <f t="shared" si="1"/>
        <v/>
      </c>
      <c r="T70" s="28" t="str">
        <f t="shared" si="1"/>
        <v/>
      </c>
      <c r="U70" s="28" t="str">
        <f t="shared" si="1"/>
        <v/>
      </c>
      <c r="V70" s="28" t="str">
        <f t="shared" si="1"/>
        <v/>
      </c>
      <c r="W70" s="28" t="str">
        <f t="shared" si="1"/>
        <v/>
      </c>
      <c r="X70" s="28" t="str">
        <f t="shared" si="1"/>
        <v/>
      </c>
      <c r="Y70" s="28" t="str">
        <f t="shared" si="1"/>
        <v/>
      </c>
      <c r="Z70" s="28" t="str">
        <f t="shared" si="1"/>
        <v/>
      </c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</row>
    <row r="71" spans="1:45" ht="15.6" hidden="1" customHeight="1">
      <c r="A71" s="35" t="s">
        <v>94</v>
      </c>
      <c r="B71" s="36" t="s">
        <v>53</v>
      </c>
      <c r="C71" s="28" t="str">
        <f t="shared" si="2"/>
        <v>*</v>
      </c>
      <c r="D71" s="28" t="str">
        <f t="shared" si="1"/>
        <v>*</v>
      </c>
      <c r="E71" s="28" t="str">
        <f t="shared" si="1"/>
        <v>*</v>
      </c>
      <c r="F71" s="28" t="str">
        <f t="shared" si="1"/>
        <v>*</v>
      </c>
      <c r="G71" s="28" t="str">
        <f t="shared" si="1"/>
        <v>*</v>
      </c>
      <c r="H71" s="28" t="str">
        <f t="shared" si="1"/>
        <v>*</v>
      </c>
      <c r="I71" s="28" t="str">
        <f t="shared" si="1"/>
        <v>*</v>
      </c>
      <c r="J71" s="28" t="str">
        <f t="shared" si="1"/>
        <v>*</v>
      </c>
      <c r="K71" s="28" t="str">
        <f t="shared" si="1"/>
        <v>*</v>
      </c>
      <c r="L71" s="28" t="str">
        <f t="shared" si="1"/>
        <v>*</v>
      </c>
      <c r="M71" s="28" t="str">
        <f t="shared" si="1"/>
        <v>*</v>
      </c>
      <c r="N71" s="28" t="str">
        <f t="shared" si="1"/>
        <v>*</v>
      </c>
      <c r="O71" s="28" t="str">
        <f t="shared" si="1"/>
        <v>*</v>
      </c>
      <c r="P71" s="28" t="str">
        <f t="shared" si="1"/>
        <v>*</v>
      </c>
      <c r="Q71" s="28" t="str">
        <f t="shared" si="1"/>
        <v>*</v>
      </c>
      <c r="R71" s="28" t="str">
        <f t="shared" si="1"/>
        <v>*</v>
      </c>
      <c r="S71" s="28" t="str">
        <f t="shared" si="1"/>
        <v>*</v>
      </c>
      <c r="T71" s="28" t="str">
        <f t="shared" si="1"/>
        <v>*</v>
      </c>
      <c r="U71" s="28" t="str">
        <f t="shared" si="1"/>
        <v>*</v>
      </c>
      <c r="V71" s="28" t="str">
        <f t="shared" si="1"/>
        <v>*</v>
      </c>
      <c r="W71" s="28" t="str">
        <f t="shared" si="1"/>
        <v>*</v>
      </c>
      <c r="X71" s="28" t="str">
        <f t="shared" si="1"/>
        <v>*</v>
      </c>
      <c r="Y71" s="28" t="str">
        <f t="shared" si="1"/>
        <v>*</v>
      </c>
      <c r="Z71" s="28" t="str">
        <f t="shared" si="1"/>
        <v>*</v>
      </c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</row>
    <row r="72" spans="1:45" ht="15.6" hidden="1" customHeight="1">
      <c r="A72" s="35" t="s">
        <v>95</v>
      </c>
      <c r="B72" s="36" t="s">
        <v>55</v>
      </c>
      <c r="C72" s="28" t="str">
        <f t="shared" si="2"/>
        <v>*</v>
      </c>
      <c r="D72" s="28" t="str">
        <f t="shared" si="1"/>
        <v>*</v>
      </c>
      <c r="E72" s="28" t="str">
        <f t="shared" si="1"/>
        <v>*</v>
      </c>
      <c r="F72" s="28" t="str">
        <f t="shared" si="1"/>
        <v>*</v>
      </c>
      <c r="G72" s="28" t="str">
        <f t="shared" si="1"/>
        <v>*</v>
      </c>
      <c r="H72" s="28" t="str">
        <f t="shared" si="1"/>
        <v>*</v>
      </c>
      <c r="I72" s="28" t="str">
        <f t="shared" si="1"/>
        <v>*</v>
      </c>
      <c r="J72" s="28" t="str">
        <f t="shared" si="1"/>
        <v>*</v>
      </c>
      <c r="K72" s="28" t="str">
        <f t="shared" si="1"/>
        <v/>
      </c>
      <c r="L72" s="28" t="str">
        <f t="shared" si="1"/>
        <v>*</v>
      </c>
      <c r="M72" s="28" t="str">
        <f t="shared" si="1"/>
        <v>*</v>
      </c>
      <c r="N72" s="28" t="str">
        <f t="shared" si="1"/>
        <v>*</v>
      </c>
      <c r="O72" s="28" t="str">
        <f t="shared" si="1"/>
        <v>*</v>
      </c>
      <c r="P72" s="28" t="str">
        <f t="shared" si="1"/>
        <v>*</v>
      </c>
      <c r="Q72" s="28" t="str">
        <f t="shared" si="1"/>
        <v>*</v>
      </c>
      <c r="R72" s="28" t="str">
        <f t="shared" si="1"/>
        <v>*</v>
      </c>
      <c r="S72" s="28" t="str">
        <f t="shared" si="1"/>
        <v>*</v>
      </c>
      <c r="T72" s="28" t="str">
        <f t="shared" si="1"/>
        <v>*</v>
      </c>
      <c r="U72" s="28" t="str">
        <f t="shared" si="1"/>
        <v>*</v>
      </c>
      <c r="V72" s="28" t="str">
        <f t="shared" si="1"/>
        <v>*</v>
      </c>
      <c r="W72" s="28" t="str">
        <f t="shared" si="1"/>
        <v/>
      </c>
      <c r="X72" s="28" t="str">
        <f t="shared" si="1"/>
        <v>*</v>
      </c>
      <c r="Y72" s="28" t="str">
        <f t="shared" si="1"/>
        <v>*</v>
      </c>
      <c r="Z72" s="28" t="str">
        <f t="shared" si="1"/>
        <v>*</v>
      </c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</row>
    <row r="73" spans="1:45" ht="15.6" hidden="1" customHeight="1">
      <c r="A73" s="35" t="s">
        <v>96</v>
      </c>
      <c r="B73" s="36" t="s">
        <v>57</v>
      </c>
      <c r="C73" s="28" t="str">
        <f t="shared" si="2"/>
        <v>*</v>
      </c>
      <c r="D73" s="28" t="str">
        <f t="shared" si="1"/>
        <v>*</v>
      </c>
      <c r="E73" s="28" t="str">
        <f t="shared" si="1"/>
        <v>*</v>
      </c>
      <c r="F73" s="28" t="str">
        <f t="shared" si="1"/>
        <v>*</v>
      </c>
      <c r="G73" s="28" t="str">
        <f t="shared" si="1"/>
        <v>*</v>
      </c>
      <c r="H73" s="28" t="str">
        <f t="shared" si="1"/>
        <v>*</v>
      </c>
      <c r="I73" s="28" t="str">
        <f t="shared" si="1"/>
        <v>*</v>
      </c>
      <c r="J73" s="28" t="str">
        <f t="shared" si="1"/>
        <v>*</v>
      </c>
      <c r="K73" s="28" t="str">
        <f t="shared" si="1"/>
        <v>*</v>
      </c>
      <c r="L73" s="28" t="str">
        <f t="shared" si="1"/>
        <v>*</v>
      </c>
      <c r="M73" s="28" t="str">
        <f t="shared" si="1"/>
        <v>*</v>
      </c>
      <c r="N73" s="28" t="str">
        <f t="shared" si="1"/>
        <v>*</v>
      </c>
      <c r="O73" s="28" t="str">
        <f t="shared" si="1"/>
        <v>*</v>
      </c>
      <c r="P73" s="28" t="str">
        <f t="shared" si="1"/>
        <v>*</v>
      </c>
      <c r="Q73" s="28" t="str">
        <f t="shared" si="1"/>
        <v>*</v>
      </c>
      <c r="R73" s="28" t="str">
        <f t="shared" si="1"/>
        <v>*</v>
      </c>
      <c r="S73" s="28" t="str">
        <f t="shared" si="1"/>
        <v>*</v>
      </c>
      <c r="T73" s="28" t="str">
        <f t="shared" si="1"/>
        <v>*</v>
      </c>
      <c r="U73" s="28" t="str">
        <f t="shared" si="1"/>
        <v>*</v>
      </c>
      <c r="V73" s="28" t="str">
        <f t="shared" si="1"/>
        <v>*</v>
      </c>
      <c r="W73" s="28" t="str">
        <f t="shared" si="1"/>
        <v>*</v>
      </c>
      <c r="X73" s="28" t="str">
        <f t="shared" si="1"/>
        <v>*</v>
      </c>
      <c r="Y73" s="28" t="str">
        <f t="shared" si="1"/>
        <v>*</v>
      </c>
      <c r="Z73" s="28" t="str">
        <f t="shared" si="1"/>
        <v>*</v>
      </c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</row>
    <row r="74" spans="1:45" ht="15.6" hidden="1" customHeight="1">
      <c r="A74" s="35" t="s">
        <v>97</v>
      </c>
      <c r="B74" s="36" t="s">
        <v>59</v>
      </c>
      <c r="C74" s="28" t="str">
        <f t="shared" si="2"/>
        <v>*</v>
      </c>
      <c r="D74" s="28" t="str">
        <f t="shared" si="1"/>
        <v>*</v>
      </c>
      <c r="E74" s="28" t="str">
        <f t="shared" si="1"/>
        <v>*</v>
      </c>
      <c r="F74" s="28" t="str">
        <f t="shared" si="1"/>
        <v>*</v>
      </c>
      <c r="G74" s="28" t="str">
        <f t="shared" si="1"/>
        <v>*</v>
      </c>
      <c r="H74" s="28" t="str">
        <f t="shared" si="1"/>
        <v>*</v>
      </c>
      <c r="I74" s="28" t="str">
        <f t="shared" si="1"/>
        <v>*</v>
      </c>
      <c r="J74" s="28" t="str">
        <f t="shared" si="1"/>
        <v/>
      </c>
      <c r="K74" s="28" t="str">
        <f t="shared" si="1"/>
        <v>*</v>
      </c>
      <c r="L74" s="28" t="str">
        <f t="shared" si="1"/>
        <v>*</v>
      </c>
      <c r="M74" s="28" t="str">
        <f t="shared" si="1"/>
        <v>*</v>
      </c>
      <c r="N74" s="28" t="str">
        <f t="shared" si="1"/>
        <v>*</v>
      </c>
      <c r="O74" s="28" t="str">
        <f t="shared" si="1"/>
        <v>*</v>
      </c>
      <c r="P74" s="28" t="str">
        <f t="shared" si="1"/>
        <v>*</v>
      </c>
      <c r="Q74" s="28" t="str">
        <f t="shared" si="1"/>
        <v>*</v>
      </c>
      <c r="R74" s="28" t="str">
        <f t="shared" si="1"/>
        <v>*</v>
      </c>
      <c r="S74" s="28" t="str">
        <f t="shared" si="1"/>
        <v>*</v>
      </c>
      <c r="T74" s="28" t="str">
        <f t="shared" si="1"/>
        <v>*</v>
      </c>
      <c r="U74" s="28" t="str">
        <f t="shared" si="1"/>
        <v>*</v>
      </c>
      <c r="V74" s="28" t="str">
        <f t="shared" si="1"/>
        <v/>
      </c>
      <c r="W74" s="28" t="str">
        <f t="shared" si="1"/>
        <v>*</v>
      </c>
      <c r="X74" s="28" t="str">
        <f t="shared" si="1"/>
        <v>*</v>
      </c>
      <c r="Y74" s="28" t="str">
        <f t="shared" si="1"/>
        <v>*</v>
      </c>
      <c r="Z74" s="28" t="str">
        <f t="shared" si="1"/>
        <v>*</v>
      </c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</row>
    <row r="75" spans="1:45" ht="15.6" hidden="1" customHeight="1">
      <c r="A75" s="35" t="s">
        <v>98</v>
      </c>
      <c r="B75" s="36" t="s">
        <v>61</v>
      </c>
      <c r="C75" s="28" t="str">
        <f t="shared" si="2"/>
        <v>*</v>
      </c>
      <c r="D75" s="28" t="str">
        <f t="shared" si="1"/>
        <v>*</v>
      </c>
      <c r="E75" s="28" t="str">
        <f t="shared" si="1"/>
        <v>*</v>
      </c>
      <c r="F75" s="28" t="str">
        <f t="shared" si="1"/>
        <v/>
      </c>
      <c r="G75" s="28" t="str">
        <f t="shared" si="1"/>
        <v/>
      </c>
      <c r="H75" s="28" t="str">
        <f t="shared" si="1"/>
        <v/>
      </c>
      <c r="I75" s="28" t="str">
        <f t="shared" si="1"/>
        <v>*</v>
      </c>
      <c r="J75" s="28" t="str">
        <f t="shared" si="1"/>
        <v>*</v>
      </c>
      <c r="K75" s="28" t="str">
        <f t="shared" si="1"/>
        <v/>
      </c>
      <c r="L75" s="28" t="str">
        <f t="shared" si="1"/>
        <v>*</v>
      </c>
      <c r="M75" s="28" t="str">
        <f t="shared" si="1"/>
        <v>*</v>
      </c>
      <c r="N75" s="28" t="str">
        <f t="shared" si="1"/>
        <v>*</v>
      </c>
      <c r="O75" s="28" t="str">
        <f t="shared" si="1"/>
        <v>*</v>
      </c>
      <c r="P75" s="28" t="str">
        <f t="shared" si="1"/>
        <v>*</v>
      </c>
      <c r="Q75" s="28" t="str">
        <f t="shared" si="1"/>
        <v>*</v>
      </c>
      <c r="R75" s="28" t="str">
        <f t="shared" si="1"/>
        <v/>
      </c>
      <c r="S75" s="28" t="str">
        <f t="shared" si="1"/>
        <v/>
      </c>
      <c r="T75" s="28" t="str">
        <f t="shared" si="1"/>
        <v/>
      </c>
      <c r="U75" s="28" t="str">
        <f t="shared" si="1"/>
        <v>*</v>
      </c>
      <c r="V75" s="28" t="str">
        <f t="shared" si="1"/>
        <v>*</v>
      </c>
      <c r="W75" s="28" t="str">
        <f t="shared" si="1"/>
        <v/>
      </c>
      <c r="X75" s="28" t="str">
        <f t="shared" si="1"/>
        <v>*</v>
      </c>
      <c r="Y75" s="28" t="str">
        <f t="shared" si="1"/>
        <v>*</v>
      </c>
      <c r="Z75" s="28" t="str">
        <f t="shared" si="1"/>
        <v>*</v>
      </c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</row>
    <row r="76" spans="1:45" ht="15.6" hidden="1" customHeight="1">
      <c r="A76" s="35" t="s">
        <v>99</v>
      </c>
      <c r="B76" s="36" t="s">
        <v>63</v>
      </c>
      <c r="C76" s="28" t="str">
        <f t="shared" si="2"/>
        <v>*</v>
      </c>
      <c r="D76" s="28" t="str">
        <f t="shared" si="1"/>
        <v>*</v>
      </c>
      <c r="E76" s="28" t="str">
        <f t="shared" si="1"/>
        <v>*</v>
      </c>
      <c r="F76" s="28" t="str">
        <f t="shared" si="1"/>
        <v>*</v>
      </c>
      <c r="G76" s="28" t="str">
        <f t="shared" si="1"/>
        <v/>
      </c>
      <c r="H76" s="28" t="str">
        <f t="shared" si="1"/>
        <v>*</v>
      </c>
      <c r="I76" s="28" t="str">
        <f t="shared" si="1"/>
        <v>*</v>
      </c>
      <c r="J76" s="28" t="str">
        <f t="shared" si="1"/>
        <v>*</v>
      </c>
      <c r="K76" s="28" t="str">
        <f t="shared" si="1"/>
        <v/>
      </c>
      <c r="L76" s="28" t="str">
        <f t="shared" si="1"/>
        <v>*</v>
      </c>
      <c r="M76" s="28" t="str">
        <f t="shared" si="1"/>
        <v>*</v>
      </c>
      <c r="N76" s="28" t="str">
        <f t="shared" si="1"/>
        <v>*</v>
      </c>
      <c r="O76" s="28" t="str">
        <f t="shared" si="1"/>
        <v>*</v>
      </c>
      <c r="P76" s="28" t="str">
        <f t="shared" si="1"/>
        <v>*</v>
      </c>
      <c r="Q76" s="28" t="str">
        <f t="shared" si="1"/>
        <v>*</v>
      </c>
      <c r="R76" s="28" t="str">
        <f t="shared" si="1"/>
        <v>*</v>
      </c>
      <c r="S76" s="28" t="str">
        <f t="shared" si="1"/>
        <v/>
      </c>
      <c r="T76" s="28" t="str">
        <f t="shared" si="1"/>
        <v>*</v>
      </c>
      <c r="U76" s="28" t="str">
        <f t="shared" si="1"/>
        <v>*</v>
      </c>
      <c r="V76" s="28" t="str">
        <f t="shared" si="1"/>
        <v>*</v>
      </c>
      <c r="W76" s="28" t="str">
        <f t="shared" si="1"/>
        <v/>
      </c>
      <c r="X76" s="28" t="str">
        <f t="shared" si="1"/>
        <v>*</v>
      </c>
      <c r="Y76" s="28" t="str">
        <f t="shared" si="1"/>
        <v>*</v>
      </c>
      <c r="Z76" s="28" t="str">
        <f t="shared" si="1"/>
        <v>*</v>
      </c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</row>
    <row r="77" spans="1:45" ht="15.6" hidden="1" customHeight="1">
      <c r="A77" s="35" t="s">
        <v>100</v>
      </c>
      <c r="B77" s="36" t="s">
        <v>65</v>
      </c>
      <c r="C77" s="28" t="str">
        <f t="shared" si="2"/>
        <v>*</v>
      </c>
      <c r="D77" s="28" t="str">
        <f t="shared" si="1"/>
        <v>*</v>
      </c>
      <c r="E77" s="28" t="str">
        <f t="shared" si="1"/>
        <v>*</v>
      </c>
      <c r="F77" s="28" t="str">
        <f t="shared" si="1"/>
        <v>*</v>
      </c>
      <c r="G77" s="28" t="str">
        <f t="shared" si="1"/>
        <v>*</v>
      </c>
      <c r="H77" s="28" t="str">
        <f t="shared" si="1"/>
        <v>*</v>
      </c>
      <c r="I77" s="28" t="str">
        <f t="shared" si="1"/>
        <v>*</v>
      </c>
      <c r="J77" s="28" t="str">
        <f t="shared" si="1"/>
        <v>*</v>
      </c>
      <c r="K77" s="28" t="str">
        <f t="shared" si="1"/>
        <v>*</v>
      </c>
      <c r="L77" s="28" t="str">
        <f t="shared" si="1"/>
        <v>*</v>
      </c>
      <c r="M77" s="28" t="str">
        <f t="shared" si="1"/>
        <v>*</v>
      </c>
      <c r="N77" s="28" t="str">
        <f t="shared" si="1"/>
        <v>*</v>
      </c>
      <c r="O77" s="28" t="str">
        <f t="shared" si="1"/>
        <v>*</v>
      </c>
      <c r="P77" s="28" t="str">
        <f t="shared" si="1"/>
        <v>*</v>
      </c>
      <c r="Q77" s="28" t="str">
        <f t="shared" si="1"/>
        <v>*</v>
      </c>
      <c r="R77" s="28" t="str">
        <f t="shared" si="1"/>
        <v>*</v>
      </c>
      <c r="S77" s="28" t="str">
        <f t="shared" si="1"/>
        <v>*</v>
      </c>
      <c r="T77" s="28" t="str">
        <f t="shared" si="1"/>
        <v>*</v>
      </c>
      <c r="U77" s="28" t="str">
        <f t="shared" si="1"/>
        <v>*</v>
      </c>
      <c r="V77" s="28" t="str">
        <f t="shared" si="1"/>
        <v>*</v>
      </c>
      <c r="W77" s="28" t="str">
        <f t="shared" si="1"/>
        <v>*</v>
      </c>
      <c r="X77" s="28" t="str">
        <f t="shared" si="1"/>
        <v>*</v>
      </c>
      <c r="Y77" s="28" t="str">
        <f t="shared" si="1"/>
        <v>*</v>
      </c>
      <c r="Z77" s="28" t="str">
        <f t="shared" si="1"/>
        <v>*</v>
      </c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</row>
    <row r="78" spans="1:45" ht="15.6" hidden="1" customHeight="1">
      <c r="A78" s="35" t="s">
        <v>101</v>
      </c>
      <c r="B78" s="36" t="s">
        <v>67</v>
      </c>
      <c r="C78" s="28" t="str">
        <f t="shared" si="2"/>
        <v>*</v>
      </c>
      <c r="D78" s="28" t="str">
        <f t="shared" si="1"/>
        <v>*</v>
      </c>
      <c r="E78" s="28" t="str">
        <f t="shared" si="1"/>
        <v>*</v>
      </c>
      <c r="F78" s="28" t="str">
        <f t="shared" si="1"/>
        <v>*</v>
      </c>
      <c r="G78" s="28" t="str">
        <f t="shared" si="1"/>
        <v>*</v>
      </c>
      <c r="H78" s="28" t="str">
        <f t="shared" si="1"/>
        <v>*</v>
      </c>
      <c r="I78" s="28" t="str">
        <f t="shared" si="1"/>
        <v>*</v>
      </c>
      <c r="J78" s="28" t="str">
        <f t="shared" si="1"/>
        <v>*</v>
      </c>
      <c r="K78" s="28" t="str">
        <f t="shared" si="1"/>
        <v>*</v>
      </c>
      <c r="L78" s="28" t="str">
        <f t="shared" si="1"/>
        <v>*</v>
      </c>
      <c r="M78" s="28" t="str">
        <f t="shared" si="1"/>
        <v>*</v>
      </c>
      <c r="N78" s="28" t="str">
        <f t="shared" si="1"/>
        <v>*</v>
      </c>
      <c r="O78" s="28" t="str">
        <f t="shared" si="1"/>
        <v>*</v>
      </c>
      <c r="P78" s="28" t="str">
        <f t="shared" si="1"/>
        <v>*</v>
      </c>
      <c r="Q78" s="28" t="str">
        <f t="shared" si="1"/>
        <v>*</v>
      </c>
      <c r="R78" s="28" t="str">
        <f t="shared" si="1"/>
        <v>*</v>
      </c>
      <c r="S78" s="28" t="str">
        <f t="shared" si="1"/>
        <v>*</v>
      </c>
      <c r="T78" s="28" t="str">
        <f t="shared" si="1"/>
        <v>*</v>
      </c>
      <c r="U78" s="28" t="str">
        <f t="shared" si="1"/>
        <v>*</v>
      </c>
      <c r="V78" s="28" t="str">
        <f t="shared" si="1"/>
        <v>*</v>
      </c>
      <c r="W78" s="28" t="str">
        <f t="shared" si="1"/>
        <v>*</v>
      </c>
      <c r="X78" s="28" t="str">
        <f t="shared" si="1"/>
        <v>*</v>
      </c>
      <c r="Y78" s="28" t="str">
        <f t="shared" si="1"/>
        <v>*</v>
      </c>
      <c r="Z78" s="28" t="str">
        <f t="shared" si="1"/>
        <v>*</v>
      </c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</row>
    <row r="79" spans="1:45" ht="15.6" hidden="1" customHeight="1">
      <c r="A79" s="35" t="s">
        <v>102</v>
      </c>
      <c r="B79" s="36" t="s">
        <v>69</v>
      </c>
      <c r="C79" s="28" t="str">
        <f t="shared" si="2"/>
        <v>*</v>
      </c>
      <c r="D79" s="28" t="str">
        <f t="shared" si="1"/>
        <v>*</v>
      </c>
      <c r="E79" s="28" t="str">
        <f t="shared" si="1"/>
        <v>*</v>
      </c>
      <c r="F79" s="28" t="str">
        <f t="shared" si="1"/>
        <v>*</v>
      </c>
      <c r="G79" s="28" t="str">
        <f t="shared" si="1"/>
        <v/>
      </c>
      <c r="H79" s="28" t="str">
        <f t="shared" si="1"/>
        <v>*</v>
      </c>
      <c r="I79" s="28" t="str">
        <f t="shared" si="1"/>
        <v/>
      </c>
      <c r="J79" s="28" t="str">
        <f t="shared" si="1"/>
        <v/>
      </c>
      <c r="K79" s="28" t="str">
        <f t="shared" si="1"/>
        <v/>
      </c>
      <c r="L79" s="28" t="str">
        <f t="shared" si="1"/>
        <v>*</v>
      </c>
      <c r="M79" s="28" t="str">
        <f t="shared" si="1"/>
        <v>*</v>
      </c>
      <c r="N79" s="28" t="str">
        <f t="shared" si="1"/>
        <v>*</v>
      </c>
      <c r="O79" s="28" t="str">
        <f t="shared" si="1"/>
        <v>*</v>
      </c>
      <c r="P79" s="28" t="str">
        <f t="shared" si="1"/>
        <v>*</v>
      </c>
      <c r="Q79" s="28" t="str">
        <f t="shared" si="1"/>
        <v>*</v>
      </c>
      <c r="R79" s="28" t="str">
        <f t="shared" si="1"/>
        <v>*</v>
      </c>
      <c r="S79" s="28" t="str">
        <f t="shared" si="1"/>
        <v/>
      </c>
      <c r="T79" s="28" t="str">
        <f t="shared" ref="D79:Z80" si="3">IF(T55=T28,"","*")</f>
        <v>*</v>
      </c>
      <c r="U79" s="28" t="str">
        <f t="shared" si="3"/>
        <v/>
      </c>
      <c r="V79" s="28" t="str">
        <f t="shared" si="3"/>
        <v/>
      </c>
      <c r="W79" s="28" t="str">
        <f t="shared" si="3"/>
        <v/>
      </c>
      <c r="X79" s="28" t="str">
        <f t="shared" si="3"/>
        <v>*</v>
      </c>
      <c r="Y79" s="28" t="str">
        <f t="shared" si="3"/>
        <v>*</v>
      </c>
      <c r="Z79" s="28" t="str">
        <f t="shared" si="3"/>
        <v>*</v>
      </c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</row>
    <row r="80" spans="1:45" ht="15.6" hidden="1" customHeight="1">
      <c r="A80" s="38" t="s">
        <v>103</v>
      </c>
      <c r="B80" s="39" t="s">
        <v>71</v>
      </c>
      <c r="C80" s="28" t="str">
        <f t="shared" si="2"/>
        <v/>
      </c>
      <c r="D80" s="28" t="str">
        <f t="shared" si="3"/>
        <v/>
      </c>
      <c r="E80" s="28" t="str">
        <f t="shared" si="3"/>
        <v/>
      </c>
      <c r="F80" s="28" t="str">
        <f t="shared" si="3"/>
        <v>*</v>
      </c>
      <c r="G80" s="28" t="str">
        <f t="shared" si="3"/>
        <v>*</v>
      </c>
      <c r="H80" s="28" t="str">
        <f t="shared" si="3"/>
        <v>*</v>
      </c>
      <c r="I80" s="28" t="str">
        <f t="shared" si="3"/>
        <v>*</v>
      </c>
      <c r="J80" s="28" t="str">
        <f t="shared" si="3"/>
        <v>*</v>
      </c>
      <c r="K80" s="28" t="str">
        <f t="shared" si="3"/>
        <v>*</v>
      </c>
      <c r="L80" s="28" t="str">
        <f t="shared" si="3"/>
        <v/>
      </c>
      <c r="M80" s="28" t="str">
        <f t="shared" si="3"/>
        <v/>
      </c>
      <c r="N80" s="28" t="str">
        <f t="shared" si="3"/>
        <v/>
      </c>
      <c r="O80" s="28" t="str">
        <f t="shared" si="3"/>
        <v/>
      </c>
      <c r="P80" s="28" t="str">
        <f t="shared" si="3"/>
        <v/>
      </c>
      <c r="Q80" s="28" t="str">
        <f t="shared" si="3"/>
        <v/>
      </c>
      <c r="R80" s="28" t="str">
        <f t="shared" si="3"/>
        <v>*</v>
      </c>
      <c r="S80" s="28" t="str">
        <f t="shared" si="3"/>
        <v>*</v>
      </c>
      <c r="T80" s="28" t="str">
        <f t="shared" si="3"/>
        <v>*</v>
      </c>
      <c r="U80" s="28" t="str">
        <f t="shared" si="3"/>
        <v>*</v>
      </c>
      <c r="V80" s="28" t="str">
        <f t="shared" si="3"/>
        <v>*</v>
      </c>
      <c r="W80" s="28" t="str">
        <f>IF(W56=W29,"","*")</f>
        <v>*</v>
      </c>
      <c r="X80" s="28" t="str">
        <f>IF(X56=X29,"","*")</f>
        <v/>
      </c>
      <c r="Y80" s="28" t="str">
        <f>IF(Y56=Y29,"","*")</f>
        <v/>
      </c>
      <c r="Z80" s="28" t="str">
        <f>IF(Z56=Z29,"","*")</f>
        <v/>
      </c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</row>
  </sheetData>
  <mergeCells count="33">
    <mergeCell ref="I5:I6"/>
    <mergeCell ref="A3:B6"/>
    <mergeCell ref="C3:N3"/>
    <mergeCell ref="O3:Z3"/>
    <mergeCell ref="F4:H4"/>
    <mergeCell ref="I4:K4"/>
    <mergeCell ref="L4:N4"/>
    <mergeCell ref="R4:T4"/>
    <mergeCell ref="U4:W4"/>
    <mergeCell ref="X4:Z4"/>
    <mergeCell ref="C5:C6"/>
    <mergeCell ref="D5:D6"/>
    <mergeCell ref="E5:E6"/>
    <mergeCell ref="F5:F6"/>
    <mergeCell ref="G5:G6"/>
    <mergeCell ref="H5:H6"/>
    <mergeCell ref="U5:U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V5:V6"/>
    <mergeCell ref="W5:W6"/>
    <mergeCell ref="X5:X6"/>
    <mergeCell ref="Y5:Y6"/>
    <mergeCell ref="Z5:Z6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33"/>
  <sheetViews>
    <sheetView zoomScaleNormal="100" zoomScaleSheetLayoutView="75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9.375" defaultRowHeight="12.75"/>
  <cols>
    <col min="1" max="1" width="8" style="2" customWidth="1"/>
    <col min="2" max="2" width="15.625" style="2" customWidth="1"/>
    <col min="3" max="20" width="8.5" style="2" customWidth="1"/>
    <col min="21" max="16384" width="9.375" style="2"/>
  </cols>
  <sheetData>
    <row r="1" spans="1:57" s="10" customFormat="1" ht="21">
      <c r="A1" s="1" t="s">
        <v>1</v>
      </c>
      <c r="B1" s="22"/>
    </row>
    <row r="2" spans="1:57" ht="26.25" customHeight="1">
      <c r="A2" s="11" t="s">
        <v>106</v>
      </c>
      <c r="B2" s="23"/>
    </row>
    <row r="3" spans="1:57" ht="16.5" customHeight="1">
      <c r="A3" s="179" t="s">
        <v>22</v>
      </c>
      <c r="B3" s="185"/>
      <c r="C3" s="190" t="s">
        <v>78</v>
      </c>
      <c r="D3" s="151"/>
      <c r="E3" s="151"/>
      <c r="F3" s="151"/>
      <c r="G3" s="151"/>
      <c r="H3" s="151"/>
      <c r="I3" s="151"/>
      <c r="J3" s="151"/>
      <c r="K3" s="191"/>
      <c r="L3" s="190" t="s">
        <v>79</v>
      </c>
      <c r="M3" s="151"/>
      <c r="N3" s="151"/>
      <c r="O3" s="151"/>
      <c r="P3" s="151"/>
      <c r="Q3" s="151"/>
      <c r="R3" s="151"/>
      <c r="S3" s="151"/>
      <c r="T3" s="151"/>
    </row>
    <row r="4" spans="1:57" s="25" customFormat="1" ht="29.25" customHeight="1">
      <c r="A4" s="186"/>
      <c r="B4" s="187"/>
      <c r="C4" s="3" t="s">
        <v>2</v>
      </c>
      <c r="D4" s="41"/>
      <c r="E4" s="5"/>
      <c r="F4" s="192" t="s">
        <v>107</v>
      </c>
      <c r="G4" s="193"/>
      <c r="H4" s="192" t="s">
        <v>108</v>
      </c>
      <c r="I4" s="193"/>
      <c r="J4" s="192" t="s">
        <v>108</v>
      </c>
      <c r="K4" s="191"/>
      <c r="L4" s="3" t="s">
        <v>2</v>
      </c>
      <c r="M4" s="42"/>
      <c r="N4" s="5"/>
      <c r="O4" s="192" t="s">
        <v>107</v>
      </c>
      <c r="P4" s="193"/>
      <c r="Q4" s="192" t="s">
        <v>108</v>
      </c>
      <c r="R4" s="193"/>
      <c r="S4" s="192" t="s">
        <v>108</v>
      </c>
      <c r="T4" s="151"/>
    </row>
    <row r="5" spans="1:57" s="7" customFormat="1" ht="16.5" customHeight="1">
      <c r="A5" s="186"/>
      <c r="B5" s="187"/>
      <c r="C5" s="158" t="s">
        <v>6</v>
      </c>
      <c r="D5" s="158" t="s">
        <v>7</v>
      </c>
      <c r="E5" s="158" t="s">
        <v>8</v>
      </c>
      <c r="F5" s="158" t="s">
        <v>7</v>
      </c>
      <c r="G5" s="158" t="s">
        <v>8</v>
      </c>
      <c r="H5" s="158" t="s">
        <v>7</v>
      </c>
      <c r="I5" s="158" t="s">
        <v>8</v>
      </c>
      <c r="J5" s="158" t="s">
        <v>7</v>
      </c>
      <c r="K5" s="158" t="s">
        <v>8</v>
      </c>
      <c r="L5" s="158" t="s">
        <v>6</v>
      </c>
      <c r="M5" s="158" t="s">
        <v>7</v>
      </c>
      <c r="N5" s="158" t="s">
        <v>8</v>
      </c>
      <c r="O5" s="158" t="s">
        <v>7</v>
      </c>
      <c r="P5" s="158" t="s">
        <v>8</v>
      </c>
      <c r="Q5" s="158" t="s">
        <v>7</v>
      </c>
      <c r="R5" s="158" t="s">
        <v>8</v>
      </c>
      <c r="S5" s="158" t="s">
        <v>7</v>
      </c>
      <c r="T5" s="160" t="s">
        <v>8</v>
      </c>
    </row>
    <row r="6" spans="1:57">
      <c r="A6" s="188"/>
      <c r="B6" s="18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61"/>
    </row>
    <row r="7" spans="1:57" s="6" customFormat="1" ht="15.6" customHeight="1">
      <c r="A7" s="26" t="s">
        <v>80</v>
      </c>
      <c r="B7" s="27" t="s">
        <v>81</v>
      </c>
      <c r="C7" s="29">
        <v>27428</v>
      </c>
      <c r="D7" s="29">
        <v>14163</v>
      </c>
      <c r="E7" s="29">
        <v>13265</v>
      </c>
      <c r="F7" s="29">
        <v>2019</v>
      </c>
      <c r="G7" s="29">
        <v>1742</v>
      </c>
      <c r="H7" s="29">
        <v>1731</v>
      </c>
      <c r="I7" s="29">
        <v>1302</v>
      </c>
      <c r="J7" s="29">
        <v>10413</v>
      </c>
      <c r="K7" s="29">
        <v>10221</v>
      </c>
      <c r="L7" s="29">
        <v>367650</v>
      </c>
      <c r="M7" s="29">
        <v>195122</v>
      </c>
      <c r="N7" s="29">
        <v>172528</v>
      </c>
      <c r="O7" s="29">
        <v>24442</v>
      </c>
      <c r="P7" s="29">
        <v>19215</v>
      </c>
      <c r="Q7" s="29">
        <v>26841</v>
      </c>
      <c r="R7" s="29">
        <v>17747</v>
      </c>
      <c r="S7" s="29">
        <v>143839</v>
      </c>
      <c r="T7" s="29">
        <v>135566</v>
      </c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</row>
    <row r="8" spans="1:57" s="17" customFormat="1" ht="15.6" customHeight="1">
      <c r="A8" s="30" t="s">
        <v>82</v>
      </c>
      <c r="B8" s="31" t="s">
        <v>29</v>
      </c>
      <c r="C8" s="33">
        <v>735</v>
      </c>
      <c r="D8" s="33">
        <v>363</v>
      </c>
      <c r="E8" s="33">
        <v>372</v>
      </c>
      <c r="F8" s="33">
        <v>2</v>
      </c>
      <c r="G8" s="33">
        <v>4</v>
      </c>
      <c r="H8" s="33">
        <v>0</v>
      </c>
      <c r="I8" s="33">
        <v>0</v>
      </c>
      <c r="J8" s="33">
        <v>361</v>
      </c>
      <c r="K8" s="33">
        <v>368</v>
      </c>
      <c r="L8" s="33">
        <v>41787</v>
      </c>
      <c r="M8" s="33">
        <v>19850</v>
      </c>
      <c r="N8" s="33">
        <v>21937</v>
      </c>
      <c r="O8" s="33">
        <v>148</v>
      </c>
      <c r="P8" s="33">
        <v>108</v>
      </c>
      <c r="Q8" s="33">
        <v>140</v>
      </c>
      <c r="R8" s="33">
        <v>234</v>
      </c>
      <c r="S8" s="33">
        <v>19562</v>
      </c>
      <c r="T8" s="33">
        <v>21595</v>
      </c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</row>
    <row r="9" spans="1:57" s="17" customFormat="1" ht="15.6" customHeight="1">
      <c r="A9" s="30" t="s">
        <v>83</v>
      </c>
      <c r="B9" s="31" t="s">
        <v>31</v>
      </c>
      <c r="C9" s="33">
        <v>5023</v>
      </c>
      <c r="D9" s="33">
        <v>2230</v>
      </c>
      <c r="E9" s="33">
        <v>2793</v>
      </c>
      <c r="F9" s="33">
        <v>156</v>
      </c>
      <c r="G9" s="33">
        <v>102</v>
      </c>
      <c r="H9" s="33">
        <v>135</v>
      </c>
      <c r="I9" s="33">
        <v>235</v>
      </c>
      <c r="J9" s="33">
        <v>1939</v>
      </c>
      <c r="K9" s="33">
        <v>2456</v>
      </c>
      <c r="L9" s="33">
        <v>42958</v>
      </c>
      <c r="M9" s="33">
        <v>19278</v>
      </c>
      <c r="N9" s="33">
        <v>23680</v>
      </c>
      <c r="O9" s="33">
        <v>1538</v>
      </c>
      <c r="P9" s="33">
        <v>1007</v>
      </c>
      <c r="Q9" s="33">
        <v>1331</v>
      </c>
      <c r="R9" s="33">
        <v>1951</v>
      </c>
      <c r="S9" s="33">
        <v>16409</v>
      </c>
      <c r="T9" s="33">
        <v>20722</v>
      </c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</row>
    <row r="10" spans="1:57" s="17" customFormat="1" ht="15.6" customHeight="1">
      <c r="A10" s="30" t="s">
        <v>84</v>
      </c>
      <c r="B10" s="31" t="s">
        <v>33</v>
      </c>
      <c r="C10" s="33">
        <v>1025</v>
      </c>
      <c r="D10" s="33">
        <v>468</v>
      </c>
      <c r="E10" s="33">
        <v>557</v>
      </c>
      <c r="F10" s="33">
        <v>49</v>
      </c>
      <c r="G10" s="33">
        <v>79</v>
      </c>
      <c r="H10" s="33">
        <v>45</v>
      </c>
      <c r="I10" s="33">
        <v>67</v>
      </c>
      <c r="J10" s="33">
        <v>374</v>
      </c>
      <c r="K10" s="33">
        <v>411</v>
      </c>
      <c r="L10" s="33">
        <v>12860</v>
      </c>
      <c r="M10" s="33">
        <v>5495</v>
      </c>
      <c r="N10" s="33">
        <v>7365</v>
      </c>
      <c r="O10" s="33">
        <v>1107</v>
      </c>
      <c r="P10" s="33">
        <v>929</v>
      </c>
      <c r="Q10" s="33">
        <v>555</v>
      </c>
      <c r="R10" s="33">
        <v>729</v>
      </c>
      <c r="S10" s="33">
        <v>3833</v>
      </c>
      <c r="T10" s="33">
        <v>5707</v>
      </c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</row>
    <row r="11" spans="1:57" s="17" customFormat="1" ht="15.6" customHeight="1">
      <c r="A11" s="30" t="s">
        <v>85</v>
      </c>
      <c r="B11" s="31" t="s">
        <v>35</v>
      </c>
      <c r="C11" s="33">
        <v>2513</v>
      </c>
      <c r="D11" s="33">
        <v>1350</v>
      </c>
      <c r="E11" s="33">
        <v>1163</v>
      </c>
      <c r="F11" s="33">
        <v>306</v>
      </c>
      <c r="G11" s="33">
        <v>244</v>
      </c>
      <c r="H11" s="33">
        <v>87</v>
      </c>
      <c r="I11" s="33">
        <v>104</v>
      </c>
      <c r="J11" s="33">
        <v>957</v>
      </c>
      <c r="K11" s="33">
        <v>815</v>
      </c>
      <c r="L11" s="33">
        <v>23481</v>
      </c>
      <c r="M11" s="33">
        <v>12867</v>
      </c>
      <c r="N11" s="33">
        <v>10614</v>
      </c>
      <c r="O11" s="33">
        <v>3136</v>
      </c>
      <c r="P11" s="33">
        <v>2328</v>
      </c>
      <c r="Q11" s="33">
        <v>930</v>
      </c>
      <c r="R11" s="33">
        <v>997</v>
      </c>
      <c r="S11" s="33">
        <v>8801</v>
      </c>
      <c r="T11" s="33">
        <v>7289</v>
      </c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</row>
    <row r="12" spans="1:57" s="17" customFormat="1" ht="15.6" customHeight="1">
      <c r="A12" s="30" t="s">
        <v>86</v>
      </c>
      <c r="B12" s="31" t="s">
        <v>37</v>
      </c>
      <c r="C12" s="33">
        <v>975</v>
      </c>
      <c r="D12" s="33">
        <v>531</v>
      </c>
      <c r="E12" s="33">
        <v>444</v>
      </c>
      <c r="F12" s="33">
        <v>28</v>
      </c>
      <c r="G12" s="33">
        <v>76</v>
      </c>
      <c r="H12" s="33">
        <v>108</v>
      </c>
      <c r="I12" s="33">
        <v>49</v>
      </c>
      <c r="J12" s="33">
        <v>395</v>
      </c>
      <c r="K12" s="33">
        <v>319</v>
      </c>
      <c r="L12" s="33">
        <v>15396</v>
      </c>
      <c r="M12" s="33">
        <v>8242</v>
      </c>
      <c r="N12" s="33">
        <v>7154</v>
      </c>
      <c r="O12" s="33">
        <v>185</v>
      </c>
      <c r="P12" s="33">
        <v>1024</v>
      </c>
      <c r="Q12" s="33">
        <v>2162</v>
      </c>
      <c r="R12" s="33">
        <v>1120</v>
      </c>
      <c r="S12" s="33">
        <v>5895</v>
      </c>
      <c r="T12" s="33">
        <v>5010</v>
      </c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</row>
    <row r="13" spans="1:57" s="17" customFormat="1" ht="15.6" customHeight="1">
      <c r="A13" s="34" t="s">
        <v>87</v>
      </c>
      <c r="B13" s="31" t="s">
        <v>39</v>
      </c>
      <c r="C13" s="33">
        <v>4701</v>
      </c>
      <c r="D13" s="33">
        <v>2774</v>
      </c>
      <c r="E13" s="33">
        <v>1927</v>
      </c>
      <c r="F13" s="33">
        <v>472</v>
      </c>
      <c r="G13" s="33">
        <v>477</v>
      </c>
      <c r="H13" s="33">
        <v>447</v>
      </c>
      <c r="I13" s="33">
        <v>166</v>
      </c>
      <c r="J13" s="33">
        <v>1855</v>
      </c>
      <c r="K13" s="33">
        <v>1284</v>
      </c>
      <c r="L13" s="33">
        <v>48423</v>
      </c>
      <c r="M13" s="33">
        <v>30203</v>
      </c>
      <c r="N13" s="33">
        <v>18220</v>
      </c>
      <c r="O13" s="33">
        <v>4726</v>
      </c>
      <c r="P13" s="33">
        <v>4264</v>
      </c>
      <c r="Q13" s="33">
        <v>4863</v>
      </c>
      <c r="R13" s="33">
        <v>1635</v>
      </c>
      <c r="S13" s="33">
        <v>20614</v>
      </c>
      <c r="T13" s="33">
        <v>12321</v>
      </c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</row>
    <row r="14" spans="1:57" ht="15.6" customHeight="1">
      <c r="A14" s="35" t="s">
        <v>88</v>
      </c>
      <c r="B14" s="36" t="s">
        <v>41</v>
      </c>
      <c r="C14" s="37">
        <v>1042</v>
      </c>
      <c r="D14" s="37">
        <v>549</v>
      </c>
      <c r="E14" s="37">
        <v>493</v>
      </c>
      <c r="F14" s="37">
        <v>66</v>
      </c>
      <c r="G14" s="37">
        <v>32</v>
      </c>
      <c r="H14" s="37">
        <v>58</v>
      </c>
      <c r="I14" s="37">
        <v>52</v>
      </c>
      <c r="J14" s="37">
        <v>425</v>
      </c>
      <c r="K14" s="37">
        <v>409</v>
      </c>
      <c r="L14" s="37">
        <v>13495</v>
      </c>
      <c r="M14" s="37">
        <v>6935</v>
      </c>
      <c r="N14" s="37">
        <v>6560</v>
      </c>
      <c r="O14" s="37">
        <v>833</v>
      </c>
      <c r="P14" s="37">
        <v>616</v>
      </c>
      <c r="Q14" s="37">
        <v>824</v>
      </c>
      <c r="R14" s="37">
        <v>708</v>
      </c>
      <c r="S14" s="37">
        <v>5278</v>
      </c>
      <c r="T14" s="37">
        <v>5236</v>
      </c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</row>
    <row r="15" spans="1:57" ht="15.6" customHeight="1">
      <c r="A15" s="35" t="s">
        <v>89</v>
      </c>
      <c r="B15" s="36" t="s">
        <v>43</v>
      </c>
      <c r="C15" s="37">
        <v>495</v>
      </c>
      <c r="D15" s="37">
        <v>288</v>
      </c>
      <c r="E15" s="37">
        <v>207</v>
      </c>
      <c r="F15" s="37">
        <v>41</v>
      </c>
      <c r="G15" s="37">
        <v>31</v>
      </c>
      <c r="H15" s="37">
        <v>6</v>
      </c>
      <c r="I15" s="37">
        <v>1</v>
      </c>
      <c r="J15" s="37">
        <v>241</v>
      </c>
      <c r="K15" s="37">
        <v>175</v>
      </c>
      <c r="L15" s="37">
        <v>6525</v>
      </c>
      <c r="M15" s="37">
        <v>4157</v>
      </c>
      <c r="N15" s="37">
        <v>2368</v>
      </c>
      <c r="O15" s="37">
        <v>503</v>
      </c>
      <c r="P15" s="37">
        <v>336</v>
      </c>
      <c r="Q15" s="37">
        <v>96</v>
      </c>
      <c r="R15" s="37">
        <v>32</v>
      </c>
      <c r="S15" s="37">
        <v>3558</v>
      </c>
      <c r="T15" s="37">
        <v>2000</v>
      </c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</row>
    <row r="16" spans="1:57" ht="15.6" customHeight="1">
      <c r="A16" s="35" t="s">
        <v>90</v>
      </c>
      <c r="B16" s="36" t="s">
        <v>45</v>
      </c>
      <c r="C16" s="37">
        <v>2267</v>
      </c>
      <c r="D16" s="37">
        <v>1173</v>
      </c>
      <c r="E16" s="37">
        <v>1094</v>
      </c>
      <c r="F16" s="37">
        <v>149</v>
      </c>
      <c r="G16" s="37">
        <v>113</v>
      </c>
      <c r="H16" s="37">
        <v>202</v>
      </c>
      <c r="I16" s="37">
        <v>140</v>
      </c>
      <c r="J16" s="37">
        <v>822</v>
      </c>
      <c r="K16" s="37">
        <v>841</v>
      </c>
      <c r="L16" s="37">
        <v>21108</v>
      </c>
      <c r="M16" s="37">
        <v>11671</v>
      </c>
      <c r="N16" s="37">
        <v>9437</v>
      </c>
      <c r="O16" s="37">
        <v>1596</v>
      </c>
      <c r="P16" s="37">
        <v>1175</v>
      </c>
      <c r="Q16" s="37">
        <v>2234</v>
      </c>
      <c r="R16" s="37">
        <v>1514</v>
      </c>
      <c r="S16" s="37">
        <v>7841</v>
      </c>
      <c r="T16" s="37">
        <v>6748</v>
      </c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</row>
    <row r="17" spans="1:39" ht="15.6" customHeight="1">
      <c r="A17" s="35" t="s">
        <v>91</v>
      </c>
      <c r="B17" s="36" t="s">
        <v>47</v>
      </c>
      <c r="C17" s="37">
        <v>1577</v>
      </c>
      <c r="D17" s="37">
        <v>791</v>
      </c>
      <c r="E17" s="37">
        <v>786</v>
      </c>
      <c r="F17" s="37">
        <v>121</v>
      </c>
      <c r="G17" s="37">
        <v>134</v>
      </c>
      <c r="H17" s="37">
        <v>149</v>
      </c>
      <c r="I17" s="37">
        <v>65</v>
      </c>
      <c r="J17" s="37">
        <v>521</v>
      </c>
      <c r="K17" s="37">
        <v>587</v>
      </c>
      <c r="L17" s="37">
        <v>11657</v>
      </c>
      <c r="M17" s="37">
        <v>6208</v>
      </c>
      <c r="N17" s="37">
        <v>5449</v>
      </c>
      <c r="O17" s="37">
        <v>1062</v>
      </c>
      <c r="P17" s="37">
        <v>1074</v>
      </c>
      <c r="Q17" s="37">
        <v>1418</v>
      </c>
      <c r="R17" s="37">
        <v>462</v>
      </c>
      <c r="S17" s="37">
        <v>3728</v>
      </c>
      <c r="T17" s="37">
        <v>3913</v>
      </c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</row>
    <row r="18" spans="1:39" ht="15.6" customHeight="1">
      <c r="A18" s="35" t="s">
        <v>92</v>
      </c>
      <c r="B18" s="36" t="s">
        <v>49</v>
      </c>
      <c r="C18" s="37">
        <v>643</v>
      </c>
      <c r="D18" s="37">
        <v>375</v>
      </c>
      <c r="E18" s="37">
        <v>268</v>
      </c>
      <c r="F18" s="37">
        <v>56</v>
      </c>
      <c r="G18" s="37">
        <v>35</v>
      </c>
      <c r="H18" s="37">
        <v>107</v>
      </c>
      <c r="I18" s="37">
        <v>69</v>
      </c>
      <c r="J18" s="37">
        <v>212</v>
      </c>
      <c r="K18" s="37">
        <v>164</v>
      </c>
      <c r="L18" s="37">
        <v>34946</v>
      </c>
      <c r="M18" s="37">
        <v>21045</v>
      </c>
      <c r="N18" s="37">
        <v>13901</v>
      </c>
      <c r="O18" s="37">
        <v>2147</v>
      </c>
      <c r="P18" s="37">
        <v>953</v>
      </c>
      <c r="Q18" s="37">
        <v>6122</v>
      </c>
      <c r="R18" s="37">
        <v>3129</v>
      </c>
      <c r="S18" s="37">
        <v>12776</v>
      </c>
      <c r="T18" s="37">
        <v>9819</v>
      </c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</row>
    <row r="19" spans="1:39" ht="15.6" customHeight="1">
      <c r="A19" s="35" t="s">
        <v>93</v>
      </c>
      <c r="B19" s="36" t="s">
        <v>51</v>
      </c>
      <c r="C19" s="37">
        <v>949</v>
      </c>
      <c r="D19" s="37">
        <v>526</v>
      </c>
      <c r="E19" s="37">
        <v>423</v>
      </c>
      <c r="F19" s="37">
        <v>31</v>
      </c>
      <c r="G19" s="37">
        <v>28</v>
      </c>
      <c r="H19" s="37">
        <v>48</v>
      </c>
      <c r="I19" s="37">
        <v>36</v>
      </c>
      <c r="J19" s="37">
        <v>447</v>
      </c>
      <c r="K19" s="37">
        <v>359</v>
      </c>
      <c r="L19" s="37">
        <v>10133</v>
      </c>
      <c r="M19" s="37">
        <v>5920</v>
      </c>
      <c r="N19" s="37">
        <v>4213</v>
      </c>
      <c r="O19" s="37">
        <v>292</v>
      </c>
      <c r="P19" s="37">
        <v>314</v>
      </c>
      <c r="Q19" s="37">
        <v>570</v>
      </c>
      <c r="R19" s="37">
        <v>342</v>
      </c>
      <c r="S19" s="37">
        <v>5058</v>
      </c>
      <c r="T19" s="37">
        <v>3557</v>
      </c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</row>
    <row r="20" spans="1:39" ht="15.6" customHeight="1">
      <c r="A20" s="35" t="s">
        <v>94</v>
      </c>
      <c r="B20" s="36" t="s">
        <v>53</v>
      </c>
      <c r="C20" s="37">
        <v>551</v>
      </c>
      <c r="D20" s="37">
        <v>269</v>
      </c>
      <c r="E20" s="37">
        <v>282</v>
      </c>
      <c r="F20" s="37">
        <v>81</v>
      </c>
      <c r="G20" s="37">
        <v>55</v>
      </c>
      <c r="H20" s="37">
        <v>35</v>
      </c>
      <c r="I20" s="37">
        <v>40</v>
      </c>
      <c r="J20" s="37">
        <v>153</v>
      </c>
      <c r="K20" s="37">
        <v>187</v>
      </c>
      <c r="L20" s="37">
        <v>8776</v>
      </c>
      <c r="M20" s="37">
        <v>4813</v>
      </c>
      <c r="N20" s="37">
        <v>3963</v>
      </c>
      <c r="O20" s="37">
        <v>1250</v>
      </c>
      <c r="P20" s="37">
        <v>443</v>
      </c>
      <c r="Q20" s="37">
        <v>617</v>
      </c>
      <c r="R20" s="37">
        <v>737</v>
      </c>
      <c r="S20" s="37">
        <v>2946</v>
      </c>
      <c r="T20" s="37">
        <v>2783</v>
      </c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</row>
    <row r="21" spans="1:39" ht="15.6" customHeight="1">
      <c r="A21" s="35" t="s">
        <v>95</v>
      </c>
      <c r="B21" s="36" t="s">
        <v>55</v>
      </c>
      <c r="C21" s="37">
        <v>347</v>
      </c>
      <c r="D21" s="37">
        <v>124</v>
      </c>
      <c r="E21" s="37">
        <v>223</v>
      </c>
      <c r="F21" s="37">
        <v>27</v>
      </c>
      <c r="G21" s="37">
        <v>28</v>
      </c>
      <c r="H21" s="37">
        <v>22</v>
      </c>
      <c r="I21" s="37">
        <v>23</v>
      </c>
      <c r="J21" s="37">
        <v>75</v>
      </c>
      <c r="K21" s="37">
        <v>172</v>
      </c>
      <c r="L21" s="37">
        <v>5547</v>
      </c>
      <c r="M21" s="37">
        <v>2293</v>
      </c>
      <c r="N21" s="37">
        <v>3254</v>
      </c>
      <c r="O21" s="37">
        <v>422</v>
      </c>
      <c r="P21" s="37">
        <v>384</v>
      </c>
      <c r="Q21" s="37">
        <v>519</v>
      </c>
      <c r="R21" s="37">
        <v>348</v>
      </c>
      <c r="S21" s="37">
        <v>1352</v>
      </c>
      <c r="T21" s="37">
        <v>2522</v>
      </c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</row>
    <row r="22" spans="1:39" ht="15.6" customHeight="1">
      <c r="A22" s="35" t="s">
        <v>96</v>
      </c>
      <c r="B22" s="36" t="s">
        <v>57</v>
      </c>
      <c r="C22" s="37">
        <v>1291</v>
      </c>
      <c r="D22" s="37">
        <v>713</v>
      </c>
      <c r="E22" s="37">
        <v>578</v>
      </c>
      <c r="F22" s="37">
        <v>222</v>
      </c>
      <c r="G22" s="37">
        <v>84</v>
      </c>
      <c r="H22" s="37">
        <v>32</v>
      </c>
      <c r="I22" s="37">
        <v>31</v>
      </c>
      <c r="J22" s="37">
        <v>459</v>
      </c>
      <c r="K22" s="37">
        <v>463</v>
      </c>
      <c r="L22" s="37">
        <v>11510</v>
      </c>
      <c r="M22" s="37">
        <v>6499</v>
      </c>
      <c r="N22" s="37">
        <v>5011</v>
      </c>
      <c r="O22" s="37">
        <v>1853</v>
      </c>
      <c r="P22" s="37">
        <v>637</v>
      </c>
      <c r="Q22" s="37">
        <v>274</v>
      </c>
      <c r="R22" s="37">
        <v>311</v>
      </c>
      <c r="S22" s="37">
        <v>4372</v>
      </c>
      <c r="T22" s="37">
        <v>4063</v>
      </c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</row>
    <row r="23" spans="1:39" ht="15.6" customHeight="1">
      <c r="A23" s="35" t="s">
        <v>97</v>
      </c>
      <c r="B23" s="36" t="s">
        <v>59</v>
      </c>
      <c r="C23" s="37">
        <v>504</v>
      </c>
      <c r="D23" s="37">
        <v>264</v>
      </c>
      <c r="E23" s="37">
        <v>240</v>
      </c>
      <c r="F23" s="37">
        <v>33</v>
      </c>
      <c r="G23" s="37">
        <v>25</v>
      </c>
      <c r="H23" s="37">
        <v>34</v>
      </c>
      <c r="I23" s="37">
        <v>28</v>
      </c>
      <c r="J23" s="37">
        <v>197</v>
      </c>
      <c r="K23" s="37">
        <v>187</v>
      </c>
      <c r="L23" s="37">
        <v>16759</v>
      </c>
      <c r="M23" s="37">
        <v>8412</v>
      </c>
      <c r="N23" s="37">
        <v>8347</v>
      </c>
      <c r="O23" s="37">
        <v>535</v>
      </c>
      <c r="P23" s="37">
        <v>745</v>
      </c>
      <c r="Q23" s="37">
        <v>1173</v>
      </c>
      <c r="R23" s="37">
        <v>1238</v>
      </c>
      <c r="S23" s="37">
        <v>6704</v>
      </c>
      <c r="T23" s="37">
        <v>6364</v>
      </c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</row>
    <row r="24" spans="1:39" ht="15.6" customHeight="1">
      <c r="A24" s="35" t="s">
        <v>98</v>
      </c>
      <c r="B24" s="36" t="s">
        <v>61</v>
      </c>
      <c r="C24" s="37">
        <v>122</v>
      </c>
      <c r="D24" s="37">
        <v>55</v>
      </c>
      <c r="E24" s="37">
        <v>67</v>
      </c>
      <c r="F24" s="37">
        <v>11</v>
      </c>
      <c r="G24" s="37">
        <v>2</v>
      </c>
      <c r="H24" s="37">
        <v>5</v>
      </c>
      <c r="I24" s="37">
        <v>2</v>
      </c>
      <c r="J24" s="37">
        <v>39</v>
      </c>
      <c r="K24" s="37">
        <v>63</v>
      </c>
      <c r="L24" s="37">
        <v>8263</v>
      </c>
      <c r="M24" s="37">
        <v>4127</v>
      </c>
      <c r="N24" s="37">
        <v>4136</v>
      </c>
      <c r="O24" s="37">
        <v>653</v>
      </c>
      <c r="P24" s="37">
        <v>263</v>
      </c>
      <c r="Q24" s="37">
        <v>425</v>
      </c>
      <c r="R24" s="37">
        <v>252</v>
      </c>
      <c r="S24" s="37">
        <v>3049</v>
      </c>
      <c r="T24" s="37">
        <v>3621</v>
      </c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</row>
    <row r="25" spans="1:39" ht="15.6" customHeight="1">
      <c r="A25" s="35" t="s">
        <v>99</v>
      </c>
      <c r="B25" s="36" t="s">
        <v>63</v>
      </c>
      <c r="C25" s="37">
        <v>472</v>
      </c>
      <c r="D25" s="37">
        <v>224</v>
      </c>
      <c r="E25" s="37">
        <v>248</v>
      </c>
      <c r="F25" s="37">
        <v>48</v>
      </c>
      <c r="G25" s="37">
        <v>71</v>
      </c>
      <c r="H25" s="37">
        <v>35</v>
      </c>
      <c r="I25" s="37">
        <v>86</v>
      </c>
      <c r="J25" s="37">
        <v>141</v>
      </c>
      <c r="K25" s="37">
        <v>91</v>
      </c>
      <c r="L25" s="37">
        <v>4740</v>
      </c>
      <c r="M25" s="37">
        <v>2655</v>
      </c>
      <c r="N25" s="37">
        <v>2085</v>
      </c>
      <c r="O25" s="37">
        <v>514</v>
      </c>
      <c r="P25" s="37">
        <v>360</v>
      </c>
      <c r="Q25" s="37">
        <v>682</v>
      </c>
      <c r="R25" s="37">
        <v>600</v>
      </c>
      <c r="S25" s="37">
        <v>1459</v>
      </c>
      <c r="T25" s="37">
        <v>1125</v>
      </c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</row>
    <row r="26" spans="1:39" ht="15.6" customHeight="1">
      <c r="A26" s="35" t="s">
        <v>100</v>
      </c>
      <c r="B26" s="36" t="s">
        <v>65</v>
      </c>
      <c r="C26" s="37">
        <v>1694</v>
      </c>
      <c r="D26" s="37">
        <v>872</v>
      </c>
      <c r="E26" s="37">
        <v>822</v>
      </c>
      <c r="F26" s="37">
        <v>96</v>
      </c>
      <c r="G26" s="37">
        <v>94</v>
      </c>
      <c r="H26" s="37">
        <v>171</v>
      </c>
      <c r="I26" s="37">
        <v>100</v>
      </c>
      <c r="J26" s="37">
        <v>605</v>
      </c>
      <c r="K26" s="37">
        <v>628</v>
      </c>
      <c r="L26" s="37">
        <v>17051</v>
      </c>
      <c r="M26" s="37">
        <v>8789</v>
      </c>
      <c r="N26" s="37">
        <v>8262</v>
      </c>
      <c r="O26" s="37">
        <v>1341</v>
      </c>
      <c r="P26" s="37">
        <v>1310</v>
      </c>
      <c r="Q26" s="37">
        <v>1735</v>
      </c>
      <c r="R26" s="37">
        <v>1076</v>
      </c>
      <c r="S26" s="37">
        <v>5713</v>
      </c>
      <c r="T26" s="37">
        <v>5876</v>
      </c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</row>
    <row r="27" spans="1:39" ht="15.6" customHeight="1">
      <c r="A27" s="35" t="s">
        <v>101</v>
      </c>
      <c r="B27" s="36" t="s">
        <v>67</v>
      </c>
      <c r="C27" s="37">
        <v>229</v>
      </c>
      <c r="D27" s="37">
        <v>105</v>
      </c>
      <c r="E27" s="37">
        <v>124</v>
      </c>
      <c r="F27" s="37">
        <v>20</v>
      </c>
      <c r="G27" s="37">
        <v>28</v>
      </c>
      <c r="H27" s="37">
        <v>5</v>
      </c>
      <c r="I27" s="37">
        <v>8</v>
      </c>
      <c r="J27" s="37">
        <v>80</v>
      </c>
      <c r="K27" s="37">
        <v>88</v>
      </c>
      <c r="L27" s="37">
        <v>5670</v>
      </c>
      <c r="M27" s="37">
        <v>2451</v>
      </c>
      <c r="N27" s="37">
        <v>3219</v>
      </c>
      <c r="O27" s="37">
        <v>509</v>
      </c>
      <c r="P27" s="37">
        <v>945</v>
      </c>
      <c r="Q27" s="37">
        <v>171</v>
      </c>
      <c r="R27" s="37">
        <v>332</v>
      </c>
      <c r="S27" s="37">
        <v>1771</v>
      </c>
      <c r="T27" s="37">
        <v>1942</v>
      </c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</row>
    <row r="28" spans="1:39" ht="15.6" customHeight="1">
      <c r="A28" s="35" t="s">
        <v>102</v>
      </c>
      <c r="B28" s="36" t="s">
        <v>69</v>
      </c>
      <c r="C28" s="37">
        <v>262</v>
      </c>
      <c r="D28" s="37">
        <v>111</v>
      </c>
      <c r="E28" s="37">
        <v>151</v>
      </c>
      <c r="F28" s="37">
        <v>4</v>
      </c>
      <c r="G28" s="37">
        <v>0</v>
      </c>
      <c r="H28" s="37">
        <v>0</v>
      </c>
      <c r="I28" s="37">
        <v>0</v>
      </c>
      <c r="J28" s="37">
        <v>107</v>
      </c>
      <c r="K28" s="37">
        <v>151</v>
      </c>
      <c r="L28" s="37">
        <v>5773</v>
      </c>
      <c r="M28" s="37">
        <v>2732</v>
      </c>
      <c r="N28" s="37">
        <v>3041</v>
      </c>
      <c r="O28" s="37">
        <v>92</v>
      </c>
      <c r="P28" s="37">
        <v>0</v>
      </c>
      <c r="Q28" s="37">
        <v>0</v>
      </c>
      <c r="R28" s="37">
        <v>0</v>
      </c>
      <c r="S28" s="37">
        <v>2640</v>
      </c>
      <c r="T28" s="37">
        <v>3041</v>
      </c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</row>
    <row r="29" spans="1:39" ht="15.6" customHeight="1">
      <c r="A29" s="38" t="s">
        <v>103</v>
      </c>
      <c r="B29" s="39" t="s">
        <v>71</v>
      </c>
      <c r="C29" s="40">
        <v>11</v>
      </c>
      <c r="D29" s="40">
        <v>8</v>
      </c>
      <c r="E29" s="40">
        <v>3</v>
      </c>
      <c r="F29" s="40">
        <v>0</v>
      </c>
      <c r="G29" s="40">
        <v>0</v>
      </c>
      <c r="H29" s="40">
        <v>0</v>
      </c>
      <c r="I29" s="40">
        <v>0</v>
      </c>
      <c r="J29" s="40">
        <v>8</v>
      </c>
      <c r="K29" s="40">
        <v>3</v>
      </c>
      <c r="L29" s="40">
        <v>792</v>
      </c>
      <c r="M29" s="40">
        <v>480</v>
      </c>
      <c r="N29" s="40">
        <v>312</v>
      </c>
      <c r="O29" s="40">
        <v>0</v>
      </c>
      <c r="P29" s="40">
        <v>0</v>
      </c>
      <c r="Q29" s="40">
        <v>0</v>
      </c>
      <c r="R29" s="40">
        <v>0</v>
      </c>
      <c r="S29" s="40">
        <v>480</v>
      </c>
      <c r="T29" s="40">
        <v>312</v>
      </c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</row>
    <row r="30" spans="1:39" ht="16.5">
      <c r="A30" s="8" t="s">
        <v>72</v>
      </c>
      <c r="B30" s="19"/>
    </row>
    <row r="31" spans="1:39">
      <c r="A31" s="2" t="s">
        <v>74</v>
      </c>
    </row>
    <row r="33" spans="1:1">
      <c r="A33" s="9" t="s">
        <v>109</v>
      </c>
    </row>
  </sheetData>
  <mergeCells count="27">
    <mergeCell ref="A3:B6"/>
    <mergeCell ref="C3:K3"/>
    <mergeCell ref="L3:T3"/>
    <mergeCell ref="F4:G4"/>
    <mergeCell ref="H4:I4"/>
    <mergeCell ref="J4:K4"/>
    <mergeCell ref="O4:P4"/>
    <mergeCell ref="Q4:R4"/>
    <mergeCell ref="S4:T4"/>
    <mergeCell ref="C5:C6"/>
    <mergeCell ref="O5:O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T5:T6"/>
    <mergeCell ref="N5:N6"/>
    <mergeCell ref="P5:P6"/>
    <mergeCell ref="Q5:Q6"/>
    <mergeCell ref="R5:R6"/>
    <mergeCell ref="S5:S6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33"/>
  <sheetViews>
    <sheetView zoomScaleNormal="100" zoomScaleSheetLayoutView="75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9.375" defaultRowHeight="12.75"/>
  <cols>
    <col min="1" max="1" width="8" style="2" customWidth="1"/>
    <col min="2" max="2" width="15.625" style="2" customWidth="1"/>
    <col min="3" max="20" width="8.5" style="2" customWidth="1"/>
    <col min="21" max="16384" width="9.375" style="2"/>
  </cols>
  <sheetData>
    <row r="1" spans="1:57" s="10" customFormat="1" ht="21">
      <c r="A1" s="1" t="s">
        <v>1</v>
      </c>
      <c r="B1" s="22"/>
    </row>
    <row r="2" spans="1:57" ht="26.25" customHeight="1">
      <c r="A2" s="11" t="s">
        <v>110</v>
      </c>
      <c r="B2" s="23"/>
    </row>
    <row r="3" spans="1:57" ht="16.5" customHeight="1">
      <c r="A3" s="179" t="s">
        <v>22</v>
      </c>
      <c r="B3" s="185"/>
      <c r="C3" s="190" t="s">
        <v>111</v>
      </c>
      <c r="D3" s="151"/>
      <c r="E3" s="151"/>
      <c r="F3" s="151"/>
      <c r="G3" s="151"/>
      <c r="H3" s="151"/>
      <c r="I3" s="151"/>
      <c r="J3" s="151"/>
      <c r="K3" s="191"/>
      <c r="L3" s="190" t="s">
        <v>112</v>
      </c>
      <c r="M3" s="151"/>
      <c r="N3" s="151"/>
      <c r="O3" s="151"/>
      <c r="P3" s="151"/>
      <c r="Q3" s="151"/>
      <c r="R3" s="151"/>
      <c r="S3" s="151"/>
      <c r="T3" s="151"/>
    </row>
    <row r="4" spans="1:57" s="25" customFormat="1" ht="29.25" customHeight="1">
      <c r="A4" s="186"/>
      <c r="B4" s="187"/>
      <c r="C4" s="43" t="s">
        <v>113</v>
      </c>
      <c r="D4" s="44"/>
      <c r="E4" s="45"/>
      <c r="F4" s="198" t="s">
        <v>114</v>
      </c>
      <c r="G4" s="199"/>
      <c r="H4" s="198" t="s">
        <v>115</v>
      </c>
      <c r="I4" s="199"/>
      <c r="J4" s="192" t="s">
        <v>116</v>
      </c>
      <c r="K4" s="191"/>
      <c r="L4" s="43" t="s">
        <v>113</v>
      </c>
      <c r="M4" s="46"/>
      <c r="N4" s="45"/>
      <c r="O4" s="198" t="s">
        <v>114</v>
      </c>
      <c r="P4" s="199"/>
      <c r="Q4" s="198" t="s">
        <v>115</v>
      </c>
      <c r="R4" s="199"/>
      <c r="S4" s="192" t="s">
        <v>116</v>
      </c>
      <c r="T4" s="151"/>
    </row>
    <row r="5" spans="1:57" s="7" customFormat="1" ht="16.5" customHeight="1">
      <c r="A5" s="186"/>
      <c r="B5" s="187"/>
      <c r="C5" s="196" t="s">
        <v>117</v>
      </c>
      <c r="D5" s="196" t="s">
        <v>118</v>
      </c>
      <c r="E5" s="196" t="s">
        <v>119</v>
      </c>
      <c r="F5" s="196" t="s">
        <v>118</v>
      </c>
      <c r="G5" s="196" t="s">
        <v>119</v>
      </c>
      <c r="H5" s="196" t="s">
        <v>118</v>
      </c>
      <c r="I5" s="196" t="s">
        <v>119</v>
      </c>
      <c r="J5" s="196" t="s">
        <v>118</v>
      </c>
      <c r="K5" s="196" t="s">
        <v>119</v>
      </c>
      <c r="L5" s="196" t="s">
        <v>117</v>
      </c>
      <c r="M5" s="196" t="s">
        <v>118</v>
      </c>
      <c r="N5" s="196" t="s">
        <v>119</v>
      </c>
      <c r="O5" s="196" t="s">
        <v>118</v>
      </c>
      <c r="P5" s="196" t="s">
        <v>119</v>
      </c>
      <c r="Q5" s="196" t="s">
        <v>118</v>
      </c>
      <c r="R5" s="196" t="s">
        <v>119</v>
      </c>
      <c r="S5" s="196" t="s">
        <v>118</v>
      </c>
      <c r="T5" s="194" t="s">
        <v>119</v>
      </c>
    </row>
    <row r="6" spans="1:57">
      <c r="A6" s="188"/>
      <c r="B6" s="189"/>
      <c r="C6" s="197"/>
      <c r="D6" s="197"/>
      <c r="E6" s="197"/>
      <c r="F6" s="197"/>
      <c r="G6" s="197"/>
      <c r="H6" s="197"/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5"/>
    </row>
    <row r="7" spans="1:57" s="6" customFormat="1" ht="15.6" customHeight="1">
      <c r="A7" s="47" t="s">
        <v>80</v>
      </c>
      <c r="B7" s="48" t="s">
        <v>81</v>
      </c>
      <c r="C7" s="29">
        <v>24703</v>
      </c>
      <c r="D7" s="29">
        <v>12761</v>
      </c>
      <c r="E7" s="29">
        <v>11942</v>
      </c>
      <c r="F7" s="29">
        <v>1761</v>
      </c>
      <c r="G7" s="29">
        <v>1561</v>
      </c>
      <c r="H7" s="29">
        <v>1542</v>
      </c>
      <c r="I7" s="29">
        <v>1258</v>
      </c>
      <c r="J7" s="29">
        <v>9458</v>
      </c>
      <c r="K7" s="29">
        <v>9123</v>
      </c>
      <c r="L7" s="29">
        <v>328853</v>
      </c>
      <c r="M7" s="29">
        <v>173975</v>
      </c>
      <c r="N7" s="29">
        <v>154878</v>
      </c>
      <c r="O7" s="29">
        <v>21670</v>
      </c>
      <c r="P7" s="29">
        <v>17779</v>
      </c>
      <c r="Q7" s="29">
        <v>21790</v>
      </c>
      <c r="R7" s="29">
        <v>16639</v>
      </c>
      <c r="S7" s="29">
        <v>130515</v>
      </c>
      <c r="T7" s="29">
        <v>120460</v>
      </c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</row>
    <row r="8" spans="1:57" s="17" customFormat="1" ht="15.6" customHeight="1">
      <c r="A8" s="30" t="s">
        <v>82</v>
      </c>
      <c r="B8" s="31" t="s">
        <v>29</v>
      </c>
      <c r="C8" s="33">
        <v>402</v>
      </c>
      <c r="D8" s="33">
        <v>192</v>
      </c>
      <c r="E8" s="33">
        <v>210</v>
      </c>
      <c r="F8" s="33">
        <v>3</v>
      </c>
      <c r="G8" s="33">
        <v>2</v>
      </c>
      <c r="H8" s="33">
        <v>2</v>
      </c>
      <c r="I8" s="33">
        <v>4</v>
      </c>
      <c r="J8" s="33">
        <v>187</v>
      </c>
      <c r="K8" s="33">
        <v>204</v>
      </c>
      <c r="L8" s="33">
        <v>41254</v>
      </c>
      <c r="M8" s="33">
        <v>21000</v>
      </c>
      <c r="N8" s="33">
        <v>20254</v>
      </c>
      <c r="O8" s="33">
        <v>1280</v>
      </c>
      <c r="P8" s="33">
        <v>1181</v>
      </c>
      <c r="Q8" s="33">
        <v>46</v>
      </c>
      <c r="R8" s="33">
        <v>307</v>
      </c>
      <c r="S8" s="33">
        <v>19674</v>
      </c>
      <c r="T8" s="33">
        <v>18766</v>
      </c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</row>
    <row r="9" spans="1:57" s="17" customFormat="1" ht="15.6" customHeight="1">
      <c r="A9" s="30" t="s">
        <v>83</v>
      </c>
      <c r="B9" s="31" t="s">
        <v>31</v>
      </c>
      <c r="C9" s="33">
        <v>4876</v>
      </c>
      <c r="D9" s="33">
        <v>2289</v>
      </c>
      <c r="E9" s="33">
        <v>2587</v>
      </c>
      <c r="F9" s="33">
        <v>167</v>
      </c>
      <c r="G9" s="33">
        <v>84</v>
      </c>
      <c r="H9" s="33">
        <v>153</v>
      </c>
      <c r="I9" s="33">
        <v>212</v>
      </c>
      <c r="J9" s="33">
        <v>1969</v>
      </c>
      <c r="K9" s="33">
        <v>2291</v>
      </c>
      <c r="L9" s="33">
        <v>39726</v>
      </c>
      <c r="M9" s="33">
        <v>18011</v>
      </c>
      <c r="N9" s="33">
        <v>21715</v>
      </c>
      <c r="O9" s="33">
        <v>1566</v>
      </c>
      <c r="P9" s="33">
        <v>1071</v>
      </c>
      <c r="Q9" s="33">
        <v>1280</v>
      </c>
      <c r="R9" s="33">
        <v>1793</v>
      </c>
      <c r="S9" s="33">
        <v>15165</v>
      </c>
      <c r="T9" s="33">
        <v>18851</v>
      </c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</row>
    <row r="10" spans="1:57" s="17" customFormat="1" ht="15.6" customHeight="1">
      <c r="A10" s="30" t="s">
        <v>84</v>
      </c>
      <c r="B10" s="31" t="s">
        <v>33</v>
      </c>
      <c r="C10" s="33">
        <v>855</v>
      </c>
      <c r="D10" s="33">
        <v>389</v>
      </c>
      <c r="E10" s="33">
        <v>466</v>
      </c>
      <c r="F10" s="33">
        <v>42</v>
      </c>
      <c r="G10" s="33">
        <v>81</v>
      </c>
      <c r="H10" s="33">
        <v>51</v>
      </c>
      <c r="I10" s="33">
        <v>36</v>
      </c>
      <c r="J10" s="33">
        <v>296</v>
      </c>
      <c r="K10" s="33">
        <v>349</v>
      </c>
      <c r="L10" s="33">
        <v>14797</v>
      </c>
      <c r="M10" s="33">
        <v>6252</v>
      </c>
      <c r="N10" s="33">
        <v>8545</v>
      </c>
      <c r="O10" s="33">
        <v>1280</v>
      </c>
      <c r="P10" s="33">
        <v>1462</v>
      </c>
      <c r="Q10" s="33">
        <v>358</v>
      </c>
      <c r="R10" s="33">
        <v>527</v>
      </c>
      <c r="S10" s="33">
        <v>4614</v>
      </c>
      <c r="T10" s="33">
        <v>6556</v>
      </c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</row>
    <row r="11" spans="1:57" s="17" customFormat="1" ht="15.6" customHeight="1">
      <c r="A11" s="30" t="s">
        <v>85</v>
      </c>
      <c r="B11" s="31" t="s">
        <v>35</v>
      </c>
      <c r="C11" s="33">
        <v>2213</v>
      </c>
      <c r="D11" s="33">
        <v>1171</v>
      </c>
      <c r="E11" s="33">
        <v>1042</v>
      </c>
      <c r="F11" s="33">
        <v>309</v>
      </c>
      <c r="G11" s="33">
        <v>211</v>
      </c>
      <c r="H11" s="33">
        <v>91</v>
      </c>
      <c r="I11" s="33">
        <v>77</v>
      </c>
      <c r="J11" s="33">
        <v>771</v>
      </c>
      <c r="K11" s="33">
        <v>754</v>
      </c>
      <c r="L11" s="33">
        <v>18570</v>
      </c>
      <c r="M11" s="33">
        <v>10503</v>
      </c>
      <c r="N11" s="33">
        <v>8067</v>
      </c>
      <c r="O11" s="33">
        <v>2891</v>
      </c>
      <c r="P11" s="33">
        <v>1543</v>
      </c>
      <c r="Q11" s="33">
        <v>918</v>
      </c>
      <c r="R11" s="33">
        <v>694</v>
      </c>
      <c r="S11" s="33">
        <v>6694</v>
      </c>
      <c r="T11" s="33">
        <v>5830</v>
      </c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</row>
    <row r="12" spans="1:57" s="17" customFormat="1" ht="15.6" customHeight="1">
      <c r="A12" s="30" t="s">
        <v>86</v>
      </c>
      <c r="B12" s="31" t="s">
        <v>37</v>
      </c>
      <c r="C12" s="33">
        <v>762</v>
      </c>
      <c r="D12" s="33">
        <v>407</v>
      </c>
      <c r="E12" s="33">
        <v>355</v>
      </c>
      <c r="F12" s="33">
        <v>14</v>
      </c>
      <c r="G12" s="33">
        <v>53</v>
      </c>
      <c r="H12" s="33">
        <v>102</v>
      </c>
      <c r="I12" s="33">
        <v>59</v>
      </c>
      <c r="J12" s="33">
        <v>291</v>
      </c>
      <c r="K12" s="33">
        <v>243</v>
      </c>
      <c r="L12" s="33">
        <v>13792</v>
      </c>
      <c r="M12" s="33">
        <v>7517</v>
      </c>
      <c r="N12" s="33">
        <v>6275</v>
      </c>
      <c r="O12" s="33">
        <v>229</v>
      </c>
      <c r="P12" s="33">
        <v>732</v>
      </c>
      <c r="Q12" s="33">
        <v>1796</v>
      </c>
      <c r="R12" s="33">
        <v>1055</v>
      </c>
      <c r="S12" s="33">
        <v>5492</v>
      </c>
      <c r="T12" s="33">
        <v>4488</v>
      </c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</row>
    <row r="13" spans="1:57" s="17" customFormat="1" ht="15.6" customHeight="1">
      <c r="A13" s="34" t="s">
        <v>87</v>
      </c>
      <c r="B13" s="31" t="s">
        <v>39</v>
      </c>
      <c r="C13" s="33">
        <v>4165</v>
      </c>
      <c r="D13" s="33">
        <v>2377</v>
      </c>
      <c r="E13" s="33">
        <v>1788</v>
      </c>
      <c r="F13" s="33">
        <v>367</v>
      </c>
      <c r="G13" s="33">
        <v>376</v>
      </c>
      <c r="H13" s="33">
        <v>366</v>
      </c>
      <c r="I13" s="33">
        <v>174</v>
      </c>
      <c r="J13" s="33">
        <v>1644</v>
      </c>
      <c r="K13" s="33">
        <v>1238</v>
      </c>
      <c r="L13" s="33">
        <v>43330</v>
      </c>
      <c r="M13" s="33">
        <v>26244</v>
      </c>
      <c r="N13" s="33">
        <v>17086</v>
      </c>
      <c r="O13" s="33">
        <v>3821</v>
      </c>
      <c r="P13" s="33">
        <v>3612</v>
      </c>
      <c r="Q13" s="33">
        <v>4263</v>
      </c>
      <c r="R13" s="33">
        <v>1884</v>
      </c>
      <c r="S13" s="33">
        <v>18160</v>
      </c>
      <c r="T13" s="33">
        <v>11590</v>
      </c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</row>
    <row r="14" spans="1:57" ht="15.6" customHeight="1">
      <c r="A14" s="35" t="s">
        <v>88</v>
      </c>
      <c r="B14" s="36" t="s">
        <v>41</v>
      </c>
      <c r="C14" s="37">
        <v>1392</v>
      </c>
      <c r="D14" s="37">
        <v>727</v>
      </c>
      <c r="E14" s="37">
        <v>665</v>
      </c>
      <c r="F14" s="37">
        <v>95</v>
      </c>
      <c r="G14" s="37">
        <v>115</v>
      </c>
      <c r="H14" s="37">
        <v>76</v>
      </c>
      <c r="I14" s="37">
        <v>57</v>
      </c>
      <c r="J14" s="37">
        <v>556</v>
      </c>
      <c r="K14" s="37">
        <v>493</v>
      </c>
      <c r="L14" s="37">
        <v>15067</v>
      </c>
      <c r="M14" s="37">
        <v>7765</v>
      </c>
      <c r="N14" s="37">
        <v>7302</v>
      </c>
      <c r="O14" s="37">
        <v>828</v>
      </c>
      <c r="P14" s="37">
        <v>1109</v>
      </c>
      <c r="Q14" s="37">
        <v>995</v>
      </c>
      <c r="R14" s="37">
        <v>560</v>
      </c>
      <c r="S14" s="37">
        <v>5942</v>
      </c>
      <c r="T14" s="37">
        <v>5633</v>
      </c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</row>
    <row r="15" spans="1:57" ht="15.6" customHeight="1">
      <c r="A15" s="35" t="s">
        <v>89</v>
      </c>
      <c r="B15" s="36" t="s">
        <v>43</v>
      </c>
      <c r="C15" s="37">
        <v>537</v>
      </c>
      <c r="D15" s="37">
        <v>307</v>
      </c>
      <c r="E15" s="37">
        <v>230</v>
      </c>
      <c r="F15" s="37">
        <v>43</v>
      </c>
      <c r="G15" s="37">
        <v>22</v>
      </c>
      <c r="H15" s="37">
        <v>8</v>
      </c>
      <c r="I15" s="37">
        <v>8</v>
      </c>
      <c r="J15" s="37">
        <v>256</v>
      </c>
      <c r="K15" s="37">
        <v>200</v>
      </c>
      <c r="L15" s="37">
        <v>5774</v>
      </c>
      <c r="M15" s="37">
        <v>3511</v>
      </c>
      <c r="N15" s="37">
        <v>2263</v>
      </c>
      <c r="O15" s="37">
        <v>545</v>
      </c>
      <c r="P15" s="37">
        <v>225</v>
      </c>
      <c r="Q15" s="37">
        <v>57</v>
      </c>
      <c r="R15" s="37">
        <v>50</v>
      </c>
      <c r="S15" s="37">
        <v>2909</v>
      </c>
      <c r="T15" s="37">
        <v>1988</v>
      </c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</row>
    <row r="16" spans="1:57" ht="15.6" customHeight="1">
      <c r="A16" s="35" t="s">
        <v>90</v>
      </c>
      <c r="B16" s="36" t="s">
        <v>45</v>
      </c>
      <c r="C16" s="37">
        <v>327</v>
      </c>
      <c r="D16" s="37">
        <v>169</v>
      </c>
      <c r="E16" s="37">
        <v>158</v>
      </c>
      <c r="F16" s="37">
        <v>20</v>
      </c>
      <c r="G16" s="37">
        <v>16</v>
      </c>
      <c r="H16" s="37">
        <v>32</v>
      </c>
      <c r="I16" s="37">
        <v>21</v>
      </c>
      <c r="J16" s="37">
        <v>117</v>
      </c>
      <c r="K16" s="37">
        <v>121</v>
      </c>
      <c r="L16" s="37">
        <v>19768</v>
      </c>
      <c r="M16" s="37">
        <v>10707</v>
      </c>
      <c r="N16" s="37">
        <v>9061</v>
      </c>
      <c r="O16" s="37">
        <v>1425</v>
      </c>
      <c r="P16" s="37">
        <v>1113</v>
      </c>
      <c r="Q16" s="37">
        <v>2055</v>
      </c>
      <c r="R16" s="37">
        <v>1569</v>
      </c>
      <c r="S16" s="37">
        <v>7227</v>
      </c>
      <c r="T16" s="37">
        <v>6379</v>
      </c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</row>
    <row r="17" spans="1:39" ht="15.6" customHeight="1">
      <c r="A17" s="35" t="s">
        <v>91</v>
      </c>
      <c r="B17" s="36" t="s">
        <v>47</v>
      </c>
      <c r="C17" s="37">
        <v>1142</v>
      </c>
      <c r="D17" s="37">
        <v>578</v>
      </c>
      <c r="E17" s="37">
        <v>564</v>
      </c>
      <c r="F17" s="37">
        <v>73</v>
      </c>
      <c r="G17" s="37">
        <v>128</v>
      </c>
      <c r="H17" s="37">
        <v>123</v>
      </c>
      <c r="I17" s="37">
        <v>49</v>
      </c>
      <c r="J17" s="37">
        <v>382</v>
      </c>
      <c r="K17" s="37">
        <v>387</v>
      </c>
      <c r="L17" s="37">
        <v>9358</v>
      </c>
      <c r="M17" s="37">
        <v>5089</v>
      </c>
      <c r="N17" s="37">
        <v>4269</v>
      </c>
      <c r="O17" s="37">
        <v>698</v>
      </c>
      <c r="P17" s="37">
        <v>962</v>
      </c>
      <c r="Q17" s="37">
        <v>1098</v>
      </c>
      <c r="R17" s="37">
        <v>450</v>
      </c>
      <c r="S17" s="37">
        <v>3293</v>
      </c>
      <c r="T17" s="37">
        <v>2857</v>
      </c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</row>
    <row r="18" spans="1:39" ht="15.6" customHeight="1">
      <c r="A18" s="35" t="s">
        <v>92</v>
      </c>
      <c r="B18" s="36" t="s">
        <v>49</v>
      </c>
      <c r="C18" s="37">
        <v>297</v>
      </c>
      <c r="D18" s="37">
        <v>181</v>
      </c>
      <c r="E18" s="37">
        <v>116</v>
      </c>
      <c r="F18" s="37">
        <v>19</v>
      </c>
      <c r="G18" s="37">
        <v>5</v>
      </c>
      <c r="H18" s="37">
        <v>43</v>
      </c>
      <c r="I18" s="37">
        <v>22</v>
      </c>
      <c r="J18" s="37">
        <v>119</v>
      </c>
      <c r="K18" s="37">
        <v>89</v>
      </c>
      <c r="L18" s="37">
        <v>19914</v>
      </c>
      <c r="M18" s="37">
        <v>12307</v>
      </c>
      <c r="N18" s="37">
        <v>7607</v>
      </c>
      <c r="O18" s="37">
        <v>1099</v>
      </c>
      <c r="P18" s="37">
        <v>433</v>
      </c>
      <c r="Q18" s="37">
        <v>3301</v>
      </c>
      <c r="R18" s="37">
        <v>1860</v>
      </c>
      <c r="S18" s="37">
        <v>7907</v>
      </c>
      <c r="T18" s="37">
        <v>5314</v>
      </c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</row>
    <row r="19" spans="1:39" ht="15.6" customHeight="1">
      <c r="A19" s="35" t="s">
        <v>93</v>
      </c>
      <c r="B19" s="36" t="s">
        <v>51</v>
      </c>
      <c r="C19" s="37">
        <v>844</v>
      </c>
      <c r="D19" s="37">
        <v>477</v>
      </c>
      <c r="E19" s="37">
        <v>367</v>
      </c>
      <c r="F19" s="37">
        <v>20</v>
      </c>
      <c r="G19" s="37">
        <v>17</v>
      </c>
      <c r="H19" s="37">
        <v>55</v>
      </c>
      <c r="I19" s="37">
        <v>32</v>
      </c>
      <c r="J19" s="37">
        <v>402</v>
      </c>
      <c r="K19" s="37">
        <v>318</v>
      </c>
      <c r="L19" s="37">
        <v>8897</v>
      </c>
      <c r="M19" s="37">
        <v>5217</v>
      </c>
      <c r="N19" s="37">
        <v>3680</v>
      </c>
      <c r="O19" s="37">
        <v>200</v>
      </c>
      <c r="P19" s="37">
        <v>246</v>
      </c>
      <c r="Q19" s="37">
        <v>697</v>
      </c>
      <c r="R19" s="37">
        <v>255</v>
      </c>
      <c r="S19" s="37">
        <v>4320</v>
      </c>
      <c r="T19" s="37">
        <v>3179</v>
      </c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</row>
    <row r="20" spans="1:39" ht="15.6" customHeight="1">
      <c r="A20" s="35" t="s">
        <v>94</v>
      </c>
      <c r="B20" s="36" t="s">
        <v>53</v>
      </c>
      <c r="C20" s="37">
        <v>858</v>
      </c>
      <c r="D20" s="37">
        <v>481</v>
      </c>
      <c r="E20" s="37">
        <v>377</v>
      </c>
      <c r="F20" s="37">
        <v>138</v>
      </c>
      <c r="G20" s="37">
        <v>58</v>
      </c>
      <c r="H20" s="37">
        <v>84</v>
      </c>
      <c r="I20" s="37">
        <v>107</v>
      </c>
      <c r="J20" s="37">
        <v>259</v>
      </c>
      <c r="K20" s="37">
        <v>212</v>
      </c>
      <c r="L20" s="37">
        <v>6949</v>
      </c>
      <c r="M20" s="37">
        <v>4032</v>
      </c>
      <c r="N20" s="37">
        <v>2917</v>
      </c>
      <c r="O20" s="37">
        <v>1079</v>
      </c>
      <c r="P20" s="37">
        <v>363</v>
      </c>
      <c r="Q20" s="37">
        <v>704</v>
      </c>
      <c r="R20" s="37">
        <v>901</v>
      </c>
      <c r="S20" s="37">
        <v>2249</v>
      </c>
      <c r="T20" s="37">
        <v>1653</v>
      </c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</row>
    <row r="21" spans="1:39" ht="15.6" customHeight="1">
      <c r="A21" s="35" t="s">
        <v>95</v>
      </c>
      <c r="B21" s="36" t="s">
        <v>55</v>
      </c>
      <c r="C21" s="37">
        <v>894</v>
      </c>
      <c r="D21" s="37">
        <v>373</v>
      </c>
      <c r="E21" s="37">
        <v>521</v>
      </c>
      <c r="F21" s="37">
        <v>78</v>
      </c>
      <c r="G21" s="37">
        <v>100</v>
      </c>
      <c r="H21" s="37">
        <v>58</v>
      </c>
      <c r="I21" s="37">
        <v>57</v>
      </c>
      <c r="J21" s="37">
        <v>237</v>
      </c>
      <c r="K21" s="37">
        <v>364</v>
      </c>
      <c r="L21" s="37">
        <v>8960</v>
      </c>
      <c r="M21" s="37">
        <v>3848</v>
      </c>
      <c r="N21" s="37">
        <v>5112</v>
      </c>
      <c r="O21" s="37">
        <v>770</v>
      </c>
      <c r="P21" s="37">
        <v>770</v>
      </c>
      <c r="Q21" s="37">
        <v>648</v>
      </c>
      <c r="R21" s="37">
        <v>632</v>
      </c>
      <c r="S21" s="37">
        <v>2430</v>
      </c>
      <c r="T21" s="37">
        <v>3710</v>
      </c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</row>
    <row r="22" spans="1:39" ht="15.6" customHeight="1">
      <c r="A22" s="35" t="s">
        <v>96</v>
      </c>
      <c r="B22" s="36" t="s">
        <v>57</v>
      </c>
      <c r="C22" s="37">
        <v>633</v>
      </c>
      <c r="D22" s="37">
        <v>348</v>
      </c>
      <c r="E22" s="37">
        <v>285</v>
      </c>
      <c r="F22" s="37">
        <v>88</v>
      </c>
      <c r="G22" s="37">
        <v>46</v>
      </c>
      <c r="H22" s="37">
        <v>10</v>
      </c>
      <c r="I22" s="37">
        <v>23</v>
      </c>
      <c r="J22" s="37">
        <v>250</v>
      </c>
      <c r="K22" s="37">
        <v>216</v>
      </c>
      <c r="L22" s="37">
        <v>7208</v>
      </c>
      <c r="M22" s="37">
        <v>3900</v>
      </c>
      <c r="N22" s="37">
        <v>3308</v>
      </c>
      <c r="O22" s="37">
        <v>825</v>
      </c>
      <c r="P22" s="37">
        <v>390</v>
      </c>
      <c r="Q22" s="37">
        <v>152</v>
      </c>
      <c r="R22" s="37">
        <v>340</v>
      </c>
      <c r="S22" s="37">
        <v>2923</v>
      </c>
      <c r="T22" s="37">
        <v>2578</v>
      </c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</row>
    <row r="23" spans="1:39" ht="15.6" customHeight="1">
      <c r="A23" s="35" t="s">
        <v>97</v>
      </c>
      <c r="B23" s="36" t="s">
        <v>59</v>
      </c>
      <c r="C23" s="37">
        <v>1596</v>
      </c>
      <c r="D23" s="37">
        <v>797</v>
      </c>
      <c r="E23" s="37">
        <v>799</v>
      </c>
      <c r="F23" s="37">
        <v>75</v>
      </c>
      <c r="G23" s="37">
        <v>65</v>
      </c>
      <c r="H23" s="37">
        <v>97</v>
      </c>
      <c r="I23" s="37">
        <v>140</v>
      </c>
      <c r="J23" s="37">
        <v>625</v>
      </c>
      <c r="K23" s="37">
        <v>594</v>
      </c>
      <c r="L23" s="37">
        <v>15989</v>
      </c>
      <c r="M23" s="37">
        <v>7841</v>
      </c>
      <c r="N23" s="37">
        <v>8148</v>
      </c>
      <c r="O23" s="37">
        <v>680</v>
      </c>
      <c r="P23" s="37">
        <v>578</v>
      </c>
      <c r="Q23" s="37">
        <v>1007</v>
      </c>
      <c r="R23" s="37">
        <v>1632</v>
      </c>
      <c r="S23" s="37">
        <v>6154</v>
      </c>
      <c r="T23" s="37">
        <v>5938</v>
      </c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</row>
    <row r="24" spans="1:39" ht="15.6" customHeight="1">
      <c r="A24" s="35" t="s">
        <v>98</v>
      </c>
      <c r="B24" s="36" t="s">
        <v>61</v>
      </c>
      <c r="C24" s="37">
        <v>57</v>
      </c>
      <c r="D24" s="37">
        <v>24</v>
      </c>
      <c r="E24" s="37">
        <v>33</v>
      </c>
      <c r="F24" s="37">
        <v>1</v>
      </c>
      <c r="G24" s="37">
        <v>0</v>
      </c>
      <c r="H24" s="37">
        <v>3</v>
      </c>
      <c r="I24" s="37">
        <v>1</v>
      </c>
      <c r="J24" s="37">
        <v>20</v>
      </c>
      <c r="K24" s="37">
        <v>32</v>
      </c>
      <c r="L24" s="37">
        <v>3988</v>
      </c>
      <c r="M24" s="37">
        <v>1974</v>
      </c>
      <c r="N24" s="37">
        <v>2014</v>
      </c>
      <c r="O24" s="37">
        <v>101</v>
      </c>
      <c r="P24" s="37">
        <v>36</v>
      </c>
      <c r="Q24" s="37">
        <v>193</v>
      </c>
      <c r="R24" s="37">
        <v>145</v>
      </c>
      <c r="S24" s="37">
        <v>1680</v>
      </c>
      <c r="T24" s="37">
        <v>1833</v>
      </c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</row>
    <row r="25" spans="1:39" ht="15.6" customHeight="1">
      <c r="A25" s="35" t="s">
        <v>99</v>
      </c>
      <c r="B25" s="36" t="s">
        <v>63</v>
      </c>
      <c r="C25" s="37">
        <v>400</v>
      </c>
      <c r="D25" s="37">
        <v>229</v>
      </c>
      <c r="E25" s="37">
        <v>171</v>
      </c>
      <c r="F25" s="37">
        <v>51</v>
      </c>
      <c r="G25" s="37">
        <v>18</v>
      </c>
      <c r="H25" s="37">
        <v>36</v>
      </c>
      <c r="I25" s="37">
        <v>49</v>
      </c>
      <c r="J25" s="37">
        <v>142</v>
      </c>
      <c r="K25" s="37">
        <v>104</v>
      </c>
      <c r="L25" s="37">
        <v>4391</v>
      </c>
      <c r="M25" s="37">
        <v>2455</v>
      </c>
      <c r="N25" s="37">
        <v>1936</v>
      </c>
      <c r="O25" s="37">
        <v>526</v>
      </c>
      <c r="P25" s="37">
        <v>89</v>
      </c>
      <c r="Q25" s="37">
        <v>464</v>
      </c>
      <c r="R25" s="37">
        <v>491</v>
      </c>
      <c r="S25" s="37">
        <v>1465</v>
      </c>
      <c r="T25" s="37">
        <v>1356</v>
      </c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</row>
    <row r="26" spans="1:39" ht="15.6" customHeight="1">
      <c r="A26" s="35" t="s">
        <v>100</v>
      </c>
      <c r="B26" s="36" t="s">
        <v>65</v>
      </c>
      <c r="C26" s="37">
        <v>1332</v>
      </c>
      <c r="D26" s="37">
        <v>723</v>
      </c>
      <c r="E26" s="37">
        <v>609</v>
      </c>
      <c r="F26" s="37">
        <v>97</v>
      </c>
      <c r="G26" s="37">
        <v>71</v>
      </c>
      <c r="H26" s="37">
        <v>132</v>
      </c>
      <c r="I26" s="37">
        <v>97</v>
      </c>
      <c r="J26" s="37">
        <v>494</v>
      </c>
      <c r="K26" s="37">
        <v>441</v>
      </c>
      <c r="L26" s="37">
        <v>16165</v>
      </c>
      <c r="M26" s="37">
        <v>8735</v>
      </c>
      <c r="N26" s="37">
        <v>7430</v>
      </c>
      <c r="O26" s="37">
        <v>1162</v>
      </c>
      <c r="P26" s="37">
        <v>998</v>
      </c>
      <c r="Q26" s="37">
        <v>1544</v>
      </c>
      <c r="R26" s="37">
        <v>1185</v>
      </c>
      <c r="S26" s="37">
        <v>6029</v>
      </c>
      <c r="T26" s="37">
        <v>5247</v>
      </c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</row>
    <row r="27" spans="1:39" ht="15.6" customHeight="1">
      <c r="A27" s="35" t="s">
        <v>101</v>
      </c>
      <c r="B27" s="36" t="s">
        <v>67</v>
      </c>
      <c r="C27" s="37">
        <v>625</v>
      </c>
      <c r="D27" s="37">
        <v>268</v>
      </c>
      <c r="E27" s="37">
        <v>357</v>
      </c>
      <c r="F27" s="37">
        <v>56</v>
      </c>
      <c r="G27" s="37">
        <v>93</v>
      </c>
      <c r="H27" s="37">
        <v>20</v>
      </c>
      <c r="I27" s="37">
        <v>33</v>
      </c>
      <c r="J27" s="37">
        <v>192</v>
      </c>
      <c r="K27" s="37">
        <v>231</v>
      </c>
      <c r="L27" s="37">
        <v>5804</v>
      </c>
      <c r="M27" s="37">
        <v>2669</v>
      </c>
      <c r="N27" s="37">
        <v>3135</v>
      </c>
      <c r="O27" s="37">
        <v>569</v>
      </c>
      <c r="P27" s="37">
        <v>866</v>
      </c>
      <c r="Q27" s="37">
        <v>214</v>
      </c>
      <c r="R27" s="37">
        <v>309</v>
      </c>
      <c r="S27" s="37">
        <v>1886</v>
      </c>
      <c r="T27" s="37">
        <v>1960</v>
      </c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</row>
    <row r="28" spans="1:39" ht="15.6" customHeight="1">
      <c r="A28" s="35" t="s">
        <v>102</v>
      </c>
      <c r="B28" s="36" t="s">
        <v>69</v>
      </c>
      <c r="C28" s="37">
        <v>488</v>
      </c>
      <c r="D28" s="37">
        <v>249</v>
      </c>
      <c r="E28" s="37">
        <v>239</v>
      </c>
      <c r="F28" s="37">
        <v>5</v>
      </c>
      <c r="G28" s="37">
        <v>0</v>
      </c>
      <c r="H28" s="37">
        <v>0</v>
      </c>
      <c r="I28" s="37">
        <v>0</v>
      </c>
      <c r="J28" s="37">
        <v>244</v>
      </c>
      <c r="K28" s="37">
        <v>239</v>
      </c>
      <c r="L28" s="37">
        <v>8668</v>
      </c>
      <c r="M28" s="37">
        <v>4116</v>
      </c>
      <c r="N28" s="37">
        <v>4552</v>
      </c>
      <c r="O28" s="37">
        <v>96</v>
      </c>
      <c r="P28" s="37">
        <v>0</v>
      </c>
      <c r="Q28" s="37">
        <v>0</v>
      </c>
      <c r="R28" s="37">
        <v>0</v>
      </c>
      <c r="S28" s="37">
        <v>4020</v>
      </c>
      <c r="T28" s="37">
        <v>4552</v>
      </c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</row>
    <row r="29" spans="1:39" ht="15.6" customHeight="1">
      <c r="A29" s="38" t="s">
        <v>103</v>
      </c>
      <c r="B29" s="39" t="s">
        <v>71</v>
      </c>
      <c r="C29" s="40">
        <v>8</v>
      </c>
      <c r="D29" s="40">
        <v>5</v>
      </c>
      <c r="E29" s="40">
        <v>3</v>
      </c>
      <c r="F29" s="40">
        <v>0</v>
      </c>
      <c r="G29" s="40">
        <v>0</v>
      </c>
      <c r="H29" s="40">
        <v>0</v>
      </c>
      <c r="I29" s="40">
        <v>0</v>
      </c>
      <c r="J29" s="40">
        <v>5</v>
      </c>
      <c r="K29" s="40">
        <v>3</v>
      </c>
      <c r="L29" s="40">
        <v>484</v>
      </c>
      <c r="M29" s="40">
        <v>282</v>
      </c>
      <c r="N29" s="40">
        <v>202</v>
      </c>
      <c r="O29" s="40">
        <v>0</v>
      </c>
      <c r="P29" s="40">
        <v>0</v>
      </c>
      <c r="Q29" s="40">
        <v>0</v>
      </c>
      <c r="R29" s="40">
        <v>0</v>
      </c>
      <c r="S29" s="40">
        <v>282</v>
      </c>
      <c r="T29" s="40">
        <v>202</v>
      </c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</row>
    <row r="30" spans="1:39" ht="16.5">
      <c r="A30" s="8" t="s">
        <v>72</v>
      </c>
      <c r="B30" s="19"/>
    </row>
    <row r="31" spans="1:39">
      <c r="A31" s="2" t="s">
        <v>74</v>
      </c>
    </row>
    <row r="33" spans="1:1">
      <c r="A33" s="9" t="s">
        <v>120</v>
      </c>
    </row>
  </sheetData>
  <mergeCells count="27">
    <mergeCell ref="A3:B6"/>
    <mergeCell ref="C3:K3"/>
    <mergeCell ref="L3:T3"/>
    <mergeCell ref="F4:G4"/>
    <mergeCell ref="H4:I4"/>
    <mergeCell ref="J4:K4"/>
    <mergeCell ref="O4:P4"/>
    <mergeCell ref="Q4:R4"/>
    <mergeCell ref="S4:T4"/>
    <mergeCell ref="C5:C6"/>
    <mergeCell ref="O5:O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T5:T6"/>
    <mergeCell ref="N5:N6"/>
    <mergeCell ref="P5:P6"/>
    <mergeCell ref="Q5:Q6"/>
    <mergeCell ref="R5:R6"/>
    <mergeCell ref="S5:S6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C33"/>
  <sheetViews>
    <sheetView zoomScaleNormal="100" zoomScaleSheetLayoutView="75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9.375" defaultRowHeight="12.75"/>
  <cols>
    <col min="1" max="1" width="8" style="2" customWidth="1"/>
    <col min="2" max="2" width="15.625" style="2" customWidth="1"/>
    <col min="3" max="20" width="8.5" style="2" customWidth="1"/>
    <col min="21" max="16384" width="9.375" style="2"/>
  </cols>
  <sheetData>
    <row r="1" spans="1:55" s="10" customFormat="1" ht="21">
      <c r="A1" s="1" t="s">
        <v>1</v>
      </c>
      <c r="B1" s="22"/>
    </row>
    <row r="2" spans="1:55" ht="26.25" customHeight="1">
      <c r="A2" s="11" t="s">
        <v>121</v>
      </c>
      <c r="B2" s="23"/>
    </row>
    <row r="3" spans="1:55" ht="16.5" customHeight="1">
      <c r="A3" s="179" t="s">
        <v>22</v>
      </c>
      <c r="B3" s="185"/>
      <c r="C3" s="190" t="s">
        <v>78</v>
      </c>
      <c r="D3" s="151"/>
      <c r="E3" s="151"/>
      <c r="F3" s="151"/>
      <c r="G3" s="151"/>
      <c r="H3" s="151"/>
      <c r="I3" s="151"/>
      <c r="J3" s="151"/>
      <c r="K3" s="191"/>
      <c r="L3" s="190" t="s">
        <v>79</v>
      </c>
      <c r="M3" s="151"/>
      <c r="N3" s="151"/>
      <c r="O3" s="151"/>
      <c r="P3" s="151"/>
      <c r="Q3" s="151"/>
      <c r="R3" s="151"/>
      <c r="S3" s="151"/>
      <c r="T3" s="151"/>
    </row>
    <row r="4" spans="1:55" s="25" customFormat="1" ht="29.25" customHeight="1">
      <c r="A4" s="186"/>
      <c r="B4" s="187"/>
      <c r="C4" s="43" t="s">
        <v>113</v>
      </c>
      <c r="D4" s="44"/>
      <c r="E4" s="45"/>
      <c r="F4" s="198" t="s">
        <v>114</v>
      </c>
      <c r="G4" s="199"/>
      <c r="H4" s="198" t="s">
        <v>115</v>
      </c>
      <c r="I4" s="199"/>
      <c r="J4" s="192" t="s">
        <v>116</v>
      </c>
      <c r="K4" s="191"/>
      <c r="L4" s="43" t="s">
        <v>113</v>
      </c>
      <c r="M4" s="46"/>
      <c r="N4" s="45"/>
      <c r="O4" s="198" t="s">
        <v>114</v>
      </c>
      <c r="P4" s="199"/>
      <c r="Q4" s="198" t="s">
        <v>115</v>
      </c>
      <c r="R4" s="199"/>
      <c r="S4" s="192" t="s">
        <v>116</v>
      </c>
      <c r="T4" s="151"/>
    </row>
    <row r="5" spans="1:55" s="7" customFormat="1" ht="16.5" customHeight="1">
      <c r="A5" s="186"/>
      <c r="B5" s="187"/>
      <c r="C5" s="196" t="s">
        <v>117</v>
      </c>
      <c r="D5" s="196" t="s">
        <v>118</v>
      </c>
      <c r="E5" s="196" t="s">
        <v>119</v>
      </c>
      <c r="F5" s="196" t="s">
        <v>118</v>
      </c>
      <c r="G5" s="196" t="s">
        <v>119</v>
      </c>
      <c r="H5" s="196" t="s">
        <v>118</v>
      </c>
      <c r="I5" s="196" t="s">
        <v>119</v>
      </c>
      <c r="J5" s="196" t="s">
        <v>118</v>
      </c>
      <c r="K5" s="196" t="s">
        <v>119</v>
      </c>
      <c r="L5" s="196" t="s">
        <v>117</v>
      </c>
      <c r="M5" s="196" t="s">
        <v>118</v>
      </c>
      <c r="N5" s="196" t="s">
        <v>119</v>
      </c>
      <c r="O5" s="196" t="s">
        <v>118</v>
      </c>
      <c r="P5" s="196" t="s">
        <v>119</v>
      </c>
      <c r="Q5" s="196" t="s">
        <v>118</v>
      </c>
      <c r="R5" s="196" t="s">
        <v>119</v>
      </c>
      <c r="S5" s="196" t="s">
        <v>118</v>
      </c>
      <c r="T5" s="194" t="s">
        <v>119</v>
      </c>
    </row>
    <row r="6" spans="1:55">
      <c r="A6" s="188"/>
      <c r="B6" s="189"/>
      <c r="C6" s="197"/>
      <c r="D6" s="197"/>
      <c r="E6" s="197"/>
      <c r="F6" s="197"/>
      <c r="G6" s="197"/>
      <c r="H6" s="197"/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5"/>
    </row>
    <row r="7" spans="1:55" s="17" customFormat="1" ht="15.6" customHeight="1">
      <c r="A7" s="49" t="s">
        <v>80</v>
      </c>
      <c r="B7" s="31" t="s">
        <v>81</v>
      </c>
      <c r="C7" s="33">
        <v>24724</v>
      </c>
      <c r="D7" s="33">
        <v>12694</v>
      </c>
      <c r="E7" s="33">
        <v>12030</v>
      </c>
      <c r="F7" s="33">
        <v>1871</v>
      </c>
      <c r="G7" s="33">
        <v>1535</v>
      </c>
      <c r="H7" s="33">
        <v>1410</v>
      </c>
      <c r="I7" s="33">
        <v>1289</v>
      </c>
      <c r="J7" s="33">
        <v>9413</v>
      </c>
      <c r="K7" s="33">
        <v>9206</v>
      </c>
      <c r="L7" s="33">
        <v>304667</v>
      </c>
      <c r="M7" s="33">
        <v>160366</v>
      </c>
      <c r="N7" s="33">
        <v>144301</v>
      </c>
      <c r="O7" s="33">
        <v>21237</v>
      </c>
      <c r="P7" s="33">
        <v>16534</v>
      </c>
      <c r="Q7" s="33">
        <v>20624</v>
      </c>
      <c r="R7" s="33">
        <v>15118</v>
      </c>
      <c r="S7" s="33">
        <v>118505</v>
      </c>
      <c r="T7" s="33">
        <v>112649</v>
      </c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</row>
    <row r="8" spans="1:55" s="17" customFormat="1" ht="15.6" customHeight="1">
      <c r="A8" s="30" t="s">
        <v>82</v>
      </c>
      <c r="B8" s="31" t="s">
        <v>29</v>
      </c>
      <c r="C8" s="33">
        <v>390</v>
      </c>
      <c r="D8" s="33">
        <v>198</v>
      </c>
      <c r="E8" s="33">
        <v>192</v>
      </c>
      <c r="F8" s="33">
        <v>2</v>
      </c>
      <c r="G8" s="33">
        <v>3</v>
      </c>
      <c r="H8" s="33">
        <v>1</v>
      </c>
      <c r="I8" s="33">
        <v>4</v>
      </c>
      <c r="J8" s="33">
        <v>195</v>
      </c>
      <c r="K8" s="33">
        <v>185</v>
      </c>
      <c r="L8" s="33">
        <v>37073</v>
      </c>
      <c r="M8" s="33">
        <v>19239</v>
      </c>
      <c r="N8" s="33">
        <v>17834</v>
      </c>
      <c r="O8" s="33">
        <v>1114</v>
      </c>
      <c r="P8" s="33">
        <v>940</v>
      </c>
      <c r="Q8" s="33">
        <v>47</v>
      </c>
      <c r="R8" s="33">
        <v>274</v>
      </c>
      <c r="S8" s="33">
        <v>18078</v>
      </c>
      <c r="T8" s="33">
        <v>16620</v>
      </c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</row>
    <row r="9" spans="1:55" s="17" customFormat="1" ht="15.6" customHeight="1">
      <c r="A9" s="30" t="s">
        <v>83</v>
      </c>
      <c r="B9" s="31" t="s">
        <v>31</v>
      </c>
      <c r="C9" s="33">
        <v>5727</v>
      </c>
      <c r="D9" s="33">
        <v>2614</v>
      </c>
      <c r="E9" s="33">
        <v>3113</v>
      </c>
      <c r="F9" s="33">
        <v>213</v>
      </c>
      <c r="G9" s="33">
        <v>143</v>
      </c>
      <c r="H9" s="33">
        <v>149</v>
      </c>
      <c r="I9" s="33">
        <v>263</v>
      </c>
      <c r="J9" s="33">
        <v>2252</v>
      </c>
      <c r="K9" s="33">
        <v>2707</v>
      </c>
      <c r="L9" s="33">
        <v>49805</v>
      </c>
      <c r="M9" s="33">
        <v>22445</v>
      </c>
      <c r="N9" s="33">
        <v>27360</v>
      </c>
      <c r="O9" s="33">
        <v>1989</v>
      </c>
      <c r="P9" s="33">
        <v>1428</v>
      </c>
      <c r="Q9" s="33">
        <v>1392</v>
      </c>
      <c r="R9" s="33">
        <v>2242</v>
      </c>
      <c r="S9" s="33">
        <v>19064</v>
      </c>
      <c r="T9" s="33">
        <v>23690</v>
      </c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</row>
    <row r="10" spans="1:55" s="17" customFormat="1" ht="15.6" customHeight="1">
      <c r="A10" s="30" t="s">
        <v>84</v>
      </c>
      <c r="B10" s="31" t="s">
        <v>33</v>
      </c>
      <c r="C10" s="33">
        <v>803</v>
      </c>
      <c r="D10" s="33">
        <v>379</v>
      </c>
      <c r="E10" s="33">
        <v>424</v>
      </c>
      <c r="F10" s="33">
        <v>84</v>
      </c>
      <c r="G10" s="33">
        <v>99</v>
      </c>
      <c r="H10" s="33">
        <v>23</v>
      </c>
      <c r="I10" s="33">
        <v>36</v>
      </c>
      <c r="J10" s="33">
        <v>272</v>
      </c>
      <c r="K10" s="33">
        <v>289</v>
      </c>
      <c r="L10" s="33">
        <v>14484</v>
      </c>
      <c r="M10" s="33">
        <v>6398</v>
      </c>
      <c r="N10" s="33">
        <v>8086</v>
      </c>
      <c r="O10" s="33">
        <v>1484</v>
      </c>
      <c r="P10" s="33">
        <v>1512</v>
      </c>
      <c r="Q10" s="33">
        <v>343</v>
      </c>
      <c r="R10" s="33">
        <v>496</v>
      </c>
      <c r="S10" s="33">
        <v>4571</v>
      </c>
      <c r="T10" s="33">
        <v>6078</v>
      </c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</row>
    <row r="11" spans="1:55" s="17" customFormat="1" ht="15.6" customHeight="1">
      <c r="A11" s="30" t="s">
        <v>85</v>
      </c>
      <c r="B11" s="31" t="s">
        <v>35</v>
      </c>
      <c r="C11" s="33">
        <v>1933</v>
      </c>
      <c r="D11" s="33">
        <v>1054</v>
      </c>
      <c r="E11" s="33">
        <v>879</v>
      </c>
      <c r="F11" s="33">
        <v>236</v>
      </c>
      <c r="G11" s="33">
        <v>129</v>
      </c>
      <c r="H11" s="33">
        <v>107</v>
      </c>
      <c r="I11" s="33">
        <v>109</v>
      </c>
      <c r="J11" s="33">
        <v>711</v>
      </c>
      <c r="K11" s="33">
        <v>641</v>
      </c>
      <c r="L11" s="33">
        <v>16278</v>
      </c>
      <c r="M11" s="33">
        <v>9040</v>
      </c>
      <c r="N11" s="33">
        <v>7238</v>
      </c>
      <c r="O11" s="33">
        <v>2032</v>
      </c>
      <c r="P11" s="33">
        <v>1101</v>
      </c>
      <c r="Q11" s="33">
        <v>1196</v>
      </c>
      <c r="R11" s="33">
        <v>979</v>
      </c>
      <c r="S11" s="33">
        <v>5812</v>
      </c>
      <c r="T11" s="33">
        <v>5158</v>
      </c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</row>
    <row r="12" spans="1:55" s="17" customFormat="1" ht="15.6" customHeight="1">
      <c r="A12" s="30" t="s">
        <v>86</v>
      </c>
      <c r="B12" s="31" t="s">
        <v>37</v>
      </c>
      <c r="C12" s="33">
        <v>665</v>
      </c>
      <c r="D12" s="33">
        <v>286</v>
      </c>
      <c r="E12" s="33">
        <v>379</v>
      </c>
      <c r="F12" s="33">
        <v>30</v>
      </c>
      <c r="G12" s="33">
        <v>76</v>
      </c>
      <c r="H12" s="33">
        <v>60</v>
      </c>
      <c r="I12" s="33">
        <v>50</v>
      </c>
      <c r="J12" s="33">
        <v>196</v>
      </c>
      <c r="K12" s="33">
        <v>253</v>
      </c>
      <c r="L12" s="33">
        <v>6215</v>
      </c>
      <c r="M12" s="33">
        <v>2852</v>
      </c>
      <c r="N12" s="33">
        <v>3363</v>
      </c>
      <c r="O12" s="33">
        <v>410</v>
      </c>
      <c r="P12" s="33">
        <v>577</v>
      </c>
      <c r="Q12" s="33">
        <v>564</v>
      </c>
      <c r="R12" s="33">
        <v>517</v>
      </c>
      <c r="S12" s="33">
        <v>1878</v>
      </c>
      <c r="T12" s="33">
        <v>2269</v>
      </c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</row>
    <row r="13" spans="1:55" s="17" customFormat="1" ht="15.6" customHeight="1">
      <c r="A13" s="34" t="s">
        <v>87</v>
      </c>
      <c r="B13" s="31" t="s">
        <v>39</v>
      </c>
      <c r="C13" s="33">
        <v>3789</v>
      </c>
      <c r="D13" s="33">
        <v>2164</v>
      </c>
      <c r="E13" s="33">
        <v>1625</v>
      </c>
      <c r="F13" s="33">
        <v>410</v>
      </c>
      <c r="G13" s="33">
        <v>374</v>
      </c>
      <c r="H13" s="33">
        <v>355</v>
      </c>
      <c r="I13" s="33">
        <v>185</v>
      </c>
      <c r="J13" s="33">
        <v>1399</v>
      </c>
      <c r="K13" s="33">
        <v>1066</v>
      </c>
      <c r="L13" s="33">
        <v>38682</v>
      </c>
      <c r="M13" s="33">
        <v>22992</v>
      </c>
      <c r="N13" s="33">
        <v>15690</v>
      </c>
      <c r="O13" s="33">
        <v>3941</v>
      </c>
      <c r="P13" s="33">
        <v>3408</v>
      </c>
      <c r="Q13" s="33">
        <v>3736</v>
      </c>
      <c r="R13" s="33">
        <v>1996</v>
      </c>
      <c r="S13" s="33">
        <v>15315</v>
      </c>
      <c r="T13" s="33">
        <v>10286</v>
      </c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</row>
    <row r="14" spans="1:55" ht="15.6" customHeight="1">
      <c r="A14" s="35" t="s">
        <v>88</v>
      </c>
      <c r="B14" s="36" t="s">
        <v>41</v>
      </c>
      <c r="C14" s="37">
        <v>1383</v>
      </c>
      <c r="D14" s="37">
        <v>771</v>
      </c>
      <c r="E14" s="37">
        <v>612</v>
      </c>
      <c r="F14" s="37">
        <v>103</v>
      </c>
      <c r="G14" s="37">
        <v>71</v>
      </c>
      <c r="H14" s="37">
        <v>85</v>
      </c>
      <c r="I14" s="37">
        <v>45</v>
      </c>
      <c r="J14" s="37">
        <v>583</v>
      </c>
      <c r="K14" s="37">
        <v>496</v>
      </c>
      <c r="L14" s="37">
        <v>14128</v>
      </c>
      <c r="M14" s="37">
        <v>7507</v>
      </c>
      <c r="N14" s="37">
        <v>6621</v>
      </c>
      <c r="O14" s="37">
        <v>972</v>
      </c>
      <c r="P14" s="37">
        <v>696</v>
      </c>
      <c r="Q14" s="37">
        <v>806</v>
      </c>
      <c r="R14" s="37">
        <v>417</v>
      </c>
      <c r="S14" s="37">
        <v>5729</v>
      </c>
      <c r="T14" s="37">
        <v>5508</v>
      </c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</row>
    <row r="15" spans="1:55" ht="15.6" customHeight="1">
      <c r="A15" s="35" t="s">
        <v>89</v>
      </c>
      <c r="B15" s="36" t="s">
        <v>43</v>
      </c>
      <c r="C15" s="37">
        <v>508</v>
      </c>
      <c r="D15" s="37">
        <v>323</v>
      </c>
      <c r="E15" s="37">
        <v>185</v>
      </c>
      <c r="F15" s="37">
        <v>56</v>
      </c>
      <c r="G15" s="37">
        <v>11</v>
      </c>
      <c r="H15" s="37" t="s">
        <v>105</v>
      </c>
      <c r="I15" s="37">
        <v>6</v>
      </c>
      <c r="J15" s="37">
        <v>267</v>
      </c>
      <c r="K15" s="37">
        <v>168</v>
      </c>
      <c r="L15" s="37">
        <v>5321</v>
      </c>
      <c r="M15" s="37">
        <v>3501</v>
      </c>
      <c r="N15" s="37">
        <v>1820</v>
      </c>
      <c r="O15" s="37">
        <v>645</v>
      </c>
      <c r="P15" s="37">
        <v>125</v>
      </c>
      <c r="Q15" s="37">
        <v>6</v>
      </c>
      <c r="R15" s="37">
        <v>19</v>
      </c>
      <c r="S15" s="37">
        <v>2850</v>
      </c>
      <c r="T15" s="37">
        <v>1676</v>
      </c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</row>
    <row r="16" spans="1:55" ht="15.6" customHeight="1">
      <c r="A16" s="35" t="s">
        <v>90</v>
      </c>
      <c r="B16" s="36" t="s">
        <v>45</v>
      </c>
      <c r="C16" s="37">
        <v>594</v>
      </c>
      <c r="D16" s="37">
        <v>301</v>
      </c>
      <c r="E16" s="37">
        <v>293</v>
      </c>
      <c r="F16" s="37">
        <v>39</v>
      </c>
      <c r="G16" s="37">
        <v>35</v>
      </c>
      <c r="H16" s="37">
        <v>55</v>
      </c>
      <c r="I16" s="37">
        <v>39</v>
      </c>
      <c r="J16" s="37">
        <v>207</v>
      </c>
      <c r="K16" s="37">
        <v>219</v>
      </c>
      <c r="L16" s="37">
        <v>20559</v>
      </c>
      <c r="M16" s="37">
        <v>10963</v>
      </c>
      <c r="N16" s="37">
        <v>9596</v>
      </c>
      <c r="O16" s="37">
        <v>1569</v>
      </c>
      <c r="P16" s="37">
        <v>1368</v>
      </c>
      <c r="Q16" s="37">
        <v>2265</v>
      </c>
      <c r="R16" s="37">
        <v>1436</v>
      </c>
      <c r="S16" s="37">
        <v>7129</v>
      </c>
      <c r="T16" s="37">
        <v>6792</v>
      </c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</row>
    <row r="17" spans="1:39" ht="15.6" customHeight="1">
      <c r="A17" s="35" t="s">
        <v>91</v>
      </c>
      <c r="B17" s="36" t="s">
        <v>47</v>
      </c>
      <c r="C17" s="37">
        <v>1014</v>
      </c>
      <c r="D17" s="37">
        <v>542</v>
      </c>
      <c r="E17" s="37">
        <v>472</v>
      </c>
      <c r="F17" s="37">
        <v>57</v>
      </c>
      <c r="G17" s="37">
        <v>101</v>
      </c>
      <c r="H17" s="37">
        <v>130</v>
      </c>
      <c r="I17" s="37">
        <v>62</v>
      </c>
      <c r="J17" s="37">
        <v>355</v>
      </c>
      <c r="K17" s="37">
        <v>309</v>
      </c>
      <c r="L17" s="37">
        <v>9679</v>
      </c>
      <c r="M17" s="37">
        <v>5679</v>
      </c>
      <c r="N17" s="37">
        <v>4000</v>
      </c>
      <c r="O17" s="37">
        <v>588</v>
      </c>
      <c r="P17" s="37">
        <v>892</v>
      </c>
      <c r="Q17" s="37">
        <v>1847</v>
      </c>
      <c r="R17" s="37">
        <v>649</v>
      </c>
      <c r="S17" s="37">
        <v>3244</v>
      </c>
      <c r="T17" s="37">
        <v>2459</v>
      </c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</row>
    <row r="18" spans="1:39" ht="15.6" customHeight="1">
      <c r="A18" s="35" t="s">
        <v>92</v>
      </c>
      <c r="B18" s="36" t="s">
        <v>49</v>
      </c>
      <c r="C18" s="37">
        <v>297</v>
      </c>
      <c r="D18" s="37">
        <v>178</v>
      </c>
      <c r="E18" s="37">
        <v>119</v>
      </c>
      <c r="F18" s="37">
        <v>18</v>
      </c>
      <c r="G18" s="37">
        <v>6</v>
      </c>
      <c r="H18" s="37">
        <v>58</v>
      </c>
      <c r="I18" s="37">
        <v>30</v>
      </c>
      <c r="J18" s="37">
        <v>102</v>
      </c>
      <c r="K18" s="37">
        <v>83</v>
      </c>
      <c r="L18" s="37">
        <v>18580</v>
      </c>
      <c r="M18" s="37">
        <v>11779</v>
      </c>
      <c r="N18" s="37">
        <v>6801</v>
      </c>
      <c r="O18" s="37">
        <v>1122</v>
      </c>
      <c r="P18" s="37">
        <v>374</v>
      </c>
      <c r="Q18" s="37">
        <v>3967</v>
      </c>
      <c r="R18" s="37">
        <v>2002</v>
      </c>
      <c r="S18" s="37">
        <v>6690</v>
      </c>
      <c r="T18" s="37">
        <v>4425</v>
      </c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</row>
    <row r="19" spans="1:39" ht="15.6" customHeight="1">
      <c r="A19" s="35" t="s">
        <v>93</v>
      </c>
      <c r="B19" s="36" t="s">
        <v>51</v>
      </c>
      <c r="C19" s="37">
        <v>836</v>
      </c>
      <c r="D19" s="37">
        <v>468</v>
      </c>
      <c r="E19" s="37">
        <v>368</v>
      </c>
      <c r="F19" s="37">
        <v>17</v>
      </c>
      <c r="G19" s="37">
        <v>19</v>
      </c>
      <c r="H19" s="37">
        <v>52</v>
      </c>
      <c r="I19" s="37">
        <v>20</v>
      </c>
      <c r="J19" s="37">
        <v>399</v>
      </c>
      <c r="K19" s="37">
        <v>329</v>
      </c>
      <c r="L19" s="37">
        <v>8624</v>
      </c>
      <c r="M19" s="37">
        <v>5066</v>
      </c>
      <c r="N19" s="37">
        <v>3558</v>
      </c>
      <c r="O19" s="37">
        <v>214</v>
      </c>
      <c r="P19" s="37">
        <v>202</v>
      </c>
      <c r="Q19" s="37">
        <v>643</v>
      </c>
      <c r="R19" s="37">
        <v>208</v>
      </c>
      <c r="S19" s="37">
        <v>4209</v>
      </c>
      <c r="T19" s="37">
        <v>3148</v>
      </c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</row>
    <row r="20" spans="1:39" ht="15.6" customHeight="1">
      <c r="A20" s="35" t="s">
        <v>94</v>
      </c>
      <c r="B20" s="36" t="s">
        <v>53</v>
      </c>
      <c r="C20" s="37">
        <v>895</v>
      </c>
      <c r="D20" s="37">
        <v>481</v>
      </c>
      <c r="E20" s="37">
        <v>414</v>
      </c>
      <c r="F20" s="37">
        <v>134</v>
      </c>
      <c r="G20" s="37">
        <v>53</v>
      </c>
      <c r="H20" s="37">
        <v>76</v>
      </c>
      <c r="I20" s="37">
        <v>132</v>
      </c>
      <c r="J20" s="37">
        <v>271</v>
      </c>
      <c r="K20" s="37">
        <v>229</v>
      </c>
      <c r="L20" s="37">
        <v>7251</v>
      </c>
      <c r="M20" s="37">
        <v>4069</v>
      </c>
      <c r="N20" s="37">
        <v>3182</v>
      </c>
      <c r="O20" s="37">
        <v>1206</v>
      </c>
      <c r="P20" s="37">
        <v>415</v>
      </c>
      <c r="Q20" s="37">
        <v>519</v>
      </c>
      <c r="R20" s="37">
        <v>894</v>
      </c>
      <c r="S20" s="37">
        <v>2344</v>
      </c>
      <c r="T20" s="37">
        <v>1873</v>
      </c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</row>
    <row r="21" spans="1:39" ht="15.6" customHeight="1">
      <c r="A21" s="35" t="s">
        <v>95</v>
      </c>
      <c r="B21" s="36" t="s">
        <v>55</v>
      </c>
      <c r="C21" s="37">
        <v>874</v>
      </c>
      <c r="D21" s="37">
        <v>374</v>
      </c>
      <c r="E21" s="37">
        <v>500</v>
      </c>
      <c r="F21" s="37">
        <v>86</v>
      </c>
      <c r="G21" s="37">
        <v>91</v>
      </c>
      <c r="H21" s="37">
        <v>38</v>
      </c>
      <c r="I21" s="37">
        <v>54</v>
      </c>
      <c r="J21" s="37">
        <v>250</v>
      </c>
      <c r="K21" s="37">
        <v>355</v>
      </c>
      <c r="L21" s="37">
        <v>8831</v>
      </c>
      <c r="M21" s="37">
        <v>3901</v>
      </c>
      <c r="N21" s="37">
        <v>4930</v>
      </c>
      <c r="O21" s="37">
        <v>954</v>
      </c>
      <c r="P21" s="37">
        <v>696</v>
      </c>
      <c r="Q21" s="37">
        <v>550</v>
      </c>
      <c r="R21" s="37">
        <v>588</v>
      </c>
      <c r="S21" s="37">
        <v>2397</v>
      </c>
      <c r="T21" s="37">
        <v>3646</v>
      </c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</row>
    <row r="22" spans="1:39" ht="15.6" customHeight="1">
      <c r="A22" s="35" t="s">
        <v>96</v>
      </c>
      <c r="B22" s="36" t="s">
        <v>57</v>
      </c>
      <c r="C22" s="37">
        <v>584</v>
      </c>
      <c r="D22" s="37">
        <v>308</v>
      </c>
      <c r="E22" s="37">
        <v>276</v>
      </c>
      <c r="F22" s="37">
        <v>78</v>
      </c>
      <c r="G22" s="37">
        <v>45</v>
      </c>
      <c r="H22" s="37">
        <v>16</v>
      </c>
      <c r="I22" s="37">
        <v>18</v>
      </c>
      <c r="J22" s="37">
        <v>214</v>
      </c>
      <c r="K22" s="37">
        <v>213</v>
      </c>
      <c r="L22" s="37">
        <v>6234</v>
      </c>
      <c r="M22" s="37">
        <v>3213</v>
      </c>
      <c r="N22" s="37">
        <v>3021</v>
      </c>
      <c r="O22" s="37">
        <v>729</v>
      </c>
      <c r="P22" s="37">
        <v>519</v>
      </c>
      <c r="Q22" s="37">
        <v>176</v>
      </c>
      <c r="R22" s="37">
        <v>189</v>
      </c>
      <c r="S22" s="37">
        <v>2308</v>
      </c>
      <c r="T22" s="37">
        <v>2313</v>
      </c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</row>
    <row r="23" spans="1:39" ht="15.6" customHeight="1">
      <c r="A23" s="35" t="s">
        <v>97</v>
      </c>
      <c r="B23" s="36" t="s">
        <v>59</v>
      </c>
      <c r="C23" s="37">
        <v>1423</v>
      </c>
      <c r="D23" s="37">
        <v>730</v>
      </c>
      <c r="E23" s="37">
        <v>693</v>
      </c>
      <c r="F23" s="37">
        <v>79</v>
      </c>
      <c r="G23" s="37">
        <v>57</v>
      </c>
      <c r="H23" s="37">
        <v>31</v>
      </c>
      <c r="I23" s="37">
        <v>111</v>
      </c>
      <c r="J23" s="37">
        <v>620</v>
      </c>
      <c r="K23" s="37">
        <v>525</v>
      </c>
      <c r="L23" s="37">
        <v>12915</v>
      </c>
      <c r="M23" s="37">
        <v>6707</v>
      </c>
      <c r="N23" s="37">
        <v>6208</v>
      </c>
      <c r="O23" s="37">
        <v>380</v>
      </c>
      <c r="P23" s="37">
        <v>397</v>
      </c>
      <c r="Q23" s="37">
        <v>1055</v>
      </c>
      <c r="R23" s="37">
        <v>1013</v>
      </c>
      <c r="S23" s="37">
        <v>5272</v>
      </c>
      <c r="T23" s="37">
        <v>4798</v>
      </c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</row>
    <row r="24" spans="1:39" ht="15.6" customHeight="1">
      <c r="A24" s="35" t="s">
        <v>98</v>
      </c>
      <c r="B24" s="36" t="s">
        <v>61</v>
      </c>
      <c r="C24" s="37">
        <v>42</v>
      </c>
      <c r="D24" s="37">
        <v>17</v>
      </c>
      <c r="E24" s="37">
        <v>25</v>
      </c>
      <c r="F24" s="37" t="s">
        <v>105</v>
      </c>
      <c r="G24" s="37">
        <v>2</v>
      </c>
      <c r="H24" s="37">
        <v>1</v>
      </c>
      <c r="I24" s="37" t="s">
        <v>105</v>
      </c>
      <c r="J24" s="37">
        <v>16</v>
      </c>
      <c r="K24" s="37">
        <v>23</v>
      </c>
      <c r="L24" s="37">
        <v>2472</v>
      </c>
      <c r="M24" s="37">
        <v>1240</v>
      </c>
      <c r="N24" s="37">
        <v>1232</v>
      </c>
      <c r="O24" s="37">
        <v>30</v>
      </c>
      <c r="P24" s="37">
        <v>12</v>
      </c>
      <c r="Q24" s="37">
        <v>122</v>
      </c>
      <c r="R24" s="37">
        <v>40</v>
      </c>
      <c r="S24" s="37">
        <v>1088</v>
      </c>
      <c r="T24" s="37">
        <v>1180</v>
      </c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</row>
    <row r="25" spans="1:39" ht="15.6" customHeight="1">
      <c r="A25" s="35" t="s">
        <v>99</v>
      </c>
      <c r="B25" s="36" t="s">
        <v>63</v>
      </c>
      <c r="C25" s="37">
        <v>357</v>
      </c>
      <c r="D25" s="37">
        <v>162</v>
      </c>
      <c r="E25" s="37">
        <v>195</v>
      </c>
      <c r="F25" s="37">
        <v>45</v>
      </c>
      <c r="G25" s="37">
        <v>16</v>
      </c>
      <c r="H25" s="37">
        <v>26</v>
      </c>
      <c r="I25" s="37">
        <v>32</v>
      </c>
      <c r="J25" s="37">
        <v>91</v>
      </c>
      <c r="K25" s="37">
        <v>147</v>
      </c>
      <c r="L25" s="37">
        <v>3579</v>
      </c>
      <c r="M25" s="37">
        <v>1698</v>
      </c>
      <c r="N25" s="37">
        <v>1881</v>
      </c>
      <c r="O25" s="37">
        <v>491</v>
      </c>
      <c r="P25" s="37">
        <v>130</v>
      </c>
      <c r="Q25" s="37">
        <v>287</v>
      </c>
      <c r="R25" s="37">
        <v>402</v>
      </c>
      <c r="S25" s="37">
        <v>920</v>
      </c>
      <c r="T25" s="37">
        <v>1349</v>
      </c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</row>
    <row r="26" spans="1:39" ht="15.6" customHeight="1">
      <c r="A26" s="35" t="s">
        <v>100</v>
      </c>
      <c r="B26" s="36" t="s">
        <v>65</v>
      </c>
      <c r="C26" s="37">
        <v>1403</v>
      </c>
      <c r="D26" s="37">
        <v>790</v>
      </c>
      <c r="E26" s="37">
        <v>613</v>
      </c>
      <c r="F26" s="37">
        <v>118</v>
      </c>
      <c r="G26" s="37">
        <v>103</v>
      </c>
      <c r="H26" s="37">
        <v>106</v>
      </c>
      <c r="I26" s="37">
        <v>67</v>
      </c>
      <c r="J26" s="37">
        <v>566</v>
      </c>
      <c r="K26" s="37">
        <v>443</v>
      </c>
      <c r="L26" s="37">
        <v>9031</v>
      </c>
      <c r="M26" s="37">
        <v>5007</v>
      </c>
      <c r="N26" s="37">
        <v>4024</v>
      </c>
      <c r="O26" s="37">
        <v>758</v>
      </c>
      <c r="P26" s="37">
        <v>809</v>
      </c>
      <c r="Q26" s="37">
        <v>653</v>
      </c>
      <c r="R26" s="37">
        <v>526</v>
      </c>
      <c r="S26" s="37">
        <v>3596</v>
      </c>
      <c r="T26" s="37">
        <v>2689</v>
      </c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</row>
    <row r="27" spans="1:39" ht="15.6" customHeight="1">
      <c r="A27" s="35" t="s">
        <v>101</v>
      </c>
      <c r="B27" s="36" t="s">
        <v>67</v>
      </c>
      <c r="C27" s="37">
        <v>590</v>
      </c>
      <c r="D27" s="37">
        <v>282</v>
      </c>
      <c r="E27" s="37">
        <v>308</v>
      </c>
      <c r="F27" s="37">
        <v>59</v>
      </c>
      <c r="G27" s="37">
        <v>101</v>
      </c>
      <c r="H27" s="37">
        <v>41</v>
      </c>
      <c r="I27" s="37">
        <v>26</v>
      </c>
      <c r="J27" s="37">
        <v>182</v>
      </c>
      <c r="K27" s="37">
        <v>181</v>
      </c>
      <c r="L27" s="37">
        <v>5582</v>
      </c>
      <c r="M27" s="37">
        <v>2770</v>
      </c>
      <c r="N27" s="37">
        <v>2812</v>
      </c>
      <c r="O27" s="37">
        <v>521</v>
      </c>
      <c r="P27" s="37">
        <v>933</v>
      </c>
      <c r="Q27" s="37">
        <v>450</v>
      </c>
      <c r="R27" s="37">
        <v>231</v>
      </c>
      <c r="S27" s="37">
        <v>1799</v>
      </c>
      <c r="T27" s="37">
        <v>1648</v>
      </c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</row>
    <row r="28" spans="1:39" ht="15.6" customHeight="1">
      <c r="A28" s="35" t="s">
        <v>102</v>
      </c>
      <c r="B28" s="36" t="s">
        <v>69</v>
      </c>
      <c r="C28" s="37">
        <v>598</v>
      </c>
      <c r="D28" s="37">
        <v>263</v>
      </c>
      <c r="E28" s="37">
        <v>335</v>
      </c>
      <c r="F28" s="37">
        <v>7</v>
      </c>
      <c r="G28" s="37" t="s">
        <v>105</v>
      </c>
      <c r="H28" s="37" t="s">
        <v>105</v>
      </c>
      <c r="I28" s="37" t="s">
        <v>105</v>
      </c>
      <c r="J28" s="37">
        <v>256</v>
      </c>
      <c r="K28" s="37">
        <v>335</v>
      </c>
      <c r="L28" s="37">
        <v>8710</v>
      </c>
      <c r="M28" s="37">
        <v>3859</v>
      </c>
      <c r="N28" s="37">
        <v>4851</v>
      </c>
      <c r="O28" s="37">
        <v>88</v>
      </c>
      <c r="P28" s="37" t="s">
        <v>105</v>
      </c>
      <c r="Q28" s="37" t="s">
        <v>105</v>
      </c>
      <c r="R28" s="37" t="s">
        <v>105</v>
      </c>
      <c r="S28" s="37">
        <v>3771</v>
      </c>
      <c r="T28" s="37">
        <v>4851</v>
      </c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</row>
    <row r="29" spans="1:39" ht="15.6" customHeight="1">
      <c r="A29" s="38" t="s">
        <v>103</v>
      </c>
      <c r="B29" s="39" t="s">
        <v>71</v>
      </c>
      <c r="C29" s="40">
        <v>19</v>
      </c>
      <c r="D29" s="40">
        <v>9</v>
      </c>
      <c r="E29" s="40">
        <v>10</v>
      </c>
      <c r="F29" s="40" t="s">
        <v>105</v>
      </c>
      <c r="G29" s="40" t="s">
        <v>105</v>
      </c>
      <c r="H29" s="40" t="s">
        <v>105</v>
      </c>
      <c r="I29" s="40" t="s">
        <v>105</v>
      </c>
      <c r="J29" s="40">
        <v>9</v>
      </c>
      <c r="K29" s="40">
        <v>10</v>
      </c>
      <c r="L29" s="40">
        <v>634</v>
      </c>
      <c r="M29" s="40">
        <v>441</v>
      </c>
      <c r="N29" s="40">
        <v>193</v>
      </c>
      <c r="O29" s="40" t="s">
        <v>105</v>
      </c>
      <c r="P29" s="40" t="s">
        <v>105</v>
      </c>
      <c r="Q29" s="40" t="s">
        <v>105</v>
      </c>
      <c r="R29" s="40" t="s">
        <v>105</v>
      </c>
      <c r="S29" s="40">
        <v>441</v>
      </c>
      <c r="T29" s="40">
        <v>193</v>
      </c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</row>
    <row r="30" spans="1:39" ht="16.5">
      <c r="A30" s="8" t="s">
        <v>72</v>
      </c>
      <c r="B30" s="19"/>
    </row>
    <row r="31" spans="1:39">
      <c r="A31" s="2" t="s">
        <v>74</v>
      </c>
    </row>
    <row r="33" spans="1:1" ht="14.25">
      <c r="A33" s="2" t="s">
        <v>122</v>
      </c>
    </row>
  </sheetData>
  <mergeCells count="27">
    <mergeCell ref="A3:B6"/>
    <mergeCell ref="C3:K3"/>
    <mergeCell ref="L3:T3"/>
    <mergeCell ref="F4:G4"/>
    <mergeCell ref="H4:I4"/>
    <mergeCell ref="J4:K4"/>
    <mergeCell ref="O4:P4"/>
    <mergeCell ref="Q4:R4"/>
    <mergeCell ref="S4:T4"/>
    <mergeCell ref="C5:C6"/>
    <mergeCell ref="O5:O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T5:T6"/>
    <mergeCell ref="N5:N6"/>
    <mergeCell ref="P5:P6"/>
    <mergeCell ref="Q5:Q6"/>
    <mergeCell ref="R5:R6"/>
    <mergeCell ref="S5:S6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31"/>
  <sheetViews>
    <sheetView zoomScaleNormal="100" zoomScaleSheetLayoutView="75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9.375" defaultRowHeight="12.75"/>
  <cols>
    <col min="1" max="1" width="8" style="2" customWidth="1"/>
    <col min="2" max="2" width="15.625" style="2" customWidth="1"/>
    <col min="3" max="20" width="8.5" style="2" customWidth="1"/>
    <col min="21" max="16384" width="9.375" style="2"/>
  </cols>
  <sheetData>
    <row r="1" spans="1:57" s="10" customFormat="1" ht="21">
      <c r="A1" s="1" t="s">
        <v>1</v>
      </c>
      <c r="B1" s="22"/>
    </row>
    <row r="2" spans="1:57" ht="26.25" customHeight="1">
      <c r="A2" s="11" t="s">
        <v>123</v>
      </c>
      <c r="B2" s="23"/>
    </row>
    <row r="3" spans="1:57" ht="16.5" customHeight="1">
      <c r="A3" s="179" t="s">
        <v>22</v>
      </c>
      <c r="B3" s="185"/>
      <c r="C3" s="190" t="s">
        <v>78</v>
      </c>
      <c r="D3" s="151"/>
      <c r="E3" s="151"/>
      <c r="F3" s="151"/>
      <c r="G3" s="151"/>
      <c r="H3" s="151"/>
      <c r="I3" s="151"/>
      <c r="J3" s="151"/>
      <c r="K3" s="191"/>
      <c r="L3" s="190" t="s">
        <v>79</v>
      </c>
      <c r="M3" s="151"/>
      <c r="N3" s="151"/>
      <c r="O3" s="151"/>
      <c r="P3" s="151"/>
      <c r="Q3" s="151"/>
      <c r="R3" s="151"/>
      <c r="S3" s="151"/>
      <c r="T3" s="151"/>
    </row>
    <row r="4" spans="1:57" s="25" customFormat="1" ht="29.25" customHeight="1">
      <c r="A4" s="186"/>
      <c r="B4" s="187"/>
      <c r="C4" s="3" t="s">
        <v>2</v>
      </c>
      <c r="D4" s="41"/>
      <c r="E4" s="5"/>
      <c r="F4" s="192" t="s">
        <v>107</v>
      </c>
      <c r="G4" s="193"/>
      <c r="H4" s="192" t="s">
        <v>108</v>
      </c>
      <c r="I4" s="193"/>
      <c r="J4" s="192" t="s">
        <v>116</v>
      </c>
      <c r="K4" s="191"/>
      <c r="L4" s="3" t="s">
        <v>2</v>
      </c>
      <c r="M4" s="42"/>
      <c r="N4" s="5"/>
      <c r="O4" s="192" t="s">
        <v>107</v>
      </c>
      <c r="P4" s="193"/>
      <c r="Q4" s="192" t="s">
        <v>108</v>
      </c>
      <c r="R4" s="193"/>
      <c r="S4" s="192" t="s">
        <v>116</v>
      </c>
      <c r="T4" s="151"/>
    </row>
    <row r="5" spans="1:57" s="7" customFormat="1" ht="16.5" customHeight="1">
      <c r="A5" s="186"/>
      <c r="B5" s="187"/>
      <c r="C5" s="196" t="s">
        <v>117</v>
      </c>
      <c r="D5" s="196" t="s">
        <v>118</v>
      </c>
      <c r="E5" s="196" t="s">
        <v>119</v>
      </c>
      <c r="F5" s="196" t="s">
        <v>118</v>
      </c>
      <c r="G5" s="196" t="s">
        <v>119</v>
      </c>
      <c r="H5" s="196" t="s">
        <v>118</v>
      </c>
      <c r="I5" s="196" t="s">
        <v>119</v>
      </c>
      <c r="J5" s="196" t="s">
        <v>118</v>
      </c>
      <c r="K5" s="196" t="s">
        <v>119</v>
      </c>
      <c r="L5" s="196" t="s">
        <v>117</v>
      </c>
      <c r="M5" s="196" t="s">
        <v>118</v>
      </c>
      <c r="N5" s="196" t="s">
        <v>119</v>
      </c>
      <c r="O5" s="196" t="s">
        <v>118</v>
      </c>
      <c r="P5" s="196" t="s">
        <v>119</v>
      </c>
      <c r="Q5" s="196" t="s">
        <v>118</v>
      </c>
      <c r="R5" s="196" t="s">
        <v>119</v>
      </c>
      <c r="S5" s="196" t="s">
        <v>118</v>
      </c>
      <c r="T5" s="194" t="s">
        <v>119</v>
      </c>
    </row>
    <row r="6" spans="1:57">
      <c r="A6" s="188"/>
      <c r="B6" s="189"/>
      <c r="C6" s="197"/>
      <c r="D6" s="197"/>
      <c r="E6" s="197"/>
      <c r="F6" s="197"/>
      <c r="G6" s="197"/>
      <c r="H6" s="197"/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5"/>
    </row>
    <row r="7" spans="1:57" s="6" customFormat="1" ht="15.6" customHeight="1">
      <c r="A7" s="47" t="s">
        <v>80</v>
      </c>
      <c r="B7" s="48" t="s">
        <v>81</v>
      </c>
      <c r="C7" s="29">
        <v>25549</v>
      </c>
      <c r="D7" s="29">
        <v>13223</v>
      </c>
      <c r="E7" s="29">
        <v>12326</v>
      </c>
      <c r="F7" s="29">
        <v>1698</v>
      </c>
      <c r="G7" s="29">
        <v>1393</v>
      </c>
      <c r="H7" s="29">
        <v>1560</v>
      </c>
      <c r="I7" s="29">
        <v>1145</v>
      </c>
      <c r="J7" s="29">
        <v>9965</v>
      </c>
      <c r="K7" s="29">
        <v>9788</v>
      </c>
      <c r="L7" s="29">
        <v>293279</v>
      </c>
      <c r="M7" s="29">
        <v>155236</v>
      </c>
      <c r="N7" s="29">
        <v>138043</v>
      </c>
      <c r="O7" s="29">
        <v>18341</v>
      </c>
      <c r="P7" s="29">
        <v>14093</v>
      </c>
      <c r="Q7" s="29">
        <v>20517</v>
      </c>
      <c r="R7" s="29">
        <v>13771</v>
      </c>
      <c r="S7" s="29">
        <v>116378</v>
      </c>
      <c r="T7" s="29">
        <v>110179</v>
      </c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</row>
    <row r="8" spans="1:57" s="17" customFormat="1" ht="15.6" customHeight="1">
      <c r="A8" s="50" t="s">
        <v>124</v>
      </c>
      <c r="B8" s="51" t="s">
        <v>29</v>
      </c>
      <c r="C8" s="33">
        <v>2575</v>
      </c>
      <c r="D8" s="33">
        <v>1324</v>
      </c>
      <c r="E8" s="33">
        <v>1251</v>
      </c>
      <c r="F8" s="33">
        <v>16</v>
      </c>
      <c r="G8" s="33">
        <v>29</v>
      </c>
      <c r="H8" s="33">
        <v>4</v>
      </c>
      <c r="I8" s="33">
        <v>4</v>
      </c>
      <c r="J8" s="33">
        <v>1304</v>
      </c>
      <c r="K8" s="33">
        <v>1218</v>
      </c>
      <c r="L8" s="33">
        <v>40965</v>
      </c>
      <c r="M8" s="33">
        <v>19383</v>
      </c>
      <c r="N8" s="33">
        <v>21582</v>
      </c>
      <c r="O8" s="33">
        <v>179</v>
      </c>
      <c r="P8" s="33">
        <v>298</v>
      </c>
      <c r="Q8" s="33">
        <v>19</v>
      </c>
      <c r="R8" s="33">
        <v>24</v>
      </c>
      <c r="S8" s="33">
        <v>19185</v>
      </c>
      <c r="T8" s="33">
        <v>21260</v>
      </c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</row>
    <row r="9" spans="1:57" s="17" customFormat="1" ht="15.6" customHeight="1">
      <c r="A9" s="50" t="s">
        <v>125</v>
      </c>
      <c r="B9" s="51" t="s">
        <v>31</v>
      </c>
      <c r="C9" s="33">
        <v>5134</v>
      </c>
      <c r="D9" s="33">
        <v>2323</v>
      </c>
      <c r="E9" s="33">
        <v>2811</v>
      </c>
      <c r="F9" s="33">
        <v>234</v>
      </c>
      <c r="G9" s="33">
        <v>151</v>
      </c>
      <c r="H9" s="33">
        <v>165</v>
      </c>
      <c r="I9" s="33">
        <v>220</v>
      </c>
      <c r="J9" s="33">
        <v>1924</v>
      </c>
      <c r="K9" s="33">
        <v>2440</v>
      </c>
      <c r="L9" s="33">
        <v>41497</v>
      </c>
      <c r="M9" s="33">
        <v>18679</v>
      </c>
      <c r="N9" s="33">
        <v>22818</v>
      </c>
      <c r="O9" s="33">
        <v>2150</v>
      </c>
      <c r="P9" s="33">
        <v>1444</v>
      </c>
      <c r="Q9" s="33">
        <v>1466</v>
      </c>
      <c r="R9" s="33">
        <v>2075</v>
      </c>
      <c r="S9" s="33">
        <v>15063</v>
      </c>
      <c r="T9" s="33">
        <v>19299</v>
      </c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</row>
    <row r="10" spans="1:57" s="17" customFormat="1" ht="15.6" customHeight="1">
      <c r="A10" s="50" t="s">
        <v>126</v>
      </c>
      <c r="B10" s="51" t="s">
        <v>35</v>
      </c>
      <c r="C10" s="33">
        <v>1900</v>
      </c>
      <c r="D10" s="33">
        <v>1085</v>
      </c>
      <c r="E10" s="33">
        <v>815</v>
      </c>
      <c r="F10" s="33">
        <v>208</v>
      </c>
      <c r="G10" s="33">
        <v>119</v>
      </c>
      <c r="H10" s="33">
        <v>162</v>
      </c>
      <c r="I10" s="33">
        <v>86</v>
      </c>
      <c r="J10" s="33">
        <v>715</v>
      </c>
      <c r="K10" s="33">
        <v>610</v>
      </c>
      <c r="L10" s="33">
        <v>16523</v>
      </c>
      <c r="M10" s="33">
        <v>9803</v>
      </c>
      <c r="N10" s="33">
        <v>6720</v>
      </c>
      <c r="O10" s="33">
        <v>1897</v>
      </c>
      <c r="P10" s="33">
        <v>1026</v>
      </c>
      <c r="Q10" s="33">
        <v>1613</v>
      </c>
      <c r="R10" s="33">
        <v>761</v>
      </c>
      <c r="S10" s="33">
        <v>6293</v>
      </c>
      <c r="T10" s="33">
        <v>4933</v>
      </c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</row>
    <row r="11" spans="1:57" s="17" customFormat="1" ht="15.6" customHeight="1">
      <c r="A11" s="50" t="s">
        <v>127</v>
      </c>
      <c r="B11" s="51" t="s">
        <v>37</v>
      </c>
      <c r="C11" s="33">
        <v>1034</v>
      </c>
      <c r="D11" s="33">
        <v>540</v>
      </c>
      <c r="E11" s="33">
        <v>494</v>
      </c>
      <c r="F11" s="33">
        <v>32</v>
      </c>
      <c r="G11" s="33">
        <v>75</v>
      </c>
      <c r="H11" s="33">
        <v>145</v>
      </c>
      <c r="I11" s="33">
        <v>58</v>
      </c>
      <c r="J11" s="33">
        <v>363</v>
      </c>
      <c r="K11" s="33">
        <v>361</v>
      </c>
      <c r="L11" s="33">
        <v>12120</v>
      </c>
      <c r="M11" s="33">
        <v>6731</v>
      </c>
      <c r="N11" s="33">
        <v>5389</v>
      </c>
      <c r="O11" s="33">
        <v>368</v>
      </c>
      <c r="P11" s="33">
        <v>736</v>
      </c>
      <c r="Q11" s="33">
        <v>1779</v>
      </c>
      <c r="R11" s="33">
        <v>671</v>
      </c>
      <c r="S11" s="33">
        <v>4584</v>
      </c>
      <c r="T11" s="33">
        <v>3982</v>
      </c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</row>
    <row r="12" spans="1:57" s="17" customFormat="1" ht="15.6" customHeight="1">
      <c r="A12" s="50" t="s">
        <v>128</v>
      </c>
      <c r="B12" s="51" t="s">
        <v>39</v>
      </c>
      <c r="C12" s="33">
        <v>3514</v>
      </c>
      <c r="D12" s="33">
        <v>1965</v>
      </c>
      <c r="E12" s="33">
        <v>1549</v>
      </c>
      <c r="F12" s="33">
        <v>313</v>
      </c>
      <c r="G12" s="33">
        <v>328</v>
      </c>
      <c r="H12" s="33">
        <v>296</v>
      </c>
      <c r="I12" s="33">
        <v>176</v>
      </c>
      <c r="J12" s="33">
        <v>1356</v>
      </c>
      <c r="K12" s="33">
        <v>1045</v>
      </c>
      <c r="L12" s="33">
        <v>35614</v>
      </c>
      <c r="M12" s="33">
        <v>20731</v>
      </c>
      <c r="N12" s="33">
        <v>14883</v>
      </c>
      <c r="O12" s="33">
        <v>3031</v>
      </c>
      <c r="P12" s="33">
        <v>2830</v>
      </c>
      <c r="Q12" s="33">
        <v>3144</v>
      </c>
      <c r="R12" s="33">
        <v>2042</v>
      </c>
      <c r="S12" s="33">
        <v>14556</v>
      </c>
      <c r="T12" s="33">
        <v>10011</v>
      </c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</row>
    <row r="13" spans="1:57" ht="15.6" customHeight="1">
      <c r="A13" s="52" t="s">
        <v>129</v>
      </c>
      <c r="B13" s="53" t="s">
        <v>41</v>
      </c>
      <c r="C13" s="37">
        <v>1031</v>
      </c>
      <c r="D13" s="37">
        <v>576</v>
      </c>
      <c r="E13" s="37">
        <v>455</v>
      </c>
      <c r="F13" s="37">
        <v>97</v>
      </c>
      <c r="G13" s="37">
        <v>46</v>
      </c>
      <c r="H13" s="37">
        <v>62</v>
      </c>
      <c r="I13" s="37">
        <v>52</v>
      </c>
      <c r="J13" s="37">
        <v>417</v>
      </c>
      <c r="K13" s="37">
        <v>357</v>
      </c>
      <c r="L13" s="37">
        <v>9795</v>
      </c>
      <c r="M13" s="37">
        <v>5172</v>
      </c>
      <c r="N13" s="37">
        <v>4623</v>
      </c>
      <c r="O13" s="37">
        <v>1060</v>
      </c>
      <c r="P13" s="37">
        <v>371</v>
      </c>
      <c r="Q13" s="37">
        <v>458</v>
      </c>
      <c r="R13" s="37">
        <v>690</v>
      </c>
      <c r="S13" s="37">
        <v>3654</v>
      </c>
      <c r="T13" s="37">
        <v>3562</v>
      </c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</row>
    <row r="14" spans="1:57" ht="15.6" customHeight="1">
      <c r="A14" s="52" t="s">
        <v>130</v>
      </c>
      <c r="B14" s="53" t="s">
        <v>131</v>
      </c>
      <c r="C14" s="37">
        <v>790</v>
      </c>
      <c r="D14" s="37">
        <v>410</v>
      </c>
      <c r="E14" s="37">
        <v>380</v>
      </c>
      <c r="F14" s="37">
        <v>64</v>
      </c>
      <c r="G14" s="37">
        <v>79</v>
      </c>
      <c r="H14" s="37">
        <v>39</v>
      </c>
      <c r="I14" s="37">
        <v>43</v>
      </c>
      <c r="J14" s="37">
        <v>307</v>
      </c>
      <c r="K14" s="37">
        <v>258</v>
      </c>
      <c r="L14" s="37">
        <v>13380</v>
      </c>
      <c r="M14" s="37">
        <v>6674</v>
      </c>
      <c r="N14" s="37">
        <v>6706</v>
      </c>
      <c r="O14" s="37">
        <v>943</v>
      </c>
      <c r="P14" s="37">
        <v>969</v>
      </c>
      <c r="Q14" s="37">
        <v>610</v>
      </c>
      <c r="R14" s="37">
        <v>487</v>
      </c>
      <c r="S14" s="37">
        <v>5121</v>
      </c>
      <c r="T14" s="37">
        <v>5250</v>
      </c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</row>
    <row r="15" spans="1:57" ht="15.6" customHeight="1">
      <c r="A15" s="52" t="s">
        <v>132</v>
      </c>
      <c r="B15" s="53" t="s">
        <v>43</v>
      </c>
      <c r="C15" s="37">
        <v>461</v>
      </c>
      <c r="D15" s="37">
        <v>322</v>
      </c>
      <c r="E15" s="37">
        <v>139</v>
      </c>
      <c r="F15" s="37">
        <v>54</v>
      </c>
      <c r="G15" s="37">
        <v>11</v>
      </c>
      <c r="H15" s="37">
        <v>4</v>
      </c>
      <c r="I15" s="37">
        <v>2</v>
      </c>
      <c r="J15" s="37">
        <v>264</v>
      </c>
      <c r="K15" s="37">
        <v>126</v>
      </c>
      <c r="L15" s="37">
        <v>4584</v>
      </c>
      <c r="M15" s="37">
        <v>3295</v>
      </c>
      <c r="N15" s="37">
        <v>1289</v>
      </c>
      <c r="O15" s="37">
        <v>659</v>
      </c>
      <c r="P15" s="37">
        <v>100</v>
      </c>
      <c r="Q15" s="37">
        <v>32</v>
      </c>
      <c r="R15" s="37">
        <v>23</v>
      </c>
      <c r="S15" s="37">
        <v>2604</v>
      </c>
      <c r="T15" s="37">
        <v>1166</v>
      </c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</row>
    <row r="16" spans="1:57" ht="15.6" customHeight="1">
      <c r="A16" s="52" t="s">
        <v>133</v>
      </c>
      <c r="B16" s="53" t="s">
        <v>45</v>
      </c>
      <c r="C16" s="37">
        <v>602</v>
      </c>
      <c r="D16" s="37">
        <v>309</v>
      </c>
      <c r="E16" s="37">
        <v>293</v>
      </c>
      <c r="F16" s="37">
        <v>37</v>
      </c>
      <c r="G16" s="37">
        <v>27</v>
      </c>
      <c r="H16" s="37">
        <v>61</v>
      </c>
      <c r="I16" s="37">
        <v>32</v>
      </c>
      <c r="J16" s="37">
        <v>211</v>
      </c>
      <c r="K16" s="37">
        <v>234</v>
      </c>
      <c r="L16" s="37">
        <v>18904</v>
      </c>
      <c r="M16" s="37">
        <v>9773</v>
      </c>
      <c r="N16" s="37">
        <v>9131</v>
      </c>
      <c r="O16" s="37">
        <v>945</v>
      </c>
      <c r="P16" s="37">
        <v>1201</v>
      </c>
      <c r="Q16" s="37">
        <v>2018</v>
      </c>
      <c r="R16" s="37">
        <v>1256</v>
      </c>
      <c r="S16" s="37">
        <v>6810</v>
      </c>
      <c r="T16" s="37">
        <v>6674</v>
      </c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</row>
    <row r="17" spans="1:39" ht="15.6" customHeight="1">
      <c r="A17" s="52" t="s">
        <v>134</v>
      </c>
      <c r="B17" s="53" t="s">
        <v>47</v>
      </c>
      <c r="C17" s="37">
        <v>909</v>
      </c>
      <c r="D17" s="37">
        <v>456</v>
      </c>
      <c r="E17" s="37">
        <v>453</v>
      </c>
      <c r="F17" s="37">
        <v>52</v>
      </c>
      <c r="G17" s="37">
        <v>78</v>
      </c>
      <c r="H17" s="37">
        <v>108</v>
      </c>
      <c r="I17" s="37">
        <v>64</v>
      </c>
      <c r="J17" s="37">
        <v>296</v>
      </c>
      <c r="K17" s="37">
        <v>311</v>
      </c>
      <c r="L17" s="37">
        <v>7640</v>
      </c>
      <c r="M17" s="37">
        <v>4362</v>
      </c>
      <c r="N17" s="37">
        <v>3278</v>
      </c>
      <c r="O17" s="37">
        <v>452</v>
      </c>
      <c r="P17" s="37">
        <v>538</v>
      </c>
      <c r="Q17" s="37">
        <v>1183</v>
      </c>
      <c r="R17" s="37">
        <v>600</v>
      </c>
      <c r="S17" s="37">
        <v>2727</v>
      </c>
      <c r="T17" s="37">
        <v>2140</v>
      </c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</row>
    <row r="18" spans="1:39" ht="15.6" customHeight="1">
      <c r="A18" s="52" t="s">
        <v>135</v>
      </c>
      <c r="B18" s="53" t="s">
        <v>49</v>
      </c>
      <c r="C18" s="37">
        <v>254</v>
      </c>
      <c r="D18" s="37">
        <v>153</v>
      </c>
      <c r="E18" s="37">
        <v>101</v>
      </c>
      <c r="F18" s="37">
        <v>13</v>
      </c>
      <c r="G18" s="37">
        <v>5</v>
      </c>
      <c r="H18" s="37">
        <v>48</v>
      </c>
      <c r="I18" s="37">
        <v>23</v>
      </c>
      <c r="J18" s="37">
        <v>92</v>
      </c>
      <c r="K18" s="37">
        <v>73</v>
      </c>
      <c r="L18" s="37">
        <v>15806</v>
      </c>
      <c r="M18" s="37">
        <v>9973</v>
      </c>
      <c r="N18" s="37">
        <v>5833</v>
      </c>
      <c r="O18" s="37">
        <v>879</v>
      </c>
      <c r="P18" s="37">
        <v>250</v>
      </c>
      <c r="Q18" s="37">
        <v>3400</v>
      </c>
      <c r="R18" s="37">
        <v>1653</v>
      </c>
      <c r="S18" s="37">
        <v>5694</v>
      </c>
      <c r="T18" s="37">
        <v>3930</v>
      </c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</row>
    <row r="19" spans="1:39" ht="15.6" customHeight="1">
      <c r="A19" s="52" t="s">
        <v>136</v>
      </c>
      <c r="B19" s="53" t="s">
        <v>51</v>
      </c>
      <c r="C19" s="37">
        <v>674</v>
      </c>
      <c r="D19" s="37">
        <v>370</v>
      </c>
      <c r="E19" s="37">
        <v>304</v>
      </c>
      <c r="F19" s="37">
        <v>21</v>
      </c>
      <c r="G19" s="37">
        <v>21</v>
      </c>
      <c r="H19" s="37">
        <v>50</v>
      </c>
      <c r="I19" s="37">
        <v>26</v>
      </c>
      <c r="J19" s="37">
        <v>299</v>
      </c>
      <c r="K19" s="37">
        <v>257</v>
      </c>
      <c r="L19" s="37">
        <v>7588</v>
      </c>
      <c r="M19" s="37">
        <v>4517</v>
      </c>
      <c r="N19" s="37">
        <v>3071</v>
      </c>
      <c r="O19" s="37">
        <v>173</v>
      </c>
      <c r="P19" s="37">
        <v>161</v>
      </c>
      <c r="Q19" s="37">
        <v>703</v>
      </c>
      <c r="R19" s="37">
        <v>211</v>
      </c>
      <c r="S19" s="37">
        <v>3641</v>
      </c>
      <c r="T19" s="37">
        <v>2699</v>
      </c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</row>
    <row r="20" spans="1:39" ht="15.6" customHeight="1">
      <c r="A20" s="52" t="s">
        <v>137</v>
      </c>
      <c r="B20" s="53" t="s">
        <v>53</v>
      </c>
      <c r="C20" s="37">
        <v>894</v>
      </c>
      <c r="D20" s="37">
        <v>452</v>
      </c>
      <c r="E20" s="37">
        <v>442</v>
      </c>
      <c r="F20" s="37">
        <v>139</v>
      </c>
      <c r="G20" s="37">
        <v>65</v>
      </c>
      <c r="H20" s="37">
        <v>80</v>
      </c>
      <c r="I20" s="37">
        <v>91</v>
      </c>
      <c r="J20" s="37">
        <v>233</v>
      </c>
      <c r="K20" s="37">
        <v>286</v>
      </c>
      <c r="L20" s="37">
        <v>6920</v>
      </c>
      <c r="M20" s="37">
        <v>3705</v>
      </c>
      <c r="N20" s="37">
        <v>3215</v>
      </c>
      <c r="O20" s="37">
        <v>1195</v>
      </c>
      <c r="P20" s="37">
        <v>475</v>
      </c>
      <c r="Q20" s="37">
        <v>640</v>
      </c>
      <c r="R20" s="37">
        <v>553</v>
      </c>
      <c r="S20" s="37">
        <v>1870</v>
      </c>
      <c r="T20" s="37">
        <v>2187</v>
      </c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</row>
    <row r="21" spans="1:39" ht="15.6" customHeight="1">
      <c r="A21" s="52" t="s">
        <v>138</v>
      </c>
      <c r="B21" s="53" t="s">
        <v>55</v>
      </c>
      <c r="C21" s="37">
        <v>887</v>
      </c>
      <c r="D21" s="37">
        <v>373</v>
      </c>
      <c r="E21" s="37">
        <v>514</v>
      </c>
      <c r="F21" s="37">
        <v>76</v>
      </c>
      <c r="G21" s="37">
        <v>99</v>
      </c>
      <c r="H21" s="37">
        <v>66</v>
      </c>
      <c r="I21" s="37">
        <v>63</v>
      </c>
      <c r="J21" s="37">
        <v>231</v>
      </c>
      <c r="K21" s="37">
        <v>352</v>
      </c>
      <c r="L21" s="37">
        <v>8031</v>
      </c>
      <c r="M21" s="37">
        <v>3339</v>
      </c>
      <c r="N21" s="37">
        <v>4692</v>
      </c>
      <c r="O21" s="37">
        <v>699</v>
      </c>
      <c r="P21" s="37">
        <v>709</v>
      </c>
      <c r="Q21" s="37">
        <v>851</v>
      </c>
      <c r="R21" s="37">
        <v>599</v>
      </c>
      <c r="S21" s="37">
        <v>1789</v>
      </c>
      <c r="T21" s="37">
        <v>3384</v>
      </c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</row>
    <row r="22" spans="1:39" ht="15.6" customHeight="1">
      <c r="A22" s="52" t="s">
        <v>139</v>
      </c>
      <c r="B22" s="53" t="s">
        <v>57</v>
      </c>
      <c r="C22" s="37">
        <v>502</v>
      </c>
      <c r="D22" s="37">
        <v>291</v>
      </c>
      <c r="E22" s="37">
        <v>211</v>
      </c>
      <c r="F22" s="37">
        <v>53</v>
      </c>
      <c r="G22" s="37">
        <v>36</v>
      </c>
      <c r="H22" s="37">
        <v>12</v>
      </c>
      <c r="I22" s="37">
        <v>15</v>
      </c>
      <c r="J22" s="37">
        <v>226</v>
      </c>
      <c r="K22" s="37">
        <v>160</v>
      </c>
      <c r="L22" s="37">
        <v>5243</v>
      </c>
      <c r="M22" s="37">
        <v>2963</v>
      </c>
      <c r="N22" s="37">
        <v>2280</v>
      </c>
      <c r="O22" s="37">
        <v>405</v>
      </c>
      <c r="P22" s="37">
        <v>480</v>
      </c>
      <c r="Q22" s="37">
        <v>167</v>
      </c>
      <c r="R22" s="37">
        <v>132</v>
      </c>
      <c r="S22" s="37">
        <v>2391</v>
      </c>
      <c r="T22" s="37">
        <v>1668</v>
      </c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</row>
    <row r="23" spans="1:39" ht="15.6" customHeight="1">
      <c r="A23" s="52" t="s">
        <v>140</v>
      </c>
      <c r="B23" s="53" t="s">
        <v>59</v>
      </c>
      <c r="C23" s="37">
        <v>1417</v>
      </c>
      <c r="D23" s="37">
        <v>762</v>
      </c>
      <c r="E23" s="37">
        <v>655</v>
      </c>
      <c r="F23" s="37">
        <v>61</v>
      </c>
      <c r="G23" s="37">
        <v>22</v>
      </c>
      <c r="H23" s="37">
        <v>127</v>
      </c>
      <c r="I23" s="37">
        <v>79</v>
      </c>
      <c r="J23" s="37">
        <v>574</v>
      </c>
      <c r="K23" s="37">
        <v>554</v>
      </c>
      <c r="L23" s="37">
        <v>12156</v>
      </c>
      <c r="M23" s="37">
        <v>6807</v>
      </c>
      <c r="N23" s="37">
        <v>5349</v>
      </c>
      <c r="O23" s="37">
        <v>446</v>
      </c>
      <c r="P23" s="37">
        <v>165</v>
      </c>
      <c r="Q23" s="37">
        <v>1072</v>
      </c>
      <c r="R23" s="37">
        <v>706</v>
      </c>
      <c r="S23" s="37">
        <v>5289</v>
      </c>
      <c r="T23" s="37">
        <v>4478</v>
      </c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</row>
    <row r="24" spans="1:39" ht="15.6" customHeight="1">
      <c r="A24" s="52" t="s">
        <v>141</v>
      </c>
      <c r="B24" s="53" t="s">
        <v>61</v>
      </c>
      <c r="C24" s="37">
        <v>128</v>
      </c>
      <c r="D24" s="37">
        <v>64</v>
      </c>
      <c r="E24" s="37">
        <v>64</v>
      </c>
      <c r="F24" s="37" t="s">
        <v>105</v>
      </c>
      <c r="G24" s="37">
        <v>4</v>
      </c>
      <c r="H24" s="37" t="s">
        <v>105</v>
      </c>
      <c r="I24" s="37">
        <v>3</v>
      </c>
      <c r="J24" s="37">
        <v>64</v>
      </c>
      <c r="K24" s="37">
        <v>57</v>
      </c>
      <c r="L24" s="37">
        <v>2181</v>
      </c>
      <c r="M24" s="37">
        <v>1448</v>
      </c>
      <c r="N24" s="37">
        <v>733</v>
      </c>
      <c r="O24" s="37">
        <v>6</v>
      </c>
      <c r="P24" s="37">
        <v>49</v>
      </c>
      <c r="Q24" s="37">
        <v>2</v>
      </c>
      <c r="R24" s="37">
        <v>12</v>
      </c>
      <c r="S24" s="37">
        <v>1440</v>
      </c>
      <c r="T24" s="37">
        <v>672</v>
      </c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</row>
    <row r="25" spans="1:39" ht="15.6" customHeight="1">
      <c r="A25" s="52" t="s">
        <v>142</v>
      </c>
      <c r="B25" s="53" t="s">
        <v>63</v>
      </c>
      <c r="C25" s="37">
        <v>326</v>
      </c>
      <c r="D25" s="37">
        <v>166</v>
      </c>
      <c r="E25" s="37">
        <v>160</v>
      </c>
      <c r="F25" s="37">
        <v>53</v>
      </c>
      <c r="G25" s="37">
        <v>7</v>
      </c>
      <c r="H25" s="37">
        <v>16</v>
      </c>
      <c r="I25" s="37">
        <v>29</v>
      </c>
      <c r="J25" s="37">
        <v>97</v>
      </c>
      <c r="K25" s="37">
        <v>124</v>
      </c>
      <c r="L25" s="37">
        <v>4824</v>
      </c>
      <c r="M25" s="37">
        <v>2615</v>
      </c>
      <c r="N25" s="37">
        <v>2209</v>
      </c>
      <c r="O25" s="37">
        <v>845</v>
      </c>
      <c r="P25" s="37">
        <v>31</v>
      </c>
      <c r="Q25" s="37">
        <v>123</v>
      </c>
      <c r="R25" s="37">
        <v>394</v>
      </c>
      <c r="S25" s="37">
        <v>1647</v>
      </c>
      <c r="T25" s="37">
        <v>1784</v>
      </c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</row>
    <row r="26" spans="1:39" ht="15.6" customHeight="1">
      <c r="A26" s="52" t="s">
        <v>143</v>
      </c>
      <c r="B26" s="53" t="s">
        <v>65</v>
      </c>
      <c r="C26" s="37">
        <v>1404</v>
      </c>
      <c r="D26" s="37">
        <v>784</v>
      </c>
      <c r="E26" s="37">
        <v>620</v>
      </c>
      <c r="F26" s="37">
        <v>124</v>
      </c>
      <c r="G26" s="37">
        <v>107</v>
      </c>
      <c r="H26" s="37">
        <v>83</v>
      </c>
      <c r="I26" s="37">
        <v>46</v>
      </c>
      <c r="J26" s="37">
        <v>577</v>
      </c>
      <c r="K26" s="37">
        <v>467</v>
      </c>
      <c r="L26" s="37">
        <v>16160</v>
      </c>
      <c r="M26" s="37">
        <v>8902</v>
      </c>
      <c r="N26" s="37">
        <v>7258</v>
      </c>
      <c r="O26" s="37">
        <v>1516</v>
      </c>
      <c r="P26" s="37">
        <v>1428</v>
      </c>
      <c r="Q26" s="37">
        <v>851</v>
      </c>
      <c r="R26" s="37">
        <v>540</v>
      </c>
      <c r="S26" s="37">
        <v>6535</v>
      </c>
      <c r="T26" s="37">
        <v>5290</v>
      </c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</row>
    <row r="27" spans="1:39" ht="15.6" customHeight="1">
      <c r="A27" s="52" t="s">
        <v>144</v>
      </c>
      <c r="B27" s="53" t="s">
        <v>67</v>
      </c>
      <c r="C27" s="37">
        <v>601</v>
      </c>
      <c r="D27" s="37">
        <v>261</v>
      </c>
      <c r="E27" s="37">
        <v>340</v>
      </c>
      <c r="F27" s="37">
        <v>45</v>
      </c>
      <c r="G27" s="37">
        <v>84</v>
      </c>
      <c r="H27" s="37">
        <v>32</v>
      </c>
      <c r="I27" s="37">
        <v>33</v>
      </c>
      <c r="J27" s="37">
        <v>184</v>
      </c>
      <c r="K27" s="37">
        <v>223</v>
      </c>
      <c r="L27" s="37">
        <v>5661</v>
      </c>
      <c r="M27" s="37">
        <v>2578</v>
      </c>
      <c r="N27" s="37">
        <v>3083</v>
      </c>
      <c r="O27" s="37">
        <v>405</v>
      </c>
      <c r="P27" s="37">
        <v>824</v>
      </c>
      <c r="Q27" s="37">
        <v>386</v>
      </c>
      <c r="R27" s="37">
        <v>342</v>
      </c>
      <c r="S27" s="37">
        <v>1787</v>
      </c>
      <c r="T27" s="37">
        <v>1917</v>
      </c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</row>
    <row r="28" spans="1:39" ht="15.6" customHeight="1">
      <c r="A28" s="52" t="s">
        <v>145</v>
      </c>
      <c r="B28" s="53" t="s">
        <v>69</v>
      </c>
      <c r="C28" s="37">
        <v>498</v>
      </c>
      <c r="D28" s="37">
        <v>229</v>
      </c>
      <c r="E28" s="37">
        <v>269</v>
      </c>
      <c r="F28" s="37">
        <v>6</v>
      </c>
      <c r="G28" s="37" t="s">
        <v>105</v>
      </c>
      <c r="H28" s="37" t="s">
        <v>105</v>
      </c>
      <c r="I28" s="37" t="s">
        <v>105</v>
      </c>
      <c r="J28" s="37">
        <v>223</v>
      </c>
      <c r="K28" s="37">
        <v>269</v>
      </c>
      <c r="L28" s="37">
        <v>6863</v>
      </c>
      <c r="M28" s="37">
        <v>3182</v>
      </c>
      <c r="N28" s="37">
        <v>3681</v>
      </c>
      <c r="O28" s="37">
        <v>88</v>
      </c>
      <c r="P28" s="37">
        <v>8</v>
      </c>
      <c r="Q28" s="37" t="s">
        <v>105</v>
      </c>
      <c r="R28" s="37" t="s">
        <v>105</v>
      </c>
      <c r="S28" s="37">
        <v>3094</v>
      </c>
      <c r="T28" s="37">
        <v>3673</v>
      </c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</row>
    <row r="29" spans="1:39" ht="15.6" customHeight="1">
      <c r="A29" s="54" t="s">
        <v>146</v>
      </c>
      <c r="B29" s="55" t="s">
        <v>71</v>
      </c>
      <c r="C29" s="40">
        <v>14</v>
      </c>
      <c r="D29" s="40">
        <v>8</v>
      </c>
      <c r="E29" s="40">
        <v>6</v>
      </c>
      <c r="F29" s="40" t="s">
        <v>105</v>
      </c>
      <c r="G29" s="40" t="s">
        <v>105</v>
      </c>
      <c r="H29" s="40" t="s">
        <v>105</v>
      </c>
      <c r="I29" s="40" t="s">
        <v>105</v>
      </c>
      <c r="J29" s="40">
        <v>8</v>
      </c>
      <c r="K29" s="40">
        <v>6</v>
      </c>
      <c r="L29" s="40">
        <v>824</v>
      </c>
      <c r="M29" s="40">
        <v>604</v>
      </c>
      <c r="N29" s="40">
        <v>220</v>
      </c>
      <c r="O29" s="40" t="s">
        <v>105</v>
      </c>
      <c r="P29" s="40" t="s">
        <v>105</v>
      </c>
      <c r="Q29" s="40" t="s">
        <v>105</v>
      </c>
      <c r="R29" s="40" t="s">
        <v>105</v>
      </c>
      <c r="S29" s="40">
        <v>604</v>
      </c>
      <c r="T29" s="40">
        <v>220</v>
      </c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</row>
    <row r="30" spans="1:39" ht="16.5">
      <c r="A30" s="8" t="s">
        <v>72</v>
      </c>
      <c r="B30" s="19"/>
    </row>
    <row r="31" spans="1:39">
      <c r="A31" s="2" t="s">
        <v>74</v>
      </c>
    </row>
  </sheetData>
  <mergeCells count="27">
    <mergeCell ref="A3:B6"/>
    <mergeCell ref="C3:K3"/>
    <mergeCell ref="L3:T3"/>
    <mergeCell ref="F4:G4"/>
    <mergeCell ref="H4:I4"/>
    <mergeCell ref="J4:K4"/>
    <mergeCell ref="O4:P4"/>
    <mergeCell ref="Q4:R4"/>
    <mergeCell ref="S4:T4"/>
    <mergeCell ref="C5:C6"/>
    <mergeCell ref="O5:O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T5:T6"/>
    <mergeCell ref="N5:N6"/>
    <mergeCell ref="P5:P6"/>
    <mergeCell ref="Q5:Q6"/>
    <mergeCell ref="R5:R6"/>
    <mergeCell ref="S5:S6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31"/>
  <sheetViews>
    <sheetView zoomScaleNormal="100" zoomScaleSheetLayoutView="75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9.375" defaultRowHeight="12.75"/>
  <cols>
    <col min="1" max="1" width="8" style="2" customWidth="1"/>
    <col min="2" max="2" width="15.625" style="2" customWidth="1"/>
    <col min="3" max="20" width="8.5" style="2" customWidth="1"/>
    <col min="21" max="16384" width="9.375" style="2"/>
  </cols>
  <sheetData>
    <row r="1" spans="1:57" ht="21">
      <c r="A1" s="1" t="s">
        <v>1</v>
      </c>
      <c r="B1" s="22"/>
    </row>
    <row r="2" spans="1:57" ht="26.25" customHeight="1">
      <c r="A2" s="200" t="s">
        <v>147</v>
      </c>
      <c r="B2" s="200"/>
      <c r="C2" s="200"/>
    </row>
    <row r="3" spans="1:57" ht="16.5" customHeight="1">
      <c r="A3" s="179" t="s">
        <v>22</v>
      </c>
      <c r="B3" s="185"/>
      <c r="C3" s="190" t="s">
        <v>78</v>
      </c>
      <c r="D3" s="151"/>
      <c r="E3" s="151"/>
      <c r="F3" s="151"/>
      <c r="G3" s="151"/>
      <c r="H3" s="151"/>
      <c r="I3" s="151"/>
      <c r="J3" s="151"/>
      <c r="K3" s="191"/>
      <c r="L3" s="190" t="s">
        <v>79</v>
      </c>
      <c r="M3" s="151"/>
      <c r="N3" s="151"/>
      <c r="O3" s="151"/>
      <c r="P3" s="151"/>
      <c r="Q3" s="151"/>
      <c r="R3" s="151"/>
      <c r="S3" s="151"/>
      <c r="T3" s="151"/>
    </row>
    <row r="4" spans="1:57" s="25" customFormat="1" ht="29.25" customHeight="1">
      <c r="A4" s="186"/>
      <c r="B4" s="187"/>
      <c r="C4" s="3" t="s">
        <v>2</v>
      </c>
      <c r="D4" s="41"/>
      <c r="E4" s="5"/>
      <c r="F4" s="192" t="s">
        <v>107</v>
      </c>
      <c r="G4" s="193"/>
      <c r="H4" s="192" t="s">
        <v>108</v>
      </c>
      <c r="I4" s="193"/>
      <c r="J4" s="192" t="s">
        <v>116</v>
      </c>
      <c r="K4" s="191"/>
      <c r="L4" s="3" t="s">
        <v>2</v>
      </c>
      <c r="M4" s="42"/>
      <c r="N4" s="5"/>
      <c r="O4" s="192" t="s">
        <v>107</v>
      </c>
      <c r="P4" s="193"/>
      <c r="Q4" s="192" t="s">
        <v>108</v>
      </c>
      <c r="R4" s="193"/>
      <c r="S4" s="192" t="s">
        <v>116</v>
      </c>
      <c r="T4" s="151"/>
    </row>
    <row r="5" spans="1:57" s="7" customFormat="1" ht="16.5" customHeight="1">
      <c r="A5" s="186"/>
      <c r="B5" s="187"/>
      <c r="C5" s="196" t="s">
        <v>117</v>
      </c>
      <c r="D5" s="196" t="s">
        <v>118</v>
      </c>
      <c r="E5" s="196" t="s">
        <v>119</v>
      </c>
      <c r="F5" s="196" t="s">
        <v>118</v>
      </c>
      <c r="G5" s="196" t="s">
        <v>119</v>
      </c>
      <c r="H5" s="196" t="s">
        <v>118</v>
      </c>
      <c r="I5" s="196" t="s">
        <v>119</v>
      </c>
      <c r="J5" s="196" t="s">
        <v>118</v>
      </c>
      <c r="K5" s="196" t="s">
        <v>119</v>
      </c>
      <c r="L5" s="196" t="s">
        <v>117</v>
      </c>
      <c r="M5" s="196" t="s">
        <v>118</v>
      </c>
      <c r="N5" s="196" t="s">
        <v>119</v>
      </c>
      <c r="O5" s="196" t="s">
        <v>118</v>
      </c>
      <c r="P5" s="196" t="s">
        <v>119</v>
      </c>
      <c r="Q5" s="196" t="s">
        <v>118</v>
      </c>
      <c r="R5" s="196" t="s">
        <v>119</v>
      </c>
      <c r="S5" s="196" t="s">
        <v>118</v>
      </c>
      <c r="T5" s="194" t="s">
        <v>119</v>
      </c>
    </row>
    <row r="6" spans="1:57">
      <c r="A6" s="188"/>
      <c r="B6" s="189"/>
      <c r="C6" s="197"/>
      <c r="D6" s="197"/>
      <c r="E6" s="197"/>
      <c r="F6" s="197"/>
      <c r="G6" s="197"/>
      <c r="H6" s="197"/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5"/>
    </row>
    <row r="7" spans="1:57" s="17" customFormat="1" ht="15.6" customHeight="1">
      <c r="A7" s="47" t="s">
        <v>80</v>
      </c>
      <c r="B7" s="48" t="s">
        <v>81</v>
      </c>
      <c r="C7" s="33">
        <v>25782</v>
      </c>
      <c r="D7" s="33">
        <v>13660</v>
      </c>
      <c r="E7" s="33">
        <v>12122</v>
      </c>
      <c r="F7" s="33">
        <v>1669</v>
      </c>
      <c r="G7" s="33">
        <v>1306</v>
      </c>
      <c r="H7" s="33">
        <v>1863</v>
      </c>
      <c r="I7" s="33">
        <v>1479</v>
      </c>
      <c r="J7" s="33">
        <v>10128</v>
      </c>
      <c r="K7" s="33">
        <v>9337</v>
      </c>
      <c r="L7" s="33">
        <v>271462</v>
      </c>
      <c r="M7" s="33">
        <v>146793</v>
      </c>
      <c r="N7" s="33">
        <v>124669</v>
      </c>
      <c r="O7" s="33">
        <v>15340</v>
      </c>
      <c r="P7" s="33">
        <v>12119</v>
      </c>
      <c r="Q7" s="33">
        <v>20908</v>
      </c>
      <c r="R7" s="33">
        <v>15499</v>
      </c>
      <c r="S7" s="33">
        <v>110545</v>
      </c>
      <c r="T7" s="33">
        <v>97051</v>
      </c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</row>
    <row r="8" spans="1:57" s="17" customFormat="1" ht="15.6" customHeight="1">
      <c r="A8" s="50" t="s">
        <v>124</v>
      </c>
      <c r="B8" s="51" t="s">
        <v>29</v>
      </c>
      <c r="C8" s="33">
        <v>2501</v>
      </c>
      <c r="D8" s="33">
        <v>1338</v>
      </c>
      <c r="E8" s="33">
        <v>1163</v>
      </c>
      <c r="F8" s="33">
        <v>14</v>
      </c>
      <c r="G8" s="33">
        <v>36</v>
      </c>
      <c r="H8" s="33">
        <v>2</v>
      </c>
      <c r="I8" s="33">
        <v>17</v>
      </c>
      <c r="J8" s="33">
        <v>1322</v>
      </c>
      <c r="K8" s="33">
        <v>1110</v>
      </c>
      <c r="L8" s="33">
        <v>43018</v>
      </c>
      <c r="M8" s="33">
        <v>20771</v>
      </c>
      <c r="N8" s="33">
        <v>22247</v>
      </c>
      <c r="O8" s="33">
        <v>88</v>
      </c>
      <c r="P8" s="33">
        <v>448</v>
      </c>
      <c r="Q8" s="33">
        <v>30</v>
      </c>
      <c r="R8" s="33">
        <v>895</v>
      </c>
      <c r="S8" s="33">
        <v>20653</v>
      </c>
      <c r="T8" s="33">
        <v>20904</v>
      </c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</row>
    <row r="9" spans="1:57" s="17" customFormat="1" ht="15.6" customHeight="1">
      <c r="A9" s="50" t="s">
        <v>125</v>
      </c>
      <c r="B9" s="51" t="s">
        <v>31</v>
      </c>
      <c r="C9" s="33">
        <v>4699</v>
      </c>
      <c r="D9" s="33">
        <v>2089</v>
      </c>
      <c r="E9" s="33">
        <v>2610</v>
      </c>
      <c r="F9" s="33">
        <v>202</v>
      </c>
      <c r="G9" s="33">
        <v>148</v>
      </c>
      <c r="H9" s="33">
        <v>158</v>
      </c>
      <c r="I9" s="33">
        <v>229</v>
      </c>
      <c r="J9" s="33">
        <v>1729</v>
      </c>
      <c r="K9" s="33">
        <v>2233</v>
      </c>
      <c r="L9" s="33">
        <v>37330</v>
      </c>
      <c r="M9" s="33">
        <v>16982</v>
      </c>
      <c r="N9" s="33">
        <v>20348</v>
      </c>
      <c r="O9" s="33">
        <v>1993</v>
      </c>
      <c r="P9" s="33">
        <v>1310</v>
      </c>
      <c r="Q9" s="33">
        <v>1453</v>
      </c>
      <c r="R9" s="33">
        <v>2135</v>
      </c>
      <c r="S9" s="33">
        <v>13536</v>
      </c>
      <c r="T9" s="33">
        <v>16903</v>
      </c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</row>
    <row r="10" spans="1:57" s="17" customFormat="1" ht="15.6" customHeight="1">
      <c r="A10" s="50" t="s">
        <v>126</v>
      </c>
      <c r="B10" s="51" t="s">
        <v>35</v>
      </c>
      <c r="C10" s="33">
        <v>1673</v>
      </c>
      <c r="D10" s="33">
        <v>975</v>
      </c>
      <c r="E10" s="33">
        <v>698</v>
      </c>
      <c r="F10" s="33">
        <v>235</v>
      </c>
      <c r="G10" s="33">
        <v>106</v>
      </c>
      <c r="H10" s="33">
        <v>133</v>
      </c>
      <c r="I10" s="33">
        <v>81</v>
      </c>
      <c r="J10" s="33">
        <v>607</v>
      </c>
      <c r="K10" s="33">
        <v>511</v>
      </c>
      <c r="L10" s="33">
        <v>13260</v>
      </c>
      <c r="M10" s="33">
        <v>8048</v>
      </c>
      <c r="N10" s="33">
        <v>5212</v>
      </c>
      <c r="O10" s="33">
        <v>1973</v>
      </c>
      <c r="P10" s="33">
        <v>891</v>
      </c>
      <c r="Q10" s="33">
        <v>1161</v>
      </c>
      <c r="R10" s="33">
        <v>617</v>
      </c>
      <c r="S10" s="33">
        <v>4914</v>
      </c>
      <c r="T10" s="33">
        <v>3704</v>
      </c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</row>
    <row r="11" spans="1:57" s="17" customFormat="1" ht="15.6" customHeight="1">
      <c r="A11" s="50" t="s">
        <v>127</v>
      </c>
      <c r="B11" s="51" t="s">
        <v>37</v>
      </c>
      <c r="C11" s="33">
        <v>1193</v>
      </c>
      <c r="D11" s="33">
        <v>643</v>
      </c>
      <c r="E11" s="33">
        <v>550</v>
      </c>
      <c r="F11" s="33">
        <v>27</v>
      </c>
      <c r="G11" s="33">
        <v>65</v>
      </c>
      <c r="H11" s="33">
        <v>164</v>
      </c>
      <c r="I11" s="33">
        <v>98</v>
      </c>
      <c r="J11" s="33">
        <v>452</v>
      </c>
      <c r="K11" s="33">
        <v>387</v>
      </c>
      <c r="L11" s="33">
        <v>13639</v>
      </c>
      <c r="M11" s="33">
        <v>7465</v>
      </c>
      <c r="N11" s="33">
        <v>6174</v>
      </c>
      <c r="O11" s="33">
        <v>407</v>
      </c>
      <c r="P11" s="33">
        <v>622</v>
      </c>
      <c r="Q11" s="33">
        <v>1728</v>
      </c>
      <c r="R11" s="33">
        <v>864</v>
      </c>
      <c r="S11" s="33">
        <v>5330</v>
      </c>
      <c r="T11" s="33">
        <v>4688</v>
      </c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</row>
    <row r="12" spans="1:57" s="17" customFormat="1" ht="15.6" customHeight="1">
      <c r="A12" s="50" t="s">
        <v>128</v>
      </c>
      <c r="B12" s="51" t="s">
        <v>39</v>
      </c>
      <c r="C12" s="33">
        <v>2929</v>
      </c>
      <c r="D12" s="33">
        <v>1655</v>
      </c>
      <c r="E12" s="33">
        <v>1274</v>
      </c>
      <c r="F12" s="33">
        <v>275</v>
      </c>
      <c r="G12" s="33">
        <v>249</v>
      </c>
      <c r="H12" s="33">
        <v>244</v>
      </c>
      <c r="I12" s="33">
        <v>173</v>
      </c>
      <c r="J12" s="33">
        <v>1136</v>
      </c>
      <c r="K12" s="33">
        <v>852</v>
      </c>
      <c r="L12" s="33">
        <v>28957</v>
      </c>
      <c r="M12" s="33">
        <v>17004</v>
      </c>
      <c r="N12" s="33">
        <v>11953</v>
      </c>
      <c r="O12" s="33">
        <v>2461</v>
      </c>
      <c r="P12" s="33">
        <v>2276</v>
      </c>
      <c r="Q12" s="33">
        <v>2330</v>
      </c>
      <c r="R12" s="33">
        <v>1639</v>
      </c>
      <c r="S12" s="33">
        <v>12213</v>
      </c>
      <c r="T12" s="33">
        <v>8038</v>
      </c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</row>
    <row r="13" spans="1:57" ht="15.6" customHeight="1">
      <c r="A13" s="52" t="s">
        <v>129</v>
      </c>
      <c r="B13" s="53" t="s">
        <v>41</v>
      </c>
      <c r="C13" s="37">
        <v>883</v>
      </c>
      <c r="D13" s="37">
        <v>506</v>
      </c>
      <c r="E13" s="37">
        <v>377</v>
      </c>
      <c r="F13" s="37">
        <v>54</v>
      </c>
      <c r="G13" s="37">
        <v>43</v>
      </c>
      <c r="H13" s="37">
        <v>57</v>
      </c>
      <c r="I13" s="37">
        <v>35</v>
      </c>
      <c r="J13" s="37">
        <v>395</v>
      </c>
      <c r="K13" s="37">
        <v>299</v>
      </c>
      <c r="L13" s="37">
        <v>8552</v>
      </c>
      <c r="M13" s="37">
        <v>4888</v>
      </c>
      <c r="N13" s="37">
        <v>3664</v>
      </c>
      <c r="O13" s="37">
        <v>794</v>
      </c>
      <c r="P13" s="37">
        <v>337</v>
      </c>
      <c r="Q13" s="37">
        <v>498</v>
      </c>
      <c r="R13" s="37">
        <v>302</v>
      </c>
      <c r="S13" s="37">
        <v>3596</v>
      </c>
      <c r="T13" s="37">
        <v>3025</v>
      </c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</row>
    <row r="14" spans="1:57" ht="15.6" customHeight="1">
      <c r="A14" s="52" t="s">
        <v>130</v>
      </c>
      <c r="B14" s="53" t="s">
        <v>131</v>
      </c>
      <c r="C14" s="37">
        <v>953</v>
      </c>
      <c r="D14" s="37">
        <v>526</v>
      </c>
      <c r="E14" s="37">
        <v>427</v>
      </c>
      <c r="F14" s="37">
        <v>120</v>
      </c>
      <c r="G14" s="37">
        <v>125</v>
      </c>
      <c r="H14" s="37">
        <v>59</v>
      </c>
      <c r="I14" s="37">
        <v>44</v>
      </c>
      <c r="J14" s="37">
        <v>347</v>
      </c>
      <c r="K14" s="37">
        <v>258</v>
      </c>
      <c r="L14" s="37">
        <v>12872</v>
      </c>
      <c r="M14" s="37">
        <v>7132</v>
      </c>
      <c r="N14" s="37">
        <v>5740</v>
      </c>
      <c r="O14" s="37">
        <v>981</v>
      </c>
      <c r="P14" s="37">
        <v>1498</v>
      </c>
      <c r="Q14" s="37">
        <v>640</v>
      </c>
      <c r="R14" s="37">
        <v>445</v>
      </c>
      <c r="S14" s="37">
        <v>5511</v>
      </c>
      <c r="T14" s="37">
        <v>3797</v>
      </c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</row>
    <row r="15" spans="1:57" ht="15.6" customHeight="1">
      <c r="A15" s="52" t="s">
        <v>132</v>
      </c>
      <c r="B15" s="53" t="s">
        <v>43</v>
      </c>
      <c r="C15" s="37">
        <v>380</v>
      </c>
      <c r="D15" s="37">
        <v>251</v>
      </c>
      <c r="E15" s="37">
        <v>129</v>
      </c>
      <c r="F15" s="37">
        <v>51</v>
      </c>
      <c r="G15" s="37">
        <v>14</v>
      </c>
      <c r="H15" s="37">
        <v>5</v>
      </c>
      <c r="I15" s="37">
        <v>2</v>
      </c>
      <c r="J15" s="37">
        <v>195</v>
      </c>
      <c r="K15" s="37">
        <v>113</v>
      </c>
      <c r="L15" s="37">
        <v>3831</v>
      </c>
      <c r="M15" s="37">
        <v>2471</v>
      </c>
      <c r="N15" s="37">
        <v>1360</v>
      </c>
      <c r="O15" s="37">
        <v>498</v>
      </c>
      <c r="P15" s="37">
        <v>156</v>
      </c>
      <c r="Q15" s="37">
        <v>16</v>
      </c>
      <c r="R15" s="37">
        <v>9</v>
      </c>
      <c r="S15" s="37">
        <v>1957</v>
      </c>
      <c r="T15" s="37">
        <v>1195</v>
      </c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</row>
    <row r="16" spans="1:57" ht="15.6" customHeight="1">
      <c r="A16" s="52" t="s">
        <v>133</v>
      </c>
      <c r="B16" s="53" t="s">
        <v>45</v>
      </c>
      <c r="C16" s="37">
        <v>1845</v>
      </c>
      <c r="D16" s="37">
        <v>905</v>
      </c>
      <c r="E16" s="37">
        <v>940</v>
      </c>
      <c r="F16" s="37">
        <v>88</v>
      </c>
      <c r="G16" s="37">
        <v>90</v>
      </c>
      <c r="H16" s="37">
        <v>156</v>
      </c>
      <c r="I16" s="37">
        <v>114</v>
      </c>
      <c r="J16" s="37">
        <v>661</v>
      </c>
      <c r="K16" s="37">
        <v>736</v>
      </c>
      <c r="L16" s="37">
        <v>15845</v>
      </c>
      <c r="M16" s="37">
        <v>8016</v>
      </c>
      <c r="N16" s="37">
        <v>7829</v>
      </c>
      <c r="O16" s="37">
        <v>662</v>
      </c>
      <c r="P16" s="37">
        <v>785</v>
      </c>
      <c r="Q16" s="37">
        <v>1401</v>
      </c>
      <c r="R16" s="37">
        <v>1099</v>
      </c>
      <c r="S16" s="37">
        <v>5953</v>
      </c>
      <c r="T16" s="37">
        <v>5945</v>
      </c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</row>
    <row r="17" spans="1:39" ht="15.6" customHeight="1">
      <c r="A17" s="52" t="s">
        <v>134</v>
      </c>
      <c r="B17" s="53" t="s">
        <v>47</v>
      </c>
      <c r="C17" s="37">
        <v>856</v>
      </c>
      <c r="D17" s="37">
        <v>471</v>
      </c>
      <c r="E17" s="37">
        <v>385</v>
      </c>
      <c r="F17" s="37">
        <v>53</v>
      </c>
      <c r="G17" s="37">
        <v>71</v>
      </c>
      <c r="H17" s="37">
        <v>128</v>
      </c>
      <c r="I17" s="37">
        <v>69</v>
      </c>
      <c r="J17" s="37">
        <v>290</v>
      </c>
      <c r="K17" s="37">
        <v>245</v>
      </c>
      <c r="L17" s="37">
        <v>7464</v>
      </c>
      <c r="M17" s="37">
        <v>4436</v>
      </c>
      <c r="N17" s="37">
        <v>3028</v>
      </c>
      <c r="O17" s="37">
        <v>410</v>
      </c>
      <c r="P17" s="37">
        <v>553</v>
      </c>
      <c r="Q17" s="37">
        <v>1340</v>
      </c>
      <c r="R17" s="37">
        <v>686</v>
      </c>
      <c r="S17" s="37">
        <v>2686</v>
      </c>
      <c r="T17" s="37">
        <v>1789</v>
      </c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</row>
    <row r="18" spans="1:39" ht="15.6" customHeight="1">
      <c r="A18" s="52" t="s">
        <v>135</v>
      </c>
      <c r="B18" s="53" t="s">
        <v>49</v>
      </c>
      <c r="C18" s="37">
        <v>231</v>
      </c>
      <c r="D18" s="37">
        <v>133</v>
      </c>
      <c r="E18" s="37">
        <v>98</v>
      </c>
      <c r="F18" s="37">
        <v>16</v>
      </c>
      <c r="G18" s="37">
        <v>3</v>
      </c>
      <c r="H18" s="37">
        <v>44</v>
      </c>
      <c r="I18" s="37">
        <v>26</v>
      </c>
      <c r="J18" s="37">
        <v>73</v>
      </c>
      <c r="K18" s="37">
        <v>69</v>
      </c>
      <c r="L18" s="37">
        <v>17469</v>
      </c>
      <c r="M18" s="37">
        <v>10494</v>
      </c>
      <c r="N18" s="37">
        <v>6975</v>
      </c>
      <c r="O18" s="37">
        <v>856</v>
      </c>
      <c r="P18" s="37">
        <v>282</v>
      </c>
      <c r="Q18" s="37">
        <v>3510</v>
      </c>
      <c r="R18" s="37">
        <v>1858</v>
      </c>
      <c r="S18" s="37">
        <v>6128</v>
      </c>
      <c r="T18" s="37">
        <v>4835</v>
      </c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</row>
    <row r="19" spans="1:39" ht="15.6" customHeight="1">
      <c r="A19" s="52" t="s">
        <v>136</v>
      </c>
      <c r="B19" s="53" t="s">
        <v>51</v>
      </c>
      <c r="C19" s="37">
        <v>691</v>
      </c>
      <c r="D19" s="37">
        <v>409</v>
      </c>
      <c r="E19" s="37">
        <v>282</v>
      </c>
      <c r="F19" s="37">
        <v>13</v>
      </c>
      <c r="G19" s="37">
        <v>1</v>
      </c>
      <c r="H19" s="37">
        <v>47</v>
      </c>
      <c r="I19" s="37">
        <v>18</v>
      </c>
      <c r="J19" s="37">
        <v>349</v>
      </c>
      <c r="K19" s="37">
        <v>263</v>
      </c>
      <c r="L19" s="37">
        <v>7746</v>
      </c>
      <c r="M19" s="37">
        <v>4748</v>
      </c>
      <c r="N19" s="37">
        <v>2998</v>
      </c>
      <c r="O19" s="37">
        <v>99</v>
      </c>
      <c r="P19" s="37">
        <v>7</v>
      </c>
      <c r="Q19" s="37">
        <v>573</v>
      </c>
      <c r="R19" s="37">
        <v>147</v>
      </c>
      <c r="S19" s="37">
        <v>4076</v>
      </c>
      <c r="T19" s="37">
        <v>2844</v>
      </c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</row>
    <row r="20" spans="1:39" ht="15.6" customHeight="1">
      <c r="A20" s="52" t="s">
        <v>137</v>
      </c>
      <c r="B20" s="53" t="s">
        <v>53</v>
      </c>
      <c r="C20" s="37">
        <v>863</v>
      </c>
      <c r="D20" s="37">
        <v>457</v>
      </c>
      <c r="E20" s="37">
        <v>406</v>
      </c>
      <c r="F20" s="37">
        <v>151</v>
      </c>
      <c r="G20" s="37">
        <v>106</v>
      </c>
      <c r="H20" s="37">
        <v>83</v>
      </c>
      <c r="I20" s="37">
        <v>79</v>
      </c>
      <c r="J20" s="37">
        <v>223</v>
      </c>
      <c r="K20" s="37">
        <v>221</v>
      </c>
      <c r="L20" s="37">
        <v>6714</v>
      </c>
      <c r="M20" s="37">
        <v>3879</v>
      </c>
      <c r="N20" s="37">
        <v>2835</v>
      </c>
      <c r="O20" s="37">
        <v>1279</v>
      </c>
      <c r="P20" s="37">
        <v>718</v>
      </c>
      <c r="Q20" s="37">
        <v>619</v>
      </c>
      <c r="R20" s="37">
        <v>485</v>
      </c>
      <c r="S20" s="37">
        <v>1981</v>
      </c>
      <c r="T20" s="37">
        <v>1632</v>
      </c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</row>
    <row r="21" spans="1:39" ht="15.6" customHeight="1">
      <c r="A21" s="52" t="s">
        <v>138</v>
      </c>
      <c r="B21" s="53" t="s">
        <v>55</v>
      </c>
      <c r="C21" s="37">
        <v>734</v>
      </c>
      <c r="D21" s="37">
        <v>302</v>
      </c>
      <c r="E21" s="37">
        <v>432</v>
      </c>
      <c r="F21" s="37">
        <v>43</v>
      </c>
      <c r="G21" s="37">
        <v>84</v>
      </c>
      <c r="H21" s="37">
        <v>68</v>
      </c>
      <c r="I21" s="37">
        <v>48</v>
      </c>
      <c r="J21" s="37">
        <v>191</v>
      </c>
      <c r="K21" s="37">
        <v>300</v>
      </c>
      <c r="L21" s="37">
        <v>6768</v>
      </c>
      <c r="M21" s="37">
        <v>3120</v>
      </c>
      <c r="N21" s="37">
        <v>3648</v>
      </c>
      <c r="O21" s="37">
        <v>549</v>
      </c>
      <c r="P21" s="37">
        <v>682</v>
      </c>
      <c r="Q21" s="37">
        <v>959</v>
      </c>
      <c r="R21" s="37">
        <v>406</v>
      </c>
      <c r="S21" s="37">
        <v>1612</v>
      </c>
      <c r="T21" s="37">
        <v>2560</v>
      </c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</row>
    <row r="22" spans="1:39" ht="15.6" customHeight="1">
      <c r="A22" s="52" t="s">
        <v>139</v>
      </c>
      <c r="B22" s="53" t="s">
        <v>57</v>
      </c>
      <c r="C22" s="37">
        <v>449</v>
      </c>
      <c r="D22" s="37">
        <v>261</v>
      </c>
      <c r="E22" s="37">
        <v>188</v>
      </c>
      <c r="F22" s="37">
        <v>55</v>
      </c>
      <c r="G22" s="37">
        <v>38</v>
      </c>
      <c r="H22" s="37">
        <v>21</v>
      </c>
      <c r="I22" s="37">
        <v>12</v>
      </c>
      <c r="J22" s="37">
        <v>185</v>
      </c>
      <c r="K22" s="37">
        <v>138</v>
      </c>
      <c r="L22" s="37">
        <v>5733</v>
      </c>
      <c r="M22" s="37">
        <v>3579</v>
      </c>
      <c r="N22" s="37">
        <v>2154</v>
      </c>
      <c r="O22" s="37">
        <v>460</v>
      </c>
      <c r="P22" s="37">
        <v>532</v>
      </c>
      <c r="Q22" s="37">
        <v>304</v>
      </c>
      <c r="R22" s="37">
        <v>108</v>
      </c>
      <c r="S22" s="37">
        <v>2815</v>
      </c>
      <c r="T22" s="37">
        <v>1514</v>
      </c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</row>
    <row r="23" spans="1:39" ht="15.6" customHeight="1">
      <c r="A23" s="52" t="s">
        <v>140</v>
      </c>
      <c r="B23" s="53" t="s">
        <v>59</v>
      </c>
      <c r="C23" s="37">
        <v>1401</v>
      </c>
      <c r="D23" s="37">
        <v>832</v>
      </c>
      <c r="E23" s="37">
        <v>569</v>
      </c>
      <c r="F23" s="37">
        <v>84</v>
      </c>
      <c r="G23" s="37">
        <v>19</v>
      </c>
      <c r="H23" s="37">
        <v>135</v>
      </c>
      <c r="I23" s="37">
        <v>80</v>
      </c>
      <c r="J23" s="37">
        <v>613</v>
      </c>
      <c r="K23" s="37">
        <v>470</v>
      </c>
      <c r="L23" s="37">
        <v>12663</v>
      </c>
      <c r="M23" s="37">
        <v>7248</v>
      </c>
      <c r="N23" s="37">
        <v>5415</v>
      </c>
      <c r="O23" s="37">
        <v>390</v>
      </c>
      <c r="P23" s="37">
        <v>132</v>
      </c>
      <c r="Q23" s="37">
        <v>1222</v>
      </c>
      <c r="R23" s="37">
        <v>737</v>
      </c>
      <c r="S23" s="37">
        <v>5636</v>
      </c>
      <c r="T23" s="37">
        <v>4546</v>
      </c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</row>
    <row r="24" spans="1:39" ht="15.6" customHeight="1">
      <c r="A24" s="52" t="s">
        <v>141</v>
      </c>
      <c r="B24" s="53" t="s">
        <v>61</v>
      </c>
      <c r="C24" s="37">
        <v>151</v>
      </c>
      <c r="D24" s="37">
        <v>93</v>
      </c>
      <c r="E24" s="37">
        <v>58</v>
      </c>
      <c r="F24" s="37">
        <v>2</v>
      </c>
      <c r="G24" s="37" t="s">
        <v>105</v>
      </c>
      <c r="H24" s="37" t="s">
        <v>105</v>
      </c>
      <c r="I24" s="37">
        <v>7</v>
      </c>
      <c r="J24" s="37">
        <v>91</v>
      </c>
      <c r="K24" s="37">
        <v>51</v>
      </c>
      <c r="L24" s="37">
        <v>1972</v>
      </c>
      <c r="M24" s="37">
        <v>1352</v>
      </c>
      <c r="N24" s="37">
        <v>620</v>
      </c>
      <c r="O24" s="37">
        <v>12</v>
      </c>
      <c r="P24" s="37" t="s">
        <v>105</v>
      </c>
      <c r="Q24" s="37" t="s">
        <v>105</v>
      </c>
      <c r="R24" s="37">
        <v>112</v>
      </c>
      <c r="S24" s="37">
        <v>1340</v>
      </c>
      <c r="T24" s="37">
        <v>508</v>
      </c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</row>
    <row r="25" spans="1:39" ht="15.6" customHeight="1">
      <c r="A25" s="52" t="s">
        <v>142</v>
      </c>
      <c r="B25" s="53" t="s">
        <v>63</v>
      </c>
      <c r="C25" s="37">
        <v>247</v>
      </c>
      <c r="D25" s="37">
        <v>137</v>
      </c>
      <c r="E25" s="37">
        <v>110</v>
      </c>
      <c r="F25" s="37">
        <v>32</v>
      </c>
      <c r="G25" s="37">
        <v>7</v>
      </c>
      <c r="H25" s="37">
        <v>7</v>
      </c>
      <c r="I25" s="37">
        <v>17</v>
      </c>
      <c r="J25" s="37">
        <v>98</v>
      </c>
      <c r="K25" s="37">
        <v>86</v>
      </c>
      <c r="L25" s="37">
        <v>2697</v>
      </c>
      <c r="M25" s="37">
        <v>1469</v>
      </c>
      <c r="N25" s="37">
        <v>1228</v>
      </c>
      <c r="O25" s="37">
        <v>377</v>
      </c>
      <c r="P25" s="37">
        <v>76</v>
      </c>
      <c r="Q25" s="37">
        <v>104</v>
      </c>
      <c r="R25" s="37">
        <v>139</v>
      </c>
      <c r="S25" s="37">
        <v>988</v>
      </c>
      <c r="T25" s="37">
        <v>1013</v>
      </c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</row>
    <row r="26" spans="1:39" ht="15.6" customHeight="1">
      <c r="A26" s="52" t="s">
        <v>143</v>
      </c>
      <c r="B26" s="53" t="s">
        <v>65</v>
      </c>
      <c r="C26" s="37">
        <v>2540</v>
      </c>
      <c r="D26" s="37">
        <v>1416</v>
      </c>
      <c r="E26" s="37">
        <v>1124</v>
      </c>
      <c r="F26" s="37">
        <v>116</v>
      </c>
      <c r="G26" s="37">
        <v>30</v>
      </c>
      <c r="H26" s="37">
        <v>318</v>
      </c>
      <c r="I26" s="37">
        <v>288</v>
      </c>
      <c r="J26" s="37">
        <v>982</v>
      </c>
      <c r="K26" s="37">
        <v>806</v>
      </c>
      <c r="L26" s="37">
        <v>19718</v>
      </c>
      <c r="M26" s="37">
        <v>10944</v>
      </c>
      <c r="N26" s="37">
        <v>8774</v>
      </c>
      <c r="O26" s="37">
        <v>708</v>
      </c>
      <c r="P26" s="37">
        <v>279</v>
      </c>
      <c r="Q26" s="37">
        <v>2654</v>
      </c>
      <c r="R26" s="37">
        <v>2433</v>
      </c>
      <c r="S26" s="37">
        <v>7582</v>
      </c>
      <c r="T26" s="37">
        <v>6062</v>
      </c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</row>
    <row r="27" spans="1:39" ht="15.6" customHeight="1">
      <c r="A27" s="52" t="s">
        <v>144</v>
      </c>
      <c r="B27" s="53" t="s">
        <v>67</v>
      </c>
      <c r="C27" s="37">
        <v>563</v>
      </c>
      <c r="D27" s="37">
        <v>261</v>
      </c>
      <c r="E27" s="37">
        <v>302</v>
      </c>
      <c r="F27" s="37">
        <v>38</v>
      </c>
      <c r="G27" s="37">
        <v>71</v>
      </c>
      <c r="H27" s="37">
        <v>34</v>
      </c>
      <c r="I27" s="37">
        <v>42</v>
      </c>
      <c r="J27" s="37">
        <v>189</v>
      </c>
      <c r="K27" s="37">
        <v>189</v>
      </c>
      <c r="L27" s="37">
        <v>5043</v>
      </c>
      <c r="M27" s="37">
        <v>2629</v>
      </c>
      <c r="N27" s="37">
        <v>2414</v>
      </c>
      <c r="O27" s="37">
        <v>343</v>
      </c>
      <c r="P27" s="37">
        <v>535</v>
      </c>
      <c r="Q27" s="37">
        <v>366</v>
      </c>
      <c r="R27" s="37">
        <v>383</v>
      </c>
      <c r="S27" s="37">
        <v>1920</v>
      </c>
      <c r="T27" s="37">
        <v>1496</v>
      </c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</row>
    <row r="28" spans="1:39" ht="15.6" customHeight="1">
      <c r="A28" s="52" t="s">
        <v>145</v>
      </c>
      <c r="B28" s="53" t="s">
        <v>69</v>
      </c>
      <c r="C28" s="37" t="s">
        <v>105</v>
      </c>
      <c r="D28" s="37" t="s">
        <v>105</v>
      </c>
      <c r="E28" s="37" t="s">
        <v>105</v>
      </c>
      <c r="F28" s="37" t="s">
        <v>105</v>
      </c>
      <c r="G28" s="37" t="s">
        <v>105</v>
      </c>
      <c r="H28" s="37" t="s">
        <v>105</v>
      </c>
      <c r="I28" s="37" t="s">
        <v>105</v>
      </c>
      <c r="J28" s="37" t="s">
        <v>105</v>
      </c>
      <c r="K28" s="37" t="s">
        <v>105</v>
      </c>
      <c r="L28" s="37" t="s">
        <v>105</v>
      </c>
      <c r="M28" s="37" t="s">
        <v>105</v>
      </c>
      <c r="N28" s="37" t="s">
        <v>105</v>
      </c>
      <c r="O28" s="37" t="s">
        <v>105</v>
      </c>
      <c r="P28" s="37" t="s">
        <v>105</v>
      </c>
      <c r="Q28" s="37" t="s">
        <v>105</v>
      </c>
      <c r="R28" s="37" t="s">
        <v>105</v>
      </c>
      <c r="S28" s="37" t="s">
        <v>105</v>
      </c>
      <c r="T28" s="37" t="s">
        <v>105</v>
      </c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</row>
    <row r="29" spans="1:39" ht="15.6" customHeight="1">
      <c r="A29" s="54" t="s">
        <v>146</v>
      </c>
      <c r="B29" s="55" t="s">
        <v>71</v>
      </c>
      <c r="C29" s="40" t="s">
        <v>105</v>
      </c>
      <c r="D29" s="40" t="s">
        <v>105</v>
      </c>
      <c r="E29" s="40" t="s">
        <v>105</v>
      </c>
      <c r="F29" s="40" t="s">
        <v>105</v>
      </c>
      <c r="G29" s="40" t="s">
        <v>105</v>
      </c>
      <c r="H29" s="40" t="s">
        <v>105</v>
      </c>
      <c r="I29" s="40" t="s">
        <v>105</v>
      </c>
      <c r="J29" s="40" t="s">
        <v>105</v>
      </c>
      <c r="K29" s="40" t="s">
        <v>105</v>
      </c>
      <c r="L29" s="40">
        <v>171</v>
      </c>
      <c r="M29" s="40">
        <v>118</v>
      </c>
      <c r="N29" s="40">
        <v>53</v>
      </c>
      <c r="O29" s="40" t="s">
        <v>105</v>
      </c>
      <c r="P29" s="40" t="s">
        <v>105</v>
      </c>
      <c r="Q29" s="40" t="s">
        <v>105</v>
      </c>
      <c r="R29" s="40" t="s">
        <v>105</v>
      </c>
      <c r="S29" s="40">
        <v>118</v>
      </c>
      <c r="T29" s="40">
        <v>53</v>
      </c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</row>
    <row r="30" spans="1:39" ht="16.5">
      <c r="A30" s="8" t="s">
        <v>72</v>
      </c>
      <c r="B30" s="19"/>
    </row>
    <row r="31" spans="1:39">
      <c r="A31" s="2" t="s">
        <v>74</v>
      </c>
    </row>
  </sheetData>
  <mergeCells count="28">
    <mergeCell ref="H5:H6"/>
    <mergeCell ref="A2:C2"/>
    <mergeCell ref="A3:B6"/>
    <mergeCell ref="C3:K3"/>
    <mergeCell ref="L3:T3"/>
    <mergeCell ref="F4:G4"/>
    <mergeCell ref="H4:I4"/>
    <mergeCell ref="J4:K4"/>
    <mergeCell ref="O4:P4"/>
    <mergeCell ref="Q4:R4"/>
    <mergeCell ref="S4:T4"/>
    <mergeCell ref="C5:C6"/>
    <mergeCell ref="D5:D6"/>
    <mergeCell ref="E5:E6"/>
    <mergeCell ref="F5:F6"/>
    <mergeCell ref="G5:G6"/>
    <mergeCell ref="T5:T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31"/>
  <sheetViews>
    <sheetView zoomScaleNormal="100" zoomScaleSheetLayoutView="75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9.375" defaultRowHeight="12.75"/>
  <cols>
    <col min="1" max="1" width="8" style="2" customWidth="1"/>
    <col min="2" max="2" width="15.625" style="2" customWidth="1"/>
    <col min="3" max="20" width="8.5" style="2" customWidth="1"/>
    <col min="21" max="16384" width="9.375" style="2"/>
  </cols>
  <sheetData>
    <row r="1" spans="1:57" ht="21">
      <c r="A1" s="1" t="s">
        <v>1</v>
      </c>
      <c r="B1" s="22"/>
    </row>
    <row r="2" spans="1:57" ht="26.25" customHeight="1">
      <c r="A2" s="11" t="s">
        <v>148</v>
      </c>
      <c r="B2" s="56"/>
    </row>
    <row r="3" spans="1:57" ht="16.5" customHeight="1">
      <c r="A3" s="179" t="s">
        <v>22</v>
      </c>
      <c r="B3" s="185"/>
      <c r="C3" s="190" t="s">
        <v>78</v>
      </c>
      <c r="D3" s="151"/>
      <c r="E3" s="151"/>
      <c r="F3" s="151"/>
      <c r="G3" s="151"/>
      <c r="H3" s="151"/>
      <c r="I3" s="151"/>
      <c r="J3" s="151"/>
      <c r="K3" s="191"/>
      <c r="L3" s="190" t="s">
        <v>79</v>
      </c>
      <c r="M3" s="151"/>
      <c r="N3" s="151"/>
      <c r="O3" s="151"/>
      <c r="P3" s="151"/>
      <c r="Q3" s="151"/>
      <c r="R3" s="151"/>
      <c r="S3" s="151"/>
      <c r="T3" s="151"/>
    </row>
    <row r="4" spans="1:57" s="25" customFormat="1" ht="29.25" customHeight="1">
      <c r="A4" s="186"/>
      <c r="B4" s="187"/>
      <c r="C4" s="3" t="s">
        <v>2</v>
      </c>
      <c r="D4" s="41"/>
      <c r="E4" s="5"/>
      <c r="F4" s="192" t="s">
        <v>107</v>
      </c>
      <c r="G4" s="193"/>
      <c r="H4" s="192" t="s">
        <v>108</v>
      </c>
      <c r="I4" s="193"/>
      <c r="J4" s="192" t="s">
        <v>116</v>
      </c>
      <c r="K4" s="191"/>
      <c r="L4" s="3" t="s">
        <v>2</v>
      </c>
      <c r="M4" s="42"/>
      <c r="N4" s="5"/>
      <c r="O4" s="192" t="s">
        <v>107</v>
      </c>
      <c r="P4" s="193"/>
      <c r="Q4" s="192" t="s">
        <v>108</v>
      </c>
      <c r="R4" s="193"/>
      <c r="S4" s="192" t="s">
        <v>116</v>
      </c>
      <c r="T4" s="151"/>
    </row>
    <row r="5" spans="1:57" s="7" customFormat="1" ht="16.5" customHeight="1">
      <c r="A5" s="186"/>
      <c r="B5" s="187"/>
      <c r="C5" s="196" t="s">
        <v>117</v>
      </c>
      <c r="D5" s="196" t="s">
        <v>118</v>
      </c>
      <c r="E5" s="196" t="s">
        <v>119</v>
      </c>
      <c r="F5" s="196" t="s">
        <v>118</v>
      </c>
      <c r="G5" s="196" t="s">
        <v>119</v>
      </c>
      <c r="H5" s="196" t="s">
        <v>118</v>
      </c>
      <c r="I5" s="196" t="s">
        <v>119</v>
      </c>
      <c r="J5" s="196" t="s">
        <v>118</v>
      </c>
      <c r="K5" s="196" t="s">
        <v>119</v>
      </c>
      <c r="L5" s="196" t="s">
        <v>117</v>
      </c>
      <c r="M5" s="196" t="s">
        <v>118</v>
      </c>
      <c r="N5" s="196" t="s">
        <v>119</v>
      </c>
      <c r="O5" s="196" t="s">
        <v>118</v>
      </c>
      <c r="P5" s="196" t="s">
        <v>119</v>
      </c>
      <c r="Q5" s="196" t="s">
        <v>118</v>
      </c>
      <c r="R5" s="196" t="s">
        <v>119</v>
      </c>
      <c r="S5" s="196" t="s">
        <v>118</v>
      </c>
      <c r="T5" s="194" t="s">
        <v>119</v>
      </c>
    </row>
    <row r="6" spans="1:57">
      <c r="A6" s="188"/>
      <c r="B6" s="189"/>
      <c r="C6" s="197"/>
      <c r="D6" s="197"/>
      <c r="E6" s="197"/>
      <c r="F6" s="197"/>
      <c r="G6" s="197"/>
      <c r="H6" s="197"/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5"/>
    </row>
    <row r="7" spans="1:57" s="17" customFormat="1" ht="15.6" customHeight="1">
      <c r="A7" s="47" t="s">
        <v>80</v>
      </c>
      <c r="B7" s="48" t="s">
        <v>81</v>
      </c>
      <c r="C7" s="33">
        <v>23638</v>
      </c>
      <c r="D7" s="33">
        <v>12380</v>
      </c>
      <c r="E7" s="33">
        <v>11258</v>
      </c>
      <c r="F7" s="33">
        <v>1557</v>
      </c>
      <c r="G7" s="33">
        <v>1310</v>
      </c>
      <c r="H7" s="33">
        <v>1979</v>
      </c>
      <c r="I7" s="33">
        <v>1486</v>
      </c>
      <c r="J7" s="33">
        <v>8844</v>
      </c>
      <c r="K7" s="33">
        <v>8462</v>
      </c>
      <c r="L7" s="33">
        <v>238963</v>
      </c>
      <c r="M7" s="33">
        <v>128839</v>
      </c>
      <c r="N7" s="33">
        <v>110124</v>
      </c>
      <c r="O7" s="33">
        <v>14221</v>
      </c>
      <c r="P7" s="33">
        <v>11826</v>
      </c>
      <c r="Q7" s="33">
        <v>19681</v>
      </c>
      <c r="R7" s="33">
        <v>12756</v>
      </c>
      <c r="S7" s="33">
        <v>94937</v>
      </c>
      <c r="T7" s="33">
        <v>85542</v>
      </c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</row>
    <row r="8" spans="1:57" s="17" customFormat="1" ht="15.6" customHeight="1">
      <c r="A8" s="50" t="s">
        <v>124</v>
      </c>
      <c r="B8" s="51" t="s">
        <v>29</v>
      </c>
      <c r="C8" s="33">
        <v>2740</v>
      </c>
      <c r="D8" s="33">
        <v>1405</v>
      </c>
      <c r="E8" s="33">
        <v>1335</v>
      </c>
      <c r="F8" s="33">
        <v>10</v>
      </c>
      <c r="G8" s="33">
        <v>41</v>
      </c>
      <c r="H8" s="33">
        <v>8</v>
      </c>
      <c r="I8" s="33">
        <v>29</v>
      </c>
      <c r="J8" s="33">
        <v>1387</v>
      </c>
      <c r="K8" s="33">
        <v>1265</v>
      </c>
      <c r="L8" s="33">
        <v>40119</v>
      </c>
      <c r="M8" s="33">
        <v>19798</v>
      </c>
      <c r="N8" s="33">
        <v>20321</v>
      </c>
      <c r="O8" s="33">
        <v>79</v>
      </c>
      <c r="P8" s="33">
        <v>677</v>
      </c>
      <c r="Q8" s="33">
        <v>89</v>
      </c>
      <c r="R8" s="33">
        <v>298</v>
      </c>
      <c r="S8" s="33">
        <v>19630</v>
      </c>
      <c r="T8" s="33">
        <v>19346</v>
      </c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</row>
    <row r="9" spans="1:57" s="17" customFormat="1" ht="15.6" customHeight="1">
      <c r="A9" s="50" t="s">
        <v>125</v>
      </c>
      <c r="B9" s="51" t="s">
        <v>31</v>
      </c>
      <c r="C9" s="33">
        <v>4336</v>
      </c>
      <c r="D9" s="33">
        <v>1886</v>
      </c>
      <c r="E9" s="33">
        <v>2450</v>
      </c>
      <c r="F9" s="33">
        <v>197</v>
      </c>
      <c r="G9" s="33">
        <v>118</v>
      </c>
      <c r="H9" s="33">
        <v>161</v>
      </c>
      <c r="I9" s="33">
        <v>279</v>
      </c>
      <c r="J9" s="33">
        <v>1528</v>
      </c>
      <c r="K9" s="33">
        <v>2053</v>
      </c>
      <c r="L9" s="33">
        <v>37815</v>
      </c>
      <c r="M9" s="33">
        <v>17347</v>
      </c>
      <c r="N9" s="33">
        <v>20468</v>
      </c>
      <c r="O9" s="33">
        <v>1886</v>
      </c>
      <c r="P9" s="33">
        <v>1250</v>
      </c>
      <c r="Q9" s="33">
        <v>1371</v>
      </c>
      <c r="R9" s="33">
        <v>2305</v>
      </c>
      <c r="S9" s="33">
        <v>14090</v>
      </c>
      <c r="T9" s="33">
        <v>16913</v>
      </c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</row>
    <row r="10" spans="1:57" s="17" customFormat="1" ht="15.6" customHeight="1">
      <c r="A10" s="50" t="s">
        <v>126</v>
      </c>
      <c r="B10" s="51" t="s">
        <v>35</v>
      </c>
      <c r="C10" s="33">
        <v>1371</v>
      </c>
      <c r="D10" s="33">
        <v>737</v>
      </c>
      <c r="E10" s="33">
        <v>634</v>
      </c>
      <c r="F10" s="33">
        <v>225</v>
      </c>
      <c r="G10" s="33">
        <v>105</v>
      </c>
      <c r="H10" s="33">
        <v>91</v>
      </c>
      <c r="I10" s="33">
        <v>85</v>
      </c>
      <c r="J10" s="33">
        <v>421</v>
      </c>
      <c r="K10" s="33">
        <v>444</v>
      </c>
      <c r="L10" s="33">
        <v>11525</v>
      </c>
      <c r="M10" s="33">
        <v>6227</v>
      </c>
      <c r="N10" s="33">
        <v>5298</v>
      </c>
      <c r="O10" s="33">
        <v>2007</v>
      </c>
      <c r="P10" s="33">
        <v>934</v>
      </c>
      <c r="Q10" s="33">
        <v>808</v>
      </c>
      <c r="R10" s="33">
        <v>741</v>
      </c>
      <c r="S10" s="33">
        <v>3412</v>
      </c>
      <c r="T10" s="33">
        <v>3623</v>
      </c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</row>
    <row r="11" spans="1:57" s="17" customFormat="1" ht="15.6" customHeight="1">
      <c r="A11" s="50" t="s">
        <v>127</v>
      </c>
      <c r="B11" s="51" t="s">
        <v>37</v>
      </c>
      <c r="C11" s="33">
        <v>1297</v>
      </c>
      <c r="D11" s="33">
        <v>714</v>
      </c>
      <c r="E11" s="33">
        <v>583</v>
      </c>
      <c r="F11" s="33">
        <v>34</v>
      </c>
      <c r="G11" s="33">
        <v>93</v>
      </c>
      <c r="H11" s="33">
        <v>172</v>
      </c>
      <c r="I11" s="33">
        <v>67</v>
      </c>
      <c r="J11" s="33">
        <v>508</v>
      </c>
      <c r="K11" s="33">
        <v>423</v>
      </c>
      <c r="L11" s="33">
        <v>15508</v>
      </c>
      <c r="M11" s="33">
        <v>8870</v>
      </c>
      <c r="N11" s="33">
        <v>6638</v>
      </c>
      <c r="O11" s="33">
        <v>320</v>
      </c>
      <c r="P11" s="33">
        <v>1005</v>
      </c>
      <c r="Q11" s="33">
        <v>2231</v>
      </c>
      <c r="R11" s="33">
        <v>665</v>
      </c>
      <c r="S11" s="33">
        <v>6319</v>
      </c>
      <c r="T11" s="33">
        <v>4968</v>
      </c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</row>
    <row r="12" spans="1:57" s="17" customFormat="1" ht="15.6" customHeight="1">
      <c r="A12" s="50" t="s">
        <v>128</v>
      </c>
      <c r="B12" s="51" t="s">
        <v>39</v>
      </c>
      <c r="C12" s="33">
        <v>2252</v>
      </c>
      <c r="D12" s="33">
        <v>1245</v>
      </c>
      <c r="E12" s="33">
        <v>1007</v>
      </c>
      <c r="F12" s="33">
        <v>191</v>
      </c>
      <c r="G12" s="33">
        <v>194</v>
      </c>
      <c r="H12" s="33">
        <v>241</v>
      </c>
      <c r="I12" s="33">
        <v>118</v>
      </c>
      <c r="J12" s="33">
        <v>813</v>
      </c>
      <c r="K12" s="33">
        <v>695</v>
      </c>
      <c r="L12" s="33">
        <v>19109</v>
      </c>
      <c r="M12" s="33">
        <v>10808</v>
      </c>
      <c r="N12" s="33">
        <v>8301</v>
      </c>
      <c r="O12" s="33">
        <v>1605</v>
      </c>
      <c r="P12" s="33">
        <v>1460</v>
      </c>
      <c r="Q12" s="33">
        <v>2093</v>
      </c>
      <c r="R12" s="33">
        <v>1187</v>
      </c>
      <c r="S12" s="33">
        <v>7110</v>
      </c>
      <c r="T12" s="33">
        <v>5654</v>
      </c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</row>
    <row r="13" spans="1:57" ht="15.6" customHeight="1">
      <c r="A13" s="52" t="s">
        <v>129</v>
      </c>
      <c r="B13" s="53" t="s">
        <v>41</v>
      </c>
      <c r="C13" s="37">
        <v>132</v>
      </c>
      <c r="D13" s="37">
        <v>71</v>
      </c>
      <c r="E13" s="37">
        <v>61</v>
      </c>
      <c r="F13" s="37">
        <v>9</v>
      </c>
      <c r="G13" s="37">
        <v>8</v>
      </c>
      <c r="H13" s="37">
        <v>8</v>
      </c>
      <c r="I13" s="37">
        <v>5</v>
      </c>
      <c r="J13" s="37">
        <v>54</v>
      </c>
      <c r="K13" s="37">
        <v>48</v>
      </c>
      <c r="L13" s="37">
        <v>6655</v>
      </c>
      <c r="M13" s="37">
        <v>3898</v>
      </c>
      <c r="N13" s="37">
        <v>2757</v>
      </c>
      <c r="O13" s="37">
        <v>378</v>
      </c>
      <c r="P13" s="37">
        <v>238</v>
      </c>
      <c r="Q13" s="37">
        <v>521</v>
      </c>
      <c r="R13" s="37">
        <v>173</v>
      </c>
      <c r="S13" s="37">
        <v>2999</v>
      </c>
      <c r="T13" s="37">
        <v>2346</v>
      </c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</row>
    <row r="14" spans="1:57" ht="15.6" customHeight="1">
      <c r="A14" s="52" t="s">
        <v>130</v>
      </c>
      <c r="B14" s="53" t="s">
        <v>131</v>
      </c>
      <c r="C14" s="37">
        <v>974</v>
      </c>
      <c r="D14" s="37">
        <v>588</v>
      </c>
      <c r="E14" s="37">
        <v>386</v>
      </c>
      <c r="F14" s="37">
        <v>146</v>
      </c>
      <c r="G14" s="37">
        <v>126</v>
      </c>
      <c r="H14" s="37">
        <v>71</v>
      </c>
      <c r="I14" s="37">
        <v>23</v>
      </c>
      <c r="J14" s="37">
        <v>371</v>
      </c>
      <c r="K14" s="37">
        <v>237</v>
      </c>
      <c r="L14" s="37">
        <v>11273</v>
      </c>
      <c r="M14" s="37">
        <v>6893</v>
      </c>
      <c r="N14" s="37">
        <v>4380</v>
      </c>
      <c r="O14" s="37">
        <v>1297</v>
      </c>
      <c r="P14" s="37">
        <v>1260</v>
      </c>
      <c r="Q14" s="37">
        <v>755</v>
      </c>
      <c r="R14" s="37">
        <v>251</v>
      </c>
      <c r="S14" s="37">
        <v>4841</v>
      </c>
      <c r="T14" s="37">
        <v>2869</v>
      </c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</row>
    <row r="15" spans="1:57" ht="15.6" customHeight="1">
      <c r="A15" s="52" t="s">
        <v>132</v>
      </c>
      <c r="B15" s="53" t="s">
        <v>43</v>
      </c>
      <c r="C15" s="37">
        <v>359</v>
      </c>
      <c r="D15" s="37">
        <v>212</v>
      </c>
      <c r="E15" s="37">
        <v>147</v>
      </c>
      <c r="F15" s="37">
        <v>47</v>
      </c>
      <c r="G15" s="37">
        <v>28</v>
      </c>
      <c r="H15" s="37">
        <v>5</v>
      </c>
      <c r="I15" s="37">
        <v>1</v>
      </c>
      <c r="J15" s="37">
        <v>160</v>
      </c>
      <c r="K15" s="37">
        <v>118</v>
      </c>
      <c r="L15" s="37">
        <v>3086</v>
      </c>
      <c r="M15" s="37">
        <v>1926</v>
      </c>
      <c r="N15" s="37">
        <v>1160</v>
      </c>
      <c r="O15" s="37">
        <v>421</v>
      </c>
      <c r="P15" s="37">
        <v>151</v>
      </c>
      <c r="Q15" s="37">
        <v>28</v>
      </c>
      <c r="R15" s="37">
        <v>22</v>
      </c>
      <c r="S15" s="37">
        <v>1477</v>
      </c>
      <c r="T15" s="37">
        <v>987</v>
      </c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</row>
    <row r="16" spans="1:57" ht="15.6" customHeight="1">
      <c r="A16" s="52" t="s">
        <v>133</v>
      </c>
      <c r="B16" s="53" t="s">
        <v>45</v>
      </c>
      <c r="C16" s="37">
        <v>1766</v>
      </c>
      <c r="D16" s="37">
        <v>851</v>
      </c>
      <c r="E16" s="37">
        <v>915</v>
      </c>
      <c r="F16" s="37">
        <v>90</v>
      </c>
      <c r="G16" s="37">
        <v>123</v>
      </c>
      <c r="H16" s="37">
        <v>158</v>
      </c>
      <c r="I16" s="37">
        <v>98</v>
      </c>
      <c r="J16" s="37">
        <v>603</v>
      </c>
      <c r="K16" s="37">
        <v>694</v>
      </c>
      <c r="L16" s="37">
        <v>14998</v>
      </c>
      <c r="M16" s="37">
        <v>7496</v>
      </c>
      <c r="N16" s="37">
        <v>7502</v>
      </c>
      <c r="O16" s="37">
        <v>920</v>
      </c>
      <c r="P16" s="37">
        <v>1100</v>
      </c>
      <c r="Q16" s="37">
        <v>1362</v>
      </c>
      <c r="R16" s="37">
        <v>970</v>
      </c>
      <c r="S16" s="37">
        <v>5214</v>
      </c>
      <c r="T16" s="37">
        <v>5432</v>
      </c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</row>
    <row r="17" spans="1:39" ht="15.6" customHeight="1">
      <c r="A17" s="52" t="s">
        <v>134</v>
      </c>
      <c r="B17" s="53" t="s">
        <v>47</v>
      </c>
      <c r="C17" s="37">
        <v>802</v>
      </c>
      <c r="D17" s="37">
        <v>420</v>
      </c>
      <c r="E17" s="37">
        <v>382</v>
      </c>
      <c r="F17" s="37">
        <v>37</v>
      </c>
      <c r="G17" s="37">
        <v>52</v>
      </c>
      <c r="H17" s="37">
        <v>97</v>
      </c>
      <c r="I17" s="37">
        <v>87</v>
      </c>
      <c r="J17" s="37">
        <v>286</v>
      </c>
      <c r="K17" s="37">
        <v>243</v>
      </c>
      <c r="L17" s="37">
        <v>6779</v>
      </c>
      <c r="M17" s="37">
        <v>3853</v>
      </c>
      <c r="N17" s="37">
        <v>2926</v>
      </c>
      <c r="O17" s="37">
        <v>286</v>
      </c>
      <c r="P17" s="37">
        <v>476</v>
      </c>
      <c r="Q17" s="37">
        <v>1006</v>
      </c>
      <c r="R17" s="37">
        <v>641</v>
      </c>
      <c r="S17" s="37">
        <v>2561</v>
      </c>
      <c r="T17" s="37">
        <v>1809</v>
      </c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</row>
    <row r="18" spans="1:39" ht="15.6" customHeight="1">
      <c r="A18" s="52" t="s">
        <v>135</v>
      </c>
      <c r="B18" s="53" t="s">
        <v>49</v>
      </c>
      <c r="C18" s="37">
        <v>1094</v>
      </c>
      <c r="D18" s="37">
        <v>661</v>
      </c>
      <c r="E18" s="37">
        <v>433</v>
      </c>
      <c r="F18" s="37">
        <v>80</v>
      </c>
      <c r="G18" s="37">
        <v>19</v>
      </c>
      <c r="H18" s="37">
        <v>211</v>
      </c>
      <c r="I18" s="37">
        <v>127</v>
      </c>
      <c r="J18" s="37">
        <v>370</v>
      </c>
      <c r="K18" s="37">
        <v>287</v>
      </c>
      <c r="L18" s="37">
        <v>11686</v>
      </c>
      <c r="M18" s="37">
        <v>7157</v>
      </c>
      <c r="N18" s="37">
        <v>4529</v>
      </c>
      <c r="O18" s="37">
        <v>764</v>
      </c>
      <c r="P18" s="37">
        <v>208</v>
      </c>
      <c r="Q18" s="37">
        <v>2370</v>
      </c>
      <c r="R18" s="37">
        <v>1311</v>
      </c>
      <c r="S18" s="37">
        <v>4023</v>
      </c>
      <c r="T18" s="37">
        <v>3010</v>
      </c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</row>
    <row r="19" spans="1:39" ht="15.6" customHeight="1">
      <c r="A19" s="52" t="s">
        <v>136</v>
      </c>
      <c r="B19" s="53" t="s">
        <v>51</v>
      </c>
      <c r="C19" s="37">
        <v>697</v>
      </c>
      <c r="D19" s="37">
        <v>401</v>
      </c>
      <c r="E19" s="37">
        <v>296</v>
      </c>
      <c r="F19" s="37">
        <v>15</v>
      </c>
      <c r="G19" s="37">
        <v>6</v>
      </c>
      <c r="H19" s="37">
        <v>31</v>
      </c>
      <c r="I19" s="37">
        <v>27</v>
      </c>
      <c r="J19" s="37">
        <v>355</v>
      </c>
      <c r="K19" s="37">
        <v>263</v>
      </c>
      <c r="L19" s="37">
        <v>7238</v>
      </c>
      <c r="M19" s="37">
        <v>4285</v>
      </c>
      <c r="N19" s="37">
        <v>2953</v>
      </c>
      <c r="O19" s="37">
        <v>161</v>
      </c>
      <c r="P19" s="37">
        <v>32</v>
      </c>
      <c r="Q19" s="37">
        <v>352</v>
      </c>
      <c r="R19" s="37">
        <v>219</v>
      </c>
      <c r="S19" s="37">
        <v>3772</v>
      </c>
      <c r="T19" s="37">
        <v>2702</v>
      </c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</row>
    <row r="20" spans="1:39" ht="15.6" customHeight="1">
      <c r="A20" s="52" t="s">
        <v>137</v>
      </c>
      <c r="B20" s="53" t="s">
        <v>53</v>
      </c>
      <c r="C20" s="37">
        <v>872</v>
      </c>
      <c r="D20" s="37">
        <v>441</v>
      </c>
      <c r="E20" s="37">
        <v>431</v>
      </c>
      <c r="F20" s="37">
        <v>173</v>
      </c>
      <c r="G20" s="37">
        <v>144</v>
      </c>
      <c r="H20" s="37">
        <v>85</v>
      </c>
      <c r="I20" s="37">
        <v>81</v>
      </c>
      <c r="J20" s="37">
        <v>183</v>
      </c>
      <c r="K20" s="37">
        <v>206</v>
      </c>
      <c r="L20" s="37">
        <v>6649</v>
      </c>
      <c r="M20" s="37">
        <v>3844</v>
      </c>
      <c r="N20" s="37">
        <v>2805</v>
      </c>
      <c r="O20" s="37">
        <v>1445</v>
      </c>
      <c r="P20" s="37">
        <v>818</v>
      </c>
      <c r="Q20" s="37">
        <v>900</v>
      </c>
      <c r="R20" s="37">
        <v>587</v>
      </c>
      <c r="S20" s="37">
        <v>1499</v>
      </c>
      <c r="T20" s="37">
        <v>1400</v>
      </c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</row>
    <row r="21" spans="1:39" ht="15.6" customHeight="1">
      <c r="A21" s="52" t="s">
        <v>138</v>
      </c>
      <c r="B21" s="53" t="s">
        <v>55</v>
      </c>
      <c r="C21" s="37">
        <v>818</v>
      </c>
      <c r="D21" s="37">
        <v>365</v>
      </c>
      <c r="E21" s="37">
        <v>453</v>
      </c>
      <c r="F21" s="37">
        <v>81</v>
      </c>
      <c r="G21" s="37">
        <v>131</v>
      </c>
      <c r="H21" s="37">
        <v>78</v>
      </c>
      <c r="I21" s="37">
        <v>46</v>
      </c>
      <c r="J21" s="37">
        <v>206</v>
      </c>
      <c r="K21" s="37">
        <v>276</v>
      </c>
      <c r="L21" s="37">
        <v>7048</v>
      </c>
      <c r="M21" s="37">
        <v>3380</v>
      </c>
      <c r="N21" s="37">
        <v>3668</v>
      </c>
      <c r="O21" s="37">
        <v>683</v>
      </c>
      <c r="P21" s="37">
        <v>875</v>
      </c>
      <c r="Q21" s="37">
        <v>1036</v>
      </c>
      <c r="R21" s="37">
        <v>452</v>
      </c>
      <c r="S21" s="37">
        <v>1661</v>
      </c>
      <c r="T21" s="37">
        <v>2341</v>
      </c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</row>
    <row r="22" spans="1:39" ht="15.6" customHeight="1">
      <c r="A22" s="52" t="s">
        <v>139</v>
      </c>
      <c r="B22" s="53" t="s">
        <v>57</v>
      </c>
      <c r="C22" s="37">
        <v>426</v>
      </c>
      <c r="D22" s="37">
        <v>265</v>
      </c>
      <c r="E22" s="37">
        <v>161</v>
      </c>
      <c r="F22" s="37">
        <v>42</v>
      </c>
      <c r="G22" s="37">
        <v>41</v>
      </c>
      <c r="H22" s="37">
        <v>69</v>
      </c>
      <c r="I22" s="37">
        <v>14</v>
      </c>
      <c r="J22" s="37">
        <v>154</v>
      </c>
      <c r="K22" s="37">
        <v>106</v>
      </c>
      <c r="L22" s="37">
        <v>4599</v>
      </c>
      <c r="M22" s="37">
        <v>2815</v>
      </c>
      <c r="N22" s="37">
        <v>1784</v>
      </c>
      <c r="O22" s="37">
        <v>184</v>
      </c>
      <c r="P22" s="37">
        <v>558</v>
      </c>
      <c r="Q22" s="37">
        <v>558</v>
      </c>
      <c r="R22" s="37">
        <v>105</v>
      </c>
      <c r="S22" s="37">
        <v>2073</v>
      </c>
      <c r="T22" s="37">
        <v>1121</v>
      </c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</row>
    <row r="23" spans="1:39" ht="15.6" customHeight="1">
      <c r="A23" s="52" t="s">
        <v>140</v>
      </c>
      <c r="B23" s="53" t="s">
        <v>59</v>
      </c>
      <c r="C23" s="37">
        <v>1421</v>
      </c>
      <c r="D23" s="37">
        <v>856</v>
      </c>
      <c r="E23" s="37">
        <v>565</v>
      </c>
      <c r="F23" s="37">
        <v>87</v>
      </c>
      <c r="G23" s="37">
        <v>22</v>
      </c>
      <c r="H23" s="37">
        <v>163</v>
      </c>
      <c r="I23" s="37">
        <v>70</v>
      </c>
      <c r="J23" s="37">
        <v>606</v>
      </c>
      <c r="K23" s="37">
        <v>473</v>
      </c>
      <c r="L23" s="37">
        <v>12250</v>
      </c>
      <c r="M23" s="37">
        <v>7190</v>
      </c>
      <c r="N23" s="37">
        <v>5060</v>
      </c>
      <c r="O23" s="37">
        <v>577</v>
      </c>
      <c r="P23" s="37">
        <v>137</v>
      </c>
      <c r="Q23" s="37">
        <v>1193</v>
      </c>
      <c r="R23" s="37">
        <v>613</v>
      </c>
      <c r="S23" s="37">
        <v>5420</v>
      </c>
      <c r="T23" s="37">
        <v>4310</v>
      </c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</row>
    <row r="24" spans="1:39" ht="15.6" customHeight="1">
      <c r="A24" s="52" t="s">
        <v>141</v>
      </c>
      <c r="B24" s="53" t="s">
        <v>61</v>
      </c>
      <c r="C24" s="37">
        <v>108</v>
      </c>
      <c r="D24" s="37">
        <v>57</v>
      </c>
      <c r="E24" s="37">
        <v>51</v>
      </c>
      <c r="F24" s="37">
        <v>1</v>
      </c>
      <c r="G24" s="37" t="s">
        <v>105</v>
      </c>
      <c r="H24" s="37" t="s">
        <v>105</v>
      </c>
      <c r="I24" s="37">
        <v>3</v>
      </c>
      <c r="J24" s="37">
        <v>56</v>
      </c>
      <c r="K24" s="37">
        <v>48</v>
      </c>
      <c r="L24" s="37">
        <v>1028</v>
      </c>
      <c r="M24" s="37">
        <v>554</v>
      </c>
      <c r="N24" s="37">
        <v>474</v>
      </c>
      <c r="O24" s="37">
        <v>12</v>
      </c>
      <c r="P24" s="37" t="s">
        <v>105</v>
      </c>
      <c r="Q24" s="37" t="s">
        <v>105</v>
      </c>
      <c r="R24" s="37">
        <v>19</v>
      </c>
      <c r="S24" s="37">
        <v>542</v>
      </c>
      <c r="T24" s="37">
        <v>455</v>
      </c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</row>
    <row r="25" spans="1:39" ht="15.6" customHeight="1">
      <c r="A25" s="52" t="s">
        <v>142</v>
      </c>
      <c r="B25" s="53" t="s">
        <v>63</v>
      </c>
      <c r="C25" s="37">
        <v>290</v>
      </c>
      <c r="D25" s="37">
        <v>171</v>
      </c>
      <c r="E25" s="37">
        <v>119</v>
      </c>
      <c r="F25" s="37">
        <v>42</v>
      </c>
      <c r="G25" s="37">
        <v>14</v>
      </c>
      <c r="H25" s="37">
        <v>15</v>
      </c>
      <c r="I25" s="37">
        <v>16</v>
      </c>
      <c r="J25" s="37">
        <v>114</v>
      </c>
      <c r="K25" s="37">
        <v>89</v>
      </c>
      <c r="L25" s="37">
        <v>3322</v>
      </c>
      <c r="M25" s="37">
        <v>2014</v>
      </c>
      <c r="N25" s="37">
        <v>1308</v>
      </c>
      <c r="O25" s="37">
        <v>543</v>
      </c>
      <c r="P25" s="37">
        <v>140</v>
      </c>
      <c r="Q25" s="37">
        <v>232</v>
      </c>
      <c r="R25" s="37">
        <v>175</v>
      </c>
      <c r="S25" s="37">
        <v>1239</v>
      </c>
      <c r="T25" s="37">
        <v>993</v>
      </c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</row>
    <row r="26" spans="1:39" ht="15.6" customHeight="1">
      <c r="A26" s="52" t="s">
        <v>143</v>
      </c>
      <c r="B26" s="53" t="s">
        <v>65</v>
      </c>
      <c r="C26" s="37">
        <v>1457</v>
      </c>
      <c r="D26" s="37">
        <v>806</v>
      </c>
      <c r="E26" s="37">
        <v>651</v>
      </c>
      <c r="F26" s="37">
        <v>17</v>
      </c>
      <c r="G26" s="37">
        <v>4</v>
      </c>
      <c r="H26" s="37">
        <v>278</v>
      </c>
      <c r="I26" s="37">
        <v>281</v>
      </c>
      <c r="J26" s="37">
        <v>511</v>
      </c>
      <c r="K26" s="37">
        <v>366</v>
      </c>
      <c r="L26" s="37">
        <v>11743</v>
      </c>
      <c r="M26" s="37">
        <v>7029</v>
      </c>
      <c r="N26" s="37">
        <v>4714</v>
      </c>
      <c r="O26" s="37">
        <v>343</v>
      </c>
      <c r="P26" s="37">
        <v>190</v>
      </c>
      <c r="Q26" s="37">
        <v>2342</v>
      </c>
      <c r="R26" s="37">
        <v>1746</v>
      </c>
      <c r="S26" s="37">
        <v>4344</v>
      </c>
      <c r="T26" s="37">
        <v>2778</v>
      </c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</row>
    <row r="27" spans="1:39" ht="15.6" customHeight="1">
      <c r="A27" s="52" t="s">
        <v>144</v>
      </c>
      <c r="B27" s="53" t="s">
        <v>67</v>
      </c>
      <c r="C27" s="37">
        <v>426</v>
      </c>
      <c r="D27" s="37">
        <v>228</v>
      </c>
      <c r="E27" s="37">
        <v>198</v>
      </c>
      <c r="F27" s="37">
        <v>33</v>
      </c>
      <c r="G27" s="37">
        <v>41</v>
      </c>
      <c r="H27" s="37">
        <v>37</v>
      </c>
      <c r="I27" s="37">
        <v>29</v>
      </c>
      <c r="J27" s="37">
        <v>158</v>
      </c>
      <c r="K27" s="37">
        <v>128</v>
      </c>
      <c r="L27" s="37">
        <v>4045</v>
      </c>
      <c r="M27" s="37">
        <v>2251</v>
      </c>
      <c r="N27" s="37">
        <v>1794</v>
      </c>
      <c r="O27" s="37">
        <v>287</v>
      </c>
      <c r="P27" s="37">
        <v>315</v>
      </c>
      <c r="Q27" s="37">
        <v>389</v>
      </c>
      <c r="R27" s="37">
        <v>276</v>
      </c>
      <c r="S27" s="37">
        <v>1575</v>
      </c>
      <c r="T27" s="37">
        <v>1203</v>
      </c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</row>
    <row r="28" spans="1:39" ht="15.6" customHeight="1">
      <c r="A28" s="52" t="s">
        <v>145</v>
      </c>
      <c r="B28" s="53" t="s">
        <v>69</v>
      </c>
      <c r="C28" s="37" t="s">
        <v>105</v>
      </c>
      <c r="D28" s="37" t="s">
        <v>105</v>
      </c>
      <c r="E28" s="37" t="s">
        <v>105</v>
      </c>
      <c r="F28" s="37" t="s">
        <v>105</v>
      </c>
      <c r="G28" s="37" t="s">
        <v>105</v>
      </c>
      <c r="H28" s="37" t="s">
        <v>105</v>
      </c>
      <c r="I28" s="37" t="s">
        <v>105</v>
      </c>
      <c r="J28" s="37" t="s">
        <v>105</v>
      </c>
      <c r="K28" s="37" t="s">
        <v>105</v>
      </c>
      <c r="L28" s="37">
        <v>2236</v>
      </c>
      <c r="M28" s="37">
        <v>1006</v>
      </c>
      <c r="N28" s="37">
        <v>1230</v>
      </c>
      <c r="O28" s="37">
        <v>17</v>
      </c>
      <c r="P28" s="37">
        <v>2</v>
      </c>
      <c r="Q28" s="37">
        <v>44</v>
      </c>
      <c r="R28" s="37" t="s">
        <v>105</v>
      </c>
      <c r="S28" s="37">
        <v>945</v>
      </c>
      <c r="T28" s="37">
        <v>1228</v>
      </c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</row>
    <row r="29" spans="1:39" ht="15.6" customHeight="1">
      <c r="A29" s="54" t="s">
        <v>146</v>
      </c>
      <c r="B29" s="55" t="s">
        <v>71</v>
      </c>
      <c r="C29" s="40" t="s">
        <v>105</v>
      </c>
      <c r="D29" s="40" t="s">
        <v>105</v>
      </c>
      <c r="E29" s="40" t="s">
        <v>105</v>
      </c>
      <c r="F29" s="40" t="s">
        <v>105</v>
      </c>
      <c r="G29" s="40" t="s">
        <v>105</v>
      </c>
      <c r="H29" s="40" t="s">
        <v>105</v>
      </c>
      <c r="I29" s="40" t="s">
        <v>105</v>
      </c>
      <c r="J29" s="40" t="s">
        <v>105</v>
      </c>
      <c r="K29" s="40" t="s">
        <v>105</v>
      </c>
      <c r="L29" s="40">
        <v>252</v>
      </c>
      <c r="M29" s="40">
        <v>198</v>
      </c>
      <c r="N29" s="40">
        <v>54</v>
      </c>
      <c r="O29" s="40">
        <v>6</v>
      </c>
      <c r="P29" s="40" t="s">
        <v>105</v>
      </c>
      <c r="Q29" s="40">
        <v>1</v>
      </c>
      <c r="R29" s="40" t="s">
        <v>105</v>
      </c>
      <c r="S29" s="40">
        <v>191</v>
      </c>
      <c r="T29" s="40">
        <v>54</v>
      </c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</row>
    <row r="30" spans="1:39" ht="16.5">
      <c r="A30" s="8" t="s">
        <v>72</v>
      </c>
      <c r="B30" s="19"/>
    </row>
    <row r="31" spans="1:39">
      <c r="A31" s="2" t="s">
        <v>74</v>
      </c>
    </row>
  </sheetData>
  <mergeCells count="27">
    <mergeCell ref="A3:B6"/>
    <mergeCell ref="C3:K3"/>
    <mergeCell ref="L3:T3"/>
    <mergeCell ref="F4:G4"/>
    <mergeCell ref="H4:I4"/>
    <mergeCell ref="J4:K4"/>
    <mergeCell ref="O4:P4"/>
    <mergeCell ref="Q4:R4"/>
    <mergeCell ref="S4:T4"/>
    <mergeCell ref="C5:C6"/>
    <mergeCell ref="O5:O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T5:T6"/>
    <mergeCell ref="N5:N6"/>
    <mergeCell ref="P5:P6"/>
    <mergeCell ref="Q5:Q6"/>
    <mergeCell ref="R5:R6"/>
    <mergeCell ref="S5:S6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31"/>
  <sheetViews>
    <sheetView zoomScaleNormal="100" zoomScaleSheetLayoutView="75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9.375" defaultRowHeight="12.75"/>
  <cols>
    <col min="1" max="1" width="8" style="2" customWidth="1"/>
    <col min="2" max="2" width="15.625" style="2" customWidth="1"/>
    <col min="3" max="20" width="8.5" style="2" customWidth="1"/>
    <col min="21" max="16384" width="9.375" style="2"/>
  </cols>
  <sheetData>
    <row r="1" spans="1:57" ht="21">
      <c r="A1" s="1" t="s">
        <v>1</v>
      </c>
      <c r="B1" s="22"/>
    </row>
    <row r="2" spans="1:57" ht="26.25" customHeight="1">
      <c r="A2" s="11" t="s">
        <v>149</v>
      </c>
      <c r="B2" s="23"/>
    </row>
    <row r="3" spans="1:57" ht="16.5" customHeight="1">
      <c r="A3" s="179" t="s">
        <v>22</v>
      </c>
      <c r="B3" s="185"/>
      <c r="C3" s="190" t="s">
        <v>78</v>
      </c>
      <c r="D3" s="151"/>
      <c r="E3" s="151"/>
      <c r="F3" s="151"/>
      <c r="G3" s="151"/>
      <c r="H3" s="151"/>
      <c r="I3" s="151"/>
      <c r="J3" s="151"/>
      <c r="K3" s="191"/>
      <c r="L3" s="190" t="s">
        <v>79</v>
      </c>
      <c r="M3" s="151"/>
      <c r="N3" s="151"/>
      <c r="O3" s="151"/>
      <c r="P3" s="151"/>
      <c r="Q3" s="151"/>
      <c r="R3" s="151"/>
      <c r="S3" s="151"/>
      <c r="T3" s="151"/>
    </row>
    <row r="4" spans="1:57" s="25" customFormat="1" ht="29.25" customHeight="1">
      <c r="A4" s="186"/>
      <c r="B4" s="187"/>
      <c r="C4" s="3" t="s">
        <v>2</v>
      </c>
      <c r="D4" s="41"/>
      <c r="E4" s="5"/>
      <c r="F4" s="192" t="s">
        <v>107</v>
      </c>
      <c r="G4" s="193"/>
      <c r="H4" s="192" t="s">
        <v>108</v>
      </c>
      <c r="I4" s="193"/>
      <c r="J4" s="192" t="s">
        <v>116</v>
      </c>
      <c r="K4" s="191"/>
      <c r="L4" s="3" t="s">
        <v>2</v>
      </c>
      <c r="M4" s="42"/>
      <c r="N4" s="5"/>
      <c r="O4" s="192" t="s">
        <v>107</v>
      </c>
      <c r="P4" s="193"/>
      <c r="Q4" s="192" t="s">
        <v>108</v>
      </c>
      <c r="R4" s="193"/>
      <c r="S4" s="192" t="s">
        <v>116</v>
      </c>
      <c r="T4" s="151"/>
    </row>
    <row r="5" spans="1:57" s="7" customFormat="1" ht="16.5" customHeight="1">
      <c r="A5" s="186"/>
      <c r="B5" s="187"/>
      <c r="C5" s="196" t="s">
        <v>117</v>
      </c>
      <c r="D5" s="196" t="s">
        <v>118</v>
      </c>
      <c r="E5" s="196" t="s">
        <v>119</v>
      </c>
      <c r="F5" s="196" t="s">
        <v>118</v>
      </c>
      <c r="G5" s="196" t="s">
        <v>119</v>
      </c>
      <c r="H5" s="196" t="s">
        <v>118</v>
      </c>
      <c r="I5" s="196" t="s">
        <v>119</v>
      </c>
      <c r="J5" s="196" t="s">
        <v>118</v>
      </c>
      <c r="K5" s="196" t="s">
        <v>119</v>
      </c>
      <c r="L5" s="196" t="s">
        <v>117</v>
      </c>
      <c r="M5" s="196" t="s">
        <v>118</v>
      </c>
      <c r="N5" s="196" t="s">
        <v>119</v>
      </c>
      <c r="O5" s="196" t="s">
        <v>118</v>
      </c>
      <c r="P5" s="196" t="s">
        <v>119</v>
      </c>
      <c r="Q5" s="196" t="s">
        <v>118</v>
      </c>
      <c r="R5" s="196" t="s">
        <v>119</v>
      </c>
      <c r="S5" s="196" t="s">
        <v>118</v>
      </c>
      <c r="T5" s="194" t="s">
        <v>119</v>
      </c>
    </row>
    <row r="6" spans="1:57">
      <c r="A6" s="188"/>
      <c r="B6" s="189"/>
      <c r="C6" s="197"/>
      <c r="D6" s="197"/>
      <c r="E6" s="197"/>
      <c r="F6" s="197"/>
      <c r="G6" s="197"/>
      <c r="H6" s="197"/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5"/>
    </row>
    <row r="7" spans="1:57" s="17" customFormat="1" ht="15.6" customHeight="1">
      <c r="A7" s="57" t="s">
        <v>80</v>
      </c>
      <c r="B7" s="48" t="s">
        <v>81</v>
      </c>
      <c r="C7" s="33">
        <v>20368</v>
      </c>
      <c r="D7" s="33">
        <v>10706</v>
      </c>
      <c r="E7" s="33">
        <v>9662</v>
      </c>
      <c r="F7" s="33">
        <v>1524</v>
      </c>
      <c r="G7" s="33">
        <v>1233</v>
      </c>
      <c r="H7" s="33">
        <v>1706</v>
      </c>
      <c r="I7" s="33">
        <v>1181</v>
      </c>
      <c r="J7" s="33">
        <v>7476</v>
      </c>
      <c r="K7" s="33">
        <v>7248</v>
      </c>
      <c r="L7" s="33">
        <v>201438</v>
      </c>
      <c r="M7" s="33">
        <v>111314</v>
      </c>
      <c r="N7" s="33">
        <v>90124</v>
      </c>
      <c r="O7" s="33">
        <v>13801</v>
      </c>
      <c r="P7" s="33">
        <v>10974</v>
      </c>
      <c r="Q7" s="33">
        <v>18326</v>
      </c>
      <c r="R7" s="33">
        <v>11094</v>
      </c>
      <c r="S7" s="33">
        <v>79187</v>
      </c>
      <c r="T7" s="33">
        <v>68056</v>
      </c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</row>
    <row r="8" spans="1:57" s="17" customFormat="1" ht="15.6" customHeight="1">
      <c r="A8" s="50" t="s">
        <v>124</v>
      </c>
      <c r="B8" s="51" t="s">
        <v>29</v>
      </c>
      <c r="C8" s="33">
        <v>2165</v>
      </c>
      <c r="D8" s="33">
        <v>1134</v>
      </c>
      <c r="E8" s="33">
        <v>1031</v>
      </c>
      <c r="F8" s="33">
        <v>13</v>
      </c>
      <c r="G8" s="33">
        <v>27</v>
      </c>
      <c r="H8" s="33">
        <v>52</v>
      </c>
      <c r="I8" s="33">
        <v>24</v>
      </c>
      <c r="J8" s="33">
        <v>1069</v>
      </c>
      <c r="K8" s="33">
        <v>980</v>
      </c>
      <c r="L8" s="33">
        <v>32937</v>
      </c>
      <c r="M8" s="33">
        <v>18498</v>
      </c>
      <c r="N8" s="33">
        <v>14439</v>
      </c>
      <c r="O8" s="33">
        <v>1182</v>
      </c>
      <c r="P8" s="33">
        <v>1424</v>
      </c>
      <c r="Q8" s="33">
        <v>221</v>
      </c>
      <c r="R8" s="33">
        <v>136</v>
      </c>
      <c r="S8" s="33">
        <v>17095</v>
      </c>
      <c r="T8" s="33">
        <v>12879</v>
      </c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</row>
    <row r="9" spans="1:57" s="17" customFormat="1" ht="15.6" customHeight="1">
      <c r="A9" s="50" t="s">
        <v>125</v>
      </c>
      <c r="B9" s="51" t="s">
        <v>31</v>
      </c>
      <c r="C9" s="33">
        <v>4134</v>
      </c>
      <c r="D9" s="33">
        <v>1833</v>
      </c>
      <c r="E9" s="33">
        <v>2301</v>
      </c>
      <c r="F9" s="33">
        <v>170</v>
      </c>
      <c r="G9" s="33">
        <v>149</v>
      </c>
      <c r="H9" s="33">
        <v>155</v>
      </c>
      <c r="I9" s="33">
        <v>210</v>
      </c>
      <c r="J9" s="33">
        <v>1508</v>
      </c>
      <c r="K9" s="33">
        <v>1942</v>
      </c>
      <c r="L9" s="33">
        <v>33496</v>
      </c>
      <c r="M9" s="33">
        <v>15670</v>
      </c>
      <c r="N9" s="33">
        <v>17826</v>
      </c>
      <c r="O9" s="33">
        <v>1586</v>
      </c>
      <c r="P9" s="33">
        <v>1188</v>
      </c>
      <c r="Q9" s="33">
        <v>1132</v>
      </c>
      <c r="R9" s="33">
        <v>1344</v>
      </c>
      <c r="S9" s="33">
        <v>12952</v>
      </c>
      <c r="T9" s="33">
        <v>15294</v>
      </c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</row>
    <row r="10" spans="1:57" s="17" customFormat="1" ht="15.6" customHeight="1">
      <c r="A10" s="50" t="s">
        <v>126</v>
      </c>
      <c r="B10" s="51" t="s">
        <v>35</v>
      </c>
      <c r="C10" s="33">
        <v>1146</v>
      </c>
      <c r="D10" s="33">
        <v>651</v>
      </c>
      <c r="E10" s="33">
        <v>495</v>
      </c>
      <c r="F10" s="33">
        <v>183</v>
      </c>
      <c r="G10" s="33">
        <v>122</v>
      </c>
      <c r="H10" s="33">
        <v>97</v>
      </c>
      <c r="I10" s="33">
        <v>74</v>
      </c>
      <c r="J10" s="33">
        <v>371</v>
      </c>
      <c r="K10" s="33">
        <v>299</v>
      </c>
      <c r="L10" s="33">
        <v>9594</v>
      </c>
      <c r="M10" s="33">
        <v>5677</v>
      </c>
      <c r="N10" s="33">
        <v>3917</v>
      </c>
      <c r="O10" s="33">
        <v>1561</v>
      </c>
      <c r="P10" s="33">
        <v>921</v>
      </c>
      <c r="Q10" s="33">
        <v>1056</v>
      </c>
      <c r="R10" s="33">
        <v>603</v>
      </c>
      <c r="S10" s="33">
        <v>3060</v>
      </c>
      <c r="T10" s="33">
        <v>2393</v>
      </c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</row>
    <row r="11" spans="1:57" s="17" customFormat="1" ht="15.6" customHeight="1">
      <c r="A11" s="50" t="s">
        <v>127</v>
      </c>
      <c r="B11" s="51" t="s">
        <v>37</v>
      </c>
      <c r="C11" s="33">
        <v>1389</v>
      </c>
      <c r="D11" s="33">
        <v>803</v>
      </c>
      <c r="E11" s="33">
        <v>586</v>
      </c>
      <c r="F11" s="33">
        <v>30</v>
      </c>
      <c r="G11" s="33">
        <v>67</v>
      </c>
      <c r="H11" s="33">
        <v>158</v>
      </c>
      <c r="I11" s="33">
        <v>100</v>
      </c>
      <c r="J11" s="33">
        <v>615</v>
      </c>
      <c r="K11" s="33">
        <v>419</v>
      </c>
      <c r="L11" s="33">
        <v>15998</v>
      </c>
      <c r="M11" s="33">
        <v>9533</v>
      </c>
      <c r="N11" s="33">
        <v>6465</v>
      </c>
      <c r="O11" s="33">
        <v>253</v>
      </c>
      <c r="P11" s="33">
        <v>421</v>
      </c>
      <c r="Q11" s="33">
        <v>2333</v>
      </c>
      <c r="R11" s="33">
        <v>951</v>
      </c>
      <c r="S11" s="33">
        <v>6947</v>
      </c>
      <c r="T11" s="33">
        <v>5093</v>
      </c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</row>
    <row r="12" spans="1:57" s="17" customFormat="1" ht="15.6" customHeight="1">
      <c r="A12" s="50" t="s">
        <v>128</v>
      </c>
      <c r="B12" s="51" t="s">
        <v>39</v>
      </c>
      <c r="C12" s="33">
        <v>1724</v>
      </c>
      <c r="D12" s="33">
        <v>998</v>
      </c>
      <c r="E12" s="33">
        <v>726</v>
      </c>
      <c r="F12" s="33">
        <v>236</v>
      </c>
      <c r="G12" s="33">
        <v>143</v>
      </c>
      <c r="H12" s="33">
        <v>227</v>
      </c>
      <c r="I12" s="33">
        <v>91</v>
      </c>
      <c r="J12" s="33">
        <v>535</v>
      </c>
      <c r="K12" s="33">
        <v>492</v>
      </c>
      <c r="L12" s="33">
        <v>19296</v>
      </c>
      <c r="M12" s="33">
        <v>11274</v>
      </c>
      <c r="N12" s="33">
        <v>8022</v>
      </c>
      <c r="O12" s="33">
        <v>1512</v>
      </c>
      <c r="P12" s="33">
        <v>739</v>
      </c>
      <c r="Q12" s="33">
        <v>2984</v>
      </c>
      <c r="R12" s="33">
        <v>1777</v>
      </c>
      <c r="S12" s="33">
        <v>6778</v>
      </c>
      <c r="T12" s="33">
        <v>5506</v>
      </c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</row>
    <row r="13" spans="1:57" ht="15.6" customHeight="1">
      <c r="A13" s="52" t="s">
        <v>129</v>
      </c>
      <c r="B13" s="53" t="s">
        <v>41</v>
      </c>
      <c r="C13" s="37">
        <v>363</v>
      </c>
      <c r="D13" s="37">
        <v>169</v>
      </c>
      <c r="E13" s="37">
        <v>194</v>
      </c>
      <c r="F13" s="37">
        <v>23</v>
      </c>
      <c r="G13" s="37">
        <v>20</v>
      </c>
      <c r="H13" s="37">
        <v>7</v>
      </c>
      <c r="I13" s="37">
        <v>26</v>
      </c>
      <c r="J13" s="37">
        <v>139</v>
      </c>
      <c r="K13" s="37">
        <v>148</v>
      </c>
      <c r="L13" s="37">
        <v>2714</v>
      </c>
      <c r="M13" s="37">
        <v>1036</v>
      </c>
      <c r="N13" s="37">
        <v>1678</v>
      </c>
      <c r="O13" s="37">
        <v>126</v>
      </c>
      <c r="P13" s="37">
        <v>209</v>
      </c>
      <c r="Q13" s="37">
        <v>30</v>
      </c>
      <c r="R13" s="37">
        <v>173</v>
      </c>
      <c r="S13" s="37">
        <v>880</v>
      </c>
      <c r="T13" s="37">
        <v>1296</v>
      </c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</row>
    <row r="14" spans="1:57" ht="15.6" customHeight="1">
      <c r="A14" s="52" t="s">
        <v>130</v>
      </c>
      <c r="B14" s="53" t="s">
        <v>131</v>
      </c>
      <c r="C14" s="37">
        <v>860</v>
      </c>
      <c r="D14" s="37">
        <v>516</v>
      </c>
      <c r="E14" s="37">
        <v>344</v>
      </c>
      <c r="F14" s="37">
        <v>139</v>
      </c>
      <c r="G14" s="37">
        <v>121</v>
      </c>
      <c r="H14" s="37">
        <v>81</v>
      </c>
      <c r="I14" s="37">
        <v>12</v>
      </c>
      <c r="J14" s="37">
        <v>296</v>
      </c>
      <c r="K14" s="37">
        <v>211</v>
      </c>
      <c r="L14" s="37">
        <v>9202</v>
      </c>
      <c r="M14" s="37">
        <v>5580</v>
      </c>
      <c r="N14" s="37">
        <v>3622</v>
      </c>
      <c r="O14" s="37">
        <v>1308</v>
      </c>
      <c r="P14" s="37">
        <v>1234</v>
      </c>
      <c r="Q14" s="37">
        <v>1077</v>
      </c>
      <c r="R14" s="37">
        <v>291</v>
      </c>
      <c r="S14" s="37">
        <v>3195</v>
      </c>
      <c r="T14" s="37">
        <v>2097</v>
      </c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</row>
    <row r="15" spans="1:57" ht="15.6" customHeight="1">
      <c r="A15" s="52" t="s">
        <v>132</v>
      </c>
      <c r="B15" s="53" t="s">
        <v>43</v>
      </c>
      <c r="C15" s="37">
        <v>152</v>
      </c>
      <c r="D15" s="37">
        <v>102</v>
      </c>
      <c r="E15" s="37">
        <v>50</v>
      </c>
      <c r="F15" s="37">
        <v>30</v>
      </c>
      <c r="G15" s="37">
        <v>4</v>
      </c>
      <c r="H15" s="37">
        <v>0</v>
      </c>
      <c r="I15" s="37">
        <v>0</v>
      </c>
      <c r="J15" s="37">
        <v>72</v>
      </c>
      <c r="K15" s="37">
        <v>46</v>
      </c>
      <c r="L15" s="37">
        <v>1095</v>
      </c>
      <c r="M15" s="37">
        <v>749</v>
      </c>
      <c r="N15" s="37">
        <v>346</v>
      </c>
      <c r="O15" s="37">
        <v>166</v>
      </c>
      <c r="P15" s="37">
        <v>8</v>
      </c>
      <c r="Q15" s="37">
        <v>40</v>
      </c>
      <c r="R15" s="37">
        <v>0</v>
      </c>
      <c r="S15" s="37">
        <v>543</v>
      </c>
      <c r="T15" s="37">
        <v>338</v>
      </c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</row>
    <row r="16" spans="1:57" ht="15.6" customHeight="1">
      <c r="A16" s="52" t="s">
        <v>133</v>
      </c>
      <c r="B16" s="53" t="s">
        <v>45</v>
      </c>
      <c r="C16" s="37">
        <v>1706</v>
      </c>
      <c r="D16" s="37">
        <v>850</v>
      </c>
      <c r="E16" s="37">
        <v>856</v>
      </c>
      <c r="F16" s="37">
        <v>105</v>
      </c>
      <c r="G16" s="37">
        <v>138</v>
      </c>
      <c r="H16" s="37">
        <v>168</v>
      </c>
      <c r="I16" s="37">
        <v>102</v>
      </c>
      <c r="J16" s="37">
        <v>577</v>
      </c>
      <c r="K16" s="37">
        <v>616</v>
      </c>
      <c r="L16" s="37">
        <v>13128</v>
      </c>
      <c r="M16" s="37">
        <v>6877</v>
      </c>
      <c r="N16" s="37">
        <v>6251</v>
      </c>
      <c r="O16" s="37">
        <v>889</v>
      </c>
      <c r="P16" s="37">
        <v>1087</v>
      </c>
      <c r="Q16" s="37">
        <v>1306</v>
      </c>
      <c r="R16" s="37">
        <v>911</v>
      </c>
      <c r="S16" s="37">
        <v>4682</v>
      </c>
      <c r="T16" s="37">
        <v>4253</v>
      </c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</row>
    <row r="17" spans="1:39" ht="15.6" customHeight="1">
      <c r="A17" s="52" t="s">
        <v>134</v>
      </c>
      <c r="B17" s="53" t="s">
        <v>47</v>
      </c>
      <c r="C17" s="37">
        <v>658</v>
      </c>
      <c r="D17" s="37">
        <v>361</v>
      </c>
      <c r="E17" s="37">
        <v>297</v>
      </c>
      <c r="F17" s="37">
        <v>31</v>
      </c>
      <c r="G17" s="37">
        <v>37</v>
      </c>
      <c r="H17" s="37">
        <v>68</v>
      </c>
      <c r="I17" s="37">
        <v>42</v>
      </c>
      <c r="J17" s="37">
        <v>262</v>
      </c>
      <c r="K17" s="37">
        <v>218</v>
      </c>
      <c r="L17" s="37">
        <v>5758</v>
      </c>
      <c r="M17" s="37">
        <v>3286</v>
      </c>
      <c r="N17" s="37">
        <v>2472</v>
      </c>
      <c r="O17" s="37">
        <v>196</v>
      </c>
      <c r="P17" s="37">
        <v>350</v>
      </c>
      <c r="Q17" s="37">
        <v>635</v>
      </c>
      <c r="R17" s="37">
        <v>407</v>
      </c>
      <c r="S17" s="37">
        <v>2455</v>
      </c>
      <c r="T17" s="37">
        <v>1715</v>
      </c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</row>
    <row r="18" spans="1:39" ht="15.6" customHeight="1">
      <c r="A18" s="52" t="s">
        <v>135</v>
      </c>
      <c r="B18" s="53" t="s">
        <v>49</v>
      </c>
      <c r="C18" s="37">
        <v>805</v>
      </c>
      <c r="D18" s="37">
        <v>417</v>
      </c>
      <c r="E18" s="37">
        <v>388</v>
      </c>
      <c r="F18" s="37">
        <v>33</v>
      </c>
      <c r="G18" s="37">
        <v>33</v>
      </c>
      <c r="H18" s="37">
        <v>133</v>
      </c>
      <c r="I18" s="37">
        <v>124</v>
      </c>
      <c r="J18" s="37">
        <v>251</v>
      </c>
      <c r="K18" s="37">
        <v>231</v>
      </c>
      <c r="L18" s="37">
        <v>10224</v>
      </c>
      <c r="M18" s="37">
        <v>6424</v>
      </c>
      <c r="N18" s="37">
        <v>3800</v>
      </c>
      <c r="O18" s="37">
        <v>556</v>
      </c>
      <c r="P18" s="37">
        <v>235</v>
      </c>
      <c r="Q18" s="37">
        <v>2113</v>
      </c>
      <c r="R18" s="37">
        <v>1039</v>
      </c>
      <c r="S18" s="37">
        <v>3755</v>
      </c>
      <c r="T18" s="37">
        <v>2526</v>
      </c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</row>
    <row r="19" spans="1:39" ht="15.6" customHeight="1">
      <c r="A19" s="52" t="s">
        <v>136</v>
      </c>
      <c r="B19" s="53" t="s">
        <v>51</v>
      </c>
      <c r="C19" s="37">
        <v>512</v>
      </c>
      <c r="D19" s="37">
        <v>311</v>
      </c>
      <c r="E19" s="37">
        <v>201</v>
      </c>
      <c r="F19" s="37">
        <v>14</v>
      </c>
      <c r="G19" s="37">
        <v>0</v>
      </c>
      <c r="H19" s="37">
        <v>19</v>
      </c>
      <c r="I19" s="37">
        <v>29</v>
      </c>
      <c r="J19" s="37">
        <v>278</v>
      </c>
      <c r="K19" s="37">
        <v>172</v>
      </c>
      <c r="L19" s="37">
        <v>4527</v>
      </c>
      <c r="M19" s="37">
        <v>2781</v>
      </c>
      <c r="N19" s="37">
        <v>1746</v>
      </c>
      <c r="O19" s="37">
        <v>79</v>
      </c>
      <c r="P19" s="37">
        <v>6</v>
      </c>
      <c r="Q19" s="37">
        <v>197</v>
      </c>
      <c r="R19" s="37">
        <v>314</v>
      </c>
      <c r="S19" s="37">
        <v>2505</v>
      </c>
      <c r="T19" s="37">
        <v>1426</v>
      </c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</row>
    <row r="20" spans="1:39" ht="15.6" customHeight="1">
      <c r="A20" s="52" t="s">
        <v>137</v>
      </c>
      <c r="B20" s="53" t="s">
        <v>53</v>
      </c>
      <c r="C20" s="37">
        <v>848</v>
      </c>
      <c r="D20" s="37">
        <v>445</v>
      </c>
      <c r="E20" s="37">
        <v>403</v>
      </c>
      <c r="F20" s="37">
        <v>157</v>
      </c>
      <c r="G20" s="37">
        <v>119</v>
      </c>
      <c r="H20" s="37">
        <v>71</v>
      </c>
      <c r="I20" s="37">
        <v>63</v>
      </c>
      <c r="J20" s="37">
        <v>217</v>
      </c>
      <c r="K20" s="37">
        <v>221</v>
      </c>
      <c r="L20" s="37">
        <v>6612</v>
      </c>
      <c r="M20" s="37">
        <v>3551</v>
      </c>
      <c r="N20" s="37">
        <v>3061</v>
      </c>
      <c r="O20" s="37">
        <v>1120</v>
      </c>
      <c r="P20" s="37">
        <v>735</v>
      </c>
      <c r="Q20" s="37">
        <v>710</v>
      </c>
      <c r="R20" s="37">
        <v>481</v>
      </c>
      <c r="S20" s="37">
        <v>1721</v>
      </c>
      <c r="T20" s="37">
        <v>1845</v>
      </c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</row>
    <row r="21" spans="1:39" ht="15.6" customHeight="1">
      <c r="A21" s="52" t="s">
        <v>138</v>
      </c>
      <c r="B21" s="53" t="s">
        <v>55</v>
      </c>
      <c r="C21" s="37">
        <v>658</v>
      </c>
      <c r="D21" s="37">
        <v>291</v>
      </c>
      <c r="E21" s="37">
        <v>367</v>
      </c>
      <c r="F21" s="37">
        <v>40</v>
      </c>
      <c r="G21" s="37">
        <v>69</v>
      </c>
      <c r="H21" s="37">
        <v>106</v>
      </c>
      <c r="I21" s="37">
        <v>92</v>
      </c>
      <c r="J21" s="37">
        <v>145</v>
      </c>
      <c r="K21" s="37">
        <v>206</v>
      </c>
      <c r="L21" s="37">
        <v>6682</v>
      </c>
      <c r="M21" s="37">
        <v>3202</v>
      </c>
      <c r="N21" s="37">
        <v>3480</v>
      </c>
      <c r="O21" s="37">
        <v>305</v>
      </c>
      <c r="P21" s="37">
        <v>505</v>
      </c>
      <c r="Q21" s="37">
        <v>1360</v>
      </c>
      <c r="R21" s="37">
        <v>917</v>
      </c>
      <c r="S21" s="37">
        <v>1537</v>
      </c>
      <c r="T21" s="37">
        <v>2058</v>
      </c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</row>
    <row r="22" spans="1:39" ht="15.6" customHeight="1">
      <c r="A22" s="52" t="s">
        <v>139</v>
      </c>
      <c r="B22" s="53" t="s">
        <v>57</v>
      </c>
      <c r="C22" s="37">
        <v>440</v>
      </c>
      <c r="D22" s="37">
        <v>228</v>
      </c>
      <c r="E22" s="37">
        <v>212</v>
      </c>
      <c r="F22" s="37">
        <v>71</v>
      </c>
      <c r="G22" s="37">
        <v>67</v>
      </c>
      <c r="H22" s="37">
        <v>49</v>
      </c>
      <c r="I22" s="37">
        <v>17</v>
      </c>
      <c r="J22" s="37">
        <v>108</v>
      </c>
      <c r="K22" s="37">
        <v>128</v>
      </c>
      <c r="L22" s="37">
        <v>5224</v>
      </c>
      <c r="M22" s="37">
        <v>2400</v>
      </c>
      <c r="N22" s="37">
        <v>2824</v>
      </c>
      <c r="O22" s="37">
        <v>630</v>
      </c>
      <c r="P22" s="37">
        <v>1127</v>
      </c>
      <c r="Q22" s="37">
        <v>421</v>
      </c>
      <c r="R22" s="37">
        <v>266</v>
      </c>
      <c r="S22" s="37">
        <v>1349</v>
      </c>
      <c r="T22" s="37">
        <v>1431</v>
      </c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</row>
    <row r="23" spans="1:39" ht="15.6" customHeight="1">
      <c r="A23" s="52" t="s">
        <v>140</v>
      </c>
      <c r="B23" s="53" t="s">
        <v>59</v>
      </c>
      <c r="C23" s="37">
        <v>1278</v>
      </c>
      <c r="D23" s="37">
        <v>755</v>
      </c>
      <c r="E23" s="37">
        <v>523</v>
      </c>
      <c r="F23" s="37">
        <v>130</v>
      </c>
      <c r="G23" s="37">
        <v>53</v>
      </c>
      <c r="H23" s="37">
        <v>108</v>
      </c>
      <c r="I23" s="37">
        <v>59</v>
      </c>
      <c r="J23" s="37">
        <v>517</v>
      </c>
      <c r="K23" s="37">
        <v>411</v>
      </c>
      <c r="L23" s="37">
        <v>10332</v>
      </c>
      <c r="M23" s="37">
        <v>6100</v>
      </c>
      <c r="N23" s="37">
        <v>4232</v>
      </c>
      <c r="O23" s="37">
        <v>961</v>
      </c>
      <c r="P23" s="37">
        <v>332</v>
      </c>
      <c r="Q23" s="37">
        <v>726</v>
      </c>
      <c r="R23" s="37">
        <v>437</v>
      </c>
      <c r="S23" s="37">
        <v>4413</v>
      </c>
      <c r="T23" s="37">
        <v>3463</v>
      </c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</row>
    <row r="24" spans="1:39" ht="15.6" customHeight="1">
      <c r="A24" s="52" t="s">
        <v>141</v>
      </c>
      <c r="B24" s="53" t="s">
        <v>61</v>
      </c>
      <c r="C24" s="37">
        <v>17</v>
      </c>
      <c r="D24" s="37">
        <v>1</v>
      </c>
      <c r="E24" s="37">
        <v>16</v>
      </c>
      <c r="F24" s="37">
        <v>0</v>
      </c>
      <c r="G24" s="37">
        <v>0</v>
      </c>
      <c r="H24" s="37">
        <v>0</v>
      </c>
      <c r="I24" s="37">
        <v>0</v>
      </c>
      <c r="J24" s="37">
        <v>1</v>
      </c>
      <c r="K24" s="37">
        <v>16</v>
      </c>
      <c r="L24" s="37">
        <v>97</v>
      </c>
      <c r="M24" s="37">
        <v>9</v>
      </c>
      <c r="N24" s="37">
        <v>88</v>
      </c>
      <c r="O24" s="37">
        <v>0</v>
      </c>
      <c r="P24" s="37">
        <v>0</v>
      </c>
      <c r="Q24" s="37">
        <v>5</v>
      </c>
      <c r="R24" s="37">
        <v>0</v>
      </c>
      <c r="S24" s="37">
        <v>4</v>
      </c>
      <c r="T24" s="37">
        <v>88</v>
      </c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</row>
    <row r="25" spans="1:39" ht="15.6" customHeight="1">
      <c r="A25" s="52" t="s">
        <v>142</v>
      </c>
      <c r="B25" s="53" t="s">
        <v>63</v>
      </c>
      <c r="C25" s="37">
        <v>244</v>
      </c>
      <c r="D25" s="37">
        <v>147</v>
      </c>
      <c r="E25" s="37">
        <v>97</v>
      </c>
      <c r="F25" s="37">
        <v>45</v>
      </c>
      <c r="G25" s="37">
        <v>13</v>
      </c>
      <c r="H25" s="37">
        <v>15</v>
      </c>
      <c r="I25" s="37">
        <v>11</v>
      </c>
      <c r="J25" s="37">
        <v>87</v>
      </c>
      <c r="K25" s="37">
        <v>73</v>
      </c>
      <c r="L25" s="37">
        <v>3611</v>
      </c>
      <c r="M25" s="37">
        <v>2442</v>
      </c>
      <c r="N25" s="37">
        <v>1169</v>
      </c>
      <c r="O25" s="37">
        <v>735</v>
      </c>
      <c r="P25" s="37">
        <v>154</v>
      </c>
      <c r="Q25" s="37">
        <v>341</v>
      </c>
      <c r="R25" s="37">
        <v>228</v>
      </c>
      <c r="S25" s="37">
        <v>1366</v>
      </c>
      <c r="T25" s="37">
        <v>787</v>
      </c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</row>
    <row r="26" spans="1:39" ht="15.6" customHeight="1">
      <c r="A26" s="52" t="s">
        <v>143</v>
      </c>
      <c r="B26" s="53" t="s">
        <v>65</v>
      </c>
      <c r="C26" s="37">
        <v>885</v>
      </c>
      <c r="D26" s="37">
        <v>503</v>
      </c>
      <c r="E26" s="37">
        <v>382</v>
      </c>
      <c r="F26" s="37">
        <v>31</v>
      </c>
      <c r="G26" s="37">
        <v>7</v>
      </c>
      <c r="H26" s="37">
        <v>190</v>
      </c>
      <c r="I26" s="37">
        <v>96</v>
      </c>
      <c r="J26" s="37">
        <v>282</v>
      </c>
      <c r="K26" s="37">
        <v>279</v>
      </c>
      <c r="L26" s="37">
        <v>7276</v>
      </c>
      <c r="M26" s="37">
        <v>4407</v>
      </c>
      <c r="N26" s="37">
        <v>2869</v>
      </c>
      <c r="O26" s="37">
        <v>231</v>
      </c>
      <c r="P26" s="37">
        <v>34</v>
      </c>
      <c r="Q26" s="37">
        <v>1627</v>
      </c>
      <c r="R26" s="37">
        <v>757</v>
      </c>
      <c r="S26" s="37">
        <v>2549</v>
      </c>
      <c r="T26" s="37">
        <v>2078</v>
      </c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</row>
    <row r="27" spans="1:39" ht="15.6" customHeight="1">
      <c r="A27" s="52" t="s">
        <v>144</v>
      </c>
      <c r="B27" s="53" t="s">
        <v>67</v>
      </c>
      <c r="C27" s="37">
        <v>336</v>
      </c>
      <c r="D27" s="37">
        <v>165</v>
      </c>
      <c r="E27" s="37">
        <v>171</v>
      </c>
      <c r="F27" s="37">
        <v>39</v>
      </c>
      <c r="G27" s="37">
        <v>42</v>
      </c>
      <c r="H27" s="37">
        <v>2</v>
      </c>
      <c r="I27" s="37">
        <v>9</v>
      </c>
      <c r="J27" s="37">
        <v>124</v>
      </c>
      <c r="K27" s="37">
        <v>120</v>
      </c>
      <c r="L27" s="37">
        <v>3183</v>
      </c>
      <c r="M27" s="37">
        <v>1552</v>
      </c>
      <c r="N27" s="37">
        <v>1631</v>
      </c>
      <c r="O27" s="37">
        <v>377</v>
      </c>
      <c r="P27" s="37">
        <v>260</v>
      </c>
      <c r="Q27" s="37">
        <v>12</v>
      </c>
      <c r="R27" s="37">
        <v>62</v>
      </c>
      <c r="S27" s="37">
        <v>1163</v>
      </c>
      <c r="T27" s="37">
        <v>1309</v>
      </c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</row>
    <row r="28" spans="1:39" ht="15.6" customHeight="1">
      <c r="A28" s="52" t="s">
        <v>145</v>
      </c>
      <c r="B28" s="53" t="s">
        <v>69</v>
      </c>
      <c r="C28" s="37">
        <v>17</v>
      </c>
      <c r="D28" s="37">
        <v>2</v>
      </c>
      <c r="E28" s="37">
        <v>15</v>
      </c>
      <c r="F28" s="37">
        <v>0</v>
      </c>
      <c r="G28" s="37">
        <v>0</v>
      </c>
      <c r="H28" s="37">
        <v>0</v>
      </c>
      <c r="I28" s="37">
        <v>0</v>
      </c>
      <c r="J28" s="37">
        <v>2</v>
      </c>
      <c r="K28" s="37">
        <v>15</v>
      </c>
      <c r="L28" s="37">
        <v>124</v>
      </c>
      <c r="M28" s="37">
        <v>6</v>
      </c>
      <c r="N28" s="37">
        <v>118</v>
      </c>
      <c r="O28" s="37">
        <v>0</v>
      </c>
      <c r="P28" s="37">
        <v>0</v>
      </c>
      <c r="Q28" s="37">
        <v>0</v>
      </c>
      <c r="R28" s="37">
        <v>0</v>
      </c>
      <c r="S28" s="37">
        <v>6</v>
      </c>
      <c r="T28" s="37">
        <v>118</v>
      </c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</row>
    <row r="29" spans="1:39" ht="15.6" customHeight="1">
      <c r="A29" s="54" t="s">
        <v>146</v>
      </c>
      <c r="B29" s="55" t="s">
        <v>71</v>
      </c>
      <c r="C29" s="40">
        <v>31</v>
      </c>
      <c r="D29" s="40">
        <v>24</v>
      </c>
      <c r="E29" s="40">
        <v>7</v>
      </c>
      <c r="F29" s="40">
        <v>4</v>
      </c>
      <c r="G29" s="40">
        <v>2</v>
      </c>
      <c r="H29" s="40">
        <v>0</v>
      </c>
      <c r="I29" s="40">
        <v>0</v>
      </c>
      <c r="J29" s="40">
        <v>20</v>
      </c>
      <c r="K29" s="40">
        <v>5</v>
      </c>
      <c r="L29" s="40">
        <v>328</v>
      </c>
      <c r="M29" s="40">
        <v>260</v>
      </c>
      <c r="N29" s="40">
        <v>68</v>
      </c>
      <c r="O29" s="40">
        <v>28</v>
      </c>
      <c r="P29" s="40">
        <v>5</v>
      </c>
      <c r="Q29" s="40">
        <v>0</v>
      </c>
      <c r="R29" s="40">
        <v>0</v>
      </c>
      <c r="S29" s="40">
        <v>232</v>
      </c>
      <c r="T29" s="40">
        <v>63</v>
      </c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</row>
    <row r="30" spans="1:39" ht="16.5">
      <c r="A30" s="8" t="s">
        <v>72</v>
      </c>
      <c r="B30" s="19"/>
    </row>
    <row r="31" spans="1:39">
      <c r="A31" s="2" t="s">
        <v>74</v>
      </c>
    </row>
  </sheetData>
  <mergeCells count="27">
    <mergeCell ref="A3:B6"/>
    <mergeCell ref="C3:K3"/>
    <mergeCell ref="L3:T3"/>
    <mergeCell ref="F4:G4"/>
    <mergeCell ref="H4:I4"/>
    <mergeCell ref="J4:K4"/>
    <mergeCell ref="O4:P4"/>
    <mergeCell ref="Q4:R4"/>
    <mergeCell ref="S4:T4"/>
    <mergeCell ref="C5:C6"/>
    <mergeCell ref="O5:O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T5:T6"/>
    <mergeCell ref="N5:N6"/>
    <mergeCell ref="P5:P6"/>
    <mergeCell ref="Q5:Q6"/>
    <mergeCell ref="R5:R6"/>
    <mergeCell ref="S5:S6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34"/>
  <sheetViews>
    <sheetView zoomScaleNormal="100" zoomScaleSheetLayoutView="75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9.375" defaultRowHeight="12.75"/>
  <cols>
    <col min="1" max="1" width="8" style="2" customWidth="1"/>
    <col min="2" max="2" width="15.625" style="2" customWidth="1"/>
    <col min="3" max="20" width="7.625" style="2" customWidth="1"/>
    <col min="21" max="16384" width="9.375" style="2"/>
  </cols>
  <sheetData>
    <row r="1" spans="1:61" ht="21">
      <c r="A1" s="1" t="s">
        <v>1</v>
      </c>
      <c r="B1" s="22"/>
    </row>
    <row r="2" spans="1:61" ht="26.25" customHeight="1">
      <c r="A2" s="11" t="s">
        <v>150</v>
      </c>
      <c r="B2" s="21"/>
    </row>
    <row r="3" spans="1:61" ht="16.5" customHeight="1">
      <c r="A3" s="179" t="s">
        <v>22</v>
      </c>
      <c r="B3" s="185"/>
      <c r="C3" s="190" t="s">
        <v>78</v>
      </c>
      <c r="D3" s="151"/>
      <c r="E3" s="151"/>
      <c r="F3" s="151"/>
      <c r="G3" s="151"/>
      <c r="H3" s="151"/>
      <c r="I3" s="151"/>
      <c r="J3" s="151"/>
      <c r="K3" s="191"/>
      <c r="L3" s="190" t="s">
        <v>79</v>
      </c>
      <c r="M3" s="151"/>
      <c r="N3" s="151"/>
      <c r="O3" s="151"/>
      <c r="P3" s="151"/>
      <c r="Q3" s="151"/>
      <c r="R3" s="151"/>
      <c r="S3" s="151"/>
      <c r="T3" s="151"/>
    </row>
    <row r="4" spans="1:61" s="25" customFormat="1" ht="29.25" customHeight="1">
      <c r="A4" s="186"/>
      <c r="B4" s="187"/>
      <c r="C4" s="3" t="s">
        <v>2</v>
      </c>
      <c r="D4" s="41"/>
      <c r="E4" s="5"/>
      <c r="F4" s="192" t="s">
        <v>107</v>
      </c>
      <c r="G4" s="193"/>
      <c r="H4" s="192" t="s">
        <v>108</v>
      </c>
      <c r="I4" s="193"/>
      <c r="J4" s="192" t="s">
        <v>116</v>
      </c>
      <c r="K4" s="191"/>
      <c r="L4" s="3" t="s">
        <v>2</v>
      </c>
      <c r="M4" s="42"/>
      <c r="N4" s="5"/>
      <c r="O4" s="192" t="s">
        <v>107</v>
      </c>
      <c r="P4" s="193"/>
      <c r="Q4" s="192" t="s">
        <v>108</v>
      </c>
      <c r="R4" s="193"/>
      <c r="S4" s="192" t="s">
        <v>116</v>
      </c>
      <c r="T4" s="151"/>
    </row>
    <row r="5" spans="1:61" s="7" customFormat="1" ht="16.5" customHeight="1">
      <c r="A5" s="186"/>
      <c r="B5" s="187"/>
      <c r="C5" s="196" t="s">
        <v>117</v>
      </c>
      <c r="D5" s="196" t="s">
        <v>118</v>
      </c>
      <c r="E5" s="196" t="s">
        <v>119</v>
      </c>
      <c r="F5" s="196" t="s">
        <v>118</v>
      </c>
      <c r="G5" s="196" t="s">
        <v>119</v>
      </c>
      <c r="H5" s="196" t="s">
        <v>118</v>
      </c>
      <c r="I5" s="196" t="s">
        <v>119</v>
      </c>
      <c r="J5" s="196" t="s">
        <v>118</v>
      </c>
      <c r="K5" s="196" t="s">
        <v>119</v>
      </c>
      <c r="L5" s="196" t="s">
        <v>117</v>
      </c>
      <c r="M5" s="196" t="s">
        <v>118</v>
      </c>
      <c r="N5" s="196" t="s">
        <v>119</v>
      </c>
      <c r="O5" s="196" t="s">
        <v>118</v>
      </c>
      <c r="P5" s="196" t="s">
        <v>119</v>
      </c>
      <c r="Q5" s="196" t="s">
        <v>118</v>
      </c>
      <c r="R5" s="196" t="s">
        <v>119</v>
      </c>
      <c r="S5" s="196" t="s">
        <v>118</v>
      </c>
      <c r="T5" s="194" t="s">
        <v>119</v>
      </c>
    </row>
    <row r="6" spans="1:61">
      <c r="A6" s="188"/>
      <c r="B6" s="189"/>
      <c r="C6" s="197"/>
      <c r="D6" s="197"/>
      <c r="E6" s="197"/>
      <c r="F6" s="197"/>
      <c r="G6" s="197"/>
      <c r="H6" s="197"/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5"/>
    </row>
    <row r="7" spans="1:61" s="17" customFormat="1" ht="15.6" customHeight="1">
      <c r="A7" s="47" t="s">
        <v>80</v>
      </c>
      <c r="B7" s="48" t="s">
        <v>81</v>
      </c>
      <c r="C7" s="33">
        <v>9413</v>
      </c>
      <c r="D7" s="33">
        <v>5370</v>
      </c>
      <c r="E7" s="33">
        <v>4043</v>
      </c>
      <c r="F7" s="33">
        <v>655</v>
      </c>
      <c r="G7" s="33">
        <v>460</v>
      </c>
      <c r="H7" s="33">
        <v>1028</v>
      </c>
      <c r="I7" s="33">
        <v>597</v>
      </c>
      <c r="J7" s="33">
        <v>3687</v>
      </c>
      <c r="K7" s="33">
        <v>2986</v>
      </c>
      <c r="L7" s="33">
        <v>192382</v>
      </c>
      <c r="M7" s="33">
        <v>107398</v>
      </c>
      <c r="N7" s="33">
        <v>84984</v>
      </c>
      <c r="O7" s="33">
        <v>8432</v>
      </c>
      <c r="P7" s="33">
        <v>6220</v>
      </c>
      <c r="Q7" s="33">
        <v>13564</v>
      </c>
      <c r="R7" s="33">
        <v>8116</v>
      </c>
      <c r="S7" s="33">
        <v>85402</v>
      </c>
      <c r="T7" s="33">
        <v>70648</v>
      </c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</row>
    <row r="8" spans="1:61" ht="15.6" customHeight="1">
      <c r="A8" s="59" t="s">
        <v>151</v>
      </c>
      <c r="B8" s="36" t="s">
        <v>152</v>
      </c>
      <c r="C8" s="37">
        <v>910</v>
      </c>
      <c r="D8" s="37">
        <v>439</v>
      </c>
      <c r="E8" s="37">
        <v>471</v>
      </c>
      <c r="F8" s="37">
        <v>11</v>
      </c>
      <c r="G8" s="37">
        <v>9</v>
      </c>
      <c r="H8" s="37">
        <v>0</v>
      </c>
      <c r="I8" s="37">
        <v>0</v>
      </c>
      <c r="J8" s="37">
        <v>428</v>
      </c>
      <c r="K8" s="37">
        <v>462</v>
      </c>
      <c r="L8" s="37">
        <v>77892</v>
      </c>
      <c r="M8" s="37">
        <v>40726</v>
      </c>
      <c r="N8" s="37">
        <v>37166</v>
      </c>
      <c r="O8" s="37">
        <v>378</v>
      </c>
      <c r="P8" s="37">
        <v>640</v>
      </c>
      <c r="Q8" s="37">
        <v>108</v>
      </c>
      <c r="R8" s="37">
        <v>212</v>
      </c>
      <c r="S8" s="37">
        <v>40240</v>
      </c>
      <c r="T8" s="37">
        <v>36314</v>
      </c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</row>
    <row r="9" spans="1:61" ht="15.6" customHeight="1">
      <c r="A9" s="59" t="s">
        <v>129</v>
      </c>
      <c r="B9" s="36" t="s">
        <v>41</v>
      </c>
      <c r="C9" s="37">
        <v>265</v>
      </c>
      <c r="D9" s="37">
        <v>109</v>
      </c>
      <c r="E9" s="37">
        <v>156</v>
      </c>
      <c r="F9" s="37">
        <v>26</v>
      </c>
      <c r="G9" s="37">
        <v>30</v>
      </c>
      <c r="H9" s="37">
        <v>2</v>
      </c>
      <c r="I9" s="37">
        <v>5</v>
      </c>
      <c r="J9" s="37">
        <v>81</v>
      </c>
      <c r="K9" s="37">
        <v>121</v>
      </c>
      <c r="L9" s="37">
        <v>2114</v>
      </c>
      <c r="M9" s="37">
        <v>735</v>
      </c>
      <c r="N9" s="37">
        <v>1379</v>
      </c>
      <c r="O9" s="37">
        <v>95</v>
      </c>
      <c r="P9" s="37">
        <v>283</v>
      </c>
      <c r="Q9" s="37">
        <v>56</v>
      </c>
      <c r="R9" s="37">
        <v>56</v>
      </c>
      <c r="S9" s="37">
        <v>584</v>
      </c>
      <c r="T9" s="37">
        <v>1040</v>
      </c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</row>
    <row r="10" spans="1:61" ht="15.6" customHeight="1">
      <c r="A10" s="59" t="s">
        <v>130</v>
      </c>
      <c r="B10" s="36" t="s">
        <v>131</v>
      </c>
      <c r="C10" s="37">
        <v>83</v>
      </c>
      <c r="D10" s="37">
        <v>83</v>
      </c>
      <c r="E10" s="37">
        <v>0</v>
      </c>
      <c r="F10" s="37">
        <v>28</v>
      </c>
      <c r="G10" s="37">
        <v>0</v>
      </c>
      <c r="H10" s="37">
        <v>32</v>
      </c>
      <c r="I10" s="37">
        <v>0</v>
      </c>
      <c r="J10" s="37">
        <v>23</v>
      </c>
      <c r="K10" s="37">
        <v>0</v>
      </c>
      <c r="L10" s="37">
        <v>4324</v>
      </c>
      <c r="M10" s="37">
        <v>3279</v>
      </c>
      <c r="N10" s="37">
        <v>1045</v>
      </c>
      <c r="O10" s="37">
        <v>1009</v>
      </c>
      <c r="P10" s="37">
        <v>367</v>
      </c>
      <c r="Q10" s="37">
        <v>791</v>
      </c>
      <c r="R10" s="37">
        <v>96</v>
      </c>
      <c r="S10" s="37">
        <v>1479</v>
      </c>
      <c r="T10" s="37">
        <v>582</v>
      </c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</row>
    <row r="11" spans="1:61" ht="15.6" customHeight="1">
      <c r="A11" s="59" t="s">
        <v>132</v>
      </c>
      <c r="B11" s="36" t="s">
        <v>43</v>
      </c>
      <c r="C11" s="37">
        <v>16</v>
      </c>
      <c r="D11" s="37">
        <v>13</v>
      </c>
      <c r="E11" s="37">
        <v>3</v>
      </c>
      <c r="F11" s="37">
        <v>4</v>
      </c>
      <c r="G11" s="37">
        <v>0</v>
      </c>
      <c r="H11" s="37">
        <v>0</v>
      </c>
      <c r="I11" s="37">
        <v>0</v>
      </c>
      <c r="J11" s="37">
        <v>9</v>
      </c>
      <c r="K11" s="37">
        <v>3</v>
      </c>
      <c r="L11" s="37">
        <v>173</v>
      </c>
      <c r="M11" s="37">
        <v>87</v>
      </c>
      <c r="N11" s="37">
        <v>86</v>
      </c>
      <c r="O11" s="37">
        <v>7</v>
      </c>
      <c r="P11" s="37">
        <v>0</v>
      </c>
      <c r="Q11" s="37">
        <v>0</v>
      </c>
      <c r="R11" s="37">
        <v>0</v>
      </c>
      <c r="S11" s="37">
        <v>80</v>
      </c>
      <c r="T11" s="37">
        <v>86</v>
      </c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</row>
    <row r="12" spans="1:61" ht="15.6" customHeight="1">
      <c r="A12" s="59" t="s">
        <v>133</v>
      </c>
      <c r="B12" s="36" t="s">
        <v>45</v>
      </c>
      <c r="C12" s="37">
        <v>1382</v>
      </c>
      <c r="D12" s="37">
        <v>702</v>
      </c>
      <c r="E12" s="37">
        <v>680</v>
      </c>
      <c r="F12" s="37">
        <v>95</v>
      </c>
      <c r="G12" s="37">
        <v>151</v>
      </c>
      <c r="H12" s="37">
        <v>159</v>
      </c>
      <c r="I12" s="37">
        <v>89</v>
      </c>
      <c r="J12" s="37">
        <v>448</v>
      </c>
      <c r="K12" s="37">
        <v>440</v>
      </c>
      <c r="L12" s="37">
        <v>11974</v>
      </c>
      <c r="M12" s="37">
        <v>6384</v>
      </c>
      <c r="N12" s="37">
        <v>5590</v>
      </c>
      <c r="O12" s="37">
        <v>857</v>
      </c>
      <c r="P12" s="37">
        <v>1365</v>
      </c>
      <c r="Q12" s="37">
        <v>1394</v>
      </c>
      <c r="R12" s="37">
        <v>780</v>
      </c>
      <c r="S12" s="37">
        <v>4133</v>
      </c>
      <c r="T12" s="37">
        <v>3445</v>
      </c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</row>
    <row r="13" spans="1:61" ht="15.6" customHeight="1">
      <c r="A13" s="59" t="s">
        <v>153</v>
      </c>
      <c r="B13" s="36" t="s">
        <v>154</v>
      </c>
      <c r="C13" s="37">
        <v>170</v>
      </c>
      <c r="D13" s="37">
        <v>103</v>
      </c>
      <c r="E13" s="37">
        <v>67</v>
      </c>
      <c r="F13" s="37">
        <v>7</v>
      </c>
      <c r="G13" s="37">
        <v>2</v>
      </c>
      <c r="H13" s="37">
        <v>38</v>
      </c>
      <c r="I13" s="37">
        <v>25</v>
      </c>
      <c r="J13" s="37">
        <v>58</v>
      </c>
      <c r="K13" s="37">
        <v>40</v>
      </c>
      <c r="L13" s="37">
        <v>6464</v>
      </c>
      <c r="M13" s="37">
        <v>4133</v>
      </c>
      <c r="N13" s="37">
        <v>2331</v>
      </c>
      <c r="O13" s="37">
        <v>438</v>
      </c>
      <c r="P13" s="37">
        <v>186</v>
      </c>
      <c r="Q13" s="37">
        <v>1632</v>
      </c>
      <c r="R13" s="37">
        <v>867</v>
      </c>
      <c r="S13" s="37">
        <v>2063</v>
      </c>
      <c r="T13" s="37">
        <v>1278</v>
      </c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</row>
    <row r="14" spans="1:61" ht="15.6" customHeight="1">
      <c r="A14" s="59" t="s">
        <v>134</v>
      </c>
      <c r="B14" s="36" t="s">
        <v>47</v>
      </c>
      <c r="C14" s="37">
        <v>607</v>
      </c>
      <c r="D14" s="37">
        <v>336</v>
      </c>
      <c r="E14" s="37">
        <v>271</v>
      </c>
      <c r="F14" s="37">
        <v>44</v>
      </c>
      <c r="G14" s="37">
        <v>20</v>
      </c>
      <c r="H14" s="37">
        <v>55</v>
      </c>
      <c r="I14" s="37">
        <v>74</v>
      </c>
      <c r="J14" s="37">
        <v>237</v>
      </c>
      <c r="K14" s="37">
        <v>177</v>
      </c>
      <c r="L14" s="37">
        <v>3682</v>
      </c>
      <c r="M14" s="37">
        <v>1997</v>
      </c>
      <c r="N14" s="37">
        <v>1685</v>
      </c>
      <c r="O14" s="37">
        <v>267</v>
      </c>
      <c r="P14" s="37">
        <v>100</v>
      </c>
      <c r="Q14" s="37">
        <v>326</v>
      </c>
      <c r="R14" s="37">
        <v>494</v>
      </c>
      <c r="S14" s="37">
        <v>1404</v>
      </c>
      <c r="T14" s="37">
        <v>1091</v>
      </c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</row>
    <row r="15" spans="1:61" ht="15.6" customHeight="1">
      <c r="A15" s="59" t="s">
        <v>135</v>
      </c>
      <c r="B15" s="36" t="s">
        <v>49</v>
      </c>
      <c r="C15" s="37">
        <v>1033</v>
      </c>
      <c r="D15" s="37">
        <v>719</v>
      </c>
      <c r="E15" s="37">
        <v>314</v>
      </c>
      <c r="F15" s="37">
        <v>54</v>
      </c>
      <c r="G15" s="37">
        <v>17</v>
      </c>
      <c r="H15" s="37">
        <v>205</v>
      </c>
      <c r="I15" s="37">
        <v>90</v>
      </c>
      <c r="J15" s="37">
        <v>460</v>
      </c>
      <c r="K15" s="37">
        <v>207</v>
      </c>
      <c r="L15" s="37">
        <v>11520</v>
      </c>
      <c r="M15" s="37">
        <v>7777</v>
      </c>
      <c r="N15" s="37">
        <v>3743</v>
      </c>
      <c r="O15" s="37">
        <v>628</v>
      </c>
      <c r="P15" s="37">
        <v>241</v>
      </c>
      <c r="Q15" s="37">
        <v>2295</v>
      </c>
      <c r="R15" s="37">
        <v>1141</v>
      </c>
      <c r="S15" s="37">
        <v>4854</v>
      </c>
      <c r="T15" s="37">
        <v>2361</v>
      </c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</row>
    <row r="16" spans="1:61" ht="15.6" customHeight="1">
      <c r="A16" s="59" t="s">
        <v>136</v>
      </c>
      <c r="B16" s="36" t="s">
        <v>51</v>
      </c>
      <c r="C16" s="37">
        <v>105</v>
      </c>
      <c r="D16" s="37">
        <v>53</v>
      </c>
      <c r="E16" s="37">
        <v>52</v>
      </c>
      <c r="F16" s="37">
        <v>4</v>
      </c>
      <c r="G16" s="37">
        <v>2</v>
      </c>
      <c r="H16" s="37">
        <v>4</v>
      </c>
      <c r="I16" s="37">
        <v>8</v>
      </c>
      <c r="J16" s="37">
        <v>45</v>
      </c>
      <c r="K16" s="37">
        <v>42</v>
      </c>
      <c r="L16" s="37">
        <v>2540</v>
      </c>
      <c r="M16" s="37">
        <v>1287</v>
      </c>
      <c r="N16" s="37">
        <v>1253</v>
      </c>
      <c r="O16" s="37">
        <v>80</v>
      </c>
      <c r="P16" s="37">
        <v>82</v>
      </c>
      <c r="Q16" s="37">
        <v>61</v>
      </c>
      <c r="R16" s="37">
        <v>200</v>
      </c>
      <c r="S16" s="37">
        <v>1146</v>
      </c>
      <c r="T16" s="37">
        <v>971</v>
      </c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</row>
    <row r="17" spans="1:61" ht="15.6" customHeight="1">
      <c r="A17" s="59" t="s">
        <v>137</v>
      </c>
      <c r="B17" s="36" t="s">
        <v>53</v>
      </c>
      <c r="C17" s="37">
        <v>220</v>
      </c>
      <c r="D17" s="37">
        <v>105</v>
      </c>
      <c r="E17" s="37">
        <v>115</v>
      </c>
      <c r="F17" s="37">
        <v>40</v>
      </c>
      <c r="G17" s="37">
        <v>31</v>
      </c>
      <c r="H17" s="37">
        <v>13</v>
      </c>
      <c r="I17" s="37">
        <v>16</v>
      </c>
      <c r="J17" s="37">
        <v>52</v>
      </c>
      <c r="K17" s="37">
        <v>68</v>
      </c>
      <c r="L17" s="37">
        <v>4398</v>
      </c>
      <c r="M17" s="37">
        <v>2255</v>
      </c>
      <c r="N17" s="37">
        <v>2143</v>
      </c>
      <c r="O17" s="37">
        <v>714</v>
      </c>
      <c r="P17" s="37">
        <v>628</v>
      </c>
      <c r="Q17" s="37">
        <v>497</v>
      </c>
      <c r="R17" s="37">
        <v>280</v>
      </c>
      <c r="S17" s="37">
        <v>1044</v>
      </c>
      <c r="T17" s="37">
        <v>1235</v>
      </c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</row>
    <row r="18" spans="1:61" ht="15.6" customHeight="1">
      <c r="A18" s="59" t="s">
        <v>155</v>
      </c>
      <c r="B18" s="36" t="s">
        <v>156</v>
      </c>
      <c r="C18" s="37">
        <v>287</v>
      </c>
      <c r="D18" s="37">
        <v>182</v>
      </c>
      <c r="E18" s="37">
        <v>105</v>
      </c>
      <c r="F18" s="37">
        <v>16</v>
      </c>
      <c r="G18" s="37">
        <v>20</v>
      </c>
      <c r="H18" s="37">
        <v>27</v>
      </c>
      <c r="I18" s="37">
        <v>14</v>
      </c>
      <c r="J18" s="37">
        <v>139</v>
      </c>
      <c r="K18" s="37">
        <v>71</v>
      </c>
      <c r="L18" s="37">
        <v>1945</v>
      </c>
      <c r="M18" s="37">
        <v>1335</v>
      </c>
      <c r="N18" s="37">
        <v>610</v>
      </c>
      <c r="O18" s="37">
        <v>119</v>
      </c>
      <c r="P18" s="37">
        <v>81</v>
      </c>
      <c r="Q18" s="37">
        <v>243</v>
      </c>
      <c r="R18" s="37">
        <v>90</v>
      </c>
      <c r="S18" s="37">
        <v>973</v>
      </c>
      <c r="T18" s="37">
        <v>439</v>
      </c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</row>
    <row r="19" spans="1:61" ht="15.6" customHeight="1">
      <c r="A19" s="59" t="s">
        <v>157</v>
      </c>
      <c r="B19" s="36" t="s">
        <v>158</v>
      </c>
      <c r="C19" s="37">
        <v>862</v>
      </c>
      <c r="D19" s="37">
        <v>518</v>
      </c>
      <c r="E19" s="37">
        <v>344</v>
      </c>
      <c r="F19" s="37">
        <v>34</v>
      </c>
      <c r="G19" s="37">
        <v>13</v>
      </c>
      <c r="H19" s="37">
        <v>199</v>
      </c>
      <c r="I19" s="37">
        <v>89</v>
      </c>
      <c r="J19" s="37">
        <v>285</v>
      </c>
      <c r="K19" s="37">
        <v>242</v>
      </c>
      <c r="L19" s="37">
        <v>13517</v>
      </c>
      <c r="M19" s="37">
        <v>8279</v>
      </c>
      <c r="N19" s="37">
        <v>5238</v>
      </c>
      <c r="O19" s="37">
        <v>424</v>
      </c>
      <c r="P19" s="37">
        <v>151</v>
      </c>
      <c r="Q19" s="37">
        <v>2525</v>
      </c>
      <c r="R19" s="37">
        <v>1562</v>
      </c>
      <c r="S19" s="37">
        <v>5330</v>
      </c>
      <c r="T19" s="37">
        <v>3525</v>
      </c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</row>
    <row r="20" spans="1:61" ht="15.6" customHeight="1">
      <c r="A20" s="59" t="s">
        <v>138</v>
      </c>
      <c r="B20" s="36" t="s">
        <v>55</v>
      </c>
      <c r="C20" s="37">
        <v>313</v>
      </c>
      <c r="D20" s="37">
        <v>161</v>
      </c>
      <c r="E20" s="37">
        <v>152</v>
      </c>
      <c r="F20" s="37">
        <v>47</v>
      </c>
      <c r="G20" s="37">
        <v>42</v>
      </c>
      <c r="H20" s="37">
        <v>15</v>
      </c>
      <c r="I20" s="37">
        <v>27</v>
      </c>
      <c r="J20" s="37">
        <v>99</v>
      </c>
      <c r="K20" s="37">
        <v>83</v>
      </c>
      <c r="L20" s="37">
        <v>2931</v>
      </c>
      <c r="M20" s="37">
        <v>1755</v>
      </c>
      <c r="N20" s="37">
        <v>1176</v>
      </c>
      <c r="O20" s="37">
        <v>303</v>
      </c>
      <c r="P20" s="37">
        <v>369</v>
      </c>
      <c r="Q20" s="37">
        <v>321</v>
      </c>
      <c r="R20" s="37">
        <v>253</v>
      </c>
      <c r="S20" s="37">
        <v>1131</v>
      </c>
      <c r="T20" s="37">
        <v>554</v>
      </c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</row>
    <row r="21" spans="1:61" ht="15.6" customHeight="1">
      <c r="A21" s="59" t="s">
        <v>139</v>
      </c>
      <c r="B21" s="36" t="s">
        <v>57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</row>
    <row r="22" spans="1:61" ht="15.6" customHeight="1">
      <c r="A22" s="59" t="s">
        <v>140</v>
      </c>
      <c r="B22" s="36" t="s">
        <v>59</v>
      </c>
      <c r="C22" s="37">
        <v>931</v>
      </c>
      <c r="D22" s="37">
        <v>634</v>
      </c>
      <c r="E22" s="37">
        <v>297</v>
      </c>
      <c r="F22" s="37">
        <v>101</v>
      </c>
      <c r="G22" s="37">
        <v>29</v>
      </c>
      <c r="H22" s="37">
        <v>95</v>
      </c>
      <c r="I22" s="37">
        <v>54</v>
      </c>
      <c r="J22" s="37">
        <v>438</v>
      </c>
      <c r="K22" s="37">
        <v>214</v>
      </c>
      <c r="L22" s="37">
        <v>5239</v>
      </c>
      <c r="M22" s="37">
        <v>3600</v>
      </c>
      <c r="N22" s="37">
        <v>1639</v>
      </c>
      <c r="O22" s="37">
        <v>509</v>
      </c>
      <c r="P22" s="37">
        <v>141</v>
      </c>
      <c r="Q22" s="37">
        <v>423</v>
      </c>
      <c r="R22" s="37">
        <v>290</v>
      </c>
      <c r="S22" s="37">
        <v>2668</v>
      </c>
      <c r="T22" s="37">
        <v>1208</v>
      </c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</row>
    <row r="23" spans="1:61" ht="15.6" customHeight="1">
      <c r="A23" s="59" t="s">
        <v>141</v>
      </c>
      <c r="B23" s="36" t="s">
        <v>61</v>
      </c>
      <c r="C23" s="37">
        <v>1</v>
      </c>
      <c r="D23" s="37">
        <v>1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1</v>
      </c>
      <c r="K23" s="37">
        <v>0</v>
      </c>
      <c r="L23" s="37">
        <v>4</v>
      </c>
      <c r="M23" s="37">
        <v>4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4</v>
      </c>
      <c r="T23" s="37">
        <v>0</v>
      </c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</row>
    <row r="24" spans="1:61" ht="15.6" customHeight="1">
      <c r="A24" s="59" t="s">
        <v>142</v>
      </c>
      <c r="B24" s="36" t="s">
        <v>63</v>
      </c>
      <c r="C24" s="37">
        <v>302</v>
      </c>
      <c r="D24" s="37">
        <v>179</v>
      </c>
      <c r="E24" s="37">
        <v>123</v>
      </c>
      <c r="F24" s="37">
        <v>47</v>
      </c>
      <c r="G24" s="37">
        <v>21</v>
      </c>
      <c r="H24" s="37">
        <v>22</v>
      </c>
      <c r="I24" s="37">
        <v>22</v>
      </c>
      <c r="J24" s="37">
        <v>110</v>
      </c>
      <c r="K24" s="37">
        <v>80</v>
      </c>
      <c r="L24" s="37">
        <v>3762</v>
      </c>
      <c r="M24" s="37">
        <v>2595</v>
      </c>
      <c r="N24" s="37">
        <v>1167</v>
      </c>
      <c r="O24" s="37">
        <v>476</v>
      </c>
      <c r="P24" s="37">
        <v>153</v>
      </c>
      <c r="Q24" s="37">
        <v>404</v>
      </c>
      <c r="R24" s="37">
        <v>274</v>
      </c>
      <c r="S24" s="37">
        <v>1715</v>
      </c>
      <c r="T24" s="37">
        <v>740</v>
      </c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</row>
    <row r="25" spans="1:61" ht="15.6" customHeight="1">
      <c r="A25" s="59" t="s">
        <v>143</v>
      </c>
      <c r="B25" s="36" t="s">
        <v>65</v>
      </c>
      <c r="C25" s="37">
        <v>341</v>
      </c>
      <c r="D25" s="37">
        <v>228</v>
      </c>
      <c r="E25" s="37">
        <v>113</v>
      </c>
      <c r="F25" s="37">
        <v>6</v>
      </c>
      <c r="G25" s="37">
        <v>0</v>
      </c>
      <c r="H25" s="37">
        <v>70</v>
      </c>
      <c r="I25" s="37">
        <v>27</v>
      </c>
      <c r="J25" s="37">
        <v>152</v>
      </c>
      <c r="K25" s="37">
        <v>86</v>
      </c>
      <c r="L25" s="37">
        <v>2692</v>
      </c>
      <c r="M25" s="37">
        <v>1849</v>
      </c>
      <c r="N25" s="37">
        <v>843</v>
      </c>
      <c r="O25" s="37">
        <v>30</v>
      </c>
      <c r="P25" s="37">
        <v>0</v>
      </c>
      <c r="Q25" s="37">
        <v>582</v>
      </c>
      <c r="R25" s="37">
        <v>159</v>
      </c>
      <c r="S25" s="37">
        <v>1237</v>
      </c>
      <c r="T25" s="37">
        <v>684</v>
      </c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</row>
    <row r="26" spans="1:61" ht="15.6" customHeight="1">
      <c r="A26" s="59" t="s">
        <v>159</v>
      </c>
      <c r="B26" s="36" t="s">
        <v>160</v>
      </c>
      <c r="C26" s="37">
        <v>98</v>
      </c>
      <c r="D26" s="37">
        <v>53</v>
      </c>
      <c r="E26" s="37">
        <v>45</v>
      </c>
      <c r="F26" s="37">
        <v>16</v>
      </c>
      <c r="G26" s="37">
        <v>13</v>
      </c>
      <c r="H26" s="37">
        <v>1</v>
      </c>
      <c r="I26" s="37">
        <v>5</v>
      </c>
      <c r="J26" s="37">
        <v>36</v>
      </c>
      <c r="K26" s="37">
        <v>27</v>
      </c>
      <c r="L26" s="37">
        <v>3320</v>
      </c>
      <c r="M26" s="37">
        <v>1811</v>
      </c>
      <c r="N26" s="37">
        <v>1509</v>
      </c>
      <c r="O26" s="37">
        <v>589</v>
      </c>
      <c r="P26" s="37">
        <v>401</v>
      </c>
      <c r="Q26" s="37">
        <v>29</v>
      </c>
      <c r="R26" s="37">
        <v>117</v>
      </c>
      <c r="S26" s="37">
        <v>1193</v>
      </c>
      <c r="T26" s="37">
        <v>991</v>
      </c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</row>
    <row r="27" spans="1:61" ht="15.6" customHeight="1">
      <c r="A27" s="59" t="s">
        <v>144</v>
      </c>
      <c r="B27" s="36" t="s">
        <v>67</v>
      </c>
      <c r="C27" s="37">
        <v>298</v>
      </c>
      <c r="D27" s="37">
        <v>153</v>
      </c>
      <c r="E27" s="37">
        <v>145</v>
      </c>
      <c r="F27" s="37">
        <v>40</v>
      </c>
      <c r="G27" s="37">
        <v>23</v>
      </c>
      <c r="H27" s="37">
        <v>6</v>
      </c>
      <c r="I27" s="37">
        <v>2</v>
      </c>
      <c r="J27" s="37">
        <v>107</v>
      </c>
      <c r="K27" s="37">
        <v>120</v>
      </c>
      <c r="L27" s="37">
        <v>2392</v>
      </c>
      <c r="M27" s="37">
        <v>1264</v>
      </c>
      <c r="N27" s="37">
        <v>1128</v>
      </c>
      <c r="O27" s="37">
        <v>260</v>
      </c>
      <c r="P27" s="37">
        <v>219</v>
      </c>
      <c r="Q27" s="37">
        <v>72</v>
      </c>
      <c r="R27" s="37">
        <v>4</v>
      </c>
      <c r="S27" s="37">
        <v>932</v>
      </c>
      <c r="T27" s="37">
        <v>905</v>
      </c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</row>
    <row r="28" spans="1:61" ht="15.6" customHeight="1">
      <c r="A28" s="59" t="s">
        <v>161</v>
      </c>
      <c r="B28" s="36" t="s">
        <v>162</v>
      </c>
      <c r="C28" s="37">
        <v>583</v>
      </c>
      <c r="D28" s="37">
        <v>316</v>
      </c>
      <c r="E28" s="37">
        <v>267</v>
      </c>
      <c r="F28" s="37">
        <v>11</v>
      </c>
      <c r="G28" s="37">
        <v>21</v>
      </c>
      <c r="H28" s="37">
        <v>63</v>
      </c>
      <c r="I28" s="37">
        <v>25</v>
      </c>
      <c r="J28" s="37">
        <v>242</v>
      </c>
      <c r="K28" s="37">
        <v>221</v>
      </c>
      <c r="L28" s="37">
        <v>5095</v>
      </c>
      <c r="M28" s="37">
        <v>3247</v>
      </c>
      <c r="N28" s="37">
        <v>1848</v>
      </c>
      <c r="O28" s="37">
        <v>97</v>
      </c>
      <c r="P28" s="37">
        <v>27</v>
      </c>
      <c r="Q28" s="37">
        <v>568</v>
      </c>
      <c r="R28" s="37">
        <v>171</v>
      </c>
      <c r="S28" s="37">
        <v>2582</v>
      </c>
      <c r="T28" s="37">
        <v>1650</v>
      </c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</row>
    <row r="29" spans="1:61" s="17" customFormat="1" ht="15.6" customHeight="1">
      <c r="A29" s="60" t="s">
        <v>125</v>
      </c>
      <c r="B29" s="31" t="s">
        <v>163</v>
      </c>
      <c r="C29" s="61">
        <v>606</v>
      </c>
      <c r="D29" s="61">
        <v>283</v>
      </c>
      <c r="E29" s="61">
        <v>323</v>
      </c>
      <c r="F29" s="61">
        <v>24</v>
      </c>
      <c r="G29" s="61">
        <v>16</v>
      </c>
      <c r="H29" s="61">
        <v>22</v>
      </c>
      <c r="I29" s="61">
        <v>25</v>
      </c>
      <c r="J29" s="61">
        <v>237</v>
      </c>
      <c r="K29" s="61">
        <v>282</v>
      </c>
      <c r="L29" s="61">
        <v>26164</v>
      </c>
      <c r="M29" s="61">
        <v>12807</v>
      </c>
      <c r="N29" s="61">
        <v>13357</v>
      </c>
      <c r="O29" s="61">
        <v>1056</v>
      </c>
      <c r="P29" s="61">
        <v>738</v>
      </c>
      <c r="Q29" s="61">
        <v>1141</v>
      </c>
      <c r="R29" s="61">
        <v>1070</v>
      </c>
      <c r="S29" s="61">
        <v>10610</v>
      </c>
      <c r="T29" s="61">
        <v>11549</v>
      </c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</row>
    <row r="30" spans="1:61" s="17" customFormat="1" ht="15.6" customHeight="1">
      <c r="A30" s="60" t="s">
        <v>128</v>
      </c>
      <c r="B30" s="31" t="s">
        <v>164</v>
      </c>
      <c r="C30" s="61">
        <v>0</v>
      </c>
      <c r="D30" s="61">
        <v>0</v>
      </c>
      <c r="E30" s="61">
        <v>0</v>
      </c>
      <c r="F30" s="61">
        <v>0</v>
      </c>
      <c r="G30" s="61">
        <v>0</v>
      </c>
      <c r="H30" s="61">
        <v>0</v>
      </c>
      <c r="I30" s="61">
        <v>0</v>
      </c>
      <c r="J30" s="61">
        <v>0</v>
      </c>
      <c r="K30" s="61">
        <v>0</v>
      </c>
      <c r="L30" s="61">
        <v>0</v>
      </c>
      <c r="M30" s="61">
        <v>0</v>
      </c>
      <c r="N30" s="61">
        <v>0</v>
      </c>
      <c r="O30" s="61">
        <v>0</v>
      </c>
      <c r="P30" s="61">
        <v>0</v>
      </c>
      <c r="Q30" s="61">
        <v>0</v>
      </c>
      <c r="R30" s="61">
        <v>0</v>
      </c>
      <c r="S30" s="61">
        <v>0</v>
      </c>
      <c r="T30" s="61">
        <v>0</v>
      </c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</row>
    <row r="31" spans="1:61" ht="15.95" customHeight="1">
      <c r="A31" s="59" t="s">
        <v>145</v>
      </c>
      <c r="B31" s="36" t="s">
        <v>69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37">
        <v>0</v>
      </c>
      <c r="S31" s="37">
        <v>0</v>
      </c>
      <c r="T31" s="37">
        <v>0</v>
      </c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</row>
    <row r="32" spans="1:61" ht="15.95" customHeight="1">
      <c r="A32" s="62" t="s">
        <v>146</v>
      </c>
      <c r="B32" s="39" t="s">
        <v>71</v>
      </c>
      <c r="C32" s="40">
        <v>0</v>
      </c>
      <c r="D32" s="40">
        <v>0</v>
      </c>
      <c r="E32" s="40">
        <v>0</v>
      </c>
      <c r="F32" s="40">
        <v>0</v>
      </c>
      <c r="G32" s="40">
        <v>0</v>
      </c>
      <c r="H32" s="40">
        <v>0</v>
      </c>
      <c r="I32" s="40">
        <v>0</v>
      </c>
      <c r="J32" s="40">
        <v>0</v>
      </c>
      <c r="K32" s="40">
        <v>0</v>
      </c>
      <c r="L32" s="40">
        <v>240</v>
      </c>
      <c r="M32" s="40">
        <v>192</v>
      </c>
      <c r="N32" s="40">
        <v>48</v>
      </c>
      <c r="O32" s="40">
        <v>96</v>
      </c>
      <c r="P32" s="40">
        <v>48</v>
      </c>
      <c r="Q32" s="40">
        <v>96</v>
      </c>
      <c r="R32" s="40">
        <v>0</v>
      </c>
      <c r="S32" s="40">
        <v>0</v>
      </c>
      <c r="T32" s="40">
        <v>0</v>
      </c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</row>
    <row r="33" spans="1:2" ht="16.5">
      <c r="A33" s="8" t="s">
        <v>72</v>
      </c>
      <c r="B33" s="19"/>
    </row>
    <row r="34" spans="1:2">
      <c r="A34" s="2" t="s">
        <v>74</v>
      </c>
    </row>
  </sheetData>
  <mergeCells count="27">
    <mergeCell ref="A3:B6"/>
    <mergeCell ref="C3:K3"/>
    <mergeCell ref="L3:T3"/>
    <mergeCell ref="F4:G4"/>
    <mergeCell ref="H4:I4"/>
    <mergeCell ref="J4:K4"/>
    <mergeCell ref="O4:P4"/>
    <mergeCell ref="Q4:R4"/>
    <mergeCell ref="S4:T4"/>
    <mergeCell ref="C5:C6"/>
    <mergeCell ref="O5:O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T5:T6"/>
    <mergeCell ref="N5:N6"/>
    <mergeCell ref="P5:P6"/>
    <mergeCell ref="Q5:Q6"/>
    <mergeCell ref="R5:R6"/>
    <mergeCell ref="S5:S6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7" fitToWidth="10" orientation="landscape" useFirstPageNumber="1" horizontalDpi="4294967292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34"/>
  <sheetViews>
    <sheetView zoomScaleNormal="100" zoomScaleSheetLayoutView="75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9.375" defaultRowHeight="12.75"/>
  <cols>
    <col min="1" max="1" width="8" style="2" customWidth="1"/>
    <col min="2" max="2" width="15.625" style="2" customWidth="1"/>
    <col min="3" max="20" width="7.625" style="2" customWidth="1"/>
    <col min="21" max="16384" width="9.375" style="2"/>
  </cols>
  <sheetData>
    <row r="1" spans="1:61" ht="21">
      <c r="A1" s="1" t="s">
        <v>1</v>
      </c>
      <c r="B1" s="22"/>
    </row>
    <row r="2" spans="1:61" ht="26.25" customHeight="1">
      <c r="A2" s="11" t="s">
        <v>165</v>
      </c>
      <c r="B2" s="21"/>
    </row>
    <row r="3" spans="1:61" ht="16.5" customHeight="1">
      <c r="A3" s="179" t="s">
        <v>22</v>
      </c>
      <c r="B3" s="185"/>
      <c r="C3" s="190" t="s">
        <v>78</v>
      </c>
      <c r="D3" s="151"/>
      <c r="E3" s="151"/>
      <c r="F3" s="151"/>
      <c r="G3" s="151"/>
      <c r="H3" s="151"/>
      <c r="I3" s="151"/>
      <c r="J3" s="151"/>
      <c r="K3" s="191"/>
      <c r="L3" s="190" t="s">
        <v>79</v>
      </c>
      <c r="M3" s="151"/>
      <c r="N3" s="151"/>
      <c r="O3" s="151"/>
      <c r="P3" s="151"/>
      <c r="Q3" s="151"/>
      <c r="R3" s="151"/>
      <c r="S3" s="151"/>
      <c r="T3" s="151"/>
    </row>
    <row r="4" spans="1:61" s="25" customFormat="1" ht="29.25" customHeight="1">
      <c r="A4" s="186"/>
      <c r="B4" s="187"/>
      <c r="C4" s="3" t="s">
        <v>2</v>
      </c>
      <c r="D4" s="41"/>
      <c r="E4" s="5"/>
      <c r="F4" s="192" t="s">
        <v>107</v>
      </c>
      <c r="G4" s="193"/>
      <c r="H4" s="192" t="s">
        <v>108</v>
      </c>
      <c r="I4" s="193"/>
      <c r="J4" s="192" t="s">
        <v>116</v>
      </c>
      <c r="K4" s="191"/>
      <c r="L4" s="3" t="s">
        <v>2</v>
      </c>
      <c r="M4" s="42"/>
      <c r="N4" s="5"/>
      <c r="O4" s="192" t="s">
        <v>107</v>
      </c>
      <c r="P4" s="193"/>
      <c r="Q4" s="192" t="s">
        <v>108</v>
      </c>
      <c r="R4" s="193"/>
      <c r="S4" s="192" t="s">
        <v>116</v>
      </c>
      <c r="T4" s="151"/>
    </row>
    <row r="5" spans="1:61" s="7" customFormat="1" ht="16.5" customHeight="1">
      <c r="A5" s="186"/>
      <c r="B5" s="187"/>
      <c r="C5" s="196" t="s">
        <v>117</v>
      </c>
      <c r="D5" s="196" t="s">
        <v>118</v>
      </c>
      <c r="E5" s="196" t="s">
        <v>119</v>
      </c>
      <c r="F5" s="196" t="s">
        <v>118</v>
      </c>
      <c r="G5" s="196" t="s">
        <v>119</v>
      </c>
      <c r="H5" s="196" t="s">
        <v>118</v>
      </c>
      <c r="I5" s="196" t="s">
        <v>119</v>
      </c>
      <c r="J5" s="196" t="s">
        <v>118</v>
      </c>
      <c r="K5" s="196" t="s">
        <v>119</v>
      </c>
      <c r="L5" s="196" t="s">
        <v>117</v>
      </c>
      <c r="M5" s="196" t="s">
        <v>118</v>
      </c>
      <c r="N5" s="196" t="s">
        <v>119</v>
      </c>
      <c r="O5" s="196" t="s">
        <v>118</v>
      </c>
      <c r="P5" s="196" t="s">
        <v>119</v>
      </c>
      <c r="Q5" s="196" t="s">
        <v>118</v>
      </c>
      <c r="R5" s="196" t="s">
        <v>119</v>
      </c>
      <c r="S5" s="196" t="s">
        <v>118</v>
      </c>
      <c r="T5" s="194" t="s">
        <v>119</v>
      </c>
    </row>
    <row r="6" spans="1:61">
      <c r="A6" s="188"/>
      <c r="B6" s="189"/>
      <c r="C6" s="197"/>
      <c r="D6" s="197"/>
      <c r="E6" s="197"/>
      <c r="F6" s="197"/>
      <c r="G6" s="197"/>
      <c r="H6" s="197"/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5"/>
    </row>
    <row r="7" spans="1:61" s="17" customFormat="1" ht="15.6" customHeight="1">
      <c r="A7" s="47" t="s">
        <v>80</v>
      </c>
      <c r="B7" s="48" t="s">
        <v>81</v>
      </c>
      <c r="C7" s="33">
        <v>8956</v>
      </c>
      <c r="D7" s="33">
        <v>5067</v>
      </c>
      <c r="E7" s="33">
        <v>3889</v>
      </c>
      <c r="F7" s="33">
        <v>559</v>
      </c>
      <c r="G7" s="33">
        <v>359</v>
      </c>
      <c r="H7" s="33">
        <v>657</v>
      </c>
      <c r="I7" s="33">
        <v>353</v>
      </c>
      <c r="J7" s="33">
        <v>3851</v>
      </c>
      <c r="K7" s="33">
        <v>3177</v>
      </c>
      <c r="L7" s="33">
        <v>147681</v>
      </c>
      <c r="M7" s="33">
        <v>82475</v>
      </c>
      <c r="N7" s="33">
        <v>65206</v>
      </c>
      <c r="O7" s="33">
        <v>7084</v>
      </c>
      <c r="P7" s="33">
        <v>3199</v>
      </c>
      <c r="Q7" s="33">
        <v>6608</v>
      </c>
      <c r="R7" s="33">
        <v>2796</v>
      </c>
      <c r="S7" s="33">
        <v>68783</v>
      </c>
      <c r="T7" s="33">
        <v>59211</v>
      </c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</row>
    <row r="8" spans="1:61" ht="15.6" customHeight="1">
      <c r="A8" s="59" t="s">
        <v>151</v>
      </c>
      <c r="B8" s="36" t="s">
        <v>152</v>
      </c>
      <c r="C8" s="37">
        <v>4187</v>
      </c>
      <c r="D8" s="37">
        <v>2285</v>
      </c>
      <c r="E8" s="37">
        <v>1902</v>
      </c>
      <c r="F8" s="37">
        <v>25</v>
      </c>
      <c r="G8" s="37">
        <v>29</v>
      </c>
      <c r="H8" s="37">
        <v>16</v>
      </c>
      <c r="I8" s="37">
        <v>28</v>
      </c>
      <c r="J8" s="37">
        <v>2244</v>
      </c>
      <c r="K8" s="37">
        <v>1845</v>
      </c>
      <c r="L8" s="37">
        <v>91951</v>
      </c>
      <c r="M8" s="37">
        <v>46081</v>
      </c>
      <c r="N8" s="37">
        <v>45870</v>
      </c>
      <c r="O8" s="37">
        <v>436</v>
      </c>
      <c r="P8" s="37">
        <v>579</v>
      </c>
      <c r="Q8" s="37">
        <v>78</v>
      </c>
      <c r="R8" s="37">
        <v>248</v>
      </c>
      <c r="S8" s="37">
        <v>45567</v>
      </c>
      <c r="T8" s="37">
        <v>45043</v>
      </c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</row>
    <row r="9" spans="1:61" ht="15.6" customHeight="1">
      <c r="A9" s="59" t="s">
        <v>129</v>
      </c>
      <c r="B9" s="36" t="s">
        <v>41</v>
      </c>
      <c r="C9" s="37">
        <v>201</v>
      </c>
      <c r="D9" s="37">
        <v>102</v>
      </c>
      <c r="E9" s="37">
        <v>99</v>
      </c>
      <c r="F9" s="37">
        <v>2</v>
      </c>
      <c r="G9" s="37">
        <v>9</v>
      </c>
      <c r="H9" s="37">
        <v>7</v>
      </c>
      <c r="I9" s="37">
        <v>4</v>
      </c>
      <c r="J9" s="37">
        <v>93</v>
      </c>
      <c r="K9" s="37">
        <v>86</v>
      </c>
      <c r="L9" s="37">
        <v>2130</v>
      </c>
      <c r="M9" s="37">
        <v>1105</v>
      </c>
      <c r="N9" s="37">
        <v>1025</v>
      </c>
      <c r="O9" s="37">
        <v>8</v>
      </c>
      <c r="P9" s="37">
        <v>17</v>
      </c>
      <c r="Q9" s="37">
        <v>58</v>
      </c>
      <c r="R9" s="37">
        <v>8</v>
      </c>
      <c r="S9" s="37">
        <v>1039</v>
      </c>
      <c r="T9" s="37">
        <v>1000</v>
      </c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</row>
    <row r="10" spans="1:61" ht="15.6" customHeight="1">
      <c r="A10" s="59" t="s">
        <v>130</v>
      </c>
      <c r="B10" s="36" t="s">
        <v>131</v>
      </c>
      <c r="C10" s="37">
        <v>198</v>
      </c>
      <c r="D10" s="37">
        <v>126</v>
      </c>
      <c r="E10" s="37">
        <v>72</v>
      </c>
      <c r="F10" s="37">
        <v>42</v>
      </c>
      <c r="G10" s="37">
        <v>46</v>
      </c>
      <c r="H10" s="37">
        <v>35</v>
      </c>
      <c r="I10" s="37">
        <v>4</v>
      </c>
      <c r="J10" s="37">
        <v>49</v>
      </c>
      <c r="K10" s="37">
        <v>22</v>
      </c>
      <c r="L10" s="37">
        <v>1882</v>
      </c>
      <c r="M10" s="37">
        <v>1295</v>
      </c>
      <c r="N10" s="37">
        <v>587</v>
      </c>
      <c r="O10" s="37">
        <v>485</v>
      </c>
      <c r="P10" s="37">
        <v>386</v>
      </c>
      <c r="Q10" s="37">
        <v>331</v>
      </c>
      <c r="R10" s="37">
        <v>12</v>
      </c>
      <c r="S10" s="37">
        <v>479</v>
      </c>
      <c r="T10" s="37">
        <v>189</v>
      </c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</row>
    <row r="11" spans="1:61" ht="15.6" customHeight="1">
      <c r="A11" s="59" t="s">
        <v>132</v>
      </c>
      <c r="B11" s="36" t="s">
        <v>43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</row>
    <row r="12" spans="1:61" ht="15.6" customHeight="1">
      <c r="A12" s="59" t="s">
        <v>133</v>
      </c>
      <c r="B12" s="36" t="s">
        <v>45</v>
      </c>
      <c r="C12" s="37">
        <v>780</v>
      </c>
      <c r="D12" s="37">
        <v>399</v>
      </c>
      <c r="E12" s="37">
        <v>381</v>
      </c>
      <c r="F12" s="37">
        <v>94</v>
      </c>
      <c r="G12" s="37">
        <v>84</v>
      </c>
      <c r="H12" s="37">
        <v>112</v>
      </c>
      <c r="I12" s="37">
        <v>79</v>
      </c>
      <c r="J12" s="37">
        <v>193</v>
      </c>
      <c r="K12" s="37">
        <v>218</v>
      </c>
      <c r="L12" s="37">
        <v>4832</v>
      </c>
      <c r="M12" s="37">
        <v>2340</v>
      </c>
      <c r="N12" s="37">
        <v>2492</v>
      </c>
      <c r="O12" s="37">
        <v>608</v>
      </c>
      <c r="P12" s="37">
        <v>597</v>
      </c>
      <c r="Q12" s="37">
        <v>794</v>
      </c>
      <c r="R12" s="37">
        <v>493</v>
      </c>
      <c r="S12" s="37">
        <v>938</v>
      </c>
      <c r="T12" s="37">
        <v>1402</v>
      </c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</row>
    <row r="13" spans="1:61" ht="15.6" customHeight="1">
      <c r="A13" s="59" t="s">
        <v>153</v>
      </c>
      <c r="B13" s="36" t="s">
        <v>154</v>
      </c>
      <c r="C13" s="37">
        <v>88</v>
      </c>
      <c r="D13" s="37">
        <v>60</v>
      </c>
      <c r="E13" s="37">
        <v>28</v>
      </c>
      <c r="F13" s="37">
        <v>9</v>
      </c>
      <c r="G13" s="37">
        <v>5</v>
      </c>
      <c r="H13" s="37">
        <v>25</v>
      </c>
      <c r="I13" s="37">
        <v>13</v>
      </c>
      <c r="J13" s="37">
        <v>26</v>
      </c>
      <c r="K13" s="37">
        <v>10</v>
      </c>
      <c r="L13" s="37">
        <v>2277</v>
      </c>
      <c r="M13" s="37">
        <v>1446</v>
      </c>
      <c r="N13" s="37">
        <v>831</v>
      </c>
      <c r="O13" s="37">
        <v>203</v>
      </c>
      <c r="P13" s="37">
        <v>210</v>
      </c>
      <c r="Q13" s="37">
        <v>704</v>
      </c>
      <c r="R13" s="37">
        <v>368</v>
      </c>
      <c r="S13" s="37">
        <v>539</v>
      </c>
      <c r="T13" s="37">
        <v>253</v>
      </c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</row>
    <row r="14" spans="1:61" ht="15.6" customHeight="1">
      <c r="A14" s="59" t="s">
        <v>134</v>
      </c>
      <c r="B14" s="36" t="s">
        <v>47</v>
      </c>
      <c r="C14" s="37">
        <v>208</v>
      </c>
      <c r="D14" s="37">
        <v>113</v>
      </c>
      <c r="E14" s="37">
        <v>95</v>
      </c>
      <c r="F14" s="37">
        <v>20</v>
      </c>
      <c r="G14" s="37">
        <v>14</v>
      </c>
      <c r="H14" s="37">
        <v>28</v>
      </c>
      <c r="I14" s="37">
        <v>29</v>
      </c>
      <c r="J14" s="37">
        <v>65</v>
      </c>
      <c r="K14" s="37">
        <v>52</v>
      </c>
      <c r="L14" s="37">
        <v>2896</v>
      </c>
      <c r="M14" s="37">
        <v>1580</v>
      </c>
      <c r="N14" s="37">
        <v>1316</v>
      </c>
      <c r="O14" s="37">
        <v>66</v>
      </c>
      <c r="P14" s="37">
        <v>77</v>
      </c>
      <c r="Q14" s="37">
        <v>109</v>
      </c>
      <c r="R14" s="37">
        <v>106</v>
      </c>
      <c r="S14" s="37">
        <v>1405</v>
      </c>
      <c r="T14" s="37">
        <v>1133</v>
      </c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</row>
    <row r="15" spans="1:61" ht="15.6" customHeight="1">
      <c r="A15" s="59" t="s">
        <v>135</v>
      </c>
      <c r="B15" s="36" t="s">
        <v>49</v>
      </c>
      <c r="C15" s="37">
        <v>567</v>
      </c>
      <c r="D15" s="37">
        <v>364</v>
      </c>
      <c r="E15" s="37">
        <v>203</v>
      </c>
      <c r="F15" s="37">
        <v>26</v>
      </c>
      <c r="G15" s="37">
        <v>4</v>
      </c>
      <c r="H15" s="37">
        <v>101</v>
      </c>
      <c r="I15" s="37">
        <v>46</v>
      </c>
      <c r="J15" s="37">
        <v>237</v>
      </c>
      <c r="K15" s="37">
        <v>153</v>
      </c>
      <c r="L15" s="37">
        <v>8880</v>
      </c>
      <c r="M15" s="37">
        <v>5568</v>
      </c>
      <c r="N15" s="37">
        <v>3312</v>
      </c>
      <c r="O15" s="37">
        <v>376</v>
      </c>
      <c r="P15" s="37">
        <v>80</v>
      </c>
      <c r="Q15" s="37">
        <v>1544</v>
      </c>
      <c r="R15" s="37">
        <v>640</v>
      </c>
      <c r="S15" s="37">
        <v>3648</v>
      </c>
      <c r="T15" s="37">
        <v>2592</v>
      </c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</row>
    <row r="16" spans="1:61" ht="15.6" customHeight="1">
      <c r="A16" s="59" t="s">
        <v>136</v>
      </c>
      <c r="B16" s="36" t="s">
        <v>51</v>
      </c>
      <c r="C16" s="37">
        <v>34</v>
      </c>
      <c r="D16" s="37">
        <v>21</v>
      </c>
      <c r="E16" s="37">
        <v>13</v>
      </c>
      <c r="F16" s="37">
        <v>2</v>
      </c>
      <c r="G16" s="37">
        <v>2</v>
      </c>
      <c r="H16" s="37">
        <v>4</v>
      </c>
      <c r="I16" s="37">
        <v>3</v>
      </c>
      <c r="J16" s="37">
        <v>15</v>
      </c>
      <c r="K16" s="37">
        <v>8</v>
      </c>
      <c r="L16" s="37">
        <v>668</v>
      </c>
      <c r="M16" s="37">
        <v>465</v>
      </c>
      <c r="N16" s="37">
        <v>203</v>
      </c>
      <c r="O16" s="37">
        <v>7</v>
      </c>
      <c r="P16" s="37">
        <v>47</v>
      </c>
      <c r="Q16" s="37">
        <v>93</v>
      </c>
      <c r="R16" s="37">
        <v>33</v>
      </c>
      <c r="S16" s="37">
        <v>365</v>
      </c>
      <c r="T16" s="37">
        <v>123</v>
      </c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</row>
    <row r="17" spans="1:61" ht="15.6" customHeight="1">
      <c r="A17" s="59" t="s">
        <v>137</v>
      </c>
      <c r="B17" s="36" t="s">
        <v>53</v>
      </c>
      <c r="C17" s="37">
        <v>214</v>
      </c>
      <c r="D17" s="37">
        <v>108</v>
      </c>
      <c r="E17" s="37">
        <v>106</v>
      </c>
      <c r="F17" s="37">
        <v>32</v>
      </c>
      <c r="G17" s="37">
        <v>22</v>
      </c>
      <c r="H17" s="37">
        <v>18</v>
      </c>
      <c r="I17" s="37">
        <v>18</v>
      </c>
      <c r="J17" s="37">
        <v>58</v>
      </c>
      <c r="K17" s="37">
        <v>66</v>
      </c>
      <c r="L17" s="37">
        <v>1478</v>
      </c>
      <c r="M17" s="37">
        <v>858</v>
      </c>
      <c r="N17" s="37">
        <v>620</v>
      </c>
      <c r="O17" s="37">
        <v>155</v>
      </c>
      <c r="P17" s="37">
        <v>111</v>
      </c>
      <c r="Q17" s="37">
        <v>285</v>
      </c>
      <c r="R17" s="37">
        <v>126</v>
      </c>
      <c r="S17" s="37">
        <v>418</v>
      </c>
      <c r="T17" s="37">
        <v>383</v>
      </c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</row>
    <row r="18" spans="1:61" ht="15.6" customHeight="1">
      <c r="A18" s="59" t="s">
        <v>155</v>
      </c>
      <c r="B18" s="36" t="s">
        <v>156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</row>
    <row r="19" spans="1:61" ht="15.6" customHeight="1">
      <c r="A19" s="59" t="s">
        <v>157</v>
      </c>
      <c r="B19" s="36" t="s">
        <v>158</v>
      </c>
      <c r="C19" s="37">
        <v>444</v>
      </c>
      <c r="D19" s="37">
        <v>296</v>
      </c>
      <c r="E19" s="37">
        <v>148</v>
      </c>
      <c r="F19" s="37">
        <v>26</v>
      </c>
      <c r="G19" s="37">
        <v>11</v>
      </c>
      <c r="H19" s="37">
        <v>157</v>
      </c>
      <c r="I19" s="37">
        <v>41</v>
      </c>
      <c r="J19" s="37">
        <v>113</v>
      </c>
      <c r="K19" s="37">
        <v>96</v>
      </c>
      <c r="L19" s="37">
        <v>5817</v>
      </c>
      <c r="M19" s="37">
        <v>4029</v>
      </c>
      <c r="N19" s="37">
        <v>1788</v>
      </c>
      <c r="O19" s="37">
        <v>315</v>
      </c>
      <c r="P19" s="37">
        <v>83</v>
      </c>
      <c r="Q19" s="37">
        <v>1723</v>
      </c>
      <c r="R19" s="37">
        <v>375</v>
      </c>
      <c r="S19" s="37">
        <v>1991</v>
      </c>
      <c r="T19" s="37">
        <v>1330</v>
      </c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</row>
    <row r="20" spans="1:61" ht="15.6" customHeight="1">
      <c r="A20" s="59" t="s">
        <v>138</v>
      </c>
      <c r="B20" s="36" t="s">
        <v>55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</row>
    <row r="21" spans="1:61" ht="15.6" customHeight="1">
      <c r="A21" s="59" t="s">
        <v>139</v>
      </c>
      <c r="B21" s="36" t="s">
        <v>57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</row>
    <row r="22" spans="1:61" ht="15.6" customHeight="1">
      <c r="A22" s="59" t="s">
        <v>140</v>
      </c>
      <c r="B22" s="36" t="s">
        <v>59</v>
      </c>
      <c r="C22" s="37">
        <v>920</v>
      </c>
      <c r="D22" s="37">
        <v>619</v>
      </c>
      <c r="E22" s="37">
        <v>301</v>
      </c>
      <c r="F22" s="37">
        <v>157</v>
      </c>
      <c r="G22" s="37">
        <v>35</v>
      </c>
      <c r="H22" s="37">
        <v>50</v>
      </c>
      <c r="I22" s="37">
        <v>13</v>
      </c>
      <c r="J22" s="37">
        <v>412</v>
      </c>
      <c r="K22" s="37">
        <v>253</v>
      </c>
      <c r="L22" s="37">
        <v>18629</v>
      </c>
      <c r="M22" s="37">
        <v>14274</v>
      </c>
      <c r="N22" s="37">
        <v>4355</v>
      </c>
      <c r="O22" s="37">
        <v>3708</v>
      </c>
      <c r="P22" s="37">
        <v>632</v>
      </c>
      <c r="Q22" s="37">
        <v>434</v>
      </c>
      <c r="R22" s="37">
        <v>57</v>
      </c>
      <c r="S22" s="37">
        <v>10132</v>
      </c>
      <c r="T22" s="37">
        <v>3666</v>
      </c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</row>
    <row r="23" spans="1:61" ht="15.6" customHeight="1">
      <c r="A23" s="59" t="s">
        <v>141</v>
      </c>
      <c r="B23" s="36" t="s">
        <v>61</v>
      </c>
      <c r="C23" s="37">
        <v>2</v>
      </c>
      <c r="D23" s="37">
        <v>0</v>
      </c>
      <c r="E23" s="37">
        <v>2</v>
      </c>
      <c r="F23" s="37">
        <v>0</v>
      </c>
      <c r="G23" s="37">
        <v>0</v>
      </c>
      <c r="H23" s="37">
        <v>0</v>
      </c>
      <c r="I23" s="37">
        <v>1</v>
      </c>
      <c r="J23" s="37">
        <v>0</v>
      </c>
      <c r="K23" s="37">
        <v>1</v>
      </c>
      <c r="L23" s="37">
        <v>3</v>
      </c>
      <c r="M23" s="37">
        <v>0</v>
      </c>
      <c r="N23" s="37">
        <v>3</v>
      </c>
      <c r="O23" s="37">
        <v>0</v>
      </c>
      <c r="P23" s="37">
        <v>0</v>
      </c>
      <c r="Q23" s="37">
        <v>0</v>
      </c>
      <c r="R23" s="37">
        <v>2</v>
      </c>
      <c r="S23" s="37">
        <v>0</v>
      </c>
      <c r="T23" s="37">
        <v>1</v>
      </c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</row>
    <row r="24" spans="1:61" ht="15.6" customHeight="1">
      <c r="A24" s="59" t="s">
        <v>142</v>
      </c>
      <c r="B24" s="36" t="s">
        <v>63</v>
      </c>
      <c r="C24" s="37">
        <v>515</v>
      </c>
      <c r="D24" s="37">
        <v>265</v>
      </c>
      <c r="E24" s="37">
        <v>250</v>
      </c>
      <c r="F24" s="37">
        <v>85</v>
      </c>
      <c r="G24" s="37">
        <v>64</v>
      </c>
      <c r="H24" s="37">
        <v>61</v>
      </c>
      <c r="I24" s="37">
        <v>44</v>
      </c>
      <c r="J24" s="37">
        <v>119</v>
      </c>
      <c r="K24" s="37">
        <v>142</v>
      </c>
      <c r="L24" s="37">
        <v>1101</v>
      </c>
      <c r="M24" s="37">
        <v>655</v>
      </c>
      <c r="N24" s="37">
        <v>446</v>
      </c>
      <c r="O24" s="37">
        <v>280</v>
      </c>
      <c r="P24" s="37">
        <v>81</v>
      </c>
      <c r="Q24" s="37">
        <v>120</v>
      </c>
      <c r="R24" s="37">
        <v>37</v>
      </c>
      <c r="S24" s="37">
        <v>255</v>
      </c>
      <c r="T24" s="37">
        <v>328</v>
      </c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</row>
    <row r="25" spans="1:61" ht="15.6" customHeight="1">
      <c r="A25" s="59" t="s">
        <v>143</v>
      </c>
      <c r="B25" s="36" t="s">
        <v>65</v>
      </c>
      <c r="C25" s="37">
        <v>141</v>
      </c>
      <c r="D25" s="37">
        <v>90</v>
      </c>
      <c r="E25" s="37">
        <v>51</v>
      </c>
      <c r="F25" s="37">
        <v>2</v>
      </c>
      <c r="G25" s="37">
        <v>0</v>
      </c>
      <c r="H25" s="37">
        <v>23</v>
      </c>
      <c r="I25" s="37">
        <v>10</v>
      </c>
      <c r="J25" s="37">
        <v>65</v>
      </c>
      <c r="K25" s="37">
        <v>41</v>
      </c>
      <c r="L25" s="37">
        <v>980</v>
      </c>
      <c r="M25" s="37">
        <v>639</v>
      </c>
      <c r="N25" s="37">
        <v>341</v>
      </c>
      <c r="O25" s="37">
        <v>30</v>
      </c>
      <c r="P25" s="37">
        <v>0</v>
      </c>
      <c r="Q25" s="37">
        <v>152</v>
      </c>
      <c r="R25" s="37">
        <v>82</v>
      </c>
      <c r="S25" s="37">
        <v>457</v>
      </c>
      <c r="T25" s="37">
        <v>259</v>
      </c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</row>
    <row r="26" spans="1:61" ht="15.6" customHeight="1">
      <c r="A26" s="59" t="s">
        <v>159</v>
      </c>
      <c r="B26" s="36" t="s">
        <v>160</v>
      </c>
      <c r="C26" s="37">
        <v>36</v>
      </c>
      <c r="D26" s="37">
        <v>17</v>
      </c>
      <c r="E26" s="37">
        <v>19</v>
      </c>
      <c r="F26" s="37">
        <v>2</v>
      </c>
      <c r="G26" s="37">
        <v>3</v>
      </c>
      <c r="H26" s="37">
        <v>1</v>
      </c>
      <c r="I26" s="37">
        <v>2</v>
      </c>
      <c r="J26" s="37">
        <v>14</v>
      </c>
      <c r="K26" s="37">
        <v>14</v>
      </c>
      <c r="L26" s="37">
        <v>798</v>
      </c>
      <c r="M26" s="37">
        <v>391</v>
      </c>
      <c r="N26" s="37">
        <v>407</v>
      </c>
      <c r="O26" s="37">
        <v>83</v>
      </c>
      <c r="P26" s="37">
        <v>56</v>
      </c>
      <c r="Q26" s="37">
        <v>15</v>
      </c>
      <c r="R26" s="37">
        <v>79</v>
      </c>
      <c r="S26" s="37">
        <v>293</v>
      </c>
      <c r="T26" s="37">
        <v>272</v>
      </c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</row>
    <row r="27" spans="1:61" ht="15.6" customHeight="1">
      <c r="A27" s="59" t="s">
        <v>144</v>
      </c>
      <c r="B27" s="36" t="s">
        <v>67</v>
      </c>
      <c r="C27" s="37">
        <v>150</v>
      </c>
      <c r="D27" s="37">
        <v>72</v>
      </c>
      <c r="E27" s="37">
        <v>78</v>
      </c>
      <c r="F27" s="37">
        <v>23</v>
      </c>
      <c r="G27" s="37">
        <v>19</v>
      </c>
      <c r="H27" s="37">
        <v>5</v>
      </c>
      <c r="I27" s="37">
        <v>4</v>
      </c>
      <c r="J27" s="37">
        <v>44</v>
      </c>
      <c r="K27" s="37">
        <v>55</v>
      </c>
      <c r="L27" s="37">
        <v>935</v>
      </c>
      <c r="M27" s="37">
        <v>533</v>
      </c>
      <c r="N27" s="37">
        <v>402</v>
      </c>
      <c r="O27" s="37">
        <v>148</v>
      </c>
      <c r="P27" s="37">
        <v>67</v>
      </c>
      <c r="Q27" s="37">
        <v>56</v>
      </c>
      <c r="R27" s="37">
        <v>18</v>
      </c>
      <c r="S27" s="37">
        <v>329</v>
      </c>
      <c r="T27" s="37">
        <v>317</v>
      </c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</row>
    <row r="28" spans="1:61" ht="15.6" customHeight="1">
      <c r="A28" s="59" t="s">
        <v>161</v>
      </c>
      <c r="B28" s="36" t="s">
        <v>162</v>
      </c>
      <c r="C28" s="37">
        <v>0</v>
      </c>
      <c r="D28" s="37">
        <v>0</v>
      </c>
      <c r="E28" s="37">
        <v>0</v>
      </c>
      <c r="F28" s="37">
        <v>0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</row>
    <row r="29" spans="1:61" s="17" customFormat="1" ht="15.6" customHeight="1">
      <c r="A29" s="60" t="s">
        <v>125</v>
      </c>
      <c r="B29" s="31" t="s">
        <v>163</v>
      </c>
      <c r="C29" s="33">
        <v>267</v>
      </c>
      <c r="D29" s="33">
        <v>128</v>
      </c>
      <c r="E29" s="33">
        <v>139</v>
      </c>
      <c r="F29" s="33">
        <v>10</v>
      </c>
      <c r="G29" s="33">
        <v>10</v>
      </c>
      <c r="H29" s="33">
        <v>14</v>
      </c>
      <c r="I29" s="33">
        <v>14</v>
      </c>
      <c r="J29" s="33">
        <v>104</v>
      </c>
      <c r="K29" s="33">
        <v>115</v>
      </c>
      <c r="L29" s="33">
        <v>2136</v>
      </c>
      <c r="M29" s="33">
        <v>1024</v>
      </c>
      <c r="N29" s="33">
        <v>1112</v>
      </c>
      <c r="O29" s="33">
        <v>80</v>
      </c>
      <c r="P29" s="33">
        <v>80</v>
      </c>
      <c r="Q29" s="33">
        <v>112</v>
      </c>
      <c r="R29" s="33">
        <v>112</v>
      </c>
      <c r="S29" s="33">
        <v>832</v>
      </c>
      <c r="T29" s="33">
        <v>920</v>
      </c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</row>
    <row r="30" spans="1:61" s="17" customFormat="1" ht="15.6" customHeight="1">
      <c r="A30" s="60" t="s">
        <v>128</v>
      </c>
      <c r="B30" s="31" t="s">
        <v>164</v>
      </c>
      <c r="C30" s="33">
        <v>0</v>
      </c>
      <c r="D30" s="33">
        <v>0</v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</row>
    <row r="31" spans="1:61" ht="15" customHeight="1">
      <c r="A31" s="59" t="s">
        <v>145</v>
      </c>
      <c r="B31" s="36" t="s">
        <v>69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37">
        <v>0</v>
      </c>
      <c r="S31" s="37">
        <v>0</v>
      </c>
      <c r="T31" s="37">
        <v>0</v>
      </c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</row>
    <row r="32" spans="1:61" ht="15" customHeight="1">
      <c r="A32" s="62" t="s">
        <v>146</v>
      </c>
      <c r="B32" s="39" t="s">
        <v>71</v>
      </c>
      <c r="C32" s="40">
        <v>4</v>
      </c>
      <c r="D32" s="40">
        <v>2</v>
      </c>
      <c r="E32" s="40">
        <v>2</v>
      </c>
      <c r="F32" s="40">
        <v>2</v>
      </c>
      <c r="G32" s="40">
        <v>2</v>
      </c>
      <c r="H32" s="40">
        <v>0</v>
      </c>
      <c r="I32" s="40">
        <v>0</v>
      </c>
      <c r="J32" s="40">
        <v>0</v>
      </c>
      <c r="K32" s="40">
        <v>0</v>
      </c>
      <c r="L32" s="40">
        <v>288</v>
      </c>
      <c r="M32" s="40">
        <v>192</v>
      </c>
      <c r="N32" s="40">
        <v>96</v>
      </c>
      <c r="O32" s="40">
        <v>96</v>
      </c>
      <c r="P32" s="40">
        <v>96</v>
      </c>
      <c r="Q32" s="40">
        <v>0</v>
      </c>
      <c r="R32" s="40">
        <v>0</v>
      </c>
      <c r="S32" s="40">
        <v>96</v>
      </c>
      <c r="T32" s="40">
        <v>0</v>
      </c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</row>
    <row r="33" spans="1:2" ht="16.5">
      <c r="A33" s="8" t="s">
        <v>72</v>
      </c>
      <c r="B33" s="19"/>
    </row>
    <row r="34" spans="1:2">
      <c r="A34" s="2" t="s">
        <v>74</v>
      </c>
    </row>
  </sheetData>
  <mergeCells count="27">
    <mergeCell ref="A3:B6"/>
    <mergeCell ref="C3:K3"/>
    <mergeCell ref="L3:T3"/>
    <mergeCell ref="F4:G4"/>
    <mergeCell ref="H4:I4"/>
    <mergeCell ref="J4:K4"/>
    <mergeCell ref="O4:P4"/>
    <mergeCell ref="Q4:R4"/>
    <mergeCell ref="S4:T4"/>
    <mergeCell ref="C5:C6"/>
    <mergeCell ref="O5:O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T5:T6"/>
    <mergeCell ref="N5:N6"/>
    <mergeCell ref="P5:P6"/>
    <mergeCell ref="Q5:Q6"/>
    <mergeCell ref="R5:R6"/>
    <mergeCell ref="S5:S6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9" fitToWidth="10" orientation="landscape" useFirstPageNumber="1" horizontalDpi="4294967292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18</vt:i4>
      </vt:variant>
      <vt:variant>
        <vt:lpstr>已命名的範圍</vt:lpstr>
      </vt:variant>
      <vt:variant>
        <vt:i4>5</vt:i4>
      </vt:variant>
    </vt:vector>
  </HeadingPairs>
  <TitlesOfParts>
    <vt:vector size="23" baseType="lpstr">
      <vt:lpstr>歷年(110~)</vt:lpstr>
      <vt:lpstr>113</vt:lpstr>
      <vt:lpstr>112</vt:lpstr>
      <vt:lpstr>111</vt:lpstr>
      <vt:lpstr>110</vt:lpstr>
      <vt:lpstr>歷年(98-109)</vt:lpstr>
      <vt:lpstr>109</vt:lpstr>
      <vt:lpstr>108</vt:lpstr>
      <vt:lpstr>107</vt:lpstr>
      <vt:lpstr>106</vt:lpstr>
      <vt:lpstr>105</vt:lpstr>
      <vt:lpstr>104</vt:lpstr>
      <vt:lpstr>103</vt:lpstr>
      <vt:lpstr>102</vt:lpstr>
      <vt:lpstr>101</vt:lpstr>
      <vt:lpstr>100</vt:lpstr>
      <vt:lpstr>99</vt:lpstr>
      <vt:lpstr>98</vt:lpstr>
      <vt:lpstr>'110'!Print_Area</vt:lpstr>
      <vt:lpstr>'111'!Print_Area</vt:lpstr>
      <vt:lpstr>'112'!Print_Area</vt:lpstr>
      <vt:lpstr>'113'!Print_Area</vt:lpstr>
      <vt:lpstr>'歷年(110~)'!Print_Area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統計處黃素滿</dc:creator>
  <cp:lastModifiedBy>統計處李美鈴</cp:lastModifiedBy>
  <cp:lastPrinted>2022-03-08T08:37:12Z</cp:lastPrinted>
  <dcterms:created xsi:type="dcterms:W3CDTF">2020-08-13T06:28:29Z</dcterms:created>
  <dcterms:modified xsi:type="dcterms:W3CDTF">2025-04-15T00:55:09Z</dcterms:modified>
</cp:coreProperties>
</file>