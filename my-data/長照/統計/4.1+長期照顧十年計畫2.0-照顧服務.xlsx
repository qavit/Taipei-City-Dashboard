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4社會福利統計報表網頁(新版)\1140421\"/>
    </mc:Choice>
  </mc:AlternateContent>
  <bookViews>
    <workbookView xWindow="32775" yWindow="32775" windowWidth="23040" windowHeight="9000" tabRatio="626"/>
  </bookViews>
  <sheets>
    <sheet name="歷年(110~)" sheetId="88" r:id="rId1"/>
    <sheet name="113" sheetId="93" r:id="rId2"/>
    <sheet name="112" sheetId="92" r:id="rId3"/>
    <sheet name="111" sheetId="87" r:id="rId4"/>
    <sheet name="110" sheetId="86" r:id="rId5"/>
    <sheet name="居服歷年(98-109)" sheetId="89" state="hidden" r:id="rId6"/>
    <sheet name="居服109" sheetId="59" state="hidden" r:id="rId7"/>
    <sheet name="居服108" sheetId="58" state="hidden" r:id="rId8"/>
    <sheet name="居服107" sheetId="56" state="hidden" r:id="rId9"/>
    <sheet name="居服106" sheetId="55" state="hidden" r:id="rId10"/>
    <sheet name="居服105" sheetId="53" state="hidden" r:id="rId11"/>
    <sheet name="居服104" sheetId="50" state="hidden" r:id="rId12"/>
    <sheet name="居服103" sheetId="47" state="hidden" r:id="rId13"/>
    <sheet name="居服102" sheetId="37" state="hidden" r:id="rId14"/>
    <sheet name="居服101" sheetId="36" state="hidden" r:id="rId15"/>
    <sheet name="居服100" sheetId="34" state="hidden" r:id="rId16"/>
    <sheet name="居服99" sheetId="32" state="hidden" r:id="rId17"/>
    <sheet name="居服98" sheetId="29" state="hidden" r:id="rId18"/>
    <sheet name="日間歷年(98-109)" sheetId="90" state="hidden" r:id="rId19"/>
    <sheet name="日照109" sheetId="74" state="hidden" r:id="rId20"/>
    <sheet name="日照108" sheetId="75" state="hidden" r:id="rId21"/>
    <sheet name="日照107" sheetId="76" state="hidden" r:id="rId22"/>
    <sheet name="日照106" sheetId="77" state="hidden" r:id="rId23"/>
    <sheet name="日照105" sheetId="78" state="hidden" r:id="rId24"/>
    <sheet name="日照104" sheetId="79" state="hidden" r:id="rId25"/>
    <sheet name="日照103" sheetId="80" state="hidden" r:id="rId26"/>
    <sheet name="日照102" sheetId="81" state="hidden" r:id="rId27"/>
    <sheet name="日照101" sheetId="82" state="hidden" r:id="rId28"/>
    <sheet name="日照100" sheetId="83" state="hidden" r:id="rId29"/>
    <sheet name="日照99" sheetId="84" state="hidden" r:id="rId30"/>
    <sheet name="日照98" sheetId="85" state="hidden" r:id="rId31"/>
    <sheet name="家托歷年(98-109)" sheetId="91" state="hidden" r:id="rId32"/>
    <sheet name="家托109" sheetId="61" state="hidden" r:id="rId33"/>
    <sheet name="家托108" sheetId="62" state="hidden" r:id="rId34"/>
    <sheet name="家托107" sheetId="63" state="hidden" r:id="rId35"/>
    <sheet name="家托106" sheetId="64" state="hidden" r:id="rId36"/>
    <sheet name="家托105" sheetId="65" state="hidden" r:id="rId37"/>
    <sheet name="家托104" sheetId="66" state="hidden" r:id="rId38"/>
    <sheet name="家托103" sheetId="67" state="hidden" r:id="rId39"/>
    <sheet name="家托102" sheetId="68" state="hidden" r:id="rId40"/>
    <sheet name="家托101" sheetId="69" state="hidden" r:id="rId41"/>
    <sheet name="家托100" sheetId="70" state="hidden" r:id="rId42"/>
    <sheet name="家托99" sheetId="71" state="hidden" r:id="rId43"/>
    <sheet name="家托98" sheetId="72" state="hidden" r:id="rId44"/>
  </sheets>
  <definedNames>
    <definedName name="pp" localSheetId="4">#REF!</definedName>
    <definedName name="pp" localSheetId="3">#REF!</definedName>
    <definedName name="pp" localSheetId="2">#REF!</definedName>
    <definedName name="pp" localSheetId="1">#REF!</definedName>
    <definedName name="pp" localSheetId="0">#REF!</definedName>
    <definedName name="pp">#REF!</definedName>
    <definedName name="ppp" localSheetId="4">#REF!</definedName>
    <definedName name="ppp" localSheetId="3">#REF!</definedName>
    <definedName name="ppp" localSheetId="2">#REF!</definedName>
    <definedName name="ppp" localSheetId="1">#REF!</definedName>
    <definedName name="ppp" localSheetId="0">#REF!</definedName>
    <definedName name="ppp">#REF!</definedName>
    <definedName name="_xlnm.Print_Area" localSheetId="4">'110'!$A$1:$CS$35</definedName>
    <definedName name="_xlnm.Print_Area" localSheetId="3">'111'!$A$1:$CS$35</definedName>
    <definedName name="_xlnm.Print_Area" localSheetId="2">'112'!$A$1:$CS$35</definedName>
    <definedName name="_xlnm.Print_Area" localSheetId="1">'113'!$A$1:$CS$35</definedName>
    <definedName name="_xlnm.Print_Area" localSheetId="28">日照100!$A$1:$BY$32</definedName>
    <definedName name="_xlnm.Print_Area" localSheetId="27">日照101!$A$1:$BY$32</definedName>
    <definedName name="_xlnm.Print_Area" localSheetId="26">日照102!$A$1:$BY$32</definedName>
    <definedName name="_xlnm.Print_Area" localSheetId="25">日照103!$A$1:$BY$32</definedName>
    <definedName name="_xlnm.Print_Area" localSheetId="24">日照104!$A$1:$BX$32</definedName>
    <definedName name="_xlnm.Print_Area" localSheetId="23">日照105!$A$1:$BX$32</definedName>
    <definedName name="_xlnm.Print_Area" localSheetId="22">日照106!$A$1:$BX$33</definedName>
    <definedName name="_xlnm.Print_Area" localSheetId="21">日照107!$A$1:$BV$33</definedName>
    <definedName name="_xlnm.Print_Area" localSheetId="30">日照98!$A$1:$CE$35</definedName>
    <definedName name="_xlnm.Print_Area" localSheetId="29">日照99!$A$1:$BX$35</definedName>
    <definedName name="_xlnm.Print_Area" localSheetId="0">'歷年(110~)'!$A$1:$CS$17</definedName>
    <definedName name="_xlnm.Print_Titles" localSheetId="4">'110'!$A:$A</definedName>
    <definedName name="_xlnm.Print_Titles" localSheetId="3">'111'!$A:$A</definedName>
    <definedName name="_xlnm.Print_Titles" localSheetId="2">'112'!$A:$A</definedName>
    <definedName name="_xlnm.Print_Titles" localSheetId="1">'113'!$A:$A</definedName>
    <definedName name="_xlnm.Print_Titles" localSheetId="28">日照100!$A:$B</definedName>
    <definedName name="_xlnm.Print_Titles" localSheetId="27">日照101!$A:$B</definedName>
    <definedName name="_xlnm.Print_Titles" localSheetId="26">日照102!$A:$B</definedName>
    <definedName name="_xlnm.Print_Titles" localSheetId="25">日照103!$A:$B</definedName>
    <definedName name="_xlnm.Print_Titles" localSheetId="24">日照104!$A:$B</definedName>
    <definedName name="_xlnm.Print_Titles" localSheetId="23">日照105!$A:$B</definedName>
    <definedName name="_xlnm.Print_Titles" localSheetId="22">日照106!$A:$B</definedName>
    <definedName name="_xlnm.Print_Titles" localSheetId="21">日照107!$A:$B</definedName>
    <definedName name="_xlnm.Print_Titles" localSheetId="30">日照98!$A:$B</definedName>
    <definedName name="_xlnm.Print_Titles" localSheetId="29">日照99!$A:$B</definedName>
    <definedName name="_xlnm.Print_Titles" localSheetId="0">'歷年(110~)'!$A:$A</definedName>
    <definedName name="低收" localSheetId="4">#REF!</definedName>
    <definedName name="低收" localSheetId="3">#REF!</definedName>
    <definedName name="低收" localSheetId="2">#REF!</definedName>
    <definedName name="低收" localSheetId="1">#REF!</definedName>
    <definedName name="低收" localSheetId="0">#REF!</definedName>
    <definedName name="低收">#REF!</definedName>
    <definedName name="低收1" localSheetId="3">#REF!</definedName>
    <definedName name="低收1" localSheetId="2">#REF!</definedName>
    <definedName name="低收1" localSheetId="1">#REF!</definedName>
    <definedName name="低收1" localSheetId="0">#REF!</definedName>
    <definedName name="低收1">#REF!</definedName>
    <definedName name="表" localSheetId="3">#REF!</definedName>
    <definedName name="表" localSheetId="2">#REF!</definedName>
    <definedName name="表" localSheetId="1">#REF!</definedName>
    <definedName name="表" localSheetId="0">#REF!</definedName>
    <definedName name="表">#REF!</definedName>
  </definedNames>
  <calcPr calcId="162913"/>
</workbook>
</file>

<file path=xl/calcChain.xml><?xml version="1.0" encoding="utf-8"?>
<calcChain xmlns="http://schemas.openxmlformats.org/spreadsheetml/2006/main">
  <c r="C11" i="88" l="1"/>
  <c r="D11" i="88"/>
  <c r="E11" i="88"/>
  <c r="F11" i="88"/>
  <c r="G11" i="88"/>
  <c r="H11" i="88"/>
  <c r="I11" i="88"/>
  <c r="J11" i="88"/>
  <c r="K11" i="88"/>
  <c r="L11" i="88"/>
  <c r="M11" i="88"/>
  <c r="N11" i="88"/>
  <c r="O11" i="88"/>
  <c r="P11" i="88"/>
  <c r="Q11" i="88"/>
  <c r="R11" i="88"/>
  <c r="S11" i="88"/>
  <c r="T11" i="88"/>
  <c r="U11" i="88"/>
  <c r="V11" i="88"/>
  <c r="W11" i="88"/>
  <c r="X11" i="88"/>
  <c r="Y11" i="88"/>
  <c r="Z11" i="88"/>
  <c r="AA11" i="88"/>
  <c r="AB11" i="88"/>
  <c r="AC11" i="88"/>
  <c r="AD11" i="88"/>
  <c r="AE11" i="88"/>
  <c r="AF11" i="88"/>
  <c r="AG11" i="88"/>
  <c r="AH11" i="88"/>
  <c r="AI11" i="88"/>
  <c r="AJ11" i="88"/>
  <c r="AK11" i="88"/>
  <c r="AL11" i="88"/>
  <c r="AM11" i="88"/>
  <c r="AN11" i="88"/>
  <c r="AO11" i="88"/>
  <c r="AP11" i="88"/>
  <c r="AQ11" i="88"/>
  <c r="AR11" i="88"/>
  <c r="AS11" i="88"/>
  <c r="AT11" i="88"/>
  <c r="AU11" i="88"/>
  <c r="AV11" i="88"/>
  <c r="AW11" i="88"/>
  <c r="AX11" i="88"/>
  <c r="AY11" i="88"/>
  <c r="AZ11" i="88"/>
  <c r="BA11" i="88"/>
  <c r="BB11" i="88"/>
  <c r="BC11" i="88"/>
  <c r="BD11" i="88"/>
  <c r="BE11" i="88"/>
  <c r="BF11" i="88"/>
  <c r="BG11" i="88"/>
  <c r="BH11" i="88"/>
  <c r="BI11" i="88"/>
  <c r="BJ11" i="88"/>
  <c r="BK11" i="88"/>
  <c r="BL11" i="88"/>
  <c r="BM11" i="88"/>
  <c r="BN11" i="88"/>
  <c r="BO11" i="88"/>
  <c r="BP11" i="88"/>
  <c r="BQ11" i="88"/>
  <c r="BR11" i="88"/>
  <c r="BS11" i="88"/>
  <c r="BT11" i="88"/>
  <c r="BU11" i="88"/>
  <c r="BV11" i="88"/>
  <c r="BW11" i="88"/>
  <c r="BX11" i="88"/>
  <c r="BY11" i="88"/>
  <c r="BZ11" i="88"/>
  <c r="CA11" i="88"/>
  <c r="CB11" i="88"/>
  <c r="CC11" i="88"/>
  <c r="CD11" i="88"/>
  <c r="CE11" i="88"/>
  <c r="CF11" i="88"/>
  <c r="CG11" i="88"/>
  <c r="CH11" i="88"/>
  <c r="CI11" i="88"/>
  <c r="CJ11" i="88"/>
  <c r="CK11" i="88"/>
  <c r="CL11" i="88"/>
  <c r="CM11" i="88"/>
  <c r="CN11" i="88"/>
  <c r="CO11" i="88"/>
  <c r="CP11" i="88"/>
  <c r="CQ11" i="88"/>
  <c r="CR11" i="88"/>
  <c r="CS11" i="88"/>
  <c r="B11" i="88"/>
  <c r="C10" i="88" l="1"/>
  <c r="D10" i="88"/>
  <c r="E10" i="88"/>
  <c r="F10" i="88"/>
  <c r="G10" i="88"/>
  <c r="H10" i="88"/>
  <c r="I10" i="88"/>
  <c r="J10" i="88"/>
  <c r="K10" i="88"/>
  <c r="L10" i="88"/>
  <c r="M10" i="88"/>
  <c r="N10" i="88"/>
  <c r="O10" i="88"/>
  <c r="P10" i="88"/>
  <c r="Q10" i="88"/>
  <c r="R10" i="88"/>
  <c r="S10" i="88"/>
  <c r="T10" i="88"/>
  <c r="U10" i="88"/>
  <c r="V10" i="88"/>
  <c r="W10" i="88"/>
  <c r="X10" i="88"/>
  <c r="Y10" i="88"/>
  <c r="Z10" i="88"/>
  <c r="AA10" i="88"/>
  <c r="AB10" i="88"/>
  <c r="AC10" i="88"/>
  <c r="AD10" i="88"/>
  <c r="AE10" i="88"/>
  <c r="AF10" i="88"/>
  <c r="AG10" i="88"/>
  <c r="AH10" i="88"/>
  <c r="AI10" i="88"/>
  <c r="AJ10" i="88"/>
  <c r="AK10" i="88"/>
  <c r="AL10" i="88"/>
  <c r="AM10" i="88"/>
  <c r="AN10" i="88"/>
  <c r="AO10" i="88"/>
  <c r="AP10" i="88"/>
  <c r="AQ10" i="88"/>
  <c r="AR10" i="88"/>
  <c r="AS10" i="88"/>
  <c r="AT10" i="88"/>
  <c r="AU10" i="88"/>
  <c r="AV10" i="88"/>
  <c r="AW10" i="88"/>
  <c r="AX10" i="88"/>
  <c r="AY10" i="88"/>
  <c r="AZ10" i="88"/>
  <c r="BA10" i="88"/>
  <c r="BB10" i="88"/>
  <c r="BC10" i="88"/>
  <c r="BD10" i="88"/>
  <c r="BE10" i="88"/>
  <c r="BF10" i="88"/>
  <c r="BG10" i="88"/>
  <c r="BH10" i="88"/>
  <c r="BI10" i="88"/>
  <c r="BJ10" i="88"/>
  <c r="BK10" i="88"/>
  <c r="BL10" i="88"/>
  <c r="BM10" i="88"/>
  <c r="BN10" i="88"/>
  <c r="BO10" i="88"/>
  <c r="BP10" i="88"/>
  <c r="BQ10" i="88"/>
  <c r="BR10" i="88"/>
  <c r="BS10" i="88"/>
  <c r="BT10" i="88"/>
  <c r="BU10" i="88"/>
  <c r="BV10" i="88"/>
  <c r="BW10" i="88"/>
  <c r="BX10" i="88"/>
  <c r="BY10" i="88"/>
  <c r="BZ10" i="88"/>
  <c r="CA10" i="88"/>
  <c r="CB10" i="88"/>
  <c r="CC10" i="88"/>
  <c r="CD10" i="88"/>
  <c r="CE10" i="88"/>
  <c r="CF10" i="88"/>
  <c r="CG10" i="88"/>
  <c r="CH10" i="88"/>
  <c r="CI10" i="88"/>
  <c r="CJ10" i="88"/>
  <c r="CK10" i="88"/>
  <c r="CL10" i="88"/>
  <c r="CM10" i="88"/>
  <c r="CN10" i="88"/>
  <c r="CO10" i="88"/>
  <c r="CP10" i="88"/>
  <c r="CQ10" i="88"/>
  <c r="CR10" i="88"/>
  <c r="CS10" i="88"/>
  <c r="B10" i="88"/>
  <c r="C8" i="88"/>
  <c r="D8" i="88"/>
  <c r="E8" i="88"/>
  <c r="F8" i="88"/>
  <c r="G8" i="88"/>
  <c r="H8" i="88"/>
  <c r="I8" i="88"/>
  <c r="J8" i="88"/>
  <c r="K8" i="88"/>
  <c r="L8" i="88"/>
  <c r="M8" i="88"/>
  <c r="N8" i="88"/>
  <c r="O8" i="88"/>
  <c r="P8" i="88"/>
  <c r="Q8" i="88"/>
  <c r="R8" i="88"/>
  <c r="S8" i="88"/>
  <c r="T8" i="88"/>
  <c r="U8" i="88"/>
  <c r="V8" i="88"/>
  <c r="W8" i="88"/>
  <c r="X8" i="88"/>
  <c r="Y8" i="88"/>
  <c r="Z8" i="88"/>
  <c r="AA8" i="88"/>
  <c r="AB8" i="88"/>
  <c r="AC8" i="88"/>
  <c r="AD8" i="88"/>
  <c r="AE8" i="88"/>
  <c r="AF8" i="88"/>
  <c r="AG8" i="88"/>
  <c r="AH8" i="88"/>
  <c r="AI8" i="88"/>
  <c r="AJ8" i="88"/>
  <c r="AK8" i="88"/>
  <c r="AL8" i="88"/>
  <c r="AM8" i="88"/>
  <c r="AN8" i="88"/>
  <c r="AO8" i="88"/>
  <c r="AP8" i="88"/>
  <c r="AQ8" i="88"/>
  <c r="AR8" i="88"/>
  <c r="AS8" i="88"/>
  <c r="AT8" i="88"/>
  <c r="AU8" i="88"/>
  <c r="AV8" i="88"/>
  <c r="AW8" i="88"/>
  <c r="AX8" i="88"/>
  <c r="AY8" i="88"/>
  <c r="AZ8" i="88"/>
  <c r="BA8" i="88"/>
  <c r="BB8" i="88"/>
  <c r="BC8" i="88"/>
  <c r="BD8" i="88"/>
  <c r="BE8" i="88"/>
  <c r="BF8" i="88"/>
  <c r="BG8" i="88"/>
  <c r="BH8" i="88"/>
  <c r="BI8" i="88"/>
  <c r="BJ8" i="88"/>
  <c r="BK8" i="88"/>
  <c r="BL8" i="88"/>
  <c r="BM8" i="88"/>
  <c r="BN8" i="88"/>
  <c r="BO8" i="88"/>
  <c r="BP8" i="88"/>
  <c r="BQ8" i="88"/>
  <c r="BR8" i="88"/>
  <c r="BS8" i="88"/>
  <c r="BT8" i="88"/>
  <c r="BU8" i="88"/>
  <c r="BV8" i="88"/>
  <c r="BW8" i="88"/>
  <c r="BX8" i="88"/>
  <c r="BY8" i="88"/>
  <c r="BZ8" i="88"/>
  <c r="CA8" i="88"/>
  <c r="CB8" i="88"/>
  <c r="CC8" i="88"/>
  <c r="CD8" i="88"/>
  <c r="CE8" i="88"/>
  <c r="CF8" i="88"/>
  <c r="CG8" i="88"/>
  <c r="CH8" i="88"/>
  <c r="CI8" i="88"/>
  <c r="CJ8" i="88"/>
  <c r="CK8" i="88"/>
  <c r="CL8" i="88"/>
  <c r="CM8" i="88"/>
  <c r="CN8" i="88"/>
  <c r="CO8" i="88"/>
  <c r="CP8" i="88"/>
  <c r="CQ8" i="88"/>
  <c r="CR8" i="88"/>
  <c r="CS8" i="88"/>
  <c r="C9" i="88"/>
  <c r="D9" i="88"/>
  <c r="E9" i="88"/>
  <c r="F9" i="88"/>
  <c r="G9" i="88"/>
  <c r="H9" i="88"/>
  <c r="I9" i="88"/>
  <c r="J9" i="88"/>
  <c r="K9" i="88"/>
  <c r="L9" i="88"/>
  <c r="M9" i="88"/>
  <c r="N9" i="88"/>
  <c r="O9" i="88"/>
  <c r="P9" i="88"/>
  <c r="Q9" i="88"/>
  <c r="R9" i="88"/>
  <c r="S9" i="88"/>
  <c r="T9" i="88"/>
  <c r="U9" i="88"/>
  <c r="V9" i="88"/>
  <c r="W9" i="88"/>
  <c r="X9" i="88"/>
  <c r="Y9" i="88"/>
  <c r="Z9" i="88"/>
  <c r="AA9" i="88"/>
  <c r="AB9" i="88"/>
  <c r="AC9" i="88"/>
  <c r="AD9" i="88"/>
  <c r="AE9" i="88"/>
  <c r="AF9" i="88"/>
  <c r="AG9" i="88"/>
  <c r="AH9" i="88"/>
  <c r="AI9" i="88"/>
  <c r="AJ9" i="88"/>
  <c r="AK9" i="88"/>
  <c r="AL9" i="88"/>
  <c r="AM9" i="88"/>
  <c r="AN9" i="88"/>
  <c r="AO9" i="88"/>
  <c r="AP9" i="88"/>
  <c r="AQ9" i="88"/>
  <c r="AR9" i="88"/>
  <c r="AS9" i="88"/>
  <c r="AT9" i="88"/>
  <c r="AU9" i="88"/>
  <c r="AV9" i="88"/>
  <c r="AW9" i="88"/>
  <c r="AX9" i="88"/>
  <c r="AY9" i="88"/>
  <c r="AZ9" i="88"/>
  <c r="BA9" i="88"/>
  <c r="BB9" i="88"/>
  <c r="BC9" i="88"/>
  <c r="BD9" i="88"/>
  <c r="BE9" i="88"/>
  <c r="BF9" i="88"/>
  <c r="BG9" i="88"/>
  <c r="BH9" i="88"/>
  <c r="BI9" i="88"/>
  <c r="BJ9" i="88"/>
  <c r="BK9" i="88"/>
  <c r="BL9" i="88"/>
  <c r="BM9" i="88"/>
  <c r="BN9" i="88"/>
  <c r="BO9" i="88"/>
  <c r="BP9" i="88"/>
  <c r="BQ9" i="88"/>
  <c r="BR9" i="88"/>
  <c r="BS9" i="88"/>
  <c r="BT9" i="88"/>
  <c r="BU9" i="88"/>
  <c r="BV9" i="88"/>
  <c r="BW9" i="88"/>
  <c r="BX9" i="88"/>
  <c r="BY9" i="88"/>
  <c r="BZ9" i="88"/>
  <c r="CA9" i="88"/>
  <c r="CB9" i="88"/>
  <c r="CC9" i="88"/>
  <c r="CD9" i="88"/>
  <c r="CE9" i="88"/>
  <c r="CF9" i="88"/>
  <c r="CG9" i="88"/>
  <c r="CH9" i="88"/>
  <c r="CI9" i="88"/>
  <c r="CJ9" i="88"/>
  <c r="CK9" i="88"/>
  <c r="CL9" i="88"/>
  <c r="CM9" i="88"/>
  <c r="CN9" i="88"/>
  <c r="CO9" i="88"/>
  <c r="CP9" i="88"/>
  <c r="CQ9" i="88"/>
  <c r="CR9" i="88"/>
  <c r="CS9" i="88"/>
  <c r="B9" i="88"/>
  <c r="B8" i="88"/>
  <c r="AX2" i="75"/>
  <c r="AW2" i="75"/>
  <c r="AV2" i="75"/>
  <c r="AU2" i="75"/>
  <c r="AT2" i="75"/>
  <c r="AS2" i="75"/>
  <c r="AR2" i="75"/>
  <c r="AQ2" i="75"/>
  <c r="AP2" i="75"/>
  <c r="AO2" i="75"/>
  <c r="AN2" i="75"/>
  <c r="AM2" i="75"/>
  <c r="AL2" i="75"/>
  <c r="AK2" i="75"/>
  <c r="AJ2" i="75"/>
  <c r="AI2" i="75"/>
  <c r="AH2" i="75"/>
  <c r="AG2" i="75"/>
  <c r="AF2" i="75"/>
  <c r="AE2" i="75"/>
  <c r="AD2" i="75"/>
  <c r="AC2" i="75"/>
  <c r="AB2" i="75"/>
  <c r="AA2" i="75"/>
  <c r="Z2" i="75"/>
  <c r="Y2" i="75"/>
  <c r="X2" i="75"/>
  <c r="W2" i="75"/>
  <c r="V2" i="75"/>
  <c r="U2" i="75"/>
  <c r="T2" i="75"/>
  <c r="S2" i="75"/>
  <c r="R2" i="75"/>
  <c r="Q2" i="75"/>
  <c r="P2" i="75"/>
  <c r="O2" i="75"/>
  <c r="N2" i="75"/>
  <c r="M2" i="75"/>
  <c r="L2" i="75"/>
  <c r="K2" i="75"/>
  <c r="J2" i="75"/>
  <c r="I2" i="75"/>
  <c r="H2" i="75"/>
  <c r="G2" i="75"/>
  <c r="F2" i="75"/>
  <c r="E2" i="75"/>
  <c r="D2" i="75"/>
  <c r="C2" i="75"/>
  <c r="AX2" i="74"/>
  <c r="AW2" i="74"/>
  <c r="AV2" i="74"/>
  <c r="AU2" i="74"/>
  <c r="AT2" i="74"/>
  <c r="AS2" i="74"/>
  <c r="AR2" i="74"/>
  <c r="AQ2" i="74"/>
  <c r="AP2" i="74"/>
  <c r="AO2" i="74"/>
  <c r="AN2" i="74"/>
  <c r="AM2" i="74"/>
  <c r="AL2" i="74"/>
  <c r="AK2" i="74"/>
  <c r="AJ2" i="74"/>
  <c r="AI2" i="74"/>
  <c r="AH2" i="74"/>
  <c r="AG2" i="74"/>
  <c r="AF2" i="74"/>
  <c r="AE2" i="74"/>
  <c r="AD2" i="74"/>
  <c r="AC2" i="74"/>
  <c r="AB2" i="74"/>
  <c r="AA2" i="74"/>
  <c r="Z2" i="74"/>
  <c r="Y2" i="74"/>
  <c r="X2" i="74"/>
  <c r="W2" i="74"/>
  <c r="V2" i="74"/>
  <c r="U2" i="74"/>
  <c r="T2" i="74"/>
  <c r="S2" i="74"/>
  <c r="R2" i="74"/>
  <c r="Q2" i="74"/>
  <c r="P2" i="74"/>
  <c r="O2" i="74"/>
  <c r="N2" i="74"/>
  <c r="M2" i="74"/>
  <c r="L2" i="74"/>
  <c r="K2" i="74"/>
  <c r="J2" i="74"/>
  <c r="I2" i="74"/>
  <c r="H2" i="74"/>
  <c r="G2" i="74"/>
  <c r="F2" i="74"/>
  <c r="E2" i="74"/>
  <c r="D2" i="74"/>
  <c r="C2" i="74"/>
  <c r="AM84" i="67"/>
  <c r="AL84" i="67"/>
  <c r="AK84" i="67"/>
  <c r="AJ84" i="67"/>
  <c r="AI84" i="67"/>
  <c r="AH84" i="67"/>
  <c r="AG84" i="67"/>
  <c r="AF84" i="67"/>
  <c r="AE84" i="67"/>
  <c r="AD84" i="67"/>
  <c r="AC84" i="67"/>
  <c r="AB84" i="67"/>
  <c r="AA84" i="67"/>
  <c r="Z84" i="67"/>
  <c r="Y84" i="67"/>
  <c r="X84" i="67"/>
  <c r="W84" i="67"/>
  <c r="V84" i="67"/>
  <c r="U84" i="67"/>
  <c r="T84" i="67"/>
  <c r="S84" i="67"/>
  <c r="R84" i="67"/>
  <c r="Q84" i="67"/>
  <c r="P84" i="67"/>
  <c r="O84" i="67"/>
  <c r="N84" i="67"/>
  <c r="M84" i="67"/>
  <c r="L84" i="67"/>
  <c r="K84" i="67"/>
  <c r="J84" i="67"/>
  <c r="I84" i="67"/>
  <c r="H84" i="67"/>
  <c r="G84" i="67"/>
  <c r="F84" i="67"/>
  <c r="E84" i="67"/>
  <c r="D84" i="67"/>
  <c r="C84" i="67"/>
  <c r="AM83" i="67"/>
  <c r="AL83" i="67"/>
  <c r="AK83" i="67"/>
  <c r="AJ83" i="67"/>
  <c r="AI83" i="67"/>
  <c r="AH83" i="67"/>
  <c r="AG83" i="67"/>
  <c r="AF83" i="67"/>
  <c r="AE83" i="67"/>
  <c r="AD83" i="67"/>
  <c r="AC83" i="67"/>
  <c r="AB83" i="67"/>
  <c r="AA83" i="67"/>
  <c r="Z83" i="67"/>
  <c r="Y83" i="67"/>
  <c r="X83" i="67"/>
  <c r="W83" i="67"/>
  <c r="V83" i="67"/>
  <c r="U83" i="67"/>
  <c r="T83" i="67"/>
  <c r="S83" i="67"/>
  <c r="R83" i="67"/>
  <c r="Q83" i="67"/>
  <c r="P83" i="67"/>
  <c r="O83" i="67"/>
  <c r="N83" i="67"/>
  <c r="M83" i="67"/>
  <c r="L83" i="67"/>
  <c r="K83" i="67"/>
  <c r="J83" i="67"/>
  <c r="I83" i="67"/>
  <c r="H83" i="67"/>
  <c r="G83" i="67"/>
  <c r="F83" i="67"/>
  <c r="E83" i="67"/>
  <c r="D83" i="67"/>
  <c r="C83" i="67"/>
  <c r="AM82" i="67"/>
  <c r="AL82" i="67"/>
  <c r="AK82" i="67"/>
  <c r="AJ82" i="67"/>
  <c r="AI82" i="67"/>
  <c r="AH82" i="67"/>
  <c r="AG82" i="67"/>
  <c r="AF82" i="67"/>
  <c r="AE82" i="67"/>
  <c r="AD82" i="67"/>
  <c r="AC82" i="67"/>
  <c r="AB82" i="67"/>
  <c r="AA82" i="67"/>
  <c r="Z82" i="67"/>
  <c r="Y82" i="67"/>
  <c r="X82" i="67"/>
  <c r="W82" i="67"/>
  <c r="V82" i="67"/>
  <c r="U82" i="67"/>
  <c r="T82" i="67"/>
  <c r="S82" i="67"/>
  <c r="R82" i="67"/>
  <c r="Q82" i="67"/>
  <c r="P82" i="67"/>
  <c r="O82" i="67"/>
  <c r="N82" i="67"/>
  <c r="M82" i="67"/>
  <c r="L82" i="67"/>
  <c r="K82" i="67"/>
  <c r="J82" i="67"/>
  <c r="I82" i="67"/>
  <c r="H82" i="67"/>
  <c r="G82" i="67"/>
  <c r="F82" i="67"/>
  <c r="E82" i="67"/>
  <c r="D82" i="67"/>
  <c r="C82" i="67"/>
  <c r="AM81" i="67"/>
  <c r="AL81" i="67"/>
  <c r="AK81" i="67"/>
  <c r="AJ81" i="67"/>
  <c r="AI81" i="67"/>
  <c r="AH81" i="67"/>
  <c r="AG81" i="67"/>
  <c r="AF81" i="67"/>
  <c r="AE81" i="67"/>
  <c r="AD81" i="67"/>
  <c r="AC81" i="67"/>
  <c r="AB81" i="67"/>
  <c r="AA81" i="67"/>
  <c r="Z81" i="67"/>
  <c r="Y81" i="67"/>
  <c r="X81" i="67"/>
  <c r="W81" i="67"/>
  <c r="V81" i="67"/>
  <c r="U81" i="67"/>
  <c r="T81" i="67"/>
  <c r="S81" i="67"/>
  <c r="R81" i="67"/>
  <c r="Q81" i="67"/>
  <c r="P81" i="67"/>
  <c r="O81" i="67"/>
  <c r="N81" i="67"/>
  <c r="M81" i="67"/>
  <c r="L81" i="67"/>
  <c r="K81" i="67"/>
  <c r="J81" i="67"/>
  <c r="I81" i="67"/>
  <c r="H81" i="67"/>
  <c r="G81" i="67"/>
  <c r="F81" i="67"/>
  <c r="E81" i="67"/>
  <c r="D81" i="67"/>
  <c r="C81" i="67"/>
  <c r="AM80" i="67"/>
  <c r="AL80" i="67"/>
  <c r="AK80" i="67"/>
  <c r="AJ80" i="67"/>
  <c r="AI80" i="67"/>
  <c r="AH80" i="67"/>
  <c r="AG80" i="67"/>
  <c r="AF80" i="67"/>
  <c r="AE80" i="67"/>
  <c r="AD80" i="67"/>
  <c r="AC80" i="67"/>
  <c r="AB80" i="67"/>
  <c r="AA80" i="67"/>
  <c r="Z80" i="67"/>
  <c r="Y80" i="67"/>
  <c r="X80" i="67"/>
  <c r="W80" i="67"/>
  <c r="V80" i="67"/>
  <c r="U80" i="67"/>
  <c r="T80" i="67"/>
  <c r="S80" i="67"/>
  <c r="R80" i="67"/>
  <c r="Q80" i="67"/>
  <c r="P80" i="67"/>
  <c r="O80" i="67"/>
  <c r="N80" i="67"/>
  <c r="M80" i="67"/>
  <c r="L80" i="67"/>
  <c r="K80" i="67"/>
  <c r="J80" i="67"/>
  <c r="I80" i="67"/>
  <c r="H80" i="67"/>
  <c r="G80" i="67"/>
  <c r="F80" i="67"/>
  <c r="E80" i="67"/>
  <c r="D80" i="67"/>
  <c r="C80" i="67"/>
  <c r="AM79" i="67"/>
  <c r="AL79" i="67"/>
  <c r="AK79" i="67"/>
  <c r="AJ79" i="67"/>
  <c r="AI79" i="67"/>
  <c r="AH79" i="67"/>
  <c r="AG79" i="67"/>
  <c r="AF79" i="67"/>
  <c r="AE79" i="67"/>
  <c r="AD79" i="67"/>
  <c r="AC79" i="67"/>
  <c r="AB79" i="67"/>
  <c r="AA79" i="67"/>
  <c r="Z79" i="67"/>
  <c r="Y79" i="67"/>
  <c r="X79" i="67"/>
  <c r="W79" i="67"/>
  <c r="V79" i="67"/>
  <c r="U79" i="67"/>
  <c r="T79" i="67"/>
  <c r="S79" i="67"/>
  <c r="R79" i="67"/>
  <c r="Q79" i="67"/>
  <c r="P79" i="67"/>
  <c r="O79" i="67"/>
  <c r="N79" i="67"/>
  <c r="M79" i="67"/>
  <c r="L79" i="67"/>
  <c r="K79" i="67"/>
  <c r="J79" i="67"/>
  <c r="I79" i="67"/>
  <c r="H79" i="67"/>
  <c r="G79" i="67"/>
  <c r="F79" i="67"/>
  <c r="E79" i="67"/>
  <c r="D79" i="67"/>
  <c r="C79" i="67"/>
  <c r="AM78" i="67"/>
  <c r="AL78" i="67"/>
  <c r="AK78" i="67"/>
  <c r="AJ78" i="67"/>
  <c r="AI78" i="67"/>
  <c r="AH78" i="67"/>
  <c r="AG78" i="67"/>
  <c r="AF78" i="67"/>
  <c r="AE78" i="67"/>
  <c r="AD78" i="67"/>
  <c r="AC78" i="67"/>
  <c r="AB78" i="67"/>
  <c r="AA78" i="67"/>
  <c r="Z78" i="67"/>
  <c r="Y78" i="67"/>
  <c r="X78" i="67"/>
  <c r="W78" i="67"/>
  <c r="V78" i="67"/>
  <c r="U78" i="67"/>
  <c r="T78" i="67"/>
  <c r="S78" i="67"/>
  <c r="R78" i="67"/>
  <c r="Q78" i="67"/>
  <c r="P78" i="67"/>
  <c r="O78" i="67"/>
  <c r="N78" i="67"/>
  <c r="M78" i="67"/>
  <c r="L78" i="67"/>
  <c r="K78" i="67"/>
  <c r="J78" i="67"/>
  <c r="I78" i="67"/>
  <c r="H78" i="67"/>
  <c r="G78" i="67"/>
  <c r="F78" i="67"/>
  <c r="E78" i="67"/>
  <c r="D78" i="67"/>
  <c r="C78" i="67"/>
  <c r="AM77" i="67"/>
  <c r="AL77" i="67"/>
  <c r="AK77" i="67"/>
  <c r="AJ77" i="67"/>
  <c r="AI77" i="67"/>
  <c r="AH77" i="67"/>
  <c r="AG77" i="67"/>
  <c r="AF77" i="67"/>
  <c r="AE77" i="67"/>
  <c r="AD77" i="67"/>
  <c r="AC77" i="67"/>
  <c r="AB77" i="67"/>
  <c r="AA77" i="67"/>
  <c r="Z77" i="67"/>
  <c r="Y77" i="67"/>
  <c r="X77" i="67"/>
  <c r="W77" i="67"/>
  <c r="V77" i="67"/>
  <c r="U77" i="67"/>
  <c r="T77" i="67"/>
  <c r="S77" i="67"/>
  <c r="R77" i="67"/>
  <c r="Q77" i="67"/>
  <c r="P77" i="67"/>
  <c r="O77" i="67"/>
  <c r="N77" i="67"/>
  <c r="M77" i="67"/>
  <c r="L77" i="67"/>
  <c r="K77" i="67"/>
  <c r="J77" i="67"/>
  <c r="I77" i="67"/>
  <c r="H77" i="67"/>
  <c r="G77" i="67"/>
  <c r="F77" i="67"/>
  <c r="E77" i="67"/>
  <c r="D77" i="67"/>
  <c r="C77" i="67"/>
  <c r="AM76" i="67"/>
  <c r="AL76" i="67"/>
  <c r="AK76" i="67"/>
  <c r="AJ76" i="67"/>
  <c r="AI76" i="67"/>
  <c r="AH76" i="67"/>
  <c r="AG76" i="67"/>
  <c r="AF76" i="67"/>
  <c r="AE76" i="67"/>
  <c r="AD76" i="67"/>
  <c r="AC76" i="67"/>
  <c r="AB76" i="67"/>
  <c r="AA76" i="67"/>
  <c r="Z76" i="67"/>
  <c r="Y76" i="67"/>
  <c r="X76" i="67"/>
  <c r="W76" i="67"/>
  <c r="V76" i="67"/>
  <c r="U76" i="67"/>
  <c r="T76" i="67"/>
  <c r="S76" i="67"/>
  <c r="R76" i="67"/>
  <c r="Q76" i="67"/>
  <c r="P76" i="67"/>
  <c r="O76" i="67"/>
  <c r="N76" i="67"/>
  <c r="M76" i="67"/>
  <c r="L76" i="67"/>
  <c r="K76" i="67"/>
  <c r="J76" i="67"/>
  <c r="I76" i="67"/>
  <c r="H76" i="67"/>
  <c r="G76" i="67"/>
  <c r="F76" i="67"/>
  <c r="E76" i="67"/>
  <c r="D76" i="67"/>
  <c r="C76" i="67"/>
  <c r="AM75" i="67"/>
  <c r="AL75" i="67"/>
  <c r="AK75" i="67"/>
  <c r="AJ75" i="67"/>
  <c r="AI75" i="67"/>
  <c r="AH75" i="67"/>
  <c r="AG75" i="67"/>
  <c r="AF75" i="67"/>
  <c r="AE75" i="67"/>
  <c r="AD75" i="67"/>
  <c r="AC75" i="67"/>
  <c r="AB75" i="67"/>
  <c r="AA75" i="67"/>
  <c r="Z75" i="67"/>
  <c r="Y75" i="67"/>
  <c r="X75" i="67"/>
  <c r="W75" i="67"/>
  <c r="V75" i="67"/>
  <c r="U75" i="67"/>
  <c r="T75" i="67"/>
  <c r="S75" i="67"/>
  <c r="R75" i="67"/>
  <c r="Q75" i="67"/>
  <c r="P75" i="67"/>
  <c r="O75" i="67"/>
  <c r="N75" i="67"/>
  <c r="M75" i="67"/>
  <c r="L75" i="67"/>
  <c r="K75" i="67"/>
  <c r="J75" i="67"/>
  <c r="I75" i="67"/>
  <c r="H75" i="67"/>
  <c r="G75" i="67"/>
  <c r="F75" i="67"/>
  <c r="E75" i="67"/>
  <c r="D75" i="67"/>
  <c r="C75" i="67"/>
  <c r="AM74" i="67"/>
  <c r="AL74" i="67"/>
  <c r="AK74" i="67"/>
  <c r="AJ74" i="67"/>
  <c r="AI74" i="67"/>
  <c r="AH74" i="67"/>
  <c r="AG74" i="67"/>
  <c r="AF74" i="67"/>
  <c r="AE74" i="67"/>
  <c r="AD74" i="67"/>
  <c r="AC74" i="67"/>
  <c r="AB74" i="67"/>
  <c r="AA74" i="67"/>
  <c r="Z74" i="67"/>
  <c r="Y74" i="67"/>
  <c r="X74" i="67"/>
  <c r="W74" i="67"/>
  <c r="V74" i="67"/>
  <c r="U74" i="67"/>
  <c r="T74" i="67"/>
  <c r="S74" i="67"/>
  <c r="R74" i="67"/>
  <c r="Q74" i="67"/>
  <c r="P74" i="67"/>
  <c r="O74" i="67"/>
  <c r="N74" i="67"/>
  <c r="M74" i="67"/>
  <c r="L74" i="67"/>
  <c r="K74" i="67"/>
  <c r="J74" i="67"/>
  <c r="I74" i="67"/>
  <c r="H74" i="67"/>
  <c r="G74" i="67"/>
  <c r="F74" i="67"/>
  <c r="E74" i="67"/>
  <c r="D74" i="67"/>
  <c r="C74" i="67"/>
  <c r="AM73" i="67"/>
  <c r="AL73" i="67"/>
  <c r="AK73" i="67"/>
  <c r="AJ73" i="67"/>
  <c r="AI73" i="67"/>
  <c r="AH73" i="67"/>
  <c r="AG73" i="67"/>
  <c r="AF73" i="67"/>
  <c r="AE73" i="67"/>
  <c r="AD73" i="67"/>
  <c r="AC73" i="67"/>
  <c r="AB73" i="67"/>
  <c r="AA73" i="67"/>
  <c r="Z73" i="67"/>
  <c r="Y73" i="67"/>
  <c r="X73" i="67"/>
  <c r="W73" i="67"/>
  <c r="V73" i="67"/>
  <c r="U73" i="67"/>
  <c r="T73" i="67"/>
  <c r="S73" i="67"/>
  <c r="R73" i="67"/>
  <c r="Q73" i="67"/>
  <c r="P73" i="67"/>
  <c r="O73" i="67"/>
  <c r="N73" i="67"/>
  <c r="M73" i="67"/>
  <c r="L73" i="67"/>
  <c r="K73" i="67"/>
  <c r="J73" i="67"/>
  <c r="I73" i="67"/>
  <c r="H73" i="67"/>
  <c r="G73" i="67"/>
  <c r="F73" i="67"/>
  <c r="E73" i="67"/>
  <c r="D73" i="67"/>
  <c r="C73" i="67"/>
  <c r="AM72" i="67"/>
  <c r="AL72" i="67"/>
  <c r="AK72" i="67"/>
  <c r="AJ72" i="67"/>
  <c r="AI72" i="67"/>
  <c r="AH72" i="67"/>
  <c r="AG72" i="67"/>
  <c r="AF72" i="67"/>
  <c r="AE72" i="67"/>
  <c r="AD72" i="67"/>
  <c r="AC72" i="67"/>
  <c r="AB72" i="67"/>
  <c r="AA72" i="67"/>
  <c r="Z72" i="67"/>
  <c r="Y72" i="67"/>
  <c r="X72" i="67"/>
  <c r="W72" i="67"/>
  <c r="V72" i="67"/>
  <c r="U72" i="67"/>
  <c r="T72" i="67"/>
  <c r="S72" i="67"/>
  <c r="R72" i="67"/>
  <c r="Q72" i="67"/>
  <c r="P72" i="67"/>
  <c r="O72" i="67"/>
  <c r="N72" i="67"/>
  <c r="M72" i="67"/>
  <c r="L72" i="67"/>
  <c r="K72" i="67"/>
  <c r="J72" i="67"/>
  <c r="I72" i="67"/>
  <c r="H72" i="67"/>
  <c r="G72" i="67"/>
  <c r="F72" i="67"/>
  <c r="E72" i="67"/>
  <c r="D72" i="67"/>
  <c r="C72" i="67"/>
  <c r="AM71" i="67"/>
  <c r="AL71" i="67"/>
  <c r="AK71" i="67"/>
  <c r="AJ71" i="67"/>
  <c r="AI71" i="67"/>
  <c r="AH71" i="67"/>
  <c r="AG71" i="67"/>
  <c r="AF71" i="67"/>
  <c r="AE71" i="67"/>
  <c r="AD71" i="67"/>
  <c r="AC71" i="67"/>
  <c r="AB71" i="67"/>
  <c r="AA71" i="67"/>
  <c r="Z71" i="67"/>
  <c r="Y71" i="67"/>
  <c r="X71" i="67"/>
  <c r="W71" i="67"/>
  <c r="V71" i="67"/>
  <c r="U71" i="67"/>
  <c r="T71" i="67"/>
  <c r="S71" i="67"/>
  <c r="R71" i="67"/>
  <c r="Q71" i="67"/>
  <c r="P71" i="67"/>
  <c r="O71" i="67"/>
  <c r="N71" i="67"/>
  <c r="M71" i="67"/>
  <c r="L71" i="67"/>
  <c r="K71" i="67"/>
  <c r="J71" i="67"/>
  <c r="I71" i="67"/>
  <c r="H71" i="67"/>
  <c r="G71" i="67"/>
  <c r="F71" i="67"/>
  <c r="E71" i="67"/>
  <c r="D71" i="67"/>
  <c r="C71" i="67"/>
  <c r="AM70" i="67"/>
  <c r="AL70" i="67"/>
  <c r="AK70" i="67"/>
  <c r="AJ70" i="67"/>
  <c r="AI70" i="67"/>
  <c r="AH70" i="67"/>
  <c r="AG70" i="67"/>
  <c r="AF70" i="67"/>
  <c r="AE70" i="67"/>
  <c r="AD70" i="67"/>
  <c r="AC70" i="67"/>
  <c r="AB70" i="67"/>
  <c r="AA70" i="67"/>
  <c r="Z70" i="67"/>
  <c r="Y70" i="67"/>
  <c r="X70" i="67"/>
  <c r="W70" i="67"/>
  <c r="V70" i="67"/>
  <c r="U70" i="67"/>
  <c r="T70" i="67"/>
  <c r="S70" i="67"/>
  <c r="R70" i="67"/>
  <c r="Q70" i="67"/>
  <c r="P70" i="67"/>
  <c r="O70" i="67"/>
  <c r="N70" i="67"/>
  <c r="M70" i="67"/>
  <c r="L70" i="67"/>
  <c r="K70" i="67"/>
  <c r="J70" i="67"/>
  <c r="I70" i="67"/>
  <c r="H70" i="67"/>
  <c r="G70" i="67"/>
  <c r="F70" i="67"/>
  <c r="E70" i="67"/>
  <c r="D70" i="67"/>
  <c r="C70" i="67"/>
  <c r="AM69" i="67"/>
  <c r="AL69" i="67"/>
  <c r="AK69" i="67"/>
  <c r="AJ69" i="67"/>
  <c r="AI69" i="67"/>
  <c r="AH69" i="67"/>
  <c r="AG69" i="67"/>
  <c r="AF69" i="67"/>
  <c r="AE69" i="67"/>
  <c r="AD69" i="67"/>
  <c r="AC69" i="67"/>
  <c r="AB69" i="67"/>
  <c r="AA69" i="67"/>
  <c r="Z69" i="67"/>
  <c r="Y69" i="67"/>
  <c r="X69" i="67"/>
  <c r="W69" i="67"/>
  <c r="V69" i="67"/>
  <c r="U69" i="67"/>
  <c r="T69" i="67"/>
  <c r="S69" i="67"/>
  <c r="R69" i="67"/>
  <c r="Q69" i="67"/>
  <c r="P69" i="67"/>
  <c r="O69" i="67"/>
  <c r="N69" i="67"/>
  <c r="M69" i="67"/>
  <c r="L69" i="67"/>
  <c r="K69" i="67"/>
  <c r="J69" i="67"/>
  <c r="I69" i="67"/>
  <c r="H69" i="67"/>
  <c r="G69" i="67"/>
  <c r="F69" i="67"/>
  <c r="E69" i="67"/>
  <c r="D69" i="67"/>
  <c r="C69" i="67"/>
  <c r="AM68" i="67"/>
  <c r="AL68" i="67"/>
  <c r="AK68" i="67"/>
  <c r="AJ68" i="67"/>
  <c r="AI68" i="67"/>
  <c r="AH68" i="67"/>
  <c r="AG68" i="67"/>
  <c r="AF68" i="67"/>
  <c r="AE68" i="67"/>
  <c r="AD68" i="67"/>
  <c r="AC68" i="67"/>
  <c r="AB68" i="67"/>
  <c r="AA68" i="67"/>
  <c r="Z68" i="67"/>
  <c r="Y68" i="67"/>
  <c r="X68" i="67"/>
  <c r="W68" i="67"/>
  <c r="V68" i="67"/>
  <c r="U68" i="67"/>
  <c r="T68" i="67"/>
  <c r="S68" i="67"/>
  <c r="R68" i="67"/>
  <c r="Q68" i="67"/>
  <c r="P68" i="67"/>
  <c r="O68" i="67"/>
  <c r="N68" i="67"/>
  <c r="M68" i="67"/>
  <c r="L68" i="67"/>
  <c r="K68" i="67"/>
  <c r="J68" i="67"/>
  <c r="I68" i="67"/>
  <c r="H68" i="67"/>
  <c r="G68" i="67"/>
  <c r="F68" i="67"/>
  <c r="E68" i="67"/>
  <c r="D68" i="67"/>
  <c r="C68" i="67"/>
  <c r="AM67" i="67"/>
  <c r="AL67" i="67"/>
  <c r="AK67" i="67"/>
  <c r="AJ67" i="67"/>
  <c r="AI67" i="67"/>
  <c r="AH67" i="67"/>
  <c r="AG67" i="67"/>
  <c r="AF67" i="67"/>
  <c r="AE67" i="67"/>
  <c r="AD67" i="67"/>
  <c r="AC67" i="67"/>
  <c r="AB67" i="67"/>
  <c r="AA67" i="67"/>
  <c r="Z67" i="67"/>
  <c r="Y67" i="67"/>
  <c r="X67" i="67"/>
  <c r="W67" i="67"/>
  <c r="V67" i="67"/>
  <c r="U67" i="67"/>
  <c r="T67" i="67"/>
  <c r="S67" i="67"/>
  <c r="R67" i="67"/>
  <c r="Q67" i="67"/>
  <c r="P67" i="67"/>
  <c r="O67" i="67"/>
  <c r="N67" i="67"/>
  <c r="M67" i="67"/>
  <c r="L67" i="67"/>
  <c r="K67" i="67"/>
  <c r="J67" i="67"/>
  <c r="I67" i="67"/>
  <c r="H67" i="67"/>
  <c r="G67" i="67"/>
  <c r="F67" i="67"/>
  <c r="E67" i="67"/>
  <c r="D67" i="67"/>
  <c r="C67" i="67"/>
  <c r="AM66" i="67"/>
  <c r="AL66" i="67"/>
  <c r="AK66" i="67"/>
  <c r="AJ66" i="67"/>
  <c r="AI66" i="67"/>
  <c r="AH66" i="67"/>
  <c r="AG66" i="67"/>
  <c r="AF66" i="67"/>
  <c r="AE66" i="67"/>
  <c r="AD66" i="67"/>
  <c r="AC66" i="67"/>
  <c r="AB66" i="67"/>
  <c r="AA66" i="67"/>
  <c r="Z66" i="67"/>
  <c r="Y66" i="67"/>
  <c r="X66" i="67"/>
  <c r="W66" i="67"/>
  <c r="V66" i="67"/>
  <c r="U66" i="67"/>
  <c r="T66" i="67"/>
  <c r="S66" i="67"/>
  <c r="R66" i="67"/>
  <c r="Q66" i="67"/>
  <c r="P66" i="67"/>
  <c r="O66" i="67"/>
  <c r="N66" i="67"/>
  <c r="M66" i="67"/>
  <c r="L66" i="67"/>
  <c r="K66" i="67"/>
  <c r="J66" i="67"/>
  <c r="I66" i="67"/>
  <c r="H66" i="67"/>
  <c r="G66" i="67"/>
  <c r="F66" i="67"/>
  <c r="E66" i="67"/>
  <c r="D66" i="67"/>
  <c r="C66" i="67"/>
  <c r="AM65" i="67"/>
  <c r="AL65" i="67"/>
  <c r="AK65" i="67"/>
  <c r="AJ65" i="67"/>
  <c r="AI65" i="67"/>
  <c r="AH65" i="67"/>
  <c r="AG65" i="67"/>
  <c r="AF65" i="67"/>
  <c r="AE65" i="67"/>
  <c r="AD65" i="67"/>
  <c r="AC65" i="67"/>
  <c r="AB65" i="67"/>
  <c r="AA65" i="67"/>
  <c r="Z65" i="67"/>
  <c r="Y65" i="67"/>
  <c r="X65" i="67"/>
  <c r="W65" i="67"/>
  <c r="V65" i="67"/>
  <c r="U65" i="67"/>
  <c r="T65" i="67"/>
  <c r="S65" i="67"/>
  <c r="R65" i="67"/>
  <c r="Q65" i="67"/>
  <c r="P65" i="67"/>
  <c r="O65" i="67"/>
  <c r="N65" i="67"/>
  <c r="M65" i="67"/>
  <c r="L65" i="67"/>
  <c r="K65" i="67"/>
  <c r="J65" i="67"/>
  <c r="I65" i="67"/>
  <c r="H65" i="67"/>
  <c r="G65" i="67"/>
  <c r="F65" i="67"/>
  <c r="E65" i="67"/>
  <c r="D65" i="67"/>
  <c r="C65" i="67"/>
  <c r="AM64" i="67"/>
  <c r="AL64" i="67"/>
  <c r="AK64" i="67"/>
  <c r="AJ64" i="67"/>
  <c r="AI64" i="67"/>
  <c r="AH64" i="67"/>
  <c r="AG64" i="67"/>
  <c r="AF64" i="67"/>
  <c r="AE64" i="67"/>
  <c r="AD64" i="67"/>
  <c r="AC64" i="67"/>
  <c r="AB64" i="67"/>
  <c r="AA64" i="67"/>
  <c r="Z64" i="67"/>
  <c r="Y64" i="67"/>
  <c r="X64" i="67"/>
  <c r="W64" i="67"/>
  <c r="V64" i="67"/>
  <c r="U64" i="67"/>
  <c r="T64" i="67"/>
  <c r="S64" i="67"/>
  <c r="R64" i="67"/>
  <c r="Q64" i="67"/>
  <c r="P64" i="67"/>
  <c r="O64" i="67"/>
  <c r="N64" i="67"/>
  <c r="M64" i="67"/>
  <c r="L64" i="67"/>
  <c r="K64" i="67"/>
  <c r="J64" i="67"/>
  <c r="I64" i="67"/>
  <c r="H64" i="67"/>
  <c r="G64" i="67"/>
  <c r="F64" i="67"/>
  <c r="E64" i="67"/>
  <c r="D64" i="67"/>
  <c r="C64" i="67"/>
  <c r="AM63" i="67"/>
  <c r="AL63" i="67"/>
  <c r="AK63" i="67"/>
  <c r="AJ63" i="67"/>
  <c r="AI63" i="67"/>
  <c r="AH63" i="67"/>
  <c r="AG63" i="67"/>
  <c r="AF63" i="67"/>
  <c r="AE63" i="67"/>
  <c r="AD63" i="67"/>
  <c r="AC63" i="67"/>
  <c r="AB63" i="67"/>
  <c r="AA63" i="67"/>
  <c r="Z63" i="67"/>
  <c r="Y63" i="67"/>
  <c r="X63" i="67"/>
  <c r="W63" i="67"/>
  <c r="V63" i="67"/>
  <c r="U63" i="67"/>
  <c r="T63" i="67"/>
  <c r="S63" i="67"/>
  <c r="R63" i="67"/>
  <c r="Q63" i="67"/>
  <c r="P63" i="67"/>
  <c r="O63" i="67"/>
  <c r="N63" i="67"/>
  <c r="M63" i="67"/>
  <c r="L63" i="67"/>
  <c r="K63" i="67"/>
  <c r="J63" i="67"/>
  <c r="I63" i="67"/>
  <c r="H63" i="67"/>
  <c r="G63" i="67"/>
  <c r="F63" i="67"/>
  <c r="E63" i="67"/>
  <c r="D63" i="67"/>
  <c r="C63" i="67"/>
  <c r="AM62" i="67"/>
  <c r="AL62" i="67"/>
  <c r="AK62" i="67"/>
  <c r="AJ62" i="67"/>
  <c r="AI62" i="67"/>
  <c r="AH62" i="67"/>
  <c r="AG62" i="67"/>
  <c r="AF62" i="67"/>
  <c r="AE62" i="67"/>
  <c r="AD62" i="67"/>
  <c r="AC62" i="67"/>
  <c r="AB62" i="67"/>
  <c r="AA62" i="67"/>
  <c r="Z62" i="67"/>
  <c r="Y62" i="67"/>
  <c r="X62" i="67"/>
  <c r="W62" i="67"/>
  <c r="V62" i="67"/>
  <c r="U62" i="67"/>
  <c r="T62" i="67"/>
  <c r="S62" i="67"/>
  <c r="R62" i="67"/>
  <c r="Q62" i="67"/>
  <c r="P62" i="67"/>
  <c r="O62" i="67"/>
  <c r="N62" i="67"/>
  <c r="M62" i="67"/>
  <c r="L62" i="67"/>
  <c r="K62" i="67"/>
  <c r="J62" i="67"/>
  <c r="I62" i="67"/>
  <c r="H62" i="67"/>
  <c r="G62" i="67"/>
  <c r="F62" i="67"/>
  <c r="E62" i="67"/>
  <c r="D62" i="67"/>
  <c r="C62" i="67"/>
  <c r="AM61" i="67"/>
  <c r="AL61" i="67"/>
  <c r="AK61" i="67"/>
  <c r="AJ61" i="67"/>
  <c r="AI61" i="67"/>
  <c r="AH61" i="67"/>
  <c r="AG61" i="67"/>
  <c r="AF61" i="67"/>
  <c r="AE61" i="67"/>
  <c r="AD61" i="67"/>
  <c r="AC61" i="67"/>
  <c r="AB61" i="67"/>
  <c r="AA61" i="67"/>
  <c r="Z61" i="67"/>
  <c r="Y61" i="67"/>
  <c r="X61" i="67"/>
  <c r="W61" i="67"/>
  <c r="V61" i="67"/>
  <c r="U61" i="67"/>
  <c r="T61" i="67"/>
  <c r="S61" i="67"/>
  <c r="R61" i="67"/>
  <c r="Q61" i="67"/>
  <c r="P61" i="67"/>
  <c r="O61" i="67"/>
  <c r="N61" i="67"/>
  <c r="M61" i="67"/>
  <c r="L61" i="67"/>
  <c r="K61" i="67"/>
  <c r="J61" i="67"/>
  <c r="I61" i="67"/>
  <c r="H61" i="67"/>
  <c r="G61" i="67"/>
  <c r="F61" i="67"/>
  <c r="E61" i="67"/>
  <c r="D61" i="67"/>
  <c r="C61" i="67"/>
  <c r="AM60" i="67"/>
  <c r="AL60" i="67"/>
  <c r="AK60" i="67"/>
  <c r="AJ60" i="67"/>
  <c r="AI60" i="67"/>
  <c r="AH60" i="67"/>
  <c r="AG60" i="67"/>
  <c r="AF60" i="67"/>
  <c r="AE60" i="67"/>
  <c r="AD60" i="67"/>
  <c r="AC60" i="67"/>
  <c r="AB60" i="67"/>
  <c r="AA60" i="67"/>
  <c r="Z60" i="67"/>
  <c r="Y60" i="67"/>
  <c r="X60" i="67"/>
  <c r="W60" i="67"/>
  <c r="V60" i="67"/>
  <c r="U60" i="67"/>
  <c r="T60" i="67"/>
  <c r="S60" i="67"/>
  <c r="R60" i="67"/>
  <c r="Q60" i="67"/>
  <c r="P60" i="67"/>
  <c r="O60" i="67"/>
  <c r="N60" i="67"/>
  <c r="M60" i="67"/>
  <c r="L60" i="67"/>
  <c r="K60" i="67"/>
  <c r="J60" i="67"/>
  <c r="I60" i="67"/>
  <c r="H60" i="67"/>
  <c r="G60" i="67"/>
  <c r="F60" i="67"/>
  <c r="E60" i="67"/>
  <c r="D60" i="67"/>
  <c r="C60" i="67"/>
  <c r="AM84" i="66"/>
  <c r="AL84" i="66"/>
  <c r="AK84" i="66"/>
  <c r="AJ84" i="66"/>
  <c r="AI84" i="66"/>
  <c r="AH84" i="66"/>
  <c r="AG84" i="66"/>
  <c r="AF84" i="66"/>
  <c r="AE84" i="66"/>
  <c r="AD84" i="66"/>
  <c r="AC84" i="66"/>
  <c r="AB84" i="66"/>
  <c r="AA84" i="66"/>
  <c r="Z84" i="66"/>
  <c r="Y84" i="66"/>
  <c r="X84" i="66"/>
  <c r="W84" i="66"/>
  <c r="V84" i="66"/>
  <c r="U84" i="66"/>
  <c r="T84" i="66"/>
  <c r="S84" i="66"/>
  <c r="R84" i="66"/>
  <c r="Q84" i="66"/>
  <c r="P84" i="66"/>
  <c r="O84" i="66"/>
  <c r="N84" i="66"/>
  <c r="M84" i="66"/>
  <c r="L84" i="66"/>
  <c r="K84" i="66"/>
  <c r="J84" i="66"/>
  <c r="I84" i="66"/>
  <c r="H84" i="66"/>
  <c r="G84" i="66"/>
  <c r="F84" i="66"/>
  <c r="E84" i="66"/>
  <c r="D84" i="66"/>
  <c r="C84" i="66"/>
  <c r="AM83" i="66"/>
  <c r="AL83" i="66"/>
  <c r="AK83" i="66"/>
  <c r="AJ83" i="66"/>
  <c r="AI83" i="66"/>
  <c r="AH83" i="66"/>
  <c r="AG83" i="66"/>
  <c r="AF83" i="66"/>
  <c r="AE83" i="66"/>
  <c r="AD83" i="66"/>
  <c r="AC83" i="66"/>
  <c r="AB83" i="66"/>
  <c r="AA83" i="66"/>
  <c r="Z83" i="66"/>
  <c r="Y83" i="66"/>
  <c r="X83" i="66"/>
  <c r="W83" i="66"/>
  <c r="V83" i="66"/>
  <c r="U83" i="66"/>
  <c r="T83" i="66"/>
  <c r="S83" i="66"/>
  <c r="R83" i="66"/>
  <c r="Q83" i="66"/>
  <c r="P83" i="66"/>
  <c r="O83" i="66"/>
  <c r="N83" i="66"/>
  <c r="M83" i="66"/>
  <c r="L83" i="66"/>
  <c r="K83" i="66"/>
  <c r="J83" i="66"/>
  <c r="I83" i="66"/>
  <c r="H83" i="66"/>
  <c r="G83" i="66"/>
  <c r="F83" i="66"/>
  <c r="E83" i="66"/>
  <c r="D83" i="66"/>
  <c r="C83" i="66"/>
  <c r="AM82" i="66"/>
  <c r="AL82" i="66"/>
  <c r="AK82" i="66"/>
  <c r="AJ82" i="66"/>
  <c r="AI82" i="66"/>
  <c r="AH82" i="66"/>
  <c r="AG82" i="66"/>
  <c r="AF82" i="66"/>
  <c r="AE82" i="66"/>
  <c r="AD82" i="66"/>
  <c r="AC82" i="66"/>
  <c r="AB82" i="66"/>
  <c r="AA82" i="66"/>
  <c r="Z82" i="66"/>
  <c r="Y82" i="66"/>
  <c r="X82" i="66"/>
  <c r="W82" i="66"/>
  <c r="V82" i="66"/>
  <c r="U82" i="66"/>
  <c r="T82" i="66"/>
  <c r="S82" i="66"/>
  <c r="R82" i="66"/>
  <c r="Q82" i="66"/>
  <c r="P82" i="66"/>
  <c r="O82" i="66"/>
  <c r="N82" i="66"/>
  <c r="M82" i="66"/>
  <c r="L82" i="66"/>
  <c r="K82" i="66"/>
  <c r="J82" i="66"/>
  <c r="I82" i="66"/>
  <c r="H82" i="66"/>
  <c r="G82" i="66"/>
  <c r="F82" i="66"/>
  <c r="E82" i="66"/>
  <c r="D82" i="66"/>
  <c r="C82" i="66"/>
  <c r="AM81" i="66"/>
  <c r="AL81" i="66"/>
  <c r="AK81" i="66"/>
  <c r="AJ81" i="66"/>
  <c r="AI81" i="66"/>
  <c r="AH81" i="66"/>
  <c r="AG81" i="66"/>
  <c r="AF81" i="66"/>
  <c r="AE81" i="66"/>
  <c r="AD81" i="66"/>
  <c r="AC81" i="66"/>
  <c r="AB81" i="66"/>
  <c r="AA81" i="66"/>
  <c r="Z81" i="66"/>
  <c r="Y81" i="66"/>
  <c r="X81" i="66"/>
  <c r="W81" i="66"/>
  <c r="V81" i="66"/>
  <c r="U81" i="66"/>
  <c r="T81" i="66"/>
  <c r="S81" i="66"/>
  <c r="R81" i="66"/>
  <c r="Q81" i="66"/>
  <c r="P81" i="66"/>
  <c r="O81" i="66"/>
  <c r="N81" i="66"/>
  <c r="M81" i="66"/>
  <c r="L81" i="66"/>
  <c r="K81" i="66"/>
  <c r="J81" i="66"/>
  <c r="I81" i="66"/>
  <c r="H81" i="66"/>
  <c r="G81" i="66"/>
  <c r="F81" i="66"/>
  <c r="E81" i="66"/>
  <c r="D81" i="66"/>
  <c r="C81" i="66"/>
  <c r="AM80" i="66"/>
  <c r="AL80" i="66"/>
  <c r="AK80" i="66"/>
  <c r="AJ80" i="66"/>
  <c r="AI80" i="66"/>
  <c r="AH80" i="66"/>
  <c r="AG80" i="66"/>
  <c r="AF80" i="66"/>
  <c r="AE80" i="66"/>
  <c r="AD80" i="66"/>
  <c r="AC80" i="66"/>
  <c r="AB80" i="66"/>
  <c r="AA80" i="66"/>
  <c r="Z80" i="66"/>
  <c r="Y80" i="66"/>
  <c r="X80" i="66"/>
  <c r="W80" i="66"/>
  <c r="V80" i="66"/>
  <c r="U80" i="66"/>
  <c r="T80" i="66"/>
  <c r="S80" i="66"/>
  <c r="R80" i="66"/>
  <c r="Q80" i="66"/>
  <c r="P80" i="66"/>
  <c r="O80" i="66"/>
  <c r="N80" i="66"/>
  <c r="M80" i="66"/>
  <c r="L80" i="66"/>
  <c r="K80" i="66"/>
  <c r="J80" i="66"/>
  <c r="I80" i="66"/>
  <c r="H80" i="66"/>
  <c r="G80" i="66"/>
  <c r="F80" i="66"/>
  <c r="E80" i="66"/>
  <c r="D80" i="66"/>
  <c r="C80" i="66"/>
  <c r="AM79" i="66"/>
  <c r="AL79" i="66"/>
  <c r="AK79" i="66"/>
  <c r="AJ79" i="66"/>
  <c r="AI79" i="66"/>
  <c r="AH79" i="66"/>
  <c r="AG79" i="66"/>
  <c r="AF79" i="66"/>
  <c r="AE79" i="66"/>
  <c r="AD79" i="66"/>
  <c r="AC79" i="66"/>
  <c r="AB79" i="66"/>
  <c r="AA79" i="66"/>
  <c r="Z79" i="66"/>
  <c r="Y79" i="66"/>
  <c r="X79" i="66"/>
  <c r="W79" i="66"/>
  <c r="V79" i="66"/>
  <c r="U79" i="66"/>
  <c r="T79" i="66"/>
  <c r="S79" i="66"/>
  <c r="R79" i="66"/>
  <c r="Q79" i="66"/>
  <c r="P79" i="66"/>
  <c r="O79" i="66"/>
  <c r="N79" i="66"/>
  <c r="M79" i="66"/>
  <c r="L79" i="66"/>
  <c r="K79" i="66"/>
  <c r="J79" i="66"/>
  <c r="I79" i="66"/>
  <c r="H79" i="66"/>
  <c r="G79" i="66"/>
  <c r="F79" i="66"/>
  <c r="E79" i="66"/>
  <c r="D79" i="66"/>
  <c r="C79" i="66"/>
  <c r="AM78" i="66"/>
  <c r="AL78" i="66"/>
  <c r="AK78" i="66"/>
  <c r="AJ78" i="66"/>
  <c r="AI78" i="66"/>
  <c r="AH78" i="66"/>
  <c r="AG78" i="66"/>
  <c r="AF78" i="66"/>
  <c r="AE78" i="66"/>
  <c r="AD78" i="66"/>
  <c r="AC78" i="66"/>
  <c r="AB78" i="66"/>
  <c r="AA78" i="66"/>
  <c r="Z78" i="66"/>
  <c r="Y78" i="66"/>
  <c r="X78" i="66"/>
  <c r="W78" i="66"/>
  <c r="V78" i="66"/>
  <c r="U78" i="66"/>
  <c r="T78" i="66"/>
  <c r="S78" i="66"/>
  <c r="R78" i="66"/>
  <c r="Q78" i="66"/>
  <c r="P78" i="66"/>
  <c r="O78" i="66"/>
  <c r="N78" i="66"/>
  <c r="M78" i="66"/>
  <c r="L78" i="66"/>
  <c r="K78" i="66"/>
  <c r="J78" i="66"/>
  <c r="I78" i="66"/>
  <c r="H78" i="66"/>
  <c r="G78" i="66"/>
  <c r="F78" i="66"/>
  <c r="E78" i="66"/>
  <c r="D78" i="66"/>
  <c r="C78" i="66"/>
  <c r="AM77" i="66"/>
  <c r="AL77" i="66"/>
  <c r="AK77" i="66"/>
  <c r="AJ77" i="66"/>
  <c r="AI77" i="66"/>
  <c r="AH77" i="66"/>
  <c r="AG77" i="66"/>
  <c r="AF77" i="66"/>
  <c r="AE77" i="66"/>
  <c r="AD77" i="66"/>
  <c r="AC77" i="66"/>
  <c r="AB77" i="66"/>
  <c r="AA77" i="66"/>
  <c r="Z77" i="66"/>
  <c r="Y77" i="66"/>
  <c r="X77" i="66"/>
  <c r="W77" i="66"/>
  <c r="V77" i="66"/>
  <c r="U77" i="66"/>
  <c r="T77" i="66"/>
  <c r="S77" i="66"/>
  <c r="R77" i="66"/>
  <c r="Q77" i="66"/>
  <c r="P77" i="66"/>
  <c r="O77" i="66"/>
  <c r="N77" i="66"/>
  <c r="M77" i="66"/>
  <c r="L77" i="66"/>
  <c r="K77" i="66"/>
  <c r="J77" i="66"/>
  <c r="I77" i="66"/>
  <c r="H77" i="66"/>
  <c r="G77" i="66"/>
  <c r="F77" i="66"/>
  <c r="E77" i="66"/>
  <c r="D77" i="66"/>
  <c r="C77" i="66"/>
  <c r="AM76" i="66"/>
  <c r="AL76" i="66"/>
  <c r="AK76" i="66"/>
  <c r="AJ76" i="66"/>
  <c r="AI76" i="66"/>
  <c r="AH76" i="66"/>
  <c r="AG76" i="66"/>
  <c r="AF76" i="66"/>
  <c r="AE76" i="66"/>
  <c r="AD76" i="66"/>
  <c r="AC76" i="66"/>
  <c r="AB76" i="66"/>
  <c r="AA76" i="66"/>
  <c r="Z76" i="66"/>
  <c r="Y76" i="66"/>
  <c r="X76" i="66"/>
  <c r="W76" i="66"/>
  <c r="V76" i="66"/>
  <c r="U76" i="66"/>
  <c r="T76" i="66"/>
  <c r="S76" i="66"/>
  <c r="R76" i="66"/>
  <c r="Q76" i="66"/>
  <c r="P76" i="66"/>
  <c r="O76" i="66"/>
  <c r="N76" i="66"/>
  <c r="M76" i="66"/>
  <c r="L76" i="66"/>
  <c r="K76" i="66"/>
  <c r="J76" i="66"/>
  <c r="I76" i="66"/>
  <c r="H76" i="66"/>
  <c r="G76" i="66"/>
  <c r="F76" i="66"/>
  <c r="E76" i="66"/>
  <c r="D76" i="66"/>
  <c r="C76" i="66"/>
  <c r="AM75" i="66"/>
  <c r="AL75" i="66"/>
  <c r="AK75" i="66"/>
  <c r="AJ75" i="66"/>
  <c r="AI75" i="66"/>
  <c r="AH75" i="66"/>
  <c r="AG75" i="66"/>
  <c r="AF75" i="66"/>
  <c r="AE75" i="66"/>
  <c r="AD75" i="66"/>
  <c r="AC75" i="66"/>
  <c r="AB75" i="66"/>
  <c r="AA75" i="66"/>
  <c r="Z75" i="66"/>
  <c r="Y75" i="66"/>
  <c r="X75" i="66"/>
  <c r="W75" i="66"/>
  <c r="V75" i="66"/>
  <c r="U75" i="66"/>
  <c r="T75" i="66"/>
  <c r="S75" i="66"/>
  <c r="R75" i="66"/>
  <c r="Q75" i="66"/>
  <c r="P75" i="66"/>
  <c r="O75" i="66"/>
  <c r="N75" i="66"/>
  <c r="M75" i="66"/>
  <c r="L75" i="66"/>
  <c r="K75" i="66"/>
  <c r="J75" i="66"/>
  <c r="I75" i="66"/>
  <c r="H75" i="66"/>
  <c r="G75" i="66"/>
  <c r="F75" i="66"/>
  <c r="E75" i="66"/>
  <c r="D75" i="66"/>
  <c r="C75" i="66"/>
  <c r="AM74" i="66"/>
  <c r="AL74" i="66"/>
  <c r="AK74" i="66"/>
  <c r="AJ74" i="66"/>
  <c r="AI74" i="66"/>
  <c r="AH74" i="66"/>
  <c r="AG74" i="66"/>
  <c r="AF74" i="66"/>
  <c r="AE74" i="66"/>
  <c r="AD74" i="66"/>
  <c r="AC74" i="66"/>
  <c r="AB74" i="66"/>
  <c r="AA74" i="66"/>
  <c r="Z74" i="66"/>
  <c r="Y74" i="66"/>
  <c r="X74" i="66"/>
  <c r="W74" i="66"/>
  <c r="V74" i="66"/>
  <c r="U74" i="66"/>
  <c r="T74" i="66"/>
  <c r="S74" i="66"/>
  <c r="R74" i="66"/>
  <c r="Q74" i="66"/>
  <c r="P74" i="66"/>
  <c r="O74" i="66"/>
  <c r="N74" i="66"/>
  <c r="M74" i="66"/>
  <c r="L74" i="66"/>
  <c r="K74" i="66"/>
  <c r="J74" i="66"/>
  <c r="I74" i="66"/>
  <c r="H74" i="66"/>
  <c r="G74" i="66"/>
  <c r="F74" i="66"/>
  <c r="E74" i="66"/>
  <c r="D74" i="66"/>
  <c r="C74" i="66"/>
  <c r="AM73" i="66"/>
  <c r="AL73" i="66"/>
  <c r="AK73" i="66"/>
  <c r="AJ73" i="66"/>
  <c r="AI73" i="66"/>
  <c r="AH73" i="66"/>
  <c r="AG73" i="66"/>
  <c r="AF73" i="66"/>
  <c r="AE73" i="66"/>
  <c r="AD73" i="66"/>
  <c r="AC73" i="66"/>
  <c r="AB73" i="66"/>
  <c r="AA73" i="66"/>
  <c r="Z73" i="66"/>
  <c r="Y73" i="66"/>
  <c r="X73" i="66"/>
  <c r="W73" i="66"/>
  <c r="V73" i="66"/>
  <c r="U73" i="66"/>
  <c r="T73" i="66"/>
  <c r="S73" i="66"/>
  <c r="R73" i="66"/>
  <c r="Q73" i="66"/>
  <c r="P73" i="66"/>
  <c r="O73" i="66"/>
  <c r="N73" i="66"/>
  <c r="M73" i="66"/>
  <c r="L73" i="66"/>
  <c r="K73" i="66"/>
  <c r="J73" i="66"/>
  <c r="I73" i="66"/>
  <c r="H73" i="66"/>
  <c r="G73" i="66"/>
  <c r="F73" i="66"/>
  <c r="E73" i="66"/>
  <c r="D73" i="66"/>
  <c r="C73" i="66"/>
  <c r="AM72" i="66"/>
  <c r="AL72" i="66"/>
  <c r="AK72" i="66"/>
  <c r="AJ72" i="66"/>
  <c r="AI72" i="66"/>
  <c r="AH72" i="66"/>
  <c r="AG72" i="66"/>
  <c r="AF72" i="66"/>
  <c r="AE72" i="66"/>
  <c r="AD72" i="66"/>
  <c r="AC72" i="66"/>
  <c r="AB72" i="66"/>
  <c r="AA72" i="66"/>
  <c r="Z72" i="66"/>
  <c r="Y72" i="66"/>
  <c r="X72" i="66"/>
  <c r="W72" i="66"/>
  <c r="V72" i="66"/>
  <c r="U72" i="66"/>
  <c r="T72" i="66"/>
  <c r="S72" i="66"/>
  <c r="R72" i="66"/>
  <c r="Q72" i="66"/>
  <c r="P72" i="66"/>
  <c r="O72" i="66"/>
  <c r="N72" i="66"/>
  <c r="M72" i="66"/>
  <c r="L72" i="66"/>
  <c r="K72" i="66"/>
  <c r="J72" i="66"/>
  <c r="I72" i="66"/>
  <c r="H72" i="66"/>
  <c r="G72" i="66"/>
  <c r="F72" i="66"/>
  <c r="E72" i="66"/>
  <c r="D72" i="66"/>
  <c r="C72" i="66"/>
  <c r="AM71" i="66"/>
  <c r="AL71" i="66"/>
  <c r="AK71" i="66"/>
  <c r="AJ71" i="66"/>
  <c r="AI71" i="66"/>
  <c r="AH71" i="66"/>
  <c r="AG71" i="66"/>
  <c r="AF71" i="66"/>
  <c r="AE71" i="66"/>
  <c r="AD71" i="66"/>
  <c r="AC71" i="66"/>
  <c r="AB71" i="66"/>
  <c r="AA71" i="66"/>
  <c r="Z71" i="66"/>
  <c r="Y71" i="66"/>
  <c r="X71" i="66"/>
  <c r="W71" i="66"/>
  <c r="V71" i="66"/>
  <c r="U71" i="66"/>
  <c r="T71" i="66"/>
  <c r="S71" i="66"/>
  <c r="R71" i="66"/>
  <c r="Q71" i="66"/>
  <c r="P71" i="66"/>
  <c r="O71" i="66"/>
  <c r="N71" i="66"/>
  <c r="M71" i="66"/>
  <c r="L71" i="66"/>
  <c r="K71" i="66"/>
  <c r="J71" i="66"/>
  <c r="I71" i="66"/>
  <c r="H71" i="66"/>
  <c r="G71" i="66"/>
  <c r="F71" i="66"/>
  <c r="E71" i="66"/>
  <c r="D71" i="66"/>
  <c r="C71" i="66"/>
  <c r="AM70" i="66"/>
  <c r="AL70" i="66"/>
  <c r="AK70" i="66"/>
  <c r="AJ70" i="66"/>
  <c r="AI70" i="66"/>
  <c r="AH70" i="66"/>
  <c r="AG70" i="66"/>
  <c r="AF70" i="66"/>
  <c r="AE70" i="66"/>
  <c r="AD70" i="66"/>
  <c r="AC70" i="66"/>
  <c r="AB70" i="66"/>
  <c r="AA70" i="66"/>
  <c r="Z70" i="66"/>
  <c r="Y70" i="66"/>
  <c r="X70" i="66"/>
  <c r="W70" i="66"/>
  <c r="V70" i="66"/>
  <c r="U70" i="66"/>
  <c r="T70" i="66"/>
  <c r="S70" i="66"/>
  <c r="R70" i="66"/>
  <c r="Q70" i="66"/>
  <c r="P70" i="66"/>
  <c r="O70" i="66"/>
  <c r="N70" i="66"/>
  <c r="M70" i="66"/>
  <c r="L70" i="66"/>
  <c r="K70" i="66"/>
  <c r="J70" i="66"/>
  <c r="I70" i="66"/>
  <c r="H70" i="66"/>
  <c r="G70" i="66"/>
  <c r="F70" i="66"/>
  <c r="E70" i="66"/>
  <c r="D70" i="66"/>
  <c r="C70" i="66"/>
  <c r="AM69" i="66"/>
  <c r="AL69" i="66"/>
  <c r="AK69" i="66"/>
  <c r="AJ69" i="66"/>
  <c r="AI69" i="66"/>
  <c r="AH69" i="66"/>
  <c r="AG69" i="66"/>
  <c r="AF69" i="66"/>
  <c r="AE69" i="66"/>
  <c r="AD69" i="66"/>
  <c r="AC69" i="66"/>
  <c r="AB69" i="66"/>
  <c r="AA69" i="66"/>
  <c r="Z69" i="66"/>
  <c r="Y69" i="66"/>
  <c r="X69" i="66"/>
  <c r="W69" i="66"/>
  <c r="V69" i="66"/>
  <c r="U69" i="66"/>
  <c r="T69" i="66"/>
  <c r="S69" i="66"/>
  <c r="R69" i="66"/>
  <c r="Q69" i="66"/>
  <c r="P69" i="66"/>
  <c r="O69" i="66"/>
  <c r="N69" i="66"/>
  <c r="M69" i="66"/>
  <c r="L69" i="66"/>
  <c r="K69" i="66"/>
  <c r="J69" i="66"/>
  <c r="I69" i="66"/>
  <c r="H69" i="66"/>
  <c r="G69" i="66"/>
  <c r="F69" i="66"/>
  <c r="E69" i="66"/>
  <c r="D69" i="66"/>
  <c r="C69" i="66"/>
  <c r="AM68" i="66"/>
  <c r="AL68" i="66"/>
  <c r="AK68" i="66"/>
  <c r="AJ68" i="66"/>
  <c r="AI68" i="66"/>
  <c r="AH68" i="66"/>
  <c r="AG68" i="66"/>
  <c r="AF68" i="66"/>
  <c r="AE68" i="66"/>
  <c r="AD68" i="66"/>
  <c r="AC68" i="66"/>
  <c r="AB68" i="66"/>
  <c r="AA68" i="66"/>
  <c r="Z68" i="66"/>
  <c r="Y68" i="66"/>
  <c r="X68" i="66"/>
  <c r="W68" i="66"/>
  <c r="V68" i="66"/>
  <c r="U68" i="66"/>
  <c r="T68" i="66"/>
  <c r="S68" i="66"/>
  <c r="R68" i="66"/>
  <c r="Q68" i="66"/>
  <c r="P68" i="66"/>
  <c r="O68" i="66"/>
  <c r="N68" i="66"/>
  <c r="M68" i="66"/>
  <c r="L68" i="66"/>
  <c r="K68" i="66"/>
  <c r="J68" i="66"/>
  <c r="I68" i="66"/>
  <c r="H68" i="66"/>
  <c r="G68" i="66"/>
  <c r="F68" i="66"/>
  <c r="E68" i="66"/>
  <c r="D68" i="66"/>
  <c r="C68" i="66"/>
  <c r="AM67" i="66"/>
  <c r="AL67" i="66"/>
  <c r="AK67" i="66"/>
  <c r="AJ67" i="66"/>
  <c r="AI67" i="66"/>
  <c r="AH67" i="66"/>
  <c r="AG67" i="66"/>
  <c r="AF67" i="66"/>
  <c r="AE67" i="66"/>
  <c r="AD67" i="66"/>
  <c r="AC67" i="66"/>
  <c r="AB67" i="66"/>
  <c r="AA67" i="66"/>
  <c r="Z67" i="66"/>
  <c r="Y67" i="66"/>
  <c r="X67" i="66"/>
  <c r="W67" i="66"/>
  <c r="V67" i="66"/>
  <c r="U67" i="66"/>
  <c r="T67" i="66"/>
  <c r="S67" i="66"/>
  <c r="R67" i="66"/>
  <c r="Q67" i="66"/>
  <c r="P67" i="66"/>
  <c r="O67" i="66"/>
  <c r="N67" i="66"/>
  <c r="M67" i="66"/>
  <c r="L67" i="66"/>
  <c r="K67" i="66"/>
  <c r="J67" i="66"/>
  <c r="I67" i="66"/>
  <c r="H67" i="66"/>
  <c r="G67" i="66"/>
  <c r="F67" i="66"/>
  <c r="E67" i="66"/>
  <c r="D67" i="66"/>
  <c r="C67" i="66"/>
  <c r="AM66" i="66"/>
  <c r="AL66" i="66"/>
  <c r="AK66" i="66"/>
  <c r="AJ66" i="66"/>
  <c r="AI66" i="66"/>
  <c r="AH66" i="66"/>
  <c r="AG66" i="66"/>
  <c r="AF66" i="66"/>
  <c r="AE66" i="66"/>
  <c r="AD66" i="66"/>
  <c r="AC66" i="66"/>
  <c r="AB66" i="66"/>
  <c r="AA66" i="66"/>
  <c r="Z66" i="66"/>
  <c r="Y66" i="66"/>
  <c r="X66" i="66"/>
  <c r="W66" i="66"/>
  <c r="V66" i="66"/>
  <c r="U66" i="66"/>
  <c r="T66" i="66"/>
  <c r="S66" i="66"/>
  <c r="R66" i="66"/>
  <c r="Q66" i="66"/>
  <c r="P66" i="66"/>
  <c r="O66" i="66"/>
  <c r="N66" i="66"/>
  <c r="M66" i="66"/>
  <c r="L66" i="66"/>
  <c r="K66" i="66"/>
  <c r="J66" i="66"/>
  <c r="I66" i="66"/>
  <c r="H66" i="66"/>
  <c r="G66" i="66"/>
  <c r="F66" i="66"/>
  <c r="E66" i="66"/>
  <c r="D66" i="66"/>
  <c r="C66" i="66"/>
  <c r="AM65" i="66"/>
  <c r="AL65" i="66"/>
  <c r="AK65" i="66"/>
  <c r="AJ65" i="66"/>
  <c r="AI65" i="66"/>
  <c r="AH65" i="66"/>
  <c r="AG65" i="66"/>
  <c r="AF65" i="66"/>
  <c r="AE65" i="66"/>
  <c r="AD65" i="66"/>
  <c r="AC65" i="66"/>
  <c r="AB65" i="66"/>
  <c r="AA65" i="66"/>
  <c r="Z65" i="66"/>
  <c r="Y65" i="66"/>
  <c r="X65" i="66"/>
  <c r="W65" i="66"/>
  <c r="V65" i="66"/>
  <c r="U65" i="66"/>
  <c r="T65" i="66"/>
  <c r="S65" i="66"/>
  <c r="R65" i="66"/>
  <c r="Q65" i="66"/>
  <c r="P65" i="66"/>
  <c r="O65" i="66"/>
  <c r="N65" i="66"/>
  <c r="M65" i="66"/>
  <c r="L65" i="66"/>
  <c r="K65" i="66"/>
  <c r="J65" i="66"/>
  <c r="I65" i="66"/>
  <c r="H65" i="66"/>
  <c r="G65" i="66"/>
  <c r="F65" i="66"/>
  <c r="E65" i="66"/>
  <c r="D65" i="66"/>
  <c r="C65" i="66"/>
  <c r="AM64" i="66"/>
  <c r="AL64" i="66"/>
  <c r="AK64" i="66"/>
  <c r="AJ64" i="66"/>
  <c r="AI64" i="66"/>
  <c r="AH64" i="66"/>
  <c r="AG64" i="66"/>
  <c r="AF64" i="66"/>
  <c r="AE64" i="66"/>
  <c r="AD64" i="66"/>
  <c r="AC64" i="66"/>
  <c r="AB64" i="66"/>
  <c r="AA64" i="66"/>
  <c r="Z64" i="66"/>
  <c r="Y64" i="66"/>
  <c r="X64" i="66"/>
  <c r="W64" i="66"/>
  <c r="V64" i="66"/>
  <c r="U64" i="66"/>
  <c r="T64" i="66"/>
  <c r="S64" i="66"/>
  <c r="R64" i="66"/>
  <c r="Q64" i="66"/>
  <c r="P64" i="66"/>
  <c r="O64" i="66"/>
  <c r="N64" i="66"/>
  <c r="M64" i="66"/>
  <c r="L64" i="66"/>
  <c r="K64" i="66"/>
  <c r="J64" i="66"/>
  <c r="I64" i="66"/>
  <c r="H64" i="66"/>
  <c r="G64" i="66"/>
  <c r="F64" i="66"/>
  <c r="E64" i="66"/>
  <c r="D64" i="66"/>
  <c r="C64" i="66"/>
  <c r="AM63" i="66"/>
  <c r="AL63" i="66"/>
  <c r="AK63" i="66"/>
  <c r="AJ63" i="66"/>
  <c r="AI63" i="66"/>
  <c r="AH63" i="66"/>
  <c r="AG63" i="66"/>
  <c r="AF63" i="66"/>
  <c r="AE63" i="66"/>
  <c r="AD63" i="66"/>
  <c r="AC63" i="66"/>
  <c r="AB63" i="66"/>
  <c r="AA63" i="66"/>
  <c r="Z63" i="66"/>
  <c r="Y63" i="66"/>
  <c r="X63" i="66"/>
  <c r="W63" i="66"/>
  <c r="V63" i="66"/>
  <c r="U63" i="66"/>
  <c r="T63" i="66"/>
  <c r="S63" i="66"/>
  <c r="R63" i="66"/>
  <c r="Q63" i="66"/>
  <c r="P63" i="66"/>
  <c r="O63" i="66"/>
  <c r="N63" i="66"/>
  <c r="M63" i="66"/>
  <c r="L63" i="66"/>
  <c r="K63" i="66"/>
  <c r="J63" i="66"/>
  <c r="I63" i="66"/>
  <c r="H63" i="66"/>
  <c r="G63" i="66"/>
  <c r="F63" i="66"/>
  <c r="E63" i="66"/>
  <c r="D63" i="66"/>
  <c r="C63" i="66"/>
  <c r="AM62" i="66"/>
  <c r="AL62" i="66"/>
  <c r="AK62" i="66"/>
  <c r="AJ62" i="66"/>
  <c r="AI62" i="66"/>
  <c r="AH62" i="66"/>
  <c r="AG62" i="66"/>
  <c r="AF62" i="66"/>
  <c r="AE62" i="66"/>
  <c r="AD62" i="66"/>
  <c r="AC62" i="66"/>
  <c r="AB62" i="66"/>
  <c r="AA62" i="66"/>
  <c r="Z62" i="66"/>
  <c r="Y62" i="66"/>
  <c r="X62" i="66"/>
  <c r="W62" i="66"/>
  <c r="V62" i="66"/>
  <c r="U62" i="66"/>
  <c r="T62" i="66"/>
  <c r="S62" i="66"/>
  <c r="R62" i="66"/>
  <c r="Q62" i="66"/>
  <c r="P62" i="66"/>
  <c r="O62" i="66"/>
  <c r="N62" i="66"/>
  <c r="M62" i="66"/>
  <c r="L62" i="66"/>
  <c r="K62" i="66"/>
  <c r="J62" i="66"/>
  <c r="I62" i="66"/>
  <c r="H62" i="66"/>
  <c r="G62" i="66"/>
  <c r="F62" i="66"/>
  <c r="E62" i="66"/>
  <c r="D62" i="66"/>
  <c r="C62" i="66"/>
  <c r="AM61" i="66"/>
  <c r="AL61" i="66"/>
  <c r="AK61" i="66"/>
  <c r="AJ61" i="66"/>
  <c r="AI61" i="66"/>
  <c r="AH61" i="66"/>
  <c r="AG61" i="66"/>
  <c r="AF61" i="66"/>
  <c r="AE61" i="66"/>
  <c r="AD61" i="66"/>
  <c r="AC61" i="66"/>
  <c r="AB61" i="66"/>
  <c r="AA61" i="66"/>
  <c r="Z61" i="66"/>
  <c r="Y61" i="66"/>
  <c r="X61" i="66"/>
  <c r="W61" i="66"/>
  <c r="V61" i="66"/>
  <c r="U61" i="66"/>
  <c r="T61" i="66"/>
  <c r="S61" i="66"/>
  <c r="R61" i="66"/>
  <c r="Q61" i="66"/>
  <c r="P61" i="66"/>
  <c r="O61" i="66"/>
  <c r="N61" i="66"/>
  <c r="M61" i="66"/>
  <c r="L61" i="66"/>
  <c r="K61" i="66"/>
  <c r="J61" i="66"/>
  <c r="I61" i="66"/>
  <c r="H61" i="66"/>
  <c r="G61" i="66"/>
  <c r="F61" i="66"/>
  <c r="E61" i="66"/>
  <c r="D61" i="66"/>
  <c r="C61" i="66"/>
  <c r="AM60" i="66"/>
  <c r="AL60" i="66"/>
  <c r="AK60" i="66"/>
  <c r="AJ60" i="66"/>
  <c r="AI60" i="66"/>
  <c r="AH60" i="66"/>
  <c r="AG60" i="66"/>
  <c r="AF60" i="66"/>
  <c r="AE60" i="66"/>
  <c r="AD60" i="66"/>
  <c r="AC60" i="66"/>
  <c r="AB60" i="66"/>
  <c r="AA60" i="66"/>
  <c r="Z60" i="66"/>
  <c r="Y60" i="66"/>
  <c r="X60" i="66"/>
  <c r="W60" i="66"/>
  <c r="V60" i="66"/>
  <c r="U60" i="66"/>
  <c r="T60" i="66"/>
  <c r="S60" i="66"/>
  <c r="R60" i="66"/>
  <c r="Q60" i="66"/>
  <c r="P60" i="66"/>
  <c r="O60" i="66"/>
  <c r="N60" i="66"/>
  <c r="M60" i="66"/>
  <c r="L60" i="66"/>
  <c r="K60" i="66"/>
  <c r="J60" i="66"/>
  <c r="I60" i="66"/>
  <c r="H60" i="66"/>
  <c r="G60" i="66"/>
  <c r="F60" i="66"/>
  <c r="E60" i="66"/>
  <c r="D60" i="66"/>
  <c r="C60" i="66"/>
  <c r="AX2" i="62"/>
  <c r="AW2" i="62"/>
  <c r="AV2" i="62"/>
  <c r="AU2" i="62"/>
  <c r="AT2" i="62"/>
  <c r="AS2" i="62"/>
  <c r="AR2" i="62"/>
  <c r="AQ2" i="62"/>
  <c r="AP2" i="62"/>
  <c r="AO2" i="62"/>
  <c r="AN2" i="62"/>
  <c r="AM2" i="62"/>
  <c r="AL2" i="62"/>
  <c r="AK2" i="62"/>
  <c r="AJ2" i="62"/>
  <c r="AI2" i="62"/>
  <c r="AH2" i="62"/>
  <c r="AG2" i="62"/>
  <c r="AF2" i="62"/>
  <c r="AE2" i="62"/>
  <c r="AD2" i="62"/>
  <c r="AC2" i="62"/>
  <c r="AB2" i="62"/>
  <c r="AA2" i="62"/>
  <c r="Z2" i="62"/>
  <c r="Y2" i="62"/>
  <c r="X2" i="62"/>
  <c r="W2" i="62"/>
  <c r="V2" i="62"/>
  <c r="U2" i="62"/>
  <c r="T2" i="62"/>
  <c r="S2" i="62"/>
  <c r="R2" i="62"/>
  <c r="Q2" i="62"/>
  <c r="P2" i="62"/>
  <c r="O2" i="62"/>
  <c r="N2" i="62"/>
  <c r="M2" i="62"/>
  <c r="L2" i="62"/>
  <c r="K2" i="62"/>
  <c r="J2" i="62"/>
  <c r="I2" i="62"/>
  <c r="H2" i="62"/>
  <c r="G2" i="62"/>
  <c r="F2" i="62"/>
  <c r="E2" i="62"/>
  <c r="D2" i="62"/>
  <c r="C2" i="62"/>
  <c r="AX2" i="61"/>
  <c r="AW2" i="61"/>
  <c r="AV2" i="61"/>
  <c r="AU2" i="61"/>
  <c r="AT2" i="61"/>
  <c r="AS2" i="61"/>
  <c r="AR2" i="61"/>
  <c r="AQ2" i="61"/>
  <c r="AP2" i="61"/>
  <c r="AO2" i="61"/>
  <c r="AN2" i="61"/>
  <c r="AM2" i="61"/>
  <c r="AL2" i="61"/>
  <c r="AK2" i="61"/>
  <c r="AJ2" i="61"/>
  <c r="AI2" i="61"/>
  <c r="AH2" i="61"/>
  <c r="AG2" i="61"/>
  <c r="AF2" i="61"/>
  <c r="AE2" i="61"/>
  <c r="AD2" i="61"/>
  <c r="AC2" i="61"/>
  <c r="AB2" i="61"/>
  <c r="AA2" i="61"/>
  <c r="Z2" i="61"/>
  <c r="Y2" i="61"/>
  <c r="X2" i="61"/>
  <c r="W2" i="61"/>
  <c r="V2" i="61"/>
  <c r="U2" i="61"/>
  <c r="T2" i="61"/>
  <c r="S2" i="61"/>
  <c r="R2" i="61"/>
  <c r="Q2" i="61"/>
  <c r="P2" i="61"/>
  <c r="O2" i="61"/>
  <c r="N2" i="61"/>
  <c r="M2" i="61"/>
  <c r="L2" i="61"/>
  <c r="K2" i="61"/>
  <c r="J2" i="61"/>
  <c r="I2" i="61"/>
  <c r="H2" i="61"/>
  <c r="G2" i="61"/>
  <c r="F2" i="61"/>
  <c r="E2" i="61"/>
  <c r="D2" i="61"/>
  <c r="C2" i="61"/>
  <c r="B2" i="59"/>
  <c r="AX220" i="59"/>
  <c r="AW220" i="59"/>
  <c r="AV220" i="59"/>
  <c r="AU220" i="59"/>
  <c r="AT220" i="59"/>
  <c r="AS220" i="59"/>
  <c r="AR220" i="59"/>
  <c r="AQ220" i="59"/>
  <c r="AP220" i="59"/>
  <c r="AO220" i="59"/>
  <c r="AN220" i="59"/>
  <c r="AM220" i="59"/>
  <c r="AL220" i="59"/>
  <c r="AK220" i="59"/>
  <c r="AJ220" i="59"/>
  <c r="AI220" i="59"/>
  <c r="AH220" i="59"/>
  <c r="AG220" i="59"/>
  <c r="AF220" i="59"/>
  <c r="AE220" i="59"/>
  <c r="AD220" i="59"/>
  <c r="AC220" i="59"/>
  <c r="AB220" i="59"/>
  <c r="AA220" i="59"/>
  <c r="Z220" i="59"/>
  <c r="Y220" i="59"/>
  <c r="X220" i="59"/>
  <c r="W220" i="59"/>
  <c r="V220" i="59"/>
  <c r="U220" i="59"/>
  <c r="T220" i="59"/>
  <c r="S220" i="59"/>
  <c r="R220" i="59"/>
  <c r="Q220" i="59"/>
  <c r="P220" i="59"/>
  <c r="O220" i="59"/>
  <c r="N220" i="59"/>
  <c r="M220" i="59"/>
  <c r="L220" i="59"/>
  <c r="K220" i="59"/>
  <c r="J220" i="59"/>
  <c r="I220" i="59"/>
  <c r="H220" i="59"/>
  <c r="G220" i="59"/>
  <c r="F220" i="59"/>
  <c r="E220" i="59"/>
  <c r="D220" i="59"/>
  <c r="C220" i="59"/>
  <c r="AX219" i="59"/>
  <c r="AW219" i="59"/>
  <c r="AV219" i="59"/>
  <c r="AU219" i="59"/>
  <c r="AT219" i="59"/>
  <c r="AS219" i="59"/>
  <c r="AR219" i="59"/>
  <c r="AQ219" i="59"/>
  <c r="AP219" i="59"/>
  <c r="AO219" i="59"/>
  <c r="AN219" i="59"/>
  <c r="AM219" i="59"/>
  <c r="AL219" i="59"/>
  <c r="AK219" i="59"/>
  <c r="AJ219" i="59"/>
  <c r="AI219" i="59"/>
  <c r="AH219" i="59"/>
  <c r="AG219" i="59"/>
  <c r="AF219" i="59"/>
  <c r="AE219" i="59"/>
  <c r="AD219" i="59"/>
  <c r="AC219" i="59"/>
  <c r="AB219" i="59"/>
  <c r="AA219" i="59"/>
  <c r="Z219" i="59"/>
  <c r="Y219" i="59"/>
  <c r="X219" i="59"/>
  <c r="W219" i="59"/>
  <c r="V219" i="59"/>
  <c r="U219" i="59"/>
  <c r="T219" i="59"/>
  <c r="S219" i="59"/>
  <c r="R219" i="59"/>
  <c r="Q219" i="59"/>
  <c r="P219" i="59"/>
  <c r="O219" i="59"/>
  <c r="N219" i="59"/>
  <c r="M219" i="59"/>
  <c r="L219" i="59"/>
  <c r="K219" i="59"/>
  <c r="J219" i="59"/>
  <c r="I219" i="59"/>
  <c r="H219" i="59"/>
  <c r="G219" i="59"/>
  <c r="F219" i="59"/>
  <c r="E219" i="59"/>
  <c r="D219" i="59"/>
  <c r="C219" i="59"/>
  <c r="AX218" i="59"/>
  <c r="AW218" i="59"/>
  <c r="AV218" i="59"/>
  <c r="AU218" i="59"/>
  <c r="AT218" i="59"/>
  <c r="AS218" i="59"/>
  <c r="AR218" i="59"/>
  <c r="AQ218" i="59"/>
  <c r="AP218" i="59"/>
  <c r="AO218" i="59"/>
  <c r="AN218" i="59"/>
  <c r="AM218" i="59"/>
  <c r="AL218" i="59"/>
  <c r="AK218" i="59"/>
  <c r="AJ218" i="59"/>
  <c r="AI218" i="59"/>
  <c r="AH218" i="59"/>
  <c r="AG218" i="59"/>
  <c r="AF218" i="59"/>
  <c r="AE218" i="59"/>
  <c r="AD218" i="59"/>
  <c r="AC218" i="59"/>
  <c r="AB218" i="59"/>
  <c r="AA218" i="59"/>
  <c r="Z218" i="59"/>
  <c r="Y218" i="59"/>
  <c r="X218" i="59"/>
  <c r="W218" i="59"/>
  <c r="V218" i="59"/>
  <c r="U218" i="59"/>
  <c r="T218" i="59"/>
  <c r="S218" i="59"/>
  <c r="R218" i="59"/>
  <c r="Q218" i="59"/>
  <c r="P218" i="59"/>
  <c r="O218" i="59"/>
  <c r="N218" i="59"/>
  <c r="M218" i="59"/>
  <c r="L218" i="59"/>
  <c r="K218" i="59"/>
  <c r="J218" i="59"/>
  <c r="I218" i="59"/>
  <c r="H218" i="59"/>
  <c r="G218" i="59"/>
  <c r="F218" i="59"/>
  <c r="E218" i="59"/>
  <c r="D218" i="59"/>
  <c r="C218" i="59"/>
  <c r="AX217" i="59"/>
  <c r="AW217" i="59"/>
  <c r="AV217" i="59"/>
  <c r="AU217" i="59"/>
  <c r="AT217" i="59"/>
  <c r="AS217" i="59"/>
  <c r="AR217" i="59"/>
  <c r="AQ217" i="59"/>
  <c r="AP217" i="59"/>
  <c r="AO217" i="59"/>
  <c r="AN217" i="59"/>
  <c r="AM217" i="59"/>
  <c r="AL217" i="59"/>
  <c r="AK217" i="59"/>
  <c r="AJ217" i="59"/>
  <c r="AI217" i="59"/>
  <c r="AH217" i="59"/>
  <c r="AG217" i="59"/>
  <c r="AF217" i="59"/>
  <c r="AE217" i="59"/>
  <c r="AD217" i="59"/>
  <c r="AC217" i="59"/>
  <c r="AB217" i="59"/>
  <c r="AA217" i="59"/>
  <c r="Z217" i="59"/>
  <c r="Y217" i="59"/>
  <c r="X217" i="59"/>
  <c r="W217" i="59"/>
  <c r="V217" i="59"/>
  <c r="U217" i="59"/>
  <c r="T217" i="59"/>
  <c r="S217" i="59"/>
  <c r="R217" i="59"/>
  <c r="Q217" i="59"/>
  <c r="P217" i="59"/>
  <c r="O217" i="59"/>
  <c r="N217" i="59"/>
  <c r="M217" i="59"/>
  <c r="L217" i="59"/>
  <c r="K217" i="59"/>
  <c r="J217" i="59"/>
  <c r="I217" i="59"/>
  <c r="H217" i="59"/>
  <c r="G217" i="59"/>
  <c r="F217" i="59"/>
  <c r="E217" i="59"/>
  <c r="D217" i="59"/>
  <c r="C217" i="59"/>
  <c r="AX216" i="59"/>
  <c r="AW216" i="59"/>
  <c r="AV216" i="59"/>
  <c r="AU216" i="59"/>
  <c r="AT216" i="59"/>
  <c r="AS216" i="59"/>
  <c r="AR216" i="59"/>
  <c r="AQ216" i="59"/>
  <c r="AP216" i="59"/>
  <c r="AO216" i="59"/>
  <c r="AN216" i="59"/>
  <c r="AM216" i="59"/>
  <c r="AL216" i="59"/>
  <c r="AK216" i="59"/>
  <c r="AJ216" i="59"/>
  <c r="AI216" i="59"/>
  <c r="AH216" i="59"/>
  <c r="AG216" i="59"/>
  <c r="AF216" i="59"/>
  <c r="AE216" i="59"/>
  <c r="AD216" i="59"/>
  <c r="AC216" i="59"/>
  <c r="AB216" i="59"/>
  <c r="AA216" i="59"/>
  <c r="Z216" i="59"/>
  <c r="Y216" i="59"/>
  <c r="X216" i="59"/>
  <c r="W216" i="59"/>
  <c r="V216" i="59"/>
  <c r="U216" i="59"/>
  <c r="T216" i="59"/>
  <c r="S216" i="59"/>
  <c r="R216" i="59"/>
  <c r="Q216" i="59"/>
  <c r="P216" i="59"/>
  <c r="O216" i="59"/>
  <c r="N216" i="59"/>
  <c r="M216" i="59"/>
  <c r="L216" i="59"/>
  <c r="K216" i="59"/>
  <c r="J216" i="59"/>
  <c r="I216" i="59"/>
  <c r="H216" i="59"/>
  <c r="G216" i="59"/>
  <c r="F216" i="59"/>
  <c r="E216" i="59"/>
  <c r="D216" i="59"/>
  <c r="C216" i="59"/>
  <c r="AX215" i="59"/>
  <c r="AW215" i="59"/>
  <c r="AV215" i="59"/>
  <c r="AU215" i="59"/>
  <c r="AT215" i="59"/>
  <c r="AS215" i="59"/>
  <c r="AR215" i="59"/>
  <c r="AQ215" i="59"/>
  <c r="AP215" i="59"/>
  <c r="AO215" i="59"/>
  <c r="AN215" i="59"/>
  <c r="AM215" i="59"/>
  <c r="AL215" i="59"/>
  <c r="AK215" i="59"/>
  <c r="AJ215" i="59"/>
  <c r="AI215" i="59"/>
  <c r="AH215" i="59"/>
  <c r="AG215" i="59"/>
  <c r="AF215" i="59"/>
  <c r="AE215" i="59"/>
  <c r="AD215" i="59"/>
  <c r="AC215" i="59"/>
  <c r="AB215" i="59"/>
  <c r="AA215" i="59"/>
  <c r="Z215" i="59"/>
  <c r="Y215" i="59"/>
  <c r="X215" i="59"/>
  <c r="W215" i="59"/>
  <c r="V215" i="59"/>
  <c r="U215" i="59"/>
  <c r="T215" i="59"/>
  <c r="S215" i="59"/>
  <c r="R215" i="59"/>
  <c r="Q215" i="59"/>
  <c r="P215" i="59"/>
  <c r="O215" i="59"/>
  <c r="N215" i="59"/>
  <c r="M215" i="59"/>
  <c r="L215" i="59"/>
  <c r="K215" i="59"/>
  <c r="J215" i="59"/>
  <c r="I215" i="59"/>
  <c r="H215" i="59"/>
  <c r="G215" i="59"/>
  <c r="F215" i="59"/>
  <c r="E215" i="59"/>
  <c r="D215" i="59"/>
  <c r="C215" i="59"/>
  <c r="AX214" i="59"/>
  <c r="AW214" i="59"/>
  <c r="AV214" i="59"/>
  <c r="AU214" i="59"/>
  <c r="AT214" i="59"/>
  <c r="AS214" i="59"/>
  <c r="AR214" i="59"/>
  <c r="AQ214" i="59"/>
  <c r="AP214" i="59"/>
  <c r="AO214" i="59"/>
  <c r="AN214" i="59"/>
  <c r="AM214" i="59"/>
  <c r="AL214" i="59"/>
  <c r="AK214" i="59"/>
  <c r="AJ214" i="59"/>
  <c r="AI214" i="59"/>
  <c r="AH214" i="59"/>
  <c r="AG214" i="59"/>
  <c r="AF214" i="59"/>
  <c r="AE214" i="59"/>
  <c r="AD214" i="59"/>
  <c r="AC214" i="59"/>
  <c r="AB214" i="59"/>
  <c r="AA214" i="59"/>
  <c r="Z214" i="59"/>
  <c r="Y214" i="59"/>
  <c r="X214" i="59"/>
  <c r="W214" i="59"/>
  <c r="V214" i="59"/>
  <c r="U214" i="59"/>
  <c r="T214" i="59"/>
  <c r="S214" i="59"/>
  <c r="R214" i="59"/>
  <c r="Q214" i="59"/>
  <c r="P214" i="59"/>
  <c r="O214" i="59"/>
  <c r="N214" i="59"/>
  <c r="M214" i="59"/>
  <c r="L214" i="59"/>
  <c r="K214" i="59"/>
  <c r="J214" i="59"/>
  <c r="I214" i="59"/>
  <c r="H214" i="59"/>
  <c r="G214" i="59"/>
  <c r="F214" i="59"/>
  <c r="E214" i="59"/>
  <c r="D214" i="59"/>
  <c r="C214" i="59"/>
  <c r="AX213" i="59"/>
  <c r="AW213" i="59"/>
  <c r="AV213" i="59"/>
  <c r="AU213" i="59"/>
  <c r="AT213" i="59"/>
  <c r="AS213" i="59"/>
  <c r="AR213" i="59"/>
  <c r="AQ213" i="59"/>
  <c r="AP213" i="59"/>
  <c r="AO213" i="59"/>
  <c r="AN213" i="59"/>
  <c r="AM213" i="59"/>
  <c r="AL213" i="59"/>
  <c r="AK213" i="59"/>
  <c r="AJ213" i="59"/>
  <c r="AI213" i="59"/>
  <c r="AH213" i="59"/>
  <c r="AG213" i="59"/>
  <c r="AF213" i="59"/>
  <c r="AE213" i="59"/>
  <c r="AD213" i="59"/>
  <c r="AC213" i="59"/>
  <c r="AB213" i="59"/>
  <c r="AA213" i="59"/>
  <c r="Z213" i="59"/>
  <c r="Y213" i="59"/>
  <c r="X213" i="59"/>
  <c r="W213" i="59"/>
  <c r="V213" i="59"/>
  <c r="U213" i="59"/>
  <c r="T213" i="59"/>
  <c r="S213" i="59"/>
  <c r="R213" i="59"/>
  <c r="Q213" i="59"/>
  <c r="P213" i="59"/>
  <c r="O213" i="59"/>
  <c r="N213" i="59"/>
  <c r="M213" i="59"/>
  <c r="L213" i="59"/>
  <c r="K213" i="59"/>
  <c r="J213" i="59"/>
  <c r="I213" i="59"/>
  <c r="H213" i="59"/>
  <c r="G213" i="59"/>
  <c r="F213" i="59"/>
  <c r="E213" i="59"/>
  <c r="D213" i="59"/>
  <c r="C213" i="59"/>
  <c r="AX212" i="59"/>
  <c r="AW212" i="59"/>
  <c r="AV212" i="59"/>
  <c r="AU212" i="59"/>
  <c r="AT212" i="59"/>
  <c r="AS212" i="59"/>
  <c r="AR212" i="59"/>
  <c r="AQ212" i="59"/>
  <c r="AP212" i="59"/>
  <c r="AO212" i="59"/>
  <c r="AN212" i="59"/>
  <c r="AM212" i="59"/>
  <c r="AL212" i="59"/>
  <c r="AK212" i="59"/>
  <c r="AJ212" i="59"/>
  <c r="AI212" i="59"/>
  <c r="AH212" i="59"/>
  <c r="AG212" i="59"/>
  <c r="AF212" i="59"/>
  <c r="AE212" i="59"/>
  <c r="AD212" i="59"/>
  <c r="AC212" i="59"/>
  <c r="AB212" i="59"/>
  <c r="AA212" i="59"/>
  <c r="Z212" i="59"/>
  <c r="Y212" i="59"/>
  <c r="X212" i="59"/>
  <c r="W212" i="59"/>
  <c r="V212" i="59"/>
  <c r="U212" i="59"/>
  <c r="T212" i="59"/>
  <c r="S212" i="59"/>
  <c r="R212" i="59"/>
  <c r="Q212" i="59"/>
  <c r="P212" i="59"/>
  <c r="O212" i="59"/>
  <c r="N212" i="59"/>
  <c r="M212" i="59"/>
  <c r="L212" i="59"/>
  <c r="K212" i="59"/>
  <c r="J212" i="59"/>
  <c r="I212" i="59"/>
  <c r="H212" i="59"/>
  <c r="G212" i="59"/>
  <c r="F212" i="59"/>
  <c r="E212" i="59"/>
  <c r="D212" i="59"/>
  <c r="C212" i="59"/>
  <c r="AX211" i="59"/>
  <c r="AW211" i="59"/>
  <c r="AV211" i="59"/>
  <c r="AU211" i="59"/>
  <c r="AT211" i="59"/>
  <c r="AS211" i="59"/>
  <c r="AR211" i="59"/>
  <c r="AQ211" i="59"/>
  <c r="AP211" i="59"/>
  <c r="AO211" i="59"/>
  <c r="AN211" i="59"/>
  <c r="AM211" i="59"/>
  <c r="AL211" i="59"/>
  <c r="AK211" i="59"/>
  <c r="AJ211" i="59"/>
  <c r="AI211" i="59"/>
  <c r="AH211" i="59"/>
  <c r="AG211" i="59"/>
  <c r="AF211" i="59"/>
  <c r="AE211" i="59"/>
  <c r="AD211" i="59"/>
  <c r="AC211" i="59"/>
  <c r="AB211" i="59"/>
  <c r="AA211" i="59"/>
  <c r="Z211" i="59"/>
  <c r="Y211" i="59"/>
  <c r="X211" i="59"/>
  <c r="W211" i="59"/>
  <c r="V211" i="59"/>
  <c r="U211" i="59"/>
  <c r="T211" i="59"/>
  <c r="S211" i="59"/>
  <c r="R211" i="59"/>
  <c r="Q211" i="59"/>
  <c r="P211" i="59"/>
  <c r="O211" i="59"/>
  <c r="N211" i="59"/>
  <c r="M211" i="59"/>
  <c r="L211" i="59"/>
  <c r="K211" i="59"/>
  <c r="J211" i="59"/>
  <c r="I211" i="59"/>
  <c r="H211" i="59"/>
  <c r="G211" i="59"/>
  <c r="F211" i="59"/>
  <c r="E211" i="59"/>
  <c r="D211" i="59"/>
  <c r="C211" i="59"/>
  <c r="AX210" i="59"/>
  <c r="AW210" i="59"/>
  <c r="AV210" i="59"/>
  <c r="AU210" i="59"/>
  <c r="AT210" i="59"/>
  <c r="AS210" i="59"/>
  <c r="AR210" i="59"/>
  <c r="AQ210" i="59"/>
  <c r="AP210" i="59"/>
  <c r="AO210" i="59"/>
  <c r="AN210" i="59"/>
  <c r="AM210" i="59"/>
  <c r="AL210" i="59"/>
  <c r="AK210" i="59"/>
  <c r="AJ210" i="59"/>
  <c r="AI210" i="59"/>
  <c r="AH210" i="59"/>
  <c r="AG210" i="59"/>
  <c r="AF210" i="59"/>
  <c r="AE210" i="59"/>
  <c r="AD210" i="59"/>
  <c r="AC210" i="59"/>
  <c r="AB210" i="59"/>
  <c r="AA210" i="59"/>
  <c r="Z210" i="59"/>
  <c r="Y210" i="59"/>
  <c r="X210" i="59"/>
  <c r="W210" i="59"/>
  <c r="V210" i="59"/>
  <c r="U210" i="59"/>
  <c r="T210" i="59"/>
  <c r="S210" i="59"/>
  <c r="R210" i="59"/>
  <c r="Q210" i="59"/>
  <c r="P210" i="59"/>
  <c r="O210" i="59"/>
  <c r="N210" i="59"/>
  <c r="M210" i="59"/>
  <c r="L210" i="59"/>
  <c r="K210" i="59"/>
  <c r="J210" i="59"/>
  <c r="I210" i="59"/>
  <c r="H210" i="59"/>
  <c r="G210" i="59"/>
  <c r="F210" i="59"/>
  <c r="E210" i="59"/>
  <c r="D210" i="59"/>
  <c r="C210" i="59"/>
  <c r="AX209" i="59"/>
  <c r="AW209" i="59"/>
  <c r="AV209" i="59"/>
  <c r="AU209" i="59"/>
  <c r="AT209" i="59"/>
  <c r="AS209" i="59"/>
  <c r="AR209" i="59"/>
  <c r="AQ209" i="59"/>
  <c r="AP209" i="59"/>
  <c r="AO209" i="59"/>
  <c r="AN209" i="59"/>
  <c r="AM209" i="59"/>
  <c r="AL209" i="59"/>
  <c r="AK209" i="59"/>
  <c r="AJ209" i="59"/>
  <c r="AI209" i="59"/>
  <c r="AH209" i="59"/>
  <c r="AG209" i="59"/>
  <c r="AF209" i="59"/>
  <c r="AE209" i="59"/>
  <c r="AD209" i="59"/>
  <c r="AC209" i="59"/>
  <c r="AB209" i="59"/>
  <c r="AA209" i="59"/>
  <c r="Z209" i="59"/>
  <c r="Y209" i="59"/>
  <c r="X209" i="59"/>
  <c r="W209" i="59"/>
  <c r="V209" i="59"/>
  <c r="U209" i="59"/>
  <c r="T209" i="59"/>
  <c r="S209" i="59"/>
  <c r="R209" i="59"/>
  <c r="Q209" i="59"/>
  <c r="P209" i="59"/>
  <c r="O209" i="59"/>
  <c r="N209" i="59"/>
  <c r="M209" i="59"/>
  <c r="L209" i="59"/>
  <c r="K209" i="59"/>
  <c r="J209" i="59"/>
  <c r="I209" i="59"/>
  <c r="H209" i="59"/>
  <c r="G209" i="59"/>
  <c r="F209" i="59"/>
  <c r="E209" i="59"/>
  <c r="D209" i="59"/>
  <c r="C209" i="59"/>
  <c r="AX208" i="59"/>
  <c r="AW208" i="59"/>
  <c r="AV208" i="59"/>
  <c r="AU208" i="59"/>
  <c r="AT208" i="59"/>
  <c r="AS208" i="59"/>
  <c r="AR208" i="59"/>
  <c r="AQ208" i="59"/>
  <c r="AP208" i="59"/>
  <c r="AO208" i="59"/>
  <c r="AN208" i="59"/>
  <c r="AM208" i="59"/>
  <c r="AL208" i="59"/>
  <c r="AK208" i="59"/>
  <c r="AJ208" i="59"/>
  <c r="AI208" i="59"/>
  <c r="AH208" i="59"/>
  <c r="AG208" i="59"/>
  <c r="AF208" i="59"/>
  <c r="AE208" i="59"/>
  <c r="AD208" i="59"/>
  <c r="AC208" i="59"/>
  <c r="AB208" i="59"/>
  <c r="AA208" i="59"/>
  <c r="Z208" i="59"/>
  <c r="Y208" i="59"/>
  <c r="X208" i="59"/>
  <c r="W208" i="59"/>
  <c r="V208" i="59"/>
  <c r="U208" i="59"/>
  <c r="T208" i="59"/>
  <c r="S208" i="59"/>
  <c r="R208" i="59"/>
  <c r="Q208" i="59"/>
  <c r="P208" i="59"/>
  <c r="O208" i="59"/>
  <c r="N208" i="59"/>
  <c r="M208" i="59"/>
  <c r="L208" i="59"/>
  <c r="K208" i="59"/>
  <c r="J208" i="59"/>
  <c r="I208" i="59"/>
  <c r="H208" i="59"/>
  <c r="G208" i="59"/>
  <c r="F208" i="59"/>
  <c r="E208" i="59"/>
  <c r="D208" i="59"/>
  <c r="C208" i="59"/>
  <c r="AX207" i="59"/>
  <c r="AW207" i="59"/>
  <c r="AV207" i="59"/>
  <c r="AU207" i="59"/>
  <c r="AT207" i="59"/>
  <c r="AS207" i="59"/>
  <c r="AR207" i="59"/>
  <c r="AQ207" i="59"/>
  <c r="AP207" i="59"/>
  <c r="AO207" i="59"/>
  <c r="AN207" i="59"/>
  <c r="AM207" i="59"/>
  <c r="AL207" i="59"/>
  <c r="AK207" i="59"/>
  <c r="AJ207" i="59"/>
  <c r="AI207" i="59"/>
  <c r="AH207" i="59"/>
  <c r="AG207" i="59"/>
  <c r="AF207" i="59"/>
  <c r="AE207" i="59"/>
  <c r="AD207" i="59"/>
  <c r="AC207" i="59"/>
  <c r="AB207" i="59"/>
  <c r="AA207" i="59"/>
  <c r="Z207" i="59"/>
  <c r="Y207" i="59"/>
  <c r="X207" i="59"/>
  <c r="W207" i="59"/>
  <c r="V207" i="59"/>
  <c r="U207" i="59"/>
  <c r="T207" i="59"/>
  <c r="S207" i="59"/>
  <c r="R207" i="59"/>
  <c r="Q207" i="59"/>
  <c r="P207" i="59"/>
  <c r="O207" i="59"/>
  <c r="N207" i="59"/>
  <c r="M207" i="59"/>
  <c r="L207" i="59"/>
  <c r="K207" i="59"/>
  <c r="J207" i="59"/>
  <c r="I207" i="59"/>
  <c r="H207" i="59"/>
  <c r="G207" i="59"/>
  <c r="F207" i="59"/>
  <c r="E207" i="59"/>
  <c r="D207" i="59"/>
  <c r="C207" i="59"/>
  <c r="AX206" i="59"/>
  <c r="AW206" i="59"/>
  <c r="AV206" i="59"/>
  <c r="AU206" i="59"/>
  <c r="AT206" i="59"/>
  <c r="AS206" i="59"/>
  <c r="AR206" i="59"/>
  <c r="AQ206" i="59"/>
  <c r="AP206" i="59"/>
  <c r="AO206" i="59"/>
  <c r="AN206" i="59"/>
  <c r="AM206" i="59"/>
  <c r="AL206" i="59"/>
  <c r="AK206" i="59"/>
  <c r="AJ206" i="59"/>
  <c r="AI206" i="59"/>
  <c r="AH206" i="59"/>
  <c r="AG206" i="59"/>
  <c r="AF206" i="59"/>
  <c r="AE206" i="59"/>
  <c r="AD206" i="59"/>
  <c r="AC206" i="59"/>
  <c r="AB206" i="59"/>
  <c r="AA206" i="59"/>
  <c r="Z206" i="59"/>
  <c r="Y206" i="59"/>
  <c r="X206" i="59"/>
  <c r="W206" i="59"/>
  <c r="V206" i="59"/>
  <c r="U206" i="59"/>
  <c r="T206" i="59"/>
  <c r="S206" i="59"/>
  <c r="R206" i="59"/>
  <c r="Q206" i="59"/>
  <c r="P206" i="59"/>
  <c r="O206" i="59"/>
  <c r="N206" i="59"/>
  <c r="M206" i="59"/>
  <c r="L206" i="59"/>
  <c r="K206" i="59"/>
  <c r="J206" i="59"/>
  <c r="I206" i="59"/>
  <c r="H206" i="59"/>
  <c r="G206" i="59"/>
  <c r="F206" i="59"/>
  <c r="E206" i="59"/>
  <c r="D206" i="59"/>
  <c r="C206" i="59"/>
  <c r="AX205" i="59"/>
  <c r="AW205" i="59"/>
  <c r="AV205" i="59"/>
  <c r="AU205" i="59"/>
  <c r="AT205" i="59"/>
  <c r="AS205" i="59"/>
  <c r="AR205" i="59"/>
  <c r="AQ205" i="59"/>
  <c r="AP205" i="59"/>
  <c r="AO205" i="59"/>
  <c r="AN205" i="59"/>
  <c r="AM205" i="59"/>
  <c r="AL205" i="59"/>
  <c r="AK205" i="59"/>
  <c r="AJ205" i="59"/>
  <c r="AI205" i="59"/>
  <c r="AH205" i="59"/>
  <c r="AG205" i="59"/>
  <c r="AF205" i="59"/>
  <c r="AE205" i="59"/>
  <c r="AD205" i="59"/>
  <c r="AC205" i="59"/>
  <c r="AB205" i="59"/>
  <c r="AA205" i="59"/>
  <c r="Z205" i="59"/>
  <c r="Y205" i="59"/>
  <c r="X205" i="59"/>
  <c r="W205" i="59"/>
  <c r="V205" i="59"/>
  <c r="U205" i="59"/>
  <c r="T205" i="59"/>
  <c r="S205" i="59"/>
  <c r="R205" i="59"/>
  <c r="Q205" i="59"/>
  <c r="P205" i="59"/>
  <c r="O205" i="59"/>
  <c r="N205" i="59"/>
  <c r="M205" i="59"/>
  <c r="L205" i="59"/>
  <c r="K205" i="59"/>
  <c r="J205" i="59"/>
  <c r="I205" i="59"/>
  <c r="H205" i="59"/>
  <c r="G205" i="59"/>
  <c r="F205" i="59"/>
  <c r="E205" i="59"/>
  <c r="D205" i="59"/>
  <c r="C205" i="59"/>
  <c r="AX204" i="59"/>
  <c r="AW204" i="59"/>
  <c r="AV204" i="59"/>
  <c r="AU204" i="59"/>
  <c r="AT204" i="59"/>
  <c r="AS204" i="59"/>
  <c r="AR204" i="59"/>
  <c r="AQ204" i="59"/>
  <c r="AP204" i="59"/>
  <c r="AO204" i="59"/>
  <c r="AN204" i="59"/>
  <c r="AM204" i="59"/>
  <c r="AL204" i="59"/>
  <c r="AK204" i="59"/>
  <c r="AJ204" i="59"/>
  <c r="AI204" i="59"/>
  <c r="AH204" i="59"/>
  <c r="AG204" i="59"/>
  <c r="AF204" i="59"/>
  <c r="AE204" i="59"/>
  <c r="AD204" i="59"/>
  <c r="AC204" i="59"/>
  <c r="AB204" i="59"/>
  <c r="AA204" i="59"/>
  <c r="Z204" i="59"/>
  <c r="Y204" i="59"/>
  <c r="X204" i="59"/>
  <c r="W204" i="59"/>
  <c r="V204" i="59"/>
  <c r="U204" i="59"/>
  <c r="T204" i="59"/>
  <c r="S204" i="59"/>
  <c r="R204" i="59"/>
  <c r="Q204" i="59"/>
  <c r="P204" i="59"/>
  <c r="O204" i="59"/>
  <c r="N204" i="59"/>
  <c r="M204" i="59"/>
  <c r="L204" i="59"/>
  <c r="K204" i="59"/>
  <c r="J204" i="59"/>
  <c r="I204" i="59"/>
  <c r="H204" i="59"/>
  <c r="G204" i="59"/>
  <c r="F204" i="59"/>
  <c r="E204" i="59"/>
  <c r="D204" i="59"/>
  <c r="C204" i="59"/>
  <c r="AX203" i="59"/>
  <c r="AW203" i="59"/>
  <c r="AV203" i="59"/>
  <c r="AU203" i="59"/>
  <c r="AT203" i="59"/>
  <c r="AS203" i="59"/>
  <c r="AR203" i="59"/>
  <c r="AQ203" i="59"/>
  <c r="AP203" i="59"/>
  <c r="AO203" i="59"/>
  <c r="AN203" i="59"/>
  <c r="AM203" i="59"/>
  <c r="AL203" i="59"/>
  <c r="AK203" i="59"/>
  <c r="AJ203" i="59"/>
  <c r="AI203" i="59"/>
  <c r="AH203" i="59"/>
  <c r="AG203" i="59"/>
  <c r="AF203" i="59"/>
  <c r="AE203" i="59"/>
  <c r="AD203" i="59"/>
  <c r="AC203" i="59"/>
  <c r="AB203" i="59"/>
  <c r="AA203" i="59"/>
  <c r="Z203" i="59"/>
  <c r="Y203" i="59"/>
  <c r="X203" i="59"/>
  <c r="W203" i="59"/>
  <c r="V203" i="59"/>
  <c r="U203" i="59"/>
  <c r="T203" i="59"/>
  <c r="S203" i="59"/>
  <c r="R203" i="59"/>
  <c r="Q203" i="59"/>
  <c r="P203" i="59"/>
  <c r="O203" i="59"/>
  <c r="N203" i="59"/>
  <c r="M203" i="59"/>
  <c r="L203" i="59"/>
  <c r="K203" i="59"/>
  <c r="J203" i="59"/>
  <c r="I203" i="59"/>
  <c r="H203" i="59"/>
  <c r="G203" i="59"/>
  <c r="F203" i="59"/>
  <c r="E203" i="59"/>
  <c r="D203" i="59"/>
  <c r="C203" i="59"/>
  <c r="AX202" i="59"/>
  <c r="AW202" i="59"/>
  <c r="AV202" i="59"/>
  <c r="AU202" i="59"/>
  <c r="AT202" i="59"/>
  <c r="AS202" i="59"/>
  <c r="AR202" i="59"/>
  <c r="AQ202" i="59"/>
  <c r="AP202" i="59"/>
  <c r="AO202" i="59"/>
  <c r="AN202" i="59"/>
  <c r="AM202" i="59"/>
  <c r="AL202" i="59"/>
  <c r="AK202" i="59"/>
  <c r="AJ202" i="59"/>
  <c r="AI202" i="59"/>
  <c r="AH202" i="59"/>
  <c r="AG202" i="59"/>
  <c r="AF202" i="59"/>
  <c r="AE202" i="59"/>
  <c r="AD202" i="59"/>
  <c r="AC202" i="59"/>
  <c r="AB202" i="59"/>
  <c r="AA202" i="59"/>
  <c r="Z202" i="59"/>
  <c r="Y202" i="59"/>
  <c r="X202" i="59"/>
  <c r="W202" i="59"/>
  <c r="V202" i="59"/>
  <c r="U202" i="59"/>
  <c r="T202" i="59"/>
  <c r="S202" i="59"/>
  <c r="R202" i="59"/>
  <c r="Q202" i="59"/>
  <c r="P202" i="59"/>
  <c r="O202" i="59"/>
  <c r="N202" i="59"/>
  <c r="M202" i="59"/>
  <c r="L202" i="59"/>
  <c r="K202" i="59"/>
  <c r="J202" i="59"/>
  <c r="I202" i="59"/>
  <c r="H202" i="59"/>
  <c r="G202" i="59"/>
  <c r="F202" i="59"/>
  <c r="E202" i="59"/>
  <c r="D202" i="59"/>
  <c r="C202" i="59"/>
  <c r="AX201" i="59"/>
  <c r="AW201" i="59"/>
  <c r="AV201" i="59"/>
  <c r="AU201" i="59"/>
  <c r="AT201" i="59"/>
  <c r="AS201" i="59"/>
  <c r="AR201" i="59"/>
  <c r="AQ201" i="59"/>
  <c r="AP201" i="59"/>
  <c r="AO201" i="59"/>
  <c r="AN201" i="59"/>
  <c r="AM201" i="59"/>
  <c r="AL201" i="59"/>
  <c r="AK201" i="59"/>
  <c r="AJ201" i="59"/>
  <c r="AI201" i="59"/>
  <c r="AH201" i="59"/>
  <c r="AG201" i="59"/>
  <c r="AF201" i="59"/>
  <c r="AE201" i="59"/>
  <c r="AD201" i="59"/>
  <c r="AC201" i="59"/>
  <c r="AB201" i="59"/>
  <c r="AA201" i="59"/>
  <c r="Z201" i="59"/>
  <c r="Y201" i="59"/>
  <c r="X201" i="59"/>
  <c r="W201" i="59"/>
  <c r="V201" i="59"/>
  <c r="U201" i="59"/>
  <c r="T201" i="59"/>
  <c r="S201" i="59"/>
  <c r="R201" i="59"/>
  <c r="Q201" i="59"/>
  <c r="P201" i="59"/>
  <c r="O201" i="59"/>
  <c r="N201" i="59"/>
  <c r="M201" i="59"/>
  <c r="L201" i="59"/>
  <c r="K201" i="59"/>
  <c r="J201" i="59"/>
  <c r="I201" i="59"/>
  <c r="H201" i="59"/>
  <c r="G201" i="59"/>
  <c r="F201" i="59"/>
  <c r="E201" i="59"/>
  <c r="D201" i="59"/>
  <c r="C201" i="59"/>
  <c r="AX200" i="59"/>
  <c r="AW200" i="59"/>
  <c r="AV200" i="59"/>
  <c r="AU200" i="59"/>
  <c r="AT200" i="59"/>
  <c r="AS200" i="59"/>
  <c r="AR200" i="59"/>
  <c r="AQ200" i="59"/>
  <c r="AP200" i="59"/>
  <c r="AO200" i="59"/>
  <c r="AN200" i="59"/>
  <c r="AM200" i="59"/>
  <c r="AL200" i="59"/>
  <c r="AK200" i="59"/>
  <c r="AJ200" i="59"/>
  <c r="AI200" i="59"/>
  <c r="AH200" i="59"/>
  <c r="AG200" i="59"/>
  <c r="AF200" i="59"/>
  <c r="AE200" i="59"/>
  <c r="AD200" i="59"/>
  <c r="AC200" i="59"/>
  <c r="AB200" i="59"/>
  <c r="AA200" i="59"/>
  <c r="Z200" i="59"/>
  <c r="Y200" i="59"/>
  <c r="X200" i="59"/>
  <c r="W200" i="59"/>
  <c r="V200" i="59"/>
  <c r="U200" i="59"/>
  <c r="T200" i="59"/>
  <c r="S200" i="59"/>
  <c r="R200" i="59"/>
  <c r="Q200" i="59"/>
  <c r="P200" i="59"/>
  <c r="O200" i="59"/>
  <c r="N200" i="59"/>
  <c r="M200" i="59"/>
  <c r="L200" i="59"/>
  <c r="K200" i="59"/>
  <c r="J200" i="59"/>
  <c r="I200" i="59"/>
  <c r="H200" i="59"/>
  <c r="G200" i="59"/>
  <c r="F200" i="59"/>
  <c r="E200" i="59"/>
  <c r="D200" i="59"/>
  <c r="C200" i="59"/>
  <c r="AX199" i="59"/>
  <c r="AW199" i="59"/>
  <c r="AV199" i="59"/>
  <c r="AU199" i="59"/>
  <c r="AT199" i="59"/>
  <c r="AS199" i="59"/>
  <c r="AR199" i="59"/>
  <c r="AQ199" i="59"/>
  <c r="AP199" i="59"/>
  <c r="AO199" i="59"/>
  <c r="AN199" i="59"/>
  <c r="AM199" i="59"/>
  <c r="AL199" i="59"/>
  <c r="AK199" i="59"/>
  <c r="AJ199" i="59"/>
  <c r="AI199" i="59"/>
  <c r="AH199" i="59"/>
  <c r="AG199" i="59"/>
  <c r="AF199" i="59"/>
  <c r="AE199" i="59"/>
  <c r="AD199" i="59"/>
  <c r="AC199" i="59"/>
  <c r="AB199" i="59"/>
  <c r="AA199" i="59"/>
  <c r="Z199" i="59"/>
  <c r="Y199" i="59"/>
  <c r="X199" i="59"/>
  <c r="W199" i="59"/>
  <c r="V199" i="59"/>
  <c r="U199" i="59"/>
  <c r="T199" i="59"/>
  <c r="S199" i="59"/>
  <c r="R199" i="59"/>
  <c r="Q199" i="59"/>
  <c r="P199" i="59"/>
  <c r="O199" i="59"/>
  <c r="N199" i="59"/>
  <c r="M199" i="59"/>
  <c r="L199" i="59"/>
  <c r="K199" i="59"/>
  <c r="J199" i="59"/>
  <c r="I199" i="59"/>
  <c r="H199" i="59"/>
  <c r="G199" i="59"/>
  <c r="F199" i="59"/>
  <c r="E199" i="59"/>
  <c r="D199" i="59"/>
  <c r="C199" i="59"/>
  <c r="AX198" i="59"/>
  <c r="AW198" i="59"/>
  <c r="AV198" i="59"/>
  <c r="AU198" i="59"/>
  <c r="AT198" i="59"/>
  <c r="AS198" i="59"/>
  <c r="AR198" i="59"/>
  <c r="AQ198" i="59"/>
  <c r="AP198" i="59"/>
  <c r="AO198" i="59"/>
  <c r="AN198" i="59"/>
  <c r="AM198" i="59"/>
  <c r="AL198" i="59"/>
  <c r="AK198" i="59"/>
  <c r="AJ198" i="59"/>
  <c r="AI198" i="59"/>
  <c r="AH198" i="59"/>
  <c r="AG198" i="59"/>
  <c r="AF198" i="59"/>
  <c r="AE198" i="59"/>
  <c r="AD198" i="59"/>
  <c r="AC198" i="59"/>
  <c r="AB198" i="59"/>
  <c r="AA198" i="59"/>
  <c r="Z198" i="59"/>
  <c r="Y198" i="59"/>
  <c r="X198" i="59"/>
  <c r="W198" i="59"/>
  <c r="V198" i="59"/>
  <c r="U198" i="59"/>
  <c r="T198" i="59"/>
  <c r="S198" i="59"/>
  <c r="R198" i="59"/>
  <c r="Q198" i="59"/>
  <c r="P198" i="59"/>
  <c r="O198" i="59"/>
  <c r="N198" i="59"/>
  <c r="M198" i="59"/>
  <c r="L198" i="59"/>
  <c r="K198" i="59"/>
  <c r="J198" i="59"/>
  <c r="I198" i="59"/>
  <c r="H198" i="59"/>
  <c r="G198" i="59"/>
  <c r="F198" i="59"/>
  <c r="E198" i="59"/>
  <c r="D198" i="59"/>
  <c r="C198" i="59"/>
  <c r="AX197" i="59"/>
  <c r="AW197" i="59"/>
  <c r="AV197" i="59"/>
  <c r="AU197" i="59"/>
  <c r="AT197" i="59"/>
  <c r="AS197" i="59"/>
  <c r="AR197" i="59"/>
  <c r="AQ197" i="59"/>
  <c r="AP197" i="59"/>
  <c r="AO197" i="59"/>
  <c r="AN197" i="59"/>
  <c r="AM197" i="59"/>
  <c r="AL197" i="59"/>
  <c r="AK197" i="59"/>
  <c r="AJ197" i="59"/>
  <c r="AI197" i="59"/>
  <c r="AH197" i="59"/>
  <c r="AG197" i="59"/>
  <c r="AF197" i="59"/>
  <c r="AE197" i="59"/>
  <c r="AD197" i="59"/>
  <c r="AC197" i="59"/>
  <c r="AB197" i="59"/>
  <c r="AA197" i="59"/>
  <c r="Z197" i="59"/>
  <c r="Y197" i="59"/>
  <c r="X197" i="59"/>
  <c r="W197" i="59"/>
  <c r="V197" i="59"/>
  <c r="U197" i="59"/>
  <c r="T197" i="59"/>
  <c r="S197" i="59"/>
  <c r="R197" i="59"/>
  <c r="Q197" i="59"/>
  <c r="P197" i="59"/>
  <c r="O197" i="59"/>
  <c r="N197" i="59"/>
  <c r="M197" i="59"/>
  <c r="L197" i="59"/>
  <c r="K197" i="59"/>
  <c r="J197" i="59"/>
  <c r="I197" i="59"/>
  <c r="H197" i="59"/>
  <c r="G197" i="59"/>
  <c r="F197" i="59"/>
  <c r="E197" i="59"/>
  <c r="D197" i="59"/>
  <c r="C197" i="59"/>
  <c r="AX196" i="59"/>
  <c r="AW196" i="59"/>
  <c r="AV196" i="59"/>
  <c r="AU196" i="59"/>
  <c r="AT196" i="59"/>
  <c r="AS196" i="59"/>
  <c r="AR196" i="59"/>
  <c r="AQ196" i="59"/>
  <c r="AP196" i="59"/>
  <c r="AO196" i="59"/>
  <c r="AN196" i="59"/>
  <c r="AM196" i="59"/>
  <c r="AL196" i="59"/>
  <c r="AK196" i="59"/>
  <c r="AJ196" i="59"/>
  <c r="AI196" i="59"/>
  <c r="AH196" i="59"/>
  <c r="AG196" i="59"/>
  <c r="AF196" i="59"/>
  <c r="AE196" i="59"/>
  <c r="AD196" i="59"/>
  <c r="AC196" i="59"/>
  <c r="AB196" i="59"/>
  <c r="AA196" i="59"/>
  <c r="Z196" i="59"/>
  <c r="Y196" i="59"/>
  <c r="X196" i="59"/>
  <c r="W196" i="59"/>
  <c r="V196" i="59"/>
  <c r="U196" i="59"/>
  <c r="T196" i="59"/>
  <c r="S196" i="59"/>
  <c r="R196" i="59"/>
  <c r="Q196" i="59"/>
  <c r="P196" i="59"/>
  <c r="O196" i="59"/>
  <c r="N196" i="59"/>
  <c r="M196" i="59"/>
  <c r="L196" i="59"/>
  <c r="K196" i="59"/>
  <c r="J196" i="59"/>
  <c r="I196" i="59"/>
  <c r="H196" i="59"/>
  <c r="G196" i="59"/>
  <c r="F196" i="59"/>
  <c r="E196" i="59"/>
  <c r="D196" i="59"/>
  <c r="C196" i="59"/>
  <c r="AX195" i="59"/>
  <c r="AW195" i="59"/>
  <c r="AV195" i="59"/>
  <c r="AU195" i="59"/>
  <c r="AT195" i="59"/>
  <c r="AS195" i="59"/>
  <c r="AR195" i="59"/>
  <c r="AQ195" i="59"/>
  <c r="AP195" i="59"/>
  <c r="AO195" i="59"/>
  <c r="AN195" i="59"/>
  <c r="AM195" i="59"/>
  <c r="AL195" i="59"/>
  <c r="AK195" i="59"/>
  <c r="AJ195" i="59"/>
  <c r="AI195" i="59"/>
  <c r="AH195" i="59"/>
  <c r="AG195" i="59"/>
  <c r="AF195" i="59"/>
  <c r="AE195" i="59"/>
  <c r="AD195" i="59"/>
  <c r="AC195" i="59"/>
  <c r="AB195" i="59"/>
  <c r="AA195" i="59"/>
  <c r="Z195" i="59"/>
  <c r="Y195" i="59"/>
  <c r="X195" i="59"/>
  <c r="W195" i="59"/>
  <c r="V195" i="59"/>
  <c r="U195" i="59"/>
  <c r="T195" i="59"/>
  <c r="S195" i="59"/>
  <c r="R195" i="59"/>
  <c r="Q195" i="59"/>
  <c r="P195" i="59"/>
  <c r="O195" i="59"/>
  <c r="N195" i="59"/>
  <c r="M195" i="59"/>
  <c r="L195" i="59"/>
  <c r="K195" i="59"/>
  <c r="J195" i="59"/>
  <c r="I195" i="59"/>
  <c r="H195" i="59"/>
  <c r="G195" i="59"/>
  <c r="F195" i="59"/>
  <c r="E195" i="59"/>
  <c r="D195" i="59"/>
  <c r="C195" i="59"/>
  <c r="AX194" i="59"/>
  <c r="AW194" i="59"/>
  <c r="AV194" i="59"/>
  <c r="AU194" i="59"/>
  <c r="AT194" i="59"/>
  <c r="AS194" i="59"/>
  <c r="AR194" i="59"/>
  <c r="AQ194" i="59"/>
  <c r="AP194" i="59"/>
  <c r="AO194" i="59"/>
  <c r="AN194" i="59"/>
  <c r="AM194" i="59"/>
  <c r="AL194" i="59"/>
  <c r="AK194" i="59"/>
  <c r="AJ194" i="59"/>
  <c r="AI194" i="59"/>
  <c r="AH194" i="59"/>
  <c r="AG194" i="59"/>
  <c r="AF194" i="59"/>
  <c r="AE194" i="59"/>
  <c r="AD194" i="59"/>
  <c r="AC194" i="59"/>
  <c r="AB194" i="59"/>
  <c r="AA194" i="59"/>
  <c r="Z194" i="59"/>
  <c r="Y194" i="59"/>
  <c r="X194" i="59"/>
  <c r="W194" i="59"/>
  <c r="V194" i="59"/>
  <c r="U194" i="59"/>
  <c r="T194" i="59"/>
  <c r="S194" i="59"/>
  <c r="R194" i="59"/>
  <c r="Q194" i="59"/>
  <c r="P194" i="59"/>
  <c r="O194" i="59"/>
  <c r="N194" i="59"/>
  <c r="M194" i="59"/>
  <c r="L194" i="59"/>
  <c r="K194" i="59"/>
  <c r="J194" i="59"/>
  <c r="I194" i="59"/>
  <c r="H194" i="59"/>
  <c r="G194" i="59"/>
  <c r="F194" i="59"/>
  <c r="E194" i="59"/>
  <c r="D194" i="59"/>
  <c r="C194" i="59"/>
  <c r="AX193" i="59"/>
  <c r="AW193" i="59"/>
  <c r="AV193" i="59"/>
  <c r="AU193" i="59"/>
  <c r="AT193" i="59"/>
  <c r="AS193" i="59"/>
  <c r="AR193" i="59"/>
  <c r="AQ193" i="59"/>
  <c r="AP193" i="59"/>
  <c r="AO193" i="59"/>
  <c r="AN193" i="59"/>
  <c r="AM193" i="59"/>
  <c r="AL193" i="59"/>
  <c r="AK193" i="59"/>
  <c r="AJ193" i="59"/>
  <c r="AI193" i="59"/>
  <c r="AH193" i="59"/>
  <c r="AG193" i="59"/>
  <c r="AF193" i="59"/>
  <c r="AE193" i="59"/>
  <c r="AD193" i="59"/>
  <c r="AC193" i="59"/>
  <c r="AB193" i="59"/>
  <c r="AA193" i="59"/>
  <c r="Z193" i="59"/>
  <c r="Y193" i="59"/>
  <c r="X193" i="59"/>
  <c r="W193" i="59"/>
  <c r="V193" i="59"/>
  <c r="U193" i="59"/>
  <c r="T193" i="59"/>
  <c r="S193" i="59"/>
  <c r="R193" i="59"/>
  <c r="Q193" i="59"/>
  <c r="P193" i="59"/>
  <c r="O193" i="59"/>
  <c r="N193" i="59"/>
  <c r="M193" i="59"/>
  <c r="L193" i="59"/>
  <c r="K193" i="59"/>
  <c r="J193" i="59"/>
  <c r="I193" i="59"/>
  <c r="H193" i="59"/>
  <c r="G193" i="59"/>
  <c r="F193" i="59"/>
  <c r="E193" i="59"/>
  <c r="D193" i="59"/>
  <c r="C193" i="59"/>
  <c r="AX192" i="59"/>
  <c r="AW192" i="59"/>
  <c r="AV192" i="59"/>
  <c r="AU192" i="59"/>
  <c r="AT192" i="59"/>
  <c r="AS192" i="59"/>
  <c r="AR192" i="59"/>
  <c r="AQ192" i="59"/>
  <c r="AP192" i="59"/>
  <c r="AO192" i="59"/>
  <c r="AN192" i="59"/>
  <c r="AM192" i="59"/>
  <c r="AL192" i="59"/>
  <c r="AK192" i="59"/>
  <c r="AJ192" i="59"/>
  <c r="AI192" i="59"/>
  <c r="AH192" i="59"/>
  <c r="AG192" i="59"/>
  <c r="AF192" i="59"/>
  <c r="AE192" i="59"/>
  <c r="AD192" i="59"/>
  <c r="AC192" i="59"/>
  <c r="AB192" i="59"/>
  <c r="AA192" i="59"/>
  <c r="Z192" i="59"/>
  <c r="Y192" i="59"/>
  <c r="X192" i="59"/>
  <c r="W192" i="59"/>
  <c r="V192" i="59"/>
  <c r="U192" i="59"/>
  <c r="T192" i="59"/>
  <c r="S192" i="59"/>
  <c r="R192" i="59"/>
  <c r="Q192" i="59"/>
  <c r="P192" i="59"/>
  <c r="O192" i="59"/>
  <c r="N192" i="59"/>
  <c r="M192" i="59"/>
  <c r="L192" i="59"/>
  <c r="K192" i="59"/>
  <c r="J192" i="59"/>
  <c r="I192" i="59"/>
  <c r="H192" i="59"/>
  <c r="G192" i="59"/>
  <c r="F192" i="59"/>
  <c r="E192" i="59"/>
  <c r="D192" i="59"/>
  <c r="C192" i="59"/>
  <c r="AX191" i="59"/>
  <c r="AW191" i="59"/>
  <c r="AV191" i="59"/>
  <c r="AU191" i="59"/>
  <c r="AT191" i="59"/>
  <c r="AS191" i="59"/>
  <c r="AR191" i="59"/>
  <c r="AQ191" i="59"/>
  <c r="AP191" i="59"/>
  <c r="AO191" i="59"/>
  <c r="AN191" i="59"/>
  <c r="AM191" i="59"/>
  <c r="AL191" i="59"/>
  <c r="AK191" i="59"/>
  <c r="AJ191" i="59"/>
  <c r="AI191" i="59"/>
  <c r="AH191" i="59"/>
  <c r="AG191" i="59"/>
  <c r="AF191" i="59"/>
  <c r="AE191" i="59"/>
  <c r="AD191" i="59"/>
  <c r="AC191" i="59"/>
  <c r="AB191" i="59"/>
  <c r="AA191" i="59"/>
  <c r="Z191" i="59"/>
  <c r="Y191" i="59"/>
  <c r="X191" i="59"/>
  <c r="W191" i="59"/>
  <c r="V191" i="59"/>
  <c r="U191" i="59"/>
  <c r="T191" i="59"/>
  <c r="S191" i="59"/>
  <c r="R191" i="59"/>
  <c r="Q191" i="59"/>
  <c r="P191" i="59"/>
  <c r="O191" i="59"/>
  <c r="N191" i="59"/>
  <c r="M191" i="59"/>
  <c r="L191" i="59"/>
  <c r="K191" i="59"/>
  <c r="J191" i="59"/>
  <c r="I191" i="59"/>
  <c r="H191" i="59"/>
  <c r="G191" i="59"/>
  <c r="F191" i="59"/>
  <c r="E191" i="59"/>
  <c r="D191" i="59"/>
  <c r="C191" i="59"/>
  <c r="AX190" i="59"/>
  <c r="AW190" i="59"/>
  <c r="AV190" i="59"/>
  <c r="AU190" i="59"/>
  <c r="AT190" i="59"/>
  <c r="AS190" i="59"/>
  <c r="AR190" i="59"/>
  <c r="AQ190" i="59"/>
  <c r="AP190" i="59"/>
  <c r="AO190" i="59"/>
  <c r="AN190" i="59"/>
  <c r="AM190" i="59"/>
  <c r="AL190" i="59"/>
  <c r="AK190" i="59"/>
  <c r="AJ190" i="59"/>
  <c r="AI190" i="59"/>
  <c r="AH190" i="59"/>
  <c r="AG190" i="59"/>
  <c r="AF190" i="59"/>
  <c r="AE190" i="59"/>
  <c r="AD190" i="59"/>
  <c r="AC190" i="59"/>
  <c r="AB190" i="59"/>
  <c r="AA190" i="59"/>
  <c r="Z190" i="59"/>
  <c r="Y190" i="59"/>
  <c r="X190" i="59"/>
  <c r="W190" i="59"/>
  <c r="V190" i="59"/>
  <c r="U190" i="59"/>
  <c r="T190" i="59"/>
  <c r="S190" i="59"/>
  <c r="R190" i="59"/>
  <c r="Q190" i="59"/>
  <c r="P190" i="59"/>
  <c r="O190" i="59"/>
  <c r="N190" i="59"/>
  <c r="M190" i="59"/>
  <c r="L190" i="59"/>
  <c r="K190" i="59"/>
  <c r="J190" i="59"/>
  <c r="I190" i="59"/>
  <c r="H190" i="59"/>
  <c r="G190" i="59"/>
  <c r="F190" i="59"/>
  <c r="E190" i="59"/>
  <c r="D190" i="59"/>
  <c r="C190" i="59"/>
  <c r="AX189" i="59"/>
  <c r="AW189" i="59"/>
  <c r="AV189" i="59"/>
  <c r="AU189" i="59"/>
  <c r="AT189" i="59"/>
  <c r="AS189" i="59"/>
  <c r="AR189" i="59"/>
  <c r="AQ189" i="59"/>
  <c r="AP189" i="59"/>
  <c r="AO189" i="59"/>
  <c r="AN189" i="59"/>
  <c r="AM189" i="59"/>
  <c r="AL189" i="59"/>
  <c r="AK189" i="59"/>
  <c r="AJ189" i="59"/>
  <c r="AI189" i="59"/>
  <c r="AH189" i="59"/>
  <c r="AG189" i="59"/>
  <c r="AF189" i="59"/>
  <c r="AE189" i="59"/>
  <c r="AD189" i="59"/>
  <c r="AC189" i="59"/>
  <c r="AB189" i="59"/>
  <c r="AA189" i="59"/>
  <c r="Z189" i="59"/>
  <c r="Y189" i="59"/>
  <c r="X189" i="59"/>
  <c r="W189" i="59"/>
  <c r="V189" i="59"/>
  <c r="U189" i="59"/>
  <c r="T189" i="59"/>
  <c r="S189" i="59"/>
  <c r="R189" i="59"/>
  <c r="Q189" i="59"/>
  <c r="P189" i="59"/>
  <c r="O189" i="59"/>
  <c r="N189" i="59"/>
  <c r="M189" i="59"/>
  <c r="L189" i="59"/>
  <c r="K189" i="59"/>
  <c r="J189" i="59"/>
  <c r="I189" i="59"/>
  <c r="H189" i="59"/>
  <c r="G189" i="59"/>
  <c r="F189" i="59"/>
  <c r="E189" i="59"/>
  <c r="D189" i="59"/>
  <c r="C189" i="59"/>
  <c r="AX188" i="59"/>
  <c r="AW188" i="59"/>
  <c r="AV188" i="59"/>
  <c r="AU188" i="59"/>
  <c r="AT188" i="59"/>
  <c r="AS188" i="59"/>
  <c r="AR188" i="59"/>
  <c r="AQ188" i="59"/>
  <c r="AP188" i="59"/>
  <c r="AO188" i="59"/>
  <c r="AN188" i="59"/>
  <c r="AM188" i="59"/>
  <c r="AL188" i="59"/>
  <c r="AK188" i="59"/>
  <c r="AJ188" i="59"/>
  <c r="AI188" i="59"/>
  <c r="AH188" i="59"/>
  <c r="AG188" i="59"/>
  <c r="AF188" i="59"/>
  <c r="AE188" i="59"/>
  <c r="AD188" i="59"/>
  <c r="AC188" i="59"/>
  <c r="AB188" i="59"/>
  <c r="AA188" i="59"/>
  <c r="Z188" i="59"/>
  <c r="Y188" i="59"/>
  <c r="X188" i="59"/>
  <c r="W188" i="59"/>
  <c r="V188" i="59"/>
  <c r="U188" i="59"/>
  <c r="T188" i="59"/>
  <c r="S188" i="59"/>
  <c r="R188" i="59"/>
  <c r="Q188" i="59"/>
  <c r="P188" i="59"/>
  <c r="O188" i="59"/>
  <c r="N188" i="59"/>
  <c r="M188" i="59"/>
  <c r="L188" i="59"/>
  <c r="K188" i="59"/>
  <c r="J188" i="59"/>
  <c r="I188" i="59"/>
  <c r="H188" i="59"/>
  <c r="G188" i="59"/>
  <c r="F188" i="59"/>
  <c r="E188" i="59"/>
  <c r="D188" i="59"/>
  <c r="C188" i="59"/>
  <c r="AX187" i="59"/>
  <c r="AW187" i="59"/>
  <c r="AV187" i="59"/>
  <c r="AU187" i="59"/>
  <c r="AT187" i="59"/>
  <c r="AS187" i="59"/>
  <c r="AR187" i="59"/>
  <c r="AQ187" i="59"/>
  <c r="AP187" i="59"/>
  <c r="AO187" i="59"/>
  <c r="AN187" i="59"/>
  <c r="AM187" i="59"/>
  <c r="AL187" i="59"/>
  <c r="AK187" i="59"/>
  <c r="AJ187" i="59"/>
  <c r="AI187" i="59"/>
  <c r="AH187" i="59"/>
  <c r="AG187" i="59"/>
  <c r="AF187" i="59"/>
  <c r="AE187" i="59"/>
  <c r="AD187" i="59"/>
  <c r="AC187" i="59"/>
  <c r="AB187" i="59"/>
  <c r="AA187" i="59"/>
  <c r="Z187" i="59"/>
  <c r="Y187" i="59"/>
  <c r="X187" i="59"/>
  <c r="W187" i="59"/>
  <c r="V187" i="59"/>
  <c r="U187" i="59"/>
  <c r="T187" i="59"/>
  <c r="S187" i="59"/>
  <c r="R187" i="59"/>
  <c r="Q187" i="59"/>
  <c r="P187" i="59"/>
  <c r="O187" i="59"/>
  <c r="N187" i="59"/>
  <c r="M187" i="59"/>
  <c r="L187" i="59"/>
  <c r="K187" i="59"/>
  <c r="J187" i="59"/>
  <c r="I187" i="59"/>
  <c r="H187" i="59"/>
  <c r="G187" i="59"/>
  <c r="F187" i="59"/>
  <c r="E187" i="59"/>
  <c r="D187" i="59"/>
  <c r="C187" i="59"/>
  <c r="AX186" i="59"/>
  <c r="AW186" i="59"/>
  <c r="AV186" i="59"/>
  <c r="AU186" i="59"/>
  <c r="AT186" i="59"/>
  <c r="AS186" i="59"/>
  <c r="AR186" i="59"/>
  <c r="AQ186" i="59"/>
  <c r="AP186" i="59"/>
  <c r="AO186" i="59"/>
  <c r="AN186" i="59"/>
  <c r="AM186" i="59"/>
  <c r="AL186" i="59"/>
  <c r="AK186" i="59"/>
  <c r="AJ186" i="59"/>
  <c r="AI186" i="59"/>
  <c r="AH186" i="59"/>
  <c r="AG186" i="59"/>
  <c r="AF186" i="59"/>
  <c r="AE186" i="59"/>
  <c r="AD186" i="59"/>
  <c r="AC186" i="59"/>
  <c r="AB186" i="59"/>
  <c r="AA186" i="59"/>
  <c r="Z186" i="59"/>
  <c r="Y186" i="59"/>
  <c r="X186" i="59"/>
  <c r="W186" i="59"/>
  <c r="V186" i="59"/>
  <c r="U186" i="59"/>
  <c r="T186" i="59"/>
  <c r="S186" i="59"/>
  <c r="R186" i="59"/>
  <c r="Q186" i="59"/>
  <c r="P186" i="59"/>
  <c r="O186" i="59"/>
  <c r="N186" i="59"/>
  <c r="M186" i="59"/>
  <c r="L186" i="59"/>
  <c r="K186" i="59"/>
  <c r="J186" i="59"/>
  <c r="I186" i="59"/>
  <c r="H186" i="59"/>
  <c r="G186" i="59"/>
  <c r="F186" i="59"/>
  <c r="E186" i="59"/>
  <c r="D186" i="59"/>
  <c r="C186" i="59"/>
  <c r="AX185" i="59"/>
  <c r="AW185" i="59"/>
  <c r="AV185" i="59"/>
  <c r="AU185" i="59"/>
  <c r="AT185" i="59"/>
  <c r="AS185" i="59"/>
  <c r="AR185" i="59"/>
  <c r="AQ185" i="59"/>
  <c r="AP185" i="59"/>
  <c r="AO185" i="59"/>
  <c r="AN185" i="59"/>
  <c r="AM185" i="59"/>
  <c r="AL185" i="59"/>
  <c r="AK185" i="59"/>
  <c r="AJ185" i="59"/>
  <c r="AI185" i="59"/>
  <c r="AH185" i="59"/>
  <c r="AG185" i="59"/>
  <c r="AF185" i="59"/>
  <c r="AE185" i="59"/>
  <c r="AD185" i="59"/>
  <c r="AC185" i="59"/>
  <c r="AB185" i="59"/>
  <c r="AA185" i="59"/>
  <c r="Z185" i="59"/>
  <c r="Y185" i="59"/>
  <c r="X185" i="59"/>
  <c r="W185" i="59"/>
  <c r="V185" i="59"/>
  <c r="U185" i="59"/>
  <c r="T185" i="59"/>
  <c r="S185" i="59"/>
  <c r="R185" i="59"/>
  <c r="Q185" i="59"/>
  <c r="P185" i="59"/>
  <c r="O185" i="59"/>
  <c r="N185" i="59"/>
  <c r="M185" i="59"/>
  <c r="L185" i="59"/>
  <c r="K185" i="59"/>
  <c r="J185" i="59"/>
  <c r="I185" i="59"/>
  <c r="H185" i="59"/>
  <c r="G185" i="59"/>
  <c r="F185" i="59"/>
  <c r="E185" i="59"/>
  <c r="D185" i="59"/>
  <c r="C185" i="59"/>
  <c r="AX184" i="59"/>
  <c r="AW184" i="59"/>
  <c r="AV184" i="59"/>
  <c r="AU184" i="59"/>
  <c r="AT184" i="59"/>
  <c r="AS184" i="59"/>
  <c r="AR184" i="59"/>
  <c r="AQ184" i="59"/>
  <c r="AP184" i="59"/>
  <c r="AO184" i="59"/>
  <c r="AN184" i="59"/>
  <c r="AM184" i="59"/>
  <c r="AL184" i="59"/>
  <c r="AK184" i="59"/>
  <c r="AJ184" i="59"/>
  <c r="AI184" i="59"/>
  <c r="AH184" i="59"/>
  <c r="AG184" i="59"/>
  <c r="AF184" i="59"/>
  <c r="AE184" i="59"/>
  <c r="AD184" i="59"/>
  <c r="AC184" i="59"/>
  <c r="AB184" i="59"/>
  <c r="AA184" i="59"/>
  <c r="Z184" i="59"/>
  <c r="Y184" i="59"/>
  <c r="X184" i="59"/>
  <c r="W184" i="59"/>
  <c r="V184" i="59"/>
  <c r="U184" i="59"/>
  <c r="T184" i="59"/>
  <c r="S184" i="59"/>
  <c r="R184" i="59"/>
  <c r="Q184" i="59"/>
  <c r="P184" i="59"/>
  <c r="O184" i="59"/>
  <c r="N184" i="59"/>
  <c r="M184" i="59"/>
  <c r="L184" i="59"/>
  <c r="K184" i="59"/>
  <c r="J184" i="59"/>
  <c r="I184" i="59"/>
  <c r="H184" i="59"/>
  <c r="G184" i="59"/>
  <c r="F184" i="59"/>
  <c r="E184" i="59"/>
  <c r="D184" i="59"/>
  <c r="C184" i="59"/>
  <c r="AX183" i="59"/>
  <c r="AW183" i="59"/>
  <c r="AV183" i="59"/>
  <c r="AU183" i="59"/>
  <c r="AT183" i="59"/>
  <c r="AS183" i="59"/>
  <c r="AR183" i="59"/>
  <c r="AQ183" i="59"/>
  <c r="AP183" i="59"/>
  <c r="AO183" i="59"/>
  <c r="AN183" i="59"/>
  <c r="AM183" i="59"/>
  <c r="AL183" i="59"/>
  <c r="AK183" i="59"/>
  <c r="AJ183" i="59"/>
  <c r="AI183" i="59"/>
  <c r="AH183" i="59"/>
  <c r="AG183" i="59"/>
  <c r="AF183" i="59"/>
  <c r="AE183" i="59"/>
  <c r="AD183" i="59"/>
  <c r="AC183" i="59"/>
  <c r="AB183" i="59"/>
  <c r="AA183" i="59"/>
  <c r="Z183" i="59"/>
  <c r="Y183" i="59"/>
  <c r="X183" i="59"/>
  <c r="W183" i="59"/>
  <c r="V183" i="59"/>
  <c r="U183" i="59"/>
  <c r="T183" i="59"/>
  <c r="S183" i="59"/>
  <c r="R183" i="59"/>
  <c r="Q183" i="59"/>
  <c r="P183" i="59"/>
  <c r="O183" i="59"/>
  <c r="N183" i="59"/>
  <c r="M183" i="59"/>
  <c r="L183" i="59"/>
  <c r="K183" i="59"/>
  <c r="J183" i="59"/>
  <c r="I183" i="59"/>
  <c r="H183" i="59"/>
  <c r="G183" i="59"/>
  <c r="F183" i="59"/>
  <c r="E183" i="59"/>
  <c r="D183" i="59"/>
  <c r="C183" i="59"/>
  <c r="AX182" i="59"/>
  <c r="AW182" i="59"/>
  <c r="AV182" i="59"/>
  <c r="AU182" i="59"/>
  <c r="AT182" i="59"/>
  <c r="AS182" i="59"/>
  <c r="AR182" i="59"/>
  <c r="AQ182" i="59"/>
  <c r="AP182" i="59"/>
  <c r="AO182" i="59"/>
  <c r="AN182" i="59"/>
  <c r="AM182" i="59"/>
  <c r="AL182" i="59"/>
  <c r="AK182" i="59"/>
  <c r="AJ182" i="59"/>
  <c r="AI182" i="59"/>
  <c r="AH182" i="59"/>
  <c r="AG182" i="59"/>
  <c r="AF182" i="59"/>
  <c r="AE182" i="59"/>
  <c r="AD182" i="59"/>
  <c r="AC182" i="59"/>
  <c r="AB182" i="59"/>
  <c r="AA182" i="59"/>
  <c r="Z182" i="59"/>
  <c r="Y182" i="59"/>
  <c r="X182" i="59"/>
  <c r="W182" i="59"/>
  <c r="V182" i="59"/>
  <c r="U182" i="59"/>
  <c r="T182" i="59"/>
  <c r="S182" i="59"/>
  <c r="R182" i="59"/>
  <c r="Q182" i="59"/>
  <c r="P182" i="59"/>
  <c r="O182" i="59"/>
  <c r="N182" i="59"/>
  <c r="M182" i="59"/>
  <c r="L182" i="59"/>
  <c r="K182" i="59"/>
  <c r="J182" i="59"/>
  <c r="I182" i="59"/>
  <c r="H182" i="59"/>
  <c r="G182" i="59"/>
  <c r="F182" i="59"/>
  <c r="E182" i="59"/>
  <c r="D182" i="59"/>
  <c r="C182" i="59"/>
  <c r="AX181" i="59"/>
  <c r="AW181" i="59"/>
  <c r="AV181" i="59"/>
  <c r="AU181" i="59"/>
  <c r="AT181" i="59"/>
  <c r="AS181" i="59"/>
  <c r="AR181" i="59"/>
  <c r="AQ181" i="59"/>
  <c r="AP181" i="59"/>
  <c r="AO181" i="59"/>
  <c r="AN181" i="59"/>
  <c r="AM181" i="59"/>
  <c r="AL181" i="59"/>
  <c r="AK181" i="59"/>
  <c r="AJ181" i="59"/>
  <c r="AI181" i="59"/>
  <c r="AH181" i="59"/>
  <c r="AG181" i="59"/>
  <c r="AF181" i="59"/>
  <c r="AE181" i="59"/>
  <c r="AD181" i="59"/>
  <c r="AC181" i="59"/>
  <c r="AB181" i="59"/>
  <c r="AA181" i="59"/>
  <c r="Z181" i="59"/>
  <c r="Y181" i="59"/>
  <c r="X181" i="59"/>
  <c r="W181" i="59"/>
  <c r="V181" i="59"/>
  <c r="U181" i="59"/>
  <c r="T181" i="59"/>
  <c r="S181" i="59"/>
  <c r="R181" i="59"/>
  <c r="Q181" i="59"/>
  <c r="P181" i="59"/>
  <c r="O181" i="59"/>
  <c r="N181" i="59"/>
  <c r="M181" i="59"/>
  <c r="L181" i="59"/>
  <c r="K181" i="59"/>
  <c r="J181" i="59"/>
  <c r="I181" i="59"/>
  <c r="H181" i="59"/>
  <c r="G181" i="59"/>
  <c r="F181" i="59"/>
  <c r="E181" i="59"/>
  <c r="D181" i="59"/>
  <c r="C181" i="59"/>
  <c r="AX180" i="59"/>
  <c r="AW180" i="59"/>
  <c r="AV180" i="59"/>
  <c r="AU180" i="59"/>
  <c r="AT180" i="59"/>
  <c r="AS180" i="59"/>
  <c r="AR180" i="59"/>
  <c r="AQ180" i="59"/>
  <c r="AP180" i="59"/>
  <c r="AO180" i="59"/>
  <c r="AN180" i="59"/>
  <c r="AM180" i="59"/>
  <c r="AL180" i="59"/>
  <c r="AK180" i="59"/>
  <c r="AJ180" i="59"/>
  <c r="AI180" i="59"/>
  <c r="AH180" i="59"/>
  <c r="AG180" i="59"/>
  <c r="AF180" i="59"/>
  <c r="AE180" i="59"/>
  <c r="AD180" i="59"/>
  <c r="AC180" i="59"/>
  <c r="AB180" i="59"/>
  <c r="AA180" i="59"/>
  <c r="Z180" i="59"/>
  <c r="Y180" i="59"/>
  <c r="X180" i="59"/>
  <c r="W180" i="59"/>
  <c r="V180" i="59"/>
  <c r="U180" i="59"/>
  <c r="T180" i="59"/>
  <c r="S180" i="59"/>
  <c r="R180" i="59"/>
  <c r="Q180" i="59"/>
  <c r="P180" i="59"/>
  <c r="O180" i="59"/>
  <c r="N180" i="59"/>
  <c r="M180" i="59"/>
  <c r="L180" i="59"/>
  <c r="K180" i="59"/>
  <c r="J180" i="59"/>
  <c r="I180" i="59"/>
  <c r="H180" i="59"/>
  <c r="G180" i="59"/>
  <c r="F180" i="59"/>
  <c r="E180" i="59"/>
  <c r="D180" i="59"/>
  <c r="C180" i="59"/>
  <c r="AX179" i="59"/>
  <c r="AW179" i="59"/>
  <c r="AV179" i="59"/>
  <c r="AU179" i="59"/>
  <c r="AT179" i="59"/>
  <c r="AS179" i="59"/>
  <c r="AR179" i="59"/>
  <c r="AQ179" i="59"/>
  <c r="AP179" i="59"/>
  <c r="AO179" i="59"/>
  <c r="AN179" i="59"/>
  <c r="AM179" i="59"/>
  <c r="AL179" i="59"/>
  <c r="AK179" i="59"/>
  <c r="AJ179" i="59"/>
  <c r="AI179" i="59"/>
  <c r="AH179" i="59"/>
  <c r="AG179" i="59"/>
  <c r="AF179" i="59"/>
  <c r="AE179" i="59"/>
  <c r="AD179" i="59"/>
  <c r="AC179" i="59"/>
  <c r="AB179" i="59"/>
  <c r="AA179" i="59"/>
  <c r="Z179" i="59"/>
  <c r="Y179" i="59"/>
  <c r="X179" i="59"/>
  <c r="W179" i="59"/>
  <c r="V179" i="59"/>
  <c r="U179" i="59"/>
  <c r="T179" i="59"/>
  <c r="S179" i="59"/>
  <c r="R179" i="59"/>
  <c r="Q179" i="59"/>
  <c r="P179" i="59"/>
  <c r="O179" i="59"/>
  <c r="N179" i="59"/>
  <c r="M179" i="59"/>
  <c r="L179" i="59"/>
  <c r="K179" i="59"/>
  <c r="J179" i="59"/>
  <c r="I179" i="59"/>
  <c r="H179" i="59"/>
  <c r="G179" i="59"/>
  <c r="F179" i="59"/>
  <c r="E179" i="59"/>
  <c r="D179" i="59"/>
  <c r="C179" i="59"/>
  <c r="AX178" i="59"/>
  <c r="AW178" i="59"/>
  <c r="AV178" i="59"/>
  <c r="AU178" i="59"/>
  <c r="AT178" i="59"/>
  <c r="AS178" i="59"/>
  <c r="AR178" i="59"/>
  <c r="AQ178" i="59"/>
  <c r="AP178" i="59"/>
  <c r="AO178" i="59"/>
  <c r="AN178" i="59"/>
  <c r="AM178" i="59"/>
  <c r="AL178" i="59"/>
  <c r="AK178" i="59"/>
  <c r="AJ178" i="59"/>
  <c r="AI178" i="59"/>
  <c r="AH178" i="59"/>
  <c r="AG178" i="59"/>
  <c r="AF178" i="59"/>
  <c r="AE178" i="59"/>
  <c r="AD178" i="59"/>
  <c r="AC178" i="59"/>
  <c r="AB178" i="59"/>
  <c r="AA178" i="59"/>
  <c r="Z178" i="59"/>
  <c r="Y178" i="59"/>
  <c r="X178" i="59"/>
  <c r="W178" i="59"/>
  <c r="V178" i="59"/>
  <c r="U178" i="59"/>
  <c r="T178" i="59"/>
  <c r="S178" i="59"/>
  <c r="R178" i="59"/>
  <c r="Q178" i="59"/>
  <c r="P178" i="59"/>
  <c r="O178" i="59"/>
  <c r="N178" i="59"/>
  <c r="M178" i="59"/>
  <c r="L178" i="59"/>
  <c r="K178" i="59"/>
  <c r="J178" i="59"/>
  <c r="I178" i="59"/>
  <c r="H178" i="59"/>
  <c r="G178" i="59"/>
  <c r="F178" i="59"/>
  <c r="E178" i="59"/>
  <c r="D178" i="59"/>
  <c r="C178" i="59"/>
  <c r="AX177" i="59"/>
  <c r="AW177" i="59"/>
  <c r="AV177" i="59"/>
  <c r="AU177" i="59"/>
  <c r="AT177" i="59"/>
  <c r="AS177" i="59"/>
  <c r="AR177" i="59"/>
  <c r="AQ177" i="59"/>
  <c r="AP177" i="59"/>
  <c r="AO177" i="59"/>
  <c r="AN177" i="59"/>
  <c r="AM177" i="59"/>
  <c r="AL177" i="59"/>
  <c r="AK177" i="59"/>
  <c r="AJ177" i="59"/>
  <c r="AI177" i="59"/>
  <c r="AH177" i="59"/>
  <c r="AG177" i="59"/>
  <c r="AF177" i="59"/>
  <c r="AE177" i="59"/>
  <c r="AD177" i="59"/>
  <c r="AC177" i="59"/>
  <c r="AB177" i="59"/>
  <c r="AA177" i="59"/>
  <c r="Z177" i="59"/>
  <c r="Y177" i="59"/>
  <c r="X177" i="59"/>
  <c r="W177" i="59"/>
  <c r="V177" i="59"/>
  <c r="U177" i="59"/>
  <c r="T177" i="59"/>
  <c r="S177" i="59"/>
  <c r="R177" i="59"/>
  <c r="Q177" i="59"/>
  <c r="P177" i="59"/>
  <c r="O177" i="59"/>
  <c r="N177" i="59"/>
  <c r="M177" i="59"/>
  <c r="L177" i="59"/>
  <c r="K177" i="59"/>
  <c r="J177" i="59"/>
  <c r="I177" i="59"/>
  <c r="H177" i="59"/>
  <c r="G177" i="59"/>
  <c r="F177" i="59"/>
  <c r="E177" i="59"/>
  <c r="D177" i="59"/>
  <c r="C177" i="59"/>
  <c r="AX176" i="59"/>
  <c r="AW176" i="59"/>
  <c r="AV176" i="59"/>
  <c r="AU176" i="59"/>
  <c r="AT176" i="59"/>
  <c r="AS176" i="59"/>
  <c r="AR176" i="59"/>
  <c r="AQ176" i="59"/>
  <c r="AP176" i="59"/>
  <c r="AO176" i="59"/>
  <c r="AN176" i="59"/>
  <c r="AM176" i="59"/>
  <c r="AL176" i="59"/>
  <c r="AK176" i="59"/>
  <c r="AJ176" i="59"/>
  <c r="AI176" i="59"/>
  <c r="AH176" i="59"/>
  <c r="AG176" i="59"/>
  <c r="AF176" i="59"/>
  <c r="AE176" i="59"/>
  <c r="AD176" i="59"/>
  <c r="AC176" i="59"/>
  <c r="AB176" i="59"/>
  <c r="AA176" i="59"/>
  <c r="Z176" i="59"/>
  <c r="Y176" i="59"/>
  <c r="X176" i="59"/>
  <c r="W176" i="59"/>
  <c r="V176" i="59"/>
  <c r="U176" i="59"/>
  <c r="T176" i="59"/>
  <c r="S176" i="59"/>
  <c r="R176" i="59"/>
  <c r="Q176" i="59"/>
  <c r="P176" i="59"/>
  <c r="O176" i="59"/>
  <c r="N176" i="59"/>
  <c r="M176" i="59"/>
  <c r="L176" i="59"/>
  <c r="K176" i="59"/>
  <c r="J176" i="59"/>
  <c r="I176" i="59"/>
  <c r="H176" i="59"/>
  <c r="G176" i="59"/>
  <c r="F176" i="59"/>
  <c r="E176" i="59"/>
  <c r="D176" i="59"/>
  <c r="C176" i="59"/>
  <c r="AX175" i="59"/>
  <c r="AW175" i="59"/>
  <c r="AV175" i="59"/>
  <c r="AU175" i="59"/>
  <c r="AT175" i="59"/>
  <c r="AS175" i="59"/>
  <c r="AR175" i="59"/>
  <c r="AQ175" i="59"/>
  <c r="AP175" i="59"/>
  <c r="AO175" i="59"/>
  <c r="AN175" i="59"/>
  <c r="AM175" i="59"/>
  <c r="AL175" i="59"/>
  <c r="AK175" i="59"/>
  <c r="AJ175" i="59"/>
  <c r="AI175" i="59"/>
  <c r="AH175" i="59"/>
  <c r="AG175" i="59"/>
  <c r="AF175" i="59"/>
  <c r="AE175" i="59"/>
  <c r="AD175" i="59"/>
  <c r="AC175" i="59"/>
  <c r="AB175" i="59"/>
  <c r="AA175" i="59"/>
  <c r="Z175" i="59"/>
  <c r="Y175" i="59"/>
  <c r="X175" i="59"/>
  <c r="W175" i="59"/>
  <c r="V175" i="59"/>
  <c r="U175" i="59"/>
  <c r="T175" i="59"/>
  <c r="S175" i="59"/>
  <c r="R175" i="59"/>
  <c r="Q175" i="59"/>
  <c r="P175" i="59"/>
  <c r="O175" i="59"/>
  <c r="N175" i="59"/>
  <c r="M175" i="59"/>
  <c r="L175" i="59"/>
  <c r="K175" i="59"/>
  <c r="J175" i="59"/>
  <c r="I175" i="59"/>
  <c r="H175" i="59"/>
  <c r="G175" i="59"/>
  <c r="F175" i="59"/>
  <c r="E175" i="59"/>
  <c r="D175" i="59"/>
  <c r="C175" i="59"/>
  <c r="AX174" i="59"/>
  <c r="AW174" i="59"/>
  <c r="AV174" i="59"/>
  <c r="AU174" i="59"/>
  <c r="AT174" i="59"/>
  <c r="AS174" i="59"/>
  <c r="AR174" i="59"/>
  <c r="AQ174" i="59"/>
  <c r="AP174" i="59"/>
  <c r="AO174" i="59"/>
  <c r="AN174" i="59"/>
  <c r="AM174" i="59"/>
  <c r="AL174" i="59"/>
  <c r="AK174" i="59"/>
  <c r="AJ174" i="59"/>
  <c r="AI174" i="59"/>
  <c r="AH174" i="59"/>
  <c r="AG174" i="59"/>
  <c r="AF174" i="59"/>
  <c r="AE174" i="59"/>
  <c r="AD174" i="59"/>
  <c r="AC174" i="59"/>
  <c r="AB174" i="59"/>
  <c r="AA174" i="59"/>
  <c r="Z174" i="59"/>
  <c r="Y174" i="59"/>
  <c r="X174" i="59"/>
  <c r="W174" i="59"/>
  <c r="V174" i="59"/>
  <c r="U174" i="59"/>
  <c r="T174" i="59"/>
  <c r="S174" i="59"/>
  <c r="R174" i="59"/>
  <c r="Q174" i="59"/>
  <c r="P174" i="59"/>
  <c r="O174" i="59"/>
  <c r="N174" i="59"/>
  <c r="M174" i="59"/>
  <c r="L174" i="59"/>
  <c r="K174" i="59"/>
  <c r="J174" i="59"/>
  <c r="I174" i="59"/>
  <c r="H174" i="59"/>
  <c r="G174" i="59"/>
  <c r="F174" i="59"/>
  <c r="E174" i="59"/>
  <c r="D174" i="59"/>
  <c r="C174" i="59"/>
  <c r="AX173" i="59"/>
  <c r="AW173" i="59"/>
  <c r="AV173" i="59"/>
  <c r="AU173" i="59"/>
  <c r="AT173" i="59"/>
  <c r="AS173" i="59"/>
  <c r="AR173" i="59"/>
  <c r="AQ173" i="59"/>
  <c r="AP173" i="59"/>
  <c r="AO173" i="59"/>
  <c r="AN173" i="59"/>
  <c r="AM173" i="59"/>
  <c r="AL173" i="59"/>
  <c r="AK173" i="59"/>
  <c r="AJ173" i="59"/>
  <c r="AI173" i="59"/>
  <c r="AH173" i="59"/>
  <c r="AG173" i="59"/>
  <c r="AF173" i="59"/>
  <c r="AE173" i="59"/>
  <c r="AD173" i="59"/>
  <c r="AC173" i="59"/>
  <c r="AB173" i="59"/>
  <c r="AA173" i="59"/>
  <c r="Z173" i="59"/>
  <c r="Y173" i="59"/>
  <c r="X173" i="59"/>
  <c r="W173" i="59"/>
  <c r="V173" i="59"/>
  <c r="U173" i="59"/>
  <c r="T173" i="59"/>
  <c r="S173" i="59"/>
  <c r="R173" i="59"/>
  <c r="Q173" i="59"/>
  <c r="P173" i="59"/>
  <c r="O173" i="59"/>
  <c r="N173" i="59"/>
  <c r="M173" i="59"/>
  <c r="L173" i="59"/>
  <c r="K173" i="59"/>
  <c r="J173" i="59"/>
  <c r="I173" i="59"/>
  <c r="H173" i="59"/>
  <c r="G173" i="59"/>
  <c r="F173" i="59"/>
  <c r="E173" i="59"/>
  <c r="D173" i="59"/>
  <c r="C173" i="59"/>
  <c r="AX172" i="59"/>
  <c r="AW172" i="59"/>
  <c r="AV172" i="59"/>
  <c r="AU172" i="59"/>
  <c r="AT172" i="59"/>
  <c r="AS172" i="59"/>
  <c r="AR172" i="59"/>
  <c r="AQ172" i="59"/>
  <c r="AP172" i="59"/>
  <c r="AO172" i="59"/>
  <c r="AN172" i="59"/>
  <c r="AM172" i="59"/>
  <c r="AL172" i="59"/>
  <c r="AK172" i="59"/>
  <c r="AJ172" i="59"/>
  <c r="AI172" i="59"/>
  <c r="AH172" i="59"/>
  <c r="AG172" i="59"/>
  <c r="AF172" i="59"/>
  <c r="AE172" i="59"/>
  <c r="AD172" i="59"/>
  <c r="AC172" i="59"/>
  <c r="AB172" i="59"/>
  <c r="AA172" i="59"/>
  <c r="Z172" i="59"/>
  <c r="Y172" i="59"/>
  <c r="X172" i="59"/>
  <c r="W172" i="59"/>
  <c r="V172" i="59"/>
  <c r="U172" i="59"/>
  <c r="T172" i="59"/>
  <c r="S172" i="59"/>
  <c r="R172" i="59"/>
  <c r="Q172" i="59"/>
  <c r="P172" i="59"/>
  <c r="O172" i="59"/>
  <c r="N172" i="59"/>
  <c r="M172" i="59"/>
  <c r="L172" i="59"/>
  <c r="K172" i="59"/>
  <c r="J172" i="59"/>
  <c r="I172" i="59"/>
  <c r="H172" i="59"/>
  <c r="G172" i="59"/>
  <c r="F172" i="59"/>
  <c r="E172" i="59"/>
  <c r="D172" i="59"/>
  <c r="C172" i="59"/>
  <c r="AX171" i="59"/>
  <c r="AW171" i="59"/>
  <c r="AV171" i="59"/>
  <c r="AU171" i="59"/>
  <c r="AT171" i="59"/>
  <c r="AS171" i="59"/>
  <c r="AR171" i="59"/>
  <c r="AQ171" i="59"/>
  <c r="AP171" i="59"/>
  <c r="AO171" i="59"/>
  <c r="AN171" i="59"/>
  <c r="AM171" i="59"/>
  <c r="AL171" i="59"/>
  <c r="AK171" i="59"/>
  <c r="AJ171" i="59"/>
  <c r="AI171" i="59"/>
  <c r="AH171" i="59"/>
  <c r="AG171" i="59"/>
  <c r="AF171" i="59"/>
  <c r="AE171" i="59"/>
  <c r="AD171" i="59"/>
  <c r="AC171" i="59"/>
  <c r="AB171" i="59"/>
  <c r="AA171" i="59"/>
  <c r="Z171" i="59"/>
  <c r="Y171" i="59"/>
  <c r="X171" i="59"/>
  <c r="W171" i="59"/>
  <c r="V171" i="59"/>
  <c r="U171" i="59"/>
  <c r="T171" i="59"/>
  <c r="S171" i="59"/>
  <c r="R171" i="59"/>
  <c r="Q171" i="59"/>
  <c r="P171" i="59"/>
  <c r="O171" i="59"/>
  <c r="N171" i="59"/>
  <c r="M171" i="59"/>
  <c r="L171" i="59"/>
  <c r="K171" i="59"/>
  <c r="J171" i="59"/>
  <c r="I171" i="59"/>
  <c r="H171" i="59"/>
  <c r="G171" i="59"/>
  <c r="F171" i="59"/>
  <c r="E171" i="59"/>
  <c r="D171" i="59"/>
  <c r="C171" i="59"/>
  <c r="AX170" i="59"/>
  <c r="AW170" i="59"/>
  <c r="AV170" i="59"/>
  <c r="AU170" i="59"/>
  <c r="AT170" i="59"/>
  <c r="AS170" i="59"/>
  <c r="AR170" i="59"/>
  <c r="AQ170" i="59"/>
  <c r="AP170" i="59"/>
  <c r="AO170" i="59"/>
  <c r="AN170" i="59"/>
  <c r="AM170" i="59"/>
  <c r="AL170" i="59"/>
  <c r="AK170" i="59"/>
  <c r="AJ170" i="59"/>
  <c r="AI170" i="59"/>
  <c r="AH170" i="59"/>
  <c r="AG170" i="59"/>
  <c r="AF170" i="59"/>
  <c r="AE170" i="59"/>
  <c r="AD170" i="59"/>
  <c r="AC170" i="59"/>
  <c r="AB170" i="59"/>
  <c r="AA170" i="59"/>
  <c r="Z170" i="59"/>
  <c r="Y170" i="59"/>
  <c r="X170" i="59"/>
  <c r="W170" i="59"/>
  <c r="V170" i="59"/>
  <c r="U170" i="59"/>
  <c r="T170" i="59"/>
  <c r="S170" i="59"/>
  <c r="R170" i="59"/>
  <c r="Q170" i="59"/>
  <c r="P170" i="59"/>
  <c r="O170" i="59"/>
  <c r="N170" i="59"/>
  <c r="M170" i="59"/>
  <c r="L170" i="59"/>
  <c r="K170" i="59"/>
  <c r="J170" i="59"/>
  <c r="I170" i="59"/>
  <c r="H170" i="59"/>
  <c r="G170" i="59"/>
  <c r="F170" i="59"/>
  <c r="E170" i="59"/>
  <c r="D170" i="59"/>
  <c r="C170" i="59"/>
  <c r="AX169" i="59"/>
  <c r="AW169" i="59"/>
  <c r="AV169" i="59"/>
  <c r="AU169" i="59"/>
  <c r="AT169" i="59"/>
  <c r="AS169" i="59"/>
  <c r="AR169" i="59"/>
  <c r="AQ169" i="59"/>
  <c r="AP169" i="59"/>
  <c r="AO169" i="59"/>
  <c r="AN169" i="59"/>
  <c r="AM169" i="59"/>
  <c r="AL169" i="59"/>
  <c r="AK169" i="59"/>
  <c r="AJ169" i="59"/>
  <c r="AI169" i="59"/>
  <c r="AH169" i="59"/>
  <c r="AG169" i="59"/>
  <c r="AF169" i="59"/>
  <c r="AE169" i="59"/>
  <c r="AD169" i="59"/>
  <c r="AC169" i="59"/>
  <c r="AB169" i="59"/>
  <c r="AA169" i="59"/>
  <c r="Z169" i="59"/>
  <c r="Y169" i="59"/>
  <c r="X169" i="59"/>
  <c r="W169" i="59"/>
  <c r="V169" i="59"/>
  <c r="U169" i="59"/>
  <c r="T169" i="59"/>
  <c r="S169" i="59"/>
  <c r="R169" i="59"/>
  <c r="Q169" i="59"/>
  <c r="P169" i="59"/>
  <c r="O169" i="59"/>
  <c r="N169" i="59"/>
  <c r="M169" i="59"/>
  <c r="L169" i="59"/>
  <c r="K169" i="59"/>
  <c r="J169" i="59"/>
  <c r="I169" i="59"/>
  <c r="H169" i="59"/>
  <c r="G169" i="59"/>
  <c r="F169" i="59"/>
  <c r="E169" i="59"/>
  <c r="D169" i="59"/>
  <c r="C169" i="59"/>
  <c r="AX168" i="59"/>
  <c r="AW168" i="59"/>
  <c r="AV168" i="59"/>
  <c r="AU168" i="59"/>
  <c r="AT168" i="59"/>
  <c r="AS168" i="59"/>
  <c r="AR168" i="59"/>
  <c r="AQ168" i="59"/>
  <c r="AP168" i="59"/>
  <c r="AO168" i="59"/>
  <c r="AN168" i="59"/>
  <c r="AM168" i="59"/>
  <c r="AL168" i="59"/>
  <c r="AK168" i="59"/>
  <c r="AJ168" i="59"/>
  <c r="AI168" i="59"/>
  <c r="AH168" i="59"/>
  <c r="AG168" i="59"/>
  <c r="AF168" i="59"/>
  <c r="AE168" i="59"/>
  <c r="AD168" i="59"/>
  <c r="AC168" i="59"/>
  <c r="AB168" i="59"/>
  <c r="AA168" i="59"/>
  <c r="Z168" i="59"/>
  <c r="Y168" i="59"/>
  <c r="X168" i="59"/>
  <c r="W168" i="59"/>
  <c r="V168" i="59"/>
  <c r="U168" i="59"/>
  <c r="T168" i="59"/>
  <c r="S168" i="59"/>
  <c r="R168" i="59"/>
  <c r="Q168" i="59"/>
  <c r="P168" i="59"/>
  <c r="O168" i="59"/>
  <c r="N168" i="59"/>
  <c r="M168" i="59"/>
  <c r="L168" i="59"/>
  <c r="K168" i="59"/>
  <c r="J168" i="59"/>
  <c r="I168" i="59"/>
  <c r="H168" i="59"/>
  <c r="G168" i="59"/>
  <c r="F168" i="59"/>
  <c r="E168" i="59"/>
  <c r="D168" i="59"/>
  <c r="C168" i="59"/>
  <c r="AX167" i="59"/>
  <c r="AW167" i="59"/>
  <c r="AV167" i="59"/>
  <c r="AU167" i="59"/>
  <c r="AT167" i="59"/>
  <c r="AS167" i="59"/>
  <c r="AR167" i="59"/>
  <c r="AQ167" i="59"/>
  <c r="AP167" i="59"/>
  <c r="AO167" i="59"/>
  <c r="AN167" i="59"/>
  <c r="AM167" i="59"/>
  <c r="AL167" i="59"/>
  <c r="AK167" i="59"/>
  <c r="AJ167" i="59"/>
  <c r="AI167" i="59"/>
  <c r="AH167" i="59"/>
  <c r="AG167" i="59"/>
  <c r="AF167" i="59"/>
  <c r="AE167" i="59"/>
  <c r="AD167" i="59"/>
  <c r="AC167" i="59"/>
  <c r="AB167" i="59"/>
  <c r="AA167" i="59"/>
  <c r="Z167" i="59"/>
  <c r="Y167" i="59"/>
  <c r="X167" i="59"/>
  <c r="W167" i="59"/>
  <c r="V167" i="59"/>
  <c r="U167" i="59"/>
  <c r="T167" i="59"/>
  <c r="S167" i="59"/>
  <c r="R167" i="59"/>
  <c r="Q167" i="59"/>
  <c r="P167" i="59"/>
  <c r="O167" i="59"/>
  <c r="N167" i="59"/>
  <c r="M167" i="59"/>
  <c r="L167" i="59"/>
  <c r="K167" i="59"/>
  <c r="J167" i="59"/>
  <c r="I167" i="59"/>
  <c r="H167" i="59"/>
  <c r="G167" i="59"/>
  <c r="F167" i="59"/>
  <c r="E167" i="59"/>
  <c r="D167" i="59"/>
  <c r="C167" i="59"/>
  <c r="AX166" i="59"/>
  <c r="AW166" i="59"/>
  <c r="AV166" i="59"/>
  <c r="AU166" i="59"/>
  <c r="AT166" i="59"/>
  <c r="AS166" i="59"/>
  <c r="AR166" i="59"/>
  <c r="AQ166" i="59"/>
  <c r="AP166" i="59"/>
  <c r="AO166" i="59"/>
  <c r="AN166" i="59"/>
  <c r="AM166" i="59"/>
  <c r="AL166" i="59"/>
  <c r="AK166" i="59"/>
  <c r="AJ166" i="59"/>
  <c r="AI166" i="59"/>
  <c r="AH166" i="59"/>
  <c r="AG166" i="59"/>
  <c r="AF166" i="59"/>
  <c r="AE166" i="59"/>
  <c r="AD166" i="59"/>
  <c r="AC166" i="59"/>
  <c r="AB166" i="59"/>
  <c r="AA166" i="59"/>
  <c r="Z166" i="59"/>
  <c r="Y166" i="59"/>
  <c r="X166" i="59"/>
  <c r="W166" i="59"/>
  <c r="V166" i="59"/>
  <c r="U166" i="59"/>
  <c r="T166" i="59"/>
  <c r="S166" i="59"/>
  <c r="R166" i="59"/>
  <c r="Q166" i="59"/>
  <c r="P166" i="59"/>
  <c r="O166" i="59"/>
  <c r="N166" i="59"/>
  <c r="M166" i="59"/>
  <c r="L166" i="59"/>
  <c r="K166" i="59"/>
  <c r="J166" i="59"/>
  <c r="I166" i="59"/>
  <c r="H166" i="59"/>
  <c r="G166" i="59"/>
  <c r="F166" i="59"/>
  <c r="E166" i="59"/>
  <c r="D166" i="59"/>
  <c r="C166" i="59"/>
  <c r="AX165" i="59"/>
  <c r="AW165" i="59"/>
  <c r="AV165" i="59"/>
  <c r="AU165" i="59"/>
  <c r="AT165" i="59"/>
  <c r="AS165" i="59"/>
  <c r="AR165" i="59"/>
  <c r="AQ165" i="59"/>
  <c r="AP165" i="59"/>
  <c r="AO165" i="59"/>
  <c r="AN165" i="59"/>
  <c r="AM165" i="59"/>
  <c r="AL165" i="59"/>
  <c r="AK165" i="59"/>
  <c r="AJ165" i="59"/>
  <c r="AI165" i="59"/>
  <c r="AH165" i="59"/>
  <c r="AG165" i="59"/>
  <c r="AF165" i="59"/>
  <c r="AE165" i="59"/>
  <c r="AD165" i="59"/>
  <c r="AC165" i="59"/>
  <c r="AB165" i="59"/>
  <c r="AA165" i="59"/>
  <c r="Z165" i="59"/>
  <c r="Y165" i="59"/>
  <c r="X165" i="59"/>
  <c r="W165" i="59"/>
  <c r="V165" i="59"/>
  <c r="U165" i="59"/>
  <c r="T165" i="59"/>
  <c r="S165" i="59"/>
  <c r="R165" i="59"/>
  <c r="Q165" i="59"/>
  <c r="P165" i="59"/>
  <c r="O165" i="59"/>
  <c r="N165" i="59"/>
  <c r="M165" i="59"/>
  <c r="L165" i="59"/>
  <c r="K165" i="59"/>
  <c r="J165" i="59"/>
  <c r="I165" i="59"/>
  <c r="H165" i="59"/>
  <c r="G165" i="59"/>
  <c r="F165" i="59"/>
  <c r="E165" i="59"/>
  <c r="D165" i="59"/>
  <c r="C165" i="59"/>
  <c r="AX164" i="59"/>
  <c r="AW164" i="59"/>
  <c r="AV164" i="59"/>
  <c r="AU164" i="59"/>
  <c r="AT164" i="59"/>
  <c r="AS164" i="59"/>
  <c r="AR164" i="59"/>
  <c r="AQ164" i="59"/>
  <c r="AP164" i="59"/>
  <c r="AO164" i="59"/>
  <c r="AN164" i="59"/>
  <c r="AM164" i="59"/>
  <c r="AL164" i="59"/>
  <c r="AK164" i="59"/>
  <c r="AJ164" i="59"/>
  <c r="AI164" i="59"/>
  <c r="AH164" i="59"/>
  <c r="AG164" i="59"/>
  <c r="AF164" i="59"/>
  <c r="AE164" i="59"/>
  <c r="AD164" i="59"/>
  <c r="AC164" i="59"/>
  <c r="AB164" i="59"/>
  <c r="AA164" i="59"/>
  <c r="Z164" i="59"/>
  <c r="Y164" i="59"/>
  <c r="X164" i="59"/>
  <c r="W164" i="59"/>
  <c r="V164" i="59"/>
  <c r="U164" i="59"/>
  <c r="T164" i="59"/>
  <c r="S164" i="59"/>
  <c r="R164" i="59"/>
  <c r="Q164" i="59"/>
  <c r="P164" i="59"/>
  <c r="O164" i="59"/>
  <c r="N164" i="59"/>
  <c r="M164" i="59"/>
  <c r="L164" i="59"/>
  <c r="K164" i="59"/>
  <c r="J164" i="59"/>
  <c r="I164" i="59"/>
  <c r="H164" i="59"/>
  <c r="G164" i="59"/>
  <c r="F164" i="59"/>
  <c r="E164" i="59"/>
  <c r="D164" i="59"/>
  <c r="C164" i="59"/>
  <c r="AX163" i="59"/>
  <c r="AW163" i="59"/>
  <c r="AV163" i="59"/>
  <c r="AU163" i="59"/>
  <c r="AT163" i="59"/>
  <c r="AS163" i="59"/>
  <c r="AR163" i="59"/>
  <c r="AQ163" i="59"/>
  <c r="AP163" i="59"/>
  <c r="AO163" i="59"/>
  <c r="AN163" i="59"/>
  <c r="AM163" i="59"/>
  <c r="AL163" i="59"/>
  <c r="AK163" i="59"/>
  <c r="AJ163" i="59"/>
  <c r="AI163" i="59"/>
  <c r="AH163" i="59"/>
  <c r="AG163" i="59"/>
  <c r="AF163" i="59"/>
  <c r="AE163" i="59"/>
  <c r="AD163" i="59"/>
  <c r="AC163" i="59"/>
  <c r="AB163" i="59"/>
  <c r="AA163" i="59"/>
  <c r="Z163" i="59"/>
  <c r="Y163" i="59"/>
  <c r="X163" i="59"/>
  <c r="W163" i="59"/>
  <c r="V163" i="59"/>
  <c r="U163" i="59"/>
  <c r="T163" i="59"/>
  <c r="S163" i="59"/>
  <c r="R163" i="59"/>
  <c r="Q163" i="59"/>
  <c r="P163" i="59"/>
  <c r="O163" i="59"/>
  <c r="N163" i="59"/>
  <c r="M163" i="59"/>
  <c r="L163" i="59"/>
  <c r="K163" i="59"/>
  <c r="J163" i="59"/>
  <c r="I163" i="59"/>
  <c r="H163" i="59"/>
  <c r="G163" i="59"/>
  <c r="F163" i="59"/>
  <c r="E163" i="59"/>
  <c r="D163" i="59"/>
  <c r="C163" i="59"/>
  <c r="AX162" i="59"/>
  <c r="AW162" i="59"/>
  <c r="AV162" i="59"/>
  <c r="AU162" i="59"/>
  <c r="AT162" i="59"/>
  <c r="AS162" i="59"/>
  <c r="AR162" i="59"/>
  <c r="AQ162" i="59"/>
  <c r="AP162" i="59"/>
  <c r="AO162" i="59"/>
  <c r="AN162" i="59"/>
  <c r="AM162" i="59"/>
  <c r="AL162" i="59"/>
  <c r="AK162" i="59"/>
  <c r="AJ162" i="59"/>
  <c r="AI162" i="59"/>
  <c r="AH162" i="59"/>
  <c r="AG162" i="59"/>
  <c r="AF162" i="59"/>
  <c r="AE162" i="59"/>
  <c r="AD162" i="59"/>
  <c r="AC162" i="59"/>
  <c r="AB162" i="59"/>
  <c r="AA162" i="59"/>
  <c r="Z162" i="59"/>
  <c r="Y162" i="59"/>
  <c r="X162" i="59"/>
  <c r="W162" i="59"/>
  <c r="V162" i="59"/>
  <c r="U162" i="59"/>
  <c r="T162" i="59"/>
  <c r="S162" i="59"/>
  <c r="R162" i="59"/>
  <c r="Q162" i="59"/>
  <c r="P162" i="59"/>
  <c r="O162" i="59"/>
  <c r="N162" i="59"/>
  <c r="M162" i="59"/>
  <c r="L162" i="59"/>
  <c r="K162" i="59"/>
  <c r="J162" i="59"/>
  <c r="I162" i="59"/>
  <c r="H162" i="59"/>
  <c r="G162" i="59"/>
  <c r="F162" i="59"/>
  <c r="E162" i="59"/>
  <c r="D162" i="59"/>
  <c r="C162" i="59"/>
  <c r="AX161" i="59"/>
  <c r="AW161" i="59"/>
  <c r="AV161" i="59"/>
  <c r="AU161" i="59"/>
  <c r="AT161" i="59"/>
  <c r="AS161" i="59"/>
  <c r="AR161" i="59"/>
  <c r="AQ161" i="59"/>
  <c r="AP161" i="59"/>
  <c r="AO161" i="59"/>
  <c r="AN161" i="59"/>
  <c r="AM161" i="59"/>
  <c r="AL161" i="59"/>
  <c r="AK161" i="59"/>
  <c r="AJ161" i="59"/>
  <c r="AI161" i="59"/>
  <c r="AH161" i="59"/>
  <c r="AG161" i="59"/>
  <c r="AF161" i="59"/>
  <c r="AE161" i="59"/>
  <c r="AD161" i="59"/>
  <c r="AC161" i="59"/>
  <c r="AB161" i="59"/>
  <c r="AA161" i="59"/>
  <c r="Z161" i="59"/>
  <c r="Y161" i="59"/>
  <c r="X161" i="59"/>
  <c r="W161" i="59"/>
  <c r="V161" i="59"/>
  <c r="U161" i="59"/>
  <c r="T161" i="59"/>
  <c r="S161" i="59"/>
  <c r="R161" i="59"/>
  <c r="Q161" i="59"/>
  <c r="P161" i="59"/>
  <c r="O161" i="59"/>
  <c r="N161" i="59"/>
  <c r="M161" i="59"/>
  <c r="L161" i="59"/>
  <c r="K161" i="59"/>
  <c r="J161" i="59"/>
  <c r="I161" i="59"/>
  <c r="H161" i="59"/>
  <c r="G161" i="59"/>
  <c r="F161" i="59"/>
  <c r="E161" i="59"/>
  <c r="D161" i="59"/>
  <c r="C161" i="59"/>
  <c r="AX160" i="59"/>
  <c r="AW160" i="59"/>
  <c r="AV160" i="59"/>
  <c r="AU160" i="59"/>
  <c r="AT160" i="59"/>
  <c r="AS160" i="59"/>
  <c r="AR160" i="59"/>
  <c r="AQ160" i="59"/>
  <c r="AP160" i="59"/>
  <c r="AO160" i="59"/>
  <c r="AN160" i="59"/>
  <c r="AM160" i="59"/>
  <c r="AL160" i="59"/>
  <c r="AK160" i="59"/>
  <c r="AJ160" i="59"/>
  <c r="AI160" i="59"/>
  <c r="AH160" i="59"/>
  <c r="AG160" i="59"/>
  <c r="AF160" i="59"/>
  <c r="AE160" i="59"/>
  <c r="AD160" i="59"/>
  <c r="AC160" i="59"/>
  <c r="AB160" i="59"/>
  <c r="AA160" i="59"/>
  <c r="Z160" i="59"/>
  <c r="Y160" i="59"/>
  <c r="X160" i="59"/>
  <c r="W160" i="59"/>
  <c r="V160" i="59"/>
  <c r="U160" i="59"/>
  <c r="T160" i="59"/>
  <c r="S160" i="59"/>
  <c r="R160" i="59"/>
  <c r="Q160" i="59"/>
  <c r="P160" i="59"/>
  <c r="O160" i="59"/>
  <c r="N160" i="59"/>
  <c r="M160" i="59"/>
  <c r="L160" i="59"/>
  <c r="K160" i="59"/>
  <c r="J160" i="59"/>
  <c r="I160" i="59"/>
  <c r="H160" i="59"/>
  <c r="G160" i="59"/>
  <c r="F160" i="59"/>
  <c r="E160" i="59"/>
  <c r="D160" i="59"/>
  <c r="C160" i="59"/>
  <c r="AX159" i="59"/>
  <c r="AW159" i="59"/>
  <c r="AV159" i="59"/>
  <c r="AU159" i="59"/>
  <c r="AT159" i="59"/>
  <c r="AS159" i="59"/>
  <c r="AR159" i="59"/>
  <c r="AQ159" i="59"/>
  <c r="AP159" i="59"/>
  <c r="AO159" i="59"/>
  <c r="AN159" i="59"/>
  <c r="AM159" i="59"/>
  <c r="AL159" i="59"/>
  <c r="AK159" i="59"/>
  <c r="AJ159" i="59"/>
  <c r="AI159" i="59"/>
  <c r="AH159" i="59"/>
  <c r="AG159" i="59"/>
  <c r="AF159" i="59"/>
  <c r="AE159" i="59"/>
  <c r="AD159" i="59"/>
  <c r="AC159" i="59"/>
  <c r="AB159" i="59"/>
  <c r="AA159" i="59"/>
  <c r="Z159" i="59"/>
  <c r="Y159" i="59"/>
  <c r="X159" i="59"/>
  <c r="W159" i="59"/>
  <c r="V159" i="59"/>
  <c r="U159" i="59"/>
  <c r="T159" i="59"/>
  <c r="S159" i="59"/>
  <c r="R159" i="59"/>
  <c r="Q159" i="59"/>
  <c r="P159" i="59"/>
  <c r="O159" i="59"/>
  <c r="N159" i="59"/>
  <c r="M159" i="59"/>
  <c r="L159" i="59"/>
  <c r="K159" i="59"/>
  <c r="J159" i="59"/>
  <c r="I159" i="59"/>
  <c r="H159" i="59"/>
  <c r="G159" i="59"/>
  <c r="F159" i="59"/>
  <c r="E159" i="59"/>
  <c r="D159" i="59"/>
  <c r="C159" i="59"/>
  <c r="AX158" i="59"/>
  <c r="AW158" i="59"/>
  <c r="AV158" i="59"/>
  <c r="AU158" i="59"/>
  <c r="AT158" i="59"/>
  <c r="AS158" i="59"/>
  <c r="AR158" i="59"/>
  <c r="AQ158" i="59"/>
  <c r="AP158" i="59"/>
  <c r="AO158" i="59"/>
  <c r="AN158" i="59"/>
  <c r="AM158" i="59"/>
  <c r="AL158" i="59"/>
  <c r="AK158" i="59"/>
  <c r="AJ158" i="59"/>
  <c r="AI158" i="59"/>
  <c r="AH158" i="59"/>
  <c r="AG158" i="59"/>
  <c r="AF158" i="59"/>
  <c r="AE158" i="59"/>
  <c r="AD158" i="59"/>
  <c r="AC158" i="59"/>
  <c r="AB158" i="59"/>
  <c r="AA158" i="59"/>
  <c r="Z158" i="59"/>
  <c r="Y158" i="59"/>
  <c r="X158" i="59"/>
  <c r="W158" i="59"/>
  <c r="V158" i="59"/>
  <c r="U158" i="59"/>
  <c r="T158" i="59"/>
  <c r="S158" i="59"/>
  <c r="R158" i="59"/>
  <c r="Q158" i="59"/>
  <c r="P158" i="59"/>
  <c r="O158" i="59"/>
  <c r="N158" i="59"/>
  <c r="M158" i="59"/>
  <c r="L158" i="59"/>
  <c r="K158" i="59"/>
  <c r="J158" i="59"/>
  <c r="I158" i="59"/>
  <c r="H158" i="59"/>
  <c r="G158" i="59"/>
  <c r="F158" i="59"/>
  <c r="E158" i="59"/>
  <c r="D158" i="59"/>
  <c r="C158" i="59"/>
  <c r="AX157" i="59"/>
  <c r="AW157" i="59"/>
  <c r="AV157" i="59"/>
  <c r="AU157" i="59"/>
  <c r="AT157" i="59"/>
  <c r="AS157" i="59"/>
  <c r="AR157" i="59"/>
  <c r="AQ157" i="59"/>
  <c r="AP157" i="59"/>
  <c r="AO157" i="59"/>
  <c r="AN157" i="59"/>
  <c r="AM157" i="59"/>
  <c r="AL157" i="59"/>
  <c r="AK157" i="59"/>
  <c r="AJ157" i="59"/>
  <c r="AI157" i="59"/>
  <c r="AH157" i="59"/>
  <c r="AG157" i="59"/>
  <c r="AF157" i="59"/>
  <c r="AE157" i="59"/>
  <c r="AD157" i="59"/>
  <c r="AC157" i="59"/>
  <c r="AB157" i="59"/>
  <c r="AA157" i="59"/>
  <c r="Z157" i="59"/>
  <c r="Y157" i="59"/>
  <c r="X157" i="59"/>
  <c r="W157" i="59"/>
  <c r="V157" i="59"/>
  <c r="U157" i="59"/>
  <c r="T157" i="59"/>
  <c r="S157" i="59"/>
  <c r="R157" i="59"/>
  <c r="Q157" i="59"/>
  <c r="P157" i="59"/>
  <c r="O157" i="59"/>
  <c r="N157" i="59"/>
  <c r="M157" i="59"/>
  <c r="L157" i="59"/>
  <c r="K157" i="59"/>
  <c r="J157" i="59"/>
  <c r="I157" i="59"/>
  <c r="H157" i="59"/>
  <c r="G157" i="59"/>
  <c r="F157" i="59"/>
  <c r="E157" i="59"/>
  <c r="D157" i="59"/>
  <c r="C157" i="59"/>
  <c r="AX156" i="59"/>
  <c r="AW156" i="59"/>
  <c r="AV156" i="59"/>
  <c r="AU156" i="59"/>
  <c r="AT156" i="59"/>
  <c r="AS156" i="59"/>
  <c r="AR156" i="59"/>
  <c r="AQ156" i="59"/>
  <c r="AP156" i="59"/>
  <c r="AO156" i="59"/>
  <c r="AN156" i="59"/>
  <c r="AM156" i="59"/>
  <c r="AL156" i="59"/>
  <c r="AK156" i="59"/>
  <c r="AJ156" i="59"/>
  <c r="AI156" i="59"/>
  <c r="AH156" i="59"/>
  <c r="AG156" i="59"/>
  <c r="AF156" i="59"/>
  <c r="AE156" i="59"/>
  <c r="AD156" i="59"/>
  <c r="AC156" i="59"/>
  <c r="AB156" i="59"/>
  <c r="AA156" i="59"/>
  <c r="Z156" i="59"/>
  <c r="Y156" i="59"/>
  <c r="X156" i="59"/>
  <c r="W156" i="59"/>
  <c r="V156" i="59"/>
  <c r="U156" i="59"/>
  <c r="T156" i="59"/>
  <c r="S156" i="59"/>
  <c r="R156" i="59"/>
  <c r="Q156" i="59"/>
  <c r="P156" i="59"/>
  <c r="O156" i="59"/>
  <c r="N156" i="59"/>
  <c r="M156" i="59"/>
  <c r="L156" i="59"/>
  <c r="K156" i="59"/>
  <c r="J156" i="59"/>
  <c r="I156" i="59"/>
  <c r="H156" i="59"/>
  <c r="G156" i="59"/>
  <c r="F156" i="59"/>
  <c r="E156" i="59"/>
  <c r="D156" i="59"/>
  <c r="C156" i="59"/>
  <c r="AX155" i="59"/>
  <c r="AW155" i="59"/>
  <c r="AV155" i="59"/>
  <c r="AU155" i="59"/>
  <c r="AT155" i="59"/>
  <c r="AS155" i="59"/>
  <c r="AR155" i="59"/>
  <c r="AQ155" i="59"/>
  <c r="AP155" i="59"/>
  <c r="AO155" i="59"/>
  <c r="AN155" i="59"/>
  <c r="AM155" i="59"/>
  <c r="AL155" i="59"/>
  <c r="AK155" i="59"/>
  <c r="AJ155" i="59"/>
  <c r="AI155" i="59"/>
  <c r="AH155" i="59"/>
  <c r="AG155" i="59"/>
  <c r="AF155" i="59"/>
  <c r="AE155" i="59"/>
  <c r="AD155" i="59"/>
  <c r="AC155" i="59"/>
  <c r="AB155" i="59"/>
  <c r="AA155" i="59"/>
  <c r="Z155" i="59"/>
  <c r="Y155" i="59"/>
  <c r="X155" i="59"/>
  <c r="W155" i="59"/>
  <c r="V155" i="59"/>
  <c r="U155" i="59"/>
  <c r="T155" i="59"/>
  <c r="S155" i="59"/>
  <c r="R155" i="59"/>
  <c r="Q155" i="59"/>
  <c r="P155" i="59"/>
  <c r="O155" i="59"/>
  <c r="N155" i="59"/>
  <c r="M155" i="59"/>
  <c r="L155" i="59"/>
  <c r="K155" i="59"/>
  <c r="J155" i="59"/>
  <c r="I155" i="59"/>
  <c r="H155" i="59"/>
  <c r="G155" i="59"/>
  <c r="F155" i="59"/>
  <c r="E155" i="59"/>
  <c r="D155" i="59"/>
  <c r="C155" i="59"/>
  <c r="AX154" i="59"/>
  <c r="AW154" i="59"/>
  <c r="AV154" i="59"/>
  <c r="AU154" i="59"/>
  <c r="AT154" i="59"/>
  <c r="AS154" i="59"/>
  <c r="AR154" i="59"/>
  <c r="AQ154" i="59"/>
  <c r="AP154" i="59"/>
  <c r="AO154" i="59"/>
  <c r="AN154" i="59"/>
  <c r="AM154" i="59"/>
  <c r="AL154" i="59"/>
  <c r="AK154" i="59"/>
  <c r="AJ154" i="59"/>
  <c r="AI154" i="59"/>
  <c r="AH154" i="59"/>
  <c r="AG154" i="59"/>
  <c r="AF154" i="59"/>
  <c r="AE154" i="59"/>
  <c r="AD154" i="59"/>
  <c r="AC154" i="59"/>
  <c r="AB154" i="59"/>
  <c r="AA154" i="59"/>
  <c r="Z154" i="59"/>
  <c r="Y154" i="59"/>
  <c r="X154" i="59"/>
  <c r="W154" i="59"/>
  <c r="V154" i="59"/>
  <c r="U154" i="59"/>
  <c r="T154" i="59"/>
  <c r="S154" i="59"/>
  <c r="R154" i="59"/>
  <c r="Q154" i="59"/>
  <c r="P154" i="59"/>
  <c r="O154" i="59"/>
  <c r="N154" i="59"/>
  <c r="M154" i="59"/>
  <c r="L154" i="59"/>
  <c r="K154" i="59"/>
  <c r="J154" i="59"/>
  <c r="I154" i="59"/>
  <c r="H154" i="59"/>
  <c r="G154" i="59"/>
  <c r="F154" i="59"/>
  <c r="E154" i="59"/>
  <c r="D154" i="59"/>
  <c r="C154" i="59"/>
  <c r="AX153" i="59"/>
  <c r="AW153" i="59"/>
  <c r="AV153" i="59"/>
  <c r="AU153" i="59"/>
  <c r="AT153" i="59"/>
  <c r="AS153" i="59"/>
  <c r="AR153" i="59"/>
  <c r="AQ153" i="59"/>
  <c r="AP153" i="59"/>
  <c r="AO153" i="59"/>
  <c r="AN153" i="59"/>
  <c r="AM153" i="59"/>
  <c r="AL153" i="59"/>
  <c r="AK153" i="59"/>
  <c r="AJ153" i="59"/>
  <c r="AI153" i="59"/>
  <c r="AH153" i="59"/>
  <c r="AG153" i="59"/>
  <c r="AF153" i="59"/>
  <c r="AE153" i="59"/>
  <c r="AD153" i="59"/>
  <c r="AC153" i="59"/>
  <c r="AB153" i="59"/>
  <c r="AA153" i="59"/>
  <c r="Z153" i="59"/>
  <c r="Y153" i="59"/>
  <c r="X153" i="59"/>
  <c r="W153" i="59"/>
  <c r="V153" i="59"/>
  <c r="U153" i="59"/>
  <c r="T153" i="59"/>
  <c r="S153" i="59"/>
  <c r="R153" i="59"/>
  <c r="Q153" i="59"/>
  <c r="P153" i="59"/>
  <c r="O153" i="59"/>
  <c r="N153" i="59"/>
  <c r="M153" i="59"/>
  <c r="L153" i="59"/>
  <c r="K153" i="59"/>
  <c r="J153" i="59"/>
  <c r="I153" i="59"/>
  <c r="H153" i="59"/>
  <c r="G153" i="59"/>
  <c r="F153" i="59"/>
  <c r="E153" i="59"/>
  <c r="D153" i="59"/>
  <c r="C153" i="59"/>
  <c r="AX152" i="59"/>
  <c r="AW152" i="59"/>
  <c r="AV152" i="59"/>
  <c r="AU152" i="59"/>
  <c r="AT152" i="59"/>
  <c r="AS152" i="59"/>
  <c r="AR152" i="59"/>
  <c r="AQ152" i="59"/>
  <c r="AP152" i="59"/>
  <c r="AO152" i="59"/>
  <c r="AN152" i="59"/>
  <c r="AM152" i="59"/>
  <c r="AL152" i="59"/>
  <c r="AK152" i="59"/>
  <c r="AJ152" i="59"/>
  <c r="AI152" i="59"/>
  <c r="AH152" i="59"/>
  <c r="AG152" i="59"/>
  <c r="AF152" i="59"/>
  <c r="AE152" i="59"/>
  <c r="AD152" i="59"/>
  <c r="AC152" i="59"/>
  <c r="AB152" i="59"/>
  <c r="AA152" i="59"/>
  <c r="Z152" i="59"/>
  <c r="Y152" i="59"/>
  <c r="X152" i="59"/>
  <c r="W152" i="59"/>
  <c r="V152" i="59"/>
  <c r="U152" i="59"/>
  <c r="T152" i="59"/>
  <c r="S152" i="59"/>
  <c r="R152" i="59"/>
  <c r="Q152" i="59"/>
  <c r="P152" i="59"/>
  <c r="O152" i="59"/>
  <c r="N152" i="59"/>
  <c r="M152" i="59"/>
  <c r="L152" i="59"/>
  <c r="K152" i="59"/>
  <c r="J152" i="59"/>
  <c r="I152" i="59"/>
  <c r="H152" i="59"/>
  <c r="G152" i="59"/>
  <c r="F152" i="59"/>
  <c r="E152" i="59"/>
  <c r="D152" i="59"/>
  <c r="C152" i="59"/>
  <c r="AX2" i="59"/>
  <c r="AW2" i="59"/>
  <c r="AV2" i="59"/>
  <c r="AU2" i="59"/>
  <c r="AT2" i="59"/>
  <c r="AS2" i="59"/>
  <c r="AR2" i="59"/>
  <c r="AQ2" i="59"/>
  <c r="AP2" i="59"/>
  <c r="AO2" i="59"/>
  <c r="AN2" i="59"/>
  <c r="AM2" i="59"/>
  <c r="AL2" i="59"/>
  <c r="AK2" i="59"/>
  <c r="AJ2" i="59"/>
  <c r="AI2" i="59"/>
  <c r="AH2" i="59"/>
  <c r="AG2" i="59"/>
  <c r="AF2" i="59"/>
  <c r="AE2" i="59"/>
  <c r="AD2" i="59"/>
  <c r="AC2" i="59"/>
  <c r="AB2" i="59"/>
  <c r="AA2" i="59"/>
  <c r="Z2" i="59"/>
  <c r="Y2" i="59"/>
  <c r="X2" i="59"/>
  <c r="W2" i="59"/>
  <c r="V2" i="59"/>
  <c r="U2" i="59"/>
  <c r="T2" i="59"/>
  <c r="S2" i="59"/>
  <c r="R2" i="59"/>
  <c r="Q2" i="59"/>
  <c r="P2" i="59"/>
  <c r="O2" i="59"/>
  <c r="N2" i="59"/>
  <c r="M2" i="59"/>
  <c r="L2" i="59"/>
  <c r="K2" i="59"/>
  <c r="J2" i="59"/>
  <c r="I2" i="59"/>
  <c r="H2" i="59"/>
  <c r="G2" i="59"/>
  <c r="F2" i="59"/>
  <c r="E2" i="59"/>
  <c r="D2" i="59"/>
  <c r="C2" i="59"/>
  <c r="D152" i="58"/>
  <c r="E152" i="58"/>
  <c r="F152" i="58"/>
  <c r="G152" i="58"/>
  <c r="H152" i="58"/>
  <c r="I152" i="58"/>
  <c r="J152" i="58"/>
  <c r="K152" i="58"/>
  <c r="L152" i="58"/>
  <c r="M152" i="58"/>
  <c r="N152" i="58"/>
  <c r="O152" i="58"/>
  <c r="P152" i="58"/>
  <c r="Q152" i="58"/>
  <c r="R152" i="58"/>
  <c r="S152" i="58"/>
  <c r="T152" i="58"/>
  <c r="U152" i="58"/>
  <c r="V152" i="58"/>
  <c r="W152" i="58"/>
  <c r="X152" i="58"/>
  <c r="Y152" i="58"/>
  <c r="Z152" i="58"/>
  <c r="AA152" i="58"/>
  <c r="AB152" i="58"/>
  <c r="AC152" i="58"/>
  <c r="AD152" i="58"/>
  <c r="AE152" i="58"/>
  <c r="AF152" i="58"/>
  <c r="AG152" i="58"/>
  <c r="AH152" i="58"/>
  <c r="AI152" i="58"/>
  <c r="AJ152" i="58"/>
  <c r="AK152" i="58"/>
  <c r="AL152" i="58"/>
  <c r="AM152" i="58"/>
  <c r="AN152" i="58"/>
  <c r="AO152" i="58"/>
  <c r="AP152" i="58"/>
  <c r="AQ152" i="58"/>
  <c r="AR152" i="58"/>
  <c r="AS152" i="58"/>
  <c r="AT152" i="58"/>
  <c r="AU152" i="58"/>
  <c r="AV152" i="58"/>
  <c r="AW152" i="58"/>
  <c r="AX152" i="58"/>
  <c r="AY152" i="58"/>
  <c r="AZ152" i="58"/>
  <c r="BA152" i="58"/>
  <c r="BB152" i="58"/>
  <c r="BC152" i="58"/>
  <c r="BD152" i="58"/>
  <c r="BE152" i="58"/>
  <c r="BF152" i="58"/>
  <c r="BG152" i="58"/>
  <c r="BH152" i="58"/>
  <c r="BI152" i="58"/>
  <c r="D153" i="58"/>
  <c r="E153" i="58"/>
  <c r="F153" i="58"/>
  <c r="G153" i="58"/>
  <c r="H153" i="58"/>
  <c r="I153" i="58"/>
  <c r="J153" i="58"/>
  <c r="K153" i="58"/>
  <c r="L153" i="58"/>
  <c r="M153" i="58"/>
  <c r="N153" i="58"/>
  <c r="O153" i="58"/>
  <c r="P153" i="58"/>
  <c r="Q153" i="58"/>
  <c r="R153" i="58"/>
  <c r="S153" i="58"/>
  <c r="T153" i="58"/>
  <c r="U153" i="58"/>
  <c r="V153" i="58"/>
  <c r="W153" i="58"/>
  <c r="X153" i="58"/>
  <c r="Y153" i="58"/>
  <c r="Z153" i="58"/>
  <c r="AA153" i="58"/>
  <c r="AB153" i="58"/>
  <c r="AC153" i="58"/>
  <c r="AD153" i="58"/>
  <c r="AE153" i="58"/>
  <c r="AF153" i="58"/>
  <c r="AG153" i="58"/>
  <c r="AH153" i="58"/>
  <c r="AI153" i="58"/>
  <c r="AJ153" i="58"/>
  <c r="AK153" i="58"/>
  <c r="AL153" i="58"/>
  <c r="AM153" i="58"/>
  <c r="AN153" i="58"/>
  <c r="AO153" i="58"/>
  <c r="AP153" i="58"/>
  <c r="AQ153" i="58"/>
  <c r="AR153" i="58"/>
  <c r="AS153" i="58"/>
  <c r="AT153" i="58"/>
  <c r="AU153" i="58"/>
  <c r="AV153" i="58"/>
  <c r="AW153" i="58"/>
  <c r="AX153" i="58"/>
  <c r="AY153" i="58"/>
  <c r="AZ153" i="58"/>
  <c r="BA153" i="58"/>
  <c r="BB153" i="58"/>
  <c r="BC153" i="58"/>
  <c r="BD153" i="58"/>
  <c r="BE153" i="58"/>
  <c r="BF153" i="58"/>
  <c r="BG153" i="58"/>
  <c r="BH153" i="58"/>
  <c r="BI153" i="58"/>
  <c r="D154" i="58"/>
  <c r="E154" i="58"/>
  <c r="F154" i="58"/>
  <c r="G154" i="58"/>
  <c r="H154" i="58"/>
  <c r="I154" i="58"/>
  <c r="J154" i="58"/>
  <c r="K154" i="58"/>
  <c r="L154" i="58"/>
  <c r="M154" i="58"/>
  <c r="N154" i="58"/>
  <c r="O154" i="58"/>
  <c r="P154" i="58"/>
  <c r="Q154" i="58"/>
  <c r="R154" i="58"/>
  <c r="S154" i="58"/>
  <c r="T154" i="58"/>
  <c r="U154" i="58"/>
  <c r="V154" i="58"/>
  <c r="W154" i="58"/>
  <c r="X154" i="58"/>
  <c r="Y154" i="58"/>
  <c r="Z154" i="58"/>
  <c r="AA154" i="58"/>
  <c r="AB154" i="58"/>
  <c r="AC154" i="58"/>
  <c r="AD154" i="58"/>
  <c r="AE154" i="58"/>
  <c r="AF154" i="58"/>
  <c r="AG154" i="58"/>
  <c r="AH154" i="58"/>
  <c r="AI154" i="58"/>
  <c r="AJ154" i="58"/>
  <c r="AK154" i="58"/>
  <c r="AL154" i="58"/>
  <c r="AM154" i="58"/>
  <c r="AN154" i="58"/>
  <c r="AO154" i="58"/>
  <c r="AP154" i="58"/>
  <c r="AQ154" i="58"/>
  <c r="AR154" i="58"/>
  <c r="AS154" i="58"/>
  <c r="AT154" i="58"/>
  <c r="AU154" i="58"/>
  <c r="AV154" i="58"/>
  <c r="AW154" i="58"/>
  <c r="AX154" i="58"/>
  <c r="AY154" i="58"/>
  <c r="AZ154" i="58"/>
  <c r="BA154" i="58"/>
  <c r="BB154" i="58"/>
  <c r="BC154" i="58"/>
  <c r="BD154" i="58"/>
  <c r="BE154" i="58"/>
  <c r="BF154" i="58"/>
  <c r="BG154" i="58"/>
  <c r="BH154" i="58"/>
  <c r="BI154" i="58"/>
  <c r="D155" i="58"/>
  <c r="E155" i="58"/>
  <c r="F155" i="58"/>
  <c r="G155" i="58"/>
  <c r="H155" i="58"/>
  <c r="I155" i="58"/>
  <c r="J155" i="58"/>
  <c r="K155" i="58"/>
  <c r="L155" i="58"/>
  <c r="M155" i="58"/>
  <c r="N155" i="58"/>
  <c r="O155" i="58"/>
  <c r="P155" i="58"/>
  <c r="Q155" i="58"/>
  <c r="R155" i="58"/>
  <c r="S155" i="58"/>
  <c r="T155" i="58"/>
  <c r="U155" i="58"/>
  <c r="V155" i="58"/>
  <c r="W155" i="58"/>
  <c r="X155" i="58"/>
  <c r="Y155" i="58"/>
  <c r="Z155" i="58"/>
  <c r="AA155" i="58"/>
  <c r="AB155" i="58"/>
  <c r="AC155" i="58"/>
  <c r="AD155" i="58"/>
  <c r="AE155" i="58"/>
  <c r="AF155" i="58"/>
  <c r="AG155" i="58"/>
  <c r="AH155" i="58"/>
  <c r="AI155" i="58"/>
  <c r="AJ155" i="58"/>
  <c r="AK155" i="58"/>
  <c r="AL155" i="58"/>
  <c r="AM155" i="58"/>
  <c r="AN155" i="58"/>
  <c r="AO155" i="58"/>
  <c r="AP155" i="58"/>
  <c r="AQ155" i="58"/>
  <c r="AR155" i="58"/>
  <c r="AS155" i="58"/>
  <c r="AT155" i="58"/>
  <c r="AU155" i="58"/>
  <c r="AV155" i="58"/>
  <c r="AW155" i="58"/>
  <c r="AX155" i="58"/>
  <c r="AY155" i="58"/>
  <c r="AZ155" i="58"/>
  <c r="BA155" i="58"/>
  <c r="BB155" i="58"/>
  <c r="BC155" i="58"/>
  <c r="BD155" i="58"/>
  <c r="BE155" i="58"/>
  <c r="BF155" i="58"/>
  <c r="BG155" i="58"/>
  <c r="BH155" i="58"/>
  <c r="BI155" i="58"/>
  <c r="D156" i="58"/>
  <c r="E156" i="58"/>
  <c r="F156" i="58"/>
  <c r="G156" i="58"/>
  <c r="H156" i="58"/>
  <c r="I156" i="58"/>
  <c r="J156" i="58"/>
  <c r="K156" i="58"/>
  <c r="L156" i="58"/>
  <c r="M156" i="58"/>
  <c r="N156" i="58"/>
  <c r="O156" i="58"/>
  <c r="P156" i="58"/>
  <c r="Q156" i="58"/>
  <c r="R156" i="58"/>
  <c r="S156" i="58"/>
  <c r="T156" i="58"/>
  <c r="U156" i="58"/>
  <c r="V156" i="58"/>
  <c r="W156" i="58"/>
  <c r="X156" i="58"/>
  <c r="Y156" i="58"/>
  <c r="Z156" i="58"/>
  <c r="AA156" i="58"/>
  <c r="AB156" i="58"/>
  <c r="AC156" i="58"/>
  <c r="AD156" i="58"/>
  <c r="AE156" i="58"/>
  <c r="AF156" i="58"/>
  <c r="AG156" i="58"/>
  <c r="AH156" i="58"/>
  <c r="AI156" i="58"/>
  <c r="AJ156" i="58"/>
  <c r="AK156" i="58"/>
  <c r="AL156" i="58"/>
  <c r="AM156" i="58"/>
  <c r="AN156" i="58"/>
  <c r="AO156" i="58"/>
  <c r="AP156" i="58"/>
  <c r="AQ156" i="58"/>
  <c r="AR156" i="58"/>
  <c r="AS156" i="58"/>
  <c r="AT156" i="58"/>
  <c r="AU156" i="58"/>
  <c r="AV156" i="58"/>
  <c r="AW156" i="58"/>
  <c r="AX156" i="58"/>
  <c r="AY156" i="58"/>
  <c r="AZ156" i="58"/>
  <c r="BA156" i="58"/>
  <c r="BB156" i="58"/>
  <c r="BC156" i="58"/>
  <c r="BD156" i="58"/>
  <c r="BE156" i="58"/>
  <c r="BF156" i="58"/>
  <c r="BG156" i="58"/>
  <c r="BH156" i="58"/>
  <c r="BI156" i="58"/>
  <c r="D157" i="58"/>
  <c r="E157" i="58"/>
  <c r="F157" i="58"/>
  <c r="G157" i="58"/>
  <c r="H157" i="58"/>
  <c r="I157" i="58"/>
  <c r="J157" i="58"/>
  <c r="K157" i="58"/>
  <c r="L157" i="58"/>
  <c r="M157" i="58"/>
  <c r="N157" i="58"/>
  <c r="O157" i="58"/>
  <c r="P157" i="58"/>
  <c r="Q157" i="58"/>
  <c r="R157" i="58"/>
  <c r="S157" i="58"/>
  <c r="T157" i="58"/>
  <c r="U157" i="58"/>
  <c r="V157" i="58"/>
  <c r="W157" i="58"/>
  <c r="X157" i="58"/>
  <c r="Y157" i="58"/>
  <c r="Z157" i="58"/>
  <c r="AA157" i="58"/>
  <c r="AB157" i="58"/>
  <c r="AC157" i="58"/>
  <c r="AD157" i="58"/>
  <c r="AE157" i="58"/>
  <c r="AF157" i="58"/>
  <c r="AG157" i="58"/>
  <c r="AH157" i="58"/>
  <c r="AI157" i="58"/>
  <c r="AJ157" i="58"/>
  <c r="AK157" i="58"/>
  <c r="AL157" i="58"/>
  <c r="AM157" i="58"/>
  <c r="AN157" i="58"/>
  <c r="AO157" i="58"/>
  <c r="AP157" i="58"/>
  <c r="AQ157" i="58"/>
  <c r="AR157" i="58"/>
  <c r="AS157" i="58"/>
  <c r="AT157" i="58"/>
  <c r="AU157" i="58"/>
  <c r="AV157" i="58"/>
  <c r="AW157" i="58"/>
  <c r="AX157" i="58"/>
  <c r="AY157" i="58"/>
  <c r="AZ157" i="58"/>
  <c r="BA157" i="58"/>
  <c r="BB157" i="58"/>
  <c r="BC157" i="58"/>
  <c r="BD157" i="58"/>
  <c r="BE157" i="58"/>
  <c r="BF157" i="58"/>
  <c r="BG157" i="58"/>
  <c r="BH157" i="58"/>
  <c r="BI157" i="58"/>
  <c r="D158" i="58"/>
  <c r="E158" i="58"/>
  <c r="F158" i="58"/>
  <c r="G158" i="58"/>
  <c r="H158" i="58"/>
  <c r="I158" i="58"/>
  <c r="J158" i="58"/>
  <c r="K158" i="58"/>
  <c r="L158" i="58"/>
  <c r="M158" i="58"/>
  <c r="N158" i="58"/>
  <c r="O158" i="58"/>
  <c r="P158" i="58"/>
  <c r="Q158" i="58"/>
  <c r="R158" i="58"/>
  <c r="S158" i="58"/>
  <c r="T158" i="58"/>
  <c r="U158" i="58"/>
  <c r="V158" i="58"/>
  <c r="W158" i="58"/>
  <c r="X158" i="58"/>
  <c r="Y158" i="58"/>
  <c r="Z158" i="58"/>
  <c r="AA158" i="58"/>
  <c r="AB158" i="58"/>
  <c r="AC158" i="58"/>
  <c r="AD158" i="58"/>
  <c r="AE158" i="58"/>
  <c r="AF158" i="58"/>
  <c r="AG158" i="58"/>
  <c r="AH158" i="58"/>
  <c r="AI158" i="58"/>
  <c r="AJ158" i="58"/>
  <c r="AK158" i="58"/>
  <c r="AL158" i="58"/>
  <c r="AM158" i="58"/>
  <c r="AN158" i="58"/>
  <c r="AO158" i="58"/>
  <c r="AP158" i="58"/>
  <c r="AQ158" i="58"/>
  <c r="AR158" i="58"/>
  <c r="AS158" i="58"/>
  <c r="AT158" i="58"/>
  <c r="AU158" i="58"/>
  <c r="AV158" i="58"/>
  <c r="AW158" i="58"/>
  <c r="AX158" i="58"/>
  <c r="AY158" i="58"/>
  <c r="AZ158" i="58"/>
  <c r="BA158" i="58"/>
  <c r="BB158" i="58"/>
  <c r="BC158" i="58"/>
  <c r="BD158" i="58"/>
  <c r="BE158" i="58"/>
  <c r="BF158" i="58"/>
  <c r="BG158" i="58"/>
  <c r="BH158" i="58"/>
  <c r="BI158" i="58"/>
  <c r="D159" i="58"/>
  <c r="E159" i="58"/>
  <c r="F159" i="58"/>
  <c r="G159" i="58"/>
  <c r="H159" i="58"/>
  <c r="I159" i="58"/>
  <c r="J159" i="58"/>
  <c r="K159" i="58"/>
  <c r="L159" i="58"/>
  <c r="M159" i="58"/>
  <c r="N159" i="58"/>
  <c r="O159" i="58"/>
  <c r="P159" i="58"/>
  <c r="Q159" i="58"/>
  <c r="R159" i="58"/>
  <c r="S159" i="58"/>
  <c r="T159" i="58"/>
  <c r="U159" i="58"/>
  <c r="V159" i="58"/>
  <c r="W159" i="58"/>
  <c r="X159" i="58"/>
  <c r="Y159" i="58"/>
  <c r="Z159" i="58"/>
  <c r="AA159" i="58"/>
  <c r="AB159" i="58"/>
  <c r="AC159" i="58"/>
  <c r="AD159" i="58"/>
  <c r="AE159" i="58"/>
  <c r="AF159" i="58"/>
  <c r="AG159" i="58"/>
  <c r="AH159" i="58"/>
  <c r="AI159" i="58"/>
  <c r="AJ159" i="58"/>
  <c r="AK159" i="58"/>
  <c r="AL159" i="58"/>
  <c r="AM159" i="58"/>
  <c r="AN159" i="58"/>
  <c r="AO159" i="58"/>
  <c r="AP159" i="58"/>
  <c r="AQ159" i="58"/>
  <c r="AR159" i="58"/>
  <c r="AS159" i="58"/>
  <c r="AT159" i="58"/>
  <c r="AU159" i="58"/>
  <c r="AV159" i="58"/>
  <c r="AW159" i="58"/>
  <c r="AX159" i="58"/>
  <c r="AY159" i="58"/>
  <c r="AZ159" i="58"/>
  <c r="BA159" i="58"/>
  <c r="BB159" i="58"/>
  <c r="BC159" i="58"/>
  <c r="BD159" i="58"/>
  <c r="BE159" i="58"/>
  <c r="BF159" i="58"/>
  <c r="BG159" i="58"/>
  <c r="BH159" i="58"/>
  <c r="BI159" i="58"/>
  <c r="D160" i="58"/>
  <c r="E160" i="58"/>
  <c r="F160" i="58"/>
  <c r="G160" i="58"/>
  <c r="H160" i="58"/>
  <c r="I160" i="58"/>
  <c r="J160" i="58"/>
  <c r="K160" i="58"/>
  <c r="L160" i="58"/>
  <c r="M160" i="58"/>
  <c r="N160" i="58"/>
  <c r="O160" i="58"/>
  <c r="P160" i="58"/>
  <c r="Q160" i="58"/>
  <c r="R160" i="58"/>
  <c r="S160" i="58"/>
  <c r="T160" i="58"/>
  <c r="U160" i="58"/>
  <c r="V160" i="58"/>
  <c r="W160" i="58"/>
  <c r="X160" i="58"/>
  <c r="Y160" i="58"/>
  <c r="Z160" i="58"/>
  <c r="AA160" i="58"/>
  <c r="AB160" i="58"/>
  <c r="AC160" i="58"/>
  <c r="AD160" i="58"/>
  <c r="AE160" i="58"/>
  <c r="AF160" i="58"/>
  <c r="AG160" i="58"/>
  <c r="AH160" i="58"/>
  <c r="AI160" i="58"/>
  <c r="AJ160" i="58"/>
  <c r="AK160" i="58"/>
  <c r="AL160" i="58"/>
  <c r="AM160" i="58"/>
  <c r="AN160" i="58"/>
  <c r="AO160" i="58"/>
  <c r="AP160" i="58"/>
  <c r="AQ160" i="58"/>
  <c r="AR160" i="58"/>
  <c r="AS160" i="58"/>
  <c r="AT160" i="58"/>
  <c r="AU160" i="58"/>
  <c r="AV160" i="58"/>
  <c r="AW160" i="58"/>
  <c r="AX160" i="58"/>
  <c r="AY160" i="58"/>
  <c r="AZ160" i="58"/>
  <c r="BA160" i="58"/>
  <c r="BB160" i="58"/>
  <c r="BC160" i="58"/>
  <c r="BD160" i="58"/>
  <c r="BE160" i="58"/>
  <c r="BF160" i="58"/>
  <c r="BG160" i="58"/>
  <c r="BH160" i="58"/>
  <c r="BI160" i="58"/>
  <c r="D161" i="58"/>
  <c r="E161" i="58"/>
  <c r="F161" i="58"/>
  <c r="G161" i="58"/>
  <c r="H161" i="58"/>
  <c r="I161" i="58"/>
  <c r="J161" i="58"/>
  <c r="K161" i="58"/>
  <c r="L161" i="58"/>
  <c r="M161" i="58"/>
  <c r="N161" i="58"/>
  <c r="O161" i="58"/>
  <c r="P161" i="58"/>
  <c r="Q161" i="58"/>
  <c r="R161" i="58"/>
  <c r="S161" i="58"/>
  <c r="T161" i="58"/>
  <c r="U161" i="58"/>
  <c r="V161" i="58"/>
  <c r="W161" i="58"/>
  <c r="X161" i="58"/>
  <c r="Y161" i="58"/>
  <c r="Z161" i="58"/>
  <c r="AA161" i="58"/>
  <c r="AB161" i="58"/>
  <c r="AC161" i="58"/>
  <c r="AD161" i="58"/>
  <c r="AE161" i="58"/>
  <c r="AF161" i="58"/>
  <c r="AG161" i="58"/>
  <c r="AH161" i="58"/>
  <c r="AI161" i="58"/>
  <c r="AJ161" i="58"/>
  <c r="AK161" i="58"/>
  <c r="AL161" i="58"/>
  <c r="AM161" i="58"/>
  <c r="AN161" i="58"/>
  <c r="AO161" i="58"/>
  <c r="AP161" i="58"/>
  <c r="AQ161" i="58"/>
  <c r="AR161" i="58"/>
  <c r="AS161" i="58"/>
  <c r="AT161" i="58"/>
  <c r="AU161" i="58"/>
  <c r="AV161" i="58"/>
  <c r="AW161" i="58"/>
  <c r="AX161" i="58"/>
  <c r="AY161" i="58"/>
  <c r="AZ161" i="58"/>
  <c r="BA161" i="58"/>
  <c r="BB161" i="58"/>
  <c r="BC161" i="58"/>
  <c r="BD161" i="58"/>
  <c r="BE161" i="58"/>
  <c r="BF161" i="58"/>
  <c r="BG161" i="58"/>
  <c r="BH161" i="58"/>
  <c r="BI161" i="58"/>
  <c r="D162" i="58"/>
  <c r="E162" i="58"/>
  <c r="F162" i="58"/>
  <c r="G162" i="58"/>
  <c r="H162" i="58"/>
  <c r="I162" i="58"/>
  <c r="J162" i="58"/>
  <c r="K162" i="58"/>
  <c r="L162" i="58"/>
  <c r="M162" i="58"/>
  <c r="N162" i="58"/>
  <c r="O162" i="58"/>
  <c r="P162" i="58"/>
  <c r="Q162" i="58"/>
  <c r="R162" i="58"/>
  <c r="S162" i="58"/>
  <c r="T162" i="58"/>
  <c r="U162" i="58"/>
  <c r="V162" i="58"/>
  <c r="W162" i="58"/>
  <c r="X162" i="58"/>
  <c r="Y162" i="58"/>
  <c r="Z162" i="58"/>
  <c r="AA162" i="58"/>
  <c r="AB162" i="58"/>
  <c r="AC162" i="58"/>
  <c r="AD162" i="58"/>
  <c r="AE162" i="58"/>
  <c r="AF162" i="58"/>
  <c r="AG162" i="58"/>
  <c r="AH162" i="58"/>
  <c r="AI162" i="58"/>
  <c r="AJ162" i="58"/>
  <c r="AK162" i="58"/>
  <c r="AL162" i="58"/>
  <c r="AM162" i="58"/>
  <c r="AN162" i="58"/>
  <c r="AO162" i="58"/>
  <c r="AP162" i="58"/>
  <c r="AQ162" i="58"/>
  <c r="AR162" i="58"/>
  <c r="AS162" i="58"/>
  <c r="AT162" i="58"/>
  <c r="AU162" i="58"/>
  <c r="AV162" i="58"/>
  <c r="AW162" i="58"/>
  <c r="AX162" i="58"/>
  <c r="AY162" i="58"/>
  <c r="AZ162" i="58"/>
  <c r="BA162" i="58"/>
  <c r="BB162" i="58"/>
  <c r="BC162" i="58"/>
  <c r="BD162" i="58"/>
  <c r="BE162" i="58"/>
  <c r="BF162" i="58"/>
  <c r="BG162" i="58"/>
  <c r="BH162" i="58"/>
  <c r="BI162" i="58"/>
  <c r="D163" i="58"/>
  <c r="E163" i="58"/>
  <c r="F163" i="58"/>
  <c r="G163" i="58"/>
  <c r="H163" i="58"/>
  <c r="I163" i="58"/>
  <c r="J163" i="58"/>
  <c r="K163" i="58"/>
  <c r="L163" i="58"/>
  <c r="M163" i="58"/>
  <c r="N163" i="58"/>
  <c r="O163" i="58"/>
  <c r="P163" i="58"/>
  <c r="Q163" i="58"/>
  <c r="R163" i="58"/>
  <c r="S163" i="58"/>
  <c r="T163" i="58"/>
  <c r="U163" i="58"/>
  <c r="V163" i="58"/>
  <c r="W163" i="58"/>
  <c r="X163" i="58"/>
  <c r="Y163" i="58"/>
  <c r="Z163" i="58"/>
  <c r="AA163" i="58"/>
  <c r="AB163" i="58"/>
  <c r="AC163" i="58"/>
  <c r="AD163" i="58"/>
  <c r="AE163" i="58"/>
  <c r="AF163" i="58"/>
  <c r="AG163" i="58"/>
  <c r="AH163" i="58"/>
  <c r="AI163" i="58"/>
  <c r="AJ163" i="58"/>
  <c r="AK163" i="58"/>
  <c r="AL163" i="58"/>
  <c r="AM163" i="58"/>
  <c r="AN163" i="58"/>
  <c r="AO163" i="58"/>
  <c r="AP163" i="58"/>
  <c r="AQ163" i="58"/>
  <c r="AR163" i="58"/>
  <c r="AS163" i="58"/>
  <c r="AT163" i="58"/>
  <c r="AU163" i="58"/>
  <c r="AV163" i="58"/>
  <c r="AW163" i="58"/>
  <c r="AX163" i="58"/>
  <c r="AY163" i="58"/>
  <c r="AZ163" i="58"/>
  <c r="BA163" i="58"/>
  <c r="BB163" i="58"/>
  <c r="BC163" i="58"/>
  <c r="BD163" i="58"/>
  <c r="BE163" i="58"/>
  <c r="BF163" i="58"/>
  <c r="BG163" i="58"/>
  <c r="BH163" i="58"/>
  <c r="BI163" i="58"/>
  <c r="D164" i="58"/>
  <c r="E164" i="58"/>
  <c r="F164" i="58"/>
  <c r="G164" i="58"/>
  <c r="H164" i="58"/>
  <c r="I164" i="58"/>
  <c r="J164" i="58"/>
  <c r="K164" i="58"/>
  <c r="L164" i="58"/>
  <c r="M164" i="58"/>
  <c r="N164" i="58"/>
  <c r="O164" i="58"/>
  <c r="P164" i="58"/>
  <c r="Q164" i="58"/>
  <c r="R164" i="58"/>
  <c r="S164" i="58"/>
  <c r="T164" i="58"/>
  <c r="U164" i="58"/>
  <c r="V164" i="58"/>
  <c r="W164" i="58"/>
  <c r="X164" i="58"/>
  <c r="Y164" i="58"/>
  <c r="Z164" i="58"/>
  <c r="AA164" i="58"/>
  <c r="AB164" i="58"/>
  <c r="AC164" i="58"/>
  <c r="AD164" i="58"/>
  <c r="AE164" i="58"/>
  <c r="AF164" i="58"/>
  <c r="AG164" i="58"/>
  <c r="AH164" i="58"/>
  <c r="AI164" i="58"/>
  <c r="AJ164" i="58"/>
  <c r="AK164" i="58"/>
  <c r="AL164" i="58"/>
  <c r="AM164" i="58"/>
  <c r="AN164" i="58"/>
  <c r="AO164" i="58"/>
  <c r="AP164" i="58"/>
  <c r="AQ164" i="58"/>
  <c r="AR164" i="58"/>
  <c r="AS164" i="58"/>
  <c r="AT164" i="58"/>
  <c r="AU164" i="58"/>
  <c r="AV164" i="58"/>
  <c r="AW164" i="58"/>
  <c r="AX164" i="58"/>
  <c r="AY164" i="58"/>
  <c r="AZ164" i="58"/>
  <c r="BA164" i="58"/>
  <c r="BB164" i="58"/>
  <c r="BC164" i="58"/>
  <c r="BD164" i="58"/>
  <c r="BE164" i="58"/>
  <c r="BF164" i="58"/>
  <c r="BG164" i="58"/>
  <c r="BH164" i="58"/>
  <c r="BI164" i="58"/>
  <c r="D165" i="58"/>
  <c r="E165" i="58"/>
  <c r="F165" i="58"/>
  <c r="G165" i="58"/>
  <c r="H165" i="58"/>
  <c r="I165" i="58"/>
  <c r="J165" i="58"/>
  <c r="K165" i="58"/>
  <c r="L165" i="58"/>
  <c r="M165" i="58"/>
  <c r="N165" i="58"/>
  <c r="O165" i="58"/>
  <c r="P165" i="58"/>
  <c r="Q165" i="58"/>
  <c r="R165" i="58"/>
  <c r="S165" i="58"/>
  <c r="T165" i="58"/>
  <c r="U165" i="58"/>
  <c r="V165" i="58"/>
  <c r="W165" i="58"/>
  <c r="X165" i="58"/>
  <c r="Y165" i="58"/>
  <c r="Z165" i="58"/>
  <c r="AA165" i="58"/>
  <c r="AB165" i="58"/>
  <c r="AC165" i="58"/>
  <c r="AD165" i="58"/>
  <c r="AE165" i="58"/>
  <c r="AF165" i="58"/>
  <c r="AG165" i="58"/>
  <c r="AH165" i="58"/>
  <c r="AI165" i="58"/>
  <c r="AJ165" i="58"/>
  <c r="AK165" i="58"/>
  <c r="AL165" i="58"/>
  <c r="AM165" i="58"/>
  <c r="AN165" i="58"/>
  <c r="AO165" i="58"/>
  <c r="AP165" i="58"/>
  <c r="AQ165" i="58"/>
  <c r="AR165" i="58"/>
  <c r="AS165" i="58"/>
  <c r="AT165" i="58"/>
  <c r="AU165" i="58"/>
  <c r="AV165" i="58"/>
  <c r="AW165" i="58"/>
  <c r="AX165" i="58"/>
  <c r="AY165" i="58"/>
  <c r="AZ165" i="58"/>
  <c r="BA165" i="58"/>
  <c r="BB165" i="58"/>
  <c r="BC165" i="58"/>
  <c r="BD165" i="58"/>
  <c r="BE165" i="58"/>
  <c r="BF165" i="58"/>
  <c r="BG165" i="58"/>
  <c r="BH165" i="58"/>
  <c r="BI165" i="58"/>
  <c r="D166" i="58"/>
  <c r="E166" i="58"/>
  <c r="F166" i="58"/>
  <c r="G166" i="58"/>
  <c r="H166" i="58"/>
  <c r="I166" i="58"/>
  <c r="J166" i="58"/>
  <c r="K166" i="58"/>
  <c r="L166" i="58"/>
  <c r="M166" i="58"/>
  <c r="N166" i="58"/>
  <c r="O166" i="58"/>
  <c r="P166" i="58"/>
  <c r="Q166" i="58"/>
  <c r="R166" i="58"/>
  <c r="S166" i="58"/>
  <c r="T166" i="58"/>
  <c r="U166" i="58"/>
  <c r="V166" i="58"/>
  <c r="W166" i="58"/>
  <c r="X166" i="58"/>
  <c r="Y166" i="58"/>
  <c r="Z166" i="58"/>
  <c r="AA166" i="58"/>
  <c r="AB166" i="58"/>
  <c r="AC166" i="58"/>
  <c r="AD166" i="58"/>
  <c r="AE166" i="58"/>
  <c r="AF166" i="58"/>
  <c r="AG166" i="58"/>
  <c r="AH166" i="58"/>
  <c r="AI166" i="58"/>
  <c r="AJ166" i="58"/>
  <c r="AK166" i="58"/>
  <c r="AL166" i="58"/>
  <c r="AM166" i="58"/>
  <c r="AN166" i="58"/>
  <c r="AO166" i="58"/>
  <c r="AP166" i="58"/>
  <c r="AQ166" i="58"/>
  <c r="AR166" i="58"/>
  <c r="AS166" i="58"/>
  <c r="AT166" i="58"/>
  <c r="AU166" i="58"/>
  <c r="AV166" i="58"/>
  <c r="AW166" i="58"/>
  <c r="AX166" i="58"/>
  <c r="AY166" i="58"/>
  <c r="AZ166" i="58"/>
  <c r="BA166" i="58"/>
  <c r="BB166" i="58"/>
  <c r="BC166" i="58"/>
  <c r="BD166" i="58"/>
  <c r="BE166" i="58"/>
  <c r="BF166" i="58"/>
  <c r="BG166" i="58"/>
  <c r="BH166" i="58"/>
  <c r="BI166" i="58"/>
  <c r="D167" i="58"/>
  <c r="E167" i="58"/>
  <c r="F167" i="58"/>
  <c r="G167" i="58"/>
  <c r="H167" i="58"/>
  <c r="I167" i="58"/>
  <c r="J167" i="58"/>
  <c r="K167" i="58"/>
  <c r="L167" i="58"/>
  <c r="M167" i="58"/>
  <c r="N167" i="58"/>
  <c r="O167" i="58"/>
  <c r="P167" i="58"/>
  <c r="Q167" i="58"/>
  <c r="R167" i="58"/>
  <c r="S167" i="58"/>
  <c r="T167" i="58"/>
  <c r="U167" i="58"/>
  <c r="V167" i="58"/>
  <c r="W167" i="58"/>
  <c r="X167" i="58"/>
  <c r="Y167" i="58"/>
  <c r="Z167" i="58"/>
  <c r="AA167" i="58"/>
  <c r="AB167" i="58"/>
  <c r="AC167" i="58"/>
  <c r="AD167" i="58"/>
  <c r="AE167" i="58"/>
  <c r="AF167" i="58"/>
  <c r="AG167" i="58"/>
  <c r="AH167" i="58"/>
  <c r="AI167" i="58"/>
  <c r="AJ167" i="58"/>
  <c r="AK167" i="58"/>
  <c r="AL167" i="58"/>
  <c r="AM167" i="58"/>
  <c r="AN167" i="58"/>
  <c r="AO167" i="58"/>
  <c r="AP167" i="58"/>
  <c r="AQ167" i="58"/>
  <c r="AR167" i="58"/>
  <c r="AS167" i="58"/>
  <c r="AT167" i="58"/>
  <c r="AU167" i="58"/>
  <c r="AV167" i="58"/>
  <c r="AW167" i="58"/>
  <c r="AX167" i="58"/>
  <c r="AY167" i="58"/>
  <c r="AZ167" i="58"/>
  <c r="BA167" i="58"/>
  <c r="BB167" i="58"/>
  <c r="BC167" i="58"/>
  <c r="BD167" i="58"/>
  <c r="BE167" i="58"/>
  <c r="BF167" i="58"/>
  <c r="BG167" i="58"/>
  <c r="BH167" i="58"/>
  <c r="BI167" i="58"/>
  <c r="D168" i="58"/>
  <c r="E168" i="58"/>
  <c r="F168" i="58"/>
  <c r="G168" i="58"/>
  <c r="H168" i="58"/>
  <c r="I168" i="58"/>
  <c r="J168" i="58"/>
  <c r="K168" i="58"/>
  <c r="L168" i="58"/>
  <c r="M168" i="58"/>
  <c r="N168" i="58"/>
  <c r="O168" i="58"/>
  <c r="P168" i="58"/>
  <c r="Q168" i="58"/>
  <c r="R168" i="58"/>
  <c r="S168" i="58"/>
  <c r="T168" i="58"/>
  <c r="U168" i="58"/>
  <c r="V168" i="58"/>
  <c r="W168" i="58"/>
  <c r="X168" i="58"/>
  <c r="Y168" i="58"/>
  <c r="Z168" i="58"/>
  <c r="AA168" i="58"/>
  <c r="AB168" i="58"/>
  <c r="AC168" i="58"/>
  <c r="AD168" i="58"/>
  <c r="AE168" i="58"/>
  <c r="AF168" i="58"/>
  <c r="AG168" i="58"/>
  <c r="AH168" i="58"/>
  <c r="AI168" i="58"/>
  <c r="AJ168" i="58"/>
  <c r="AK168" i="58"/>
  <c r="AL168" i="58"/>
  <c r="AM168" i="58"/>
  <c r="AN168" i="58"/>
  <c r="AO168" i="58"/>
  <c r="AP168" i="58"/>
  <c r="AQ168" i="58"/>
  <c r="AR168" i="58"/>
  <c r="AS168" i="58"/>
  <c r="AT168" i="58"/>
  <c r="AU168" i="58"/>
  <c r="AV168" i="58"/>
  <c r="AW168" i="58"/>
  <c r="AX168" i="58"/>
  <c r="AY168" i="58"/>
  <c r="AZ168" i="58"/>
  <c r="BA168" i="58"/>
  <c r="BB168" i="58"/>
  <c r="BC168" i="58"/>
  <c r="BD168" i="58"/>
  <c r="BE168" i="58"/>
  <c r="BF168" i="58"/>
  <c r="BG168" i="58"/>
  <c r="BH168" i="58"/>
  <c r="BI168" i="58"/>
  <c r="D169" i="58"/>
  <c r="E169" i="58"/>
  <c r="F169" i="58"/>
  <c r="G169" i="58"/>
  <c r="H169" i="58"/>
  <c r="I169" i="58"/>
  <c r="J169" i="58"/>
  <c r="K169" i="58"/>
  <c r="L169" i="58"/>
  <c r="M169" i="58"/>
  <c r="N169" i="58"/>
  <c r="O169" i="58"/>
  <c r="P169" i="58"/>
  <c r="Q169" i="58"/>
  <c r="R169" i="58"/>
  <c r="S169" i="58"/>
  <c r="T169" i="58"/>
  <c r="U169" i="58"/>
  <c r="V169" i="58"/>
  <c r="W169" i="58"/>
  <c r="X169" i="58"/>
  <c r="Y169" i="58"/>
  <c r="Z169" i="58"/>
  <c r="AA169" i="58"/>
  <c r="AB169" i="58"/>
  <c r="AC169" i="58"/>
  <c r="AD169" i="58"/>
  <c r="AE169" i="58"/>
  <c r="AF169" i="58"/>
  <c r="AG169" i="58"/>
  <c r="AH169" i="58"/>
  <c r="AI169" i="58"/>
  <c r="AJ169" i="58"/>
  <c r="AK169" i="58"/>
  <c r="AL169" i="58"/>
  <c r="AM169" i="58"/>
  <c r="AN169" i="58"/>
  <c r="AO169" i="58"/>
  <c r="AP169" i="58"/>
  <c r="AQ169" i="58"/>
  <c r="AR169" i="58"/>
  <c r="AS169" i="58"/>
  <c r="AT169" i="58"/>
  <c r="AU169" i="58"/>
  <c r="AV169" i="58"/>
  <c r="AW169" i="58"/>
  <c r="AX169" i="58"/>
  <c r="AY169" i="58"/>
  <c r="AZ169" i="58"/>
  <c r="BA169" i="58"/>
  <c r="BB169" i="58"/>
  <c r="BC169" i="58"/>
  <c r="BD169" i="58"/>
  <c r="BE169" i="58"/>
  <c r="BF169" i="58"/>
  <c r="BG169" i="58"/>
  <c r="BH169" i="58"/>
  <c r="BI169" i="58"/>
  <c r="D170" i="58"/>
  <c r="E170" i="58"/>
  <c r="F170" i="58"/>
  <c r="G170" i="58"/>
  <c r="H170" i="58"/>
  <c r="I170" i="58"/>
  <c r="J170" i="58"/>
  <c r="K170" i="58"/>
  <c r="L170" i="58"/>
  <c r="M170" i="58"/>
  <c r="N170" i="58"/>
  <c r="O170" i="58"/>
  <c r="P170" i="58"/>
  <c r="Q170" i="58"/>
  <c r="R170" i="58"/>
  <c r="S170" i="58"/>
  <c r="T170" i="58"/>
  <c r="U170" i="58"/>
  <c r="V170" i="58"/>
  <c r="W170" i="58"/>
  <c r="X170" i="58"/>
  <c r="Y170" i="58"/>
  <c r="Z170" i="58"/>
  <c r="AA170" i="58"/>
  <c r="AB170" i="58"/>
  <c r="AC170" i="58"/>
  <c r="AD170" i="58"/>
  <c r="AE170" i="58"/>
  <c r="AF170" i="58"/>
  <c r="AG170" i="58"/>
  <c r="AH170" i="58"/>
  <c r="AI170" i="58"/>
  <c r="AJ170" i="58"/>
  <c r="AK170" i="58"/>
  <c r="AL170" i="58"/>
  <c r="AM170" i="58"/>
  <c r="AN170" i="58"/>
  <c r="AO170" i="58"/>
  <c r="AP170" i="58"/>
  <c r="AQ170" i="58"/>
  <c r="AR170" i="58"/>
  <c r="AS170" i="58"/>
  <c r="AT170" i="58"/>
  <c r="AU170" i="58"/>
  <c r="AV170" i="58"/>
  <c r="AW170" i="58"/>
  <c r="AX170" i="58"/>
  <c r="AY170" i="58"/>
  <c r="AZ170" i="58"/>
  <c r="BA170" i="58"/>
  <c r="BB170" i="58"/>
  <c r="BC170" i="58"/>
  <c r="BD170" i="58"/>
  <c r="BE170" i="58"/>
  <c r="BF170" i="58"/>
  <c r="BG170" i="58"/>
  <c r="BH170" i="58"/>
  <c r="BI170" i="58"/>
  <c r="D171" i="58"/>
  <c r="E171" i="58"/>
  <c r="F171" i="58"/>
  <c r="G171" i="58"/>
  <c r="H171" i="58"/>
  <c r="I171" i="58"/>
  <c r="J171" i="58"/>
  <c r="K171" i="58"/>
  <c r="L171" i="58"/>
  <c r="M171" i="58"/>
  <c r="N171" i="58"/>
  <c r="O171" i="58"/>
  <c r="P171" i="58"/>
  <c r="Q171" i="58"/>
  <c r="R171" i="58"/>
  <c r="S171" i="58"/>
  <c r="T171" i="58"/>
  <c r="U171" i="58"/>
  <c r="V171" i="58"/>
  <c r="W171" i="58"/>
  <c r="X171" i="58"/>
  <c r="Y171" i="58"/>
  <c r="Z171" i="58"/>
  <c r="AA171" i="58"/>
  <c r="AB171" i="58"/>
  <c r="AC171" i="58"/>
  <c r="AD171" i="58"/>
  <c r="AE171" i="58"/>
  <c r="AF171" i="58"/>
  <c r="AG171" i="58"/>
  <c r="AH171" i="58"/>
  <c r="AI171" i="58"/>
  <c r="AJ171" i="58"/>
  <c r="AK171" i="58"/>
  <c r="AL171" i="58"/>
  <c r="AM171" i="58"/>
  <c r="AN171" i="58"/>
  <c r="AO171" i="58"/>
  <c r="AP171" i="58"/>
  <c r="AQ171" i="58"/>
  <c r="AR171" i="58"/>
  <c r="AS171" i="58"/>
  <c r="AT171" i="58"/>
  <c r="AU171" i="58"/>
  <c r="AV171" i="58"/>
  <c r="AW171" i="58"/>
  <c r="AX171" i="58"/>
  <c r="AY171" i="58"/>
  <c r="AZ171" i="58"/>
  <c r="BA171" i="58"/>
  <c r="BB171" i="58"/>
  <c r="BC171" i="58"/>
  <c r="BD171" i="58"/>
  <c r="BE171" i="58"/>
  <c r="BF171" i="58"/>
  <c r="BG171" i="58"/>
  <c r="BH171" i="58"/>
  <c r="BI171" i="58"/>
  <c r="D172" i="58"/>
  <c r="E172" i="58"/>
  <c r="F172" i="58"/>
  <c r="G172" i="58"/>
  <c r="H172" i="58"/>
  <c r="I172" i="58"/>
  <c r="J172" i="58"/>
  <c r="K172" i="58"/>
  <c r="L172" i="58"/>
  <c r="M172" i="58"/>
  <c r="N172" i="58"/>
  <c r="O172" i="58"/>
  <c r="P172" i="58"/>
  <c r="Q172" i="58"/>
  <c r="R172" i="58"/>
  <c r="S172" i="58"/>
  <c r="T172" i="58"/>
  <c r="U172" i="58"/>
  <c r="V172" i="58"/>
  <c r="W172" i="58"/>
  <c r="X172" i="58"/>
  <c r="Y172" i="58"/>
  <c r="Z172" i="58"/>
  <c r="AA172" i="58"/>
  <c r="AB172" i="58"/>
  <c r="AC172" i="58"/>
  <c r="AD172" i="58"/>
  <c r="AE172" i="58"/>
  <c r="AF172" i="58"/>
  <c r="AG172" i="58"/>
  <c r="AH172" i="58"/>
  <c r="AI172" i="58"/>
  <c r="AJ172" i="58"/>
  <c r="AK172" i="58"/>
  <c r="AL172" i="58"/>
  <c r="AM172" i="58"/>
  <c r="AN172" i="58"/>
  <c r="AO172" i="58"/>
  <c r="AP172" i="58"/>
  <c r="AQ172" i="58"/>
  <c r="AR172" i="58"/>
  <c r="AS172" i="58"/>
  <c r="AT172" i="58"/>
  <c r="AU172" i="58"/>
  <c r="AV172" i="58"/>
  <c r="AW172" i="58"/>
  <c r="AX172" i="58"/>
  <c r="AY172" i="58"/>
  <c r="AZ172" i="58"/>
  <c r="BA172" i="58"/>
  <c r="BB172" i="58"/>
  <c r="BC172" i="58"/>
  <c r="BD172" i="58"/>
  <c r="BE172" i="58"/>
  <c r="BF172" i="58"/>
  <c r="BG172" i="58"/>
  <c r="BH172" i="58"/>
  <c r="BI172" i="58"/>
  <c r="D173" i="58"/>
  <c r="E173" i="58"/>
  <c r="F173" i="58"/>
  <c r="G173" i="58"/>
  <c r="H173" i="58"/>
  <c r="I173" i="58"/>
  <c r="J173" i="58"/>
  <c r="K173" i="58"/>
  <c r="L173" i="58"/>
  <c r="M173" i="58"/>
  <c r="N173" i="58"/>
  <c r="O173" i="58"/>
  <c r="P173" i="58"/>
  <c r="Q173" i="58"/>
  <c r="R173" i="58"/>
  <c r="S173" i="58"/>
  <c r="T173" i="58"/>
  <c r="U173" i="58"/>
  <c r="V173" i="58"/>
  <c r="W173" i="58"/>
  <c r="X173" i="58"/>
  <c r="Y173" i="58"/>
  <c r="Z173" i="58"/>
  <c r="AA173" i="58"/>
  <c r="AB173" i="58"/>
  <c r="AC173" i="58"/>
  <c r="AD173" i="58"/>
  <c r="AE173" i="58"/>
  <c r="AF173" i="58"/>
  <c r="AG173" i="58"/>
  <c r="AH173" i="58"/>
  <c r="AI173" i="58"/>
  <c r="AJ173" i="58"/>
  <c r="AK173" i="58"/>
  <c r="AL173" i="58"/>
  <c r="AM173" i="58"/>
  <c r="AN173" i="58"/>
  <c r="AO173" i="58"/>
  <c r="AP173" i="58"/>
  <c r="AQ173" i="58"/>
  <c r="AR173" i="58"/>
  <c r="AS173" i="58"/>
  <c r="AT173" i="58"/>
  <c r="AU173" i="58"/>
  <c r="AV173" i="58"/>
  <c r="AW173" i="58"/>
  <c r="AX173" i="58"/>
  <c r="AY173" i="58"/>
  <c r="AZ173" i="58"/>
  <c r="BA173" i="58"/>
  <c r="BB173" i="58"/>
  <c r="BC173" i="58"/>
  <c r="BD173" i="58"/>
  <c r="BE173" i="58"/>
  <c r="BF173" i="58"/>
  <c r="BG173" i="58"/>
  <c r="BH173" i="58"/>
  <c r="BI173" i="58"/>
  <c r="D174" i="58"/>
  <c r="E174" i="58"/>
  <c r="F174" i="58"/>
  <c r="G174" i="58"/>
  <c r="H174" i="58"/>
  <c r="I174" i="58"/>
  <c r="J174" i="58"/>
  <c r="K174" i="58"/>
  <c r="L174" i="58"/>
  <c r="M174" i="58"/>
  <c r="N174" i="58"/>
  <c r="O174" i="58"/>
  <c r="P174" i="58"/>
  <c r="Q174" i="58"/>
  <c r="R174" i="58"/>
  <c r="S174" i="58"/>
  <c r="T174" i="58"/>
  <c r="U174" i="58"/>
  <c r="V174" i="58"/>
  <c r="W174" i="58"/>
  <c r="X174" i="58"/>
  <c r="Y174" i="58"/>
  <c r="Z174" i="58"/>
  <c r="AA174" i="58"/>
  <c r="AB174" i="58"/>
  <c r="AC174" i="58"/>
  <c r="AD174" i="58"/>
  <c r="AE174" i="58"/>
  <c r="AF174" i="58"/>
  <c r="AG174" i="58"/>
  <c r="AH174" i="58"/>
  <c r="AI174" i="58"/>
  <c r="AJ174" i="58"/>
  <c r="AK174" i="58"/>
  <c r="AL174" i="58"/>
  <c r="AM174" i="58"/>
  <c r="AN174" i="58"/>
  <c r="AO174" i="58"/>
  <c r="AP174" i="58"/>
  <c r="AQ174" i="58"/>
  <c r="AR174" i="58"/>
  <c r="AS174" i="58"/>
  <c r="AT174" i="58"/>
  <c r="AU174" i="58"/>
  <c r="AV174" i="58"/>
  <c r="AW174" i="58"/>
  <c r="AX174" i="58"/>
  <c r="AY174" i="58"/>
  <c r="AZ174" i="58"/>
  <c r="BA174" i="58"/>
  <c r="BB174" i="58"/>
  <c r="BC174" i="58"/>
  <c r="BD174" i="58"/>
  <c r="BE174" i="58"/>
  <c r="BF174" i="58"/>
  <c r="BG174" i="58"/>
  <c r="BH174" i="58"/>
  <c r="BI174" i="58"/>
  <c r="D175" i="58"/>
  <c r="E175" i="58"/>
  <c r="F175" i="58"/>
  <c r="G175" i="58"/>
  <c r="H175" i="58"/>
  <c r="I175" i="58"/>
  <c r="J175" i="58"/>
  <c r="K175" i="58"/>
  <c r="L175" i="58"/>
  <c r="M175" i="58"/>
  <c r="N175" i="58"/>
  <c r="O175" i="58"/>
  <c r="P175" i="58"/>
  <c r="Q175" i="58"/>
  <c r="R175" i="58"/>
  <c r="S175" i="58"/>
  <c r="T175" i="58"/>
  <c r="U175" i="58"/>
  <c r="V175" i="58"/>
  <c r="W175" i="58"/>
  <c r="X175" i="58"/>
  <c r="Y175" i="58"/>
  <c r="Z175" i="58"/>
  <c r="AA175" i="58"/>
  <c r="AB175" i="58"/>
  <c r="AC175" i="58"/>
  <c r="AD175" i="58"/>
  <c r="AE175" i="58"/>
  <c r="AF175" i="58"/>
  <c r="AG175" i="58"/>
  <c r="AH175" i="58"/>
  <c r="AI175" i="58"/>
  <c r="AJ175" i="58"/>
  <c r="AK175" i="58"/>
  <c r="AL175" i="58"/>
  <c r="AM175" i="58"/>
  <c r="AN175" i="58"/>
  <c r="AO175" i="58"/>
  <c r="AP175" i="58"/>
  <c r="AQ175" i="58"/>
  <c r="AR175" i="58"/>
  <c r="AS175" i="58"/>
  <c r="AT175" i="58"/>
  <c r="AU175" i="58"/>
  <c r="AV175" i="58"/>
  <c r="AW175" i="58"/>
  <c r="AX175" i="58"/>
  <c r="AY175" i="58"/>
  <c r="AZ175" i="58"/>
  <c r="BA175" i="58"/>
  <c r="BB175" i="58"/>
  <c r="BC175" i="58"/>
  <c r="BD175" i="58"/>
  <c r="BE175" i="58"/>
  <c r="BF175" i="58"/>
  <c r="BG175" i="58"/>
  <c r="BH175" i="58"/>
  <c r="BI175" i="58"/>
  <c r="D176" i="58"/>
  <c r="E176" i="58"/>
  <c r="F176" i="58"/>
  <c r="G176" i="58"/>
  <c r="H176" i="58"/>
  <c r="I176" i="58"/>
  <c r="J176" i="58"/>
  <c r="K176" i="58"/>
  <c r="L176" i="58"/>
  <c r="M176" i="58"/>
  <c r="N176" i="58"/>
  <c r="O176" i="58"/>
  <c r="P176" i="58"/>
  <c r="Q176" i="58"/>
  <c r="R176" i="58"/>
  <c r="S176" i="58"/>
  <c r="T176" i="58"/>
  <c r="U176" i="58"/>
  <c r="V176" i="58"/>
  <c r="W176" i="58"/>
  <c r="X176" i="58"/>
  <c r="Y176" i="58"/>
  <c r="Z176" i="58"/>
  <c r="AA176" i="58"/>
  <c r="AB176" i="58"/>
  <c r="AC176" i="58"/>
  <c r="AD176" i="58"/>
  <c r="AE176" i="58"/>
  <c r="AF176" i="58"/>
  <c r="AG176" i="58"/>
  <c r="AH176" i="58"/>
  <c r="AI176" i="58"/>
  <c r="AJ176" i="58"/>
  <c r="AK176" i="58"/>
  <c r="AL176" i="58"/>
  <c r="AM176" i="58"/>
  <c r="AN176" i="58"/>
  <c r="AO176" i="58"/>
  <c r="AP176" i="58"/>
  <c r="AQ176" i="58"/>
  <c r="AR176" i="58"/>
  <c r="AS176" i="58"/>
  <c r="AT176" i="58"/>
  <c r="AU176" i="58"/>
  <c r="AV176" i="58"/>
  <c r="AW176" i="58"/>
  <c r="AX176" i="58"/>
  <c r="AY176" i="58"/>
  <c r="AZ176" i="58"/>
  <c r="BA176" i="58"/>
  <c r="BB176" i="58"/>
  <c r="BC176" i="58"/>
  <c r="BD176" i="58"/>
  <c r="BE176" i="58"/>
  <c r="BF176" i="58"/>
  <c r="BG176" i="58"/>
  <c r="BH176" i="58"/>
  <c r="BI176" i="58"/>
  <c r="D177" i="58"/>
  <c r="E177" i="58"/>
  <c r="F177" i="58"/>
  <c r="G177" i="58"/>
  <c r="H177" i="58"/>
  <c r="I177" i="58"/>
  <c r="J177" i="58"/>
  <c r="K177" i="58"/>
  <c r="L177" i="58"/>
  <c r="M177" i="58"/>
  <c r="N177" i="58"/>
  <c r="O177" i="58"/>
  <c r="P177" i="58"/>
  <c r="Q177" i="58"/>
  <c r="R177" i="58"/>
  <c r="S177" i="58"/>
  <c r="T177" i="58"/>
  <c r="U177" i="58"/>
  <c r="V177" i="58"/>
  <c r="W177" i="58"/>
  <c r="X177" i="58"/>
  <c r="Y177" i="58"/>
  <c r="Z177" i="58"/>
  <c r="AA177" i="58"/>
  <c r="AB177" i="58"/>
  <c r="AC177" i="58"/>
  <c r="AD177" i="58"/>
  <c r="AE177" i="58"/>
  <c r="AF177" i="58"/>
  <c r="AG177" i="58"/>
  <c r="AH177" i="58"/>
  <c r="AI177" i="58"/>
  <c r="AJ177" i="58"/>
  <c r="AK177" i="58"/>
  <c r="AL177" i="58"/>
  <c r="AM177" i="58"/>
  <c r="AN177" i="58"/>
  <c r="AO177" i="58"/>
  <c r="AP177" i="58"/>
  <c r="AQ177" i="58"/>
  <c r="AR177" i="58"/>
  <c r="AS177" i="58"/>
  <c r="AT177" i="58"/>
  <c r="AU177" i="58"/>
  <c r="AV177" i="58"/>
  <c r="AW177" i="58"/>
  <c r="AX177" i="58"/>
  <c r="AY177" i="58"/>
  <c r="AZ177" i="58"/>
  <c r="BA177" i="58"/>
  <c r="BB177" i="58"/>
  <c r="BC177" i="58"/>
  <c r="BD177" i="58"/>
  <c r="BE177" i="58"/>
  <c r="BF177" i="58"/>
  <c r="BG177" i="58"/>
  <c r="BH177" i="58"/>
  <c r="BI177" i="58"/>
  <c r="D178" i="58"/>
  <c r="E178" i="58"/>
  <c r="F178" i="58"/>
  <c r="G178" i="58"/>
  <c r="H178" i="58"/>
  <c r="I178" i="58"/>
  <c r="J178" i="58"/>
  <c r="K178" i="58"/>
  <c r="L178" i="58"/>
  <c r="M178" i="58"/>
  <c r="N178" i="58"/>
  <c r="O178" i="58"/>
  <c r="P178" i="58"/>
  <c r="Q178" i="58"/>
  <c r="R178" i="58"/>
  <c r="S178" i="58"/>
  <c r="T178" i="58"/>
  <c r="U178" i="58"/>
  <c r="V178" i="58"/>
  <c r="W178" i="58"/>
  <c r="X178" i="58"/>
  <c r="Y178" i="58"/>
  <c r="Z178" i="58"/>
  <c r="AA178" i="58"/>
  <c r="AB178" i="58"/>
  <c r="AC178" i="58"/>
  <c r="AD178" i="58"/>
  <c r="AE178" i="58"/>
  <c r="AF178" i="58"/>
  <c r="AG178" i="58"/>
  <c r="AH178" i="58"/>
  <c r="AI178" i="58"/>
  <c r="AJ178" i="58"/>
  <c r="AK178" i="58"/>
  <c r="AL178" i="58"/>
  <c r="AM178" i="58"/>
  <c r="AN178" i="58"/>
  <c r="AO178" i="58"/>
  <c r="AP178" i="58"/>
  <c r="AQ178" i="58"/>
  <c r="AR178" i="58"/>
  <c r="AS178" i="58"/>
  <c r="AT178" i="58"/>
  <c r="AU178" i="58"/>
  <c r="AV178" i="58"/>
  <c r="AW178" i="58"/>
  <c r="AX178" i="58"/>
  <c r="AY178" i="58"/>
  <c r="AZ178" i="58"/>
  <c r="BA178" i="58"/>
  <c r="BB178" i="58"/>
  <c r="BC178" i="58"/>
  <c r="BD178" i="58"/>
  <c r="BE178" i="58"/>
  <c r="BF178" i="58"/>
  <c r="BG178" i="58"/>
  <c r="BH178" i="58"/>
  <c r="BI178" i="58"/>
  <c r="D179" i="58"/>
  <c r="E179" i="58"/>
  <c r="F179" i="58"/>
  <c r="G179" i="58"/>
  <c r="H179" i="58"/>
  <c r="I179" i="58"/>
  <c r="J179" i="58"/>
  <c r="K179" i="58"/>
  <c r="L179" i="58"/>
  <c r="M179" i="58"/>
  <c r="N179" i="58"/>
  <c r="O179" i="58"/>
  <c r="P179" i="58"/>
  <c r="Q179" i="58"/>
  <c r="R179" i="58"/>
  <c r="S179" i="58"/>
  <c r="T179" i="58"/>
  <c r="U179" i="58"/>
  <c r="V179" i="58"/>
  <c r="W179" i="58"/>
  <c r="X179" i="58"/>
  <c r="Y179" i="58"/>
  <c r="Z179" i="58"/>
  <c r="AA179" i="58"/>
  <c r="AB179" i="58"/>
  <c r="AC179" i="58"/>
  <c r="AD179" i="58"/>
  <c r="AE179" i="58"/>
  <c r="AF179" i="58"/>
  <c r="AG179" i="58"/>
  <c r="AH179" i="58"/>
  <c r="AI179" i="58"/>
  <c r="AJ179" i="58"/>
  <c r="AK179" i="58"/>
  <c r="AL179" i="58"/>
  <c r="AM179" i="58"/>
  <c r="AN179" i="58"/>
  <c r="AO179" i="58"/>
  <c r="AP179" i="58"/>
  <c r="AQ179" i="58"/>
  <c r="AR179" i="58"/>
  <c r="AS179" i="58"/>
  <c r="AT179" i="58"/>
  <c r="AU179" i="58"/>
  <c r="AV179" i="58"/>
  <c r="AW179" i="58"/>
  <c r="AX179" i="58"/>
  <c r="AY179" i="58"/>
  <c r="AZ179" i="58"/>
  <c r="BA179" i="58"/>
  <c r="BB179" i="58"/>
  <c r="BC179" i="58"/>
  <c r="BD179" i="58"/>
  <c r="BE179" i="58"/>
  <c r="BF179" i="58"/>
  <c r="BG179" i="58"/>
  <c r="BH179" i="58"/>
  <c r="BI179" i="58"/>
  <c r="D180" i="58"/>
  <c r="E180" i="58"/>
  <c r="F180" i="58"/>
  <c r="G180" i="58"/>
  <c r="H180" i="58"/>
  <c r="I180" i="58"/>
  <c r="J180" i="58"/>
  <c r="K180" i="58"/>
  <c r="L180" i="58"/>
  <c r="M180" i="58"/>
  <c r="N180" i="58"/>
  <c r="O180" i="58"/>
  <c r="P180" i="58"/>
  <c r="Q180" i="58"/>
  <c r="R180" i="58"/>
  <c r="S180" i="58"/>
  <c r="T180" i="58"/>
  <c r="U180" i="58"/>
  <c r="V180" i="58"/>
  <c r="W180" i="58"/>
  <c r="X180" i="58"/>
  <c r="Y180" i="58"/>
  <c r="Z180" i="58"/>
  <c r="AA180" i="58"/>
  <c r="AB180" i="58"/>
  <c r="AC180" i="58"/>
  <c r="AD180" i="58"/>
  <c r="AE180" i="58"/>
  <c r="AF180" i="58"/>
  <c r="AG180" i="58"/>
  <c r="AH180" i="58"/>
  <c r="AI180" i="58"/>
  <c r="AJ180" i="58"/>
  <c r="AK180" i="58"/>
  <c r="AL180" i="58"/>
  <c r="AM180" i="58"/>
  <c r="AN180" i="58"/>
  <c r="AO180" i="58"/>
  <c r="AP180" i="58"/>
  <c r="AQ180" i="58"/>
  <c r="AR180" i="58"/>
  <c r="AS180" i="58"/>
  <c r="AT180" i="58"/>
  <c r="AU180" i="58"/>
  <c r="AV180" i="58"/>
  <c r="AW180" i="58"/>
  <c r="AX180" i="58"/>
  <c r="AY180" i="58"/>
  <c r="AZ180" i="58"/>
  <c r="BA180" i="58"/>
  <c r="BB180" i="58"/>
  <c r="BC180" i="58"/>
  <c r="BD180" i="58"/>
  <c r="BE180" i="58"/>
  <c r="BF180" i="58"/>
  <c r="BG180" i="58"/>
  <c r="BH180" i="58"/>
  <c r="BI180" i="58"/>
  <c r="D181" i="58"/>
  <c r="E181" i="58"/>
  <c r="F181" i="58"/>
  <c r="G181" i="58"/>
  <c r="H181" i="58"/>
  <c r="I181" i="58"/>
  <c r="J181" i="58"/>
  <c r="K181" i="58"/>
  <c r="L181" i="58"/>
  <c r="M181" i="58"/>
  <c r="N181" i="58"/>
  <c r="O181" i="58"/>
  <c r="P181" i="58"/>
  <c r="Q181" i="58"/>
  <c r="R181" i="58"/>
  <c r="S181" i="58"/>
  <c r="T181" i="58"/>
  <c r="U181" i="58"/>
  <c r="V181" i="58"/>
  <c r="W181" i="58"/>
  <c r="X181" i="58"/>
  <c r="Y181" i="58"/>
  <c r="Z181" i="58"/>
  <c r="AA181" i="58"/>
  <c r="AB181" i="58"/>
  <c r="AC181" i="58"/>
  <c r="AD181" i="58"/>
  <c r="AE181" i="58"/>
  <c r="AF181" i="58"/>
  <c r="AG181" i="58"/>
  <c r="AH181" i="58"/>
  <c r="AI181" i="58"/>
  <c r="AJ181" i="58"/>
  <c r="AK181" i="58"/>
  <c r="AL181" i="58"/>
  <c r="AM181" i="58"/>
  <c r="AN181" i="58"/>
  <c r="AO181" i="58"/>
  <c r="AP181" i="58"/>
  <c r="AQ181" i="58"/>
  <c r="AR181" i="58"/>
  <c r="AS181" i="58"/>
  <c r="AT181" i="58"/>
  <c r="AU181" i="58"/>
  <c r="AV181" i="58"/>
  <c r="AW181" i="58"/>
  <c r="AX181" i="58"/>
  <c r="AY181" i="58"/>
  <c r="AZ181" i="58"/>
  <c r="BA181" i="58"/>
  <c r="BB181" i="58"/>
  <c r="BC181" i="58"/>
  <c r="BD181" i="58"/>
  <c r="BE181" i="58"/>
  <c r="BF181" i="58"/>
  <c r="BG181" i="58"/>
  <c r="BH181" i="58"/>
  <c r="BI181" i="58"/>
  <c r="D182" i="58"/>
  <c r="E182" i="58"/>
  <c r="F182" i="58"/>
  <c r="G182" i="58"/>
  <c r="H182" i="58"/>
  <c r="I182" i="58"/>
  <c r="J182" i="58"/>
  <c r="K182" i="58"/>
  <c r="L182" i="58"/>
  <c r="M182" i="58"/>
  <c r="N182" i="58"/>
  <c r="O182" i="58"/>
  <c r="P182" i="58"/>
  <c r="Q182" i="58"/>
  <c r="R182" i="58"/>
  <c r="S182" i="58"/>
  <c r="T182" i="58"/>
  <c r="U182" i="58"/>
  <c r="V182" i="58"/>
  <c r="W182" i="58"/>
  <c r="X182" i="58"/>
  <c r="Y182" i="58"/>
  <c r="Z182" i="58"/>
  <c r="AA182" i="58"/>
  <c r="AB182" i="58"/>
  <c r="AC182" i="58"/>
  <c r="AD182" i="58"/>
  <c r="AE182" i="58"/>
  <c r="AF182" i="58"/>
  <c r="AG182" i="58"/>
  <c r="AH182" i="58"/>
  <c r="AI182" i="58"/>
  <c r="AJ182" i="58"/>
  <c r="AK182" i="58"/>
  <c r="AL182" i="58"/>
  <c r="AM182" i="58"/>
  <c r="AN182" i="58"/>
  <c r="AO182" i="58"/>
  <c r="AP182" i="58"/>
  <c r="AQ182" i="58"/>
  <c r="AR182" i="58"/>
  <c r="AS182" i="58"/>
  <c r="AT182" i="58"/>
  <c r="AU182" i="58"/>
  <c r="AV182" i="58"/>
  <c r="AW182" i="58"/>
  <c r="AX182" i="58"/>
  <c r="AY182" i="58"/>
  <c r="AZ182" i="58"/>
  <c r="BA182" i="58"/>
  <c r="BB182" i="58"/>
  <c r="BC182" i="58"/>
  <c r="BD182" i="58"/>
  <c r="BE182" i="58"/>
  <c r="BF182" i="58"/>
  <c r="BG182" i="58"/>
  <c r="BH182" i="58"/>
  <c r="BI182" i="58"/>
  <c r="D183" i="58"/>
  <c r="E183" i="58"/>
  <c r="F183" i="58"/>
  <c r="G183" i="58"/>
  <c r="H183" i="58"/>
  <c r="I183" i="58"/>
  <c r="J183" i="58"/>
  <c r="K183" i="58"/>
  <c r="L183" i="58"/>
  <c r="M183" i="58"/>
  <c r="N183" i="58"/>
  <c r="O183" i="58"/>
  <c r="P183" i="58"/>
  <c r="Q183" i="58"/>
  <c r="R183" i="58"/>
  <c r="S183" i="58"/>
  <c r="T183" i="58"/>
  <c r="U183" i="58"/>
  <c r="V183" i="58"/>
  <c r="W183" i="58"/>
  <c r="X183" i="58"/>
  <c r="Y183" i="58"/>
  <c r="Z183" i="58"/>
  <c r="AA183" i="58"/>
  <c r="AB183" i="58"/>
  <c r="AC183" i="58"/>
  <c r="AD183" i="58"/>
  <c r="AE183" i="58"/>
  <c r="AF183" i="58"/>
  <c r="AG183" i="58"/>
  <c r="AH183" i="58"/>
  <c r="AI183" i="58"/>
  <c r="AJ183" i="58"/>
  <c r="AK183" i="58"/>
  <c r="AL183" i="58"/>
  <c r="AM183" i="58"/>
  <c r="AN183" i="58"/>
  <c r="AO183" i="58"/>
  <c r="AP183" i="58"/>
  <c r="AQ183" i="58"/>
  <c r="AR183" i="58"/>
  <c r="AS183" i="58"/>
  <c r="AT183" i="58"/>
  <c r="AU183" i="58"/>
  <c r="AV183" i="58"/>
  <c r="AW183" i="58"/>
  <c r="AX183" i="58"/>
  <c r="AY183" i="58"/>
  <c r="AZ183" i="58"/>
  <c r="BA183" i="58"/>
  <c r="BB183" i="58"/>
  <c r="BC183" i="58"/>
  <c r="BD183" i="58"/>
  <c r="BE183" i="58"/>
  <c r="BF183" i="58"/>
  <c r="BG183" i="58"/>
  <c r="BH183" i="58"/>
  <c r="BI183" i="58"/>
  <c r="D184" i="58"/>
  <c r="E184" i="58"/>
  <c r="F184" i="58"/>
  <c r="G184" i="58"/>
  <c r="H184" i="58"/>
  <c r="I184" i="58"/>
  <c r="J184" i="58"/>
  <c r="K184" i="58"/>
  <c r="L184" i="58"/>
  <c r="M184" i="58"/>
  <c r="N184" i="58"/>
  <c r="O184" i="58"/>
  <c r="P184" i="58"/>
  <c r="Q184" i="58"/>
  <c r="R184" i="58"/>
  <c r="S184" i="58"/>
  <c r="T184" i="58"/>
  <c r="U184" i="58"/>
  <c r="V184" i="58"/>
  <c r="W184" i="58"/>
  <c r="X184" i="58"/>
  <c r="Y184" i="58"/>
  <c r="Z184" i="58"/>
  <c r="AA184" i="58"/>
  <c r="AB184" i="58"/>
  <c r="AC184" i="58"/>
  <c r="AD184" i="58"/>
  <c r="AE184" i="58"/>
  <c r="AF184" i="58"/>
  <c r="AG184" i="58"/>
  <c r="AH184" i="58"/>
  <c r="AI184" i="58"/>
  <c r="AJ184" i="58"/>
  <c r="AK184" i="58"/>
  <c r="AL184" i="58"/>
  <c r="AM184" i="58"/>
  <c r="AN184" i="58"/>
  <c r="AO184" i="58"/>
  <c r="AP184" i="58"/>
  <c r="AQ184" i="58"/>
  <c r="AR184" i="58"/>
  <c r="AS184" i="58"/>
  <c r="AT184" i="58"/>
  <c r="AU184" i="58"/>
  <c r="AV184" i="58"/>
  <c r="AW184" i="58"/>
  <c r="AX184" i="58"/>
  <c r="AY184" i="58"/>
  <c r="AZ184" i="58"/>
  <c r="BA184" i="58"/>
  <c r="BB184" i="58"/>
  <c r="BC184" i="58"/>
  <c r="BD184" i="58"/>
  <c r="BE184" i="58"/>
  <c r="BF184" i="58"/>
  <c r="BG184" i="58"/>
  <c r="BH184" i="58"/>
  <c r="BI184" i="58"/>
  <c r="D185" i="58"/>
  <c r="E185" i="58"/>
  <c r="F185" i="58"/>
  <c r="G185" i="58"/>
  <c r="H185" i="58"/>
  <c r="I185" i="58"/>
  <c r="J185" i="58"/>
  <c r="K185" i="58"/>
  <c r="L185" i="58"/>
  <c r="M185" i="58"/>
  <c r="N185" i="58"/>
  <c r="O185" i="58"/>
  <c r="P185" i="58"/>
  <c r="Q185" i="58"/>
  <c r="R185" i="58"/>
  <c r="S185" i="58"/>
  <c r="T185" i="58"/>
  <c r="U185" i="58"/>
  <c r="V185" i="58"/>
  <c r="W185" i="58"/>
  <c r="X185" i="58"/>
  <c r="Y185" i="58"/>
  <c r="Z185" i="58"/>
  <c r="AA185" i="58"/>
  <c r="AB185" i="58"/>
  <c r="AC185" i="58"/>
  <c r="AD185" i="58"/>
  <c r="AE185" i="58"/>
  <c r="AF185" i="58"/>
  <c r="AG185" i="58"/>
  <c r="AH185" i="58"/>
  <c r="AI185" i="58"/>
  <c r="AJ185" i="58"/>
  <c r="AK185" i="58"/>
  <c r="AL185" i="58"/>
  <c r="AM185" i="58"/>
  <c r="AN185" i="58"/>
  <c r="AO185" i="58"/>
  <c r="AP185" i="58"/>
  <c r="AQ185" i="58"/>
  <c r="AR185" i="58"/>
  <c r="AS185" i="58"/>
  <c r="AT185" i="58"/>
  <c r="AU185" i="58"/>
  <c r="AV185" i="58"/>
  <c r="AW185" i="58"/>
  <c r="AX185" i="58"/>
  <c r="AY185" i="58"/>
  <c r="AZ185" i="58"/>
  <c r="BA185" i="58"/>
  <c r="BB185" i="58"/>
  <c r="BC185" i="58"/>
  <c r="BD185" i="58"/>
  <c r="BE185" i="58"/>
  <c r="BF185" i="58"/>
  <c r="BG185" i="58"/>
  <c r="BH185" i="58"/>
  <c r="BI185" i="58"/>
  <c r="D186" i="58"/>
  <c r="E186" i="58"/>
  <c r="F186" i="58"/>
  <c r="G186" i="58"/>
  <c r="H186" i="58"/>
  <c r="I186" i="58"/>
  <c r="J186" i="58"/>
  <c r="K186" i="58"/>
  <c r="L186" i="58"/>
  <c r="M186" i="58"/>
  <c r="N186" i="58"/>
  <c r="O186" i="58"/>
  <c r="P186" i="58"/>
  <c r="Q186" i="58"/>
  <c r="R186" i="58"/>
  <c r="S186" i="58"/>
  <c r="T186" i="58"/>
  <c r="U186" i="58"/>
  <c r="V186" i="58"/>
  <c r="W186" i="58"/>
  <c r="X186" i="58"/>
  <c r="Y186" i="58"/>
  <c r="Z186" i="58"/>
  <c r="AA186" i="58"/>
  <c r="AB186" i="58"/>
  <c r="AC186" i="58"/>
  <c r="AD186" i="58"/>
  <c r="AE186" i="58"/>
  <c r="AF186" i="58"/>
  <c r="AG186" i="58"/>
  <c r="AH186" i="58"/>
  <c r="AI186" i="58"/>
  <c r="AJ186" i="58"/>
  <c r="AK186" i="58"/>
  <c r="AL186" i="58"/>
  <c r="AM186" i="58"/>
  <c r="AN186" i="58"/>
  <c r="AO186" i="58"/>
  <c r="AP186" i="58"/>
  <c r="AQ186" i="58"/>
  <c r="AR186" i="58"/>
  <c r="AS186" i="58"/>
  <c r="AT186" i="58"/>
  <c r="AU186" i="58"/>
  <c r="AV186" i="58"/>
  <c r="AW186" i="58"/>
  <c r="AX186" i="58"/>
  <c r="AY186" i="58"/>
  <c r="AZ186" i="58"/>
  <c r="BA186" i="58"/>
  <c r="BB186" i="58"/>
  <c r="BC186" i="58"/>
  <c r="BD186" i="58"/>
  <c r="BE186" i="58"/>
  <c r="BF186" i="58"/>
  <c r="BG186" i="58"/>
  <c r="BH186" i="58"/>
  <c r="BI186" i="58"/>
  <c r="D187" i="58"/>
  <c r="E187" i="58"/>
  <c r="F187" i="58"/>
  <c r="G187" i="58"/>
  <c r="H187" i="58"/>
  <c r="I187" i="58"/>
  <c r="J187" i="58"/>
  <c r="K187" i="58"/>
  <c r="L187" i="58"/>
  <c r="M187" i="58"/>
  <c r="N187" i="58"/>
  <c r="O187" i="58"/>
  <c r="P187" i="58"/>
  <c r="Q187" i="58"/>
  <c r="R187" i="58"/>
  <c r="S187" i="58"/>
  <c r="T187" i="58"/>
  <c r="U187" i="58"/>
  <c r="V187" i="58"/>
  <c r="W187" i="58"/>
  <c r="X187" i="58"/>
  <c r="Y187" i="58"/>
  <c r="Z187" i="58"/>
  <c r="AA187" i="58"/>
  <c r="AB187" i="58"/>
  <c r="AC187" i="58"/>
  <c r="AD187" i="58"/>
  <c r="AE187" i="58"/>
  <c r="AF187" i="58"/>
  <c r="AG187" i="58"/>
  <c r="AH187" i="58"/>
  <c r="AI187" i="58"/>
  <c r="AJ187" i="58"/>
  <c r="AK187" i="58"/>
  <c r="AL187" i="58"/>
  <c r="AM187" i="58"/>
  <c r="AN187" i="58"/>
  <c r="AO187" i="58"/>
  <c r="AP187" i="58"/>
  <c r="AQ187" i="58"/>
  <c r="AR187" i="58"/>
  <c r="AS187" i="58"/>
  <c r="AT187" i="58"/>
  <c r="AU187" i="58"/>
  <c r="AV187" i="58"/>
  <c r="AW187" i="58"/>
  <c r="AX187" i="58"/>
  <c r="AY187" i="58"/>
  <c r="AZ187" i="58"/>
  <c r="BA187" i="58"/>
  <c r="BB187" i="58"/>
  <c r="BC187" i="58"/>
  <c r="BD187" i="58"/>
  <c r="BE187" i="58"/>
  <c r="BF187" i="58"/>
  <c r="BG187" i="58"/>
  <c r="BH187" i="58"/>
  <c r="BI187" i="58"/>
  <c r="D188" i="58"/>
  <c r="E188" i="58"/>
  <c r="F188" i="58"/>
  <c r="G188" i="58"/>
  <c r="H188" i="58"/>
  <c r="I188" i="58"/>
  <c r="J188" i="58"/>
  <c r="K188" i="58"/>
  <c r="L188" i="58"/>
  <c r="M188" i="58"/>
  <c r="N188" i="58"/>
  <c r="O188" i="58"/>
  <c r="P188" i="58"/>
  <c r="Q188" i="58"/>
  <c r="R188" i="58"/>
  <c r="S188" i="58"/>
  <c r="T188" i="58"/>
  <c r="U188" i="58"/>
  <c r="V188" i="58"/>
  <c r="W188" i="58"/>
  <c r="X188" i="58"/>
  <c r="Y188" i="58"/>
  <c r="Z188" i="58"/>
  <c r="AA188" i="58"/>
  <c r="AB188" i="58"/>
  <c r="AC188" i="58"/>
  <c r="AD188" i="58"/>
  <c r="AE188" i="58"/>
  <c r="AF188" i="58"/>
  <c r="AG188" i="58"/>
  <c r="AH188" i="58"/>
  <c r="AI188" i="58"/>
  <c r="AJ188" i="58"/>
  <c r="AK188" i="58"/>
  <c r="AL188" i="58"/>
  <c r="AM188" i="58"/>
  <c r="AN188" i="58"/>
  <c r="AO188" i="58"/>
  <c r="AP188" i="58"/>
  <c r="AQ188" i="58"/>
  <c r="AR188" i="58"/>
  <c r="AS188" i="58"/>
  <c r="AT188" i="58"/>
  <c r="AU188" i="58"/>
  <c r="AV188" i="58"/>
  <c r="AW188" i="58"/>
  <c r="AX188" i="58"/>
  <c r="AY188" i="58"/>
  <c r="AZ188" i="58"/>
  <c r="BA188" i="58"/>
  <c r="BB188" i="58"/>
  <c r="BC188" i="58"/>
  <c r="BD188" i="58"/>
  <c r="BE188" i="58"/>
  <c r="BF188" i="58"/>
  <c r="BG188" i="58"/>
  <c r="BH188" i="58"/>
  <c r="BI188" i="58"/>
  <c r="D189" i="58"/>
  <c r="E189" i="58"/>
  <c r="F189" i="58"/>
  <c r="G189" i="58"/>
  <c r="H189" i="58"/>
  <c r="I189" i="58"/>
  <c r="J189" i="58"/>
  <c r="K189" i="58"/>
  <c r="L189" i="58"/>
  <c r="M189" i="58"/>
  <c r="N189" i="58"/>
  <c r="O189" i="58"/>
  <c r="P189" i="58"/>
  <c r="Q189" i="58"/>
  <c r="R189" i="58"/>
  <c r="S189" i="58"/>
  <c r="T189" i="58"/>
  <c r="U189" i="58"/>
  <c r="V189" i="58"/>
  <c r="W189" i="58"/>
  <c r="X189" i="58"/>
  <c r="Y189" i="58"/>
  <c r="Z189" i="58"/>
  <c r="AA189" i="58"/>
  <c r="AB189" i="58"/>
  <c r="AC189" i="58"/>
  <c r="AD189" i="58"/>
  <c r="AE189" i="58"/>
  <c r="AF189" i="58"/>
  <c r="AG189" i="58"/>
  <c r="AH189" i="58"/>
  <c r="AI189" i="58"/>
  <c r="AJ189" i="58"/>
  <c r="AK189" i="58"/>
  <c r="AL189" i="58"/>
  <c r="AM189" i="58"/>
  <c r="AN189" i="58"/>
  <c r="AO189" i="58"/>
  <c r="AP189" i="58"/>
  <c r="AQ189" i="58"/>
  <c r="AR189" i="58"/>
  <c r="AS189" i="58"/>
  <c r="AT189" i="58"/>
  <c r="AU189" i="58"/>
  <c r="AV189" i="58"/>
  <c r="AW189" i="58"/>
  <c r="AX189" i="58"/>
  <c r="AY189" i="58"/>
  <c r="AZ189" i="58"/>
  <c r="BA189" i="58"/>
  <c r="BB189" i="58"/>
  <c r="BC189" i="58"/>
  <c r="BD189" i="58"/>
  <c r="BE189" i="58"/>
  <c r="BF189" i="58"/>
  <c r="BG189" i="58"/>
  <c r="BH189" i="58"/>
  <c r="BI189" i="58"/>
  <c r="D190" i="58"/>
  <c r="E190" i="58"/>
  <c r="F190" i="58"/>
  <c r="G190" i="58"/>
  <c r="H190" i="58"/>
  <c r="I190" i="58"/>
  <c r="J190" i="58"/>
  <c r="K190" i="58"/>
  <c r="L190" i="58"/>
  <c r="M190" i="58"/>
  <c r="N190" i="58"/>
  <c r="O190" i="58"/>
  <c r="P190" i="58"/>
  <c r="Q190" i="58"/>
  <c r="R190" i="58"/>
  <c r="S190" i="58"/>
  <c r="T190" i="58"/>
  <c r="U190" i="58"/>
  <c r="V190" i="58"/>
  <c r="W190" i="58"/>
  <c r="X190" i="58"/>
  <c r="Y190" i="58"/>
  <c r="Z190" i="58"/>
  <c r="AA190" i="58"/>
  <c r="AB190" i="58"/>
  <c r="AC190" i="58"/>
  <c r="AD190" i="58"/>
  <c r="AE190" i="58"/>
  <c r="AF190" i="58"/>
  <c r="AG190" i="58"/>
  <c r="AH190" i="58"/>
  <c r="AI190" i="58"/>
  <c r="AJ190" i="58"/>
  <c r="AK190" i="58"/>
  <c r="AL190" i="58"/>
  <c r="AM190" i="58"/>
  <c r="AN190" i="58"/>
  <c r="AO190" i="58"/>
  <c r="AP190" i="58"/>
  <c r="AQ190" i="58"/>
  <c r="AR190" i="58"/>
  <c r="AS190" i="58"/>
  <c r="AT190" i="58"/>
  <c r="AU190" i="58"/>
  <c r="AV190" i="58"/>
  <c r="AW190" i="58"/>
  <c r="AX190" i="58"/>
  <c r="AY190" i="58"/>
  <c r="AZ190" i="58"/>
  <c r="BA190" i="58"/>
  <c r="BB190" i="58"/>
  <c r="BC190" i="58"/>
  <c r="BD190" i="58"/>
  <c r="BE190" i="58"/>
  <c r="BF190" i="58"/>
  <c r="BG190" i="58"/>
  <c r="BH190" i="58"/>
  <c r="BI190" i="58"/>
  <c r="D191" i="58"/>
  <c r="E191" i="58"/>
  <c r="F191" i="58"/>
  <c r="G191" i="58"/>
  <c r="H191" i="58"/>
  <c r="I191" i="58"/>
  <c r="J191" i="58"/>
  <c r="K191" i="58"/>
  <c r="L191" i="58"/>
  <c r="M191" i="58"/>
  <c r="N191" i="58"/>
  <c r="O191" i="58"/>
  <c r="P191" i="58"/>
  <c r="Q191" i="58"/>
  <c r="R191" i="58"/>
  <c r="S191" i="58"/>
  <c r="T191" i="58"/>
  <c r="U191" i="58"/>
  <c r="V191" i="58"/>
  <c r="W191" i="58"/>
  <c r="X191" i="58"/>
  <c r="Y191" i="58"/>
  <c r="Z191" i="58"/>
  <c r="AA191" i="58"/>
  <c r="AB191" i="58"/>
  <c r="AC191" i="58"/>
  <c r="AD191" i="58"/>
  <c r="AE191" i="58"/>
  <c r="AF191" i="58"/>
  <c r="AG191" i="58"/>
  <c r="AH191" i="58"/>
  <c r="AI191" i="58"/>
  <c r="AJ191" i="58"/>
  <c r="AK191" i="58"/>
  <c r="AL191" i="58"/>
  <c r="AM191" i="58"/>
  <c r="AN191" i="58"/>
  <c r="AO191" i="58"/>
  <c r="AP191" i="58"/>
  <c r="AQ191" i="58"/>
  <c r="AR191" i="58"/>
  <c r="AS191" i="58"/>
  <c r="AT191" i="58"/>
  <c r="AU191" i="58"/>
  <c r="AV191" i="58"/>
  <c r="AW191" i="58"/>
  <c r="AX191" i="58"/>
  <c r="AY191" i="58"/>
  <c r="AZ191" i="58"/>
  <c r="BA191" i="58"/>
  <c r="BB191" i="58"/>
  <c r="BC191" i="58"/>
  <c r="BD191" i="58"/>
  <c r="BE191" i="58"/>
  <c r="BF191" i="58"/>
  <c r="BG191" i="58"/>
  <c r="BH191" i="58"/>
  <c r="BI191" i="58"/>
  <c r="D192" i="58"/>
  <c r="E192" i="58"/>
  <c r="F192" i="58"/>
  <c r="G192" i="58"/>
  <c r="H192" i="58"/>
  <c r="I192" i="58"/>
  <c r="J192" i="58"/>
  <c r="K192" i="58"/>
  <c r="L192" i="58"/>
  <c r="M192" i="58"/>
  <c r="N192" i="58"/>
  <c r="O192" i="58"/>
  <c r="P192" i="58"/>
  <c r="Q192" i="58"/>
  <c r="R192" i="58"/>
  <c r="S192" i="58"/>
  <c r="T192" i="58"/>
  <c r="U192" i="58"/>
  <c r="V192" i="58"/>
  <c r="W192" i="58"/>
  <c r="X192" i="58"/>
  <c r="Y192" i="58"/>
  <c r="Z192" i="58"/>
  <c r="AA192" i="58"/>
  <c r="AB192" i="58"/>
  <c r="AC192" i="58"/>
  <c r="AD192" i="58"/>
  <c r="AE192" i="58"/>
  <c r="AF192" i="58"/>
  <c r="AG192" i="58"/>
  <c r="AH192" i="58"/>
  <c r="AI192" i="58"/>
  <c r="AJ192" i="58"/>
  <c r="AK192" i="58"/>
  <c r="AL192" i="58"/>
  <c r="AM192" i="58"/>
  <c r="AN192" i="58"/>
  <c r="AO192" i="58"/>
  <c r="AP192" i="58"/>
  <c r="AQ192" i="58"/>
  <c r="AR192" i="58"/>
  <c r="AS192" i="58"/>
  <c r="AT192" i="58"/>
  <c r="AU192" i="58"/>
  <c r="AV192" i="58"/>
  <c r="AW192" i="58"/>
  <c r="AX192" i="58"/>
  <c r="AY192" i="58"/>
  <c r="AZ192" i="58"/>
  <c r="BA192" i="58"/>
  <c r="BB192" i="58"/>
  <c r="BC192" i="58"/>
  <c r="BD192" i="58"/>
  <c r="BE192" i="58"/>
  <c r="BF192" i="58"/>
  <c r="BG192" i="58"/>
  <c r="BH192" i="58"/>
  <c r="BI192" i="58"/>
  <c r="D193" i="58"/>
  <c r="E193" i="58"/>
  <c r="F193" i="58"/>
  <c r="G193" i="58"/>
  <c r="H193" i="58"/>
  <c r="I193" i="58"/>
  <c r="J193" i="58"/>
  <c r="K193" i="58"/>
  <c r="L193" i="58"/>
  <c r="M193" i="58"/>
  <c r="N193" i="58"/>
  <c r="O193" i="58"/>
  <c r="P193" i="58"/>
  <c r="Q193" i="58"/>
  <c r="R193" i="58"/>
  <c r="S193" i="58"/>
  <c r="T193" i="58"/>
  <c r="U193" i="58"/>
  <c r="V193" i="58"/>
  <c r="W193" i="58"/>
  <c r="X193" i="58"/>
  <c r="Y193" i="58"/>
  <c r="Z193" i="58"/>
  <c r="AA193" i="58"/>
  <c r="AB193" i="58"/>
  <c r="AC193" i="58"/>
  <c r="AD193" i="58"/>
  <c r="AE193" i="58"/>
  <c r="AF193" i="58"/>
  <c r="AG193" i="58"/>
  <c r="AH193" i="58"/>
  <c r="AI193" i="58"/>
  <c r="AJ193" i="58"/>
  <c r="AK193" i="58"/>
  <c r="AL193" i="58"/>
  <c r="AM193" i="58"/>
  <c r="AN193" i="58"/>
  <c r="AO193" i="58"/>
  <c r="AP193" i="58"/>
  <c r="AQ193" i="58"/>
  <c r="AR193" i="58"/>
  <c r="AS193" i="58"/>
  <c r="AT193" i="58"/>
  <c r="AU193" i="58"/>
  <c r="AV193" i="58"/>
  <c r="AW193" i="58"/>
  <c r="AX193" i="58"/>
  <c r="AY193" i="58"/>
  <c r="AZ193" i="58"/>
  <c r="BA193" i="58"/>
  <c r="BB193" i="58"/>
  <c r="BC193" i="58"/>
  <c r="BD193" i="58"/>
  <c r="BE193" i="58"/>
  <c r="BF193" i="58"/>
  <c r="BG193" i="58"/>
  <c r="BH193" i="58"/>
  <c r="BI193" i="58"/>
  <c r="D194" i="58"/>
  <c r="E194" i="58"/>
  <c r="F194" i="58"/>
  <c r="G194" i="58"/>
  <c r="H194" i="58"/>
  <c r="I194" i="58"/>
  <c r="J194" i="58"/>
  <c r="K194" i="58"/>
  <c r="L194" i="58"/>
  <c r="M194" i="58"/>
  <c r="N194" i="58"/>
  <c r="O194" i="58"/>
  <c r="P194" i="58"/>
  <c r="Q194" i="58"/>
  <c r="R194" i="58"/>
  <c r="S194" i="58"/>
  <c r="T194" i="58"/>
  <c r="U194" i="58"/>
  <c r="V194" i="58"/>
  <c r="W194" i="58"/>
  <c r="X194" i="58"/>
  <c r="Y194" i="58"/>
  <c r="Z194" i="58"/>
  <c r="AA194" i="58"/>
  <c r="AB194" i="58"/>
  <c r="AC194" i="58"/>
  <c r="AD194" i="58"/>
  <c r="AE194" i="58"/>
  <c r="AF194" i="58"/>
  <c r="AG194" i="58"/>
  <c r="AH194" i="58"/>
  <c r="AI194" i="58"/>
  <c r="AJ194" i="58"/>
  <c r="AK194" i="58"/>
  <c r="AL194" i="58"/>
  <c r="AM194" i="58"/>
  <c r="AN194" i="58"/>
  <c r="AO194" i="58"/>
  <c r="AP194" i="58"/>
  <c r="AQ194" i="58"/>
  <c r="AR194" i="58"/>
  <c r="AS194" i="58"/>
  <c r="AT194" i="58"/>
  <c r="AU194" i="58"/>
  <c r="AV194" i="58"/>
  <c r="AW194" i="58"/>
  <c r="AX194" i="58"/>
  <c r="AY194" i="58"/>
  <c r="AZ194" i="58"/>
  <c r="BA194" i="58"/>
  <c r="BB194" i="58"/>
  <c r="BC194" i="58"/>
  <c r="BD194" i="58"/>
  <c r="BE194" i="58"/>
  <c r="BF194" i="58"/>
  <c r="BG194" i="58"/>
  <c r="BH194" i="58"/>
  <c r="BI194" i="58"/>
  <c r="D195" i="58"/>
  <c r="E195" i="58"/>
  <c r="F195" i="58"/>
  <c r="G195" i="58"/>
  <c r="H195" i="58"/>
  <c r="I195" i="58"/>
  <c r="J195" i="58"/>
  <c r="K195" i="58"/>
  <c r="L195" i="58"/>
  <c r="M195" i="58"/>
  <c r="N195" i="58"/>
  <c r="O195" i="58"/>
  <c r="P195" i="58"/>
  <c r="Q195" i="58"/>
  <c r="R195" i="58"/>
  <c r="S195" i="58"/>
  <c r="T195" i="58"/>
  <c r="U195" i="58"/>
  <c r="V195" i="58"/>
  <c r="W195" i="58"/>
  <c r="X195" i="58"/>
  <c r="Y195" i="58"/>
  <c r="Z195" i="58"/>
  <c r="AA195" i="58"/>
  <c r="AB195" i="58"/>
  <c r="AC195" i="58"/>
  <c r="AD195" i="58"/>
  <c r="AE195" i="58"/>
  <c r="AF195" i="58"/>
  <c r="AG195" i="58"/>
  <c r="AH195" i="58"/>
  <c r="AI195" i="58"/>
  <c r="AJ195" i="58"/>
  <c r="AK195" i="58"/>
  <c r="AL195" i="58"/>
  <c r="AM195" i="58"/>
  <c r="AN195" i="58"/>
  <c r="AO195" i="58"/>
  <c r="AP195" i="58"/>
  <c r="AQ195" i="58"/>
  <c r="AR195" i="58"/>
  <c r="AS195" i="58"/>
  <c r="AT195" i="58"/>
  <c r="AU195" i="58"/>
  <c r="AV195" i="58"/>
  <c r="AW195" i="58"/>
  <c r="AX195" i="58"/>
  <c r="AY195" i="58"/>
  <c r="AZ195" i="58"/>
  <c r="BA195" i="58"/>
  <c r="BB195" i="58"/>
  <c r="BC195" i="58"/>
  <c r="BD195" i="58"/>
  <c r="BE195" i="58"/>
  <c r="BF195" i="58"/>
  <c r="BG195" i="58"/>
  <c r="BH195" i="58"/>
  <c r="BI195" i="58"/>
  <c r="D196" i="58"/>
  <c r="E196" i="58"/>
  <c r="F196" i="58"/>
  <c r="G196" i="58"/>
  <c r="H196" i="58"/>
  <c r="I196" i="58"/>
  <c r="J196" i="58"/>
  <c r="K196" i="58"/>
  <c r="L196" i="58"/>
  <c r="M196" i="58"/>
  <c r="N196" i="58"/>
  <c r="O196" i="58"/>
  <c r="P196" i="58"/>
  <c r="Q196" i="58"/>
  <c r="R196" i="58"/>
  <c r="S196" i="58"/>
  <c r="T196" i="58"/>
  <c r="U196" i="58"/>
  <c r="V196" i="58"/>
  <c r="W196" i="58"/>
  <c r="X196" i="58"/>
  <c r="Y196" i="58"/>
  <c r="Z196" i="58"/>
  <c r="AA196" i="58"/>
  <c r="AB196" i="58"/>
  <c r="AC196" i="58"/>
  <c r="AD196" i="58"/>
  <c r="AE196" i="58"/>
  <c r="AF196" i="58"/>
  <c r="AG196" i="58"/>
  <c r="AH196" i="58"/>
  <c r="AI196" i="58"/>
  <c r="AJ196" i="58"/>
  <c r="AK196" i="58"/>
  <c r="AL196" i="58"/>
  <c r="AM196" i="58"/>
  <c r="AN196" i="58"/>
  <c r="AO196" i="58"/>
  <c r="AP196" i="58"/>
  <c r="AQ196" i="58"/>
  <c r="AR196" i="58"/>
  <c r="AS196" i="58"/>
  <c r="AT196" i="58"/>
  <c r="AU196" i="58"/>
  <c r="AV196" i="58"/>
  <c r="AW196" i="58"/>
  <c r="AX196" i="58"/>
  <c r="AY196" i="58"/>
  <c r="AZ196" i="58"/>
  <c r="BA196" i="58"/>
  <c r="BB196" i="58"/>
  <c r="BC196" i="58"/>
  <c r="BD196" i="58"/>
  <c r="BE196" i="58"/>
  <c r="BF196" i="58"/>
  <c r="BG196" i="58"/>
  <c r="BH196" i="58"/>
  <c r="BI196" i="58"/>
  <c r="D197" i="58"/>
  <c r="E197" i="58"/>
  <c r="F197" i="58"/>
  <c r="G197" i="58"/>
  <c r="H197" i="58"/>
  <c r="I197" i="58"/>
  <c r="J197" i="58"/>
  <c r="K197" i="58"/>
  <c r="L197" i="58"/>
  <c r="M197" i="58"/>
  <c r="N197" i="58"/>
  <c r="O197" i="58"/>
  <c r="P197" i="58"/>
  <c r="Q197" i="58"/>
  <c r="R197" i="58"/>
  <c r="S197" i="58"/>
  <c r="T197" i="58"/>
  <c r="U197" i="58"/>
  <c r="V197" i="58"/>
  <c r="W197" i="58"/>
  <c r="X197" i="58"/>
  <c r="Y197" i="58"/>
  <c r="Z197" i="58"/>
  <c r="AA197" i="58"/>
  <c r="AB197" i="58"/>
  <c r="AC197" i="58"/>
  <c r="AD197" i="58"/>
  <c r="AE197" i="58"/>
  <c r="AF197" i="58"/>
  <c r="AG197" i="58"/>
  <c r="AH197" i="58"/>
  <c r="AI197" i="58"/>
  <c r="AJ197" i="58"/>
  <c r="AK197" i="58"/>
  <c r="AL197" i="58"/>
  <c r="AM197" i="58"/>
  <c r="AN197" i="58"/>
  <c r="AO197" i="58"/>
  <c r="AP197" i="58"/>
  <c r="AQ197" i="58"/>
  <c r="AR197" i="58"/>
  <c r="AS197" i="58"/>
  <c r="AT197" i="58"/>
  <c r="AU197" i="58"/>
  <c r="AV197" i="58"/>
  <c r="AW197" i="58"/>
  <c r="AX197" i="58"/>
  <c r="AY197" i="58"/>
  <c r="AZ197" i="58"/>
  <c r="BA197" i="58"/>
  <c r="BB197" i="58"/>
  <c r="BC197" i="58"/>
  <c r="BD197" i="58"/>
  <c r="BE197" i="58"/>
  <c r="BF197" i="58"/>
  <c r="BG197" i="58"/>
  <c r="BH197" i="58"/>
  <c r="BI197" i="58"/>
  <c r="D198" i="58"/>
  <c r="E198" i="58"/>
  <c r="F198" i="58"/>
  <c r="G198" i="58"/>
  <c r="H198" i="58"/>
  <c r="I198" i="58"/>
  <c r="J198" i="58"/>
  <c r="K198" i="58"/>
  <c r="L198" i="58"/>
  <c r="M198" i="58"/>
  <c r="N198" i="58"/>
  <c r="O198" i="58"/>
  <c r="P198" i="58"/>
  <c r="Q198" i="58"/>
  <c r="R198" i="58"/>
  <c r="S198" i="58"/>
  <c r="T198" i="58"/>
  <c r="U198" i="58"/>
  <c r="V198" i="58"/>
  <c r="W198" i="58"/>
  <c r="X198" i="58"/>
  <c r="Y198" i="58"/>
  <c r="Z198" i="58"/>
  <c r="AA198" i="58"/>
  <c r="AB198" i="58"/>
  <c r="AC198" i="58"/>
  <c r="AD198" i="58"/>
  <c r="AE198" i="58"/>
  <c r="AF198" i="58"/>
  <c r="AG198" i="58"/>
  <c r="AH198" i="58"/>
  <c r="AI198" i="58"/>
  <c r="AJ198" i="58"/>
  <c r="AK198" i="58"/>
  <c r="AL198" i="58"/>
  <c r="AM198" i="58"/>
  <c r="AN198" i="58"/>
  <c r="AO198" i="58"/>
  <c r="AP198" i="58"/>
  <c r="AQ198" i="58"/>
  <c r="AR198" i="58"/>
  <c r="AS198" i="58"/>
  <c r="AT198" i="58"/>
  <c r="AU198" i="58"/>
  <c r="AV198" i="58"/>
  <c r="AW198" i="58"/>
  <c r="AX198" i="58"/>
  <c r="AY198" i="58"/>
  <c r="AZ198" i="58"/>
  <c r="BA198" i="58"/>
  <c r="BB198" i="58"/>
  <c r="BC198" i="58"/>
  <c r="BD198" i="58"/>
  <c r="BE198" i="58"/>
  <c r="BF198" i="58"/>
  <c r="BG198" i="58"/>
  <c r="BH198" i="58"/>
  <c r="BI198" i="58"/>
  <c r="D199" i="58"/>
  <c r="E199" i="58"/>
  <c r="F199" i="58"/>
  <c r="G199" i="58"/>
  <c r="H199" i="58"/>
  <c r="I199" i="58"/>
  <c r="J199" i="58"/>
  <c r="K199" i="58"/>
  <c r="L199" i="58"/>
  <c r="M199" i="58"/>
  <c r="N199" i="58"/>
  <c r="O199" i="58"/>
  <c r="P199" i="58"/>
  <c r="Q199" i="58"/>
  <c r="R199" i="58"/>
  <c r="S199" i="58"/>
  <c r="T199" i="58"/>
  <c r="U199" i="58"/>
  <c r="V199" i="58"/>
  <c r="W199" i="58"/>
  <c r="X199" i="58"/>
  <c r="Y199" i="58"/>
  <c r="Z199" i="58"/>
  <c r="AA199" i="58"/>
  <c r="AB199" i="58"/>
  <c r="AC199" i="58"/>
  <c r="AD199" i="58"/>
  <c r="AE199" i="58"/>
  <c r="AF199" i="58"/>
  <c r="AG199" i="58"/>
  <c r="AH199" i="58"/>
  <c r="AI199" i="58"/>
  <c r="AJ199" i="58"/>
  <c r="AK199" i="58"/>
  <c r="AL199" i="58"/>
  <c r="AM199" i="58"/>
  <c r="AN199" i="58"/>
  <c r="AO199" i="58"/>
  <c r="AP199" i="58"/>
  <c r="AQ199" i="58"/>
  <c r="AR199" i="58"/>
  <c r="AS199" i="58"/>
  <c r="AT199" i="58"/>
  <c r="AU199" i="58"/>
  <c r="AV199" i="58"/>
  <c r="AW199" i="58"/>
  <c r="AX199" i="58"/>
  <c r="AY199" i="58"/>
  <c r="AZ199" i="58"/>
  <c r="BA199" i="58"/>
  <c r="BB199" i="58"/>
  <c r="BC199" i="58"/>
  <c r="BD199" i="58"/>
  <c r="BE199" i="58"/>
  <c r="BF199" i="58"/>
  <c r="BG199" i="58"/>
  <c r="BH199" i="58"/>
  <c r="BI199" i="58"/>
  <c r="D200" i="58"/>
  <c r="E200" i="58"/>
  <c r="F200" i="58"/>
  <c r="G200" i="58"/>
  <c r="H200" i="58"/>
  <c r="I200" i="58"/>
  <c r="J200" i="58"/>
  <c r="K200" i="58"/>
  <c r="L200" i="58"/>
  <c r="M200" i="58"/>
  <c r="N200" i="58"/>
  <c r="O200" i="58"/>
  <c r="P200" i="58"/>
  <c r="Q200" i="58"/>
  <c r="R200" i="58"/>
  <c r="S200" i="58"/>
  <c r="T200" i="58"/>
  <c r="U200" i="58"/>
  <c r="V200" i="58"/>
  <c r="W200" i="58"/>
  <c r="X200" i="58"/>
  <c r="Y200" i="58"/>
  <c r="Z200" i="58"/>
  <c r="AA200" i="58"/>
  <c r="AB200" i="58"/>
  <c r="AC200" i="58"/>
  <c r="AD200" i="58"/>
  <c r="AE200" i="58"/>
  <c r="AF200" i="58"/>
  <c r="AG200" i="58"/>
  <c r="AH200" i="58"/>
  <c r="AI200" i="58"/>
  <c r="AJ200" i="58"/>
  <c r="AK200" i="58"/>
  <c r="AL200" i="58"/>
  <c r="AM200" i="58"/>
  <c r="AN200" i="58"/>
  <c r="AO200" i="58"/>
  <c r="AP200" i="58"/>
  <c r="AQ200" i="58"/>
  <c r="AR200" i="58"/>
  <c r="AS200" i="58"/>
  <c r="AT200" i="58"/>
  <c r="AU200" i="58"/>
  <c r="AV200" i="58"/>
  <c r="AW200" i="58"/>
  <c r="AX200" i="58"/>
  <c r="AY200" i="58"/>
  <c r="AZ200" i="58"/>
  <c r="BA200" i="58"/>
  <c r="BB200" i="58"/>
  <c r="BC200" i="58"/>
  <c r="BD200" i="58"/>
  <c r="BE200" i="58"/>
  <c r="BF200" i="58"/>
  <c r="BG200" i="58"/>
  <c r="BH200" i="58"/>
  <c r="BI200" i="58"/>
  <c r="D201" i="58"/>
  <c r="E201" i="58"/>
  <c r="F201" i="58"/>
  <c r="G201" i="58"/>
  <c r="H201" i="58"/>
  <c r="I201" i="58"/>
  <c r="J201" i="58"/>
  <c r="K201" i="58"/>
  <c r="L201" i="58"/>
  <c r="M201" i="58"/>
  <c r="N201" i="58"/>
  <c r="O201" i="58"/>
  <c r="P201" i="58"/>
  <c r="Q201" i="58"/>
  <c r="R201" i="58"/>
  <c r="S201" i="58"/>
  <c r="T201" i="58"/>
  <c r="U201" i="58"/>
  <c r="V201" i="58"/>
  <c r="W201" i="58"/>
  <c r="X201" i="58"/>
  <c r="Y201" i="58"/>
  <c r="Z201" i="58"/>
  <c r="AA201" i="58"/>
  <c r="AB201" i="58"/>
  <c r="AC201" i="58"/>
  <c r="AD201" i="58"/>
  <c r="AE201" i="58"/>
  <c r="AF201" i="58"/>
  <c r="AG201" i="58"/>
  <c r="AH201" i="58"/>
  <c r="AI201" i="58"/>
  <c r="AJ201" i="58"/>
  <c r="AK201" i="58"/>
  <c r="AL201" i="58"/>
  <c r="AM201" i="58"/>
  <c r="AN201" i="58"/>
  <c r="AO201" i="58"/>
  <c r="AP201" i="58"/>
  <c r="AQ201" i="58"/>
  <c r="AR201" i="58"/>
  <c r="AS201" i="58"/>
  <c r="AT201" i="58"/>
  <c r="AU201" i="58"/>
  <c r="AV201" i="58"/>
  <c r="AW201" i="58"/>
  <c r="AX201" i="58"/>
  <c r="AY201" i="58"/>
  <c r="AZ201" i="58"/>
  <c r="BA201" i="58"/>
  <c r="BB201" i="58"/>
  <c r="BC201" i="58"/>
  <c r="BD201" i="58"/>
  <c r="BE201" i="58"/>
  <c r="BF201" i="58"/>
  <c r="BG201" i="58"/>
  <c r="BH201" i="58"/>
  <c r="BI201" i="58"/>
  <c r="D202" i="58"/>
  <c r="E202" i="58"/>
  <c r="F202" i="58"/>
  <c r="G202" i="58"/>
  <c r="H202" i="58"/>
  <c r="I202" i="58"/>
  <c r="J202" i="58"/>
  <c r="K202" i="58"/>
  <c r="L202" i="58"/>
  <c r="M202" i="58"/>
  <c r="N202" i="58"/>
  <c r="O202" i="58"/>
  <c r="P202" i="58"/>
  <c r="Q202" i="58"/>
  <c r="R202" i="58"/>
  <c r="S202" i="58"/>
  <c r="T202" i="58"/>
  <c r="U202" i="58"/>
  <c r="V202" i="58"/>
  <c r="W202" i="58"/>
  <c r="X202" i="58"/>
  <c r="Y202" i="58"/>
  <c r="Z202" i="58"/>
  <c r="AA202" i="58"/>
  <c r="AB202" i="58"/>
  <c r="AC202" i="58"/>
  <c r="AD202" i="58"/>
  <c r="AE202" i="58"/>
  <c r="AF202" i="58"/>
  <c r="AG202" i="58"/>
  <c r="AH202" i="58"/>
  <c r="AI202" i="58"/>
  <c r="AJ202" i="58"/>
  <c r="AK202" i="58"/>
  <c r="AL202" i="58"/>
  <c r="AM202" i="58"/>
  <c r="AN202" i="58"/>
  <c r="AO202" i="58"/>
  <c r="AP202" i="58"/>
  <c r="AQ202" i="58"/>
  <c r="AR202" i="58"/>
  <c r="AS202" i="58"/>
  <c r="AT202" i="58"/>
  <c r="AU202" i="58"/>
  <c r="AV202" i="58"/>
  <c r="AW202" i="58"/>
  <c r="AX202" i="58"/>
  <c r="AY202" i="58"/>
  <c r="AZ202" i="58"/>
  <c r="BA202" i="58"/>
  <c r="BB202" i="58"/>
  <c r="BC202" i="58"/>
  <c r="BD202" i="58"/>
  <c r="BE202" i="58"/>
  <c r="BF202" i="58"/>
  <c r="BG202" i="58"/>
  <c r="BH202" i="58"/>
  <c r="BI202" i="58"/>
  <c r="D203" i="58"/>
  <c r="E203" i="58"/>
  <c r="F203" i="58"/>
  <c r="G203" i="58"/>
  <c r="H203" i="58"/>
  <c r="I203" i="58"/>
  <c r="J203" i="58"/>
  <c r="K203" i="58"/>
  <c r="L203" i="58"/>
  <c r="M203" i="58"/>
  <c r="N203" i="58"/>
  <c r="O203" i="58"/>
  <c r="P203" i="58"/>
  <c r="Q203" i="58"/>
  <c r="R203" i="58"/>
  <c r="S203" i="58"/>
  <c r="T203" i="58"/>
  <c r="U203" i="58"/>
  <c r="V203" i="58"/>
  <c r="W203" i="58"/>
  <c r="X203" i="58"/>
  <c r="Y203" i="58"/>
  <c r="Z203" i="58"/>
  <c r="AA203" i="58"/>
  <c r="AB203" i="58"/>
  <c r="AC203" i="58"/>
  <c r="AD203" i="58"/>
  <c r="AE203" i="58"/>
  <c r="AF203" i="58"/>
  <c r="AG203" i="58"/>
  <c r="AH203" i="58"/>
  <c r="AI203" i="58"/>
  <c r="AJ203" i="58"/>
  <c r="AK203" i="58"/>
  <c r="AL203" i="58"/>
  <c r="AM203" i="58"/>
  <c r="AN203" i="58"/>
  <c r="AO203" i="58"/>
  <c r="AP203" i="58"/>
  <c r="AQ203" i="58"/>
  <c r="AR203" i="58"/>
  <c r="AS203" i="58"/>
  <c r="AT203" i="58"/>
  <c r="AU203" i="58"/>
  <c r="AV203" i="58"/>
  <c r="AW203" i="58"/>
  <c r="AX203" i="58"/>
  <c r="AY203" i="58"/>
  <c r="AZ203" i="58"/>
  <c r="BA203" i="58"/>
  <c r="BB203" i="58"/>
  <c r="BC203" i="58"/>
  <c r="BD203" i="58"/>
  <c r="BE203" i="58"/>
  <c r="BF203" i="58"/>
  <c r="BG203" i="58"/>
  <c r="BH203" i="58"/>
  <c r="BI203" i="58"/>
  <c r="D204" i="58"/>
  <c r="E204" i="58"/>
  <c r="F204" i="58"/>
  <c r="G204" i="58"/>
  <c r="H204" i="58"/>
  <c r="I204" i="58"/>
  <c r="J204" i="58"/>
  <c r="K204" i="58"/>
  <c r="L204" i="58"/>
  <c r="M204" i="58"/>
  <c r="N204" i="58"/>
  <c r="O204" i="58"/>
  <c r="P204" i="58"/>
  <c r="Q204" i="58"/>
  <c r="R204" i="58"/>
  <c r="S204" i="58"/>
  <c r="T204" i="58"/>
  <c r="U204" i="58"/>
  <c r="V204" i="58"/>
  <c r="W204" i="58"/>
  <c r="X204" i="58"/>
  <c r="Y204" i="58"/>
  <c r="Z204" i="58"/>
  <c r="AA204" i="58"/>
  <c r="AB204" i="58"/>
  <c r="AC204" i="58"/>
  <c r="AD204" i="58"/>
  <c r="AE204" i="58"/>
  <c r="AF204" i="58"/>
  <c r="AG204" i="58"/>
  <c r="AH204" i="58"/>
  <c r="AI204" i="58"/>
  <c r="AJ204" i="58"/>
  <c r="AK204" i="58"/>
  <c r="AL204" i="58"/>
  <c r="AM204" i="58"/>
  <c r="AN204" i="58"/>
  <c r="AO204" i="58"/>
  <c r="AP204" i="58"/>
  <c r="AQ204" i="58"/>
  <c r="AR204" i="58"/>
  <c r="AS204" i="58"/>
  <c r="AT204" i="58"/>
  <c r="AU204" i="58"/>
  <c r="AV204" i="58"/>
  <c r="AW204" i="58"/>
  <c r="AX204" i="58"/>
  <c r="AY204" i="58"/>
  <c r="AZ204" i="58"/>
  <c r="BA204" i="58"/>
  <c r="BB204" i="58"/>
  <c r="BC204" i="58"/>
  <c r="BD204" i="58"/>
  <c r="BE204" i="58"/>
  <c r="BF204" i="58"/>
  <c r="BG204" i="58"/>
  <c r="BH204" i="58"/>
  <c r="BI204" i="58"/>
  <c r="D205" i="58"/>
  <c r="E205" i="58"/>
  <c r="F205" i="58"/>
  <c r="G205" i="58"/>
  <c r="H205" i="58"/>
  <c r="I205" i="58"/>
  <c r="J205" i="58"/>
  <c r="K205" i="58"/>
  <c r="L205" i="58"/>
  <c r="M205" i="58"/>
  <c r="N205" i="58"/>
  <c r="O205" i="58"/>
  <c r="P205" i="58"/>
  <c r="Q205" i="58"/>
  <c r="R205" i="58"/>
  <c r="S205" i="58"/>
  <c r="T205" i="58"/>
  <c r="U205" i="58"/>
  <c r="V205" i="58"/>
  <c r="W205" i="58"/>
  <c r="X205" i="58"/>
  <c r="Y205" i="58"/>
  <c r="Z205" i="58"/>
  <c r="AA205" i="58"/>
  <c r="AB205" i="58"/>
  <c r="AC205" i="58"/>
  <c r="AD205" i="58"/>
  <c r="AE205" i="58"/>
  <c r="AF205" i="58"/>
  <c r="AG205" i="58"/>
  <c r="AH205" i="58"/>
  <c r="AI205" i="58"/>
  <c r="AJ205" i="58"/>
  <c r="AK205" i="58"/>
  <c r="AL205" i="58"/>
  <c r="AM205" i="58"/>
  <c r="AN205" i="58"/>
  <c r="AO205" i="58"/>
  <c r="AP205" i="58"/>
  <c r="AQ205" i="58"/>
  <c r="AR205" i="58"/>
  <c r="AS205" i="58"/>
  <c r="AT205" i="58"/>
  <c r="AU205" i="58"/>
  <c r="AV205" i="58"/>
  <c r="AW205" i="58"/>
  <c r="AX205" i="58"/>
  <c r="AY205" i="58"/>
  <c r="AZ205" i="58"/>
  <c r="BA205" i="58"/>
  <c r="BB205" i="58"/>
  <c r="BC205" i="58"/>
  <c r="BD205" i="58"/>
  <c r="BE205" i="58"/>
  <c r="BF205" i="58"/>
  <c r="BG205" i="58"/>
  <c r="BH205" i="58"/>
  <c r="BI205" i="58"/>
  <c r="D206" i="58"/>
  <c r="E206" i="58"/>
  <c r="F206" i="58"/>
  <c r="G206" i="58"/>
  <c r="H206" i="58"/>
  <c r="I206" i="58"/>
  <c r="J206" i="58"/>
  <c r="K206" i="58"/>
  <c r="L206" i="58"/>
  <c r="M206" i="58"/>
  <c r="N206" i="58"/>
  <c r="O206" i="58"/>
  <c r="P206" i="58"/>
  <c r="Q206" i="58"/>
  <c r="R206" i="58"/>
  <c r="S206" i="58"/>
  <c r="T206" i="58"/>
  <c r="U206" i="58"/>
  <c r="V206" i="58"/>
  <c r="W206" i="58"/>
  <c r="X206" i="58"/>
  <c r="Y206" i="58"/>
  <c r="Z206" i="58"/>
  <c r="AA206" i="58"/>
  <c r="AB206" i="58"/>
  <c r="AC206" i="58"/>
  <c r="AD206" i="58"/>
  <c r="AE206" i="58"/>
  <c r="AF206" i="58"/>
  <c r="AG206" i="58"/>
  <c r="AH206" i="58"/>
  <c r="AI206" i="58"/>
  <c r="AJ206" i="58"/>
  <c r="AK206" i="58"/>
  <c r="AL206" i="58"/>
  <c r="AM206" i="58"/>
  <c r="AN206" i="58"/>
  <c r="AO206" i="58"/>
  <c r="AP206" i="58"/>
  <c r="AQ206" i="58"/>
  <c r="AR206" i="58"/>
  <c r="AS206" i="58"/>
  <c r="AT206" i="58"/>
  <c r="AU206" i="58"/>
  <c r="AV206" i="58"/>
  <c r="AW206" i="58"/>
  <c r="AX206" i="58"/>
  <c r="AY206" i="58"/>
  <c r="AZ206" i="58"/>
  <c r="BA206" i="58"/>
  <c r="BB206" i="58"/>
  <c r="BC206" i="58"/>
  <c r="BD206" i="58"/>
  <c r="BE206" i="58"/>
  <c r="BF206" i="58"/>
  <c r="BG206" i="58"/>
  <c r="BH206" i="58"/>
  <c r="BI206" i="58"/>
  <c r="D207" i="58"/>
  <c r="E207" i="58"/>
  <c r="F207" i="58"/>
  <c r="G207" i="58"/>
  <c r="H207" i="58"/>
  <c r="I207" i="58"/>
  <c r="J207" i="58"/>
  <c r="K207" i="58"/>
  <c r="L207" i="58"/>
  <c r="M207" i="58"/>
  <c r="N207" i="58"/>
  <c r="O207" i="58"/>
  <c r="P207" i="58"/>
  <c r="Q207" i="58"/>
  <c r="R207" i="58"/>
  <c r="S207" i="58"/>
  <c r="T207" i="58"/>
  <c r="U207" i="58"/>
  <c r="V207" i="58"/>
  <c r="W207" i="58"/>
  <c r="X207" i="58"/>
  <c r="Y207" i="58"/>
  <c r="Z207" i="58"/>
  <c r="AA207" i="58"/>
  <c r="AB207" i="58"/>
  <c r="AC207" i="58"/>
  <c r="AD207" i="58"/>
  <c r="AE207" i="58"/>
  <c r="AF207" i="58"/>
  <c r="AG207" i="58"/>
  <c r="AH207" i="58"/>
  <c r="AI207" i="58"/>
  <c r="AJ207" i="58"/>
  <c r="AK207" i="58"/>
  <c r="AL207" i="58"/>
  <c r="AM207" i="58"/>
  <c r="AN207" i="58"/>
  <c r="AO207" i="58"/>
  <c r="AP207" i="58"/>
  <c r="AQ207" i="58"/>
  <c r="AR207" i="58"/>
  <c r="AS207" i="58"/>
  <c r="AT207" i="58"/>
  <c r="AU207" i="58"/>
  <c r="AV207" i="58"/>
  <c r="AW207" i="58"/>
  <c r="AX207" i="58"/>
  <c r="AY207" i="58"/>
  <c r="AZ207" i="58"/>
  <c r="BA207" i="58"/>
  <c r="BB207" i="58"/>
  <c r="BC207" i="58"/>
  <c r="BD207" i="58"/>
  <c r="BE207" i="58"/>
  <c r="BF207" i="58"/>
  <c r="BG207" i="58"/>
  <c r="BH207" i="58"/>
  <c r="BI207" i="58"/>
  <c r="D208" i="58"/>
  <c r="E208" i="58"/>
  <c r="F208" i="58"/>
  <c r="G208" i="58"/>
  <c r="H208" i="58"/>
  <c r="I208" i="58"/>
  <c r="J208" i="58"/>
  <c r="K208" i="58"/>
  <c r="L208" i="58"/>
  <c r="M208" i="58"/>
  <c r="N208" i="58"/>
  <c r="O208" i="58"/>
  <c r="P208" i="58"/>
  <c r="Q208" i="58"/>
  <c r="R208" i="58"/>
  <c r="S208" i="58"/>
  <c r="T208" i="58"/>
  <c r="U208" i="58"/>
  <c r="V208" i="58"/>
  <c r="W208" i="58"/>
  <c r="X208" i="58"/>
  <c r="Y208" i="58"/>
  <c r="Z208" i="58"/>
  <c r="AA208" i="58"/>
  <c r="AB208" i="58"/>
  <c r="AC208" i="58"/>
  <c r="AD208" i="58"/>
  <c r="AE208" i="58"/>
  <c r="AF208" i="58"/>
  <c r="AG208" i="58"/>
  <c r="AH208" i="58"/>
  <c r="AI208" i="58"/>
  <c r="AJ208" i="58"/>
  <c r="AK208" i="58"/>
  <c r="AL208" i="58"/>
  <c r="AM208" i="58"/>
  <c r="AN208" i="58"/>
  <c r="AO208" i="58"/>
  <c r="AP208" i="58"/>
  <c r="AQ208" i="58"/>
  <c r="AR208" i="58"/>
  <c r="AS208" i="58"/>
  <c r="AT208" i="58"/>
  <c r="AU208" i="58"/>
  <c r="AV208" i="58"/>
  <c r="AW208" i="58"/>
  <c r="AX208" i="58"/>
  <c r="AY208" i="58"/>
  <c r="AZ208" i="58"/>
  <c r="BA208" i="58"/>
  <c r="BB208" i="58"/>
  <c r="BC208" i="58"/>
  <c r="BD208" i="58"/>
  <c r="BE208" i="58"/>
  <c r="BF208" i="58"/>
  <c r="BG208" i="58"/>
  <c r="BH208" i="58"/>
  <c r="BI208" i="58"/>
  <c r="D209" i="58"/>
  <c r="E209" i="58"/>
  <c r="F209" i="58"/>
  <c r="G209" i="58"/>
  <c r="H209" i="58"/>
  <c r="I209" i="58"/>
  <c r="J209" i="58"/>
  <c r="K209" i="58"/>
  <c r="L209" i="58"/>
  <c r="M209" i="58"/>
  <c r="N209" i="58"/>
  <c r="O209" i="58"/>
  <c r="P209" i="58"/>
  <c r="Q209" i="58"/>
  <c r="R209" i="58"/>
  <c r="S209" i="58"/>
  <c r="T209" i="58"/>
  <c r="U209" i="58"/>
  <c r="V209" i="58"/>
  <c r="W209" i="58"/>
  <c r="X209" i="58"/>
  <c r="Y209" i="58"/>
  <c r="Z209" i="58"/>
  <c r="AA209" i="58"/>
  <c r="AB209" i="58"/>
  <c r="AC209" i="58"/>
  <c r="AD209" i="58"/>
  <c r="AE209" i="58"/>
  <c r="AF209" i="58"/>
  <c r="AG209" i="58"/>
  <c r="AH209" i="58"/>
  <c r="AI209" i="58"/>
  <c r="AJ209" i="58"/>
  <c r="AK209" i="58"/>
  <c r="AL209" i="58"/>
  <c r="AM209" i="58"/>
  <c r="AN209" i="58"/>
  <c r="AO209" i="58"/>
  <c r="AP209" i="58"/>
  <c r="AQ209" i="58"/>
  <c r="AR209" i="58"/>
  <c r="AS209" i="58"/>
  <c r="AT209" i="58"/>
  <c r="AU209" i="58"/>
  <c r="AV209" i="58"/>
  <c r="AW209" i="58"/>
  <c r="AX209" i="58"/>
  <c r="AY209" i="58"/>
  <c r="AZ209" i="58"/>
  <c r="BA209" i="58"/>
  <c r="BB209" i="58"/>
  <c r="BC209" i="58"/>
  <c r="BD209" i="58"/>
  <c r="BE209" i="58"/>
  <c r="BF209" i="58"/>
  <c r="BG209" i="58"/>
  <c r="BH209" i="58"/>
  <c r="BI209" i="58"/>
  <c r="D210" i="58"/>
  <c r="E210" i="58"/>
  <c r="F210" i="58"/>
  <c r="G210" i="58"/>
  <c r="H210" i="58"/>
  <c r="I210" i="58"/>
  <c r="J210" i="58"/>
  <c r="K210" i="58"/>
  <c r="L210" i="58"/>
  <c r="M210" i="58"/>
  <c r="N210" i="58"/>
  <c r="O210" i="58"/>
  <c r="P210" i="58"/>
  <c r="Q210" i="58"/>
  <c r="R210" i="58"/>
  <c r="S210" i="58"/>
  <c r="T210" i="58"/>
  <c r="U210" i="58"/>
  <c r="V210" i="58"/>
  <c r="W210" i="58"/>
  <c r="X210" i="58"/>
  <c r="Y210" i="58"/>
  <c r="Z210" i="58"/>
  <c r="AA210" i="58"/>
  <c r="AB210" i="58"/>
  <c r="AC210" i="58"/>
  <c r="AD210" i="58"/>
  <c r="AE210" i="58"/>
  <c r="AF210" i="58"/>
  <c r="AG210" i="58"/>
  <c r="AH210" i="58"/>
  <c r="AI210" i="58"/>
  <c r="AJ210" i="58"/>
  <c r="AK210" i="58"/>
  <c r="AL210" i="58"/>
  <c r="AM210" i="58"/>
  <c r="AN210" i="58"/>
  <c r="AO210" i="58"/>
  <c r="AP210" i="58"/>
  <c r="AQ210" i="58"/>
  <c r="AR210" i="58"/>
  <c r="AS210" i="58"/>
  <c r="AT210" i="58"/>
  <c r="AU210" i="58"/>
  <c r="AV210" i="58"/>
  <c r="AW210" i="58"/>
  <c r="AX210" i="58"/>
  <c r="AY210" i="58"/>
  <c r="AZ210" i="58"/>
  <c r="BA210" i="58"/>
  <c r="BB210" i="58"/>
  <c r="BC210" i="58"/>
  <c r="BD210" i="58"/>
  <c r="BE210" i="58"/>
  <c r="BF210" i="58"/>
  <c r="BG210" i="58"/>
  <c r="BH210" i="58"/>
  <c r="BI210" i="58"/>
  <c r="D211" i="58"/>
  <c r="E211" i="58"/>
  <c r="F211" i="58"/>
  <c r="G211" i="58"/>
  <c r="H211" i="58"/>
  <c r="I211" i="58"/>
  <c r="J211" i="58"/>
  <c r="K211" i="58"/>
  <c r="L211" i="58"/>
  <c r="M211" i="58"/>
  <c r="N211" i="58"/>
  <c r="O211" i="58"/>
  <c r="P211" i="58"/>
  <c r="Q211" i="58"/>
  <c r="R211" i="58"/>
  <c r="S211" i="58"/>
  <c r="T211" i="58"/>
  <c r="U211" i="58"/>
  <c r="V211" i="58"/>
  <c r="W211" i="58"/>
  <c r="X211" i="58"/>
  <c r="Y211" i="58"/>
  <c r="Z211" i="58"/>
  <c r="AA211" i="58"/>
  <c r="AB211" i="58"/>
  <c r="AC211" i="58"/>
  <c r="AD211" i="58"/>
  <c r="AE211" i="58"/>
  <c r="AF211" i="58"/>
  <c r="AG211" i="58"/>
  <c r="AH211" i="58"/>
  <c r="AI211" i="58"/>
  <c r="AJ211" i="58"/>
  <c r="AK211" i="58"/>
  <c r="AL211" i="58"/>
  <c r="AM211" i="58"/>
  <c r="AN211" i="58"/>
  <c r="AO211" i="58"/>
  <c r="AP211" i="58"/>
  <c r="AQ211" i="58"/>
  <c r="AR211" i="58"/>
  <c r="AS211" i="58"/>
  <c r="AT211" i="58"/>
  <c r="AU211" i="58"/>
  <c r="AV211" i="58"/>
  <c r="AW211" i="58"/>
  <c r="AX211" i="58"/>
  <c r="AY211" i="58"/>
  <c r="AZ211" i="58"/>
  <c r="BA211" i="58"/>
  <c r="BB211" i="58"/>
  <c r="BC211" i="58"/>
  <c r="BD211" i="58"/>
  <c r="BE211" i="58"/>
  <c r="BF211" i="58"/>
  <c r="BG211" i="58"/>
  <c r="BH211" i="58"/>
  <c r="BI211" i="58"/>
  <c r="D212" i="58"/>
  <c r="E212" i="58"/>
  <c r="F212" i="58"/>
  <c r="G212" i="58"/>
  <c r="H212" i="58"/>
  <c r="I212" i="58"/>
  <c r="J212" i="58"/>
  <c r="K212" i="58"/>
  <c r="L212" i="58"/>
  <c r="M212" i="58"/>
  <c r="N212" i="58"/>
  <c r="O212" i="58"/>
  <c r="P212" i="58"/>
  <c r="Q212" i="58"/>
  <c r="R212" i="58"/>
  <c r="S212" i="58"/>
  <c r="T212" i="58"/>
  <c r="U212" i="58"/>
  <c r="V212" i="58"/>
  <c r="W212" i="58"/>
  <c r="X212" i="58"/>
  <c r="Y212" i="58"/>
  <c r="Z212" i="58"/>
  <c r="AA212" i="58"/>
  <c r="AB212" i="58"/>
  <c r="AC212" i="58"/>
  <c r="AD212" i="58"/>
  <c r="AE212" i="58"/>
  <c r="AF212" i="58"/>
  <c r="AG212" i="58"/>
  <c r="AH212" i="58"/>
  <c r="AI212" i="58"/>
  <c r="AJ212" i="58"/>
  <c r="AK212" i="58"/>
  <c r="AL212" i="58"/>
  <c r="AM212" i="58"/>
  <c r="AN212" i="58"/>
  <c r="AO212" i="58"/>
  <c r="AP212" i="58"/>
  <c r="AQ212" i="58"/>
  <c r="AR212" i="58"/>
  <c r="AS212" i="58"/>
  <c r="AT212" i="58"/>
  <c r="AU212" i="58"/>
  <c r="AV212" i="58"/>
  <c r="AW212" i="58"/>
  <c r="AX212" i="58"/>
  <c r="AY212" i="58"/>
  <c r="AZ212" i="58"/>
  <c r="BA212" i="58"/>
  <c r="BB212" i="58"/>
  <c r="BC212" i="58"/>
  <c r="BD212" i="58"/>
  <c r="BE212" i="58"/>
  <c r="BF212" i="58"/>
  <c r="BG212" i="58"/>
  <c r="BH212" i="58"/>
  <c r="BI212" i="58"/>
  <c r="D213" i="58"/>
  <c r="E213" i="58"/>
  <c r="F213" i="58"/>
  <c r="G213" i="58"/>
  <c r="H213" i="58"/>
  <c r="I213" i="58"/>
  <c r="J213" i="58"/>
  <c r="K213" i="58"/>
  <c r="L213" i="58"/>
  <c r="M213" i="58"/>
  <c r="N213" i="58"/>
  <c r="O213" i="58"/>
  <c r="P213" i="58"/>
  <c r="Q213" i="58"/>
  <c r="R213" i="58"/>
  <c r="S213" i="58"/>
  <c r="T213" i="58"/>
  <c r="U213" i="58"/>
  <c r="V213" i="58"/>
  <c r="W213" i="58"/>
  <c r="X213" i="58"/>
  <c r="Y213" i="58"/>
  <c r="Z213" i="58"/>
  <c r="AA213" i="58"/>
  <c r="AB213" i="58"/>
  <c r="AC213" i="58"/>
  <c r="AD213" i="58"/>
  <c r="AE213" i="58"/>
  <c r="AF213" i="58"/>
  <c r="AG213" i="58"/>
  <c r="AH213" i="58"/>
  <c r="AI213" i="58"/>
  <c r="AJ213" i="58"/>
  <c r="AK213" i="58"/>
  <c r="AL213" i="58"/>
  <c r="AM213" i="58"/>
  <c r="AN213" i="58"/>
  <c r="AO213" i="58"/>
  <c r="AP213" i="58"/>
  <c r="AQ213" i="58"/>
  <c r="AR213" i="58"/>
  <c r="AS213" i="58"/>
  <c r="AT213" i="58"/>
  <c r="AU213" i="58"/>
  <c r="AV213" i="58"/>
  <c r="AW213" i="58"/>
  <c r="AX213" i="58"/>
  <c r="AY213" i="58"/>
  <c r="AZ213" i="58"/>
  <c r="BA213" i="58"/>
  <c r="BB213" i="58"/>
  <c r="BC213" i="58"/>
  <c r="BD213" i="58"/>
  <c r="BE213" i="58"/>
  <c r="BF213" i="58"/>
  <c r="BG213" i="58"/>
  <c r="BH213" i="58"/>
  <c r="BI213" i="58"/>
  <c r="D214" i="58"/>
  <c r="E214" i="58"/>
  <c r="F214" i="58"/>
  <c r="G214" i="58"/>
  <c r="H214" i="58"/>
  <c r="I214" i="58"/>
  <c r="J214" i="58"/>
  <c r="K214" i="58"/>
  <c r="L214" i="58"/>
  <c r="M214" i="58"/>
  <c r="N214" i="58"/>
  <c r="O214" i="58"/>
  <c r="P214" i="58"/>
  <c r="Q214" i="58"/>
  <c r="R214" i="58"/>
  <c r="S214" i="58"/>
  <c r="T214" i="58"/>
  <c r="U214" i="58"/>
  <c r="V214" i="58"/>
  <c r="W214" i="58"/>
  <c r="X214" i="58"/>
  <c r="Y214" i="58"/>
  <c r="Z214" i="58"/>
  <c r="AA214" i="58"/>
  <c r="AB214" i="58"/>
  <c r="AC214" i="58"/>
  <c r="AD214" i="58"/>
  <c r="AE214" i="58"/>
  <c r="AF214" i="58"/>
  <c r="AG214" i="58"/>
  <c r="AH214" i="58"/>
  <c r="AI214" i="58"/>
  <c r="AJ214" i="58"/>
  <c r="AK214" i="58"/>
  <c r="AL214" i="58"/>
  <c r="AM214" i="58"/>
  <c r="AN214" i="58"/>
  <c r="AO214" i="58"/>
  <c r="AP214" i="58"/>
  <c r="AQ214" i="58"/>
  <c r="AR214" i="58"/>
  <c r="AS214" i="58"/>
  <c r="AT214" i="58"/>
  <c r="AU214" i="58"/>
  <c r="AV214" i="58"/>
  <c r="AW214" i="58"/>
  <c r="AX214" i="58"/>
  <c r="AY214" i="58"/>
  <c r="AZ214" i="58"/>
  <c r="BA214" i="58"/>
  <c r="BB214" i="58"/>
  <c r="BC214" i="58"/>
  <c r="BD214" i="58"/>
  <c r="BE214" i="58"/>
  <c r="BF214" i="58"/>
  <c r="BG214" i="58"/>
  <c r="BH214" i="58"/>
  <c r="BI214" i="58"/>
  <c r="D215" i="58"/>
  <c r="E215" i="58"/>
  <c r="F215" i="58"/>
  <c r="G215" i="58"/>
  <c r="H215" i="58"/>
  <c r="I215" i="58"/>
  <c r="J215" i="58"/>
  <c r="K215" i="58"/>
  <c r="L215" i="58"/>
  <c r="M215" i="58"/>
  <c r="N215" i="58"/>
  <c r="O215" i="58"/>
  <c r="P215" i="58"/>
  <c r="Q215" i="58"/>
  <c r="R215" i="58"/>
  <c r="S215" i="58"/>
  <c r="T215" i="58"/>
  <c r="U215" i="58"/>
  <c r="V215" i="58"/>
  <c r="W215" i="58"/>
  <c r="X215" i="58"/>
  <c r="Y215" i="58"/>
  <c r="Z215" i="58"/>
  <c r="AA215" i="58"/>
  <c r="AB215" i="58"/>
  <c r="AC215" i="58"/>
  <c r="AD215" i="58"/>
  <c r="AE215" i="58"/>
  <c r="AF215" i="58"/>
  <c r="AG215" i="58"/>
  <c r="AH215" i="58"/>
  <c r="AI215" i="58"/>
  <c r="AJ215" i="58"/>
  <c r="AK215" i="58"/>
  <c r="AL215" i="58"/>
  <c r="AM215" i="58"/>
  <c r="AN215" i="58"/>
  <c r="AO215" i="58"/>
  <c r="AP215" i="58"/>
  <c r="AQ215" i="58"/>
  <c r="AR215" i="58"/>
  <c r="AS215" i="58"/>
  <c r="AT215" i="58"/>
  <c r="AU215" i="58"/>
  <c r="AV215" i="58"/>
  <c r="AW215" i="58"/>
  <c r="AX215" i="58"/>
  <c r="AY215" i="58"/>
  <c r="AZ215" i="58"/>
  <c r="BA215" i="58"/>
  <c r="BB215" i="58"/>
  <c r="BC215" i="58"/>
  <c r="BD215" i="58"/>
  <c r="BE215" i="58"/>
  <c r="BF215" i="58"/>
  <c r="BG215" i="58"/>
  <c r="BH215" i="58"/>
  <c r="BI215" i="58"/>
  <c r="D216" i="58"/>
  <c r="E216" i="58"/>
  <c r="F216" i="58"/>
  <c r="G216" i="58"/>
  <c r="H216" i="58"/>
  <c r="I216" i="58"/>
  <c r="J216" i="58"/>
  <c r="K216" i="58"/>
  <c r="L216" i="58"/>
  <c r="M216" i="58"/>
  <c r="N216" i="58"/>
  <c r="O216" i="58"/>
  <c r="P216" i="58"/>
  <c r="Q216" i="58"/>
  <c r="R216" i="58"/>
  <c r="S216" i="58"/>
  <c r="T216" i="58"/>
  <c r="U216" i="58"/>
  <c r="V216" i="58"/>
  <c r="W216" i="58"/>
  <c r="X216" i="58"/>
  <c r="Y216" i="58"/>
  <c r="Z216" i="58"/>
  <c r="AA216" i="58"/>
  <c r="AB216" i="58"/>
  <c r="AC216" i="58"/>
  <c r="AD216" i="58"/>
  <c r="AE216" i="58"/>
  <c r="AF216" i="58"/>
  <c r="AG216" i="58"/>
  <c r="AH216" i="58"/>
  <c r="AI216" i="58"/>
  <c r="AJ216" i="58"/>
  <c r="AK216" i="58"/>
  <c r="AL216" i="58"/>
  <c r="AM216" i="58"/>
  <c r="AN216" i="58"/>
  <c r="AO216" i="58"/>
  <c r="AP216" i="58"/>
  <c r="AQ216" i="58"/>
  <c r="AR216" i="58"/>
  <c r="AS216" i="58"/>
  <c r="AT216" i="58"/>
  <c r="AU216" i="58"/>
  <c r="AV216" i="58"/>
  <c r="AW216" i="58"/>
  <c r="AX216" i="58"/>
  <c r="AY216" i="58"/>
  <c r="AZ216" i="58"/>
  <c r="BA216" i="58"/>
  <c r="BB216" i="58"/>
  <c r="BC216" i="58"/>
  <c r="BD216" i="58"/>
  <c r="BE216" i="58"/>
  <c r="BF216" i="58"/>
  <c r="BG216" i="58"/>
  <c r="BH216" i="58"/>
  <c r="BI216" i="58"/>
  <c r="D217" i="58"/>
  <c r="E217" i="58"/>
  <c r="F217" i="58"/>
  <c r="G217" i="58"/>
  <c r="H217" i="58"/>
  <c r="I217" i="58"/>
  <c r="J217" i="58"/>
  <c r="K217" i="58"/>
  <c r="L217" i="58"/>
  <c r="M217" i="58"/>
  <c r="N217" i="58"/>
  <c r="O217" i="58"/>
  <c r="P217" i="58"/>
  <c r="Q217" i="58"/>
  <c r="R217" i="58"/>
  <c r="S217" i="58"/>
  <c r="T217" i="58"/>
  <c r="U217" i="58"/>
  <c r="V217" i="58"/>
  <c r="W217" i="58"/>
  <c r="X217" i="58"/>
  <c r="Y217" i="58"/>
  <c r="Z217" i="58"/>
  <c r="AA217" i="58"/>
  <c r="AB217" i="58"/>
  <c r="AC217" i="58"/>
  <c r="AD217" i="58"/>
  <c r="AE217" i="58"/>
  <c r="AF217" i="58"/>
  <c r="AG217" i="58"/>
  <c r="AH217" i="58"/>
  <c r="AI217" i="58"/>
  <c r="AJ217" i="58"/>
  <c r="AK217" i="58"/>
  <c r="AL217" i="58"/>
  <c r="AM217" i="58"/>
  <c r="AN217" i="58"/>
  <c r="AO217" i="58"/>
  <c r="AP217" i="58"/>
  <c r="AQ217" i="58"/>
  <c r="AR217" i="58"/>
  <c r="AS217" i="58"/>
  <c r="AT217" i="58"/>
  <c r="AU217" i="58"/>
  <c r="AV217" i="58"/>
  <c r="AW217" i="58"/>
  <c r="AX217" i="58"/>
  <c r="AY217" i="58"/>
  <c r="AZ217" i="58"/>
  <c r="BA217" i="58"/>
  <c r="BB217" i="58"/>
  <c r="BC217" i="58"/>
  <c r="BD217" i="58"/>
  <c r="BE217" i="58"/>
  <c r="BF217" i="58"/>
  <c r="BG217" i="58"/>
  <c r="BH217" i="58"/>
  <c r="BI217" i="58"/>
  <c r="D218" i="58"/>
  <c r="E218" i="58"/>
  <c r="F218" i="58"/>
  <c r="G218" i="58"/>
  <c r="H218" i="58"/>
  <c r="I218" i="58"/>
  <c r="J218" i="58"/>
  <c r="K218" i="58"/>
  <c r="L218" i="58"/>
  <c r="M218" i="58"/>
  <c r="N218" i="58"/>
  <c r="O218" i="58"/>
  <c r="P218" i="58"/>
  <c r="Q218" i="58"/>
  <c r="R218" i="58"/>
  <c r="S218" i="58"/>
  <c r="T218" i="58"/>
  <c r="U218" i="58"/>
  <c r="V218" i="58"/>
  <c r="W218" i="58"/>
  <c r="X218" i="58"/>
  <c r="Y218" i="58"/>
  <c r="Z218" i="58"/>
  <c r="AA218" i="58"/>
  <c r="AB218" i="58"/>
  <c r="AC218" i="58"/>
  <c r="AD218" i="58"/>
  <c r="AE218" i="58"/>
  <c r="AF218" i="58"/>
  <c r="AG218" i="58"/>
  <c r="AH218" i="58"/>
  <c r="AI218" i="58"/>
  <c r="AJ218" i="58"/>
  <c r="AK218" i="58"/>
  <c r="AL218" i="58"/>
  <c r="AM218" i="58"/>
  <c r="AN218" i="58"/>
  <c r="AO218" i="58"/>
  <c r="AP218" i="58"/>
  <c r="AQ218" i="58"/>
  <c r="AR218" i="58"/>
  <c r="AS218" i="58"/>
  <c r="AT218" i="58"/>
  <c r="AU218" i="58"/>
  <c r="AV218" i="58"/>
  <c r="AW218" i="58"/>
  <c r="AX218" i="58"/>
  <c r="AY218" i="58"/>
  <c r="AZ218" i="58"/>
  <c r="BA218" i="58"/>
  <c r="BB218" i="58"/>
  <c r="BC218" i="58"/>
  <c r="BD218" i="58"/>
  <c r="BE218" i="58"/>
  <c r="BF218" i="58"/>
  <c r="BG218" i="58"/>
  <c r="BH218" i="58"/>
  <c r="BI218" i="58"/>
  <c r="D219" i="58"/>
  <c r="E219" i="58"/>
  <c r="F219" i="58"/>
  <c r="G219" i="58"/>
  <c r="H219" i="58"/>
  <c r="I219" i="58"/>
  <c r="J219" i="58"/>
  <c r="K219" i="58"/>
  <c r="L219" i="58"/>
  <c r="M219" i="58"/>
  <c r="N219" i="58"/>
  <c r="O219" i="58"/>
  <c r="P219" i="58"/>
  <c r="Q219" i="58"/>
  <c r="R219" i="58"/>
  <c r="S219" i="58"/>
  <c r="T219" i="58"/>
  <c r="U219" i="58"/>
  <c r="V219" i="58"/>
  <c r="W219" i="58"/>
  <c r="X219" i="58"/>
  <c r="Y219" i="58"/>
  <c r="Z219" i="58"/>
  <c r="AA219" i="58"/>
  <c r="AB219" i="58"/>
  <c r="AC219" i="58"/>
  <c r="AD219" i="58"/>
  <c r="AE219" i="58"/>
  <c r="AF219" i="58"/>
  <c r="AG219" i="58"/>
  <c r="AH219" i="58"/>
  <c r="AI219" i="58"/>
  <c r="AJ219" i="58"/>
  <c r="AK219" i="58"/>
  <c r="AL219" i="58"/>
  <c r="AM219" i="58"/>
  <c r="AN219" i="58"/>
  <c r="AO219" i="58"/>
  <c r="AP219" i="58"/>
  <c r="AQ219" i="58"/>
  <c r="AR219" i="58"/>
  <c r="AS219" i="58"/>
  <c r="AT219" i="58"/>
  <c r="AU219" i="58"/>
  <c r="AV219" i="58"/>
  <c r="AW219" i="58"/>
  <c r="AX219" i="58"/>
  <c r="AY219" i="58"/>
  <c r="AZ219" i="58"/>
  <c r="BA219" i="58"/>
  <c r="BB219" i="58"/>
  <c r="BC219" i="58"/>
  <c r="BD219" i="58"/>
  <c r="BE219" i="58"/>
  <c r="BF219" i="58"/>
  <c r="BG219" i="58"/>
  <c r="BH219" i="58"/>
  <c r="BI219" i="58"/>
  <c r="D220" i="58"/>
  <c r="E220" i="58"/>
  <c r="F220" i="58"/>
  <c r="G220" i="58"/>
  <c r="H220" i="58"/>
  <c r="I220" i="58"/>
  <c r="J220" i="58"/>
  <c r="K220" i="58"/>
  <c r="L220" i="58"/>
  <c r="M220" i="58"/>
  <c r="N220" i="58"/>
  <c r="O220" i="58"/>
  <c r="P220" i="58"/>
  <c r="Q220" i="58"/>
  <c r="R220" i="58"/>
  <c r="S220" i="58"/>
  <c r="T220" i="58"/>
  <c r="U220" i="58"/>
  <c r="V220" i="58"/>
  <c r="W220" i="58"/>
  <c r="X220" i="58"/>
  <c r="Y220" i="58"/>
  <c r="Z220" i="58"/>
  <c r="AA220" i="58"/>
  <c r="AB220" i="58"/>
  <c r="AC220" i="58"/>
  <c r="AD220" i="58"/>
  <c r="AE220" i="58"/>
  <c r="AF220" i="58"/>
  <c r="AG220" i="58"/>
  <c r="AH220" i="58"/>
  <c r="AI220" i="58"/>
  <c r="AJ220" i="58"/>
  <c r="AK220" i="58"/>
  <c r="AL220" i="58"/>
  <c r="AM220" i="58"/>
  <c r="AN220" i="58"/>
  <c r="AO220" i="58"/>
  <c r="AP220" i="58"/>
  <c r="AQ220" i="58"/>
  <c r="AR220" i="58"/>
  <c r="AS220" i="58"/>
  <c r="AT220" i="58"/>
  <c r="AU220" i="58"/>
  <c r="AV220" i="58"/>
  <c r="AW220" i="58"/>
  <c r="AX220" i="58"/>
  <c r="AY220" i="58"/>
  <c r="AZ220" i="58"/>
  <c r="BA220" i="58"/>
  <c r="BB220" i="58"/>
  <c r="BC220" i="58"/>
  <c r="BD220" i="58"/>
  <c r="BE220" i="58"/>
  <c r="BF220" i="58"/>
  <c r="BG220" i="58"/>
  <c r="BH220" i="58"/>
  <c r="BI220" i="58"/>
  <c r="C153" i="58"/>
  <c r="C154" i="58"/>
  <c r="C155" i="58"/>
  <c r="C156" i="58"/>
  <c r="C157" i="58"/>
  <c r="C158" i="58"/>
  <c r="C159" i="58"/>
  <c r="C160" i="58"/>
  <c r="C161" i="58"/>
  <c r="C162" i="58"/>
  <c r="C163" i="58"/>
  <c r="C164" i="58"/>
  <c r="C165" i="58"/>
  <c r="C166" i="58"/>
  <c r="C167" i="58"/>
  <c r="C168" i="58"/>
  <c r="C169" i="58"/>
  <c r="C170" i="58"/>
  <c r="C171" i="58"/>
  <c r="C172" i="58"/>
  <c r="C173" i="58"/>
  <c r="C174" i="58"/>
  <c r="C175" i="58"/>
  <c r="C176" i="58"/>
  <c r="C177" i="58"/>
  <c r="C178" i="58"/>
  <c r="C179" i="58"/>
  <c r="C180" i="58"/>
  <c r="C181" i="58"/>
  <c r="C182" i="58"/>
  <c r="C183" i="58"/>
  <c r="C184" i="58"/>
  <c r="C185" i="58"/>
  <c r="C186" i="58"/>
  <c r="C187" i="58"/>
  <c r="C188" i="58"/>
  <c r="C189" i="58"/>
  <c r="C190" i="58"/>
  <c r="C191" i="58"/>
  <c r="C192" i="58"/>
  <c r="C193" i="58"/>
  <c r="C194" i="58"/>
  <c r="C195" i="58"/>
  <c r="C196" i="58"/>
  <c r="C197" i="58"/>
  <c r="C198" i="58"/>
  <c r="C199" i="58"/>
  <c r="C200" i="58"/>
  <c r="C201" i="58"/>
  <c r="C202" i="58"/>
  <c r="C203" i="58"/>
  <c r="C204" i="58"/>
  <c r="C205" i="58"/>
  <c r="C206" i="58"/>
  <c r="C207" i="58"/>
  <c r="C208" i="58"/>
  <c r="C209" i="58"/>
  <c r="C210" i="58"/>
  <c r="C211" i="58"/>
  <c r="C212" i="58"/>
  <c r="C213" i="58"/>
  <c r="C214" i="58"/>
  <c r="C215" i="58"/>
  <c r="C216" i="58"/>
  <c r="C217" i="58"/>
  <c r="C218" i="58"/>
  <c r="C219" i="58"/>
  <c r="C220" i="58"/>
  <c r="C152" i="58"/>
  <c r="BI2" i="58"/>
  <c r="BH2" i="58"/>
  <c r="BG2" i="58"/>
  <c r="BF2" i="58"/>
  <c r="BE2" i="58"/>
  <c r="BD2" i="58"/>
  <c r="BC2" i="58"/>
  <c r="BB2" i="58"/>
  <c r="BA2" i="58"/>
  <c r="AZ2" i="58"/>
  <c r="AY2" i="58"/>
  <c r="AX2" i="58"/>
  <c r="AW2" i="58"/>
  <c r="AV2" i="58"/>
  <c r="AU2" i="58"/>
  <c r="AT2" i="58"/>
  <c r="AS2" i="58"/>
  <c r="AR2" i="58"/>
  <c r="AQ2" i="58"/>
  <c r="AP2" i="58"/>
  <c r="AO2" i="58"/>
  <c r="AN2" i="58"/>
  <c r="AM2" i="58"/>
  <c r="AL2" i="58"/>
  <c r="AK2" i="58"/>
  <c r="AJ2" i="58"/>
  <c r="AI2" i="58"/>
  <c r="AH2" i="58"/>
  <c r="AG2" i="58"/>
  <c r="AF2" i="58"/>
  <c r="AE2" i="58"/>
  <c r="AD2" i="58"/>
  <c r="AC2" i="58"/>
  <c r="AB2" i="58"/>
  <c r="AA2" i="58"/>
  <c r="Z2" i="58"/>
  <c r="Y2" i="58"/>
  <c r="X2" i="58"/>
  <c r="W2" i="58"/>
  <c r="V2" i="58"/>
  <c r="U2" i="58"/>
  <c r="T2" i="58"/>
  <c r="S2" i="58"/>
  <c r="R2" i="58"/>
  <c r="Q2" i="58"/>
  <c r="P2" i="58"/>
  <c r="O2" i="58"/>
  <c r="N2" i="58"/>
</calcChain>
</file>

<file path=xl/comments1.xml><?xml version="1.0" encoding="utf-8"?>
<comments xmlns="http://schemas.openxmlformats.org/spreadsheetml/2006/main">
  <authors>
    <author>統計處黃素滿</author>
  </authors>
  <commentList>
    <comment ref="A3" authorId="0" shapeId="0">
      <text>
        <r>
          <rPr>
            <sz val="9"/>
            <color indexed="81"/>
            <rFont val="細明體"/>
            <family val="3"/>
            <charset val="136"/>
          </rPr>
          <t>109.6.9基隆市修正本期服務人數</t>
        </r>
      </text>
    </comment>
  </commentList>
</comments>
</file>

<file path=xl/comments2.xml><?xml version="1.0" encoding="utf-8"?>
<comments xmlns="http://schemas.openxmlformats.org/spreadsheetml/2006/main">
  <authors>
    <author>d04</author>
  </authors>
  <commentList>
    <comment ref="A3" authorId="0" shapeId="0">
      <text>
        <r>
          <rPr>
            <sz val="9"/>
            <color indexed="81"/>
            <rFont val="Tahoma"/>
            <family val="2"/>
          </rPr>
          <t>104.9</t>
        </r>
        <r>
          <rPr>
            <sz val="9"/>
            <color indexed="81"/>
            <rFont val="細明體"/>
            <family val="3"/>
            <charset val="136"/>
          </rPr>
          <t xml:space="preserve">彰化修正服務單位數
</t>
        </r>
        <r>
          <rPr>
            <sz val="9"/>
            <color indexed="81"/>
            <rFont val="Tahoma"/>
            <family val="2"/>
          </rPr>
          <t>1081017:</t>
        </r>
        <r>
          <rPr>
            <sz val="9"/>
            <color indexed="81"/>
            <rFont val="細明體"/>
            <family val="3"/>
            <charset val="136"/>
          </rPr>
          <t>澎湖縣兼職服務誤植至專職服務</t>
        </r>
      </text>
    </comment>
  </commentList>
</comments>
</file>

<file path=xl/comments3.xml><?xml version="1.0" encoding="utf-8"?>
<comments xmlns="http://schemas.openxmlformats.org/spreadsheetml/2006/main">
  <authors>
    <author>d04</author>
  </authors>
  <commentList>
    <comment ref="A3" authorId="0" shapeId="0">
      <text>
        <r>
          <rPr>
            <sz val="9"/>
            <color indexed="81"/>
            <rFont val="Tahoma"/>
            <family val="2"/>
          </rPr>
          <t>10509</t>
        </r>
        <r>
          <rPr>
            <sz val="9"/>
            <color indexed="81"/>
            <rFont val="細明體"/>
            <family val="3"/>
            <charset val="136"/>
          </rPr>
          <t>基隆市修正服務單位數</t>
        </r>
      </text>
    </comment>
  </commentList>
</comments>
</file>

<file path=xl/comments4.xml><?xml version="1.0" encoding="utf-8"?>
<comments xmlns="http://schemas.openxmlformats.org/spreadsheetml/2006/main">
  <authors>
    <author>d04</author>
  </authors>
  <commentList>
    <comment ref="A3" authorId="0" shapeId="0">
      <text>
        <r>
          <rPr>
            <b/>
            <sz val="9"/>
            <color indexed="81"/>
            <rFont val="Tahoma"/>
            <family val="2"/>
          </rPr>
          <t>d04:</t>
        </r>
        <r>
          <rPr>
            <sz val="9"/>
            <color indexed="81"/>
            <rFont val="Tahoma"/>
            <family val="2"/>
          </rPr>
          <t xml:space="preserve">
10509</t>
        </r>
        <r>
          <rPr>
            <sz val="9"/>
            <color indexed="81"/>
            <rFont val="細明體"/>
            <family val="3"/>
            <charset val="136"/>
          </rPr>
          <t>修屏東個案人數</t>
        </r>
      </text>
    </comment>
  </commentList>
</comments>
</file>

<file path=xl/comments5.xml><?xml version="1.0" encoding="utf-8"?>
<comments xmlns="http://schemas.openxmlformats.org/spreadsheetml/2006/main">
  <authors>
    <author>d04</author>
  </authors>
  <commentList>
    <comment ref="A3" authorId="0" shapeId="0">
      <text>
        <r>
          <rPr>
            <sz val="12"/>
            <color indexed="81"/>
            <rFont val="Tahoma"/>
            <family val="2"/>
          </rPr>
          <t>104.8</t>
        </r>
        <r>
          <rPr>
            <sz val="12"/>
            <color indexed="81"/>
            <rFont val="細明體"/>
            <family val="3"/>
            <charset val="136"/>
          </rPr>
          <t>修正「家庭托顧</t>
        </r>
        <r>
          <rPr>
            <sz val="12"/>
            <color indexed="81"/>
            <rFont val="Tahoma"/>
            <family val="2"/>
          </rPr>
          <t>/</t>
        </r>
        <r>
          <rPr>
            <sz val="12"/>
            <color indexed="81"/>
            <rFont val="細明體"/>
            <family val="3"/>
            <charset val="136"/>
          </rPr>
          <t>服務單位數」：屏東縣
。</t>
        </r>
      </text>
    </comment>
  </commentList>
</comments>
</file>

<file path=xl/sharedStrings.xml><?xml version="1.0" encoding="utf-8"?>
<sst xmlns="http://schemas.openxmlformats.org/spreadsheetml/2006/main" count="14808" uniqueCount="490">
  <si>
    <t>Times</t>
    <phoneticPr fontId="6" type="noConversion"/>
  </si>
  <si>
    <t>Persons</t>
    <phoneticPr fontId="6" type="noConversion"/>
  </si>
  <si>
    <t>Source: County and Government.</t>
    <phoneticPr fontId="6" type="noConversion"/>
  </si>
  <si>
    <t>Taipei City</t>
  </si>
  <si>
    <t>Taichung City</t>
  </si>
  <si>
    <t>Tainan City</t>
  </si>
  <si>
    <t>Kaohsiung City</t>
  </si>
  <si>
    <t>Yilan County</t>
  </si>
  <si>
    <t>Taoyuan County</t>
  </si>
  <si>
    <t>Hsinchu County</t>
  </si>
  <si>
    <t>Miaoli County</t>
  </si>
  <si>
    <t>Changhua County</t>
  </si>
  <si>
    <t>Nantou County</t>
  </si>
  <si>
    <t>Yunlin County</t>
  </si>
  <si>
    <t>Chiayi County</t>
  </si>
  <si>
    <t>Pingtung County</t>
  </si>
  <si>
    <t>Taitung County</t>
  </si>
  <si>
    <t>Hualien County</t>
  </si>
  <si>
    <t>Penghu County</t>
  </si>
  <si>
    <t>Keelung City</t>
  </si>
  <si>
    <t>Hsinchu City</t>
  </si>
  <si>
    <t>Chiayi City</t>
  </si>
  <si>
    <t>Kinmen County</t>
  </si>
  <si>
    <t>Lienchiang County</t>
  </si>
  <si>
    <t>New Taipei City</t>
    <phoneticPr fontId="6" type="noConversion"/>
  </si>
  <si>
    <t>Taipei City</t>
    <phoneticPr fontId="6" type="noConversion"/>
  </si>
  <si>
    <t>Taichung City</t>
    <phoneticPr fontId="6" type="noConversion"/>
  </si>
  <si>
    <t>Tainan City</t>
    <phoneticPr fontId="6" type="noConversion"/>
  </si>
  <si>
    <t>Kaohsiung City</t>
    <phoneticPr fontId="6" type="noConversion"/>
  </si>
  <si>
    <t>New Taipei City</t>
    <phoneticPr fontId="6" type="noConversion"/>
  </si>
  <si>
    <t>Taipei City</t>
    <phoneticPr fontId="6" type="noConversion"/>
  </si>
  <si>
    <t>Taichung City</t>
    <phoneticPr fontId="6" type="noConversion"/>
  </si>
  <si>
    <t>Tainan City</t>
    <phoneticPr fontId="6" type="noConversion"/>
  </si>
  <si>
    <t>Kaohsiung City</t>
    <phoneticPr fontId="6" type="noConversion"/>
  </si>
  <si>
    <t>New Taipei City</t>
    <phoneticPr fontId="6" type="noConversion"/>
  </si>
  <si>
    <t>Taipei City</t>
    <phoneticPr fontId="6" type="noConversion"/>
  </si>
  <si>
    <t>Taichung City</t>
    <phoneticPr fontId="6" type="noConversion"/>
  </si>
  <si>
    <t>Tainan City</t>
    <phoneticPr fontId="6" type="noConversion"/>
  </si>
  <si>
    <t>Kaohsiung City</t>
    <phoneticPr fontId="6" type="noConversion"/>
  </si>
  <si>
    <t>Total</t>
    <phoneticPr fontId="6" type="noConversion"/>
  </si>
  <si>
    <t>Total</t>
    <phoneticPr fontId="6" type="noConversion"/>
  </si>
  <si>
    <t>Taipei County</t>
  </si>
  <si>
    <t>Taichung County</t>
  </si>
  <si>
    <t>Tainan County</t>
  </si>
  <si>
    <t>Kaohsiung County</t>
  </si>
  <si>
    <t>Times</t>
    <phoneticPr fontId="6" type="noConversion"/>
  </si>
  <si>
    <t>Persons</t>
    <phoneticPr fontId="6" type="noConversion"/>
  </si>
  <si>
    <t>Total</t>
    <phoneticPr fontId="6" type="noConversion"/>
  </si>
  <si>
    <t>Source: County and Government.</t>
    <phoneticPr fontId="6" type="noConversion"/>
  </si>
  <si>
    <t>Taoyuan City</t>
    <phoneticPr fontId="6" type="noConversion"/>
  </si>
  <si>
    <r>
      <rPr>
        <b/>
        <sz val="16"/>
        <rFont val="標楷體"/>
        <family val="4"/>
        <charset val="136"/>
      </rPr>
      <t>長期照顧十年計畫－居家服務</t>
    </r>
    <r>
      <rPr>
        <b/>
        <sz val="16"/>
        <rFont val="Times New Roman"/>
        <family val="1"/>
      </rPr>
      <t xml:space="preserve"> Achievements of Ten-year Long Term Care Program by Home Care Services</t>
    </r>
    <phoneticPr fontId="6" type="noConversion"/>
  </si>
  <si>
    <r>
      <rPr>
        <sz val="10"/>
        <rFont val="標楷體"/>
        <family val="4"/>
        <charset val="136"/>
      </rPr>
      <t>服務單位數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個</t>
    </r>
    <r>
      <rPr>
        <sz val="10"/>
        <rFont val="Times New Roman"/>
        <family val="1"/>
      </rPr>
      <t>)
Place</t>
    </r>
    <phoneticPr fontId="6" type="noConversion"/>
  </si>
  <si>
    <r>
      <t>(</t>
    </r>
    <r>
      <rPr>
        <sz val="10"/>
        <rFont val="標楷體"/>
        <family val="4"/>
        <charset val="136"/>
      </rPr>
      <t>二</t>
    </r>
    <r>
      <rPr>
        <sz val="10"/>
        <rFont val="Times New Roman"/>
        <family val="1"/>
      </rPr>
      <t xml:space="preserve">)  </t>
    </r>
    <r>
      <rPr>
        <sz val="10"/>
        <rFont val="標楷體"/>
        <family val="4"/>
        <charset val="136"/>
      </rPr>
      <t>居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家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服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務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教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育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訓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練</t>
    </r>
    <phoneticPr fontId="6" type="noConversion"/>
  </si>
  <si>
    <r>
      <t>(</t>
    </r>
    <r>
      <rPr>
        <sz val="10"/>
        <rFont val="標楷體"/>
        <family val="4"/>
        <charset val="136"/>
      </rPr>
      <t>三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>、居家服務成果</t>
    </r>
    <r>
      <rPr>
        <sz val="10"/>
        <rFont val="Times New Roman"/>
        <family val="1"/>
      </rPr>
      <t xml:space="preserve"> Achievements of Home Care Services</t>
    </r>
    <phoneticPr fontId="6" type="noConversion"/>
  </si>
  <si>
    <r>
      <rPr>
        <sz val="10"/>
        <rFont val="標楷體"/>
        <family val="4"/>
        <charset val="136"/>
      </rPr>
      <t>督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導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員</t>
    </r>
    <r>
      <rPr>
        <sz val="10"/>
        <rFont val="Times New Roman"/>
        <family val="1"/>
      </rPr>
      <t>Supervisor</t>
    </r>
    <phoneticPr fontId="6" type="noConversion"/>
  </si>
  <si>
    <r>
      <rPr>
        <sz val="10"/>
        <rFont val="標楷體"/>
        <family val="4"/>
        <charset val="136"/>
      </rPr>
      <t>照顧服務員</t>
    </r>
    <r>
      <rPr>
        <sz val="10"/>
        <rFont val="Times New Roman"/>
        <family val="1"/>
      </rPr>
      <t>Care Worker</t>
    </r>
    <phoneticPr fontId="6" type="noConversion"/>
  </si>
  <si>
    <r>
      <rPr>
        <sz val="10"/>
        <rFont val="標楷體"/>
        <family val="4"/>
        <charset val="136"/>
      </rPr>
      <t>期底服務個案人數</t>
    </r>
    <r>
      <rPr>
        <sz val="10"/>
        <rFont val="Times New Roman"/>
        <family val="1"/>
      </rPr>
      <t xml:space="preserve"> Persons Served</t>
    </r>
    <phoneticPr fontId="6" type="noConversion"/>
  </si>
  <si>
    <r>
      <rPr>
        <sz val="10"/>
        <rFont val="標楷體"/>
        <family val="4"/>
        <charset val="136"/>
      </rPr>
      <t>本期服務人次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日</t>
    </r>
    <r>
      <rPr>
        <sz val="10"/>
        <rFont val="Times New Roman"/>
        <family val="1"/>
      </rPr>
      <t>) Service Person-times</t>
    </r>
    <phoneticPr fontId="6" type="noConversion"/>
  </si>
  <si>
    <r>
      <rPr>
        <sz val="10"/>
        <rFont val="標楷體"/>
        <family val="4"/>
        <charset val="136"/>
      </rPr>
      <t>本期服務時數</t>
    </r>
    <r>
      <rPr>
        <sz val="10"/>
        <rFont val="Times New Roman"/>
        <family val="1"/>
      </rPr>
      <t xml:space="preserve"> Serviec Hours</t>
    </r>
    <phoneticPr fontId="6" type="noConversion"/>
  </si>
  <si>
    <r>
      <rPr>
        <sz val="10"/>
        <rFont val="標楷體"/>
        <family val="4"/>
        <charset val="136"/>
      </rPr>
      <t xml:space="preserve">合計
</t>
    </r>
    <r>
      <rPr>
        <sz val="10"/>
        <rFont val="Times New Roman"/>
        <family val="1"/>
      </rPr>
      <t>Total</t>
    </r>
    <phoneticPr fontId="6" type="noConversion"/>
  </si>
  <si>
    <r>
      <rPr>
        <sz val="10"/>
        <rFont val="標楷體"/>
        <family val="4"/>
        <charset val="136"/>
      </rPr>
      <t xml:space="preserve">專職服務
</t>
    </r>
    <r>
      <rPr>
        <sz val="10"/>
        <rFont val="Times New Roman"/>
        <family val="1"/>
      </rPr>
      <t>Full-time</t>
    </r>
    <phoneticPr fontId="6" type="noConversion"/>
  </si>
  <si>
    <r>
      <rPr>
        <sz val="10"/>
        <rFont val="標楷體"/>
        <family val="4"/>
        <charset val="136"/>
      </rPr>
      <t xml:space="preserve">兼職服務
</t>
    </r>
    <r>
      <rPr>
        <sz val="10"/>
        <rFont val="Times New Roman"/>
        <family val="1"/>
      </rPr>
      <t>Part-time</t>
    </r>
    <phoneticPr fontId="6" type="noConversion"/>
  </si>
  <si>
    <r>
      <rPr>
        <sz val="10"/>
        <rFont val="標楷體"/>
        <family val="4"/>
        <charset val="136"/>
      </rPr>
      <t xml:space="preserve">志願服務
</t>
    </r>
    <r>
      <rPr>
        <sz val="10"/>
        <rFont val="Times New Roman"/>
        <family val="1"/>
      </rPr>
      <t>Volunteer</t>
    </r>
    <phoneticPr fontId="6" type="noConversion"/>
  </si>
  <si>
    <r>
      <rPr>
        <sz val="10"/>
        <rFont val="標楷體"/>
        <family val="4"/>
        <charset val="136"/>
      </rPr>
      <t xml:space="preserve">合計
</t>
    </r>
    <r>
      <rPr>
        <sz val="10"/>
        <rFont val="Times New Roman"/>
        <family val="1"/>
      </rPr>
      <t>Subtotal</t>
    </r>
    <phoneticPr fontId="6" type="noConversion"/>
  </si>
  <si>
    <r>
      <rPr>
        <sz val="10"/>
        <rFont val="標楷體"/>
        <family val="4"/>
        <charset val="136"/>
      </rPr>
      <t>職前訓練</t>
    </r>
    <r>
      <rPr>
        <sz val="10"/>
        <rFont val="Times New Roman"/>
        <family val="1"/>
      </rPr>
      <t>Pre-work Training</t>
    </r>
    <phoneticPr fontId="6" type="noConversion"/>
  </si>
  <si>
    <r>
      <rPr>
        <sz val="10"/>
        <rFont val="標楷體"/>
        <family val="4"/>
        <charset val="136"/>
      </rPr>
      <t>成長訓練</t>
    </r>
    <r>
      <rPr>
        <sz val="10"/>
        <rFont val="Times New Roman"/>
        <family val="1"/>
      </rPr>
      <t>Development Training</t>
    </r>
    <phoneticPr fontId="6" type="noConversion"/>
  </si>
  <si>
    <r>
      <rPr>
        <sz val="10"/>
        <rFont val="標楷體"/>
        <family val="4"/>
        <charset val="136"/>
      </rPr>
      <t xml:space="preserve">進階訓練
</t>
    </r>
    <r>
      <rPr>
        <sz val="10"/>
        <rFont val="Times New Roman"/>
        <family val="1"/>
      </rPr>
      <t>Advanced Training</t>
    </r>
    <phoneticPr fontId="6" type="noConversion"/>
  </si>
  <si>
    <r>
      <rPr>
        <sz val="10"/>
        <rFont val="標楷體"/>
        <family val="4"/>
        <charset val="136"/>
      </rPr>
      <t xml:space="preserve">次數
</t>
    </r>
    <r>
      <rPr>
        <sz val="10"/>
        <rFont val="Times New Roman"/>
        <family val="1"/>
      </rPr>
      <t>Times</t>
    </r>
    <phoneticPr fontId="6" type="noConversion"/>
  </si>
  <si>
    <r>
      <rPr>
        <sz val="10"/>
        <rFont val="標楷體"/>
        <family val="4"/>
        <charset val="136"/>
      </rPr>
      <t xml:space="preserve">人數
</t>
    </r>
    <r>
      <rPr>
        <sz val="10"/>
        <rFont val="Times New Roman"/>
        <family val="1"/>
      </rPr>
      <t>Persons</t>
    </r>
    <phoneticPr fontId="6" type="noConversion"/>
  </si>
  <si>
    <r>
      <rPr>
        <sz val="10"/>
        <rFont val="標楷體"/>
        <family val="4"/>
        <charset val="136"/>
      </rPr>
      <t xml:space="preserve">低收入
</t>
    </r>
    <r>
      <rPr>
        <sz val="10"/>
        <rFont val="Times New Roman"/>
        <family val="1"/>
      </rPr>
      <t>Low-income</t>
    </r>
    <phoneticPr fontId="6" type="noConversion"/>
  </si>
  <si>
    <r>
      <rPr>
        <sz val="10"/>
        <rFont val="標楷體"/>
        <family val="4"/>
        <charset val="136"/>
      </rPr>
      <t xml:space="preserve">中低收入
</t>
    </r>
    <r>
      <rPr>
        <sz val="10"/>
        <rFont val="Times New Roman"/>
        <family val="1"/>
      </rPr>
      <t>Mid-income</t>
    </r>
    <phoneticPr fontId="6" type="noConversion"/>
  </si>
  <si>
    <r>
      <rPr>
        <sz val="10"/>
        <rFont val="標楷體"/>
        <family val="4"/>
        <charset val="136"/>
      </rPr>
      <t xml:space="preserve">一般戶
</t>
    </r>
    <r>
      <rPr>
        <sz val="10"/>
        <rFont val="Times New Roman"/>
        <family val="1"/>
      </rPr>
      <t>General</t>
    </r>
    <phoneticPr fontId="6" type="noConversion"/>
  </si>
  <si>
    <r>
      <rPr>
        <sz val="10"/>
        <rFont val="標楷體"/>
        <family val="4"/>
        <charset val="136"/>
      </rPr>
      <t xml:space="preserve">計
</t>
    </r>
    <r>
      <rPr>
        <sz val="10"/>
        <rFont val="Times New Roman"/>
        <family val="1"/>
      </rPr>
      <t>Subtotal</t>
    </r>
    <phoneticPr fontId="6" type="noConversion"/>
  </si>
  <si>
    <r>
      <rPr>
        <sz val="10"/>
        <rFont val="標楷體"/>
        <family val="4"/>
        <charset val="136"/>
      </rPr>
      <t xml:space="preserve">男
</t>
    </r>
    <r>
      <rPr>
        <sz val="10"/>
        <rFont val="Times New Roman"/>
        <family val="1"/>
      </rPr>
      <t>Male</t>
    </r>
    <phoneticPr fontId="6" type="noConversion"/>
  </si>
  <si>
    <r>
      <rPr>
        <sz val="10"/>
        <rFont val="標楷體"/>
        <family val="4"/>
        <charset val="136"/>
      </rPr>
      <t xml:space="preserve">女
</t>
    </r>
    <r>
      <rPr>
        <sz val="10"/>
        <rFont val="Times New Roman"/>
        <family val="1"/>
      </rPr>
      <t>Female</t>
    </r>
    <phoneticPr fontId="6" type="noConversion"/>
  </si>
  <si>
    <r>
      <rPr>
        <sz val="10"/>
        <rFont val="標楷體"/>
        <family val="4"/>
        <charset val="136"/>
      </rPr>
      <t>次數</t>
    </r>
    <phoneticPr fontId="6" type="noConversion"/>
  </si>
  <si>
    <r>
      <rPr>
        <sz val="10"/>
        <rFont val="標楷體"/>
        <family val="4"/>
        <charset val="136"/>
      </rPr>
      <t>人數</t>
    </r>
    <phoneticPr fontId="6" type="noConversion"/>
  </si>
  <si>
    <r>
      <rPr>
        <sz val="9"/>
        <rFont val="標楷體"/>
        <family val="4"/>
        <charset val="136"/>
      </rPr>
      <t>資料來源：直轄市、縣﹝市﹞政府。</t>
    </r>
    <r>
      <rPr>
        <sz val="9"/>
        <rFont val="Times New Roman"/>
        <family val="1"/>
      </rPr>
      <t xml:space="preserve"> </t>
    </r>
    <phoneticPr fontId="5" type="noConversion"/>
  </si>
  <si>
    <r>
      <rPr>
        <sz val="10"/>
        <rFont val="標楷體"/>
        <family val="4"/>
        <charset val="136"/>
      </rPr>
      <t xml:space="preserve">區域別
</t>
    </r>
    <r>
      <rPr>
        <sz val="10"/>
        <rFont val="Times New Roman"/>
        <family val="1"/>
      </rPr>
      <t>Locality</t>
    </r>
    <phoneticPr fontId="6" type="noConversion"/>
  </si>
  <si>
    <r>
      <t>(</t>
    </r>
    <r>
      <rPr>
        <sz val="10"/>
        <rFont val="標楷體"/>
        <family val="4"/>
        <charset val="136"/>
      </rPr>
      <t>一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>照</t>
    </r>
    <r>
      <rPr>
        <sz val="10"/>
        <rFont val="Times New Roman"/>
        <family val="1"/>
      </rPr>
      <t xml:space="preserve">    </t>
    </r>
    <r>
      <rPr>
        <sz val="10"/>
        <rFont val="標楷體"/>
        <family val="4"/>
        <charset val="136"/>
      </rPr>
      <t>顧</t>
    </r>
    <r>
      <rPr>
        <sz val="10"/>
        <rFont val="Times New Roman"/>
        <family val="1"/>
      </rPr>
      <t xml:space="preserve">    </t>
    </r>
    <r>
      <rPr>
        <sz val="10"/>
        <rFont val="標楷體"/>
        <family val="4"/>
        <charset val="136"/>
      </rPr>
      <t>服</t>
    </r>
    <r>
      <rPr>
        <sz val="10"/>
        <rFont val="Times New Roman"/>
        <family val="1"/>
      </rPr>
      <t xml:space="preserve">    </t>
    </r>
    <r>
      <rPr>
        <sz val="10"/>
        <rFont val="標楷體"/>
        <family val="4"/>
        <charset val="136"/>
      </rPr>
      <t>務</t>
    </r>
    <r>
      <rPr>
        <sz val="10"/>
        <rFont val="Times New Roman"/>
        <family val="1"/>
      </rPr>
      <t xml:space="preserve">    </t>
    </r>
    <r>
      <rPr>
        <sz val="10"/>
        <rFont val="標楷體"/>
        <family val="4"/>
        <charset val="136"/>
      </rPr>
      <t>員</t>
    </r>
    <r>
      <rPr>
        <sz val="10"/>
        <rFont val="Times New Roman"/>
        <family val="1"/>
      </rPr>
      <t xml:space="preserve"> Care Providers</t>
    </r>
    <phoneticPr fontId="6" type="noConversion"/>
  </si>
  <si>
    <r>
      <t xml:space="preserve">   </t>
    </r>
    <r>
      <rPr>
        <sz val="10"/>
        <rFont val="標楷體"/>
        <family val="4"/>
        <charset val="136"/>
      </rPr>
      <t>期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底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服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務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員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人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數</t>
    </r>
    <r>
      <rPr>
        <sz val="10"/>
        <rFont val="Times New Roman"/>
        <family val="1"/>
      </rPr>
      <t xml:space="preserve"> Care Providers</t>
    </r>
    <phoneticPr fontId="6" type="noConversion"/>
  </si>
  <si>
    <r>
      <rPr>
        <sz val="10"/>
        <rFont val="標楷體"/>
        <family val="4"/>
        <charset val="136"/>
      </rPr>
      <t>服務個案人數</t>
    </r>
    <r>
      <rPr>
        <sz val="10"/>
        <rFont val="Times New Roman"/>
        <family val="1"/>
      </rPr>
      <t xml:space="preserve"> Persons Served</t>
    </r>
    <phoneticPr fontId="6" type="noConversion"/>
  </si>
  <si>
    <r>
      <rPr>
        <sz val="10"/>
        <rFont val="標楷體"/>
        <family val="4"/>
        <charset val="136"/>
      </rPr>
      <t xml:space="preserve">區域別
</t>
    </r>
    <r>
      <rPr>
        <sz val="10"/>
        <rFont val="Times New Roman"/>
        <family val="1"/>
      </rPr>
      <t>Locality</t>
    </r>
    <phoneticPr fontId="6" type="noConversion"/>
  </si>
  <si>
    <r>
      <rPr>
        <sz val="10"/>
        <rFont val="標楷體"/>
        <family val="4"/>
        <charset val="136"/>
      </rPr>
      <t>服務單位數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個</t>
    </r>
    <r>
      <rPr>
        <sz val="10"/>
        <rFont val="Times New Roman"/>
        <family val="1"/>
      </rPr>
      <t>)
Place</t>
    </r>
    <phoneticPr fontId="6" type="noConversion"/>
  </si>
  <si>
    <r>
      <t>(</t>
    </r>
    <r>
      <rPr>
        <sz val="10"/>
        <rFont val="標楷體"/>
        <family val="4"/>
        <charset val="136"/>
      </rPr>
      <t>一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>照</t>
    </r>
    <r>
      <rPr>
        <sz val="10"/>
        <rFont val="Times New Roman"/>
        <family val="1"/>
      </rPr>
      <t xml:space="preserve">    </t>
    </r>
    <r>
      <rPr>
        <sz val="10"/>
        <rFont val="標楷體"/>
        <family val="4"/>
        <charset val="136"/>
      </rPr>
      <t>顧</t>
    </r>
    <r>
      <rPr>
        <sz val="10"/>
        <rFont val="Times New Roman"/>
        <family val="1"/>
      </rPr>
      <t xml:space="preserve">    </t>
    </r>
    <r>
      <rPr>
        <sz val="10"/>
        <rFont val="標楷體"/>
        <family val="4"/>
        <charset val="136"/>
      </rPr>
      <t>服</t>
    </r>
    <r>
      <rPr>
        <sz val="10"/>
        <rFont val="Times New Roman"/>
        <family val="1"/>
      </rPr>
      <t xml:space="preserve">    </t>
    </r>
    <r>
      <rPr>
        <sz val="10"/>
        <rFont val="標楷體"/>
        <family val="4"/>
        <charset val="136"/>
      </rPr>
      <t>務</t>
    </r>
    <r>
      <rPr>
        <sz val="10"/>
        <rFont val="Times New Roman"/>
        <family val="1"/>
      </rPr>
      <t xml:space="preserve">    </t>
    </r>
    <r>
      <rPr>
        <sz val="10"/>
        <rFont val="標楷體"/>
        <family val="4"/>
        <charset val="136"/>
      </rPr>
      <t>員</t>
    </r>
    <r>
      <rPr>
        <sz val="10"/>
        <rFont val="Times New Roman"/>
        <family val="1"/>
      </rPr>
      <t xml:space="preserve"> Care Providers</t>
    </r>
    <phoneticPr fontId="6" type="noConversion"/>
  </si>
  <si>
    <r>
      <t>(</t>
    </r>
    <r>
      <rPr>
        <sz val="10"/>
        <rFont val="標楷體"/>
        <family val="4"/>
        <charset val="136"/>
      </rPr>
      <t>二</t>
    </r>
    <r>
      <rPr>
        <sz val="10"/>
        <rFont val="Times New Roman"/>
        <family val="1"/>
      </rPr>
      <t xml:space="preserve">)  </t>
    </r>
    <r>
      <rPr>
        <sz val="10"/>
        <rFont val="標楷體"/>
        <family val="4"/>
        <charset val="136"/>
      </rPr>
      <t>居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家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服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務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教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育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訓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練</t>
    </r>
    <phoneticPr fontId="6" type="noConversion"/>
  </si>
  <si>
    <r>
      <t>(</t>
    </r>
    <r>
      <rPr>
        <sz val="10"/>
        <rFont val="標楷體"/>
        <family val="4"/>
        <charset val="136"/>
      </rPr>
      <t>三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>、居家服務成果</t>
    </r>
    <r>
      <rPr>
        <sz val="10"/>
        <rFont val="Times New Roman"/>
        <family val="1"/>
      </rPr>
      <t xml:space="preserve"> Achievements of Home Care Services</t>
    </r>
    <phoneticPr fontId="6" type="noConversion"/>
  </si>
  <si>
    <r>
      <t xml:space="preserve">   </t>
    </r>
    <r>
      <rPr>
        <sz val="10"/>
        <rFont val="標楷體"/>
        <family val="4"/>
        <charset val="136"/>
      </rPr>
      <t>期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底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服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務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員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人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數</t>
    </r>
    <r>
      <rPr>
        <sz val="10"/>
        <rFont val="Times New Roman"/>
        <family val="1"/>
      </rPr>
      <t xml:space="preserve"> Care Providers</t>
    </r>
    <phoneticPr fontId="6" type="noConversion"/>
  </si>
  <si>
    <r>
      <rPr>
        <sz val="10"/>
        <rFont val="標楷體"/>
        <family val="4"/>
        <charset val="136"/>
      </rPr>
      <t>督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導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員</t>
    </r>
    <r>
      <rPr>
        <sz val="10"/>
        <rFont val="Times New Roman"/>
        <family val="1"/>
      </rPr>
      <t>Supervisor</t>
    </r>
    <phoneticPr fontId="6" type="noConversion"/>
  </si>
  <si>
    <r>
      <rPr>
        <sz val="10"/>
        <rFont val="標楷體"/>
        <family val="4"/>
        <charset val="136"/>
      </rPr>
      <t>照顧服務員</t>
    </r>
    <r>
      <rPr>
        <sz val="10"/>
        <rFont val="Times New Roman"/>
        <family val="1"/>
      </rPr>
      <t>Care Worker</t>
    </r>
    <phoneticPr fontId="6" type="noConversion"/>
  </si>
  <si>
    <r>
      <rPr>
        <sz val="10"/>
        <rFont val="標楷體"/>
        <family val="4"/>
        <charset val="136"/>
      </rPr>
      <t>服務個案人數</t>
    </r>
    <r>
      <rPr>
        <sz val="10"/>
        <rFont val="Times New Roman"/>
        <family val="1"/>
      </rPr>
      <t xml:space="preserve"> Persons Served</t>
    </r>
    <phoneticPr fontId="6" type="noConversion"/>
  </si>
  <si>
    <r>
      <rPr>
        <sz val="10"/>
        <rFont val="標楷體"/>
        <family val="4"/>
        <charset val="136"/>
      </rPr>
      <t>本期服務人次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日</t>
    </r>
    <r>
      <rPr>
        <sz val="10"/>
        <rFont val="Times New Roman"/>
        <family val="1"/>
      </rPr>
      <t>) Service Person-times</t>
    </r>
    <phoneticPr fontId="6" type="noConversion"/>
  </si>
  <si>
    <r>
      <rPr>
        <sz val="10"/>
        <rFont val="標楷體"/>
        <family val="4"/>
        <charset val="136"/>
      </rPr>
      <t>本期服務時數</t>
    </r>
    <r>
      <rPr>
        <sz val="10"/>
        <rFont val="Times New Roman"/>
        <family val="1"/>
      </rPr>
      <t xml:space="preserve"> Serviec Hours</t>
    </r>
    <phoneticPr fontId="6" type="noConversion"/>
  </si>
  <si>
    <r>
      <rPr>
        <sz val="10"/>
        <rFont val="標楷體"/>
        <family val="4"/>
        <charset val="136"/>
      </rPr>
      <t xml:space="preserve">合計
</t>
    </r>
    <r>
      <rPr>
        <sz val="10"/>
        <rFont val="Times New Roman"/>
        <family val="1"/>
      </rPr>
      <t>Total</t>
    </r>
    <phoneticPr fontId="6" type="noConversion"/>
  </si>
  <si>
    <r>
      <rPr>
        <sz val="10"/>
        <rFont val="標楷體"/>
        <family val="4"/>
        <charset val="136"/>
      </rPr>
      <t xml:space="preserve">專職服務
</t>
    </r>
    <r>
      <rPr>
        <sz val="10"/>
        <rFont val="Times New Roman"/>
        <family val="1"/>
      </rPr>
      <t>Full-time</t>
    </r>
    <phoneticPr fontId="6" type="noConversion"/>
  </si>
  <si>
    <r>
      <rPr>
        <sz val="10"/>
        <rFont val="標楷體"/>
        <family val="4"/>
        <charset val="136"/>
      </rPr>
      <t xml:space="preserve">兼職服務
</t>
    </r>
    <r>
      <rPr>
        <sz val="10"/>
        <rFont val="Times New Roman"/>
        <family val="1"/>
      </rPr>
      <t>Part-time</t>
    </r>
    <phoneticPr fontId="6" type="noConversion"/>
  </si>
  <si>
    <r>
      <rPr>
        <sz val="10"/>
        <rFont val="標楷體"/>
        <family val="4"/>
        <charset val="136"/>
      </rPr>
      <t xml:space="preserve">志願服務
</t>
    </r>
    <r>
      <rPr>
        <sz val="10"/>
        <rFont val="Times New Roman"/>
        <family val="1"/>
      </rPr>
      <t>Volunteer</t>
    </r>
    <phoneticPr fontId="6" type="noConversion"/>
  </si>
  <si>
    <r>
      <rPr>
        <sz val="10"/>
        <rFont val="標楷體"/>
        <family val="4"/>
        <charset val="136"/>
      </rPr>
      <t xml:space="preserve">合計
</t>
    </r>
    <r>
      <rPr>
        <sz val="10"/>
        <rFont val="Times New Roman"/>
        <family val="1"/>
      </rPr>
      <t>Subtotal</t>
    </r>
    <phoneticPr fontId="6" type="noConversion"/>
  </si>
  <si>
    <r>
      <rPr>
        <sz val="10"/>
        <rFont val="標楷體"/>
        <family val="4"/>
        <charset val="136"/>
      </rPr>
      <t>職前訓練</t>
    </r>
    <r>
      <rPr>
        <sz val="10"/>
        <rFont val="Times New Roman"/>
        <family val="1"/>
      </rPr>
      <t>Pre-work Training</t>
    </r>
    <phoneticPr fontId="6" type="noConversion"/>
  </si>
  <si>
    <r>
      <rPr>
        <sz val="10"/>
        <rFont val="標楷體"/>
        <family val="4"/>
        <charset val="136"/>
      </rPr>
      <t>成長訓練</t>
    </r>
    <r>
      <rPr>
        <sz val="10"/>
        <rFont val="Times New Roman"/>
        <family val="1"/>
      </rPr>
      <t>Development Training</t>
    </r>
    <phoneticPr fontId="6" type="noConversion"/>
  </si>
  <si>
    <r>
      <rPr>
        <sz val="10"/>
        <rFont val="標楷體"/>
        <family val="4"/>
        <charset val="136"/>
      </rPr>
      <t xml:space="preserve">進階訓練
</t>
    </r>
    <r>
      <rPr>
        <sz val="10"/>
        <rFont val="Times New Roman"/>
        <family val="1"/>
      </rPr>
      <t>Advanced Training</t>
    </r>
    <phoneticPr fontId="6" type="noConversion"/>
  </si>
  <si>
    <r>
      <rPr>
        <sz val="10"/>
        <rFont val="標楷體"/>
        <family val="4"/>
        <charset val="136"/>
      </rPr>
      <t xml:space="preserve">次數
</t>
    </r>
    <r>
      <rPr>
        <sz val="10"/>
        <rFont val="Times New Roman"/>
        <family val="1"/>
      </rPr>
      <t>Times</t>
    </r>
    <phoneticPr fontId="6" type="noConversion"/>
  </si>
  <si>
    <r>
      <rPr>
        <sz val="10"/>
        <rFont val="標楷體"/>
        <family val="4"/>
        <charset val="136"/>
      </rPr>
      <t xml:space="preserve">人數
</t>
    </r>
    <r>
      <rPr>
        <sz val="10"/>
        <rFont val="Times New Roman"/>
        <family val="1"/>
      </rPr>
      <t>Persons</t>
    </r>
    <phoneticPr fontId="6" type="noConversion"/>
  </si>
  <si>
    <r>
      <rPr>
        <sz val="10"/>
        <rFont val="標楷體"/>
        <family val="4"/>
        <charset val="136"/>
      </rPr>
      <t xml:space="preserve">低收入
</t>
    </r>
    <r>
      <rPr>
        <sz val="10"/>
        <rFont val="Times New Roman"/>
        <family val="1"/>
      </rPr>
      <t>Low-income</t>
    </r>
    <phoneticPr fontId="6" type="noConversion"/>
  </si>
  <si>
    <r>
      <rPr>
        <sz val="10"/>
        <rFont val="標楷體"/>
        <family val="4"/>
        <charset val="136"/>
      </rPr>
      <t xml:space="preserve">中低收入
</t>
    </r>
    <r>
      <rPr>
        <sz val="10"/>
        <rFont val="Times New Roman"/>
        <family val="1"/>
      </rPr>
      <t>Mid-income</t>
    </r>
    <phoneticPr fontId="6" type="noConversion"/>
  </si>
  <si>
    <r>
      <rPr>
        <sz val="10"/>
        <rFont val="標楷體"/>
        <family val="4"/>
        <charset val="136"/>
      </rPr>
      <t xml:space="preserve">一般戶
</t>
    </r>
    <r>
      <rPr>
        <sz val="10"/>
        <rFont val="Times New Roman"/>
        <family val="1"/>
      </rPr>
      <t>General</t>
    </r>
    <phoneticPr fontId="6" type="noConversion"/>
  </si>
  <si>
    <r>
      <rPr>
        <sz val="10"/>
        <rFont val="標楷體"/>
        <family val="4"/>
        <charset val="136"/>
      </rPr>
      <t xml:space="preserve">計
</t>
    </r>
    <r>
      <rPr>
        <sz val="10"/>
        <rFont val="Times New Roman"/>
        <family val="1"/>
      </rPr>
      <t>Subtotal</t>
    </r>
    <phoneticPr fontId="6" type="noConversion"/>
  </si>
  <si>
    <r>
      <rPr>
        <sz val="10"/>
        <rFont val="標楷體"/>
        <family val="4"/>
        <charset val="136"/>
      </rPr>
      <t xml:space="preserve">男
</t>
    </r>
    <r>
      <rPr>
        <sz val="10"/>
        <rFont val="Times New Roman"/>
        <family val="1"/>
      </rPr>
      <t>Male</t>
    </r>
    <phoneticPr fontId="6" type="noConversion"/>
  </si>
  <si>
    <r>
      <rPr>
        <sz val="10"/>
        <rFont val="標楷體"/>
        <family val="4"/>
        <charset val="136"/>
      </rPr>
      <t xml:space="preserve">女
</t>
    </r>
    <r>
      <rPr>
        <sz val="10"/>
        <rFont val="Times New Roman"/>
        <family val="1"/>
      </rPr>
      <t>Female</t>
    </r>
    <phoneticPr fontId="6" type="noConversion"/>
  </si>
  <si>
    <r>
      <rPr>
        <sz val="10"/>
        <rFont val="標楷體"/>
        <family val="4"/>
        <charset val="136"/>
      </rPr>
      <t>次數</t>
    </r>
    <phoneticPr fontId="6" type="noConversion"/>
  </si>
  <si>
    <r>
      <rPr>
        <sz val="10"/>
        <rFont val="標楷體"/>
        <family val="4"/>
        <charset val="136"/>
      </rPr>
      <t>人數</t>
    </r>
    <phoneticPr fontId="6" type="noConversion"/>
  </si>
  <si>
    <r>
      <rPr>
        <sz val="9"/>
        <color indexed="8"/>
        <rFont val="標楷體"/>
        <family val="4"/>
        <charset val="136"/>
      </rPr>
      <t>更新日期：</t>
    </r>
    <r>
      <rPr>
        <sz val="9"/>
        <color indexed="8"/>
        <rFont val="Times New Roman"/>
        <family val="1"/>
      </rPr>
      <t>2017/3/31</t>
    </r>
    <phoneticPr fontId="6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</si>
  <si>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98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2009</t>
    </r>
    <phoneticPr fontId="5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</si>
  <si>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99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2010</t>
    </r>
    <phoneticPr fontId="5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</si>
  <si>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100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2011</t>
    </r>
    <phoneticPr fontId="5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</si>
  <si>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101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2012</t>
    </r>
    <phoneticPr fontId="5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</si>
  <si>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102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2013</t>
    </r>
    <phoneticPr fontId="5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</si>
  <si>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103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 xml:space="preserve">, 2014 </t>
    </r>
    <phoneticPr fontId="6" type="noConversion"/>
  </si>
  <si>
    <r>
      <rPr>
        <sz val="10"/>
        <rFont val="標楷體"/>
        <family val="4"/>
        <charset val="136"/>
      </rPr>
      <t>更新日期</t>
    </r>
    <r>
      <rPr>
        <sz val="10"/>
        <rFont val="Times New Roman"/>
        <family val="1"/>
      </rPr>
      <t>104/08/31</t>
    </r>
    <phoneticPr fontId="6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</si>
  <si>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104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 xml:space="preserve">, 2015 </t>
    </r>
    <phoneticPr fontId="6" type="noConversion"/>
  </si>
  <si>
    <r>
      <rPr>
        <sz val="10"/>
        <rFont val="標楷體"/>
        <family val="4"/>
        <charset val="136"/>
      </rPr>
      <t>更新日期</t>
    </r>
    <r>
      <rPr>
        <sz val="10"/>
        <rFont val="Times New Roman"/>
        <family val="1"/>
      </rPr>
      <t>2016/03/31</t>
    </r>
    <phoneticPr fontId="6" type="noConversion"/>
  </si>
  <si>
    <r>
      <t>總</t>
    </r>
    <r>
      <rPr>
        <sz val="10"/>
        <rFont val="Times New Roman"/>
        <family val="1"/>
      </rPr>
      <t xml:space="preserve">    </t>
    </r>
    <r>
      <rPr>
        <sz val="10"/>
        <rFont val="標楷體"/>
        <family val="4"/>
        <charset val="136"/>
      </rPr>
      <t>計</t>
    </r>
    <phoneticPr fontId="6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</si>
  <si>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105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 xml:space="preserve">, 2016 </t>
    </r>
    <phoneticPr fontId="6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</si>
  <si>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106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2017</t>
    </r>
    <phoneticPr fontId="6" type="noConversion"/>
  </si>
  <si>
    <r>
      <rPr>
        <sz val="9"/>
        <color indexed="8"/>
        <rFont val="標楷體"/>
        <family val="4"/>
        <charset val="136"/>
      </rPr>
      <t>更新日期：</t>
    </r>
    <r>
      <rPr>
        <sz val="9"/>
        <color indexed="8"/>
        <rFont val="Times New Roman"/>
        <family val="1"/>
      </rPr>
      <t>2018/4/20</t>
    </r>
    <phoneticPr fontId="6" type="noConversion"/>
  </si>
  <si>
    <r>
      <rPr>
        <sz val="9"/>
        <rFont val="標楷體"/>
        <family val="4"/>
        <charset val="136"/>
      </rPr>
      <t>新北市</t>
    </r>
    <phoneticPr fontId="5" type="noConversion"/>
  </si>
  <si>
    <r>
      <rPr>
        <sz val="9"/>
        <rFont val="標楷體"/>
        <family val="4"/>
        <charset val="136"/>
      </rPr>
      <t>臺北市</t>
    </r>
    <phoneticPr fontId="5" type="noConversion"/>
  </si>
  <si>
    <r>
      <rPr>
        <sz val="9"/>
        <rFont val="標楷體"/>
        <family val="4"/>
        <charset val="136"/>
      </rPr>
      <t>桃園市</t>
    </r>
    <phoneticPr fontId="5" type="noConversion"/>
  </si>
  <si>
    <r>
      <rPr>
        <sz val="9"/>
        <rFont val="標楷體"/>
        <family val="4"/>
        <charset val="136"/>
      </rPr>
      <t>臺中市</t>
    </r>
    <phoneticPr fontId="5" type="noConversion"/>
  </si>
  <si>
    <r>
      <rPr>
        <sz val="9"/>
        <rFont val="標楷體"/>
        <family val="4"/>
        <charset val="136"/>
      </rPr>
      <t>臺南市</t>
    </r>
    <phoneticPr fontId="5" type="noConversion"/>
  </si>
  <si>
    <t>高雄市</t>
    <phoneticPr fontId="5" type="noConversion"/>
  </si>
  <si>
    <r>
      <rPr>
        <sz val="9"/>
        <color indexed="8"/>
        <rFont val="標楷體"/>
        <family val="4"/>
        <charset val="136"/>
      </rPr>
      <t>　宜蘭縣</t>
    </r>
  </si>
  <si>
    <r>
      <rPr>
        <sz val="9"/>
        <color indexed="8"/>
        <rFont val="標楷體"/>
        <family val="4"/>
        <charset val="136"/>
      </rPr>
      <t>　新竹縣</t>
    </r>
  </si>
  <si>
    <r>
      <rPr>
        <sz val="9"/>
        <color indexed="8"/>
        <rFont val="標楷體"/>
        <family val="4"/>
        <charset val="136"/>
      </rPr>
      <t>　苗栗縣</t>
    </r>
  </si>
  <si>
    <r>
      <rPr>
        <sz val="9"/>
        <color indexed="8"/>
        <rFont val="標楷體"/>
        <family val="4"/>
        <charset val="136"/>
      </rPr>
      <t>　彰化縣</t>
    </r>
  </si>
  <si>
    <r>
      <rPr>
        <sz val="9"/>
        <color indexed="8"/>
        <rFont val="標楷體"/>
        <family val="4"/>
        <charset val="136"/>
      </rPr>
      <t>　南投縣</t>
    </r>
  </si>
  <si>
    <r>
      <rPr>
        <sz val="9"/>
        <color indexed="8"/>
        <rFont val="標楷體"/>
        <family val="4"/>
        <charset val="136"/>
      </rPr>
      <t>　雲林縣</t>
    </r>
  </si>
  <si>
    <r>
      <rPr>
        <sz val="9"/>
        <color indexed="8"/>
        <rFont val="標楷體"/>
        <family val="4"/>
        <charset val="136"/>
      </rPr>
      <t>　嘉義縣</t>
    </r>
  </si>
  <si>
    <r>
      <rPr>
        <sz val="9"/>
        <color indexed="8"/>
        <rFont val="標楷體"/>
        <family val="4"/>
        <charset val="136"/>
      </rPr>
      <t>　屏東縣</t>
    </r>
  </si>
  <si>
    <r>
      <rPr>
        <sz val="9"/>
        <color indexed="8"/>
        <rFont val="標楷體"/>
        <family val="4"/>
        <charset val="136"/>
      </rPr>
      <t>　臺東縣</t>
    </r>
  </si>
  <si>
    <r>
      <rPr>
        <sz val="9"/>
        <color indexed="8"/>
        <rFont val="標楷體"/>
        <family val="4"/>
        <charset val="136"/>
      </rPr>
      <t>　花蓮縣</t>
    </r>
  </si>
  <si>
    <r>
      <rPr>
        <sz val="9"/>
        <color indexed="8"/>
        <rFont val="標楷體"/>
        <family val="4"/>
        <charset val="136"/>
      </rPr>
      <t>　澎湖縣</t>
    </r>
  </si>
  <si>
    <r>
      <rPr>
        <sz val="9"/>
        <color indexed="8"/>
        <rFont val="標楷體"/>
        <family val="4"/>
        <charset val="136"/>
      </rPr>
      <t>　基隆市</t>
    </r>
  </si>
  <si>
    <r>
      <rPr>
        <sz val="9"/>
        <color indexed="8"/>
        <rFont val="標楷體"/>
        <family val="4"/>
        <charset val="136"/>
      </rPr>
      <t>　新竹市</t>
    </r>
  </si>
  <si>
    <r>
      <rPr>
        <sz val="9"/>
        <color indexed="8"/>
        <rFont val="標楷體"/>
        <family val="4"/>
        <charset val="136"/>
      </rPr>
      <t>　嘉義市</t>
    </r>
  </si>
  <si>
    <r>
      <rPr>
        <sz val="9"/>
        <color indexed="8"/>
        <rFont val="標楷體"/>
        <family val="4"/>
        <charset val="136"/>
      </rPr>
      <t>　金門縣</t>
    </r>
  </si>
  <si>
    <r>
      <rPr>
        <sz val="9"/>
        <color indexed="8"/>
        <rFont val="標楷體"/>
        <family val="4"/>
        <charset val="136"/>
      </rPr>
      <t>　連江縣</t>
    </r>
  </si>
  <si>
    <t xml:space="preserve">  新北市</t>
    <phoneticPr fontId="6" type="noConversion"/>
  </si>
  <si>
    <t xml:space="preserve">  臺北市</t>
    <phoneticPr fontId="6" type="noConversion"/>
  </si>
  <si>
    <t xml:space="preserve">  臺中市</t>
    <phoneticPr fontId="6" type="noConversion"/>
  </si>
  <si>
    <t xml:space="preserve">  臺南市</t>
    <phoneticPr fontId="6" type="noConversion"/>
  </si>
  <si>
    <t xml:space="preserve">  高雄市</t>
    <phoneticPr fontId="6" type="noConversion"/>
  </si>
  <si>
    <r>
      <rPr>
        <sz val="8"/>
        <rFont val="標楷體"/>
        <family val="4"/>
        <charset val="136"/>
      </rPr>
      <t>　宜蘭縣</t>
    </r>
    <phoneticPr fontId="6" type="noConversion"/>
  </si>
  <si>
    <r>
      <rPr>
        <sz val="8"/>
        <rFont val="標楷體"/>
        <family val="4"/>
        <charset val="136"/>
      </rPr>
      <t>　桃園縣</t>
    </r>
    <phoneticPr fontId="6" type="noConversion"/>
  </si>
  <si>
    <r>
      <rPr>
        <sz val="8"/>
        <rFont val="標楷體"/>
        <family val="4"/>
        <charset val="136"/>
      </rPr>
      <t>　新竹縣</t>
    </r>
    <phoneticPr fontId="6" type="noConversion"/>
  </si>
  <si>
    <r>
      <rPr>
        <sz val="8"/>
        <rFont val="標楷體"/>
        <family val="4"/>
        <charset val="136"/>
      </rPr>
      <t>　苗栗縣</t>
    </r>
    <phoneticPr fontId="6" type="noConversion"/>
  </si>
  <si>
    <r>
      <rPr>
        <sz val="8"/>
        <rFont val="標楷體"/>
        <family val="4"/>
        <charset val="136"/>
      </rPr>
      <t>　彰化縣</t>
    </r>
    <phoneticPr fontId="6" type="noConversion"/>
  </si>
  <si>
    <r>
      <rPr>
        <sz val="8"/>
        <rFont val="標楷體"/>
        <family val="4"/>
        <charset val="136"/>
      </rPr>
      <t>　南投縣</t>
    </r>
    <phoneticPr fontId="6" type="noConversion"/>
  </si>
  <si>
    <r>
      <rPr>
        <sz val="8"/>
        <rFont val="標楷體"/>
        <family val="4"/>
        <charset val="136"/>
      </rPr>
      <t>　雲林縣</t>
    </r>
    <phoneticPr fontId="6" type="noConversion"/>
  </si>
  <si>
    <r>
      <rPr>
        <sz val="8"/>
        <rFont val="標楷體"/>
        <family val="4"/>
        <charset val="136"/>
      </rPr>
      <t>　嘉義縣</t>
    </r>
    <phoneticPr fontId="6" type="noConversion"/>
  </si>
  <si>
    <r>
      <rPr>
        <sz val="8"/>
        <rFont val="標楷體"/>
        <family val="4"/>
        <charset val="136"/>
      </rPr>
      <t>　屏東縣</t>
    </r>
    <phoneticPr fontId="6" type="noConversion"/>
  </si>
  <si>
    <r>
      <rPr>
        <sz val="8"/>
        <rFont val="標楷體"/>
        <family val="4"/>
        <charset val="136"/>
      </rPr>
      <t>　臺東縣</t>
    </r>
    <phoneticPr fontId="6" type="noConversion"/>
  </si>
  <si>
    <r>
      <rPr>
        <sz val="8"/>
        <rFont val="標楷體"/>
        <family val="4"/>
        <charset val="136"/>
      </rPr>
      <t>　花蓮縣</t>
    </r>
    <phoneticPr fontId="6" type="noConversion"/>
  </si>
  <si>
    <r>
      <rPr>
        <sz val="8"/>
        <rFont val="標楷體"/>
        <family val="4"/>
        <charset val="136"/>
      </rPr>
      <t>　澎湖縣</t>
    </r>
    <phoneticPr fontId="6" type="noConversion"/>
  </si>
  <si>
    <r>
      <rPr>
        <sz val="8"/>
        <rFont val="標楷體"/>
        <family val="4"/>
        <charset val="136"/>
      </rPr>
      <t>　基隆市</t>
    </r>
    <phoneticPr fontId="6" type="noConversion"/>
  </si>
  <si>
    <r>
      <rPr>
        <sz val="8"/>
        <rFont val="標楷體"/>
        <family val="4"/>
        <charset val="136"/>
      </rPr>
      <t>　新竹市</t>
    </r>
    <phoneticPr fontId="6" type="noConversion"/>
  </si>
  <si>
    <r>
      <rPr>
        <sz val="8"/>
        <rFont val="標楷體"/>
        <family val="4"/>
        <charset val="136"/>
      </rPr>
      <t>　嘉義市</t>
    </r>
    <phoneticPr fontId="6" type="noConversion"/>
  </si>
  <si>
    <r>
      <rPr>
        <sz val="8"/>
        <rFont val="標楷體"/>
        <family val="4"/>
        <charset val="136"/>
      </rPr>
      <t>　金門縣</t>
    </r>
    <phoneticPr fontId="6" type="noConversion"/>
  </si>
  <si>
    <r>
      <rPr>
        <sz val="8"/>
        <rFont val="標楷體"/>
        <family val="4"/>
        <charset val="136"/>
      </rPr>
      <t>　連江縣</t>
    </r>
    <phoneticPr fontId="6" type="noConversion"/>
  </si>
  <si>
    <r>
      <rPr>
        <sz val="8"/>
        <rFont val="標楷體"/>
        <family val="4"/>
        <charset val="136"/>
      </rPr>
      <t>　臺北縣</t>
    </r>
    <phoneticPr fontId="6" type="noConversion"/>
  </si>
  <si>
    <r>
      <rPr>
        <sz val="8"/>
        <rFont val="標楷體"/>
        <family val="4"/>
        <charset val="136"/>
      </rPr>
      <t>　臺中縣</t>
    </r>
    <phoneticPr fontId="6" type="noConversion"/>
  </si>
  <si>
    <r>
      <rPr>
        <sz val="8"/>
        <rFont val="標楷體"/>
        <family val="4"/>
        <charset val="136"/>
      </rPr>
      <t>　臺南縣</t>
    </r>
    <phoneticPr fontId="6" type="noConversion"/>
  </si>
  <si>
    <r>
      <rPr>
        <sz val="8"/>
        <rFont val="標楷體"/>
        <family val="4"/>
        <charset val="136"/>
      </rPr>
      <t>　高雄縣</t>
    </r>
    <phoneticPr fontId="6" type="noConversion"/>
  </si>
  <si>
    <r>
      <rPr>
        <sz val="8"/>
        <rFont val="標楷體"/>
        <family val="4"/>
        <charset val="136"/>
      </rPr>
      <t>　臺中市</t>
    </r>
    <phoneticPr fontId="6" type="noConversion"/>
  </si>
  <si>
    <r>
      <rPr>
        <sz val="8"/>
        <rFont val="標楷體"/>
        <family val="4"/>
        <charset val="136"/>
      </rPr>
      <t>　臺南市</t>
    </r>
    <phoneticPr fontId="6" type="noConversion"/>
  </si>
  <si>
    <r>
      <rPr>
        <sz val="10"/>
        <rFont val="標楷體"/>
        <family val="4"/>
        <charset val="136"/>
      </rPr>
      <t>居家服務人員</t>
    </r>
    <r>
      <rPr>
        <sz val="10"/>
        <rFont val="Times New Roman"/>
        <family val="1"/>
      </rPr>
      <t xml:space="preserve"> Care Providers</t>
    </r>
    <phoneticPr fontId="6" type="noConversion"/>
  </si>
  <si>
    <t>居家服務教育訓練 Education Training</t>
    <phoneticPr fontId="6" type="noConversion"/>
  </si>
  <si>
    <r>
      <t>總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計</t>
    </r>
    <phoneticPr fontId="6" type="noConversion"/>
  </si>
  <si>
    <t>長照低收入戶</t>
  </si>
  <si>
    <t>長照中低收入戶</t>
  </si>
  <si>
    <t>長照一般戶</t>
  </si>
  <si>
    <t>合計
Total</t>
    <phoneticPr fontId="6" type="noConversion"/>
  </si>
  <si>
    <r>
      <rPr>
        <sz val="10"/>
        <rFont val="標楷體"/>
        <family val="4"/>
        <charset val="136"/>
      </rPr>
      <t>總計</t>
    </r>
  </si>
  <si>
    <r>
      <t>65</t>
    </r>
    <r>
      <rPr>
        <sz val="10"/>
        <rFont val="標楷體"/>
        <family val="4"/>
        <charset val="136"/>
      </rPr>
      <t>歲以上失能老人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不含</t>
    </r>
    <r>
      <rPr>
        <sz val="10"/>
        <rFont val="Times New Roman"/>
        <family val="1"/>
      </rPr>
      <t>50</t>
    </r>
    <r>
      <rPr>
        <sz val="10"/>
        <rFont val="標楷體"/>
        <family val="4"/>
        <charset val="136"/>
      </rPr>
      <t>歲以上失智</t>
    </r>
    <r>
      <rPr>
        <sz val="10"/>
        <rFont val="Times New Roman"/>
        <family val="1"/>
      </rPr>
      <t>)</t>
    </r>
    <phoneticPr fontId="6" type="noConversion"/>
  </si>
  <si>
    <r>
      <t>55-64</t>
    </r>
    <r>
      <rPr>
        <sz val="10"/>
        <rFont val="標楷體"/>
        <family val="4"/>
        <charset val="136"/>
      </rPr>
      <t>歲失能原住民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不含</t>
    </r>
    <r>
      <rPr>
        <sz val="10"/>
        <rFont val="Times New Roman"/>
        <family val="1"/>
      </rPr>
      <t>50</t>
    </r>
    <r>
      <rPr>
        <sz val="10"/>
        <rFont val="標楷體"/>
        <family val="4"/>
        <charset val="136"/>
      </rPr>
      <t>歲以上失智</t>
    </r>
    <r>
      <rPr>
        <sz val="10"/>
        <rFont val="Times New Roman"/>
        <family val="1"/>
      </rPr>
      <t>)</t>
    </r>
    <phoneticPr fontId="6" type="noConversion"/>
  </si>
  <si>
    <r>
      <rPr>
        <sz val="10"/>
        <rFont val="標楷體"/>
        <family val="4"/>
        <charset val="136"/>
      </rPr>
      <t>未滿</t>
    </r>
    <r>
      <rPr>
        <sz val="10"/>
        <rFont val="Times New Roman"/>
        <family val="1"/>
      </rPr>
      <t>65</t>
    </r>
    <r>
      <rPr>
        <sz val="10"/>
        <rFont val="標楷體"/>
        <family val="4"/>
        <charset val="136"/>
      </rPr>
      <t>歲失能身心障礙者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不含</t>
    </r>
    <r>
      <rPr>
        <sz val="10"/>
        <rFont val="Times New Roman"/>
        <family val="1"/>
      </rPr>
      <t>50</t>
    </r>
    <r>
      <rPr>
        <sz val="10"/>
        <rFont val="標楷體"/>
        <family val="4"/>
        <charset val="136"/>
      </rPr>
      <t>歲以上失智、</t>
    </r>
    <r>
      <rPr>
        <sz val="10"/>
        <rFont val="Times New Roman"/>
        <family val="1"/>
      </rPr>
      <t>65</t>
    </r>
    <r>
      <rPr>
        <sz val="10"/>
        <rFont val="標楷體"/>
        <family val="4"/>
        <charset val="136"/>
      </rPr>
      <t>歲以上失能老人、</t>
    </r>
    <r>
      <rPr>
        <sz val="10"/>
        <rFont val="Times New Roman"/>
        <family val="1"/>
      </rPr>
      <t>55-64</t>
    </r>
    <r>
      <rPr>
        <sz val="10"/>
        <rFont val="標楷體"/>
        <family val="4"/>
        <charset val="136"/>
      </rPr>
      <t>歲失能原住民</t>
    </r>
    <r>
      <rPr>
        <sz val="10"/>
        <rFont val="Times New Roman"/>
        <family val="1"/>
      </rPr>
      <t>)</t>
    </r>
    <phoneticPr fontId="6" type="noConversion"/>
  </si>
  <si>
    <r>
      <t>50</t>
    </r>
    <r>
      <rPr>
        <sz val="10"/>
        <rFont val="標楷體"/>
        <family val="4"/>
        <charset val="136"/>
      </rPr>
      <t>歲以上失智</t>
    </r>
    <r>
      <rPr>
        <sz val="10"/>
        <rFont val="Times New Roman"/>
        <family val="1"/>
      </rPr>
      <t>(CDR 1</t>
    </r>
    <r>
      <rPr>
        <sz val="10"/>
        <rFont val="標楷體"/>
        <family val="4"/>
        <charset val="136"/>
      </rPr>
      <t>分以上</t>
    </r>
    <r>
      <rPr>
        <sz val="10"/>
        <rFont val="Times New Roman"/>
        <family val="1"/>
      </rPr>
      <t>or</t>
    </r>
    <r>
      <rPr>
        <sz val="10"/>
        <rFont val="標楷體"/>
        <family val="4"/>
        <charset val="136"/>
      </rPr>
      <t>身障資格為失智類</t>
    </r>
    <r>
      <rPr>
        <sz val="10"/>
        <rFont val="Times New Roman"/>
        <family val="1"/>
      </rPr>
      <t>)</t>
    </r>
    <phoneticPr fontId="6" type="noConversion"/>
  </si>
  <si>
    <r>
      <rPr>
        <sz val="10"/>
        <rFont val="標楷體"/>
        <family val="4"/>
        <charset val="136"/>
      </rPr>
      <t xml:space="preserve">督導員
</t>
    </r>
    <r>
      <rPr>
        <sz val="10"/>
        <rFont val="Times New Roman"/>
        <family val="1"/>
      </rPr>
      <t>Supervisor</t>
    </r>
    <phoneticPr fontId="6" type="noConversion"/>
  </si>
  <si>
    <r>
      <rPr>
        <sz val="10"/>
        <rFont val="標楷體"/>
        <family val="4"/>
        <charset val="136"/>
      </rPr>
      <t xml:space="preserve">照顧服務員
</t>
    </r>
    <r>
      <rPr>
        <sz val="10"/>
        <rFont val="Times New Roman"/>
        <family val="1"/>
      </rPr>
      <t>Care Worker</t>
    </r>
    <phoneticPr fontId="6" type="noConversion"/>
  </si>
  <si>
    <r>
      <rPr>
        <sz val="10"/>
        <rFont val="標楷體"/>
        <family val="4"/>
        <charset val="136"/>
      </rPr>
      <t>合計</t>
    </r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</si>
  <si>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107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2018</t>
    </r>
    <phoneticPr fontId="6" type="noConversion"/>
  </si>
  <si>
    <r>
      <rPr>
        <sz val="9"/>
        <color indexed="8"/>
        <rFont val="標楷體"/>
        <family val="4"/>
        <charset val="136"/>
      </rPr>
      <t>更新日期：</t>
    </r>
    <r>
      <rPr>
        <sz val="9"/>
        <color indexed="8"/>
        <rFont val="Times New Roman"/>
        <family val="1"/>
      </rPr>
      <t>2019/04/01</t>
    </r>
    <phoneticPr fontId="6" type="noConversion"/>
  </si>
  <si>
    <r>
      <rPr>
        <sz val="9"/>
        <rFont val="標楷體"/>
        <family val="4"/>
        <charset val="136"/>
      </rPr>
      <t>備註：「服務個案人數」中個案具有多重身分時，認定優先順序，依序為『</t>
    </r>
    <r>
      <rPr>
        <sz val="9"/>
        <rFont val="Times New Roman"/>
        <family val="1"/>
      </rPr>
      <t>50</t>
    </r>
    <r>
      <rPr>
        <sz val="9"/>
        <rFont val="標楷體"/>
        <family val="4"/>
        <charset val="136"/>
      </rPr>
      <t>歲以上失智者』、『</t>
    </r>
    <r>
      <rPr>
        <sz val="9"/>
        <rFont val="Times New Roman"/>
        <family val="1"/>
      </rPr>
      <t>55-64</t>
    </r>
    <r>
      <rPr>
        <sz val="9"/>
        <rFont val="標楷體"/>
        <family val="4"/>
        <charset val="136"/>
      </rPr>
      <t>歲原住民』、『</t>
    </r>
    <r>
      <rPr>
        <sz val="9"/>
        <rFont val="Times New Roman"/>
        <family val="1"/>
      </rPr>
      <t>65</t>
    </r>
    <r>
      <rPr>
        <sz val="9"/>
        <rFont val="標楷體"/>
        <family val="4"/>
        <charset val="136"/>
      </rPr>
      <t>歲以下領有身心障礙證明者』、『</t>
    </r>
    <r>
      <rPr>
        <sz val="9"/>
        <rFont val="Times New Roman"/>
        <family val="1"/>
      </rPr>
      <t>65</t>
    </r>
    <r>
      <rPr>
        <sz val="9"/>
        <rFont val="標楷體"/>
        <family val="4"/>
        <charset val="136"/>
      </rPr>
      <t>歲以上領有身心障礙證明者』、『</t>
    </r>
    <r>
      <rPr>
        <sz val="9"/>
        <rFont val="Times New Roman"/>
        <family val="1"/>
      </rPr>
      <t>65</t>
    </r>
    <r>
      <rPr>
        <sz val="9"/>
        <rFont val="標楷體"/>
        <family val="4"/>
        <charset val="136"/>
      </rPr>
      <t>歲以上老人</t>
    </r>
    <r>
      <rPr>
        <sz val="9"/>
        <rFont val="Times New Roman"/>
        <family val="1"/>
      </rPr>
      <t>(</t>
    </r>
    <r>
      <rPr>
        <sz val="9"/>
        <rFont val="標楷體"/>
        <family val="4"/>
        <charset val="136"/>
      </rPr>
      <t>含</t>
    </r>
    <r>
      <rPr>
        <sz val="9"/>
        <rFont val="Times New Roman"/>
        <family val="1"/>
      </rPr>
      <t>IADLs</t>
    </r>
    <r>
      <rPr>
        <sz val="9"/>
        <rFont val="標楷體"/>
        <family val="4"/>
        <charset val="136"/>
      </rPr>
      <t>失能且獨居老人</t>
    </r>
    <r>
      <rPr>
        <sz val="9"/>
        <rFont val="Times New Roman"/>
        <family val="1"/>
      </rPr>
      <t>)</t>
    </r>
    <r>
      <rPr>
        <sz val="9"/>
        <rFont val="標楷體"/>
        <family val="4"/>
        <charset val="136"/>
      </rPr>
      <t>』。</t>
    </r>
    <r>
      <rPr>
        <sz val="9"/>
        <rFont val="Times New Roman"/>
        <family val="1"/>
      </rPr>
      <t xml:space="preserve"> </t>
    </r>
    <phoneticPr fontId="5" type="noConversion"/>
  </si>
  <si>
    <r>
      <rPr>
        <sz val="10"/>
        <rFont val="標楷體"/>
        <family val="4"/>
        <charset val="136"/>
      </rPr>
      <t>居家照顧服務人員</t>
    </r>
    <r>
      <rPr>
        <sz val="10"/>
        <rFont val="Times New Roman"/>
        <family val="1"/>
      </rPr>
      <t xml:space="preserve"> Care Providers</t>
    </r>
    <phoneticPr fontId="6" type="noConversion"/>
  </si>
  <si>
    <r>
      <rPr>
        <sz val="10"/>
        <rFont val="標楷體"/>
        <family val="4"/>
        <charset val="136"/>
      </rPr>
      <t xml:space="preserve">兼職人員
</t>
    </r>
    <r>
      <rPr>
        <sz val="10"/>
        <rFont val="Times New Roman"/>
        <family val="1"/>
      </rPr>
      <t>Part-time</t>
    </r>
    <phoneticPr fontId="6" type="noConversion"/>
  </si>
  <si>
    <r>
      <rPr>
        <sz val="10"/>
        <rFont val="標楷體"/>
        <family val="4"/>
        <charset val="136"/>
      </rPr>
      <t xml:space="preserve">居家服務督導員
</t>
    </r>
    <r>
      <rPr>
        <sz val="10"/>
        <rFont val="Times New Roman"/>
        <family val="1"/>
      </rPr>
      <t>Care Worker</t>
    </r>
    <phoneticPr fontId="6" type="noConversion"/>
  </si>
  <si>
    <r>
      <rPr>
        <sz val="10"/>
        <rFont val="標楷體"/>
        <family val="4"/>
        <charset val="136"/>
      </rPr>
      <t>本期服務個案人數</t>
    </r>
    <r>
      <rPr>
        <sz val="10"/>
        <rFont val="Times New Roman"/>
        <family val="1"/>
      </rPr>
      <t xml:space="preserve"> Persons Served</t>
    </r>
    <phoneticPr fontId="6" type="noConversion"/>
  </si>
  <si>
    <r>
      <rPr>
        <sz val="10"/>
        <rFont val="標楷體"/>
        <family val="4"/>
        <charset val="136"/>
      </rPr>
      <t xml:space="preserve">場次
</t>
    </r>
    <r>
      <rPr>
        <sz val="10"/>
        <rFont val="Times New Roman"/>
        <family val="1"/>
      </rPr>
      <t>Times</t>
    </r>
    <phoneticPr fontId="6" type="noConversion"/>
  </si>
  <si>
    <r>
      <rPr>
        <sz val="10"/>
        <rFont val="標楷體"/>
        <family val="4"/>
        <charset val="136"/>
      </rPr>
      <t xml:space="preserve">專職服務
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每週</t>
    </r>
    <r>
      <rPr>
        <sz val="10"/>
        <rFont val="Times New Roman"/>
        <family val="1"/>
      </rPr>
      <t>40</t>
    </r>
    <r>
      <rPr>
        <sz val="10"/>
        <rFont val="標楷體"/>
        <family val="4"/>
        <charset val="136"/>
      </rPr>
      <t>小時</t>
    </r>
    <r>
      <rPr>
        <sz val="10"/>
        <rFont val="Times New Roman"/>
        <family val="1"/>
      </rPr>
      <t>)
Full-time</t>
    </r>
    <phoneticPr fontId="6" type="noConversion"/>
  </si>
  <si>
    <t>Total</t>
  </si>
  <si>
    <r>
      <rPr>
        <sz val="10"/>
        <rFont val="標楷體"/>
        <family val="4"/>
        <charset val="136"/>
      </rPr>
      <t>總計</t>
    </r>
    <phoneticPr fontId="6" type="noConversion"/>
  </si>
  <si>
    <r>
      <rPr>
        <sz val="10"/>
        <rFont val="標楷體"/>
        <family val="4"/>
        <charset val="136"/>
      </rPr>
      <t>新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北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市</t>
    </r>
    <phoneticPr fontId="6" type="noConversion"/>
  </si>
  <si>
    <r>
      <rPr>
        <sz val="10"/>
        <rFont val="標楷體"/>
        <family val="4"/>
        <charset val="136"/>
      </rPr>
      <t>臺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北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市</t>
    </r>
    <phoneticPr fontId="6" type="noConversion"/>
  </si>
  <si>
    <r>
      <rPr>
        <sz val="10"/>
        <rFont val="標楷體"/>
        <family val="4"/>
        <charset val="136"/>
      </rPr>
      <t>桃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園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市</t>
    </r>
    <phoneticPr fontId="6" type="noConversion"/>
  </si>
  <si>
    <r>
      <rPr>
        <sz val="10"/>
        <rFont val="標楷體"/>
        <family val="4"/>
        <charset val="136"/>
      </rPr>
      <t>臺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中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市</t>
    </r>
    <phoneticPr fontId="6" type="noConversion"/>
  </si>
  <si>
    <r>
      <rPr>
        <sz val="10"/>
        <rFont val="標楷體"/>
        <family val="4"/>
        <charset val="136"/>
      </rPr>
      <t>臺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南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市</t>
    </r>
    <phoneticPr fontId="6" type="noConversion"/>
  </si>
  <si>
    <r>
      <rPr>
        <sz val="10"/>
        <rFont val="標楷體"/>
        <family val="4"/>
        <charset val="136"/>
      </rPr>
      <t>高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雄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市</t>
    </r>
    <phoneticPr fontId="6" type="noConversion"/>
  </si>
  <si>
    <r>
      <rPr>
        <sz val="10"/>
        <rFont val="標楷體"/>
        <family val="4"/>
        <charset val="136"/>
      </rPr>
      <t>　宜蘭縣</t>
    </r>
    <phoneticPr fontId="6" type="noConversion"/>
  </si>
  <si>
    <r>
      <rPr>
        <sz val="10"/>
        <rFont val="標楷體"/>
        <family val="4"/>
        <charset val="136"/>
      </rPr>
      <t>　新竹縣</t>
    </r>
    <phoneticPr fontId="6" type="noConversion"/>
  </si>
  <si>
    <r>
      <rPr>
        <sz val="10"/>
        <rFont val="標楷體"/>
        <family val="4"/>
        <charset val="136"/>
      </rPr>
      <t>　苗栗縣</t>
    </r>
    <phoneticPr fontId="6" type="noConversion"/>
  </si>
  <si>
    <r>
      <rPr>
        <sz val="10"/>
        <rFont val="標楷體"/>
        <family val="4"/>
        <charset val="136"/>
      </rPr>
      <t>　彰化縣</t>
    </r>
    <phoneticPr fontId="6" type="noConversion"/>
  </si>
  <si>
    <r>
      <rPr>
        <sz val="10"/>
        <rFont val="標楷體"/>
        <family val="4"/>
        <charset val="136"/>
      </rPr>
      <t>　南投縣</t>
    </r>
    <phoneticPr fontId="6" type="noConversion"/>
  </si>
  <si>
    <r>
      <rPr>
        <sz val="10"/>
        <rFont val="標楷體"/>
        <family val="4"/>
        <charset val="136"/>
      </rPr>
      <t>　雲林縣</t>
    </r>
    <phoneticPr fontId="6" type="noConversion"/>
  </si>
  <si>
    <r>
      <rPr>
        <sz val="10"/>
        <rFont val="標楷體"/>
        <family val="4"/>
        <charset val="136"/>
      </rPr>
      <t>　嘉義縣</t>
    </r>
    <phoneticPr fontId="6" type="noConversion"/>
  </si>
  <si>
    <r>
      <rPr>
        <sz val="10"/>
        <rFont val="標楷體"/>
        <family val="4"/>
        <charset val="136"/>
      </rPr>
      <t>　屏東縣</t>
    </r>
    <phoneticPr fontId="6" type="noConversion"/>
  </si>
  <si>
    <r>
      <rPr>
        <sz val="10"/>
        <rFont val="標楷體"/>
        <family val="4"/>
        <charset val="136"/>
      </rPr>
      <t>　臺東縣</t>
    </r>
    <phoneticPr fontId="6" type="noConversion"/>
  </si>
  <si>
    <r>
      <rPr>
        <sz val="10"/>
        <rFont val="標楷體"/>
        <family val="4"/>
        <charset val="136"/>
      </rPr>
      <t>　花蓮縣</t>
    </r>
    <phoneticPr fontId="6" type="noConversion"/>
  </si>
  <si>
    <r>
      <rPr>
        <sz val="10"/>
        <rFont val="標楷體"/>
        <family val="4"/>
        <charset val="136"/>
      </rPr>
      <t>　澎湖縣</t>
    </r>
    <phoneticPr fontId="6" type="noConversion"/>
  </si>
  <si>
    <r>
      <rPr>
        <sz val="10"/>
        <rFont val="標楷體"/>
        <family val="4"/>
        <charset val="136"/>
      </rPr>
      <t>　基隆市</t>
    </r>
    <phoneticPr fontId="6" type="noConversion"/>
  </si>
  <si>
    <r>
      <rPr>
        <sz val="10"/>
        <rFont val="標楷體"/>
        <family val="4"/>
        <charset val="136"/>
      </rPr>
      <t>　新竹市</t>
    </r>
    <phoneticPr fontId="6" type="noConversion"/>
  </si>
  <si>
    <r>
      <rPr>
        <sz val="10"/>
        <rFont val="標楷體"/>
        <family val="4"/>
        <charset val="136"/>
      </rPr>
      <t>　嘉義市</t>
    </r>
    <phoneticPr fontId="6" type="noConversion"/>
  </si>
  <si>
    <r>
      <rPr>
        <sz val="10"/>
        <rFont val="標楷體"/>
        <family val="4"/>
        <charset val="136"/>
      </rPr>
      <t>　金門縣</t>
    </r>
    <phoneticPr fontId="6" type="noConversion"/>
  </si>
  <si>
    <r>
      <rPr>
        <sz val="10"/>
        <rFont val="標楷體"/>
        <family val="4"/>
        <charset val="136"/>
      </rPr>
      <t>　連江縣</t>
    </r>
    <phoneticPr fontId="6" type="noConversion"/>
  </si>
  <si>
    <r>
      <rPr>
        <sz val="10"/>
        <color indexed="12"/>
        <rFont val="標楷體"/>
        <family val="4"/>
        <charset val="136"/>
      </rPr>
      <t>計</t>
    </r>
    <r>
      <rPr>
        <sz val="10"/>
        <color indexed="12"/>
        <rFont val="Times New Roman"/>
        <family val="1"/>
      </rPr>
      <t>Total</t>
    </r>
    <phoneticPr fontId="5" type="noConversion"/>
  </si>
  <si>
    <r>
      <rPr>
        <sz val="10"/>
        <rFont val="標楷體"/>
        <family val="4"/>
        <charset val="136"/>
      </rPr>
      <t>男</t>
    </r>
    <r>
      <rPr>
        <sz val="10"/>
        <rFont val="Times New Roman"/>
        <family val="1"/>
      </rPr>
      <t>Male</t>
    </r>
    <phoneticPr fontId="5" type="noConversion"/>
  </si>
  <si>
    <r>
      <rPr>
        <sz val="10"/>
        <rFont val="標楷體"/>
        <family val="4"/>
        <charset val="136"/>
      </rPr>
      <t>女</t>
    </r>
    <r>
      <rPr>
        <sz val="10"/>
        <rFont val="Times New Roman"/>
        <family val="1"/>
      </rPr>
      <t>Female</t>
    </r>
    <phoneticPr fontId="5" type="noConversion"/>
  </si>
  <si>
    <t>總計</t>
  </si>
  <si>
    <t>65歲以上老人
(含IADLs失能且獨居之老人)</t>
  </si>
  <si>
    <t>55-64歲原住民</t>
  </si>
  <si>
    <t>50歲以上失智症者</t>
  </si>
  <si>
    <r>
      <rPr>
        <sz val="11"/>
        <rFont val="標楷體"/>
        <family val="4"/>
        <charset val="136"/>
      </rPr>
      <t>合計</t>
    </r>
  </si>
  <si>
    <t>長照中低收入戶</t>
    <phoneticPr fontId="6" type="noConversion"/>
  </si>
  <si>
    <t>65歲以上
領有身心障礙證明者</t>
    <phoneticPr fontId="6" type="noConversion"/>
  </si>
  <si>
    <t>64歲以下
領有身心障礙證明者</t>
    <phoneticPr fontId="6" type="noConversion"/>
  </si>
  <si>
    <r>
      <rPr>
        <sz val="10"/>
        <rFont val="標楷體"/>
        <family val="4"/>
        <charset val="136"/>
      </rPr>
      <t xml:space="preserve">總計
</t>
    </r>
    <r>
      <rPr>
        <sz val="10"/>
        <rFont val="Times New Roman"/>
        <family val="1"/>
      </rPr>
      <t>Total</t>
    </r>
    <phoneticPr fontId="6" type="noConversion"/>
  </si>
  <si>
    <t>合計</t>
    <phoneticPr fontId="6" type="noConversion"/>
  </si>
  <si>
    <r>
      <rPr>
        <sz val="10"/>
        <rFont val="標楷體"/>
        <family val="4"/>
        <charset val="136"/>
      </rPr>
      <t>合計</t>
    </r>
    <r>
      <rPr>
        <sz val="10"/>
        <rFont val="Times New Roman"/>
        <family val="1"/>
      </rPr>
      <t xml:space="preserve">
Total</t>
    </r>
    <phoneticPr fontId="6" type="noConversion"/>
  </si>
  <si>
    <r>
      <rPr>
        <sz val="10"/>
        <rFont val="標楷體"/>
        <family val="4"/>
        <charset val="136"/>
      </rPr>
      <t xml:space="preserve">居家服務督導員教育訓練
</t>
    </r>
    <r>
      <rPr>
        <sz val="10"/>
        <rFont val="Times New Roman"/>
        <family val="1"/>
      </rPr>
      <t>Supervisor</t>
    </r>
    <phoneticPr fontId="6" type="noConversion"/>
  </si>
  <si>
    <r>
      <rPr>
        <sz val="10"/>
        <rFont val="標楷體"/>
        <family val="4"/>
        <charset val="136"/>
      </rPr>
      <t xml:space="preserve">照顧服務員訓練
</t>
    </r>
    <r>
      <rPr>
        <sz val="10"/>
        <rFont val="Times New Roman"/>
        <family val="1"/>
      </rPr>
      <t>Care Worker</t>
    </r>
    <phoneticPr fontId="6" type="noConversion"/>
  </si>
  <si>
    <t>教育訓練</t>
    <phoneticPr fontId="6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</si>
  <si>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108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2019</t>
    </r>
    <phoneticPr fontId="6" type="noConversion"/>
  </si>
  <si>
    <r>
      <rPr>
        <sz val="9"/>
        <color indexed="8"/>
        <rFont val="標楷體"/>
        <family val="4"/>
        <charset val="136"/>
      </rPr>
      <t>更新日期：</t>
    </r>
    <r>
      <rPr>
        <sz val="9"/>
        <color indexed="8"/>
        <rFont val="Times New Roman"/>
        <family val="1"/>
      </rPr>
      <t>2020/6/10</t>
    </r>
    <phoneticPr fontId="6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</si>
  <si>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109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2020</t>
    </r>
    <phoneticPr fontId="6" type="noConversion"/>
  </si>
  <si>
    <r>
      <rPr>
        <sz val="9"/>
        <color indexed="8"/>
        <rFont val="標楷體"/>
        <family val="4"/>
        <charset val="136"/>
      </rPr>
      <t>更新日期：</t>
    </r>
    <r>
      <rPr>
        <sz val="9"/>
        <color indexed="8"/>
        <rFont val="Times New Roman"/>
        <family val="1"/>
      </rPr>
      <t>2021/4/30</t>
    </r>
    <phoneticPr fontId="6" type="noConversion"/>
  </si>
  <si>
    <r>
      <rPr>
        <b/>
        <sz val="16"/>
        <rFont val="標楷體"/>
        <family val="4"/>
        <charset val="136"/>
      </rPr>
      <t>長期照顧十年計畫－家庭托顧</t>
    </r>
    <r>
      <rPr>
        <b/>
        <sz val="16"/>
        <rFont val="Times New Roman"/>
        <family val="1"/>
      </rPr>
      <t xml:space="preserve"> Achievements of Ten-year Long Term Care Program by Family Support Services</t>
    </r>
    <phoneticPr fontId="5" type="noConversion"/>
  </si>
  <si>
    <r>
      <rPr>
        <sz val="9"/>
        <rFont val="標楷體"/>
        <family val="4"/>
        <charset val="136"/>
      </rPr>
      <t>服務單位數</t>
    </r>
    <r>
      <rPr>
        <sz val="9"/>
        <rFont val="Times New Roman"/>
        <family val="1"/>
      </rPr>
      <t>(</t>
    </r>
    <r>
      <rPr>
        <sz val="9"/>
        <rFont val="標楷體"/>
        <family val="4"/>
        <charset val="136"/>
      </rPr>
      <t>個</t>
    </r>
    <r>
      <rPr>
        <sz val="9"/>
        <rFont val="Times New Roman"/>
        <family val="1"/>
      </rPr>
      <t xml:space="preserve">)
Places </t>
    </r>
    <phoneticPr fontId="6" type="noConversion"/>
  </si>
  <si>
    <r>
      <rPr>
        <sz val="9"/>
        <rFont val="標楷體"/>
        <family val="4"/>
        <charset val="136"/>
      </rPr>
      <t>期底服務個案人數</t>
    </r>
    <r>
      <rPr>
        <sz val="9"/>
        <rFont val="Times New Roman"/>
        <family val="1"/>
      </rPr>
      <t xml:space="preserve"> Persons Served (End of Year)</t>
    </r>
    <phoneticPr fontId="6" type="noConversion"/>
  </si>
  <si>
    <r>
      <rPr>
        <sz val="9"/>
        <rFont val="標楷體"/>
        <family val="4"/>
        <charset val="136"/>
      </rPr>
      <t>本期服務人次</t>
    </r>
    <r>
      <rPr>
        <sz val="9"/>
        <rFont val="Times New Roman"/>
        <family val="1"/>
      </rPr>
      <t>(</t>
    </r>
    <r>
      <rPr>
        <sz val="9"/>
        <rFont val="標楷體"/>
        <family val="4"/>
        <charset val="136"/>
      </rPr>
      <t>日</t>
    </r>
    <r>
      <rPr>
        <sz val="9"/>
        <rFont val="Times New Roman"/>
        <family val="1"/>
      </rPr>
      <t>) Services Person-times</t>
    </r>
    <phoneticPr fontId="6" type="noConversion"/>
  </si>
  <si>
    <r>
      <rPr>
        <sz val="9"/>
        <rFont val="標楷體"/>
        <family val="4"/>
        <charset val="136"/>
      </rPr>
      <t>本期服務時數</t>
    </r>
    <r>
      <rPr>
        <sz val="9"/>
        <rFont val="Times New Roman"/>
        <family val="1"/>
      </rPr>
      <t xml:space="preserve"> Services Hours</t>
    </r>
    <phoneticPr fontId="6" type="noConversion"/>
  </si>
  <si>
    <r>
      <rPr>
        <sz val="9"/>
        <rFont val="標楷體"/>
        <family val="4"/>
        <charset val="136"/>
      </rPr>
      <t xml:space="preserve">合計
</t>
    </r>
    <r>
      <rPr>
        <sz val="9"/>
        <rFont val="Times New Roman"/>
        <family val="1"/>
      </rPr>
      <t>Total</t>
    </r>
    <phoneticPr fontId="6" type="noConversion"/>
  </si>
  <si>
    <r>
      <rPr>
        <sz val="9"/>
        <rFont val="標楷體"/>
        <family val="4"/>
        <charset val="136"/>
      </rPr>
      <t xml:space="preserve">低收入
</t>
    </r>
    <r>
      <rPr>
        <sz val="9"/>
        <rFont val="Times New Roman"/>
        <family val="1"/>
      </rPr>
      <t>Low-income</t>
    </r>
    <phoneticPr fontId="6" type="noConversion"/>
  </si>
  <si>
    <r>
      <rPr>
        <sz val="9"/>
        <rFont val="標楷體"/>
        <family val="4"/>
        <charset val="136"/>
      </rPr>
      <t xml:space="preserve">中低收入
</t>
    </r>
    <r>
      <rPr>
        <sz val="9"/>
        <rFont val="Times New Roman"/>
        <family val="1"/>
      </rPr>
      <t>Mid-income</t>
    </r>
    <phoneticPr fontId="6" type="noConversion"/>
  </si>
  <si>
    <r>
      <rPr>
        <sz val="9"/>
        <rFont val="標楷體"/>
        <family val="4"/>
        <charset val="136"/>
      </rPr>
      <t xml:space="preserve">一般戶
</t>
    </r>
    <r>
      <rPr>
        <sz val="9"/>
        <rFont val="Times New Roman"/>
        <family val="1"/>
      </rPr>
      <t>General</t>
    </r>
    <phoneticPr fontId="6" type="noConversion"/>
  </si>
  <si>
    <r>
      <rPr>
        <sz val="9"/>
        <rFont val="標楷體"/>
        <family val="4"/>
        <charset val="136"/>
      </rPr>
      <t xml:space="preserve">計
</t>
    </r>
    <r>
      <rPr>
        <sz val="9"/>
        <rFont val="Times New Roman"/>
        <family val="1"/>
      </rPr>
      <t>Subtotal</t>
    </r>
    <phoneticPr fontId="6" type="noConversion"/>
  </si>
  <si>
    <r>
      <rPr>
        <sz val="9"/>
        <rFont val="標楷體"/>
        <family val="4"/>
        <charset val="136"/>
      </rPr>
      <t xml:space="preserve">男
</t>
    </r>
    <r>
      <rPr>
        <sz val="9"/>
        <rFont val="Times New Roman"/>
        <family val="1"/>
      </rPr>
      <t>Male</t>
    </r>
    <phoneticPr fontId="6" type="noConversion"/>
  </si>
  <si>
    <r>
      <rPr>
        <sz val="9"/>
        <rFont val="標楷體"/>
        <family val="4"/>
        <charset val="136"/>
      </rPr>
      <t xml:space="preserve">女
</t>
    </r>
    <r>
      <rPr>
        <sz val="9"/>
        <rFont val="Times New Roman"/>
        <family val="1"/>
      </rPr>
      <t>Female</t>
    </r>
    <phoneticPr fontId="6" type="noConversion"/>
  </si>
  <si>
    <r>
      <rPr>
        <sz val="9"/>
        <rFont val="標楷體"/>
        <family val="4"/>
        <charset val="136"/>
      </rPr>
      <t>資料來源：直轄市、縣﹝市﹞政府。</t>
    </r>
    <r>
      <rPr>
        <sz val="9"/>
        <rFont val="Times New Roman"/>
        <family val="1"/>
      </rPr>
      <t xml:space="preserve"> </t>
    </r>
  </si>
  <si>
    <t>Source: County and Government.</t>
  </si>
  <si>
    <r>
      <rPr>
        <sz val="9"/>
        <rFont val="標楷體"/>
        <family val="4"/>
        <charset val="136"/>
      </rPr>
      <t>更新日期：</t>
    </r>
    <r>
      <rPr>
        <sz val="9"/>
        <rFont val="Times New Roman"/>
        <family val="1"/>
      </rPr>
      <t>20</t>
    </r>
    <r>
      <rPr>
        <sz val="9"/>
        <rFont val="Times New Roman"/>
        <family val="1"/>
      </rPr>
      <t>20</t>
    </r>
    <r>
      <rPr>
        <sz val="9"/>
        <rFont val="Times New Roman"/>
        <family val="1"/>
      </rPr>
      <t>/0</t>
    </r>
    <r>
      <rPr>
        <sz val="9"/>
        <rFont val="Times New Roman"/>
        <family val="1"/>
      </rPr>
      <t>4</t>
    </r>
    <r>
      <rPr>
        <sz val="9"/>
        <rFont val="Times New Roman"/>
        <family val="1"/>
      </rPr>
      <t>/</t>
    </r>
    <r>
      <rPr>
        <sz val="9"/>
        <rFont val="Times New Roman"/>
        <family val="1"/>
      </rPr>
      <t>20</t>
    </r>
    <phoneticPr fontId="6" type="noConversion"/>
  </si>
  <si>
    <r>
      <rPr>
        <sz val="9"/>
        <rFont val="標楷體"/>
        <family val="4"/>
        <charset val="136"/>
      </rPr>
      <t xml:space="preserve">區域別
</t>
    </r>
    <r>
      <rPr>
        <sz val="9"/>
        <rFont val="Times New Roman"/>
        <family val="1"/>
      </rPr>
      <t>Locality</t>
    </r>
    <phoneticPr fontId="6" type="noConversion"/>
  </si>
  <si>
    <r>
      <t>總</t>
    </r>
    <r>
      <rPr>
        <sz val="10"/>
        <rFont val="Times New Roman"/>
        <family val="1"/>
      </rPr>
      <t xml:space="preserve">   </t>
    </r>
    <r>
      <rPr>
        <sz val="10"/>
        <rFont val="標楷體"/>
        <family val="4"/>
        <charset val="136"/>
      </rPr>
      <t>計</t>
    </r>
    <phoneticPr fontId="6" type="noConversion"/>
  </si>
  <si>
    <t xml:space="preserve">        -</t>
  </si>
  <si>
    <t xml:space="preserve">           -</t>
  </si>
  <si>
    <r>
      <rPr>
        <b/>
        <sz val="14"/>
        <rFont val="標楷體"/>
        <family val="4"/>
        <charset val="136"/>
      </rPr>
      <t>長期照顧十年計畫－家庭托顧</t>
    </r>
    <r>
      <rPr>
        <b/>
        <sz val="14"/>
        <rFont val="Times New Roman"/>
        <family val="1"/>
      </rPr>
      <t xml:space="preserve"> Achievements of Ten-year Long Term Care Program by Family Support Services</t>
    </r>
    <phoneticPr fontId="5" type="noConversion"/>
  </si>
  <si>
    <r>
      <rPr>
        <sz val="10"/>
        <rFont val="標楷體"/>
        <family val="4"/>
        <charset val="136"/>
      </rPr>
      <t>總</t>
    </r>
    <r>
      <rPr>
        <sz val="10"/>
        <rFont val="Times New Roman"/>
        <family val="1"/>
      </rPr>
      <t xml:space="preserve">         </t>
    </r>
    <r>
      <rPr>
        <sz val="10"/>
        <rFont val="標楷體"/>
        <family val="4"/>
        <charset val="136"/>
      </rPr>
      <t>計</t>
    </r>
    <phoneticPr fontId="6" type="noConversion"/>
  </si>
  <si>
    <r>
      <rPr>
        <sz val="10"/>
        <rFont val="標楷體"/>
        <family val="4"/>
        <charset val="136"/>
      </rPr>
      <t>新北市</t>
    </r>
  </si>
  <si>
    <r>
      <rPr>
        <sz val="10"/>
        <rFont val="標楷體"/>
        <family val="4"/>
        <charset val="136"/>
      </rPr>
      <t>臺北市</t>
    </r>
  </si>
  <si>
    <r>
      <rPr>
        <sz val="10"/>
        <rFont val="標楷體"/>
        <family val="4"/>
        <charset val="136"/>
      </rPr>
      <t>臺中市</t>
    </r>
  </si>
  <si>
    <r>
      <rPr>
        <sz val="10"/>
        <rFont val="標楷體"/>
        <family val="4"/>
        <charset val="136"/>
      </rPr>
      <t>臺南市</t>
    </r>
  </si>
  <si>
    <r>
      <rPr>
        <sz val="10"/>
        <rFont val="標楷體"/>
        <family val="4"/>
        <charset val="136"/>
      </rPr>
      <t>高雄市</t>
    </r>
    <phoneticPr fontId="6" type="noConversion"/>
  </si>
  <si>
    <r>
      <rPr>
        <sz val="10"/>
        <rFont val="標楷體"/>
        <family val="4"/>
        <charset val="136"/>
      </rPr>
      <t>臺灣省</t>
    </r>
    <phoneticPr fontId="6" type="noConversion"/>
  </si>
  <si>
    <t>Taiwan Prov.</t>
  </si>
  <si>
    <r>
      <t xml:space="preserve"> </t>
    </r>
    <r>
      <rPr>
        <sz val="10"/>
        <rFont val="標楷體"/>
        <family val="4"/>
        <charset val="136"/>
      </rPr>
      <t>宜蘭縣</t>
    </r>
    <phoneticPr fontId="6" type="noConversion"/>
  </si>
  <si>
    <r>
      <t xml:space="preserve"> </t>
    </r>
    <r>
      <rPr>
        <sz val="10"/>
        <rFont val="標楷體"/>
        <family val="4"/>
        <charset val="136"/>
      </rPr>
      <t>桃園縣</t>
    </r>
    <phoneticPr fontId="6" type="noConversion"/>
  </si>
  <si>
    <r>
      <t xml:space="preserve"> </t>
    </r>
    <r>
      <rPr>
        <sz val="10"/>
        <rFont val="標楷體"/>
        <family val="4"/>
        <charset val="136"/>
      </rPr>
      <t>新竹縣</t>
    </r>
    <phoneticPr fontId="6" type="noConversion"/>
  </si>
  <si>
    <r>
      <t xml:space="preserve"> </t>
    </r>
    <r>
      <rPr>
        <sz val="10"/>
        <rFont val="標楷體"/>
        <family val="4"/>
        <charset val="136"/>
      </rPr>
      <t>苗栗縣</t>
    </r>
    <phoneticPr fontId="6" type="noConversion"/>
  </si>
  <si>
    <r>
      <t xml:space="preserve"> </t>
    </r>
    <r>
      <rPr>
        <sz val="10"/>
        <rFont val="標楷體"/>
        <family val="4"/>
        <charset val="136"/>
      </rPr>
      <t>彰化縣</t>
    </r>
    <phoneticPr fontId="6" type="noConversion"/>
  </si>
  <si>
    <r>
      <t xml:space="preserve"> </t>
    </r>
    <r>
      <rPr>
        <sz val="10"/>
        <rFont val="標楷體"/>
        <family val="4"/>
        <charset val="136"/>
      </rPr>
      <t>南投縣</t>
    </r>
    <phoneticPr fontId="6" type="noConversion"/>
  </si>
  <si>
    <r>
      <t xml:space="preserve"> </t>
    </r>
    <r>
      <rPr>
        <sz val="10"/>
        <rFont val="標楷體"/>
        <family val="4"/>
        <charset val="136"/>
      </rPr>
      <t>雲林縣</t>
    </r>
    <phoneticPr fontId="6" type="noConversion"/>
  </si>
  <si>
    <r>
      <t xml:space="preserve"> </t>
    </r>
    <r>
      <rPr>
        <sz val="10"/>
        <rFont val="標楷體"/>
        <family val="4"/>
        <charset val="136"/>
      </rPr>
      <t>嘉義縣</t>
    </r>
    <phoneticPr fontId="6" type="noConversion"/>
  </si>
  <si>
    <r>
      <t xml:space="preserve"> </t>
    </r>
    <r>
      <rPr>
        <sz val="10"/>
        <rFont val="標楷體"/>
        <family val="4"/>
        <charset val="136"/>
      </rPr>
      <t>屏東縣</t>
    </r>
    <phoneticPr fontId="6" type="noConversion"/>
  </si>
  <si>
    <r>
      <t xml:space="preserve"> </t>
    </r>
    <r>
      <rPr>
        <sz val="10"/>
        <rFont val="標楷體"/>
        <family val="4"/>
        <charset val="136"/>
      </rPr>
      <t>臺東縣</t>
    </r>
    <phoneticPr fontId="6" type="noConversion"/>
  </si>
  <si>
    <r>
      <t xml:space="preserve"> </t>
    </r>
    <r>
      <rPr>
        <sz val="10"/>
        <rFont val="標楷體"/>
        <family val="4"/>
        <charset val="136"/>
      </rPr>
      <t>花蓮縣</t>
    </r>
    <phoneticPr fontId="6" type="noConversion"/>
  </si>
  <si>
    <r>
      <t xml:space="preserve"> </t>
    </r>
    <r>
      <rPr>
        <sz val="10"/>
        <rFont val="標楷體"/>
        <family val="4"/>
        <charset val="136"/>
      </rPr>
      <t>澎湖縣</t>
    </r>
    <phoneticPr fontId="6" type="noConversion"/>
  </si>
  <si>
    <r>
      <t xml:space="preserve"> </t>
    </r>
    <r>
      <rPr>
        <sz val="10"/>
        <rFont val="標楷體"/>
        <family val="4"/>
        <charset val="136"/>
      </rPr>
      <t>基隆市</t>
    </r>
    <phoneticPr fontId="6" type="noConversion"/>
  </si>
  <si>
    <r>
      <t xml:space="preserve"> </t>
    </r>
    <r>
      <rPr>
        <sz val="10"/>
        <rFont val="標楷體"/>
        <family val="4"/>
        <charset val="136"/>
      </rPr>
      <t>新竹市</t>
    </r>
    <phoneticPr fontId="6" type="noConversion"/>
  </si>
  <si>
    <r>
      <t xml:space="preserve"> </t>
    </r>
    <r>
      <rPr>
        <sz val="10"/>
        <rFont val="標楷體"/>
        <family val="4"/>
        <charset val="136"/>
      </rPr>
      <t>嘉義市</t>
    </r>
    <phoneticPr fontId="6" type="noConversion"/>
  </si>
  <si>
    <r>
      <rPr>
        <sz val="10"/>
        <rFont val="標楷體"/>
        <family val="4"/>
        <charset val="136"/>
      </rPr>
      <t>福建省</t>
    </r>
    <phoneticPr fontId="6" type="noConversion"/>
  </si>
  <si>
    <t>Fuchien Prov.</t>
  </si>
  <si>
    <r>
      <t xml:space="preserve"> </t>
    </r>
    <r>
      <rPr>
        <sz val="10"/>
        <rFont val="標楷體"/>
        <family val="4"/>
        <charset val="136"/>
      </rPr>
      <t>金門縣</t>
    </r>
    <phoneticPr fontId="6" type="noConversion"/>
  </si>
  <si>
    <r>
      <t xml:space="preserve"> </t>
    </r>
    <r>
      <rPr>
        <sz val="10"/>
        <rFont val="標楷體"/>
        <family val="4"/>
        <charset val="136"/>
      </rPr>
      <t>連江縣</t>
    </r>
    <phoneticPr fontId="6" type="noConversion"/>
  </si>
  <si>
    <r>
      <rPr>
        <sz val="10"/>
        <rFont val="標楷體"/>
        <family val="4"/>
        <charset val="136"/>
      </rPr>
      <t>更新日期</t>
    </r>
    <r>
      <rPr>
        <sz val="10"/>
        <rFont val="Times New Roman"/>
        <family val="1"/>
      </rPr>
      <t>2015/08/18</t>
    </r>
    <phoneticPr fontId="6" type="noConversion"/>
  </si>
  <si>
    <r>
      <rPr>
        <sz val="10"/>
        <rFont val="標楷體"/>
        <family val="4"/>
        <charset val="136"/>
      </rPr>
      <t>總</t>
    </r>
    <r>
      <rPr>
        <sz val="10"/>
        <rFont val="Times New Roman"/>
        <family val="1"/>
      </rPr>
      <t xml:space="preserve">    </t>
    </r>
    <r>
      <rPr>
        <sz val="10"/>
        <rFont val="標楷體"/>
        <family val="4"/>
        <charset val="136"/>
      </rPr>
      <t>計</t>
    </r>
    <phoneticPr fontId="6" type="noConversion"/>
  </si>
  <si>
    <r>
      <rPr>
        <b/>
        <sz val="16"/>
        <rFont val="標楷體"/>
        <family val="4"/>
        <charset val="136"/>
      </rPr>
      <t>長期照顧十年計畫－日間照顧</t>
    </r>
    <r>
      <rPr>
        <b/>
        <sz val="16"/>
        <rFont val="Times New Roman"/>
        <family val="1"/>
      </rPr>
      <t xml:space="preserve"> Achievements of Ten-year Long Term Care Program by Day Care Services</t>
    </r>
    <phoneticPr fontId="6" type="noConversion"/>
  </si>
  <si>
    <r>
      <t>(</t>
    </r>
    <r>
      <rPr>
        <sz val="10"/>
        <rFont val="標楷體"/>
        <family val="4"/>
        <charset val="136"/>
      </rPr>
      <t>一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>失智症老人日間照顧中心</t>
    </r>
    <r>
      <rPr>
        <sz val="10"/>
        <rFont val="Times New Roman"/>
        <family val="1"/>
      </rPr>
      <t>Day Care Center for Elders with Dementia</t>
    </r>
  </si>
  <si>
    <r>
      <t>(</t>
    </r>
    <r>
      <rPr>
        <sz val="10"/>
        <rFont val="標楷體"/>
        <family val="4"/>
        <charset val="136"/>
      </rPr>
      <t>二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>失能老人日間照顧中心</t>
    </r>
    <r>
      <rPr>
        <sz val="10"/>
        <rFont val="Times New Roman"/>
        <family val="1"/>
      </rPr>
      <t>Day Care Center for Disabled Elders</t>
    </r>
  </si>
  <si>
    <r>
      <rPr>
        <sz val="10"/>
        <rFont val="標楷體"/>
        <family val="4"/>
        <charset val="136"/>
      </rPr>
      <t>服務單位數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個</t>
    </r>
    <r>
      <rPr>
        <sz val="10"/>
        <rFont val="Times New Roman"/>
        <family val="1"/>
      </rPr>
      <t>)
Place</t>
    </r>
  </si>
  <si>
    <r>
      <rPr>
        <sz val="10"/>
        <rFont val="標楷體"/>
        <family val="4"/>
        <charset val="136"/>
      </rPr>
      <t>期底服務個案人數</t>
    </r>
    <r>
      <rPr>
        <sz val="10"/>
        <rFont val="Times New Roman"/>
        <family val="1"/>
      </rPr>
      <t xml:space="preserve"> Persons Served (End of Year)</t>
    </r>
  </si>
  <si>
    <r>
      <rPr>
        <sz val="10"/>
        <rFont val="標楷體"/>
        <family val="4"/>
        <charset val="136"/>
      </rPr>
      <t>本期服務人次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日</t>
    </r>
    <r>
      <rPr>
        <sz val="10"/>
        <rFont val="Times New Roman"/>
        <family val="1"/>
      </rPr>
      <t>) Service Person-time</t>
    </r>
  </si>
  <si>
    <r>
      <rPr>
        <sz val="10"/>
        <rFont val="標楷體"/>
        <family val="4"/>
        <charset val="136"/>
      </rPr>
      <t>本期服務時數</t>
    </r>
    <r>
      <rPr>
        <sz val="10"/>
        <rFont val="Times New Roman"/>
        <family val="1"/>
      </rPr>
      <t xml:space="preserve"> Service Hours</t>
    </r>
  </si>
  <si>
    <r>
      <rPr>
        <sz val="10"/>
        <rFont val="標楷體"/>
        <family val="4"/>
        <charset val="136"/>
      </rPr>
      <t>服務單位數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個</t>
    </r>
    <r>
      <rPr>
        <sz val="10"/>
        <rFont val="Times New Roman"/>
        <family val="1"/>
      </rPr>
      <t xml:space="preserve">)
Places </t>
    </r>
  </si>
  <si>
    <r>
      <rPr>
        <sz val="10"/>
        <rFont val="標楷體"/>
        <family val="4"/>
        <charset val="136"/>
      </rPr>
      <t>本期服務人次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日</t>
    </r>
    <r>
      <rPr>
        <sz val="10"/>
        <rFont val="Times New Roman"/>
        <family val="1"/>
      </rPr>
      <t>) Services Person-times</t>
    </r>
  </si>
  <si>
    <r>
      <rPr>
        <sz val="10"/>
        <rFont val="標楷體"/>
        <family val="4"/>
        <charset val="136"/>
      </rPr>
      <t>本期服務時數</t>
    </r>
    <r>
      <rPr>
        <sz val="10"/>
        <rFont val="Times New Roman"/>
        <family val="1"/>
      </rPr>
      <t xml:space="preserve"> Services Hours</t>
    </r>
  </si>
  <si>
    <r>
      <rPr>
        <sz val="10"/>
        <rFont val="標楷體"/>
        <family val="4"/>
        <charset val="136"/>
      </rPr>
      <t xml:space="preserve">合計
</t>
    </r>
    <r>
      <rPr>
        <sz val="10"/>
        <rFont val="Times New Roman"/>
        <family val="1"/>
      </rPr>
      <t>Total</t>
    </r>
  </si>
  <si>
    <r>
      <rPr>
        <sz val="10"/>
        <rFont val="標楷體"/>
        <family val="4"/>
        <charset val="136"/>
      </rPr>
      <t xml:space="preserve">低收入
</t>
    </r>
    <r>
      <rPr>
        <sz val="10"/>
        <rFont val="Times New Roman"/>
        <family val="1"/>
      </rPr>
      <t>Low-income</t>
    </r>
  </si>
  <si>
    <r>
      <rPr>
        <sz val="10"/>
        <rFont val="標楷體"/>
        <family val="4"/>
        <charset val="136"/>
      </rPr>
      <t xml:space="preserve">中低收入
</t>
    </r>
    <r>
      <rPr>
        <sz val="10"/>
        <rFont val="Times New Roman"/>
        <family val="1"/>
      </rPr>
      <t>Mid-income</t>
    </r>
  </si>
  <si>
    <r>
      <rPr>
        <sz val="10"/>
        <rFont val="標楷體"/>
        <family val="4"/>
        <charset val="136"/>
      </rPr>
      <t xml:space="preserve">一般戶
</t>
    </r>
    <r>
      <rPr>
        <sz val="10"/>
        <rFont val="Times New Roman"/>
        <family val="1"/>
      </rPr>
      <t>General</t>
    </r>
  </si>
  <si>
    <r>
      <rPr>
        <sz val="10"/>
        <rFont val="標楷體"/>
        <family val="4"/>
        <charset val="136"/>
      </rPr>
      <t xml:space="preserve">計
</t>
    </r>
    <r>
      <rPr>
        <sz val="10"/>
        <rFont val="Times New Roman"/>
        <family val="1"/>
      </rPr>
      <t>Subtotal</t>
    </r>
  </si>
  <si>
    <r>
      <rPr>
        <sz val="10"/>
        <rFont val="標楷體"/>
        <family val="4"/>
        <charset val="136"/>
      </rPr>
      <t xml:space="preserve">男
</t>
    </r>
    <r>
      <rPr>
        <sz val="10"/>
        <rFont val="Times New Roman"/>
        <family val="1"/>
      </rPr>
      <t>Male</t>
    </r>
  </si>
  <si>
    <r>
      <rPr>
        <sz val="10"/>
        <rFont val="標楷體"/>
        <family val="4"/>
        <charset val="136"/>
      </rPr>
      <t xml:space="preserve">女
</t>
    </r>
    <r>
      <rPr>
        <sz val="10"/>
        <rFont val="Times New Roman"/>
        <family val="1"/>
      </rPr>
      <t>Female</t>
    </r>
  </si>
  <si>
    <r>
      <t>(</t>
    </r>
    <r>
      <rPr>
        <sz val="10"/>
        <rFont val="標楷體"/>
        <family val="4"/>
        <charset val="136"/>
      </rPr>
      <t>一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>失智症日間照顧中心</t>
    </r>
    <r>
      <rPr>
        <sz val="10"/>
        <rFont val="Times New Roman"/>
        <family val="1"/>
      </rPr>
      <t>Day Care Center for Elders with Dementia</t>
    </r>
    <phoneticPr fontId="6" type="noConversion"/>
  </si>
  <si>
    <r>
      <t>(</t>
    </r>
    <r>
      <rPr>
        <sz val="10"/>
        <rFont val="標楷體"/>
        <family val="4"/>
        <charset val="136"/>
      </rPr>
      <t>二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>失能日間照顧中心</t>
    </r>
    <r>
      <rPr>
        <sz val="10"/>
        <rFont val="Times New Roman"/>
        <family val="1"/>
      </rPr>
      <t>Day Care Center for Elders with Dementia</t>
    </r>
    <phoneticPr fontId="6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</si>
  <si>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109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2021</t>
    </r>
    <phoneticPr fontId="6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</si>
  <si>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108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2020</t>
    </r>
    <phoneticPr fontId="6" type="noConversion"/>
  </si>
  <si>
    <r>
      <rPr>
        <sz val="9"/>
        <color indexed="8"/>
        <rFont val="標楷體"/>
        <family val="4"/>
        <charset val="136"/>
      </rPr>
      <t>更新日期：</t>
    </r>
    <r>
      <rPr>
        <sz val="9"/>
        <color indexed="8"/>
        <rFont val="Times New Roman"/>
        <family val="1"/>
      </rPr>
      <t>2020/04/20</t>
    </r>
    <phoneticPr fontId="6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</si>
  <si>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107</t>
    </r>
    <r>
      <rPr>
        <sz val="10"/>
        <rFont val="標楷體"/>
        <family val="4"/>
        <charset val="136"/>
      </rPr>
      <t>年下半年</t>
    </r>
    <r>
      <rPr>
        <sz val="10"/>
        <rFont val="Times New Roman"/>
        <family val="1"/>
      </rPr>
      <t>, July-Dec., 2018</t>
    </r>
    <phoneticPr fontId="6" type="noConversion"/>
  </si>
  <si>
    <r>
      <rPr>
        <sz val="10"/>
        <rFont val="標楷體"/>
        <family val="4"/>
        <charset val="136"/>
      </rPr>
      <t xml:space="preserve">區域別
</t>
    </r>
    <r>
      <rPr>
        <sz val="10"/>
        <rFont val="Times New Roman"/>
        <family val="1"/>
      </rPr>
      <t>Locality</t>
    </r>
  </si>
  <si>
    <r>
      <rPr>
        <sz val="10"/>
        <rFont val="標楷體"/>
        <family val="4"/>
        <charset val="136"/>
      </rPr>
      <t>總</t>
    </r>
    <r>
      <rPr>
        <sz val="10"/>
        <rFont val="Times New Roman"/>
        <family val="1"/>
      </rPr>
      <t xml:space="preserve">   </t>
    </r>
    <r>
      <rPr>
        <sz val="10"/>
        <rFont val="標楷體"/>
        <family val="4"/>
        <charset val="136"/>
      </rPr>
      <t>計</t>
    </r>
    <phoneticPr fontId="6" type="noConversion"/>
  </si>
  <si>
    <t>New Taipei City</t>
  </si>
  <si>
    <t>Taoyuan City</t>
  </si>
  <si>
    <r>
      <rPr>
        <sz val="10"/>
        <rFont val="標楷體"/>
        <family val="4"/>
        <charset val="136"/>
      </rPr>
      <t>更新日期</t>
    </r>
    <r>
      <rPr>
        <sz val="10"/>
        <rFont val="Times New Roman"/>
        <family val="1"/>
      </rPr>
      <t>2016/09/30</t>
    </r>
    <phoneticPr fontId="6" type="noConversion"/>
  </si>
  <si>
    <r>
      <rPr>
        <sz val="10"/>
        <rFont val="標楷體"/>
        <family val="4"/>
        <charset val="136"/>
      </rPr>
      <t>更新日期</t>
    </r>
    <r>
      <rPr>
        <sz val="10"/>
        <rFont val="Times New Roman"/>
        <family val="1"/>
      </rPr>
      <t>2015/08/18</t>
    </r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</si>
  <si>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102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2013</t>
    </r>
    <phoneticPr fontId="6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</si>
  <si>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101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2012</t>
    </r>
    <phoneticPr fontId="6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</si>
  <si>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100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2011</t>
    </r>
    <phoneticPr fontId="6" type="noConversion"/>
  </si>
  <si>
    <r>
      <rPr>
        <sz val="10"/>
        <rFont val="標楷體"/>
        <family val="4"/>
        <charset val="136"/>
      </rPr>
      <t>總</t>
    </r>
    <r>
      <rPr>
        <sz val="10"/>
        <rFont val="Times New Roman"/>
        <family val="1"/>
      </rPr>
      <t xml:space="preserve">       </t>
    </r>
    <r>
      <rPr>
        <sz val="10"/>
        <rFont val="標楷體"/>
        <family val="4"/>
        <charset val="136"/>
      </rPr>
      <t>計</t>
    </r>
    <phoneticPr fontId="6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</si>
  <si>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99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2010</t>
    </r>
  </si>
  <si>
    <r>
      <rPr>
        <sz val="10"/>
        <rFont val="標楷體"/>
        <family val="4"/>
        <charset val="136"/>
      </rPr>
      <t>總</t>
    </r>
    <r>
      <rPr>
        <sz val="10"/>
        <rFont val="Times New Roman"/>
        <family val="1"/>
      </rPr>
      <t xml:space="preserve">    </t>
    </r>
    <r>
      <rPr>
        <sz val="10"/>
        <rFont val="標楷體"/>
        <family val="4"/>
        <charset val="136"/>
      </rPr>
      <t>計</t>
    </r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</si>
  <si>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98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2009</t>
    </r>
  </si>
  <si>
    <t>Source: Department of Long-term care.</t>
    <phoneticPr fontId="6" type="noConversion"/>
  </si>
  <si>
    <r>
      <rPr>
        <b/>
        <sz val="12"/>
        <rFont val="標楷體"/>
        <family val="4"/>
        <charset val="136"/>
      </rPr>
      <t>總計</t>
    </r>
    <r>
      <rPr>
        <b/>
        <sz val="12"/>
        <rFont val="Times New Roman"/>
        <family val="1"/>
      </rPr>
      <t>Total</t>
    </r>
  </si>
  <si>
    <r>
      <rPr>
        <b/>
        <sz val="10"/>
        <rFont val="標楷體"/>
        <family val="4"/>
        <charset val="136"/>
      </rPr>
      <t>總計</t>
    </r>
    <phoneticPr fontId="6" type="noConversion"/>
  </si>
  <si>
    <r>
      <rPr>
        <b/>
        <sz val="10"/>
        <color indexed="12"/>
        <rFont val="標楷體"/>
        <family val="4"/>
        <charset val="136"/>
      </rPr>
      <t>計</t>
    </r>
    <r>
      <rPr>
        <b/>
        <sz val="10"/>
        <color indexed="12"/>
        <rFont val="Times New Roman"/>
        <family val="1"/>
      </rPr>
      <t>Total</t>
    </r>
    <phoneticPr fontId="5" type="noConversion"/>
  </si>
  <si>
    <r>
      <rPr>
        <b/>
        <sz val="10"/>
        <rFont val="標楷體"/>
        <family val="4"/>
        <charset val="136"/>
      </rPr>
      <t>男</t>
    </r>
    <r>
      <rPr>
        <b/>
        <sz val="10"/>
        <rFont val="Times New Roman"/>
        <family val="1"/>
      </rPr>
      <t>Male</t>
    </r>
    <phoneticPr fontId="5" type="noConversion"/>
  </si>
  <si>
    <r>
      <rPr>
        <b/>
        <sz val="10"/>
        <rFont val="標楷體"/>
        <family val="4"/>
        <charset val="136"/>
      </rPr>
      <t>女</t>
    </r>
    <r>
      <rPr>
        <b/>
        <sz val="10"/>
        <rFont val="Times New Roman"/>
        <family val="1"/>
      </rPr>
      <t>Female</t>
    </r>
    <phoneticPr fontId="5" type="noConversion"/>
  </si>
  <si>
    <r>
      <rPr>
        <sz val="12"/>
        <rFont val="標楷體"/>
        <family val="4"/>
        <charset val="136"/>
      </rPr>
      <t xml:space="preserve">計
</t>
    </r>
    <r>
      <rPr>
        <sz val="12"/>
        <rFont val="Times New Roman"/>
        <family val="1"/>
      </rPr>
      <t>Total</t>
    </r>
    <phoneticPr fontId="6" type="noConversion"/>
  </si>
  <si>
    <r>
      <rPr>
        <sz val="12"/>
        <rFont val="標楷體"/>
        <family val="4"/>
        <charset val="136"/>
      </rPr>
      <t xml:space="preserve">男
</t>
    </r>
    <r>
      <rPr>
        <sz val="12"/>
        <rFont val="Times New Roman"/>
        <family val="1"/>
      </rPr>
      <t xml:space="preserve">Male </t>
    </r>
    <phoneticPr fontId="6" type="noConversion"/>
  </si>
  <si>
    <r>
      <rPr>
        <sz val="12"/>
        <rFont val="標楷體"/>
        <family val="4"/>
        <charset val="136"/>
      </rPr>
      <t xml:space="preserve">女
</t>
    </r>
    <r>
      <rPr>
        <sz val="12"/>
        <rFont val="Times New Roman"/>
        <family val="1"/>
      </rPr>
      <t>Female</t>
    </r>
    <phoneticPr fontId="6" type="noConversion"/>
  </si>
  <si>
    <r>
      <rPr>
        <sz val="12"/>
        <rFont val="標楷體"/>
        <family val="4"/>
        <charset val="136"/>
      </rPr>
      <t>新北市</t>
    </r>
    <r>
      <rPr>
        <sz val="12"/>
        <rFont val="Times New Roman"/>
        <family val="1"/>
      </rPr>
      <t xml:space="preserve">   New Taipei City</t>
    </r>
    <phoneticPr fontId="6" type="noConversion"/>
  </si>
  <si>
    <r>
      <rPr>
        <sz val="12"/>
        <rFont val="標楷體"/>
        <family val="4"/>
        <charset val="136"/>
      </rPr>
      <t>臺北市</t>
    </r>
    <r>
      <rPr>
        <sz val="12"/>
        <rFont val="Times New Roman"/>
        <family val="1"/>
      </rPr>
      <t xml:space="preserve">   Taipei City</t>
    </r>
    <phoneticPr fontId="6" type="noConversion"/>
  </si>
  <si>
    <r>
      <rPr>
        <sz val="12"/>
        <rFont val="標楷體"/>
        <family val="4"/>
        <charset val="136"/>
      </rPr>
      <t>桃園市</t>
    </r>
    <r>
      <rPr>
        <sz val="12"/>
        <rFont val="Times New Roman"/>
        <family val="1"/>
      </rPr>
      <t xml:space="preserve">   Taoyuan City</t>
    </r>
    <phoneticPr fontId="6" type="noConversion"/>
  </si>
  <si>
    <r>
      <rPr>
        <sz val="12"/>
        <rFont val="標楷體"/>
        <family val="4"/>
        <charset val="136"/>
      </rPr>
      <t>臺南市</t>
    </r>
    <r>
      <rPr>
        <sz val="12"/>
        <rFont val="Times New Roman"/>
        <family val="1"/>
      </rPr>
      <t xml:space="preserve">   Tainan City</t>
    </r>
    <phoneticPr fontId="6" type="noConversion"/>
  </si>
  <si>
    <r>
      <rPr>
        <sz val="12"/>
        <rFont val="標楷體"/>
        <family val="4"/>
        <charset val="136"/>
      </rPr>
      <t>宜蘭縣</t>
    </r>
    <r>
      <rPr>
        <sz val="12"/>
        <rFont val="Times New Roman"/>
        <family val="1"/>
      </rPr>
      <t xml:space="preserve">   Yilan County</t>
    </r>
    <phoneticPr fontId="6" type="noConversion"/>
  </si>
  <si>
    <r>
      <rPr>
        <sz val="12"/>
        <rFont val="標楷體"/>
        <family val="4"/>
        <charset val="136"/>
      </rPr>
      <t>新竹縣</t>
    </r>
    <r>
      <rPr>
        <sz val="12"/>
        <rFont val="Times New Roman"/>
        <family val="1"/>
      </rPr>
      <t xml:space="preserve">   Hsinchu County</t>
    </r>
    <phoneticPr fontId="6" type="noConversion"/>
  </si>
  <si>
    <r>
      <rPr>
        <sz val="12"/>
        <rFont val="標楷體"/>
        <family val="4"/>
        <charset val="136"/>
      </rPr>
      <t>苗栗縣</t>
    </r>
    <r>
      <rPr>
        <sz val="12"/>
        <rFont val="Times New Roman"/>
        <family val="1"/>
      </rPr>
      <t xml:space="preserve">   Miaoli County</t>
    </r>
    <phoneticPr fontId="6" type="noConversion"/>
  </si>
  <si>
    <r>
      <rPr>
        <sz val="12"/>
        <rFont val="標楷體"/>
        <family val="4"/>
        <charset val="136"/>
      </rPr>
      <t>彰化縣</t>
    </r>
    <r>
      <rPr>
        <sz val="12"/>
        <rFont val="Times New Roman"/>
        <family val="1"/>
      </rPr>
      <t xml:space="preserve">   Changhua County</t>
    </r>
    <phoneticPr fontId="6" type="noConversion"/>
  </si>
  <si>
    <r>
      <rPr>
        <sz val="12"/>
        <rFont val="標楷體"/>
        <family val="4"/>
        <charset val="136"/>
      </rPr>
      <t>南投縣</t>
    </r>
    <r>
      <rPr>
        <sz val="12"/>
        <rFont val="Times New Roman"/>
        <family val="1"/>
      </rPr>
      <t xml:space="preserve">   Nantou County</t>
    </r>
    <phoneticPr fontId="6" type="noConversion"/>
  </si>
  <si>
    <r>
      <rPr>
        <sz val="12"/>
        <rFont val="標楷體"/>
        <family val="4"/>
        <charset val="136"/>
      </rPr>
      <t>雲林縣</t>
    </r>
    <r>
      <rPr>
        <sz val="12"/>
        <rFont val="Times New Roman"/>
        <family val="1"/>
      </rPr>
      <t xml:space="preserve">   Yunlin County</t>
    </r>
    <phoneticPr fontId="6" type="noConversion"/>
  </si>
  <si>
    <r>
      <rPr>
        <sz val="12"/>
        <rFont val="標楷體"/>
        <family val="4"/>
        <charset val="136"/>
      </rPr>
      <t>嘉義縣</t>
    </r>
    <r>
      <rPr>
        <sz val="12"/>
        <rFont val="Times New Roman"/>
        <family val="1"/>
      </rPr>
      <t xml:space="preserve">   Chiayi County</t>
    </r>
    <phoneticPr fontId="6" type="noConversion"/>
  </si>
  <si>
    <r>
      <rPr>
        <sz val="12"/>
        <rFont val="標楷體"/>
        <family val="4"/>
        <charset val="136"/>
      </rPr>
      <t>屏東縣</t>
    </r>
    <r>
      <rPr>
        <sz val="12"/>
        <rFont val="Times New Roman"/>
        <family val="1"/>
      </rPr>
      <t xml:space="preserve">   Pingtung County</t>
    </r>
    <phoneticPr fontId="6" type="noConversion"/>
  </si>
  <si>
    <r>
      <rPr>
        <sz val="12"/>
        <rFont val="標楷體"/>
        <family val="4"/>
        <charset val="136"/>
      </rPr>
      <t>臺東縣</t>
    </r>
    <r>
      <rPr>
        <sz val="12"/>
        <rFont val="Times New Roman"/>
        <family val="1"/>
      </rPr>
      <t xml:space="preserve">   Taitung County</t>
    </r>
    <phoneticPr fontId="6" type="noConversion"/>
  </si>
  <si>
    <r>
      <rPr>
        <sz val="12"/>
        <rFont val="標楷體"/>
        <family val="4"/>
        <charset val="136"/>
      </rPr>
      <t>花蓮縣</t>
    </r>
    <r>
      <rPr>
        <sz val="12"/>
        <rFont val="Times New Roman"/>
        <family val="1"/>
      </rPr>
      <t xml:space="preserve">   Hualien County</t>
    </r>
    <phoneticPr fontId="6" type="noConversion"/>
  </si>
  <si>
    <r>
      <rPr>
        <sz val="12"/>
        <rFont val="標楷體"/>
        <family val="4"/>
        <charset val="136"/>
      </rPr>
      <t>澎湖縣</t>
    </r>
    <r>
      <rPr>
        <sz val="12"/>
        <rFont val="Times New Roman"/>
        <family val="1"/>
      </rPr>
      <t xml:space="preserve">   Penghu County</t>
    </r>
    <phoneticPr fontId="6" type="noConversion"/>
  </si>
  <si>
    <r>
      <rPr>
        <sz val="12"/>
        <rFont val="標楷體"/>
        <family val="4"/>
        <charset val="136"/>
      </rPr>
      <t>基隆市</t>
    </r>
    <r>
      <rPr>
        <sz val="12"/>
        <rFont val="Times New Roman"/>
        <family val="1"/>
      </rPr>
      <t xml:space="preserve">   Keelung City</t>
    </r>
    <phoneticPr fontId="6" type="noConversion"/>
  </si>
  <si>
    <r>
      <rPr>
        <sz val="12"/>
        <rFont val="標楷體"/>
        <family val="4"/>
        <charset val="136"/>
      </rPr>
      <t>新竹市</t>
    </r>
    <r>
      <rPr>
        <sz val="12"/>
        <rFont val="Times New Roman"/>
        <family val="1"/>
      </rPr>
      <t xml:space="preserve">   Hsinchu City</t>
    </r>
    <phoneticPr fontId="6" type="noConversion"/>
  </si>
  <si>
    <r>
      <rPr>
        <sz val="12"/>
        <rFont val="標楷體"/>
        <family val="4"/>
        <charset val="136"/>
      </rPr>
      <t>嘉義市</t>
    </r>
    <r>
      <rPr>
        <sz val="12"/>
        <rFont val="Times New Roman"/>
        <family val="1"/>
      </rPr>
      <t xml:space="preserve">   Chiayi City</t>
    </r>
    <phoneticPr fontId="6" type="noConversion"/>
  </si>
  <si>
    <r>
      <rPr>
        <sz val="12"/>
        <rFont val="標楷體"/>
        <family val="4"/>
        <charset val="136"/>
      </rPr>
      <t>金門縣</t>
    </r>
    <r>
      <rPr>
        <sz val="12"/>
        <rFont val="Times New Roman"/>
        <family val="1"/>
      </rPr>
      <t xml:space="preserve">   Kinmen County</t>
    </r>
    <phoneticPr fontId="6" type="noConversion"/>
  </si>
  <si>
    <r>
      <rPr>
        <sz val="12"/>
        <rFont val="標楷體"/>
        <family val="4"/>
        <charset val="136"/>
      </rPr>
      <t>連江縣</t>
    </r>
    <r>
      <rPr>
        <sz val="12"/>
        <rFont val="Times New Roman"/>
        <family val="1"/>
      </rPr>
      <t xml:space="preserve">   Lienchiang County</t>
    </r>
    <phoneticPr fontId="6" type="noConversion"/>
  </si>
  <si>
    <r>
      <rPr>
        <b/>
        <sz val="16"/>
        <rFont val="標楷體"/>
        <family val="4"/>
        <charset val="136"/>
      </rPr>
      <t>長期照顧十年計畫</t>
    </r>
    <r>
      <rPr>
        <b/>
        <sz val="16"/>
        <rFont val="Times New Roman"/>
        <family val="1"/>
      </rPr>
      <t>2.0--</t>
    </r>
    <r>
      <rPr>
        <b/>
        <sz val="16"/>
        <rFont val="標楷體"/>
        <family val="4"/>
        <charset val="136"/>
      </rPr>
      <t>照顧服務</t>
    </r>
    <r>
      <rPr>
        <b/>
        <sz val="16"/>
        <rFont val="Times New Roman"/>
        <family val="1"/>
      </rPr>
      <t xml:space="preserve"> Achievements of Ten-year Long Term Care Program 2.0 by Care Services</t>
    </r>
    <phoneticPr fontId="6" type="noConversion"/>
  </si>
  <si>
    <r>
      <rPr>
        <sz val="10"/>
        <rFont val="標楷體"/>
        <family val="4"/>
        <charset val="136"/>
      </rPr>
      <t>單位：人</t>
    </r>
    <r>
      <rPr>
        <sz val="10"/>
        <rFont val="Times New Roman"/>
        <family val="1"/>
      </rPr>
      <t xml:space="preserve">  Unit : Persons</t>
    </r>
    <phoneticPr fontId="38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</si>
  <si>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110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2021</t>
    </r>
    <phoneticPr fontId="6" type="noConversion"/>
  </si>
  <si>
    <r>
      <rPr>
        <sz val="12"/>
        <color indexed="8"/>
        <rFont val="標楷體"/>
        <family val="4"/>
        <charset val="136"/>
      </rPr>
      <t xml:space="preserve">區域別
</t>
    </r>
    <r>
      <rPr>
        <sz val="12"/>
        <color indexed="8"/>
        <rFont val="Times New Roman"/>
        <family val="1"/>
      </rPr>
      <t>Locality</t>
    </r>
    <phoneticPr fontId="5" type="noConversion"/>
  </si>
  <si>
    <r>
      <rPr>
        <sz val="12"/>
        <rFont val="標楷體"/>
        <family val="4"/>
        <charset val="136"/>
      </rPr>
      <t>總計</t>
    </r>
    <r>
      <rPr>
        <b/>
        <vertAlign val="superscript"/>
        <sz val="12"/>
        <color rgb="FFFF0000"/>
        <rFont val="標楷體"/>
        <family val="4"/>
        <charset val="136"/>
      </rPr>
      <t>註</t>
    </r>
    <r>
      <rPr>
        <sz val="12"/>
        <rFont val="Times New Roman"/>
        <family val="1"/>
      </rPr>
      <t xml:space="preserve">   Total</t>
    </r>
    <phoneticPr fontId="38" type="noConversion"/>
  </si>
  <si>
    <r>
      <rPr>
        <sz val="12"/>
        <rFont val="標楷體"/>
        <family val="4"/>
        <charset val="136"/>
      </rPr>
      <t>居家服務</t>
    </r>
    <r>
      <rPr>
        <sz val="12"/>
        <rFont val="Times New Roman"/>
        <family val="1"/>
      </rPr>
      <t>Home Care Services</t>
    </r>
    <phoneticPr fontId="38" type="noConversion"/>
  </si>
  <si>
    <r>
      <rPr>
        <sz val="12"/>
        <rFont val="標楷體"/>
        <family val="4"/>
        <charset val="136"/>
      </rPr>
      <t>日間照顧服務</t>
    </r>
    <r>
      <rPr>
        <sz val="12"/>
        <rFont val="Times New Roman"/>
        <family val="1"/>
      </rPr>
      <t>Day Care Services</t>
    </r>
    <phoneticPr fontId="38" type="noConversion"/>
  </si>
  <si>
    <r>
      <rPr>
        <sz val="12"/>
        <rFont val="標楷體"/>
        <family val="4"/>
        <charset val="136"/>
      </rPr>
      <t>家庭托顧</t>
    </r>
    <r>
      <rPr>
        <sz val="12"/>
        <rFont val="Times New Roman"/>
        <family val="1"/>
      </rPr>
      <t xml:space="preserve"> Family Support Services</t>
    </r>
    <phoneticPr fontId="38" type="noConversion"/>
  </si>
  <si>
    <r>
      <rPr>
        <sz val="12"/>
        <rFont val="標楷體"/>
        <family val="4"/>
        <charset val="136"/>
      </rPr>
      <t>合計</t>
    </r>
    <r>
      <rPr>
        <sz val="12"/>
        <rFont val="Times New Roman"/>
        <family val="1"/>
      </rPr>
      <t xml:space="preserve"> Total</t>
    </r>
    <phoneticPr fontId="38" type="noConversion"/>
  </si>
  <si>
    <r>
      <rPr>
        <sz val="12"/>
        <rFont val="標楷體"/>
        <family val="4"/>
        <charset val="136"/>
      </rPr>
      <t>臺中市</t>
    </r>
    <r>
      <rPr>
        <sz val="12"/>
        <rFont val="Times New Roman"/>
        <family val="1"/>
      </rPr>
      <t xml:space="preserve">   Taichung City</t>
    </r>
    <phoneticPr fontId="6" type="noConversion"/>
  </si>
  <si>
    <r>
      <rPr>
        <sz val="12"/>
        <rFont val="標楷體"/>
        <family val="4"/>
        <charset val="136"/>
      </rPr>
      <t>高雄市</t>
    </r>
    <r>
      <rPr>
        <sz val="12"/>
        <rFont val="Times New Roman"/>
        <family val="1"/>
      </rPr>
      <t xml:space="preserve">   Kaohsiung City</t>
    </r>
    <phoneticPr fontId="6" type="noConversion"/>
  </si>
  <si>
    <r>
      <rPr>
        <sz val="12"/>
        <rFont val="標楷體"/>
        <family val="4"/>
        <charset val="136"/>
      </rPr>
      <t>第</t>
    </r>
    <r>
      <rPr>
        <sz val="12"/>
        <rFont val="Times New Roman"/>
        <family val="1"/>
      </rPr>
      <t>2</t>
    </r>
    <r>
      <rPr>
        <sz val="12"/>
        <rFont val="標楷體"/>
        <family val="4"/>
        <charset val="136"/>
      </rPr>
      <t>級</t>
    </r>
    <r>
      <rPr>
        <sz val="12"/>
        <rFont val="Times New Roman"/>
        <family val="1"/>
      </rPr>
      <t xml:space="preserve"> CMS 2</t>
    </r>
    <phoneticPr fontId="38" type="noConversion"/>
  </si>
  <si>
    <r>
      <rPr>
        <sz val="12"/>
        <rFont val="標楷體"/>
        <family val="4"/>
        <charset val="136"/>
      </rPr>
      <t>第</t>
    </r>
    <r>
      <rPr>
        <sz val="12"/>
        <rFont val="Times New Roman"/>
        <family val="1"/>
      </rPr>
      <t>3</t>
    </r>
    <r>
      <rPr>
        <sz val="12"/>
        <rFont val="標楷體"/>
        <family val="4"/>
        <charset val="136"/>
      </rPr>
      <t>級</t>
    </r>
    <r>
      <rPr>
        <sz val="12"/>
        <rFont val="Times New Roman"/>
        <family val="1"/>
      </rPr>
      <t xml:space="preserve"> CMS 3</t>
    </r>
    <phoneticPr fontId="38" type="noConversion"/>
  </si>
  <si>
    <r>
      <rPr>
        <sz val="12"/>
        <rFont val="標楷體"/>
        <family val="4"/>
        <charset val="136"/>
      </rPr>
      <t>第</t>
    </r>
    <r>
      <rPr>
        <sz val="12"/>
        <rFont val="Times New Roman"/>
        <family val="1"/>
      </rPr>
      <t>4</t>
    </r>
    <r>
      <rPr>
        <sz val="12"/>
        <rFont val="標楷體"/>
        <family val="4"/>
        <charset val="136"/>
      </rPr>
      <t>級</t>
    </r>
    <r>
      <rPr>
        <sz val="12"/>
        <rFont val="Times New Roman"/>
        <family val="1"/>
      </rPr>
      <t xml:space="preserve"> CMS 4</t>
    </r>
    <phoneticPr fontId="38" type="noConversion"/>
  </si>
  <si>
    <r>
      <rPr>
        <sz val="12"/>
        <rFont val="標楷體"/>
        <family val="4"/>
        <charset val="136"/>
      </rPr>
      <t>第</t>
    </r>
    <r>
      <rPr>
        <sz val="12"/>
        <rFont val="Times New Roman"/>
        <family val="1"/>
      </rPr>
      <t>5</t>
    </r>
    <r>
      <rPr>
        <sz val="12"/>
        <rFont val="標楷體"/>
        <family val="4"/>
        <charset val="136"/>
      </rPr>
      <t>級</t>
    </r>
    <r>
      <rPr>
        <sz val="12"/>
        <rFont val="Times New Roman"/>
        <family val="1"/>
      </rPr>
      <t xml:space="preserve"> CMS 5</t>
    </r>
    <phoneticPr fontId="38" type="noConversion"/>
  </si>
  <si>
    <r>
      <rPr>
        <sz val="12"/>
        <rFont val="標楷體"/>
        <family val="4"/>
        <charset val="136"/>
      </rPr>
      <t>第</t>
    </r>
    <r>
      <rPr>
        <sz val="12"/>
        <rFont val="Times New Roman"/>
        <family val="1"/>
      </rPr>
      <t>6</t>
    </r>
    <r>
      <rPr>
        <sz val="12"/>
        <rFont val="標楷體"/>
        <family val="4"/>
        <charset val="136"/>
      </rPr>
      <t>級</t>
    </r>
    <r>
      <rPr>
        <sz val="12"/>
        <rFont val="Times New Roman"/>
        <family val="1"/>
      </rPr>
      <t xml:space="preserve"> CMS 6</t>
    </r>
    <phoneticPr fontId="38" type="noConversion"/>
  </si>
  <si>
    <r>
      <rPr>
        <sz val="12"/>
        <rFont val="標楷體"/>
        <family val="4"/>
        <charset val="136"/>
      </rPr>
      <t>第</t>
    </r>
    <r>
      <rPr>
        <sz val="12"/>
        <rFont val="Times New Roman"/>
        <family val="1"/>
      </rPr>
      <t>7</t>
    </r>
    <r>
      <rPr>
        <sz val="12"/>
        <rFont val="標楷體"/>
        <family val="4"/>
        <charset val="136"/>
      </rPr>
      <t>級</t>
    </r>
    <r>
      <rPr>
        <sz val="12"/>
        <rFont val="Times New Roman"/>
        <family val="1"/>
      </rPr>
      <t xml:space="preserve"> CMS 7</t>
    </r>
    <phoneticPr fontId="38" type="noConversion"/>
  </si>
  <si>
    <r>
      <rPr>
        <sz val="12"/>
        <rFont val="標楷體"/>
        <family val="4"/>
        <charset val="136"/>
      </rPr>
      <t>第</t>
    </r>
    <r>
      <rPr>
        <sz val="12"/>
        <rFont val="Times New Roman"/>
        <family val="1"/>
      </rPr>
      <t>8</t>
    </r>
    <r>
      <rPr>
        <sz val="12"/>
        <rFont val="標楷體"/>
        <family val="4"/>
        <charset val="136"/>
      </rPr>
      <t>級</t>
    </r>
    <r>
      <rPr>
        <sz val="12"/>
        <rFont val="Times New Roman"/>
        <family val="1"/>
      </rPr>
      <t xml:space="preserve">  CMS 8</t>
    </r>
    <phoneticPr fontId="38" type="noConversion"/>
  </si>
  <si>
    <t xml:space="preserve">全年照顧服務人數-按長照需要等級分 </t>
    <phoneticPr fontId="38" type="noConversion"/>
  </si>
  <si>
    <t xml:space="preserve">全年照顧服務人數-按長照需要等級分 </t>
    <phoneticPr fontId="38" type="noConversion"/>
  </si>
  <si>
    <r>
      <rPr>
        <sz val="12"/>
        <rFont val="標楷體"/>
        <family val="4"/>
        <charset val="136"/>
      </rPr>
      <t>全年照顧服務人數</t>
    </r>
    <r>
      <rPr>
        <sz val="12"/>
        <rFont val="Times New Roman"/>
        <family val="1"/>
      </rPr>
      <t>-</t>
    </r>
    <r>
      <rPr>
        <sz val="12"/>
        <rFont val="標楷體"/>
        <family val="4"/>
        <charset val="136"/>
      </rPr>
      <t>按長照需要等級分</t>
    </r>
    <r>
      <rPr>
        <sz val="12"/>
        <rFont val="Times New Roman"/>
        <family val="1"/>
      </rPr>
      <t xml:space="preserve"> </t>
    </r>
    <phoneticPr fontId="38" type="noConversion"/>
  </si>
  <si>
    <r>
      <t>110</t>
    </r>
    <r>
      <rPr>
        <sz val="12"/>
        <rFont val="標楷體"/>
        <family val="4"/>
        <charset val="136"/>
      </rPr>
      <t>年</t>
    </r>
    <r>
      <rPr>
        <sz val="12"/>
        <rFont val="Times New Roman"/>
        <family val="1"/>
      </rPr>
      <t>, 2021</t>
    </r>
  </si>
  <si>
    <r>
      <rPr>
        <sz val="12"/>
        <color indexed="8"/>
        <rFont val="標楷體"/>
        <family val="4"/>
        <charset val="136"/>
      </rPr>
      <t>更新日期：</t>
    </r>
    <r>
      <rPr>
        <sz val="12"/>
        <color indexed="8"/>
        <rFont val="Times New Roman"/>
        <family val="1"/>
      </rPr>
      <t>2022/3/31</t>
    </r>
    <phoneticPr fontId="6" type="noConversion"/>
  </si>
  <si>
    <r>
      <rPr>
        <sz val="12"/>
        <color indexed="8"/>
        <rFont val="標楷體"/>
        <family val="4"/>
        <charset val="136"/>
      </rPr>
      <t>更新日期：</t>
    </r>
    <r>
      <rPr>
        <sz val="12"/>
        <color indexed="8"/>
        <rFont val="Times New Roman"/>
        <family val="1"/>
      </rPr>
      <t>2023/3/31</t>
    </r>
    <phoneticPr fontId="6" type="noConversion"/>
  </si>
  <si>
    <r>
      <rPr>
        <sz val="12"/>
        <rFont val="標楷體"/>
        <family val="4"/>
        <charset val="136"/>
      </rPr>
      <t>資料來源：衛生福利部長期照顧司。</t>
    </r>
    <r>
      <rPr>
        <sz val="12"/>
        <rFont val="Times New Roman"/>
        <family val="1"/>
      </rPr>
      <t xml:space="preserve"> </t>
    </r>
    <phoneticPr fontId="5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</si>
  <si>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111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2022</t>
    </r>
    <phoneticPr fontId="6" type="noConversion"/>
  </si>
  <si>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底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 xml:space="preserve">別
</t>
    </r>
    <r>
      <rPr>
        <sz val="10"/>
        <rFont val="Times New Roman"/>
        <family val="1"/>
      </rPr>
      <t>Year</t>
    </r>
    <phoneticPr fontId="6" type="noConversion"/>
  </si>
  <si>
    <r>
      <t>(</t>
    </r>
    <r>
      <rPr>
        <sz val="10"/>
        <rFont val="標楷體"/>
        <family val="4"/>
        <charset val="136"/>
      </rPr>
      <t>一</t>
    </r>
    <r>
      <rPr>
        <sz val="10"/>
        <rFont val="Times New Roman"/>
        <family val="1"/>
      </rPr>
      <t xml:space="preserve">)   </t>
    </r>
    <r>
      <rPr>
        <sz val="10"/>
        <rFont val="標楷體"/>
        <family val="4"/>
        <charset val="136"/>
      </rPr>
      <t>期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底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服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務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員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人</t>
    </r>
    <r>
      <rPr>
        <sz val="10"/>
        <rFont val="Times New Roman"/>
        <family val="1"/>
      </rPr>
      <t xml:space="preserve">  </t>
    </r>
    <r>
      <rPr>
        <sz val="10"/>
        <rFont val="標楷體"/>
        <family val="4"/>
        <charset val="136"/>
      </rPr>
      <t>數</t>
    </r>
    <r>
      <rPr>
        <sz val="10"/>
        <rFont val="Times New Roman"/>
        <family val="1"/>
      </rPr>
      <t xml:space="preserve"> Care Providers</t>
    </r>
    <phoneticPr fontId="6" type="noConversion"/>
  </si>
  <si>
    <r>
      <t>98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2009</t>
    </r>
    <phoneticPr fontId="5" type="noConversion"/>
  </si>
  <si>
    <r>
      <t>99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2010</t>
    </r>
    <phoneticPr fontId="6" type="noConversion"/>
  </si>
  <si>
    <r>
      <t>100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2011</t>
    </r>
    <phoneticPr fontId="6" type="noConversion"/>
  </si>
  <si>
    <r>
      <t>101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2012</t>
    </r>
    <phoneticPr fontId="6" type="noConversion"/>
  </si>
  <si>
    <r>
      <t>102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2013</t>
    </r>
    <phoneticPr fontId="6" type="noConversion"/>
  </si>
  <si>
    <r>
      <t>103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2014</t>
    </r>
    <phoneticPr fontId="6" type="noConversion"/>
  </si>
  <si>
    <r>
      <t>104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2015</t>
    </r>
    <phoneticPr fontId="6" type="noConversion"/>
  </si>
  <si>
    <r>
      <t>105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2016</t>
    </r>
    <phoneticPr fontId="6" type="noConversion"/>
  </si>
  <si>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底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 xml:space="preserve">別
</t>
    </r>
    <r>
      <rPr>
        <sz val="10"/>
        <rFont val="Times New Roman"/>
        <family val="1"/>
      </rPr>
      <t>Year</t>
    </r>
  </si>
  <si>
    <r>
      <rPr>
        <sz val="10"/>
        <rFont val="標楷體"/>
        <family val="4"/>
        <charset val="136"/>
      </rPr>
      <t>居家服務教育訓練</t>
    </r>
    <r>
      <rPr>
        <sz val="10"/>
        <rFont val="Times New Roman"/>
        <family val="1"/>
      </rPr>
      <t xml:space="preserve"> Education Training</t>
    </r>
    <phoneticPr fontId="6" type="noConversion"/>
  </si>
  <si>
    <r>
      <rPr>
        <sz val="10"/>
        <rFont val="標楷體"/>
        <family val="4"/>
        <charset val="136"/>
      </rPr>
      <t>長照低收入戶</t>
    </r>
  </si>
  <si>
    <r>
      <rPr>
        <sz val="10"/>
        <rFont val="標楷體"/>
        <family val="4"/>
        <charset val="136"/>
      </rPr>
      <t>長照中低收入戶</t>
    </r>
  </si>
  <si>
    <r>
      <rPr>
        <sz val="10"/>
        <rFont val="標楷體"/>
        <family val="4"/>
        <charset val="136"/>
      </rPr>
      <t>長照一般戶</t>
    </r>
  </si>
  <si>
    <r>
      <rPr>
        <sz val="9"/>
        <rFont val="標楷體"/>
        <family val="4"/>
        <charset val="136"/>
      </rPr>
      <t>資料來源：直轄市、縣﹝市﹞政府。</t>
    </r>
    <r>
      <rPr>
        <sz val="9"/>
        <rFont val="Times New Roman"/>
        <family val="1"/>
      </rPr>
      <t xml:space="preserve"> </t>
    </r>
    <phoneticPr fontId="5" type="noConversion"/>
  </si>
  <si>
    <r>
      <rPr>
        <sz val="9"/>
        <rFont val="標楷體"/>
        <family val="4"/>
        <charset val="136"/>
      </rPr>
      <t>附註：</t>
    </r>
    <r>
      <rPr>
        <sz val="9"/>
        <rFont val="Times New Roman"/>
        <family val="1"/>
      </rPr>
      <t>1.</t>
    </r>
    <r>
      <rPr>
        <sz val="9"/>
        <rFont val="標楷體"/>
        <family val="4"/>
        <charset val="136"/>
      </rPr>
      <t>長照</t>
    </r>
    <r>
      <rPr>
        <sz val="9"/>
        <rFont val="Times New Roman"/>
        <family val="1"/>
      </rPr>
      <t>2.0</t>
    </r>
    <r>
      <rPr>
        <sz val="9"/>
        <rFont val="標楷體"/>
        <family val="4"/>
        <charset val="136"/>
      </rPr>
      <t>於</t>
    </r>
    <r>
      <rPr>
        <sz val="9"/>
        <rFont val="Times New Roman"/>
        <family val="1"/>
      </rPr>
      <t>106</t>
    </r>
    <r>
      <rPr>
        <sz val="9"/>
        <rFont val="標楷體"/>
        <family val="4"/>
        <charset val="136"/>
      </rPr>
      <t>年</t>
    </r>
    <r>
      <rPr>
        <sz val="9"/>
        <rFont val="Times New Roman"/>
        <family val="1"/>
      </rPr>
      <t>6</t>
    </r>
    <r>
      <rPr>
        <sz val="9"/>
        <rFont val="標楷體"/>
        <family val="4"/>
        <charset val="136"/>
      </rPr>
      <t>月開始實施，擴大服務對象，致</t>
    </r>
    <r>
      <rPr>
        <sz val="9"/>
        <rFont val="Times New Roman"/>
        <family val="1"/>
      </rPr>
      <t>107</t>
    </r>
    <r>
      <rPr>
        <sz val="9"/>
        <rFont val="標楷體"/>
        <family val="4"/>
        <charset val="136"/>
      </rPr>
      <t>年服務人數大幅增加。
　　　</t>
    </r>
    <r>
      <rPr>
        <sz val="9"/>
        <rFont val="Times New Roman"/>
        <family val="1"/>
      </rPr>
      <t>2.</t>
    </r>
    <r>
      <rPr>
        <sz val="9"/>
        <rFont val="標楷體"/>
        <family val="4"/>
        <charset val="136"/>
      </rPr>
      <t>「期底服務個案人數」：屬靜態資料，係指期底現有服務個案之人數</t>
    </r>
    <r>
      <rPr>
        <sz val="9"/>
        <rFont val="Times New Roman"/>
        <family val="1"/>
      </rPr>
      <t>(</t>
    </r>
    <r>
      <rPr>
        <sz val="9"/>
        <rFont val="標楷體"/>
        <family val="4"/>
        <charset val="136"/>
      </rPr>
      <t>不含已結案者</t>
    </r>
    <r>
      <rPr>
        <sz val="9"/>
        <rFont val="Times New Roman"/>
        <family val="1"/>
      </rPr>
      <t>)</t>
    </r>
    <r>
      <rPr>
        <sz val="9"/>
        <rFont val="標楷體"/>
        <family val="4"/>
        <charset val="136"/>
      </rPr>
      <t>。以</t>
    </r>
    <r>
      <rPr>
        <sz val="9"/>
        <rFont val="Times New Roman"/>
        <family val="1"/>
      </rPr>
      <t>108</t>
    </r>
    <r>
      <rPr>
        <sz val="9"/>
        <rFont val="標楷體"/>
        <family val="4"/>
        <charset val="136"/>
      </rPr>
      <t>年資料為例，係指</t>
    </r>
    <r>
      <rPr>
        <sz val="9"/>
        <rFont val="Times New Roman"/>
        <family val="1"/>
      </rPr>
      <t>108</t>
    </r>
    <r>
      <rPr>
        <sz val="9"/>
        <rFont val="標楷體"/>
        <family val="4"/>
        <charset val="136"/>
      </rPr>
      <t>年</t>
    </r>
    <r>
      <rPr>
        <sz val="9"/>
        <rFont val="Times New Roman"/>
        <family val="1"/>
      </rPr>
      <t>12</t>
    </r>
    <r>
      <rPr>
        <sz val="9"/>
        <rFont val="標楷體"/>
        <family val="4"/>
        <charset val="136"/>
      </rPr>
      <t>月</t>
    </r>
    <r>
      <rPr>
        <sz val="9"/>
        <rFont val="Times New Roman"/>
        <family val="1"/>
      </rPr>
      <t>31</t>
    </r>
    <r>
      <rPr>
        <sz val="9"/>
        <rFont val="標楷體"/>
        <family val="4"/>
        <charset val="136"/>
      </rPr>
      <t>日仍在案之人數。
　　　</t>
    </r>
    <r>
      <rPr>
        <sz val="9"/>
        <rFont val="Times New Roman"/>
        <family val="1"/>
      </rPr>
      <t>3.</t>
    </r>
    <r>
      <rPr>
        <sz val="9"/>
        <rFont val="標楷體"/>
        <family val="4"/>
        <charset val="136"/>
      </rPr>
      <t>「本期服務個案人數」：屬動態資料，係指某區間內有使用服務人口中歸人統計。例如：某個案一年共使用服務</t>
    </r>
    <r>
      <rPr>
        <sz val="9"/>
        <rFont val="Times New Roman"/>
        <family val="1"/>
      </rPr>
      <t>24</t>
    </r>
    <r>
      <rPr>
        <sz val="9"/>
        <rFont val="標楷體"/>
        <family val="4"/>
        <charset val="136"/>
      </rPr>
      <t>次，則服務人數計</t>
    </r>
    <r>
      <rPr>
        <sz val="9"/>
        <rFont val="Times New Roman"/>
        <family val="1"/>
      </rPr>
      <t>1</t>
    </r>
    <r>
      <rPr>
        <sz val="9"/>
        <rFont val="標楷體"/>
        <family val="4"/>
        <charset val="136"/>
      </rPr>
      <t>人。</t>
    </r>
    <phoneticPr fontId="5" type="noConversion"/>
  </si>
  <si>
    <r>
      <t>106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2017</t>
    </r>
    <r>
      <rPr>
        <sz val="12"/>
        <color indexed="8"/>
        <rFont val="新細明體"/>
        <family val="1"/>
        <charset val="136"/>
      </rPr>
      <t/>
    </r>
    <phoneticPr fontId="6" type="noConversion"/>
  </si>
  <si>
    <r>
      <t>107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2018</t>
    </r>
    <r>
      <rPr>
        <sz val="12"/>
        <color indexed="8"/>
        <rFont val="新細明體"/>
        <family val="1"/>
        <charset val="136"/>
      </rPr>
      <t/>
    </r>
    <phoneticPr fontId="6" type="noConversion"/>
  </si>
  <si>
    <r>
      <t>108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2019</t>
    </r>
    <phoneticPr fontId="6" type="noConversion"/>
  </si>
  <si>
    <r>
      <t>109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2020</t>
    </r>
    <r>
      <rPr>
        <sz val="9"/>
        <rFont val="Times New Roman"/>
        <family val="1"/>
      </rPr>
      <t/>
    </r>
    <phoneticPr fontId="6" type="noConversion"/>
  </si>
  <si>
    <r>
      <rPr>
        <sz val="10"/>
        <rFont val="標楷體"/>
        <family val="4"/>
        <charset val="136"/>
      </rPr>
      <t xml:space="preserve">年別
</t>
    </r>
    <r>
      <rPr>
        <sz val="10"/>
        <rFont val="Times New Roman"/>
        <family val="1"/>
      </rPr>
      <t>Year</t>
    </r>
  </si>
  <si>
    <r>
      <t>98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2009</t>
    </r>
  </si>
  <si>
    <t>...</t>
  </si>
  <si>
    <r>
      <t>99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2010</t>
    </r>
  </si>
  <si>
    <r>
      <t>100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2011</t>
    </r>
  </si>
  <si>
    <r>
      <t>101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2012</t>
    </r>
  </si>
  <si>
    <r>
      <t>102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2013</t>
    </r>
  </si>
  <si>
    <r>
      <t>103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2014</t>
    </r>
  </si>
  <si>
    <r>
      <t>104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2015</t>
    </r>
  </si>
  <si>
    <r>
      <rPr>
        <sz val="10"/>
        <rFont val="標楷體"/>
        <family val="4"/>
        <charset val="136"/>
      </rPr>
      <t xml:space="preserve">年別
</t>
    </r>
    <r>
      <rPr>
        <sz val="10"/>
        <rFont val="Times New Roman"/>
        <family val="1"/>
      </rPr>
      <t>Year</t>
    </r>
    <phoneticPr fontId="6" type="noConversion"/>
  </si>
  <si>
    <r>
      <rPr>
        <sz val="9"/>
        <rFont val="標楷體"/>
        <family val="4"/>
        <charset val="136"/>
      </rPr>
      <t>下半年</t>
    </r>
    <r>
      <rPr>
        <sz val="9"/>
        <rFont val="Times New Roman"/>
        <family val="1"/>
      </rPr>
      <t>,July-Dec.</t>
    </r>
    <phoneticPr fontId="6" type="noConversion"/>
  </si>
  <si>
    <t>年別
Year</t>
    <phoneticPr fontId="6" type="noConversion"/>
  </si>
  <si>
    <r>
      <t>109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2020</t>
    </r>
    <r>
      <rPr>
        <sz val="12"/>
        <rFont val="宋体"/>
      </rPr>
      <t/>
    </r>
    <phoneticPr fontId="6" type="noConversion"/>
  </si>
  <si>
    <r>
      <rPr>
        <sz val="9"/>
        <rFont val="標楷體"/>
        <family val="4"/>
        <charset val="136"/>
      </rPr>
      <t xml:space="preserve">年別
</t>
    </r>
    <r>
      <rPr>
        <sz val="9"/>
        <rFont val="Times New Roman"/>
        <family val="1"/>
      </rPr>
      <t>Year</t>
    </r>
    <phoneticPr fontId="6" type="noConversion"/>
  </si>
  <si>
    <r>
      <rPr>
        <sz val="9"/>
        <rFont val="標楷體"/>
        <family val="4"/>
        <charset val="136"/>
      </rPr>
      <t>服務單位數</t>
    </r>
    <r>
      <rPr>
        <sz val="9"/>
        <rFont val="Times New Roman"/>
        <family val="1"/>
      </rPr>
      <t>(</t>
    </r>
    <r>
      <rPr>
        <sz val="9"/>
        <rFont val="標楷體"/>
        <family val="4"/>
        <charset val="136"/>
      </rPr>
      <t>個</t>
    </r>
    <r>
      <rPr>
        <sz val="9"/>
        <rFont val="Times New Roman"/>
        <family val="1"/>
      </rPr>
      <t xml:space="preserve">)
Places </t>
    </r>
    <phoneticPr fontId="6" type="noConversion"/>
  </si>
  <si>
    <r>
      <rPr>
        <sz val="9"/>
        <rFont val="標楷體"/>
        <family val="4"/>
        <charset val="136"/>
      </rPr>
      <t>期底服務個案人數</t>
    </r>
    <r>
      <rPr>
        <sz val="9"/>
        <rFont val="Times New Roman"/>
        <family val="1"/>
      </rPr>
      <t xml:space="preserve"> Persons Served (End of Year)</t>
    </r>
    <phoneticPr fontId="6" type="noConversion"/>
  </si>
  <si>
    <r>
      <rPr>
        <sz val="9"/>
        <rFont val="標楷體"/>
        <family val="4"/>
        <charset val="136"/>
      </rPr>
      <t>本期服務人次</t>
    </r>
    <r>
      <rPr>
        <sz val="9"/>
        <rFont val="Times New Roman"/>
        <family val="1"/>
      </rPr>
      <t>(</t>
    </r>
    <r>
      <rPr>
        <sz val="9"/>
        <rFont val="標楷體"/>
        <family val="4"/>
        <charset val="136"/>
      </rPr>
      <t>日</t>
    </r>
    <r>
      <rPr>
        <sz val="9"/>
        <rFont val="Times New Roman"/>
        <family val="1"/>
      </rPr>
      <t>) Services Person-times</t>
    </r>
    <phoneticPr fontId="6" type="noConversion"/>
  </si>
  <si>
    <r>
      <rPr>
        <sz val="9"/>
        <rFont val="標楷體"/>
        <family val="4"/>
        <charset val="136"/>
      </rPr>
      <t>本期服務時數</t>
    </r>
    <r>
      <rPr>
        <sz val="9"/>
        <rFont val="Times New Roman"/>
        <family val="1"/>
      </rPr>
      <t xml:space="preserve"> Services Hours</t>
    </r>
    <phoneticPr fontId="6" type="noConversion"/>
  </si>
  <si>
    <r>
      <rPr>
        <sz val="9"/>
        <rFont val="標楷體"/>
        <family val="4"/>
        <charset val="136"/>
      </rPr>
      <t xml:space="preserve">合計
</t>
    </r>
    <r>
      <rPr>
        <sz val="9"/>
        <rFont val="Times New Roman"/>
        <family val="1"/>
      </rPr>
      <t>Total</t>
    </r>
    <phoneticPr fontId="6" type="noConversion"/>
  </si>
  <si>
    <r>
      <rPr>
        <sz val="9"/>
        <rFont val="標楷體"/>
        <family val="4"/>
        <charset val="136"/>
      </rPr>
      <t xml:space="preserve">低收入
</t>
    </r>
    <r>
      <rPr>
        <sz val="9"/>
        <rFont val="Times New Roman"/>
        <family val="1"/>
      </rPr>
      <t>Low-income</t>
    </r>
    <phoneticPr fontId="6" type="noConversion"/>
  </si>
  <si>
    <r>
      <rPr>
        <sz val="9"/>
        <rFont val="標楷體"/>
        <family val="4"/>
        <charset val="136"/>
      </rPr>
      <t xml:space="preserve">中低收入
</t>
    </r>
    <r>
      <rPr>
        <sz val="9"/>
        <rFont val="Times New Roman"/>
        <family val="1"/>
      </rPr>
      <t>Mid-income</t>
    </r>
    <phoneticPr fontId="6" type="noConversion"/>
  </si>
  <si>
    <r>
      <rPr>
        <sz val="9"/>
        <rFont val="標楷體"/>
        <family val="4"/>
        <charset val="136"/>
      </rPr>
      <t xml:space="preserve">一般戶
</t>
    </r>
    <r>
      <rPr>
        <sz val="9"/>
        <rFont val="Times New Roman"/>
        <family val="1"/>
      </rPr>
      <t>General</t>
    </r>
    <phoneticPr fontId="6" type="noConversion"/>
  </si>
  <si>
    <r>
      <rPr>
        <sz val="9"/>
        <rFont val="標楷體"/>
        <family val="4"/>
        <charset val="136"/>
      </rPr>
      <t xml:space="preserve">計
</t>
    </r>
    <r>
      <rPr>
        <sz val="9"/>
        <rFont val="Times New Roman"/>
        <family val="1"/>
      </rPr>
      <t>Subtotal</t>
    </r>
    <phoneticPr fontId="6" type="noConversion"/>
  </si>
  <si>
    <r>
      <rPr>
        <sz val="9"/>
        <rFont val="標楷體"/>
        <family val="4"/>
        <charset val="136"/>
      </rPr>
      <t xml:space="preserve">男
</t>
    </r>
    <r>
      <rPr>
        <sz val="9"/>
        <rFont val="Times New Roman"/>
        <family val="1"/>
      </rPr>
      <t>Male</t>
    </r>
    <phoneticPr fontId="6" type="noConversion"/>
  </si>
  <si>
    <r>
      <rPr>
        <sz val="9"/>
        <rFont val="標楷體"/>
        <family val="4"/>
        <charset val="136"/>
      </rPr>
      <t xml:space="preserve">女
</t>
    </r>
    <r>
      <rPr>
        <sz val="9"/>
        <rFont val="Times New Roman"/>
        <family val="1"/>
      </rPr>
      <t>Female</t>
    </r>
    <phoneticPr fontId="6" type="noConversion"/>
  </si>
  <si>
    <t>...</t>
    <phoneticPr fontId="6" type="noConversion"/>
  </si>
  <si>
    <r>
      <rPr>
        <sz val="9"/>
        <rFont val="標楷體"/>
        <family val="4"/>
        <charset val="136"/>
      </rPr>
      <t>資料來源：直轄市、縣﹝市﹞政府。</t>
    </r>
    <r>
      <rPr>
        <sz val="9"/>
        <rFont val="Times New Roman"/>
        <family val="1"/>
      </rPr>
      <t xml:space="preserve"> </t>
    </r>
  </si>
  <si>
    <r>
      <rPr>
        <sz val="9"/>
        <rFont val="標楷體"/>
        <family val="4"/>
        <charset val="136"/>
      </rPr>
      <t>附註：</t>
    </r>
    <r>
      <rPr>
        <sz val="9"/>
        <rFont val="Times New Roman"/>
        <family val="1"/>
      </rPr>
      <t>1.</t>
    </r>
    <r>
      <rPr>
        <sz val="9"/>
        <rFont val="標楷體"/>
        <family val="4"/>
        <charset val="136"/>
      </rPr>
      <t>長照</t>
    </r>
    <r>
      <rPr>
        <sz val="9"/>
        <rFont val="Times New Roman"/>
        <family val="1"/>
      </rPr>
      <t>2.0</t>
    </r>
    <r>
      <rPr>
        <sz val="9"/>
        <rFont val="標楷體"/>
        <family val="4"/>
        <charset val="136"/>
      </rPr>
      <t>於</t>
    </r>
    <r>
      <rPr>
        <sz val="9"/>
        <rFont val="Times New Roman"/>
        <family val="1"/>
      </rPr>
      <t>106</t>
    </r>
    <r>
      <rPr>
        <sz val="9"/>
        <rFont val="標楷體"/>
        <family val="4"/>
        <charset val="136"/>
      </rPr>
      <t>年</t>
    </r>
    <r>
      <rPr>
        <sz val="9"/>
        <rFont val="Times New Roman"/>
        <family val="1"/>
      </rPr>
      <t>6</t>
    </r>
    <r>
      <rPr>
        <sz val="9"/>
        <rFont val="標楷體"/>
        <family val="4"/>
        <charset val="136"/>
      </rPr>
      <t>月開始實施，擴大服務對象，致</t>
    </r>
    <r>
      <rPr>
        <sz val="9"/>
        <rFont val="Times New Roman"/>
        <family val="1"/>
      </rPr>
      <t>107</t>
    </r>
    <r>
      <rPr>
        <sz val="9"/>
        <rFont val="標楷體"/>
        <family val="4"/>
        <charset val="136"/>
      </rPr>
      <t>年服務人數大幅增加。
　　</t>
    </r>
    <r>
      <rPr>
        <sz val="9"/>
        <rFont val="Times New Roman"/>
        <family val="1"/>
      </rPr>
      <t xml:space="preserve">    2.</t>
    </r>
    <r>
      <rPr>
        <sz val="9"/>
        <rFont val="標楷體"/>
        <family val="4"/>
        <charset val="136"/>
      </rPr>
      <t>「期底服務個案人數」：屬靜態資料，係指期底現有服務個案之人數</t>
    </r>
    <r>
      <rPr>
        <sz val="9"/>
        <rFont val="Times New Roman"/>
        <family val="1"/>
      </rPr>
      <t>(</t>
    </r>
    <r>
      <rPr>
        <sz val="9"/>
        <rFont val="標楷體"/>
        <family val="4"/>
        <charset val="136"/>
      </rPr>
      <t>不含已結案者</t>
    </r>
    <r>
      <rPr>
        <sz val="9"/>
        <rFont val="Times New Roman"/>
        <family val="1"/>
      </rPr>
      <t>)</t>
    </r>
    <r>
      <rPr>
        <sz val="9"/>
        <rFont val="標楷體"/>
        <family val="4"/>
        <charset val="136"/>
      </rPr>
      <t>。以</t>
    </r>
    <r>
      <rPr>
        <sz val="9"/>
        <rFont val="Times New Roman"/>
        <family val="1"/>
      </rPr>
      <t>108</t>
    </r>
    <r>
      <rPr>
        <sz val="9"/>
        <rFont val="標楷體"/>
        <family val="4"/>
        <charset val="136"/>
      </rPr>
      <t>年資料為例，係指</t>
    </r>
    <r>
      <rPr>
        <sz val="9"/>
        <rFont val="Times New Roman"/>
        <family val="1"/>
      </rPr>
      <t>108</t>
    </r>
    <r>
      <rPr>
        <sz val="9"/>
        <rFont val="標楷體"/>
        <family val="4"/>
        <charset val="136"/>
      </rPr>
      <t>年</t>
    </r>
    <r>
      <rPr>
        <sz val="9"/>
        <rFont val="Times New Roman"/>
        <family val="1"/>
      </rPr>
      <t>12</t>
    </r>
    <r>
      <rPr>
        <sz val="9"/>
        <rFont val="標楷體"/>
        <family val="4"/>
        <charset val="136"/>
      </rPr>
      <t>月</t>
    </r>
    <r>
      <rPr>
        <sz val="9"/>
        <rFont val="Times New Roman"/>
        <family val="1"/>
      </rPr>
      <t>31</t>
    </r>
    <r>
      <rPr>
        <sz val="9"/>
        <rFont val="標楷體"/>
        <family val="4"/>
        <charset val="136"/>
      </rPr>
      <t>日仍在案之人數。
　　　</t>
    </r>
    <r>
      <rPr>
        <sz val="9"/>
        <rFont val="Times New Roman"/>
        <family val="1"/>
      </rPr>
      <t>3.</t>
    </r>
    <r>
      <rPr>
        <sz val="9"/>
        <rFont val="標楷體"/>
        <family val="4"/>
        <charset val="136"/>
      </rPr>
      <t>「本期服務個案人數」：屬動態資料，係指某區間內有使用服務人口中歸人統計。例如：某個案一年共使用服務</t>
    </r>
    <r>
      <rPr>
        <sz val="9"/>
        <rFont val="Times New Roman"/>
        <family val="1"/>
      </rPr>
      <t>24</t>
    </r>
    <r>
      <rPr>
        <sz val="9"/>
        <rFont val="標楷體"/>
        <family val="4"/>
        <charset val="136"/>
      </rPr>
      <t>次，則服務人數計</t>
    </r>
    <r>
      <rPr>
        <sz val="9"/>
        <rFont val="Times New Roman"/>
        <family val="1"/>
      </rPr>
      <t>1</t>
    </r>
    <r>
      <rPr>
        <sz val="9"/>
        <rFont val="標楷體"/>
        <family val="4"/>
        <charset val="136"/>
      </rPr>
      <t>人。</t>
    </r>
    <phoneticPr fontId="5" type="noConversion"/>
  </si>
  <si>
    <r>
      <t>109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2020</t>
    </r>
    <r>
      <rPr>
        <sz val="9"/>
        <rFont val="Times New Roman"/>
        <family val="1"/>
      </rPr>
      <t/>
    </r>
    <phoneticPr fontId="5" type="noConversion"/>
  </si>
  <si>
    <r>
      <t>107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2018</t>
    </r>
    <r>
      <rPr>
        <sz val="12"/>
        <color indexed="8"/>
        <rFont val="新細明體"/>
        <family val="1"/>
        <charset val="136"/>
      </rPr>
      <t/>
    </r>
  </si>
  <si>
    <r>
      <rPr>
        <sz val="12"/>
        <rFont val="標楷體"/>
        <family val="4"/>
        <charset val="136"/>
      </rPr>
      <t>註：「總計」係全年中對於『居家服務』、『日間照顧』、『家庭托顧』無論是否使用單項服務或多項服務，最後皆以歸人計算。故總計不等於</t>
    </r>
    <r>
      <rPr>
        <sz val="12"/>
        <rFont val="Times New Roman"/>
        <family val="1"/>
      </rPr>
      <t xml:space="preserve"> </t>
    </r>
    <r>
      <rPr>
        <sz val="12"/>
        <rFont val="標楷體"/>
        <family val="4"/>
        <charset val="136"/>
      </rPr>
      <t>『居家服務』＋『日間照顧』＋『家庭托顧』。</t>
    </r>
    <phoneticPr fontId="5" type="noConversion"/>
  </si>
  <si>
    <r>
      <rPr>
        <sz val="12"/>
        <rFont val="標楷體"/>
        <family val="4"/>
        <charset val="136"/>
      </rPr>
      <t>註：</t>
    </r>
    <r>
      <rPr>
        <sz val="12"/>
        <rFont val="Times New Roman"/>
        <family val="1"/>
      </rPr>
      <t>1.110</t>
    </r>
    <r>
      <rPr>
        <sz val="12"/>
        <rFont val="標楷體"/>
        <family val="4"/>
        <charset val="136"/>
      </rPr>
      <t>年起全年照顧服務人數係指長照</t>
    </r>
    <r>
      <rPr>
        <sz val="12"/>
        <rFont val="Times New Roman"/>
        <family val="1"/>
      </rPr>
      <t>2.0</t>
    </r>
    <r>
      <rPr>
        <sz val="12"/>
        <rFont val="標楷體"/>
        <family val="4"/>
        <charset val="136"/>
      </rPr>
      <t>所辦理之居家服務、日間照顧服務及家庭托顧服務全年可服務人數。</t>
    </r>
    <phoneticPr fontId="5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</si>
  <si>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112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2023</t>
    </r>
    <phoneticPr fontId="6" type="noConversion"/>
  </si>
  <si>
    <r>
      <rPr>
        <sz val="12"/>
        <color indexed="8"/>
        <rFont val="標楷體"/>
        <family val="4"/>
        <charset val="136"/>
      </rPr>
      <t>更新日期：</t>
    </r>
    <r>
      <rPr>
        <sz val="12"/>
        <color indexed="8"/>
        <rFont val="Times New Roman"/>
        <family val="1"/>
      </rPr>
      <t>2024/04/01</t>
    </r>
    <phoneticPr fontId="6" type="noConversion"/>
  </si>
  <si>
    <r>
      <t>111</t>
    </r>
    <r>
      <rPr>
        <sz val="12"/>
        <rFont val="標楷體"/>
        <family val="4"/>
        <charset val="136"/>
      </rPr>
      <t>年</t>
    </r>
    <r>
      <rPr>
        <sz val="12"/>
        <rFont val="Times New Roman"/>
        <family val="1"/>
      </rPr>
      <t>, 2022</t>
    </r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</si>
  <si>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113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2024</t>
    </r>
    <phoneticPr fontId="6" type="noConversion"/>
  </si>
  <si>
    <r>
      <t>112</t>
    </r>
    <r>
      <rPr>
        <sz val="12"/>
        <rFont val="標楷體"/>
        <family val="4"/>
        <charset val="136"/>
      </rPr>
      <t>年</t>
    </r>
    <r>
      <rPr>
        <sz val="12"/>
        <rFont val="Times New Roman"/>
        <family val="1"/>
      </rPr>
      <t>, 2023</t>
    </r>
    <r>
      <rPr>
        <sz val="12"/>
        <color theme="1"/>
        <rFont val="新細明體"/>
        <family val="2"/>
        <charset val="136"/>
        <scheme val="minor"/>
      </rPr>
      <t/>
    </r>
    <phoneticPr fontId="6" type="noConversion"/>
  </si>
  <si>
    <r>
      <rPr>
        <sz val="12"/>
        <color indexed="8"/>
        <rFont val="標楷體"/>
        <family val="4"/>
        <charset val="136"/>
      </rPr>
      <t>更新日期：</t>
    </r>
    <r>
      <rPr>
        <sz val="12"/>
        <color indexed="8"/>
        <rFont val="Times New Roman"/>
        <family val="1"/>
      </rPr>
      <t>2025/04/21</t>
    </r>
    <phoneticPr fontId="6" type="noConversion"/>
  </si>
  <si>
    <r>
      <t>110-113</t>
    </r>
    <r>
      <rPr>
        <sz val="10"/>
        <rFont val="標楷體"/>
        <family val="4"/>
        <charset val="136"/>
      </rPr>
      <t>年</t>
    </r>
    <phoneticPr fontId="6" type="noConversion"/>
  </si>
  <si>
    <r>
      <rPr>
        <sz val="12"/>
        <rFont val="標楷體"/>
        <family val="4"/>
        <charset val="136"/>
      </rPr>
      <t xml:space="preserve">年別
</t>
    </r>
    <r>
      <rPr>
        <sz val="12"/>
        <rFont val="Times New Roman"/>
        <family val="1"/>
      </rPr>
      <t>Year</t>
    </r>
    <phoneticPr fontId="5" type="noConversion"/>
  </si>
  <si>
    <r>
      <t>全年照顧服務人數</t>
    </r>
    <r>
      <rPr>
        <sz val="12"/>
        <rFont val="Times New Roman"/>
        <family val="1"/>
      </rPr>
      <t>-</t>
    </r>
    <r>
      <rPr>
        <sz val="12"/>
        <rFont val="標楷體"/>
        <family val="4"/>
        <charset val="136"/>
      </rPr>
      <t>按長照需要等級分</t>
    </r>
    <r>
      <rPr>
        <sz val="12"/>
        <rFont val="Times New Roman"/>
        <family val="1"/>
      </rPr>
      <t xml:space="preserve"> </t>
    </r>
    <phoneticPr fontId="38" type="noConversion"/>
  </si>
  <si>
    <r>
      <t>全年照顧服務人數</t>
    </r>
    <r>
      <rPr>
        <sz val="12"/>
        <rFont val="Times New Roman"/>
        <family val="1"/>
      </rPr>
      <t>-</t>
    </r>
    <r>
      <rPr>
        <sz val="12"/>
        <rFont val="標楷體"/>
        <family val="4"/>
        <charset val="136"/>
      </rPr>
      <t>按長照需要等級分</t>
    </r>
    <r>
      <rPr>
        <sz val="12"/>
        <rFont val="Times New Roman"/>
        <family val="1"/>
      </rPr>
      <t xml:space="preserve"> </t>
    </r>
    <phoneticPr fontId="38" type="noConversion"/>
  </si>
  <si>
    <r>
      <t>全年照顧服務人數</t>
    </r>
    <r>
      <rPr>
        <sz val="12"/>
        <rFont val="Times New Roman"/>
        <family val="1"/>
      </rPr>
      <t>-</t>
    </r>
    <r>
      <rPr>
        <sz val="12"/>
        <rFont val="標楷體"/>
        <family val="4"/>
        <charset val="136"/>
      </rPr>
      <t>按長照需要等級分</t>
    </r>
    <r>
      <rPr>
        <sz val="12"/>
        <rFont val="Times New Roman"/>
        <family val="1"/>
      </rPr>
      <t xml:space="preserve"> </t>
    </r>
    <phoneticPr fontId="38" type="noConversion"/>
  </si>
  <si>
    <r>
      <rPr>
        <sz val="12"/>
        <rFont val="標楷體"/>
        <family val="4"/>
        <charset val="136"/>
      </rPr>
      <t>總計</t>
    </r>
    <r>
      <rPr>
        <b/>
        <vertAlign val="superscript"/>
        <sz val="12"/>
        <rFont val="標楷體"/>
        <family val="4"/>
        <charset val="136"/>
      </rPr>
      <t>註</t>
    </r>
    <r>
      <rPr>
        <sz val="12"/>
        <rFont val="Times New Roman"/>
        <family val="1"/>
      </rPr>
      <t xml:space="preserve">   Total</t>
    </r>
    <phoneticPr fontId="38" type="noConversion"/>
  </si>
  <si>
    <r>
      <t>居家服務</t>
    </r>
    <r>
      <rPr>
        <sz val="12"/>
        <rFont val="Times New Roman"/>
        <family val="1"/>
      </rPr>
      <t>Home Care Services</t>
    </r>
    <phoneticPr fontId="38" type="noConversion"/>
  </si>
  <si>
    <r>
      <t>日間照顧服務</t>
    </r>
    <r>
      <rPr>
        <sz val="12"/>
        <rFont val="Times New Roman"/>
        <family val="1"/>
      </rPr>
      <t>Day Care Services</t>
    </r>
    <phoneticPr fontId="38" type="noConversion"/>
  </si>
  <si>
    <r>
      <t>家庭托顧</t>
    </r>
    <r>
      <rPr>
        <sz val="12"/>
        <rFont val="Times New Roman"/>
        <family val="1"/>
      </rPr>
      <t xml:space="preserve"> Family Support Services</t>
    </r>
    <phoneticPr fontId="38" type="noConversion"/>
  </si>
  <si>
    <r>
      <rPr>
        <sz val="12"/>
        <rFont val="標楷體"/>
        <family val="4"/>
        <charset val="136"/>
      </rPr>
      <t>合計</t>
    </r>
    <r>
      <rPr>
        <sz val="12"/>
        <rFont val="Times New Roman"/>
        <family val="1"/>
      </rPr>
      <t xml:space="preserve"> Total</t>
    </r>
    <phoneticPr fontId="38" type="noConversion"/>
  </si>
  <si>
    <r>
      <rPr>
        <sz val="12"/>
        <rFont val="標楷體"/>
        <family val="4"/>
        <charset val="136"/>
      </rPr>
      <t>第</t>
    </r>
    <r>
      <rPr>
        <sz val="12"/>
        <rFont val="Times New Roman"/>
        <family val="1"/>
      </rPr>
      <t>2</t>
    </r>
    <r>
      <rPr>
        <sz val="12"/>
        <rFont val="標楷體"/>
        <family val="4"/>
        <charset val="136"/>
      </rPr>
      <t>級</t>
    </r>
    <r>
      <rPr>
        <sz val="12"/>
        <rFont val="Times New Roman"/>
        <family val="1"/>
      </rPr>
      <t xml:space="preserve"> CMS 2</t>
    </r>
    <phoneticPr fontId="38" type="noConversion"/>
  </si>
  <si>
    <r>
      <rPr>
        <sz val="12"/>
        <rFont val="標楷體"/>
        <family val="4"/>
        <charset val="136"/>
      </rPr>
      <t>第</t>
    </r>
    <r>
      <rPr>
        <sz val="12"/>
        <rFont val="Times New Roman"/>
        <family val="1"/>
      </rPr>
      <t>3</t>
    </r>
    <r>
      <rPr>
        <sz val="12"/>
        <rFont val="標楷體"/>
        <family val="4"/>
        <charset val="136"/>
      </rPr>
      <t>級</t>
    </r>
    <r>
      <rPr>
        <sz val="12"/>
        <rFont val="Times New Roman"/>
        <family val="1"/>
      </rPr>
      <t xml:space="preserve"> CMS 3</t>
    </r>
    <phoneticPr fontId="38" type="noConversion"/>
  </si>
  <si>
    <r>
      <rPr>
        <sz val="12"/>
        <rFont val="標楷體"/>
        <family val="4"/>
        <charset val="136"/>
      </rPr>
      <t>第</t>
    </r>
    <r>
      <rPr>
        <sz val="12"/>
        <rFont val="Times New Roman"/>
        <family val="1"/>
      </rPr>
      <t>4</t>
    </r>
    <r>
      <rPr>
        <sz val="12"/>
        <rFont val="標楷體"/>
        <family val="4"/>
        <charset val="136"/>
      </rPr>
      <t>級</t>
    </r>
    <r>
      <rPr>
        <sz val="12"/>
        <rFont val="Times New Roman"/>
        <family val="1"/>
      </rPr>
      <t xml:space="preserve"> CMS 4</t>
    </r>
    <phoneticPr fontId="38" type="noConversion"/>
  </si>
  <si>
    <r>
      <rPr>
        <sz val="12"/>
        <rFont val="標楷體"/>
        <family val="4"/>
        <charset val="136"/>
      </rPr>
      <t>第</t>
    </r>
    <r>
      <rPr>
        <sz val="12"/>
        <rFont val="Times New Roman"/>
        <family val="1"/>
      </rPr>
      <t>6</t>
    </r>
    <r>
      <rPr>
        <sz val="12"/>
        <rFont val="標楷體"/>
        <family val="4"/>
        <charset val="136"/>
      </rPr>
      <t>級</t>
    </r>
    <r>
      <rPr>
        <sz val="12"/>
        <rFont val="Times New Roman"/>
        <family val="1"/>
      </rPr>
      <t xml:space="preserve"> CMS 6</t>
    </r>
    <phoneticPr fontId="38" type="noConversion"/>
  </si>
  <si>
    <r>
      <rPr>
        <sz val="12"/>
        <rFont val="標楷體"/>
        <family val="4"/>
        <charset val="136"/>
      </rPr>
      <t>第</t>
    </r>
    <r>
      <rPr>
        <sz val="12"/>
        <rFont val="Times New Roman"/>
        <family val="1"/>
      </rPr>
      <t>7</t>
    </r>
    <r>
      <rPr>
        <sz val="12"/>
        <rFont val="標楷體"/>
        <family val="4"/>
        <charset val="136"/>
      </rPr>
      <t>級</t>
    </r>
    <r>
      <rPr>
        <sz val="12"/>
        <rFont val="Times New Roman"/>
        <family val="1"/>
      </rPr>
      <t xml:space="preserve"> CMS 7</t>
    </r>
    <phoneticPr fontId="38" type="noConversion"/>
  </si>
  <si>
    <r>
      <rPr>
        <sz val="12"/>
        <rFont val="標楷體"/>
        <family val="4"/>
        <charset val="136"/>
      </rPr>
      <t>第</t>
    </r>
    <r>
      <rPr>
        <sz val="12"/>
        <rFont val="Times New Roman"/>
        <family val="1"/>
      </rPr>
      <t>8</t>
    </r>
    <r>
      <rPr>
        <sz val="12"/>
        <rFont val="標楷體"/>
        <family val="4"/>
        <charset val="136"/>
      </rPr>
      <t>級</t>
    </r>
    <r>
      <rPr>
        <sz val="12"/>
        <rFont val="Times New Roman"/>
        <family val="1"/>
      </rPr>
      <t xml:space="preserve">  CMS 8</t>
    </r>
    <phoneticPr fontId="38" type="noConversion"/>
  </si>
  <si>
    <r>
      <rPr>
        <sz val="12"/>
        <rFont val="標楷體"/>
        <family val="4"/>
        <charset val="136"/>
      </rPr>
      <t>合計</t>
    </r>
    <r>
      <rPr>
        <sz val="12"/>
        <rFont val="Times New Roman"/>
        <family val="1"/>
      </rPr>
      <t xml:space="preserve"> Total</t>
    </r>
    <phoneticPr fontId="38" type="noConversion"/>
  </si>
  <si>
    <r>
      <rPr>
        <sz val="12"/>
        <rFont val="標楷體"/>
        <family val="4"/>
        <charset val="136"/>
      </rPr>
      <t>第</t>
    </r>
    <r>
      <rPr>
        <sz val="12"/>
        <rFont val="Times New Roman"/>
        <family val="1"/>
      </rPr>
      <t>2</t>
    </r>
    <r>
      <rPr>
        <sz val="12"/>
        <rFont val="標楷體"/>
        <family val="4"/>
        <charset val="136"/>
      </rPr>
      <t>級</t>
    </r>
    <r>
      <rPr>
        <sz val="12"/>
        <rFont val="Times New Roman"/>
        <family val="1"/>
      </rPr>
      <t xml:space="preserve"> CMS 2</t>
    </r>
    <phoneticPr fontId="38" type="noConversion"/>
  </si>
  <si>
    <r>
      <rPr>
        <sz val="12"/>
        <rFont val="標楷體"/>
        <family val="4"/>
        <charset val="136"/>
      </rPr>
      <t>第</t>
    </r>
    <r>
      <rPr>
        <sz val="12"/>
        <rFont val="Times New Roman"/>
        <family val="1"/>
      </rPr>
      <t>3</t>
    </r>
    <r>
      <rPr>
        <sz val="12"/>
        <rFont val="標楷體"/>
        <family val="4"/>
        <charset val="136"/>
      </rPr>
      <t>級</t>
    </r>
    <r>
      <rPr>
        <sz val="12"/>
        <rFont val="Times New Roman"/>
        <family val="1"/>
      </rPr>
      <t xml:space="preserve"> CMS 3</t>
    </r>
    <phoneticPr fontId="38" type="noConversion"/>
  </si>
  <si>
    <r>
      <rPr>
        <sz val="12"/>
        <rFont val="標楷體"/>
        <family val="4"/>
        <charset val="136"/>
      </rPr>
      <t>第</t>
    </r>
    <r>
      <rPr>
        <sz val="12"/>
        <rFont val="Times New Roman"/>
        <family val="1"/>
      </rPr>
      <t>7</t>
    </r>
    <r>
      <rPr>
        <sz val="12"/>
        <rFont val="標楷體"/>
        <family val="4"/>
        <charset val="136"/>
      </rPr>
      <t>級</t>
    </r>
    <r>
      <rPr>
        <sz val="12"/>
        <rFont val="Times New Roman"/>
        <family val="1"/>
      </rPr>
      <t xml:space="preserve"> CMS 7</t>
    </r>
    <phoneticPr fontId="38" type="noConversion"/>
  </si>
  <si>
    <r>
      <rPr>
        <sz val="12"/>
        <rFont val="標楷體"/>
        <family val="4"/>
        <charset val="136"/>
      </rPr>
      <t>第</t>
    </r>
    <r>
      <rPr>
        <sz val="12"/>
        <rFont val="Times New Roman"/>
        <family val="1"/>
      </rPr>
      <t>8</t>
    </r>
    <r>
      <rPr>
        <sz val="12"/>
        <rFont val="標楷體"/>
        <family val="4"/>
        <charset val="136"/>
      </rPr>
      <t>級</t>
    </r>
    <r>
      <rPr>
        <sz val="12"/>
        <rFont val="Times New Roman"/>
        <family val="1"/>
      </rPr>
      <t xml:space="preserve">  CMS 8</t>
    </r>
    <phoneticPr fontId="38" type="noConversion"/>
  </si>
  <si>
    <r>
      <rPr>
        <sz val="12"/>
        <rFont val="標楷體"/>
        <family val="4"/>
        <charset val="136"/>
      </rPr>
      <t>第</t>
    </r>
    <r>
      <rPr>
        <sz val="12"/>
        <rFont val="Times New Roman"/>
        <family val="1"/>
      </rPr>
      <t>3</t>
    </r>
    <r>
      <rPr>
        <sz val="12"/>
        <rFont val="標楷體"/>
        <family val="4"/>
        <charset val="136"/>
      </rPr>
      <t>級</t>
    </r>
    <r>
      <rPr>
        <sz val="12"/>
        <rFont val="Times New Roman"/>
        <family val="1"/>
      </rPr>
      <t xml:space="preserve"> CMS 3</t>
    </r>
    <phoneticPr fontId="38" type="noConversion"/>
  </si>
  <si>
    <r>
      <rPr>
        <sz val="12"/>
        <rFont val="標楷體"/>
        <family val="4"/>
        <charset val="136"/>
      </rPr>
      <t>第</t>
    </r>
    <r>
      <rPr>
        <sz val="12"/>
        <rFont val="Times New Roman"/>
        <family val="1"/>
      </rPr>
      <t>5</t>
    </r>
    <r>
      <rPr>
        <sz val="12"/>
        <rFont val="標楷體"/>
        <family val="4"/>
        <charset val="136"/>
      </rPr>
      <t>級</t>
    </r>
    <r>
      <rPr>
        <sz val="12"/>
        <rFont val="Times New Roman"/>
        <family val="1"/>
      </rPr>
      <t xml:space="preserve"> CMS 5</t>
    </r>
    <phoneticPr fontId="38" type="noConversion"/>
  </si>
  <si>
    <r>
      <rPr>
        <sz val="12"/>
        <rFont val="標楷體"/>
        <family val="4"/>
        <charset val="136"/>
      </rPr>
      <t>第</t>
    </r>
    <r>
      <rPr>
        <sz val="12"/>
        <rFont val="Times New Roman"/>
        <family val="1"/>
      </rPr>
      <t>6</t>
    </r>
    <r>
      <rPr>
        <sz val="12"/>
        <rFont val="標楷體"/>
        <family val="4"/>
        <charset val="136"/>
      </rPr>
      <t>級</t>
    </r>
    <r>
      <rPr>
        <sz val="12"/>
        <rFont val="Times New Roman"/>
        <family val="1"/>
      </rPr>
      <t xml:space="preserve"> CMS 6</t>
    </r>
    <phoneticPr fontId="38" type="noConversion"/>
  </si>
  <si>
    <r>
      <rPr>
        <sz val="12"/>
        <rFont val="標楷體"/>
        <family val="4"/>
        <charset val="136"/>
      </rPr>
      <t>第</t>
    </r>
    <r>
      <rPr>
        <sz val="12"/>
        <rFont val="Times New Roman"/>
        <family val="1"/>
      </rPr>
      <t>7</t>
    </r>
    <r>
      <rPr>
        <sz val="12"/>
        <rFont val="標楷體"/>
        <family val="4"/>
        <charset val="136"/>
      </rPr>
      <t>級</t>
    </r>
    <r>
      <rPr>
        <sz val="12"/>
        <rFont val="Times New Roman"/>
        <family val="1"/>
      </rPr>
      <t xml:space="preserve"> CMS 7</t>
    </r>
    <phoneticPr fontId="38" type="noConversion"/>
  </si>
  <si>
    <r>
      <rPr>
        <sz val="12"/>
        <rFont val="標楷體"/>
        <family val="4"/>
        <charset val="136"/>
      </rPr>
      <t xml:space="preserve">計
</t>
    </r>
    <r>
      <rPr>
        <sz val="12"/>
        <rFont val="Times New Roman"/>
        <family val="1"/>
      </rPr>
      <t>Total</t>
    </r>
    <phoneticPr fontId="6" type="noConversion"/>
  </si>
  <si>
    <r>
      <rPr>
        <sz val="12"/>
        <rFont val="標楷體"/>
        <family val="4"/>
        <charset val="136"/>
      </rPr>
      <t xml:space="preserve">女
</t>
    </r>
    <r>
      <rPr>
        <sz val="12"/>
        <rFont val="Times New Roman"/>
        <family val="1"/>
      </rPr>
      <t>Female</t>
    </r>
    <phoneticPr fontId="6" type="noConversion"/>
  </si>
  <si>
    <r>
      <rPr>
        <sz val="12"/>
        <rFont val="標楷體"/>
        <family val="4"/>
        <charset val="136"/>
      </rPr>
      <t xml:space="preserve">計
</t>
    </r>
    <r>
      <rPr>
        <sz val="12"/>
        <rFont val="Times New Roman"/>
        <family val="1"/>
      </rPr>
      <t>Total</t>
    </r>
    <phoneticPr fontId="6" type="noConversion"/>
  </si>
  <si>
    <r>
      <rPr>
        <sz val="12"/>
        <rFont val="標楷體"/>
        <family val="4"/>
        <charset val="136"/>
      </rPr>
      <t xml:space="preserve">女
</t>
    </r>
    <r>
      <rPr>
        <sz val="12"/>
        <rFont val="Times New Roman"/>
        <family val="1"/>
      </rPr>
      <t>Female</t>
    </r>
    <phoneticPr fontId="6" type="noConversion"/>
  </si>
  <si>
    <r>
      <rPr>
        <sz val="12"/>
        <rFont val="標楷體"/>
        <family val="4"/>
        <charset val="136"/>
      </rPr>
      <t xml:space="preserve">男
</t>
    </r>
    <r>
      <rPr>
        <sz val="12"/>
        <rFont val="Times New Roman"/>
        <family val="1"/>
      </rPr>
      <t xml:space="preserve">Male </t>
    </r>
    <phoneticPr fontId="6" type="noConversion"/>
  </si>
  <si>
    <r>
      <rPr>
        <sz val="12"/>
        <rFont val="標楷體"/>
        <family val="4"/>
        <charset val="136"/>
      </rPr>
      <t xml:space="preserve">女
</t>
    </r>
    <r>
      <rPr>
        <sz val="12"/>
        <rFont val="Times New Roman"/>
        <family val="1"/>
      </rPr>
      <t>Female</t>
    </r>
    <phoneticPr fontId="6" type="noConversion"/>
  </si>
  <si>
    <r>
      <rPr>
        <sz val="12"/>
        <rFont val="標楷體"/>
        <family val="4"/>
        <charset val="136"/>
      </rPr>
      <t xml:space="preserve">計
</t>
    </r>
    <r>
      <rPr>
        <sz val="12"/>
        <rFont val="Times New Roman"/>
        <family val="1"/>
      </rPr>
      <t>Total</t>
    </r>
    <phoneticPr fontId="6" type="noConversion"/>
  </si>
  <si>
    <r>
      <rPr>
        <sz val="12"/>
        <rFont val="標楷體"/>
        <family val="4"/>
        <charset val="136"/>
      </rPr>
      <t xml:space="preserve">計
</t>
    </r>
    <r>
      <rPr>
        <sz val="12"/>
        <rFont val="Times New Roman"/>
        <family val="1"/>
      </rPr>
      <t>Total</t>
    </r>
    <phoneticPr fontId="6" type="noConversion"/>
  </si>
  <si>
    <r>
      <rPr>
        <sz val="12"/>
        <rFont val="標楷體"/>
        <family val="4"/>
        <charset val="136"/>
      </rPr>
      <t xml:space="preserve">男
</t>
    </r>
    <r>
      <rPr>
        <sz val="12"/>
        <rFont val="Times New Roman"/>
        <family val="1"/>
      </rPr>
      <t xml:space="preserve">Male </t>
    </r>
    <phoneticPr fontId="6" type="noConversion"/>
  </si>
  <si>
    <r>
      <rPr>
        <sz val="12"/>
        <rFont val="標楷體"/>
        <family val="4"/>
        <charset val="136"/>
      </rPr>
      <t xml:space="preserve">女
</t>
    </r>
    <r>
      <rPr>
        <sz val="12"/>
        <rFont val="Times New Roman"/>
        <family val="1"/>
      </rPr>
      <t>Female</t>
    </r>
    <phoneticPr fontId="6" type="noConversion"/>
  </si>
  <si>
    <r>
      <rPr>
        <sz val="12"/>
        <rFont val="標楷體"/>
        <family val="4"/>
        <charset val="136"/>
      </rPr>
      <t xml:space="preserve">計
</t>
    </r>
    <r>
      <rPr>
        <sz val="12"/>
        <rFont val="Times New Roman"/>
        <family val="1"/>
      </rPr>
      <t>Total</t>
    </r>
    <phoneticPr fontId="6" type="noConversion"/>
  </si>
  <si>
    <r>
      <rPr>
        <sz val="12"/>
        <rFont val="標楷體"/>
        <family val="4"/>
        <charset val="136"/>
      </rPr>
      <t xml:space="preserve">男
</t>
    </r>
    <r>
      <rPr>
        <sz val="12"/>
        <rFont val="Times New Roman"/>
        <family val="1"/>
      </rPr>
      <t xml:space="preserve">Male </t>
    </r>
    <phoneticPr fontId="6" type="noConversion"/>
  </si>
  <si>
    <r>
      <rPr>
        <sz val="12"/>
        <rFont val="標楷體"/>
        <family val="4"/>
        <charset val="136"/>
      </rPr>
      <t xml:space="preserve">女
</t>
    </r>
    <r>
      <rPr>
        <sz val="12"/>
        <rFont val="Times New Roman"/>
        <family val="1"/>
      </rPr>
      <t>Female</t>
    </r>
    <phoneticPr fontId="6" type="noConversion"/>
  </si>
  <si>
    <r>
      <rPr>
        <sz val="12"/>
        <rFont val="標楷體"/>
        <family val="4"/>
        <charset val="136"/>
      </rPr>
      <t xml:space="preserve">女
</t>
    </r>
    <r>
      <rPr>
        <sz val="12"/>
        <rFont val="Times New Roman"/>
        <family val="1"/>
      </rPr>
      <t>Female</t>
    </r>
    <phoneticPr fontId="6" type="noConversion"/>
  </si>
  <si>
    <r>
      <rPr>
        <sz val="12"/>
        <rFont val="標楷體"/>
        <family val="4"/>
        <charset val="136"/>
      </rPr>
      <t xml:space="preserve">男
</t>
    </r>
    <r>
      <rPr>
        <sz val="12"/>
        <rFont val="Times New Roman"/>
        <family val="1"/>
      </rPr>
      <t xml:space="preserve">Male </t>
    </r>
    <phoneticPr fontId="6" type="noConversion"/>
  </si>
  <si>
    <r>
      <rPr>
        <sz val="12"/>
        <rFont val="標楷體"/>
        <family val="4"/>
        <charset val="136"/>
      </rPr>
      <t xml:space="preserve">女
</t>
    </r>
    <r>
      <rPr>
        <sz val="12"/>
        <rFont val="Times New Roman"/>
        <family val="1"/>
      </rPr>
      <t>Female</t>
    </r>
    <phoneticPr fontId="6" type="noConversion"/>
  </si>
  <si>
    <r>
      <rPr>
        <sz val="12"/>
        <rFont val="標楷體"/>
        <family val="4"/>
        <charset val="136"/>
      </rPr>
      <t xml:space="preserve">計
</t>
    </r>
    <r>
      <rPr>
        <sz val="12"/>
        <rFont val="Times New Roman"/>
        <family val="1"/>
      </rPr>
      <t>Total</t>
    </r>
    <phoneticPr fontId="6" type="noConversion"/>
  </si>
  <si>
    <r>
      <rPr>
        <sz val="12"/>
        <rFont val="標楷體"/>
        <family val="4"/>
        <charset val="136"/>
      </rPr>
      <t xml:space="preserve">男
</t>
    </r>
    <r>
      <rPr>
        <sz val="12"/>
        <rFont val="Times New Roman"/>
        <family val="1"/>
      </rPr>
      <t xml:space="preserve">Male </t>
    </r>
    <phoneticPr fontId="6" type="noConversion"/>
  </si>
  <si>
    <r>
      <rPr>
        <sz val="12"/>
        <rFont val="標楷體"/>
        <family val="4"/>
        <charset val="136"/>
      </rPr>
      <t xml:space="preserve">男
</t>
    </r>
    <r>
      <rPr>
        <sz val="12"/>
        <rFont val="Times New Roman"/>
        <family val="1"/>
      </rPr>
      <t xml:space="preserve">Male </t>
    </r>
    <phoneticPr fontId="6" type="noConversion"/>
  </si>
  <si>
    <r>
      <t>113</t>
    </r>
    <r>
      <rPr>
        <b/>
        <sz val="12"/>
        <rFont val="標楷體"/>
        <family val="4"/>
        <charset val="136"/>
      </rPr>
      <t>年</t>
    </r>
    <r>
      <rPr>
        <b/>
        <sz val="12"/>
        <rFont val="Times New Roman"/>
        <family val="1"/>
      </rPr>
      <t>, 2024</t>
    </r>
    <r>
      <rPr>
        <sz val="12"/>
        <color theme="1"/>
        <rFont val="新細明體"/>
        <family val="2"/>
        <charset val="136"/>
        <scheme val="minor"/>
      </rPr>
      <t/>
    </r>
    <phoneticPr fontId="6" type="noConversion"/>
  </si>
  <si>
    <r>
      <t xml:space="preserve">       2.</t>
    </r>
    <r>
      <rPr>
        <sz val="12"/>
        <rFont val="標楷體"/>
        <family val="4"/>
        <charset val="136"/>
      </rPr>
      <t>「總計」係全年中對於『居家服務』、『日間照顧』、『家庭托顧』無論是否使用單項服務或多項服務，最後皆以歸人計算。故總計不等於</t>
    </r>
    <r>
      <rPr>
        <sz val="12"/>
        <rFont val="Times New Roman"/>
        <family val="1"/>
      </rPr>
      <t xml:space="preserve"> </t>
    </r>
    <r>
      <rPr>
        <sz val="12"/>
        <rFont val="標楷體"/>
        <family val="4"/>
        <charset val="136"/>
      </rPr>
      <t>『居家服務』＋『日間照顧』＋『家庭托顧』。</t>
    </r>
    <phoneticPr fontId="6" type="noConversion"/>
  </si>
  <si>
    <r>
      <rPr>
        <sz val="12"/>
        <rFont val="標楷體"/>
        <family val="4"/>
        <charset val="136"/>
      </rPr>
      <t>更新日期：</t>
    </r>
    <r>
      <rPr>
        <sz val="12"/>
        <rFont val="Times New Roman"/>
        <family val="1"/>
      </rPr>
      <t>2025/04/21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</si>
</sst>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_-;\-* #,##0.00_-;_-* &quot;-&quot;??_-;_-@_-"/>
    <numFmt numFmtId="176" formatCode="#,##0;\-#,##0;&quot;－&quot;"/>
    <numFmt numFmtId="177" formatCode="#,##0;\-#,##0;&quot;-&quot;"/>
    <numFmt numFmtId="178" formatCode="#,##0_ "/>
    <numFmt numFmtId="179" formatCode="_-* #,##0_-;\-* #,##0_-;_-* &quot;-&quot;??_-;_-@_-"/>
    <numFmt numFmtId="180" formatCode="#,##0_);[Red]\(#,##0\)"/>
  </numFmts>
  <fonts count="59">
    <font>
      <sz val="9"/>
      <name val="Times New Roman"/>
      <family val="1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Times New Roman"/>
      <family val="1"/>
    </font>
    <font>
      <sz val="9"/>
      <name val="Times New Roman"/>
      <family val="1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sz val="12"/>
      <name val="新細明體"/>
      <family val="1"/>
      <charset val="136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6"/>
      <name val="標楷體"/>
      <family val="4"/>
      <charset val="136"/>
    </font>
    <font>
      <sz val="10"/>
      <name val="標楷體"/>
      <family val="4"/>
      <charset val="136"/>
    </font>
    <font>
      <sz val="9"/>
      <name val="標楷體"/>
      <family val="4"/>
      <charset val="136"/>
    </font>
    <font>
      <b/>
      <sz val="16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sz val="16"/>
      <name val="Times New Roman"/>
      <family val="1"/>
    </font>
    <font>
      <sz val="9"/>
      <color indexed="12"/>
      <name val="Times New Roman"/>
      <family val="1"/>
    </font>
    <font>
      <sz val="9"/>
      <color indexed="8"/>
      <name val="Times New Roman"/>
      <family val="1"/>
    </font>
    <font>
      <sz val="9"/>
      <color indexed="8"/>
      <name val="標楷體"/>
      <family val="4"/>
      <charset val="136"/>
    </font>
    <font>
      <sz val="8"/>
      <name val="標楷體"/>
      <family val="4"/>
      <charset val="136"/>
    </font>
    <font>
      <sz val="8"/>
      <name val="Times New Roman"/>
      <family val="1"/>
    </font>
    <font>
      <sz val="10"/>
      <color indexed="12"/>
      <name val="Times New Roman"/>
      <family val="1"/>
    </font>
    <font>
      <sz val="10"/>
      <name val="細明體"/>
      <family val="3"/>
      <charset val="136"/>
    </font>
    <font>
      <sz val="10"/>
      <color indexed="12"/>
      <name val="標楷體"/>
      <family val="4"/>
      <charset val="136"/>
    </font>
    <font>
      <sz val="11"/>
      <name val="標楷體"/>
      <family val="4"/>
      <charset val="136"/>
    </font>
    <font>
      <sz val="10"/>
      <name val="Times New Roman"/>
      <family val="1"/>
    </font>
    <font>
      <sz val="9"/>
      <color indexed="8"/>
      <name val="Times New Roman"/>
      <family val="1"/>
    </font>
    <font>
      <sz val="10"/>
      <color rgb="FF000000"/>
      <name val="Arial"/>
      <family val="2"/>
    </font>
    <font>
      <sz val="10"/>
      <color rgb="FF0000FF"/>
      <name val="Times New Roman"/>
      <family val="1"/>
    </font>
    <font>
      <b/>
      <sz val="14"/>
      <name val="Times New Roman"/>
      <family val="1"/>
    </font>
    <font>
      <b/>
      <sz val="14"/>
      <name val="標楷體"/>
      <family val="4"/>
      <charset val="136"/>
    </font>
    <font>
      <sz val="14"/>
      <name val="Times New Roman"/>
      <family val="1"/>
    </font>
    <font>
      <b/>
      <sz val="9"/>
      <color indexed="81"/>
      <name val="Tahoma"/>
      <family val="2"/>
    </font>
    <font>
      <sz val="12"/>
      <color indexed="81"/>
      <name val="Tahoma"/>
      <family val="2"/>
    </font>
    <font>
      <sz val="12"/>
      <color indexed="81"/>
      <name val="細明體"/>
      <family val="3"/>
      <charset val="136"/>
    </font>
    <font>
      <sz val="12"/>
      <name val="標楷體"/>
      <family val="4"/>
      <charset val="136"/>
    </font>
    <font>
      <sz val="9"/>
      <name val="新細明體"/>
      <family val="2"/>
      <charset val="136"/>
      <scheme val="minor"/>
    </font>
    <font>
      <b/>
      <sz val="16"/>
      <name val="Times New Roman"/>
      <family val="4"/>
      <charset val="136"/>
    </font>
    <font>
      <sz val="10"/>
      <color indexed="8"/>
      <name val="Times New Roman"/>
      <family val="1"/>
    </font>
    <font>
      <sz val="12"/>
      <color indexed="8"/>
      <name val="Times New Roman"/>
      <family val="1"/>
    </font>
    <font>
      <sz val="12"/>
      <color indexed="8"/>
      <name val="標楷體"/>
      <family val="4"/>
      <charset val="136"/>
    </font>
    <font>
      <b/>
      <sz val="12"/>
      <name val="Times New Roman"/>
      <family val="1"/>
    </font>
    <font>
      <b/>
      <sz val="12"/>
      <name val="標楷體"/>
      <family val="4"/>
      <charset val="136"/>
    </font>
    <font>
      <b/>
      <sz val="11"/>
      <name val="Times New Roman"/>
      <family val="1"/>
    </font>
    <font>
      <b/>
      <vertAlign val="superscript"/>
      <sz val="12"/>
      <color rgb="FFFF0000"/>
      <name val="標楷體"/>
      <family val="4"/>
      <charset val="136"/>
    </font>
    <font>
      <b/>
      <sz val="10"/>
      <name val="Times New Roman"/>
      <family val="1"/>
    </font>
    <font>
      <b/>
      <sz val="10"/>
      <name val="標楷體"/>
      <family val="4"/>
      <charset val="136"/>
    </font>
    <font>
      <b/>
      <sz val="10"/>
      <color indexed="12"/>
      <name val="Times New Roman"/>
      <family val="1"/>
    </font>
    <font>
      <b/>
      <sz val="10"/>
      <color indexed="12"/>
      <name val="標楷體"/>
      <family val="4"/>
      <charset val="136"/>
    </font>
    <font>
      <sz val="12"/>
      <color indexed="8"/>
      <name val="Times New Roman"/>
      <family val="4"/>
      <charset val="136"/>
    </font>
    <font>
      <sz val="10"/>
      <name val="Times New Roman"/>
      <family val="4"/>
      <charset val="136"/>
    </font>
    <font>
      <sz val="12"/>
      <color indexed="8"/>
      <name val="新細明體"/>
      <family val="1"/>
      <charset val="136"/>
    </font>
    <font>
      <b/>
      <sz val="9"/>
      <name val="Times New Roman"/>
      <family val="1"/>
    </font>
    <font>
      <b/>
      <sz val="8"/>
      <name val="Times New Roman"/>
      <family val="1"/>
    </font>
    <font>
      <sz val="12"/>
      <name val="Times New Roman"/>
      <family val="4"/>
      <charset val="136"/>
    </font>
    <font>
      <sz val="12"/>
      <name val="宋体"/>
    </font>
    <font>
      <b/>
      <vertAlign val="superscript"/>
      <sz val="12"/>
      <name val="標楷體"/>
      <family val="4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29" fillId="0" borderId="0"/>
    <xf numFmtId="0" fontId="7" fillId="0" borderId="0"/>
    <xf numFmtId="0" fontId="7" fillId="0" borderId="0"/>
    <xf numFmtId="0" fontId="7" fillId="0" borderId="0"/>
    <xf numFmtId="43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0"/>
    <xf numFmtId="0" fontId="7" fillId="0" borderId="0">
      <alignment vertical="center"/>
    </xf>
  </cellStyleXfs>
  <cellXfs count="457">
    <xf numFmtId="0" fontId="0" fillId="0" borderId="0" xfId="0"/>
    <xf numFmtId="0" fontId="13" fillId="0" borderId="0" xfId="4" applyFont="1"/>
    <xf numFmtId="0" fontId="14" fillId="0" borderId="0" xfId="4" applyFont="1"/>
    <xf numFmtId="0" fontId="15" fillId="0" borderId="0" xfId="4" applyFont="1"/>
    <xf numFmtId="0" fontId="15" fillId="0" borderId="0" xfId="4" applyFont="1" applyAlignment="1">
      <alignment horizontal="centerContinuous"/>
    </xf>
    <xf numFmtId="0" fontId="15" fillId="0" borderId="1" xfId="4" applyFont="1" applyBorder="1" applyAlignment="1">
      <alignment horizontal="centerContinuous" vertical="center" wrapText="1"/>
    </xf>
    <xf numFmtId="0" fontId="15" fillId="0" borderId="0" xfId="4" applyFont="1" applyBorder="1" applyAlignment="1">
      <alignment horizontal="centerContinuous" vertical="center" wrapText="1"/>
    </xf>
    <xf numFmtId="0" fontId="15" fillId="0" borderId="2" xfId="4" applyFont="1" applyBorder="1" applyAlignment="1">
      <alignment horizontal="centerContinuous" vertical="center"/>
    </xf>
    <xf numFmtId="0" fontId="15" fillId="0" borderId="3" xfId="4" applyFont="1" applyBorder="1" applyAlignment="1">
      <alignment horizontal="centerContinuous" vertical="center" wrapText="1"/>
    </xf>
    <xf numFmtId="0" fontId="15" fillId="0" borderId="0" xfId="4" applyFont="1" applyAlignment="1">
      <alignment horizontal="center" vertical="center" wrapText="1"/>
    </xf>
    <xf numFmtId="0" fontId="15" fillId="0" borderId="4" xfId="4" applyFont="1" applyBorder="1" applyAlignment="1">
      <alignment horizontal="center" vertical="center"/>
    </xf>
    <xf numFmtId="0" fontId="15" fillId="0" borderId="5" xfId="4" applyFont="1" applyBorder="1" applyAlignment="1">
      <alignment horizontal="center" vertical="center"/>
    </xf>
    <xf numFmtId="177" fontId="15" fillId="0" borderId="0" xfId="4" applyNumberFormat="1" applyFont="1" applyFill="1" applyBorder="1" applyAlignment="1">
      <alignment horizontal="right" vertical="center"/>
    </xf>
    <xf numFmtId="0" fontId="15" fillId="0" borderId="0" xfId="4" applyFont="1" applyAlignment="1">
      <alignment vertical="center"/>
    </xf>
    <xf numFmtId="0" fontId="4" fillId="0" borderId="7" xfId="0" applyFont="1" applyBorder="1" applyAlignment="1"/>
    <xf numFmtId="0" fontId="16" fillId="0" borderId="0" xfId="4" applyFont="1"/>
    <xf numFmtId="176" fontId="15" fillId="0" borderId="0" xfId="4" applyNumberFormat="1" applyFont="1"/>
    <xf numFmtId="0" fontId="15" fillId="0" borderId="8" xfId="4" applyFont="1" applyBorder="1" applyAlignment="1">
      <alignment horizontal="centerContinuous" vertical="center"/>
    </xf>
    <xf numFmtId="0" fontId="15" fillId="0" borderId="0" xfId="4" applyFont="1" applyAlignment="1"/>
    <xf numFmtId="177" fontId="4" fillId="0" borderId="6" xfId="4" applyNumberFormat="1" applyFont="1" applyFill="1" applyBorder="1" applyAlignment="1">
      <alignment horizontal="left"/>
    </xf>
    <xf numFmtId="177" fontId="15" fillId="0" borderId="0" xfId="4" applyNumberFormat="1" applyFont="1" applyFill="1" applyBorder="1" applyAlignment="1">
      <alignment horizontal="right"/>
    </xf>
    <xf numFmtId="177" fontId="4" fillId="0" borderId="9" xfId="4" applyNumberFormat="1" applyFont="1" applyFill="1" applyBorder="1" applyAlignment="1">
      <alignment horizontal="left"/>
    </xf>
    <xf numFmtId="177" fontId="15" fillId="0" borderId="10" xfId="4" applyNumberFormat="1" applyFont="1" applyFill="1" applyBorder="1" applyAlignment="1">
      <alignment horizontal="right"/>
    </xf>
    <xf numFmtId="177" fontId="15" fillId="0" borderId="10" xfId="4" applyNumberFormat="1" applyFont="1" applyFill="1" applyBorder="1" applyAlignment="1">
      <alignment horizontal="right" vertical="center"/>
    </xf>
    <xf numFmtId="0" fontId="4" fillId="0" borderId="0" xfId="0" applyFont="1" applyBorder="1" applyAlignment="1"/>
    <xf numFmtId="0" fontId="17" fillId="0" borderId="0" xfId="4" applyFont="1"/>
    <xf numFmtId="0" fontId="15" fillId="0" borderId="10" xfId="4" applyFont="1" applyBorder="1" applyAlignment="1">
      <alignment horizontal="left"/>
    </xf>
    <xf numFmtId="0" fontId="15" fillId="0" borderId="0" xfId="4" applyFont="1" applyBorder="1" applyAlignment="1">
      <alignment horizontal="left"/>
    </xf>
    <xf numFmtId="0" fontId="15" fillId="0" borderId="11" xfId="4" applyFont="1" applyBorder="1" applyAlignment="1">
      <alignment vertical="center"/>
    </xf>
    <xf numFmtId="176" fontId="18" fillId="0" borderId="0" xfId="0" applyNumberFormat="1" applyFont="1" applyBorder="1" applyAlignment="1">
      <alignment horizontal="right" vertical="center"/>
    </xf>
    <xf numFmtId="176" fontId="18" fillId="0" borderId="0" xfId="0" applyNumberFormat="1" applyFont="1" applyBorder="1" applyAlignment="1">
      <alignment horizontal="right"/>
    </xf>
    <xf numFmtId="49" fontId="19" fillId="0" borderId="0" xfId="0" applyNumberFormat="1" applyFont="1" applyFill="1" applyBorder="1" applyAlignment="1">
      <alignment horizontal="left" vertical="center"/>
    </xf>
    <xf numFmtId="0" fontId="11" fillId="0" borderId="0" xfId="4" applyFont="1" applyBorder="1" applyAlignment="1">
      <alignment horizontal="center" wrapText="1"/>
    </xf>
    <xf numFmtId="0" fontId="11" fillId="0" borderId="7" xfId="4" applyFont="1" applyBorder="1" applyAlignment="1">
      <alignment horizontal="center" wrapText="1"/>
    </xf>
    <xf numFmtId="0" fontId="11" fillId="0" borderId="0" xfId="4" applyFont="1" applyBorder="1" applyAlignment="1">
      <alignment horizontal="center" vertical="center" wrapText="1"/>
    </xf>
    <xf numFmtId="176" fontId="4" fillId="0" borderId="6" xfId="0" applyNumberFormat="1" applyFont="1" applyBorder="1" applyAlignment="1">
      <alignment horizontal="left"/>
    </xf>
    <xf numFmtId="0" fontId="15" fillId="0" borderId="11" xfId="4" applyFont="1" applyBorder="1" applyAlignment="1">
      <alignment horizontal="left" wrapText="1"/>
    </xf>
    <xf numFmtId="0" fontId="15" fillId="0" borderId="11" xfId="4" applyFont="1" applyBorder="1" applyAlignment="1"/>
    <xf numFmtId="176" fontId="4" fillId="0" borderId="6" xfId="0" applyNumberFormat="1" applyFont="1" applyBorder="1" applyAlignment="1">
      <alignment horizontal="left" vertical="center"/>
    </xf>
    <xf numFmtId="177" fontId="4" fillId="0" borderId="6" xfId="4" applyNumberFormat="1" applyFont="1" applyFill="1" applyBorder="1" applyAlignment="1">
      <alignment horizontal="left" vertical="center"/>
    </xf>
    <xf numFmtId="177" fontId="4" fillId="0" borderId="9" xfId="4" applyNumberFormat="1" applyFont="1" applyFill="1" applyBorder="1" applyAlignment="1">
      <alignment horizontal="left" vertical="center"/>
    </xf>
    <xf numFmtId="177" fontId="30" fillId="0" borderId="0" xfId="4" applyNumberFormat="1" applyFont="1" applyFill="1" applyBorder="1" applyAlignment="1">
      <alignment horizontal="right"/>
    </xf>
    <xf numFmtId="0" fontId="15" fillId="0" borderId="1" xfId="4" applyFont="1" applyBorder="1" applyAlignment="1">
      <alignment horizontal="center" vertical="center" wrapText="1"/>
    </xf>
    <xf numFmtId="0" fontId="15" fillId="0" borderId="2" xfId="4" applyFont="1" applyBorder="1" applyAlignment="1">
      <alignment horizontal="center" vertical="center" wrapText="1"/>
    </xf>
    <xf numFmtId="0" fontId="15" fillId="0" borderId="8" xfId="4" applyFont="1" applyBorder="1" applyAlignment="1">
      <alignment horizontal="center" vertical="center" wrapText="1"/>
    </xf>
    <xf numFmtId="49" fontId="19" fillId="0" borderId="0" xfId="0" applyNumberFormat="1" applyFont="1" applyFill="1" applyBorder="1" applyAlignment="1">
      <alignment horizontal="right"/>
    </xf>
    <xf numFmtId="49" fontId="19" fillId="0" borderId="10" xfId="0" applyNumberFormat="1" applyFont="1" applyFill="1" applyBorder="1" applyAlignment="1">
      <alignment horizontal="right"/>
    </xf>
    <xf numFmtId="0" fontId="4" fillId="0" borderId="0" xfId="3" applyFont="1" applyBorder="1" applyAlignment="1">
      <alignment horizontal="right"/>
    </xf>
    <xf numFmtId="0" fontId="12" fillId="0" borderId="0" xfId="3" applyFont="1" applyBorder="1" applyAlignment="1">
      <alignment horizontal="right"/>
    </xf>
    <xf numFmtId="49" fontId="21" fillId="0" borderId="12" xfId="0" applyNumberFormat="1" applyFont="1" applyFill="1" applyBorder="1" applyAlignment="1">
      <alignment vertical="center"/>
    </xf>
    <xf numFmtId="49" fontId="22" fillId="0" borderId="12" xfId="0" applyNumberFormat="1" applyFont="1" applyFill="1" applyBorder="1" applyAlignment="1">
      <alignment vertical="center"/>
    </xf>
    <xf numFmtId="49" fontId="22" fillId="0" borderId="13" xfId="0" applyNumberFormat="1" applyFont="1" applyFill="1" applyBorder="1" applyAlignment="1">
      <alignment vertical="center"/>
    </xf>
    <xf numFmtId="49" fontId="21" fillId="0" borderId="12" xfId="0" applyNumberFormat="1" applyFont="1" applyFill="1" applyBorder="1" applyAlignment="1"/>
    <xf numFmtId="49" fontId="22" fillId="0" borderId="12" xfId="0" applyNumberFormat="1" applyFont="1" applyFill="1" applyBorder="1" applyAlignment="1"/>
    <xf numFmtId="49" fontId="22" fillId="0" borderId="13" xfId="0" applyNumberFormat="1" applyFont="1" applyFill="1" applyBorder="1" applyAlignment="1"/>
    <xf numFmtId="0" fontId="11" fillId="0" borderId="0" xfId="4" applyFont="1" applyBorder="1" applyAlignment="1">
      <alignment horizontal="right" wrapText="1"/>
    </xf>
    <xf numFmtId="0" fontId="15" fillId="0" borderId="13" xfId="4" applyFont="1" applyBorder="1" applyAlignment="1">
      <alignment horizontal="centerContinuous" vertical="center" wrapText="1"/>
    </xf>
    <xf numFmtId="0" fontId="15" fillId="0" borderId="9" xfId="4" applyFont="1" applyBorder="1" applyAlignment="1">
      <alignment horizontal="centerContinuous" vertical="center"/>
    </xf>
    <xf numFmtId="0" fontId="15" fillId="0" borderId="10" xfId="4" applyFont="1" applyBorder="1"/>
    <xf numFmtId="177" fontId="30" fillId="0" borderId="7" xfId="4" applyNumberFormat="1" applyFont="1" applyFill="1" applyBorder="1" applyAlignment="1">
      <alignment horizontal="right"/>
    </xf>
    <xf numFmtId="177" fontId="15" fillId="0" borderId="0" xfId="4" applyNumberFormat="1" applyFont="1"/>
    <xf numFmtId="0" fontId="0" fillId="0" borderId="0" xfId="0" applyFont="1" applyBorder="1" applyAlignment="1"/>
    <xf numFmtId="0" fontId="15" fillId="0" borderId="14" xfId="4" applyFont="1" applyBorder="1" applyAlignment="1">
      <alignment horizontal="center" vertical="center" wrapText="1"/>
    </xf>
    <xf numFmtId="49" fontId="15" fillId="3" borderId="15" xfId="0" applyNumberFormat="1" applyFont="1" applyFill="1" applyBorder="1" applyAlignment="1">
      <alignment vertical="center"/>
    </xf>
    <xf numFmtId="49" fontId="23" fillId="3" borderId="16" xfId="3" applyNumberFormat="1" applyFont="1" applyFill="1" applyBorder="1" applyAlignment="1">
      <alignment horizontal="left" vertical="center"/>
    </xf>
    <xf numFmtId="49" fontId="15" fillId="0" borderId="12" xfId="3" applyNumberFormat="1" applyFont="1" applyBorder="1" applyAlignment="1">
      <alignment horizontal="left" vertical="center"/>
    </xf>
    <xf numFmtId="49" fontId="15" fillId="0" borderId="13" xfId="3" applyNumberFormat="1" applyFont="1" applyBorder="1" applyAlignment="1">
      <alignment horizontal="left" vertical="center"/>
    </xf>
    <xf numFmtId="176" fontId="23" fillId="3" borderId="0" xfId="0" applyNumberFormat="1" applyFont="1" applyFill="1" applyBorder="1" applyAlignment="1">
      <alignment horizontal="right" vertical="center"/>
    </xf>
    <xf numFmtId="176" fontId="15" fillId="0" borderId="0" xfId="0" applyNumberFormat="1" applyFont="1" applyFill="1" applyBorder="1" applyAlignment="1">
      <alignment horizontal="right"/>
    </xf>
    <xf numFmtId="176" fontId="15" fillId="0" borderId="10" xfId="0" applyNumberFormat="1" applyFont="1" applyFill="1" applyBorder="1" applyAlignment="1">
      <alignment horizontal="right"/>
    </xf>
    <xf numFmtId="0" fontId="27" fillId="0" borderId="10" xfId="4" applyFont="1" applyBorder="1" applyAlignment="1">
      <alignment horizontal="left"/>
    </xf>
    <xf numFmtId="49" fontId="28" fillId="0" borderId="0" xfId="0" applyNumberFormat="1" applyFont="1" applyFill="1" applyBorder="1" applyAlignment="1">
      <alignment horizontal="left" vertical="center"/>
    </xf>
    <xf numFmtId="177" fontId="15" fillId="0" borderId="0" xfId="4" applyNumberFormat="1" applyFont="1" applyBorder="1" applyAlignment="1">
      <alignment horizontal="left"/>
    </xf>
    <xf numFmtId="0" fontId="15" fillId="0" borderId="8" xfId="4" applyFont="1" applyBorder="1" applyAlignment="1">
      <alignment horizontal="center" vertical="center" wrapText="1"/>
    </xf>
    <xf numFmtId="0" fontId="15" fillId="0" borderId="1" xfId="4" applyFont="1" applyBorder="1" applyAlignment="1">
      <alignment horizontal="center" vertical="center" wrapText="1"/>
    </xf>
    <xf numFmtId="0" fontId="15" fillId="0" borderId="2" xfId="4" applyFont="1" applyBorder="1" applyAlignment="1">
      <alignment horizontal="center" vertical="center" wrapText="1"/>
    </xf>
    <xf numFmtId="0" fontId="15" fillId="0" borderId="5" xfId="4" applyFont="1" applyBorder="1" applyAlignment="1">
      <alignment horizontal="center" vertical="center" wrapText="1"/>
    </xf>
    <xf numFmtId="0" fontId="15" fillId="0" borderId="13" xfId="4" applyFont="1" applyBorder="1" applyAlignment="1">
      <alignment horizontal="center" vertical="center" wrapText="1"/>
    </xf>
    <xf numFmtId="0" fontId="15" fillId="0" borderId="9" xfId="4" applyFont="1" applyBorder="1" applyAlignment="1">
      <alignment horizontal="center" vertical="center" wrapText="1"/>
    </xf>
    <xf numFmtId="0" fontId="15" fillId="0" borderId="10" xfId="4" applyFont="1" applyBorder="1" applyAlignment="1">
      <alignment horizontal="left" wrapText="1"/>
    </xf>
    <xf numFmtId="0" fontId="13" fillId="0" borderId="0" xfId="0" applyFont="1" applyBorder="1" applyAlignment="1">
      <alignment horizontal="left"/>
    </xf>
    <xf numFmtId="0" fontId="0" fillId="0" borderId="1" xfId="4" applyFont="1" applyBorder="1" applyAlignment="1">
      <alignment horizontal="centerContinuous" vertical="center" wrapText="1"/>
    </xf>
    <xf numFmtId="0" fontId="15" fillId="0" borderId="0" xfId="4" applyFont="1" applyFill="1" applyAlignment="1">
      <alignment horizontal="centerContinuous"/>
    </xf>
    <xf numFmtId="0" fontId="15" fillId="0" borderId="0" xfId="4" applyFont="1" applyFill="1" applyAlignment="1">
      <alignment horizontal="center" vertical="center" wrapText="1"/>
    </xf>
    <xf numFmtId="0" fontId="15" fillId="0" borderId="0" xfId="4" applyFont="1" applyFill="1"/>
    <xf numFmtId="0" fontId="3" fillId="0" borderId="7" xfId="0" applyFont="1" applyBorder="1" applyAlignment="1"/>
    <xf numFmtId="0" fontId="3" fillId="0" borderId="0" xfId="0" applyFont="1" applyBorder="1" applyAlignment="1"/>
    <xf numFmtId="49" fontId="0" fillId="0" borderId="0" xfId="0" applyNumberFormat="1" applyFont="1" applyFill="1" applyBorder="1" applyAlignment="1">
      <alignment horizontal="left" vertical="center"/>
    </xf>
    <xf numFmtId="0" fontId="17" fillId="0" borderId="0" xfId="0" applyFont="1" applyBorder="1" applyAlignment="1">
      <alignment horizontal="left"/>
    </xf>
    <xf numFmtId="0" fontId="15" fillId="0" borderId="0" xfId="4" applyFont="1" applyBorder="1" applyAlignment="1">
      <alignment horizontal="left" wrapText="1"/>
    </xf>
    <xf numFmtId="176" fontId="23" fillId="0" borderId="0" xfId="0" applyNumberFormat="1" applyFont="1" applyBorder="1" applyAlignment="1">
      <alignment horizontal="right" vertical="center"/>
    </xf>
    <xf numFmtId="0" fontId="3" fillId="0" borderId="0" xfId="3" applyFont="1" applyBorder="1" applyAlignment="1">
      <alignment horizontal="right"/>
    </xf>
    <xf numFmtId="176" fontId="3" fillId="0" borderId="6" xfId="0" applyNumberFormat="1" applyFont="1" applyBorder="1" applyAlignment="1">
      <alignment horizontal="left"/>
    </xf>
    <xf numFmtId="176" fontId="23" fillId="0" borderId="0" xfId="0" applyNumberFormat="1" applyFont="1" applyBorder="1" applyAlignment="1">
      <alignment horizontal="right"/>
    </xf>
    <xf numFmtId="177" fontId="3" fillId="0" borderId="6" xfId="4" applyNumberFormat="1" applyFont="1" applyFill="1" applyBorder="1" applyAlignment="1">
      <alignment horizontal="left"/>
    </xf>
    <xf numFmtId="177" fontId="3" fillId="0" borderId="9" xfId="4" applyNumberFormat="1" applyFont="1" applyFill="1" applyBorder="1" applyAlignment="1">
      <alignment horizontal="left"/>
    </xf>
    <xf numFmtId="0" fontId="0" fillId="0" borderId="7" xfId="0" applyFont="1" applyBorder="1" applyAlignment="1"/>
    <xf numFmtId="0" fontId="3" fillId="0" borderId="0" xfId="4" applyFont="1"/>
    <xf numFmtId="0" fontId="3" fillId="0" borderId="0" xfId="4" applyFont="1" applyBorder="1" applyAlignment="1">
      <alignment horizontal="centerContinuous" vertical="center" wrapText="1"/>
    </xf>
    <xf numFmtId="0" fontId="3" fillId="0" borderId="2" xfId="4" applyFont="1" applyBorder="1" applyAlignment="1">
      <alignment horizontal="centerContinuous" vertical="center"/>
    </xf>
    <xf numFmtId="0" fontId="3" fillId="0" borderId="7" xfId="4" applyFont="1" applyBorder="1" applyAlignment="1">
      <alignment horizontal="centerContinuous" vertical="center" wrapText="1"/>
    </xf>
    <xf numFmtId="0" fontId="3" fillId="0" borderId="0" xfId="4" applyFont="1" applyAlignment="1">
      <alignment horizontal="centerContinuous"/>
    </xf>
    <xf numFmtId="0" fontId="3" fillId="0" borderId="0" xfId="4" applyFont="1" applyAlignment="1">
      <alignment horizontal="center" vertical="center" wrapText="1"/>
    </xf>
    <xf numFmtId="0" fontId="31" fillId="0" borderId="0" xfId="0" applyFont="1" applyBorder="1" applyAlignment="1">
      <alignment horizontal="left"/>
    </xf>
    <xf numFmtId="0" fontId="33" fillId="0" borderId="0" xfId="0" applyFont="1" applyBorder="1" applyAlignment="1">
      <alignment horizontal="left"/>
    </xf>
    <xf numFmtId="0" fontId="33" fillId="0" borderId="0" xfId="4" applyFont="1"/>
    <xf numFmtId="0" fontId="15" fillId="0" borderId="7" xfId="4" applyFont="1" applyBorder="1" applyAlignment="1">
      <alignment horizontal="center" wrapText="1"/>
    </xf>
    <xf numFmtId="0" fontId="15" fillId="0" borderId="0" xfId="4" applyFont="1" applyBorder="1" applyAlignment="1">
      <alignment horizontal="distributed" wrapText="1"/>
    </xf>
    <xf numFmtId="176" fontId="0" fillId="0" borderId="6" xfId="0" applyNumberFormat="1" applyFont="1" applyBorder="1" applyAlignment="1">
      <alignment horizontal="left"/>
    </xf>
    <xf numFmtId="0" fontId="15" fillId="0" borderId="0" xfId="4" applyFont="1" applyBorder="1" applyAlignment="1">
      <alignment horizontal="distributed"/>
    </xf>
    <xf numFmtId="0" fontId="15" fillId="0" borderId="10" xfId="4" applyFont="1" applyBorder="1" applyAlignment="1">
      <alignment horizontal="distributed"/>
    </xf>
    <xf numFmtId="176" fontId="3" fillId="0" borderId="6" xfId="0" applyNumberFormat="1" applyFont="1" applyBorder="1" applyAlignment="1">
      <alignment horizontal="left" vertical="center"/>
    </xf>
    <xf numFmtId="177" fontId="3" fillId="0" borderId="6" xfId="4" applyNumberFormat="1" applyFont="1" applyFill="1" applyBorder="1" applyAlignment="1">
      <alignment horizontal="left" vertical="center"/>
    </xf>
    <xf numFmtId="177" fontId="3" fillId="0" borderId="9" xfId="4" applyNumberFormat="1" applyFont="1" applyFill="1" applyBorder="1" applyAlignment="1">
      <alignment horizontal="left" vertical="center"/>
    </xf>
    <xf numFmtId="0" fontId="15" fillId="0" borderId="0" xfId="4" applyFont="1" applyBorder="1" applyAlignment="1">
      <alignment horizontal="center" wrapText="1"/>
    </xf>
    <xf numFmtId="0" fontId="13" fillId="0" borderId="0" xfId="4" applyFont="1" applyFill="1"/>
    <xf numFmtId="0" fontId="15" fillId="0" borderId="7" xfId="4" applyFont="1" applyBorder="1" applyAlignment="1">
      <alignment horizontal="centerContinuous" vertical="center" wrapText="1"/>
    </xf>
    <xf numFmtId="0" fontId="33" fillId="0" borderId="0" xfId="4" applyFont="1" applyFill="1" applyBorder="1"/>
    <xf numFmtId="0" fontId="15" fillId="0" borderId="10" xfId="4" applyFont="1" applyFill="1" applyBorder="1" applyAlignment="1">
      <alignment horizontal="center" vertical="center" wrapText="1"/>
    </xf>
    <xf numFmtId="0" fontId="15" fillId="0" borderId="15" xfId="4" applyFont="1" applyFill="1" applyBorder="1" applyAlignment="1">
      <alignment horizontal="center" vertical="center" wrapText="1"/>
    </xf>
    <xf numFmtId="0" fontId="15" fillId="0" borderId="0" xfId="4" applyFont="1" applyFill="1" applyBorder="1" applyAlignment="1">
      <alignment horizontal="right" wrapText="1"/>
    </xf>
    <xf numFmtId="0" fontId="15" fillId="0" borderId="11" xfId="4" applyFont="1" applyFill="1" applyBorder="1" applyAlignment="1">
      <alignment horizontal="left" wrapText="1"/>
    </xf>
    <xf numFmtId="176" fontId="23" fillId="0" borderId="0" xfId="0" applyNumberFormat="1" applyFont="1" applyFill="1" applyBorder="1" applyAlignment="1">
      <alignment horizontal="right" vertical="center"/>
    </xf>
    <xf numFmtId="0" fontId="15" fillId="0" borderId="0" xfId="4" applyFont="1" applyFill="1" applyAlignment="1">
      <alignment vertical="center"/>
    </xf>
    <xf numFmtId="176" fontId="3" fillId="0" borderId="6" xfId="0" applyNumberFormat="1" applyFont="1" applyFill="1" applyBorder="1" applyAlignment="1">
      <alignment horizontal="left"/>
    </xf>
    <xf numFmtId="176" fontId="23" fillId="0" borderId="0" xfId="0" applyNumberFormat="1" applyFont="1" applyFill="1" applyBorder="1" applyAlignment="1">
      <alignment horizontal="right"/>
    </xf>
    <xf numFmtId="0" fontId="15" fillId="0" borderId="0" xfId="4" applyFont="1" applyFill="1" applyAlignment="1"/>
    <xf numFmtId="0" fontId="3" fillId="0" borderId="7" xfId="0" applyFont="1" applyFill="1" applyBorder="1" applyAlignment="1"/>
    <xf numFmtId="0" fontId="3" fillId="0" borderId="0" xfId="0" applyFont="1" applyFill="1" applyBorder="1" applyAlignment="1"/>
    <xf numFmtId="0" fontId="15" fillId="0" borderId="0" xfId="4" applyFont="1" applyFill="1" applyBorder="1" applyAlignment="1">
      <alignment horizontal="center" vertical="center" wrapText="1"/>
    </xf>
    <xf numFmtId="0" fontId="15" fillId="0" borderId="1" xfId="4" applyFont="1" applyFill="1" applyBorder="1" applyAlignment="1">
      <alignment horizontal="centerContinuous" vertical="center" wrapText="1"/>
    </xf>
    <xf numFmtId="0" fontId="15" fillId="0" borderId="0" xfId="4" applyFont="1" applyFill="1" applyBorder="1" applyAlignment="1">
      <alignment horizontal="centerContinuous" vertical="center" wrapText="1"/>
    </xf>
    <xf numFmtId="0" fontId="15" fillId="0" borderId="2" xfId="4" applyFont="1" applyFill="1" applyBorder="1" applyAlignment="1">
      <alignment horizontal="centerContinuous" vertical="center"/>
    </xf>
    <xf numFmtId="0" fontId="15" fillId="0" borderId="7" xfId="4" applyFont="1" applyFill="1" applyBorder="1" applyAlignment="1">
      <alignment horizontal="centerContinuous" vertical="center" wrapText="1"/>
    </xf>
    <xf numFmtId="0" fontId="15" fillId="0" borderId="0" xfId="4" applyFont="1" applyFill="1" applyBorder="1" applyAlignment="1">
      <alignment horizontal="center" wrapText="1"/>
    </xf>
    <xf numFmtId="0" fontId="33" fillId="0" borderId="0" xfId="4" applyFont="1" applyBorder="1"/>
    <xf numFmtId="0" fontId="39" fillId="0" borderId="0" xfId="4" applyFont="1"/>
    <xf numFmtId="180" fontId="15" fillId="0" borderId="0" xfId="8" applyNumberFormat="1" applyFont="1" applyFill="1" applyBorder="1" applyAlignment="1">
      <alignment vertical="center" wrapText="1"/>
    </xf>
    <xf numFmtId="180" fontId="40" fillId="0" borderId="0" xfId="8" applyNumberFormat="1" applyFont="1" applyFill="1" applyBorder="1" applyAlignment="1">
      <alignment vertical="center"/>
    </xf>
    <xf numFmtId="179" fontId="16" fillId="0" borderId="0" xfId="5" applyNumberFormat="1" applyFont="1" applyBorder="1" applyAlignment="1">
      <alignment horizontal="right" vertical="center" wrapText="1"/>
    </xf>
    <xf numFmtId="179" fontId="16" fillId="0" borderId="0" xfId="5" applyNumberFormat="1" applyFont="1" applyFill="1" applyBorder="1" applyAlignment="1">
      <alignment horizontal="right" vertical="center"/>
    </xf>
    <xf numFmtId="179" fontId="16" fillId="0" borderId="0" xfId="5" applyNumberFormat="1" applyFont="1" applyFill="1" applyBorder="1" applyAlignment="1">
      <alignment horizontal="right" vertical="center" wrapText="1"/>
    </xf>
    <xf numFmtId="0" fontId="39" fillId="0" borderId="0" xfId="0" applyFont="1" applyBorder="1" applyAlignment="1">
      <alignment horizontal="left"/>
    </xf>
    <xf numFmtId="49" fontId="47" fillId="3" borderId="15" xfId="0" applyNumberFormat="1" applyFont="1" applyFill="1" applyBorder="1" applyAlignment="1">
      <alignment vertical="center"/>
    </xf>
    <xf numFmtId="49" fontId="49" fillId="3" borderId="16" xfId="3" applyNumberFormat="1" applyFont="1" applyFill="1" applyBorder="1" applyAlignment="1">
      <alignment horizontal="left" vertical="center"/>
    </xf>
    <xf numFmtId="176" fontId="49" fillId="3" borderId="0" xfId="0" applyNumberFormat="1" applyFont="1" applyFill="1" applyBorder="1" applyAlignment="1">
      <alignment horizontal="right" vertical="center"/>
    </xf>
    <xf numFmtId="0" fontId="47" fillId="0" borderId="0" xfId="4" applyFont="1" applyAlignment="1">
      <alignment vertical="center"/>
    </xf>
    <xf numFmtId="49" fontId="47" fillId="0" borderId="12" xfId="3" applyNumberFormat="1" applyFont="1" applyBorder="1" applyAlignment="1">
      <alignment horizontal="left" vertical="center"/>
    </xf>
    <xf numFmtId="176" fontId="47" fillId="0" borderId="0" xfId="0" applyNumberFormat="1" applyFont="1" applyFill="1" applyBorder="1" applyAlignment="1">
      <alignment horizontal="right"/>
    </xf>
    <xf numFmtId="179" fontId="16" fillId="0" borderId="33" xfId="5" applyNumberFormat="1" applyFont="1" applyBorder="1" applyAlignment="1">
      <alignment horizontal="right" vertical="center" wrapText="1"/>
    </xf>
    <xf numFmtId="0" fontId="14" fillId="0" borderId="0" xfId="6" applyFont="1" applyBorder="1" applyAlignment="1">
      <alignment vertical="center"/>
    </xf>
    <xf numFmtId="179" fontId="16" fillId="0" borderId="36" xfId="5" applyNumberFormat="1" applyFont="1" applyFill="1" applyBorder="1" applyAlignment="1">
      <alignment horizontal="right" vertical="center" wrapText="1"/>
    </xf>
    <xf numFmtId="179" fontId="45" fillId="0" borderId="0" xfId="5" applyNumberFormat="1" applyFont="1" applyBorder="1" applyAlignment="1">
      <alignment horizontal="right" vertical="center" wrapText="1"/>
    </xf>
    <xf numFmtId="179" fontId="45" fillId="0" borderId="36" xfId="5" applyNumberFormat="1" applyFont="1" applyBorder="1" applyAlignment="1">
      <alignment horizontal="right" vertical="center" wrapText="1"/>
    </xf>
    <xf numFmtId="179" fontId="45" fillId="0" borderId="33" xfId="5" applyNumberFormat="1" applyFont="1" applyBorder="1" applyAlignment="1">
      <alignment horizontal="right" vertical="center" wrapText="1"/>
    </xf>
    <xf numFmtId="0" fontId="14" fillId="0" borderId="43" xfId="6" applyFont="1" applyBorder="1" applyAlignment="1">
      <alignment horizontal="center" vertical="center" wrapText="1"/>
    </xf>
    <xf numFmtId="0" fontId="14" fillId="0" borderId="43" xfId="6" applyFont="1" applyFill="1" applyBorder="1" applyAlignment="1">
      <alignment horizontal="center" vertical="center" wrapText="1"/>
    </xf>
    <xf numFmtId="0" fontId="14" fillId="0" borderId="44" xfId="6" applyFont="1" applyFill="1" applyBorder="1" applyAlignment="1">
      <alignment horizontal="center" vertical="center" wrapText="1"/>
    </xf>
    <xf numFmtId="0" fontId="14" fillId="0" borderId="31" xfId="6" applyFont="1" applyBorder="1" applyAlignment="1">
      <alignment horizontal="center" vertical="center" wrapText="1"/>
    </xf>
    <xf numFmtId="0" fontId="14" fillId="0" borderId="45" xfId="6" applyFont="1" applyBorder="1" applyAlignment="1">
      <alignment horizontal="center" vertical="center" wrapText="1"/>
    </xf>
    <xf numFmtId="0" fontId="14" fillId="0" borderId="29" xfId="6" applyFont="1" applyFill="1" applyBorder="1" applyAlignment="1">
      <alignment horizontal="center" vertical="center" wrapText="1"/>
    </xf>
    <xf numFmtId="179" fontId="16" fillId="0" borderId="42" xfId="5" applyNumberFormat="1" applyFont="1" applyBorder="1" applyAlignment="1">
      <alignment horizontal="right" vertical="center" wrapText="1"/>
    </xf>
    <xf numFmtId="179" fontId="16" fillId="0" borderId="42" xfId="5" applyNumberFormat="1" applyFont="1" applyFill="1" applyBorder="1" applyAlignment="1">
      <alignment horizontal="right" vertical="center" wrapText="1"/>
    </xf>
    <xf numFmtId="179" fontId="16" fillId="0" borderId="42" xfId="5" applyNumberFormat="1" applyFont="1" applyBorder="1" applyAlignment="1">
      <alignment horizontal="right" vertical="center"/>
    </xf>
    <xf numFmtId="179" fontId="16" fillId="0" borderId="42" xfId="5" applyNumberFormat="1" applyFont="1" applyFill="1" applyBorder="1" applyAlignment="1">
      <alignment horizontal="right" vertical="center"/>
    </xf>
    <xf numFmtId="179" fontId="16" fillId="0" borderId="47" xfId="5" applyNumberFormat="1" applyFont="1" applyFill="1" applyBorder="1" applyAlignment="1">
      <alignment horizontal="right" vertical="center" wrapText="1"/>
    </xf>
    <xf numFmtId="179" fontId="16" fillId="0" borderId="48" xfId="5" applyNumberFormat="1" applyFont="1" applyBorder="1" applyAlignment="1">
      <alignment horizontal="right" vertical="center" wrapText="1"/>
    </xf>
    <xf numFmtId="0" fontId="15" fillId="0" borderId="0" xfId="6" applyFont="1" applyBorder="1" applyAlignment="1">
      <alignment vertical="center"/>
    </xf>
    <xf numFmtId="0" fontId="14" fillId="0" borderId="0" xfId="6" applyFont="1" applyAlignment="1">
      <alignment vertical="center"/>
    </xf>
    <xf numFmtId="49" fontId="43" fillId="0" borderId="36" xfId="3" applyNumberFormat="1" applyFont="1" applyFill="1" applyBorder="1" applyAlignment="1">
      <alignment vertical="center" wrapText="1"/>
    </xf>
    <xf numFmtId="49" fontId="14" fillId="0" borderId="36" xfId="3" applyNumberFormat="1" applyFont="1" applyFill="1" applyBorder="1" applyAlignment="1">
      <alignment horizontal="left" vertical="center" wrapText="1" indent="2"/>
    </xf>
    <xf numFmtId="49" fontId="14" fillId="0" borderId="47" xfId="3" applyNumberFormat="1" applyFont="1" applyFill="1" applyBorder="1" applyAlignment="1">
      <alignment horizontal="left" vertical="center" wrapText="1" indent="2"/>
    </xf>
    <xf numFmtId="0" fontId="13" fillId="0" borderId="0" xfId="4" applyFont="1" applyAlignment="1">
      <alignment vertical="center"/>
    </xf>
    <xf numFmtId="0" fontId="17" fillId="0" borderId="0" xfId="6" applyFont="1" applyBorder="1" applyAlignment="1">
      <alignment horizontal="centerContinuous" vertical="center"/>
    </xf>
    <xf numFmtId="0" fontId="17" fillId="0" borderId="0" xfId="6" applyFont="1" applyBorder="1" applyAlignment="1">
      <alignment vertical="center"/>
    </xf>
    <xf numFmtId="0" fontId="15" fillId="0" borderId="0" xfId="4" applyFont="1" applyBorder="1" applyAlignment="1">
      <alignment horizontal="left" vertical="center"/>
    </xf>
    <xf numFmtId="0" fontId="14" fillId="0" borderId="0" xfId="6" applyFont="1" applyBorder="1" applyAlignment="1">
      <alignment horizontal="center" vertical="center"/>
    </xf>
    <xf numFmtId="178" fontId="43" fillId="0" borderId="0" xfId="6" applyNumberFormat="1" applyFont="1" applyBorder="1" applyAlignment="1">
      <alignment vertical="center"/>
    </xf>
    <xf numFmtId="178" fontId="14" fillId="0" borderId="0" xfId="6" applyNumberFormat="1" applyFont="1" applyBorder="1" applyAlignment="1">
      <alignment vertical="center"/>
    </xf>
    <xf numFmtId="0" fontId="14" fillId="0" borderId="0" xfId="7" applyFont="1" applyBorder="1" applyAlignment="1">
      <alignment horizontal="right" vertical="center"/>
    </xf>
    <xf numFmtId="0" fontId="14" fillId="0" borderId="0" xfId="7" applyFont="1" applyBorder="1" applyAlignment="1">
      <alignment vertical="center"/>
    </xf>
    <xf numFmtId="0" fontId="14" fillId="0" borderId="49" xfId="6" applyFont="1" applyBorder="1" applyAlignment="1">
      <alignment vertical="center"/>
    </xf>
    <xf numFmtId="0" fontId="14" fillId="0" borderId="49" xfId="7" applyFont="1" applyBorder="1" applyAlignment="1">
      <alignment horizontal="right" vertical="center"/>
    </xf>
    <xf numFmtId="0" fontId="14" fillId="0" borderId="49" xfId="7" applyFont="1" applyBorder="1" applyAlignment="1">
      <alignment vertical="center"/>
    </xf>
    <xf numFmtId="49" fontId="43" fillId="0" borderId="36" xfId="3" applyNumberFormat="1" applyFont="1" applyFill="1" applyBorder="1" applyAlignment="1">
      <alignment horizontal="left" vertical="center" wrapText="1" indent="2"/>
    </xf>
    <xf numFmtId="49" fontId="41" fillId="0" borderId="0" xfId="0" applyNumberFormat="1" applyFont="1" applyFill="1" applyBorder="1" applyAlignment="1">
      <alignment horizontal="left" vertical="center"/>
    </xf>
    <xf numFmtId="49" fontId="51" fillId="0" borderId="0" xfId="0" applyNumberFormat="1" applyFont="1" applyFill="1" applyBorder="1" applyAlignment="1">
      <alignment horizontal="left" vertical="center"/>
    </xf>
    <xf numFmtId="0" fontId="14" fillId="0" borderId="49" xfId="0" applyFont="1" applyBorder="1" applyAlignment="1">
      <alignment vertical="center"/>
    </xf>
    <xf numFmtId="0" fontId="14" fillId="0" borderId="0" xfId="4" applyFont="1" applyAlignment="1">
      <alignment vertical="center"/>
    </xf>
    <xf numFmtId="0" fontId="14" fillId="0" borderId="0" xfId="0" applyFont="1" applyBorder="1" applyAlignment="1">
      <alignment vertical="center"/>
    </xf>
    <xf numFmtId="0" fontId="15" fillId="0" borderId="11" xfId="4" applyFont="1" applyBorder="1" applyAlignment="1">
      <alignment horizontal="center" vertical="center" wrapText="1"/>
    </xf>
    <xf numFmtId="0" fontId="15" fillId="0" borderId="0" xfId="4" applyFont="1" applyBorder="1" applyAlignment="1">
      <alignment horizontal="center" vertical="center" wrapText="1"/>
    </xf>
    <xf numFmtId="0" fontId="15" fillId="0" borderId="6" xfId="4" applyFont="1" applyBorder="1" applyAlignment="1">
      <alignment horizontal="center" vertical="center" wrapText="1"/>
    </xf>
    <xf numFmtId="0" fontId="15" fillId="0" borderId="9" xfId="4" applyFont="1" applyBorder="1" applyAlignment="1">
      <alignment horizontal="center" vertical="center" wrapText="1"/>
    </xf>
    <xf numFmtId="0" fontId="15" fillId="0" borderId="5" xfId="4" applyFont="1" applyBorder="1" applyAlignment="1">
      <alignment horizontal="center" vertical="center" wrapText="1"/>
    </xf>
    <xf numFmtId="0" fontId="15" fillId="0" borderId="13" xfId="4" applyFont="1" applyBorder="1" applyAlignment="1">
      <alignment horizontal="center" vertical="center" wrapText="1"/>
    </xf>
    <xf numFmtId="0" fontId="15" fillId="0" borderId="9" xfId="2" applyFont="1" applyFill="1" applyBorder="1" applyAlignment="1">
      <alignment horizontal="center" vertical="center" wrapText="1"/>
    </xf>
    <xf numFmtId="0" fontId="15" fillId="0" borderId="2" xfId="4" applyFont="1" applyBorder="1" applyAlignment="1">
      <alignment horizontal="center" vertical="center" wrapText="1"/>
    </xf>
    <xf numFmtId="0" fontId="15" fillId="0" borderId="5" xfId="4" applyFont="1" applyBorder="1" applyAlignment="1">
      <alignment horizontal="center" vertical="center"/>
    </xf>
    <xf numFmtId="0" fontId="15" fillId="0" borderId="8" xfId="4" applyFont="1" applyBorder="1" applyAlignment="1">
      <alignment horizontal="center" vertical="center" wrapText="1"/>
    </xf>
    <xf numFmtId="0" fontId="15" fillId="0" borderId="5" xfId="4" applyFont="1" applyFill="1" applyBorder="1" applyAlignment="1">
      <alignment horizontal="center" vertical="center" wrapText="1"/>
    </xf>
    <xf numFmtId="0" fontId="3" fillId="0" borderId="0" xfId="4" applyFont="1" applyBorder="1" applyAlignment="1">
      <alignment horizontal="center" vertical="center" wrapText="1"/>
    </xf>
    <xf numFmtId="0" fontId="15" fillId="0" borderId="2" xfId="2" applyFont="1" applyFill="1" applyBorder="1" applyAlignment="1">
      <alignment horizontal="center" vertical="center" wrapText="1"/>
    </xf>
    <xf numFmtId="0" fontId="52" fillId="0" borderId="0" xfId="4" applyFont="1" applyBorder="1" applyAlignment="1">
      <alignment horizontal="left" vertical="center"/>
    </xf>
    <xf numFmtId="176" fontId="15" fillId="0" borderId="0" xfId="0" applyNumberFormat="1" applyFont="1" applyBorder="1" applyAlignment="1">
      <alignment horizontal="right" vertical="center"/>
    </xf>
    <xf numFmtId="0" fontId="15" fillId="0" borderId="0" xfId="4" applyFont="1" applyBorder="1" applyAlignment="1">
      <alignment vertical="center"/>
    </xf>
    <xf numFmtId="176" fontId="15" fillId="0" borderId="10" xfId="0" applyNumberFormat="1" applyFont="1" applyBorder="1" applyAlignment="1">
      <alignment horizontal="right" vertical="center"/>
    </xf>
    <xf numFmtId="176" fontId="15" fillId="0" borderId="3" xfId="0" applyNumberFormat="1" applyFont="1" applyBorder="1" applyAlignment="1">
      <alignment horizontal="right" vertical="center"/>
    </xf>
    <xf numFmtId="0" fontId="47" fillId="0" borderId="0" xfId="4" applyFont="1" applyBorder="1" applyAlignment="1">
      <alignment vertical="center"/>
    </xf>
    <xf numFmtId="0" fontId="54" fillId="0" borderId="0" xfId="4" applyFont="1" applyBorder="1" applyAlignment="1">
      <alignment horizontal="center" vertical="center" wrapText="1"/>
    </xf>
    <xf numFmtId="176" fontId="47" fillId="0" borderId="0" xfId="0" applyNumberFormat="1" applyFont="1" applyBorder="1" applyAlignment="1">
      <alignment horizontal="right" vertical="center"/>
    </xf>
    <xf numFmtId="176" fontId="15" fillId="0" borderId="7" xfId="0" applyNumberFormat="1" applyFont="1" applyBorder="1" applyAlignment="1">
      <alignment horizontal="right" vertical="center"/>
    </xf>
    <xf numFmtId="0" fontId="14" fillId="0" borderId="7" xfId="4" applyFont="1" applyBorder="1"/>
    <xf numFmtId="0" fontId="14" fillId="0" borderId="0" xfId="4" applyFont="1" applyAlignment="1">
      <alignment horizontal="right"/>
    </xf>
    <xf numFmtId="0" fontId="15" fillId="0" borderId="6" xfId="4" applyFont="1" applyBorder="1" applyAlignment="1">
      <alignment horizontal="center" vertical="center"/>
    </xf>
    <xf numFmtId="0" fontId="15" fillId="0" borderId="0" xfId="4" applyFont="1" applyBorder="1" applyAlignment="1">
      <alignment horizontal="right" vertical="center"/>
    </xf>
    <xf numFmtId="176" fontId="0" fillId="0" borderId="0" xfId="0" applyNumberFormat="1" applyFont="1" applyBorder="1" applyAlignment="1">
      <alignment horizontal="right" vertical="center"/>
    </xf>
    <xf numFmtId="176" fontId="15" fillId="0" borderId="12" xfId="0" applyNumberFormat="1" applyFont="1" applyBorder="1" applyAlignment="1">
      <alignment horizontal="right" vertical="center"/>
    </xf>
    <xf numFmtId="0" fontId="15" fillId="0" borderId="0" xfId="4" applyFont="1" applyBorder="1"/>
    <xf numFmtId="0" fontId="15" fillId="0" borderId="7" xfId="4" applyFont="1" applyBorder="1"/>
    <xf numFmtId="0" fontId="15" fillId="0" borderId="0" xfId="0" applyFont="1" applyBorder="1" applyAlignment="1">
      <alignment horizontal="left"/>
    </xf>
    <xf numFmtId="0" fontId="0" fillId="0" borderId="0" xfId="4" applyFont="1"/>
    <xf numFmtId="0" fontId="0" fillId="0" borderId="0" xfId="4" applyFont="1" applyBorder="1" applyAlignment="1">
      <alignment horizontal="centerContinuous" vertical="center" wrapText="1"/>
    </xf>
    <xf numFmtId="0" fontId="0" fillId="0" borderId="2" xfId="4" applyFont="1" applyBorder="1" applyAlignment="1">
      <alignment horizontal="centerContinuous" vertical="center"/>
    </xf>
    <xf numFmtId="0" fontId="0" fillId="0" borderId="7" xfId="4" applyFont="1" applyBorder="1" applyAlignment="1">
      <alignment horizontal="centerContinuous" vertical="center" wrapText="1"/>
    </xf>
    <xf numFmtId="0" fontId="0" fillId="0" borderId="0" xfId="4" applyFont="1" applyAlignment="1">
      <alignment horizontal="centerContinuous"/>
    </xf>
    <xf numFmtId="0" fontId="0" fillId="0" borderId="0" xfId="4" applyFont="1" applyAlignment="1">
      <alignment horizontal="center" vertical="center" wrapText="1"/>
    </xf>
    <xf numFmtId="0" fontId="0" fillId="0" borderId="0" xfId="4" applyFont="1" applyAlignment="1">
      <alignment vertical="center"/>
    </xf>
    <xf numFmtId="0" fontId="22" fillId="0" borderId="0" xfId="4" applyFont="1" applyBorder="1" applyAlignment="1">
      <alignment vertical="center"/>
    </xf>
    <xf numFmtId="176" fontId="15" fillId="0" borderId="13" xfId="0" applyNumberFormat="1" applyFont="1" applyBorder="1" applyAlignment="1">
      <alignment horizontal="right" vertical="center"/>
    </xf>
    <xf numFmtId="0" fontId="0" fillId="0" borderId="9" xfId="4" applyFont="1" applyBorder="1" applyAlignment="1">
      <alignment horizontal="center" vertical="center" wrapText="1"/>
    </xf>
    <xf numFmtId="176" fontId="30" fillId="0" borderId="10" xfId="0" applyNumberFormat="1" applyFont="1" applyBorder="1" applyAlignment="1">
      <alignment horizontal="right" vertical="center"/>
    </xf>
    <xf numFmtId="176" fontId="47" fillId="0" borderId="16" xfId="0" applyNumberFormat="1" applyFont="1" applyBorder="1" applyAlignment="1">
      <alignment horizontal="right" vertical="center"/>
    </xf>
    <xf numFmtId="176" fontId="47" fillId="0" borderId="7" xfId="0" applyNumberFormat="1" applyFont="1" applyBorder="1" applyAlignment="1">
      <alignment horizontal="right" vertical="center"/>
    </xf>
    <xf numFmtId="0" fontId="55" fillId="0" borderId="7" xfId="4" applyFont="1" applyBorder="1" applyAlignment="1">
      <alignment vertical="center"/>
    </xf>
    <xf numFmtId="0" fontId="55" fillId="0" borderId="0" xfId="4" applyFont="1" applyBorder="1" applyAlignment="1">
      <alignment vertical="center"/>
    </xf>
    <xf numFmtId="0" fontId="16" fillId="0" borderId="0" xfId="4" applyFont="1" applyBorder="1"/>
    <xf numFmtId="0" fontId="56" fillId="0" borderId="0" xfId="0" applyFont="1" applyBorder="1" applyAlignment="1">
      <alignment vertical="center"/>
    </xf>
    <xf numFmtId="0" fontId="13" fillId="0" borderId="0" xfId="4" applyFont="1" applyAlignment="1">
      <alignment vertical="top"/>
    </xf>
    <xf numFmtId="0" fontId="14" fillId="0" borderId="0" xfId="6" applyFont="1" applyBorder="1" applyAlignment="1">
      <alignment horizontal="right" vertical="center"/>
    </xf>
    <xf numFmtId="180" fontId="41" fillId="0" borderId="36" xfId="8" applyNumberFormat="1" applyFont="1" applyFill="1" applyBorder="1" applyAlignment="1">
      <alignment horizontal="center" vertical="center"/>
    </xf>
    <xf numFmtId="180" fontId="41" fillId="0" borderId="47" xfId="8" applyNumberFormat="1" applyFont="1" applyFill="1" applyBorder="1" applyAlignment="1">
      <alignment horizontal="center" vertical="center"/>
    </xf>
    <xf numFmtId="0" fontId="56" fillId="0" borderId="40" xfId="7" applyFont="1" applyBorder="1" applyAlignment="1">
      <alignment horizontal="center" vertical="center"/>
    </xf>
    <xf numFmtId="0" fontId="14" fillId="0" borderId="37" xfId="7" applyFont="1" applyBorder="1" applyAlignment="1">
      <alignment horizontal="center" vertical="center"/>
    </xf>
    <xf numFmtId="0" fontId="14" fillId="0" borderId="38" xfId="7" applyFont="1" applyBorder="1" applyAlignment="1">
      <alignment horizontal="center" vertical="center"/>
    </xf>
    <xf numFmtId="0" fontId="14" fillId="0" borderId="39" xfId="7" applyFont="1" applyBorder="1" applyAlignment="1">
      <alignment horizontal="center" vertical="center"/>
    </xf>
    <xf numFmtId="0" fontId="37" fillId="4" borderId="41" xfId="7" applyFont="1" applyFill="1" applyBorder="1" applyAlignment="1">
      <alignment horizontal="center" vertical="center"/>
    </xf>
    <xf numFmtId="0" fontId="14" fillId="4" borderId="37" xfId="7" applyFont="1" applyFill="1" applyBorder="1" applyAlignment="1">
      <alignment horizontal="center" vertical="center"/>
    </xf>
    <xf numFmtId="0" fontId="14" fillId="4" borderId="38" xfId="7" applyFont="1" applyFill="1" applyBorder="1" applyAlignment="1">
      <alignment horizontal="center" vertical="center"/>
    </xf>
    <xf numFmtId="0" fontId="14" fillId="4" borderId="39" xfId="7" applyFont="1" applyFill="1" applyBorder="1" applyAlignment="1">
      <alignment horizontal="center" vertical="center"/>
    </xf>
    <xf numFmtId="0" fontId="37" fillId="5" borderId="41" xfId="7" applyFont="1" applyFill="1" applyBorder="1" applyAlignment="1">
      <alignment horizontal="center" vertical="center"/>
    </xf>
    <xf numFmtId="0" fontId="14" fillId="5" borderId="37" xfId="7" applyFont="1" applyFill="1" applyBorder="1" applyAlignment="1">
      <alignment horizontal="center" vertical="center"/>
    </xf>
    <xf numFmtId="0" fontId="14" fillId="5" borderId="38" xfId="7" applyFont="1" applyFill="1" applyBorder="1" applyAlignment="1">
      <alignment horizontal="center" vertical="center"/>
    </xf>
    <xf numFmtId="0" fontId="14" fillId="5" borderId="39" xfId="7" applyFont="1" applyFill="1" applyBorder="1" applyAlignment="1">
      <alignment horizontal="center" vertical="center"/>
    </xf>
    <xf numFmtId="0" fontId="37" fillId="3" borderId="41" xfId="7" applyFont="1" applyFill="1" applyBorder="1" applyAlignment="1">
      <alignment horizontal="center" vertical="center"/>
    </xf>
    <xf numFmtId="0" fontId="14" fillId="3" borderId="37" xfId="7" applyFont="1" applyFill="1" applyBorder="1" applyAlignment="1">
      <alignment horizontal="center" vertical="center"/>
    </xf>
    <xf numFmtId="0" fontId="14" fillId="3" borderId="38" xfId="7" applyFont="1" applyFill="1" applyBorder="1" applyAlignment="1">
      <alignment horizontal="center" vertical="center"/>
    </xf>
    <xf numFmtId="0" fontId="14" fillId="0" borderId="3" xfId="6" applyFont="1" applyBorder="1" applyAlignment="1">
      <alignment horizontal="center" vertical="center"/>
    </xf>
    <xf numFmtId="0" fontId="14" fillId="0" borderId="35" xfId="6" applyFont="1" applyBorder="1" applyAlignment="1">
      <alignment horizontal="center" vertical="center"/>
    </xf>
    <xf numFmtId="0" fontId="37" fillId="4" borderId="9" xfId="7" applyFont="1" applyFill="1" applyBorder="1" applyAlignment="1">
      <alignment horizontal="center" vertical="center"/>
    </xf>
    <xf numFmtId="0" fontId="14" fillId="4" borderId="5" xfId="7" applyFont="1" applyFill="1" applyBorder="1" applyAlignment="1">
      <alignment horizontal="center" vertical="center"/>
    </xf>
    <xf numFmtId="0" fontId="14" fillId="4" borderId="13" xfId="7" applyFont="1" applyFill="1" applyBorder="1" applyAlignment="1">
      <alignment horizontal="center" vertical="center"/>
    </xf>
    <xf numFmtId="0" fontId="14" fillId="4" borderId="54" xfId="7" applyFont="1" applyFill="1" applyBorder="1" applyAlignment="1">
      <alignment horizontal="center" vertical="center"/>
    </xf>
    <xf numFmtId="0" fontId="37" fillId="5" borderId="53" xfId="7" applyFont="1" applyFill="1" applyBorder="1" applyAlignment="1">
      <alignment horizontal="center" vertical="center"/>
    </xf>
    <xf numFmtId="0" fontId="14" fillId="5" borderId="5" xfId="7" applyFont="1" applyFill="1" applyBorder="1" applyAlignment="1">
      <alignment horizontal="center" vertical="center"/>
    </xf>
    <xf numFmtId="0" fontId="14" fillId="5" borderId="13" xfId="7" applyFont="1" applyFill="1" applyBorder="1" applyAlignment="1">
      <alignment horizontal="center" vertical="center"/>
    </xf>
    <xf numFmtId="0" fontId="14" fillId="5" borderId="54" xfId="7" applyFont="1" applyFill="1" applyBorder="1" applyAlignment="1">
      <alignment horizontal="center" vertical="center"/>
    </xf>
    <xf numFmtId="0" fontId="14" fillId="0" borderId="8" xfId="6" applyFont="1" applyFill="1" applyBorder="1" applyAlignment="1">
      <alignment horizontal="center" vertical="center" wrapText="1"/>
    </xf>
    <xf numFmtId="0" fontId="37" fillId="3" borderId="53" xfId="7" applyFont="1" applyFill="1" applyBorder="1" applyAlignment="1">
      <alignment horizontal="center" vertical="center"/>
    </xf>
    <xf numFmtId="0" fontId="14" fillId="3" borderId="5" xfId="7" applyFont="1" applyFill="1" applyBorder="1" applyAlignment="1">
      <alignment horizontal="center" vertical="center"/>
    </xf>
    <xf numFmtId="0" fontId="14" fillId="3" borderId="13" xfId="7" applyFont="1" applyFill="1" applyBorder="1" applyAlignment="1">
      <alignment horizontal="center" vertical="center"/>
    </xf>
    <xf numFmtId="0" fontId="14" fillId="0" borderId="3" xfId="6" applyFont="1" applyBorder="1" applyAlignment="1">
      <alignment horizontal="center" vertical="center" wrapText="1"/>
    </xf>
    <xf numFmtId="0" fontId="14" fillId="0" borderId="2" xfId="6" applyFont="1" applyBorder="1" applyAlignment="1">
      <alignment horizontal="center" vertical="center" wrapText="1"/>
    </xf>
    <xf numFmtId="0" fontId="14" fillId="0" borderId="1" xfId="6" applyFont="1" applyFill="1" applyBorder="1" applyAlignment="1">
      <alignment horizontal="center" vertical="center" wrapText="1"/>
    </xf>
    <xf numFmtId="0" fontId="14" fillId="0" borderId="34" xfId="6" applyFont="1" applyFill="1" applyBorder="1" applyAlignment="1">
      <alignment horizontal="center" vertical="center" wrapText="1"/>
    </xf>
    <xf numFmtId="180" fontId="41" fillId="0" borderId="46" xfId="8" applyNumberFormat="1" applyFont="1" applyFill="1" applyBorder="1" applyAlignment="1">
      <alignment horizontal="center" vertical="center" wrapText="1"/>
    </xf>
    <xf numFmtId="0" fontId="37" fillId="0" borderId="40" xfId="7" applyFont="1" applyBorder="1" applyAlignment="1">
      <alignment horizontal="center" vertical="center"/>
    </xf>
    <xf numFmtId="0" fontId="37" fillId="4" borderId="40" xfId="7" applyFont="1" applyFill="1" applyBorder="1" applyAlignment="1">
      <alignment horizontal="center" vertical="center"/>
    </xf>
    <xf numFmtId="0" fontId="37" fillId="3" borderId="50" xfId="7" applyFont="1" applyFill="1" applyBorder="1" applyAlignment="1">
      <alignment horizontal="center" vertical="center"/>
    </xf>
    <xf numFmtId="0" fontId="37" fillId="3" borderId="51" xfId="7" applyFont="1" applyFill="1" applyBorder="1" applyAlignment="1">
      <alignment horizontal="center" vertical="center"/>
    </xf>
    <xf numFmtId="0" fontId="14" fillId="4" borderId="3" xfId="6" applyFont="1" applyFill="1" applyBorder="1" applyAlignment="1">
      <alignment horizontal="center" vertical="center"/>
    </xf>
    <xf numFmtId="0" fontId="14" fillId="4" borderId="35" xfId="6" applyFont="1" applyFill="1" applyBorder="1" applyAlignment="1">
      <alignment horizontal="center" vertical="center"/>
    </xf>
    <xf numFmtId="0" fontId="14" fillId="5" borderId="32" xfId="6" applyFont="1" applyFill="1" applyBorder="1" applyAlignment="1">
      <alignment horizontal="center" vertical="center"/>
    </xf>
    <xf numFmtId="0" fontId="14" fillId="5" borderId="3" xfId="6" applyFont="1" applyFill="1" applyBorder="1" applyAlignment="1">
      <alignment horizontal="center" vertical="center"/>
    </xf>
    <xf numFmtId="0" fontId="14" fillId="5" borderId="35" xfId="6" applyFont="1" applyFill="1" applyBorder="1" applyAlignment="1">
      <alignment horizontal="center" vertical="center"/>
    </xf>
    <xf numFmtId="0" fontId="37" fillId="3" borderId="52" xfId="7" applyFont="1" applyFill="1" applyBorder="1" applyAlignment="1">
      <alignment horizontal="center" vertical="center"/>
    </xf>
    <xf numFmtId="0" fontId="37" fillId="3" borderId="10" xfId="7" applyFont="1" applyFill="1" applyBorder="1" applyAlignment="1">
      <alignment horizontal="center" vertical="center"/>
    </xf>
    <xf numFmtId="0" fontId="11" fillId="0" borderId="11" xfId="2" applyFont="1" applyFill="1" applyBorder="1" applyAlignment="1">
      <alignment horizontal="center" vertical="center" wrapText="1"/>
    </xf>
    <xf numFmtId="0" fontId="11" fillId="0" borderId="9" xfId="2" applyFont="1" applyFill="1" applyBorder="1" applyAlignment="1">
      <alignment horizontal="center" vertical="center" wrapText="1"/>
    </xf>
    <xf numFmtId="0" fontId="15" fillId="0" borderId="11" xfId="2" applyFont="1" applyBorder="1" applyAlignment="1">
      <alignment horizontal="center" vertical="center" wrapText="1"/>
    </xf>
    <xf numFmtId="0" fontId="15" fillId="0" borderId="9" xfId="2" applyFont="1" applyBorder="1" applyAlignment="1">
      <alignment horizontal="center" vertical="center" wrapText="1"/>
    </xf>
    <xf numFmtId="0" fontId="11" fillId="0" borderId="4" xfId="2" applyFont="1" applyFill="1" applyBorder="1" applyAlignment="1">
      <alignment horizontal="center" vertical="center" wrapText="1"/>
    </xf>
    <xf numFmtId="0" fontId="11" fillId="0" borderId="5" xfId="2" applyFont="1" applyFill="1" applyBorder="1" applyAlignment="1">
      <alignment horizontal="center" vertical="center" wrapText="1"/>
    </xf>
    <xf numFmtId="0" fontId="11" fillId="0" borderId="16" xfId="2" applyFont="1" applyFill="1" applyBorder="1" applyAlignment="1">
      <alignment horizontal="center" vertical="center" wrapText="1"/>
    </xf>
    <xf numFmtId="0" fontId="11" fillId="0" borderId="13" xfId="2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top" wrapText="1"/>
    </xf>
    <xf numFmtId="0" fontId="11" fillId="0" borderId="1" xfId="2" applyFont="1" applyFill="1" applyBorder="1" applyAlignment="1">
      <alignment horizontal="center" vertical="center" wrapText="1"/>
    </xf>
    <xf numFmtId="0" fontId="11" fillId="0" borderId="3" xfId="2" applyFont="1" applyFill="1" applyBorder="1" applyAlignment="1">
      <alignment horizontal="center" vertical="center" wrapText="1"/>
    </xf>
    <xf numFmtId="0" fontId="11" fillId="0" borderId="2" xfId="2" applyFont="1" applyFill="1" applyBorder="1" applyAlignment="1">
      <alignment horizontal="center" vertical="center" wrapText="1"/>
    </xf>
    <xf numFmtId="0" fontId="11" fillId="0" borderId="17" xfId="2" applyFont="1" applyFill="1" applyBorder="1" applyAlignment="1">
      <alignment horizontal="center" vertical="center" wrapText="1"/>
    </xf>
    <xf numFmtId="0" fontId="11" fillId="0" borderId="18" xfId="2" applyFont="1" applyFill="1" applyBorder="1" applyAlignment="1">
      <alignment horizontal="center" vertical="center" wrapText="1"/>
    </xf>
    <xf numFmtId="0" fontId="15" fillId="0" borderId="11" xfId="4" applyFont="1" applyBorder="1" applyAlignment="1">
      <alignment horizontal="center" vertical="center" wrapText="1"/>
    </xf>
    <xf numFmtId="0" fontId="15" fillId="0" borderId="6" xfId="4" applyFont="1" applyBorder="1" applyAlignment="1">
      <alignment horizontal="center" vertical="center" wrapText="1"/>
    </xf>
    <xf numFmtId="0" fontId="15" fillId="0" borderId="9" xfId="4" applyFont="1" applyBorder="1" applyAlignment="1">
      <alignment horizontal="center" vertical="center" wrapText="1"/>
    </xf>
    <xf numFmtId="0" fontId="15" fillId="0" borderId="3" xfId="4" applyFont="1" applyBorder="1" applyAlignment="1">
      <alignment horizontal="center" vertical="center"/>
    </xf>
    <xf numFmtId="0" fontId="15" fillId="0" borderId="19" xfId="4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2" xfId="2" applyFont="1" applyBorder="1" applyAlignment="1">
      <alignment horizontal="center" vertical="center"/>
    </xf>
    <xf numFmtId="0" fontId="11" fillId="0" borderId="19" xfId="2" applyFont="1" applyFill="1" applyBorder="1" applyAlignment="1">
      <alignment horizontal="center" vertical="center" wrapText="1"/>
    </xf>
    <xf numFmtId="0" fontId="15" fillId="0" borderId="13" xfId="2" applyFont="1" applyFill="1" applyBorder="1" applyAlignment="1">
      <alignment horizontal="center" vertical="center" wrapText="1"/>
    </xf>
    <xf numFmtId="0" fontId="15" fillId="0" borderId="10" xfId="2" applyFont="1" applyFill="1" applyBorder="1" applyAlignment="1">
      <alignment horizontal="center" vertical="center" wrapText="1"/>
    </xf>
    <xf numFmtId="0" fontId="15" fillId="0" borderId="1" xfId="4" applyFont="1" applyBorder="1" applyAlignment="1">
      <alignment horizontal="center" vertical="center" wrapText="1"/>
    </xf>
    <xf numFmtId="0" fontId="15" fillId="0" borderId="3" xfId="4" applyFont="1" applyBorder="1" applyAlignment="1">
      <alignment horizontal="center" vertical="center" wrapText="1"/>
    </xf>
    <xf numFmtId="0" fontId="15" fillId="0" borderId="2" xfId="4" applyFont="1" applyBorder="1" applyAlignment="1">
      <alignment horizontal="center" vertical="center" wrapText="1"/>
    </xf>
    <xf numFmtId="0" fontId="15" fillId="0" borderId="16" xfId="4" applyFont="1" applyBorder="1" applyAlignment="1">
      <alignment horizontal="center" vertical="center" wrapText="1"/>
    </xf>
    <xf numFmtId="0" fontId="15" fillId="0" borderId="11" xfId="4" applyFont="1" applyBorder="1" applyAlignment="1">
      <alignment horizontal="center" vertical="center"/>
    </xf>
    <xf numFmtId="0" fontId="15" fillId="0" borderId="1" xfId="2" applyFont="1" applyBorder="1" applyAlignment="1">
      <alignment horizontal="center" vertical="center" wrapText="1"/>
    </xf>
    <xf numFmtId="0" fontId="15" fillId="0" borderId="3" xfId="2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5" fillId="0" borderId="1" xfId="2" applyFont="1" applyFill="1" applyBorder="1" applyAlignment="1">
      <alignment horizontal="center" vertical="center" wrapText="1"/>
    </xf>
    <xf numFmtId="0" fontId="15" fillId="0" borderId="3" xfId="2" applyFont="1" applyFill="1" applyBorder="1" applyAlignment="1">
      <alignment horizontal="center" vertical="center" wrapText="1"/>
    </xf>
    <xf numFmtId="0" fontId="15" fillId="0" borderId="2" xfId="2" applyFont="1" applyFill="1" applyBorder="1" applyAlignment="1">
      <alignment horizontal="center" vertical="center" wrapText="1"/>
    </xf>
    <xf numFmtId="0" fontId="15" fillId="0" borderId="4" xfId="4" applyFont="1" applyBorder="1" applyAlignment="1">
      <alignment horizontal="center" vertical="center" wrapText="1"/>
    </xf>
    <xf numFmtId="0" fontId="15" fillId="0" borderId="5" xfId="4" applyFont="1" applyBorder="1" applyAlignment="1">
      <alignment horizontal="center" vertical="center"/>
    </xf>
    <xf numFmtId="0" fontId="15" fillId="0" borderId="16" xfId="4" applyFont="1" applyBorder="1" applyAlignment="1">
      <alignment horizontal="center" vertical="center"/>
    </xf>
    <xf numFmtId="0" fontId="15" fillId="0" borderId="7" xfId="4" applyFont="1" applyBorder="1" applyAlignment="1">
      <alignment horizontal="center" vertical="center"/>
    </xf>
    <xf numFmtId="0" fontId="15" fillId="0" borderId="13" xfId="4" applyFont="1" applyBorder="1" applyAlignment="1">
      <alignment horizontal="center" vertical="center"/>
    </xf>
    <xf numFmtId="0" fontId="15" fillId="0" borderId="10" xfId="4" applyFont="1" applyBorder="1" applyAlignment="1">
      <alignment horizontal="center" vertical="center"/>
    </xf>
    <xf numFmtId="0" fontId="15" fillId="0" borderId="9" xfId="4" applyFont="1" applyBorder="1" applyAlignment="1">
      <alignment horizontal="center" vertical="center"/>
    </xf>
    <xf numFmtId="0" fontId="15" fillId="0" borderId="7" xfId="4" applyFont="1" applyBorder="1" applyAlignment="1">
      <alignment horizontal="center" vertical="center" wrapText="1"/>
    </xf>
    <xf numFmtId="0" fontId="15" fillId="0" borderId="13" xfId="4" applyFont="1" applyBorder="1" applyAlignment="1">
      <alignment horizontal="center" vertical="center" wrapText="1"/>
    </xf>
    <xf numFmtId="0" fontId="15" fillId="0" borderId="10" xfId="4" applyFont="1" applyBorder="1" applyAlignment="1">
      <alignment horizontal="center" vertical="center" wrapText="1"/>
    </xf>
    <xf numFmtId="0" fontId="15" fillId="0" borderId="1" xfId="4" applyFont="1" applyBorder="1" applyAlignment="1">
      <alignment horizontal="center" vertical="center"/>
    </xf>
    <xf numFmtId="0" fontId="15" fillId="0" borderId="13" xfId="2" applyFont="1" applyBorder="1" applyAlignment="1">
      <alignment horizontal="center" vertical="center"/>
    </xf>
    <xf numFmtId="0" fontId="15" fillId="0" borderId="10" xfId="2" applyFont="1" applyBorder="1" applyAlignment="1">
      <alignment horizontal="center" vertical="center"/>
    </xf>
    <xf numFmtId="0" fontId="15" fillId="0" borderId="9" xfId="2" applyFont="1" applyBorder="1" applyAlignment="1">
      <alignment horizontal="center" vertical="center"/>
    </xf>
    <xf numFmtId="0" fontId="15" fillId="0" borderId="9" xfId="2" applyFont="1" applyFill="1" applyBorder="1" applyAlignment="1">
      <alignment horizontal="center" vertical="center" wrapText="1"/>
    </xf>
    <xf numFmtId="0" fontId="15" fillId="0" borderId="5" xfId="4" applyFont="1" applyBorder="1" applyAlignment="1">
      <alignment horizontal="center" vertical="center" wrapText="1"/>
    </xf>
    <xf numFmtId="0" fontId="15" fillId="0" borderId="15" xfId="4" applyFont="1" applyBorder="1" applyAlignment="1">
      <alignment horizontal="center" vertical="center"/>
    </xf>
    <xf numFmtId="0" fontId="15" fillId="0" borderId="8" xfId="4" applyFont="1" applyBorder="1" applyAlignment="1">
      <alignment horizontal="center" vertical="center" wrapText="1"/>
    </xf>
    <xf numFmtId="0" fontId="15" fillId="0" borderId="2" xfId="4" applyFont="1" applyBorder="1" applyAlignment="1">
      <alignment horizontal="center" vertical="center"/>
    </xf>
    <xf numFmtId="0" fontId="15" fillId="0" borderId="6" xfId="4" applyFont="1" applyBorder="1" applyAlignment="1">
      <alignment horizontal="center" vertical="center"/>
    </xf>
    <xf numFmtId="0" fontId="15" fillId="0" borderId="6" xfId="0" applyFont="1" applyBorder="1" applyAlignment="1">
      <alignment vertical="center" wrapText="1"/>
    </xf>
    <xf numFmtId="0" fontId="15" fillId="0" borderId="9" xfId="0" applyFont="1" applyBorder="1" applyAlignment="1">
      <alignment vertical="center" wrapText="1"/>
    </xf>
    <xf numFmtId="0" fontId="15" fillId="0" borderId="8" xfId="4" applyFont="1" applyBorder="1" applyAlignment="1">
      <alignment horizontal="center" vertical="center"/>
    </xf>
    <xf numFmtId="49" fontId="15" fillId="2" borderId="15" xfId="0" applyNumberFormat="1" applyFont="1" applyFill="1" applyBorder="1" applyAlignment="1">
      <alignment horizontal="center" vertical="center"/>
    </xf>
    <xf numFmtId="49" fontId="15" fillId="2" borderId="5" xfId="0" applyNumberFormat="1" applyFont="1" applyFill="1" applyBorder="1" applyAlignment="1">
      <alignment horizontal="center" vertical="center"/>
    </xf>
    <xf numFmtId="49" fontId="15" fillId="0" borderId="15" xfId="3" applyNumberFormat="1" applyFont="1" applyBorder="1" applyAlignment="1">
      <alignment horizontal="center" vertical="center" wrapText="1"/>
    </xf>
    <xf numFmtId="49" fontId="15" fillId="0" borderId="5" xfId="3" applyNumberFormat="1" applyFont="1" applyBorder="1" applyAlignment="1">
      <alignment horizontal="center" vertical="center" wrapText="1"/>
    </xf>
    <xf numFmtId="0" fontId="26" fillId="0" borderId="11" xfId="2" applyFont="1" applyFill="1" applyBorder="1" applyAlignment="1">
      <alignment horizontal="center" vertical="center" wrapText="1"/>
    </xf>
    <xf numFmtId="0" fontId="26" fillId="0" borderId="9" xfId="2" applyFont="1" applyFill="1" applyBorder="1" applyAlignment="1">
      <alignment horizontal="center" vertical="center" wrapText="1"/>
    </xf>
    <xf numFmtId="0" fontId="16" fillId="0" borderId="11" xfId="2" applyFont="1" applyBorder="1" applyAlignment="1">
      <alignment horizontal="center" vertical="center" wrapText="1"/>
    </xf>
    <xf numFmtId="0" fontId="16" fillId="0" borderId="9" xfId="2" applyFont="1" applyBorder="1" applyAlignment="1">
      <alignment horizontal="center" vertical="center" wrapText="1"/>
    </xf>
    <xf numFmtId="0" fontId="26" fillId="0" borderId="4" xfId="2" applyFont="1" applyFill="1" applyBorder="1" applyAlignment="1">
      <alignment horizontal="center" vertical="center" wrapText="1"/>
    </xf>
    <xf numFmtId="0" fontId="26" fillId="0" borderId="5" xfId="2" applyFont="1" applyFill="1" applyBorder="1" applyAlignment="1">
      <alignment horizontal="center" vertical="center" wrapText="1"/>
    </xf>
    <xf numFmtId="0" fontId="26" fillId="0" borderId="17" xfId="2" applyFont="1" applyFill="1" applyBorder="1" applyAlignment="1">
      <alignment horizontal="center" vertical="center" wrapText="1"/>
    </xf>
    <xf numFmtId="0" fontId="26" fillId="0" borderId="18" xfId="2" applyFont="1" applyFill="1" applyBorder="1" applyAlignment="1">
      <alignment horizontal="center" vertical="center" wrapText="1"/>
    </xf>
    <xf numFmtId="49" fontId="47" fillId="0" borderId="15" xfId="3" applyNumberFormat="1" applyFont="1" applyBorder="1" applyAlignment="1">
      <alignment horizontal="center" vertical="center" wrapText="1"/>
    </xf>
    <xf numFmtId="49" fontId="47" fillId="0" borderId="5" xfId="3" applyNumberFormat="1" applyFont="1" applyBorder="1" applyAlignment="1">
      <alignment horizontal="center" vertical="center" wrapText="1"/>
    </xf>
    <xf numFmtId="0" fontId="26" fillId="0" borderId="1" xfId="2" applyFont="1" applyFill="1" applyBorder="1" applyAlignment="1">
      <alignment horizontal="center" vertical="center" wrapText="1"/>
    </xf>
    <xf numFmtId="0" fontId="26" fillId="0" borderId="3" xfId="2" applyFont="1" applyFill="1" applyBorder="1" applyAlignment="1">
      <alignment horizontal="center" vertical="center" wrapText="1"/>
    </xf>
    <xf numFmtId="0" fontId="26" fillId="0" borderId="2" xfId="2" applyFont="1" applyFill="1" applyBorder="1" applyAlignment="1">
      <alignment horizontal="center" vertical="center" wrapText="1"/>
    </xf>
    <xf numFmtId="0" fontId="26" fillId="0" borderId="3" xfId="2" applyFont="1" applyBorder="1" applyAlignment="1">
      <alignment horizontal="center" vertical="center"/>
    </xf>
    <xf numFmtId="0" fontId="26" fillId="0" borderId="2" xfId="2" applyFont="1" applyBorder="1" applyAlignment="1">
      <alignment horizontal="center" vertical="center"/>
    </xf>
    <xf numFmtId="0" fontId="15" fillId="0" borderId="0" xfId="4" applyFont="1" applyBorder="1" applyAlignment="1">
      <alignment horizontal="center" vertical="center" wrapText="1"/>
    </xf>
    <xf numFmtId="0" fontId="26" fillId="0" borderId="19" xfId="2" applyFont="1" applyFill="1" applyBorder="1" applyAlignment="1">
      <alignment horizontal="center" vertical="center" wrapText="1"/>
    </xf>
    <xf numFmtId="0" fontId="26" fillId="0" borderId="16" xfId="2" applyFont="1" applyFill="1" applyBorder="1" applyAlignment="1">
      <alignment horizontal="center" vertical="center" wrapText="1"/>
    </xf>
    <xf numFmtId="0" fontId="26" fillId="0" borderId="13" xfId="2" applyFont="1" applyFill="1" applyBorder="1" applyAlignment="1">
      <alignment horizontal="center" vertical="center" wrapText="1"/>
    </xf>
    <xf numFmtId="0" fontId="15" fillId="0" borderId="15" xfId="4" applyFont="1" applyBorder="1" applyAlignment="1">
      <alignment horizontal="center" vertical="center" wrapText="1"/>
    </xf>
    <xf numFmtId="0" fontId="11" fillId="0" borderId="4" xfId="4" applyFont="1" applyBorder="1" applyAlignment="1">
      <alignment horizontal="center" vertical="center" wrapText="1"/>
    </xf>
    <xf numFmtId="0" fontId="24" fillId="0" borderId="15" xfId="4" applyFont="1" applyBorder="1" applyAlignment="1">
      <alignment horizontal="center" vertical="center" wrapText="1"/>
    </xf>
    <xf numFmtId="0" fontId="24" fillId="0" borderId="5" xfId="4" applyFont="1" applyBorder="1" applyAlignment="1">
      <alignment horizontal="center" vertical="center" wrapText="1"/>
    </xf>
    <xf numFmtId="0" fontId="15" fillId="0" borderId="26" xfId="4" applyFont="1" applyBorder="1" applyAlignment="1">
      <alignment horizontal="center" vertical="center" wrapText="1"/>
    </xf>
    <xf numFmtId="0" fontId="15" fillId="0" borderId="27" xfId="4" applyFont="1" applyBorder="1" applyAlignment="1">
      <alignment horizontal="center" vertical="center" wrapText="1"/>
    </xf>
    <xf numFmtId="0" fontId="15" fillId="0" borderId="28" xfId="4" applyFont="1" applyBorder="1" applyAlignment="1">
      <alignment horizontal="center" vertical="center" wrapText="1"/>
    </xf>
    <xf numFmtId="0" fontId="24" fillId="0" borderId="21" xfId="4" applyFont="1" applyBorder="1" applyAlignment="1">
      <alignment horizontal="center" vertical="center" wrapText="1"/>
    </xf>
    <xf numFmtId="0" fontId="24" fillId="0" borderId="6" xfId="4" applyFont="1" applyBorder="1" applyAlignment="1">
      <alignment horizontal="center" vertical="center" wrapText="1"/>
    </xf>
    <xf numFmtId="0" fontId="24" fillId="0" borderId="22" xfId="4" applyFont="1" applyBorder="1" applyAlignment="1">
      <alignment horizontal="center" vertical="center" wrapText="1"/>
    </xf>
    <xf numFmtId="0" fontId="24" fillId="0" borderId="9" xfId="4" applyFont="1" applyBorder="1" applyAlignment="1">
      <alignment horizontal="center" vertical="center" wrapText="1"/>
    </xf>
    <xf numFmtId="0" fontId="15" fillId="0" borderId="12" xfId="4" applyFont="1" applyBorder="1" applyAlignment="1">
      <alignment horizontal="center" vertical="center" wrapText="1"/>
    </xf>
    <xf numFmtId="0" fontId="15" fillId="0" borderId="23" xfId="4" applyFont="1" applyBorder="1" applyAlignment="1">
      <alignment horizontal="center" vertical="center" wrapText="1"/>
    </xf>
    <xf numFmtId="0" fontId="15" fillId="0" borderId="18" xfId="4" applyFont="1" applyBorder="1" applyAlignment="1">
      <alignment horizontal="center" vertical="center" wrapText="1"/>
    </xf>
    <xf numFmtId="0" fontId="26" fillId="0" borderId="20" xfId="2" applyFont="1" applyBorder="1" applyAlignment="1">
      <alignment horizontal="center" vertical="center"/>
    </xf>
    <xf numFmtId="0" fontId="11" fillId="0" borderId="20" xfId="4" applyFont="1" applyBorder="1" applyAlignment="1">
      <alignment horizontal="center" vertical="center" wrapText="1"/>
    </xf>
    <xf numFmtId="0" fontId="11" fillId="0" borderId="3" xfId="4" applyFont="1" applyBorder="1" applyAlignment="1">
      <alignment horizontal="center" vertical="center" wrapText="1"/>
    </xf>
    <xf numFmtId="0" fontId="11" fillId="0" borderId="19" xfId="4" applyFont="1" applyBorder="1" applyAlignment="1">
      <alignment horizontal="center" vertical="center" wrapText="1"/>
    </xf>
    <xf numFmtId="0" fontId="15" fillId="0" borderId="20" xfId="4" applyFont="1" applyBorder="1" applyAlignment="1">
      <alignment horizontal="center" vertical="center"/>
    </xf>
    <xf numFmtId="0" fontId="16" fillId="0" borderId="24" xfId="2" applyFont="1" applyBorder="1" applyAlignment="1">
      <alignment horizontal="center" vertical="center" wrapText="1"/>
    </xf>
    <xf numFmtId="0" fontId="16" fillId="0" borderId="25" xfId="2" applyFont="1" applyBorder="1" applyAlignment="1">
      <alignment horizontal="center" vertical="center" wrapText="1"/>
    </xf>
    <xf numFmtId="0" fontId="11" fillId="0" borderId="16" xfId="4" applyFont="1" applyBorder="1" applyAlignment="1">
      <alignment horizontal="center" vertical="center" wrapText="1"/>
    </xf>
    <xf numFmtId="0" fontId="11" fillId="0" borderId="7" xfId="4" applyFont="1" applyBorder="1" applyAlignment="1">
      <alignment horizontal="center" vertical="center" wrapText="1"/>
    </xf>
    <xf numFmtId="0" fontId="11" fillId="0" borderId="11" xfId="4" applyFont="1" applyBorder="1" applyAlignment="1">
      <alignment horizontal="center" vertical="center" wrapText="1"/>
    </xf>
    <xf numFmtId="0" fontId="11" fillId="0" borderId="13" xfId="4" applyFont="1" applyBorder="1" applyAlignment="1">
      <alignment horizontal="center" vertical="center" wrapText="1"/>
    </xf>
    <xf numFmtId="0" fontId="11" fillId="0" borderId="10" xfId="4" applyFont="1" applyBorder="1" applyAlignment="1">
      <alignment horizontal="center" vertical="center" wrapText="1"/>
    </xf>
    <xf numFmtId="0" fontId="11" fillId="0" borderId="9" xfId="4" applyFont="1" applyBorder="1" applyAlignment="1">
      <alignment horizontal="center" vertical="center" wrapText="1"/>
    </xf>
    <xf numFmtId="0" fontId="11" fillId="0" borderId="29" xfId="2" applyFont="1" applyFill="1" applyBorder="1" applyAlignment="1">
      <alignment horizontal="center" vertical="center" wrapText="1"/>
    </xf>
    <xf numFmtId="0" fontId="11" fillId="0" borderId="30" xfId="2" applyFont="1" applyFill="1" applyBorder="1" applyAlignment="1">
      <alignment horizontal="center" vertical="center" wrapText="1"/>
    </xf>
    <xf numFmtId="0" fontId="11" fillId="0" borderId="31" xfId="2" applyFont="1" applyFill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wrapText="1"/>
    </xf>
    <xf numFmtId="0" fontId="15" fillId="0" borderId="29" xfId="2" applyFont="1" applyBorder="1" applyAlignment="1">
      <alignment horizontal="center" vertical="center" wrapText="1"/>
    </xf>
    <xf numFmtId="0" fontId="15" fillId="0" borderId="30" xfId="2" applyFont="1" applyBorder="1" applyAlignment="1">
      <alignment horizontal="center" vertical="center" wrapText="1"/>
    </xf>
    <xf numFmtId="0" fontId="15" fillId="0" borderId="31" xfId="2" applyFont="1" applyBorder="1" applyAlignment="1">
      <alignment horizontal="center" vertical="center" wrapText="1"/>
    </xf>
    <xf numFmtId="0" fontId="15" fillId="0" borderId="12" xfId="0" applyFont="1" applyBorder="1" applyAlignment="1">
      <alignment vertical="center" wrapText="1"/>
    </xf>
    <xf numFmtId="0" fontId="15" fillId="0" borderId="13" xfId="0" applyFont="1" applyBorder="1" applyAlignment="1">
      <alignment vertical="center" wrapText="1"/>
    </xf>
    <xf numFmtId="0" fontId="15" fillId="0" borderId="10" xfId="4" applyFont="1" applyBorder="1" applyAlignment="1">
      <alignment horizontal="left" wrapText="1"/>
    </xf>
    <xf numFmtId="0" fontId="15" fillId="0" borderId="1" xfId="4" applyFont="1" applyFill="1" applyBorder="1" applyAlignment="1">
      <alignment horizontal="center" vertical="center"/>
    </xf>
    <xf numFmtId="0" fontId="15" fillId="0" borderId="3" xfId="4" applyFont="1" applyFill="1" applyBorder="1" applyAlignment="1">
      <alignment horizontal="center" vertical="center"/>
    </xf>
    <xf numFmtId="0" fontId="15" fillId="0" borderId="2" xfId="4" applyFont="1" applyFill="1" applyBorder="1" applyAlignment="1">
      <alignment horizontal="center" vertical="center"/>
    </xf>
    <xf numFmtId="0" fontId="15" fillId="0" borderId="8" xfId="2" applyFont="1" applyBorder="1" applyAlignment="1">
      <alignment horizontal="center" vertical="center" wrapText="1"/>
    </xf>
    <xf numFmtId="0" fontId="11" fillId="0" borderId="8" xfId="2" applyFont="1" applyFill="1" applyBorder="1" applyAlignment="1">
      <alignment horizontal="center" vertical="center" wrapText="1"/>
    </xf>
    <xf numFmtId="0" fontId="15" fillId="0" borderId="7" xfId="4" applyFont="1" applyFill="1" applyBorder="1" applyAlignment="1">
      <alignment horizontal="center" vertical="center" wrapText="1"/>
    </xf>
    <xf numFmtId="0" fontId="15" fillId="0" borderId="11" xfId="4" applyFont="1" applyFill="1" applyBorder="1" applyAlignment="1">
      <alignment horizontal="center" vertical="center" wrapText="1"/>
    </xf>
    <xf numFmtId="0" fontId="15" fillId="0" borderId="0" xfId="4" applyFont="1" applyFill="1" applyBorder="1" applyAlignment="1">
      <alignment horizontal="center" vertical="center" wrapText="1"/>
    </xf>
    <xf numFmtId="0" fontId="15" fillId="0" borderId="6" xfId="4" applyFont="1" applyFill="1" applyBorder="1" applyAlignment="1">
      <alignment horizontal="center" vertical="center" wrapText="1"/>
    </xf>
    <xf numFmtId="0" fontId="15" fillId="0" borderId="10" xfId="4" applyFont="1" applyFill="1" applyBorder="1" applyAlignment="1">
      <alignment horizontal="center" vertical="center" wrapText="1"/>
    </xf>
    <xf numFmtId="0" fontId="15" fillId="0" borderId="9" xfId="4" applyFont="1" applyFill="1" applyBorder="1" applyAlignment="1">
      <alignment horizontal="center" vertical="center" wrapText="1"/>
    </xf>
    <xf numFmtId="0" fontId="15" fillId="0" borderId="4" xfId="4" applyFont="1" applyFill="1" applyBorder="1" applyAlignment="1">
      <alignment horizontal="center" vertical="center" wrapText="1"/>
    </xf>
    <xf numFmtId="0" fontId="15" fillId="0" borderId="15" xfId="4" applyFont="1" applyFill="1" applyBorder="1" applyAlignment="1">
      <alignment horizontal="center" vertical="center" wrapText="1"/>
    </xf>
    <xf numFmtId="0" fontId="15" fillId="0" borderId="5" xfId="4" applyFont="1" applyFill="1" applyBorder="1" applyAlignment="1">
      <alignment horizontal="center" vertical="center" wrapText="1"/>
    </xf>
    <xf numFmtId="0" fontId="15" fillId="0" borderId="8" xfId="4" applyFont="1" applyFill="1" applyBorder="1" applyAlignment="1">
      <alignment horizontal="center" vertical="center"/>
    </xf>
    <xf numFmtId="0" fontId="15" fillId="0" borderId="8" xfId="4" applyFont="1" applyFill="1" applyBorder="1" applyAlignment="1">
      <alignment horizontal="center" vertical="center" wrapText="1"/>
    </xf>
    <xf numFmtId="0" fontId="15" fillId="0" borderId="5" xfId="4" applyFont="1" applyFill="1" applyBorder="1" applyAlignment="1">
      <alignment horizontal="center" vertical="center"/>
    </xf>
    <xf numFmtId="0" fontId="15" fillId="0" borderId="1" xfId="4" applyFont="1" applyFill="1" applyBorder="1" applyAlignment="1">
      <alignment horizontal="center" vertical="center" wrapText="1"/>
    </xf>
    <xf numFmtId="0" fontId="15" fillId="0" borderId="16" xfId="4" applyFont="1" applyFill="1" applyBorder="1" applyAlignment="1">
      <alignment horizontal="center" vertical="center" wrapText="1"/>
    </xf>
    <xf numFmtId="0" fontId="15" fillId="0" borderId="13" xfId="4" applyFont="1" applyFill="1" applyBorder="1" applyAlignment="1">
      <alignment horizontal="center" vertical="center"/>
    </xf>
    <xf numFmtId="0" fontId="11" fillId="0" borderId="6" xfId="4" applyFont="1" applyBorder="1" applyAlignment="1">
      <alignment horizontal="center" vertical="center" wrapText="1"/>
    </xf>
    <xf numFmtId="0" fontId="0" fillId="0" borderId="11" xfId="4" applyFont="1" applyBorder="1" applyAlignment="1">
      <alignment horizontal="center" vertical="center" wrapText="1"/>
    </xf>
    <xf numFmtId="0" fontId="0" fillId="0" borderId="6" xfId="4" applyFont="1" applyBorder="1" applyAlignment="1">
      <alignment horizontal="center" vertical="center"/>
    </xf>
    <xf numFmtId="0" fontId="0" fillId="0" borderId="9" xfId="4" applyFont="1" applyBorder="1" applyAlignment="1">
      <alignment horizontal="center" vertical="center"/>
    </xf>
    <xf numFmtId="0" fontId="15" fillId="0" borderId="1" xfId="2" applyFont="1" applyBorder="1" applyAlignment="1">
      <alignment horizontal="center" vertical="center"/>
    </xf>
    <xf numFmtId="0" fontId="15" fillId="0" borderId="3" xfId="2" applyFont="1" applyBorder="1" applyAlignment="1">
      <alignment horizontal="center" vertical="center"/>
    </xf>
    <xf numFmtId="0" fontId="15" fillId="0" borderId="2" xfId="2" applyFont="1" applyBorder="1" applyAlignment="1">
      <alignment horizontal="center" vertical="center"/>
    </xf>
    <xf numFmtId="0" fontId="0" fillId="0" borderId="4" xfId="4" applyFont="1" applyBorder="1" applyAlignment="1">
      <alignment horizontal="center" vertical="center" wrapText="1"/>
    </xf>
    <xf numFmtId="0" fontId="0" fillId="0" borderId="5" xfId="4" applyFont="1" applyBorder="1" applyAlignment="1">
      <alignment horizontal="center" vertical="center"/>
    </xf>
    <xf numFmtId="0" fontId="0" fillId="0" borderId="16" xfId="4" applyFont="1" applyBorder="1" applyAlignment="1">
      <alignment horizontal="center" vertical="center" wrapText="1"/>
    </xf>
    <xf numFmtId="0" fontId="0" fillId="0" borderId="13" xfId="4" applyFont="1" applyBorder="1" applyAlignment="1">
      <alignment horizontal="center" vertical="center"/>
    </xf>
    <xf numFmtId="0" fontId="0" fillId="0" borderId="8" xfId="4" applyFont="1" applyBorder="1" applyAlignment="1">
      <alignment horizontal="center" vertical="center" wrapText="1"/>
    </xf>
    <xf numFmtId="0" fontId="0" fillId="0" borderId="1" xfId="4" applyFont="1" applyBorder="1" applyAlignment="1">
      <alignment horizontal="center" vertical="center"/>
    </xf>
    <xf numFmtId="0" fontId="0" fillId="0" borderId="3" xfId="4" applyFont="1" applyBorder="1" applyAlignment="1">
      <alignment horizontal="center" vertical="center"/>
    </xf>
    <xf numFmtId="0" fontId="0" fillId="0" borderId="2" xfId="4" applyFont="1" applyBorder="1" applyAlignment="1">
      <alignment horizontal="center" vertical="center"/>
    </xf>
    <xf numFmtId="0" fontId="0" fillId="0" borderId="1" xfId="4" applyFont="1" applyBorder="1" applyAlignment="1">
      <alignment horizontal="center" vertical="center" wrapText="1"/>
    </xf>
    <xf numFmtId="0" fontId="0" fillId="0" borderId="7" xfId="4" applyFont="1" applyBorder="1" applyAlignment="1">
      <alignment horizontal="center" vertical="center" wrapText="1"/>
    </xf>
    <xf numFmtId="0" fontId="3" fillId="0" borderId="11" xfId="4" applyFont="1" applyBorder="1" applyAlignment="1">
      <alignment horizontal="center" vertical="center" wrapText="1"/>
    </xf>
    <xf numFmtId="0" fontId="3" fillId="0" borderId="0" xfId="4" applyFont="1" applyBorder="1" applyAlignment="1">
      <alignment horizontal="center" vertical="center" wrapText="1"/>
    </xf>
    <xf numFmtId="0" fontId="3" fillId="0" borderId="6" xfId="4" applyFont="1" applyBorder="1" applyAlignment="1">
      <alignment horizontal="center" vertical="center" wrapText="1"/>
    </xf>
    <xf numFmtId="0" fontId="3" fillId="0" borderId="10" xfId="4" applyFont="1" applyBorder="1" applyAlignment="1">
      <alignment horizontal="center" vertical="center" wrapText="1"/>
    </xf>
    <xf numFmtId="0" fontId="3" fillId="0" borderId="9" xfId="4" applyFont="1" applyBorder="1" applyAlignment="1">
      <alignment horizontal="center" vertical="center" wrapText="1"/>
    </xf>
    <xf numFmtId="0" fontId="3" fillId="0" borderId="3" xfId="4" applyFont="1" applyBorder="1" applyAlignment="1">
      <alignment horizontal="center" vertical="center"/>
    </xf>
    <xf numFmtId="0" fontId="3" fillId="0" borderId="1" xfId="4" applyFont="1" applyBorder="1" applyAlignment="1">
      <alignment horizontal="center" vertical="center" wrapText="1"/>
    </xf>
    <xf numFmtId="0" fontId="3" fillId="0" borderId="5" xfId="4" applyFont="1" applyBorder="1" applyAlignment="1">
      <alignment horizontal="center" vertical="center"/>
    </xf>
    <xf numFmtId="0" fontId="3" fillId="0" borderId="2" xfId="4" applyFont="1" applyBorder="1" applyAlignment="1">
      <alignment horizontal="center" vertical="center"/>
    </xf>
    <xf numFmtId="0" fontId="3" fillId="0" borderId="13" xfId="4" applyFont="1" applyBorder="1" applyAlignment="1">
      <alignment horizontal="center" vertical="center"/>
    </xf>
    <xf numFmtId="180" fontId="15" fillId="0" borderId="0" xfId="8" applyNumberFormat="1" applyFont="1" applyFill="1" applyBorder="1" applyAlignment="1">
      <alignment vertical="center"/>
    </xf>
    <xf numFmtId="180" fontId="56" fillId="0" borderId="46" xfId="8" applyNumberFormat="1" applyFont="1" applyFill="1" applyBorder="1" applyAlignment="1">
      <alignment horizontal="center" vertical="center" wrapText="1"/>
    </xf>
    <xf numFmtId="180" fontId="14" fillId="0" borderId="36" xfId="8" applyNumberFormat="1" applyFont="1" applyFill="1" applyBorder="1" applyAlignment="1">
      <alignment horizontal="center" vertical="center"/>
    </xf>
    <xf numFmtId="180" fontId="14" fillId="0" borderId="47" xfId="8" applyNumberFormat="1" applyFont="1" applyFill="1" applyBorder="1" applyAlignment="1">
      <alignment horizontal="center" vertical="center"/>
    </xf>
    <xf numFmtId="49" fontId="56" fillId="0" borderId="0" xfId="0" applyNumberFormat="1" applyFont="1" applyFill="1" applyBorder="1" applyAlignment="1">
      <alignment horizontal="left" vertical="center"/>
    </xf>
  </cellXfs>
  <cellStyles count="9">
    <cellStyle name="一般" xfId="0" builtinId="0"/>
    <cellStyle name="一般 2" xfId="6"/>
    <cellStyle name="一般 2 2" xfId="1"/>
    <cellStyle name="一般 2 3" xfId="7"/>
    <cellStyle name="一般 3" xfId="2"/>
    <cellStyle name="一般_moi04-05" xfId="8"/>
    <cellStyle name="一般_Sheet1" xfId="3"/>
    <cellStyle name="一般_十年長照上網" xfId="4"/>
    <cellStyle name="千分位" xfId="5" builtinId="3"/>
  </cellStyles>
  <dxfs count="0"/>
  <tableStyles count="0" defaultTableStyle="TableStyleMedium9" defaultPivotStyle="PivotStyleLight16"/>
  <colors>
    <mruColors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55</xdr:col>
      <xdr:colOff>0</xdr:colOff>
      <xdr:row>0</xdr:row>
      <xdr:rowOff>0</xdr:rowOff>
    </xdr:from>
    <xdr:to>
      <xdr:col>55</xdr:col>
      <xdr:colOff>0</xdr:colOff>
      <xdr:row>7</xdr:row>
      <xdr:rowOff>0</xdr:rowOff>
    </xdr:to>
    <xdr:grpSp>
      <xdr:nvGrpSpPr>
        <xdr:cNvPr id="53001" name="Group 1">
          <a:extLst>
            <a:ext uri="{FF2B5EF4-FFF2-40B4-BE49-F238E27FC236}">
              <a16:creationId xmlns:a16="http://schemas.microsoft.com/office/drawing/2014/main" xmlns="" id="{27183678-4686-4E1B-860B-506CDEE917A7}"/>
            </a:ext>
          </a:extLst>
        </xdr:cNvPr>
        <xdr:cNvGrpSpPr>
          <a:grpSpLocks/>
        </xdr:cNvGrpSpPr>
      </xdr:nvGrpSpPr>
      <xdr:grpSpPr bwMode="auto">
        <a:xfrm>
          <a:off x="39829740" y="1767840"/>
          <a:ext cx="0" cy="0"/>
          <a:chOff x="218" y="161"/>
          <a:chExt cx="260" cy="46"/>
        </a:xfrm>
      </xdr:grpSpPr>
      <xdr:grpSp>
        <xdr:nvGrpSpPr>
          <xdr:cNvPr id="53018" name="Group 2">
            <a:extLst>
              <a:ext uri="{FF2B5EF4-FFF2-40B4-BE49-F238E27FC236}">
                <a16:creationId xmlns:a16="http://schemas.microsoft.com/office/drawing/2014/main" xmlns="" id="{D59A5C9E-DD6C-42F6-B225-B3C359AA90A3}"/>
              </a:ext>
            </a:extLst>
          </xdr:cNvPr>
          <xdr:cNvGrpSpPr>
            <a:grpSpLocks/>
          </xdr:cNvGrpSpPr>
        </xdr:nvGrpSpPr>
        <xdr:grpSpPr bwMode="auto">
          <a:xfrm>
            <a:off x="218" y="138"/>
            <a:ext cx="25831581" cy="68"/>
            <a:chOff x="219" y="0"/>
            <a:chExt cx="25831581" cy="68"/>
          </a:xfrm>
        </xdr:grpSpPr>
        <xdr:sp macro="" textlink="">
          <xdr:nvSpPr>
            <xdr:cNvPr id="6" name="Rectangle 3">
              <a:extLst>
                <a:ext uri="{FF2B5EF4-FFF2-40B4-BE49-F238E27FC236}">
                  <a16:creationId xmlns:a16="http://schemas.microsoft.com/office/drawing/2014/main" xmlns="" id="{E25FF644-0D0A-4AB0-8BA1-6DEE84BFA39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9829740" y="-101627978100"/>
              <a:ext cx="0" cy="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7432" rIns="0" bIns="0" anchor="t" upright="1"/>
            <a:lstStyle/>
            <a:p>
              <a:pPr algn="l" rtl="1">
                <a:defRPr sz="1000"/>
              </a:pP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  編製機關    內政部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(</a:t>
              </a: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統計處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) </a:t>
              </a:r>
            </a:p>
            <a:p>
              <a:pPr algn="l" rtl="1">
                <a:defRPr sz="1000"/>
              </a:pP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  </a:t>
              </a: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表    號      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1833-02-03   </a:t>
              </a:r>
            </a:p>
          </xdr:txBody>
        </xdr:sp>
        <xdr:sp macro="" textlink="">
          <xdr:nvSpPr>
            <xdr:cNvPr id="53022" name="Line 4">
              <a:extLst>
                <a:ext uri="{FF2B5EF4-FFF2-40B4-BE49-F238E27FC236}">
                  <a16:creationId xmlns:a16="http://schemas.microsoft.com/office/drawing/2014/main" xmlns="" id="{1468C7F8-8336-42E9-897B-E73079A0607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19" y="46"/>
              <a:ext cx="257" cy="0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023" name="Line 5">
              <a:extLst>
                <a:ext uri="{FF2B5EF4-FFF2-40B4-BE49-F238E27FC236}">
                  <a16:creationId xmlns:a16="http://schemas.microsoft.com/office/drawing/2014/main" xmlns="" id="{FCD1A121-05A6-4A8E-B0AB-960F38A9932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77" y="25"/>
              <a:ext cx="0" cy="43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024" name="Line 6">
              <a:extLst>
                <a:ext uri="{FF2B5EF4-FFF2-40B4-BE49-F238E27FC236}">
                  <a16:creationId xmlns:a16="http://schemas.microsoft.com/office/drawing/2014/main" xmlns="" id="{AC673FA4-6E6D-4495-967F-3A28C695AFA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19" y="24"/>
              <a:ext cx="258" cy="0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53019" name="Line 7">
            <a:extLst>
              <a:ext uri="{FF2B5EF4-FFF2-40B4-BE49-F238E27FC236}">
                <a16:creationId xmlns:a16="http://schemas.microsoft.com/office/drawing/2014/main" xmlns="" id="{712D60FD-C4AE-46F4-832A-178A3C2B0B10}"/>
              </a:ext>
            </a:extLst>
          </xdr:cNvPr>
          <xdr:cNvSpPr>
            <a:spLocks noChangeShapeType="1"/>
          </xdr:cNvSpPr>
        </xdr:nvSpPr>
        <xdr:spPr bwMode="auto">
          <a:xfrm>
            <a:off x="219" y="163"/>
            <a:ext cx="0" cy="43"/>
          </a:xfrm>
          <a:prstGeom prst="line">
            <a:avLst/>
          </a:prstGeom>
          <a:noFill/>
          <a:ln w="1016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020" name="Line 8">
            <a:extLst>
              <a:ext uri="{FF2B5EF4-FFF2-40B4-BE49-F238E27FC236}">
                <a16:creationId xmlns:a16="http://schemas.microsoft.com/office/drawing/2014/main" xmlns="" id="{EE7D30E2-91AF-4D00-9A64-11C039621264}"/>
              </a:ext>
            </a:extLst>
          </xdr:cNvPr>
          <xdr:cNvSpPr>
            <a:spLocks noChangeShapeType="1"/>
          </xdr:cNvSpPr>
        </xdr:nvSpPr>
        <xdr:spPr bwMode="auto">
          <a:xfrm>
            <a:off x="319" y="163"/>
            <a:ext cx="0" cy="44"/>
          </a:xfrm>
          <a:prstGeom prst="line">
            <a:avLst/>
          </a:prstGeom>
          <a:noFill/>
          <a:ln w="1016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38</xdr:col>
      <xdr:colOff>53340</xdr:colOff>
      <xdr:row>0</xdr:row>
      <xdr:rowOff>0</xdr:rowOff>
    </xdr:from>
    <xdr:to>
      <xdr:col>44</xdr:col>
      <xdr:colOff>327660</xdr:colOff>
      <xdr:row>7</xdr:row>
      <xdr:rowOff>0</xdr:rowOff>
    </xdr:to>
    <xdr:grpSp>
      <xdr:nvGrpSpPr>
        <xdr:cNvPr id="53002" name="Group 9">
          <a:extLst>
            <a:ext uri="{FF2B5EF4-FFF2-40B4-BE49-F238E27FC236}">
              <a16:creationId xmlns:a16="http://schemas.microsoft.com/office/drawing/2014/main" xmlns="" id="{1ECBCBB1-0F53-4715-A3CF-4C0A79B8319C}"/>
            </a:ext>
          </a:extLst>
        </xdr:cNvPr>
        <xdr:cNvGrpSpPr>
          <a:grpSpLocks/>
        </xdr:cNvGrpSpPr>
      </xdr:nvGrpSpPr>
      <xdr:grpSpPr bwMode="auto">
        <a:xfrm>
          <a:off x="27058620" y="1767840"/>
          <a:ext cx="4800600" cy="0"/>
          <a:chOff x="218" y="161"/>
          <a:chExt cx="260" cy="46"/>
        </a:xfrm>
      </xdr:grpSpPr>
      <xdr:grpSp>
        <xdr:nvGrpSpPr>
          <xdr:cNvPr id="53011" name="Group 10">
            <a:extLst>
              <a:ext uri="{FF2B5EF4-FFF2-40B4-BE49-F238E27FC236}">
                <a16:creationId xmlns:a16="http://schemas.microsoft.com/office/drawing/2014/main" xmlns="" id="{F550B6E2-8D9F-4852-8F8B-73B44730DE13}"/>
              </a:ext>
            </a:extLst>
          </xdr:cNvPr>
          <xdr:cNvGrpSpPr>
            <a:grpSpLocks/>
          </xdr:cNvGrpSpPr>
        </xdr:nvGrpSpPr>
        <xdr:grpSpPr bwMode="auto">
          <a:xfrm>
            <a:off x="-1006633201" y="138"/>
            <a:ext cx="1006633679" cy="68"/>
            <a:chOff x="-110729865" y="0"/>
            <a:chExt cx="110730342" cy="68"/>
          </a:xfrm>
        </xdr:grpSpPr>
        <xdr:sp macro="" textlink="">
          <xdr:nvSpPr>
            <xdr:cNvPr id="14" name="Rectangle 11">
              <a:extLst>
                <a:ext uri="{FF2B5EF4-FFF2-40B4-BE49-F238E27FC236}">
                  <a16:creationId xmlns:a16="http://schemas.microsoft.com/office/drawing/2014/main" xmlns="" id="{E92220B5-FF8F-4A55-B009-4F166B26F0E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2026860" y="-101627978100"/>
              <a:ext cx="0" cy="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7432" rIns="0" bIns="0" anchor="t" upright="1"/>
            <a:lstStyle/>
            <a:p>
              <a:pPr algn="l" rtl="1">
                <a:defRPr sz="1000"/>
              </a:pP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  編製機關    內政部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(</a:t>
              </a: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統計處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) </a:t>
              </a:r>
            </a:p>
            <a:p>
              <a:pPr algn="l" rtl="1">
                <a:defRPr sz="1000"/>
              </a:pP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  </a:t>
              </a: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表    號      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1833-02-03   </a:t>
              </a:r>
            </a:p>
          </xdr:txBody>
        </xdr:sp>
        <xdr:sp macro="" textlink="">
          <xdr:nvSpPr>
            <xdr:cNvPr id="53015" name="Line 12">
              <a:extLst>
                <a:ext uri="{FF2B5EF4-FFF2-40B4-BE49-F238E27FC236}">
                  <a16:creationId xmlns:a16="http://schemas.microsoft.com/office/drawing/2014/main" xmlns="" id="{D23E5A4E-C969-4029-B2A9-3A902860A28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19" y="46"/>
              <a:ext cx="257" cy="0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016" name="Line 13">
              <a:extLst>
                <a:ext uri="{FF2B5EF4-FFF2-40B4-BE49-F238E27FC236}">
                  <a16:creationId xmlns:a16="http://schemas.microsoft.com/office/drawing/2014/main" xmlns="" id="{3F3A83A2-1115-4966-A992-8B78BECE210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77" y="25"/>
              <a:ext cx="0" cy="43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017" name="Line 14">
              <a:extLst>
                <a:ext uri="{FF2B5EF4-FFF2-40B4-BE49-F238E27FC236}">
                  <a16:creationId xmlns:a16="http://schemas.microsoft.com/office/drawing/2014/main" xmlns="" id="{66102906-C71F-4849-8BF3-5EFF3DA9C6F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19" y="24"/>
              <a:ext cx="258" cy="0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53012" name="Line 15">
            <a:extLst>
              <a:ext uri="{FF2B5EF4-FFF2-40B4-BE49-F238E27FC236}">
                <a16:creationId xmlns:a16="http://schemas.microsoft.com/office/drawing/2014/main" xmlns="" id="{E102ED5F-FD00-4A5A-BBD2-1B39FCD9972A}"/>
              </a:ext>
            </a:extLst>
          </xdr:cNvPr>
          <xdr:cNvSpPr>
            <a:spLocks noChangeShapeType="1"/>
          </xdr:cNvSpPr>
        </xdr:nvSpPr>
        <xdr:spPr bwMode="auto">
          <a:xfrm>
            <a:off x="219" y="163"/>
            <a:ext cx="0" cy="43"/>
          </a:xfrm>
          <a:prstGeom prst="line">
            <a:avLst/>
          </a:prstGeom>
          <a:noFill/>
          <a:ln w="1016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013" name="Line 16">
            <a:extLst>
              <a:ext uri="{FF2B5EF4-FFF2-40B4-BE49-F238E27FC236}">
                <a16:creationId xmlns:a16="http://schemas.microsoft.com/office/drawing/2014/main" xmlns="" id="{59A47261-367D-4A11-829F-8BC60741AF46}"/>
              </a:ext>
            </a:extLst>
          </xdr:cNvPr>
          <xdr:cNvSpPr>
            <a:spLocks noChangeShapeType="1"/>
          </xdr:cNvSpPr>
        </xdr:nvSpPr>
        <xdr:spPr bwMode="auto">
          <a:xfrm>
            <a:off x="319" y="163"/>
            <a:ext cx="0" cy="44"/>
          </a:xfrm>
          <a:prstGeom prst="line">
            <a:avLst/>
          </a:prstGeom>
          <a:noFill/>
          <a:ln w="1016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53</xdr:col>
      <xdr:colOff>129540</xdr:colOff>
      <xdr:row>0</xdr:row>
      <xdr:rowOff>0</xdr:rowOff>
    </xdr:from>
    <xdr:to>
      <xdr:col>55</xdr:col>
      <xdr:colOff>0</xdr:colOff>
      <xdr:row>7</xdr:row>
      <xdr:rowOff>0</xdr:rowOff>
    </xdr:to>
    <xdr:grpSp>
      <xdr:nvGrpSpPr>
        <xdr:cNvPr id="53003" name="Group 17">
          <a:extLst>
            <a:ext uri="{FF2B5EF4-FFF2-40B4-BE49-F238E27FC236}">
              <a16:creationId xmlns:a16="http://schemas.microsoft.com/office/drawing/2014/main" xmlns="" id="{65665F2F-12F6-4249-9141-F1FD655A9F71}"/>
            </a:ext>
          </a:extLst>
        </xdr:cNvPr>
        <xdr:cNvGrpSpPr>
          <a:grpSpLocks/>
        </xdr:cNvGrpSpPr>
      </xdr:nvGrpSpPr>
      <xdr:grpSpPr bwMode="auto">
        <a:xfrm>
          <a:off x="38450520" y="1767840"/>
          <a:ext cx="1379220" cy="0"/>
          <a:chOff x="218" y="161"/>
          <a:chExt cx="260" cy="46"/>
        </a:xfrm>
      </xdr:grpSpPr>
      <xdr:grpSp>
        <xdr:nvGrpSpPr>
          <xdr:cNvPr id="53004" name="Group 18">
            <a:extLst>
              <a:ext uri="{FF2B5EF4-FFF2-40B4-BE49-F238E27FC236}">
                <a16:creationId xmlns:a16="http://schemas.microsoft.com/office/drawing/2014/main" xmlns="" id="{CF42D162-31CD-4189-B6CD-6AFB61F969D3}"/>
              </a:ext>
            </a:extLst>
          </xdr:cNvPr>
          <xdr:cNvGrpSpPr>
            <a:grpSpLocks/>
          </xdr:cNvGrpSpPr>
        </xdr:nvGrpSpPr>
        <xdr:grpSpPr bwMode="auto">
          <a:xfrm>
            <a:off x="219" y="138"/>
            <a:ext cx="0" cy="68"/>
            <a:chOff x="219" y="0"/>
            <a:chExt cx="1549097130" cy="68"/>
          </a:xfrm>
        </xdr:grpSpPr>
        <xdr:sp macro="" textlink="">
          <xdr:nvSpPr>
            <xdr:cNvPr id="22" name="Rectangle 19">
              <a:extLst>
                <a:ext uri="{FF2B5EF4-FFF2-40B4-BE49-F238E27FC236}">
                  <a16:creationId xmlns:a16="http://schemas.microsoft.com/office/drawing/2014/main" xmlns="" id="{CA27EEEA-0546-4103-A0BA-D80BAB40C31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8458140" y="-101627978100"/>
              <a:ext cx="0" cy="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7432" rIns="0" bIns="0" anchor="t" upright="1"/>
            <a:lstStyle/>
            <a:p>
              <a:pPr algn="l" rtl="1">
                <a:defRPr sz="1000"/>
              </a:pP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  編製機關    內政部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(</a:t>
              </a: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統計處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) </a:t>
              </a:r>
            </a:p>
            <a:p>
              <a:pPr algn="l" rtl="1">
                <a:defRPr sz="1000"/>
              </a:pP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  </a:t>
              </a: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表    號      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1833-02-03   </a:t>
              </a:r>
            </a:p>
          </xdr:txBody>
        </xdr:sp>
        <xdr:sp macro="" textlink="">
          <xdr:nvSpPr>
            <xdr:cNvPr id="53008" name="Line 20">
              <a:extLst>
                <a:ext uri="{FF2B5EF4-FFF2-40B4-BE49-F238E27FC236}">
                  <a16:creationId xmlns:a16="http://schemas.microsoft.com/office/drawing/2014/main" xmlns="" id="{1DE514D2-1152-4218-8594-A27257303E8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19" y="46"/>
              <a:ext cx="257" cy="0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009" name="Line 21">
              <a:extLst>
                <a:ext uri="{FF2B5EF4-FFF2-40B4-BE49-F238E27FC236}">
                  <a16:creationId xmlns:a16="http://schemas.microsoft.com/office/drawing/2014/main" xmlns="" id="{2E9D5D79-5E67-422F-B663-42455738F9A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77" y="25"/>
              <a:ext cx="0" cy="43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010" name="Line 22">
              <a:extLst>
                <a:ext uri="{FF2B5EF4-FFF2-40B4-BE49-F238E27FC236}">
                  <a16:creationId xmlns:a16="http://schemas.microsoft.com/office/drawing/2014/main" xmlns="" id="{4E730F61-D6C9-42D1-86FF-5390D697EED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19" y="24"/>
              <a:ext cx="258" cy="0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53005" name="Line 23">
            <a:extLst>
              <a:ext uri="{FF2B5EF4-FFF2-40B4-BE49-F238E27FC236}">
                <a16:creationId xmlns:a16="http://schemas.microsoft.com/office/drawing/2014/main" xmlns="" id="{4004606A-88E2-4165-86D1-DE5B479D377A}"/>
              </a:ext>
            </a:extLst>
          </xdr:cNvPr>
          <xdr:cNvSpPr>
            <a:spLocks noChangeShapeType="1"/>
          </xdr:cNvSpPr>
        </xdr:nvSpPr>
        <xdr:spPr bwMode="auto">
          <a:xfrm>
            <a:off x="219" y="163"/>
            <a:ext cx="0" cy="43"/>
          </a:xfrm>
          <a:prstGeom prst="line">
            <a:avLst/>
          </a:prstGeom>
          <a:noFill/>
          <a:ln w="1016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006" name="Line 24">
            <a:extLst>
              <a:ext uri="{FF2B5EF4-FFF2-40B4-BE49-F238E27FC236}">
                <a16:creationId xmlns:a16="http://schemas.microsoft.com/office/drawing/2014/main" xmlns="" id="{03BC0F89-89A2-47DA-9387-659A316CF597}"/>
              </a:ext>
            </a:extLst>
          </xdr:cNvPr>
          <xdr:cNvSpPr>
            <a:spLocks noChangeShapeType="1"/>
          </xdr:cNvSpPr>
        </xdr:nvSpPr>
        <xdr:spPr bwMode="auto">
          <a:xfrm>
            <a:off x="319" y="163"/>
            <a:ext cx="0" cy="44"/>
          </a:xfrm>
          <a:prstGeom prst="line">
            <a:avLst/>
          </a:prstGeom>
          <a:noFill/>
          <a:ln w="1016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55</xdr:col>
      <xdr:colOff>0</xdr:colOff>
      <xdr:row>0</xdr:row>
      <xdr:rowOff>0</xdr:rowOff>
    </xdr:from>
    <xdr:to>
      <xdr:col>55</xdr:col>
      <xdr:colOff>0</xdr:colOff>
      <xdr:row>7</xdr:row>
      <xdr:rowOff>0</xdr:rowOff>
    </xdr:to>
    <xdr:grpSp>
      <xdr:nvGrpSpPr>
        <xdr:cNvPr id="57529" name="Group 1">
          <a:extLst>
            <a:ext uri="{FF2B5EF4-FFF2-40B4-BE49-F238E27FC236}">
              <a16:creationId xmlns:a16="http://schemas.microsoft.com/office/drawing/2014/main" xmlns="" id="{57354D61-16E0-40AD-B26C-F9F0B17CE153}"/>
            </a:ext>
          </a:extLst>
        </xdr:cNvPr>
        <xdr:cNvGrpSpPr>
          <a:grpSpLocks/>
        </xdr:cNvGrpSpPr>
      </xdr:nvGrpSpPr>
      <xdr:grpSpPr bwMode="auto">
        <a:xfrm>
          <a:off x="39829740" y="1767840"/>
          <a:ext cx="0" cy="0"/>
          <a:chOff x="218" y="161"/>
          <a:chExt cx="260" cy="46"/>
        </a:xfrm>
      </xdr:grpSpPr>
      <xdr:grpSp>
        <xdr:nvGrpSpPr>
          <xdr:cNvPr id="57546" name="Group 2">
            <a:extLst>
              <a:ext uri="{FF2B5EF4-FFF2-40B4-BE49-F238E27FC236}">
                <a16:creationId xmlns:a16="http://schemas.microsoft.com/office/drawing/2014/main" xmlns="" id="{4DC40194-C750-40D9-B0CA-CCDF3405FF5F}"/>
              </a:ext>
            </a:extLst>
          </xdr:cNvPr>
          <xdr:cNvGrpSpPr>
            <a:grpSpLocks/>
          </xdr:cNvGrpSpPr>
        </xdr:nvGrpSpPr>
        <xdr:grpSpPr bwMode="auto">
          <a:xfrm>
            <a:off x="218" y="138"/>
            <a:ext cx="25831581" cy="68"/>
            <a:chOff x="219" y="0"/>
            <a:chExt cx="25831581" cy="68"/>
          </a:xfrm>
        </xdr:grpSpPr>
        <xdr:sp macro="" textlink="">
          <xdr:nvSpPr>
            <xdr:cNvPr id="6" name="Rectangle 3">
              <a:extLst>
                <a:ext uri="{FF2B5EF4-FFF2-40B4-BE49-F238E27FC236}">
                  <a16:creationId xmlns:a16="http://schemas.microsoft.com/office/drawing/2014/main" xmlns="" id="{AD84B7DC-E6E1-429D-AD25-26A84A208BF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9829740" y="2644140"/>
              <a:ext cx="0" cy="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7432" rIns="0" bIns="0" anchor="t" upright="1"/>
            <a:lstStyle/>
            <a:p>
              <a:pPr algn="l" rtl="1">
                <a:defRPr sz="1000"/>
              </a:pP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  編製機關    內政部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(</a:t>
              </a: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統計處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) </a:t>
              </a:r>
            </a:p>
            <a:p>
              <a:pPr algn="l" rtl="1">
                <a:defRPr sz="1000"/>
              </a:pP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  </a:t>
              </a: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表    號      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1833-02-03   </a:t>
              </a:r>
            </a:p>
          </xdr:txBody>
        </xdr:sp>
        <xdr:sp macro="" textlink="">
          <xdr:nvSpPr>
            <xdr:cNvPr id="57550" name="Line 4">
              <a:extLst>
                <a:ext uri="{FF2B5EF4-FFF2-40B4-BE49-F238E27FC236}">
                  <a16:creationId xmlns:a16="http://schemas.microsoft.com/office/drawing/2014/main" xmlns="" id="{8158FCD0-096B-4744-AAAE-1DA2864BEDB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19" y="46"/>
              <a:ext cx="257" cy="0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7551" name="Line 5">
              <a:extLst>
                <a:ext uri="{FF2B5EF4-FFF2-40B4-BE49-F238E27FC236}">
                  <a16:creationId xmlns:a16="http://schemas.microsoft.com/office/drawing/2014/main" xmlns="" id="{5BE44DE4-8A41-4BD8-8902-66013F91612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77" y="25"/>
              <a:ext cx="0" cy="43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7552" name="Line 6">
              <a:extLst>
                <a:ext uri="{FF2B5EF4-FFF2-40B4-BE49-F238E27FC236}">
                  <a16:creationId xmlns:a16="http://schemas.microsoft.com/office/drawing/2014/main" xmlns="" id="{5D2BCD2E-34F7-4007-8C85-1B607C67BC5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19" y="24"/>
              <a:ext cx="258" cy="0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57547" name="Line 7">
            <a:extLst>
              <a:ext uri="{FF2B5EF4-FFF2-40B4-BE49-F238E27FC236}">
                <a16:creationId xmlns:a16="http://schemas.microsoft.com/office/drawing/2014/main" xmlns="" id="{3692054A-4A92-4112-89AA-F25CC956474A}"/>
              </a:ext>
            </a:extLst>
          </xdr:cNvPr>
          <xdr:cNvSpPr>
            <a:spLocks noChangeShapeType="1"/>
          </xdr:cNvSpPr>
        </xdr:nvSpPr>
        <xdr:spPr bwMode="auto">
          <a:xfrm>
            <a:off x="219" y="163"/>
            <a:ext cx="0" cy="43"/>
          </a:xfrm>
          <a:prstGeom prst="line">
            <a:avLst/>
          </a:prstGeom>
          <a:noFill/>
          <a:ln w="1016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548" name="Line 8">
            <a:extLst>
              <a:ext uri="{FF2B5EF4-FFF2-40B4-BE49-F238E27FC236}">
                <a16:creationId xmlns:a16="http://schemas.microsoft.com/office/drawing/2014/main" xmlns="" id="{C4E685D6-071D-4EB9-98A6-A2B43946E33E}"/>
              </a:ext>
            </a:extLst>
          </xdr:cNvPr>
          <xdr:cNvSpPr>
            <a:spLocks noChangeShapeType="1"/>
          </xdr:cNvSpPr>
        </xdr:nvSpPr>
        <xdr:spPr bwMode="auto">
          <a:xfrm>
            <a:off x="319" y="163"/>
            <a:ext cx="0" cy="44"/>
          </a:xfrm>
          <a:prstGeom prst="line">
            <a:avLst/>
          </a:prstGeom>
          <a:noFill/>
          <a:ln w="1016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38</xdr:col>
      <xdr:colOff>53340</xdr:colOff>
      <xdr:row>0</xdr:row>
      <xdr:rowOff>0</xdr:rowOff>
    </xdr:from>
    <xdr:to>
      <xdr:col>44</xdr:col>
      <xdr:colOff>327660</xdr:colOff>
      <xdr:row>7</xdr:row>
      <xdr:rowOff>0</xdr:rowOff>
    </xdr:to>
    <xdr:grpSp>
      <xdr:nvGrpSpPr>
        <xdr:cNvPr id="57530" name="Group 9">
          <a:extLst>
            <a:ext uri="{FF2B5EF4-FFF2-40B4-BE49-F238E27FC236}">
              <a16:creationId xmlns:a16="http://schemas.microsoft.com/office/drawing/2014/main" xmlns="" id="{A3E166A9-AB02-4C68-993F-A99234F5AF41}"/>
            </a:ext>
          </a:extLst>
        </xdr:cNvPr>
        <xdr:cNvGrpSpPr>
          <a:grpSpLocks/>
        </xdr:cNvGrpSpPr>
      </xdr:nvGrpSpPr>
      <xdr:grpSpPr bwMode="auto">
        <a:xfrm>
          <a:off x="27058620" y="1767840"/>
          <a:ext cx="4800600" cy="0"/>
          <a:chOff x="218" y="161"/>
          <a:chExt cx="260" cy="46"/>
        </a:xfrm>
      </xdr:grpSpPr>
      <xdr:grpSp>
        <xdr:nvGrpSpPr>
          <xdr:cNvPr id="57539" name="Group 10">
            <a:extLst>
              <a:ext uri="{FF2B5EF4-FFF2-40B4-BE49-F238E27FC236}">
                <a16:creationId xmlns:a16="http://schemas.microsoft.com/office/drawing/2014/main" xmlns="" id="{B2949465-9C23-49E4-9E0D-9AA0BA98AE38}"/>
              </a:ext>
            </a:extLst>
          </xdr:cNvPr>
          <xdr:cNvGrpSpPr>
            <a:grpSpLocks/>
          </xdr:cNvGrpSpPr>
        </xdr:nvGrpSpPr>
        <xdr:grpSpPr bwMode="auto">
          <a:xfrm>
            <a:off x="-1006633201" y="138"/>
            <a:ext cx="1006633679" cy="68"/>
            <a:chOff x="-110729865" y="0"/>
            <a:chExt cx="110730342" cy="68"/>
          </a:xfrm>
        </xdr:grpSpPr>
        <xdr:sp macro="" textlink="">
          <xdr:nvSpPr>
            <xdr:cNvPr id="14" name="Rectangle 11">
              <a:extLst>
                <a:ext uri="{FF2B5EF4-FFF2-40B4-BE49-F238E27FC236}">
                  <a16:creationId xmlns:a16="http://schemas.microsoft.com/office/drawing/2014/main" xmlns="" id="{4E3FF6FA-66A0-4A2A-B448-8A9567CC0D4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2026860" y="2644140"/>
              <a:ext cx="0" cy="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7432" rIns="0" bIns="0" anchor="t" upright="1"/>
            <a:lstStyle/>
            <a:p>
              <a:pPr algn="l" rtl="1">
                <a:defRPr sz="1000"/>
              </a:pP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  編製機關    內政部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(</a:t>
              </a: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統計處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) </a:t>
              </a:r>
            </a:p>
            <a:p>
              <a:pPr algn="l" rtl="1">
                <a:defRPr sz="1000"/>
              </a:pP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  </a:t>
              </a: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表    號      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1833-02-03   </a:t>
              </a:r>
            </a:p>
          </xdr:txBody>
        </xdr:sp>
        <xdr:sp macro="" textlink="">
          <xdr:nvSpPr>
            <xdr:cNvPr id="57543" name="Line 12">
              <a:extLst>
                <a:ext uri="{FF2B5EF4-FFF2-40B4-BE49-F238E27FC236}">
                  <a16:creationId xmlns:a16="http://schemas.microsoft.com/office/drawing/2014/main" xmlns="" id="{B3DDC08C-12D5-48B6-A4D9-2B70B4BDB3E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19" y="46"/>
              <a:ext cx="257" cy="0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7544" name="Line 13">
              <a:extLst>
                <a:ext uri="{FF2B5EF4-FFF2-40B4-BE49-F238E27FC236}">
                  <a16:creationId xmlns:a16="http://schemas.microsoft.com/office/drawing/2014/main" xmlns="" id="{ECEF9F81-601C-455B-A92C-8D9F88335EC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77" y="25"/>
              <a:ext cx="0" cy="43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7545" name="Line 14">
              <a:extLst>
                <a:ext uri="{FF2B5EF4-FFF2-40B4-BE49-F238E27FC236}">
                  <a16:creationId xmlns:a16="http://schemas.microsoft.com/office/drawing/2014/main" xmlns="" id="{E711257A-F0ED-4281-A67A-533E83DDF96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19" y="24"/>
              <a:ext cx="258" cy="0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57540" name="Line 15">
            <a:extLst>
              <a:ext uri="{FF2B5EF4-FFF2-40B4-BE49-F238E27FC236}">
                <a16:creationId xmlns:a16="http://schemas.microsoft.com/office/drawing/2014/main" xmlns="" id="{37C48767-6B51-49ED-8394-95CBA47CBA14}"/>
              </a:ext>
            </a:extLst>
          </xdr:cNvPr>
          <xdr:cNvSpPr>
            <a:spLocks noChangeShapeType="1"/>
          </xdr:cNvSpPr>
        </xdr:nvSpPr>
        <xdr:spPr bwMode="auto">
          <a:xfrm>
            <a:off x="219" y="163"/>
            <a:ext cx="0" cy="43"/>
          </a:xfrm>
          <a:prstGeom prst="line">
            <a:avLst/>
          </a:prstGeom>
          <a:noFill/>
          <a:ln w="1016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541" name="Line 16">
            <a:extLst>
              <a:ext uri="{FF2B5EF4-FFF2-40B4-BE49-F238E27FC236}">
                <a16:creationId xmlns:a16="http://schemas.microsoft.com/office/drawing/2014/main" xmlns="" id="{3A11FD4D-F4F8-4C85-AB49-05CE0C4ABB11}"/>
              </a:ext>
            </a:extLst>
          </xdr:cNvPr>
          <xdr:cNvSpPr>
            <a:spLocks noChangeShapeType="1"/>
          </xdr:cNvSpPr>
        </xdr:nvSpPr>
        <xdr:spPr bwMode="auto">
          <a:xfrm>
            <a:off x="319" y="163"/>
            <a:ext cx="0" cy="44"/>
          </a:xfrm>
          <a:prstGeom prst="line">
            <a:avLst/>
          </a:prstGeom>
          <a:noFill/>
          <a:ln w="1016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53</xdr:col>
      <xdr:colOff>129540</xdr:colOff>
      <xdr:row>0</xdr:row>
      <xdr:rowOff>0</xdr:rowOff>
    </xdr:from>
    <xdr:to>
      <xdr:col>55</xdr:col>
      <xdr:colOff>0</xdr:colOff>
      <xdr:row>7</xdr:row>
      <xdr:rowOff>0</xdr:rowOff>
    </xdr:to>
    <xdr:grpSp>
      <xdr:nvGrpSpPr>
        <xdr:cNvPr id="57531" name="Group 17">
          <a:extLst>
            <a:ext uri="{FF2B5EF4-FFF2-40B4-BE49-F238E27FC236}">
              <a16:creationId xmlns:a16="http://schemas.microsoft.com/office/drawing/2014/main" xmlns="" id="{09D85D88-B302-4611-9887-EB3CF76B5203}"/>
            </a:ext>
          </a:extLst>
        </xdr:cNvPr>
        <xdr:cNvGrpSpPr>
          <a:grpSpLocks/>
        </xdr:cNvGrpSpPr>
      </xdr:nvGrpSpPr>
      <xdr:grpSpPr bwMode="auto">
        <a:xfrm>
          <a:off x="38450520" y="1767840"/>
          <a:ext cx="1379220" cy="0"/>
          <a:chOff x="218" y="161"/>
          <a:chExt cx="260" cy="46"/>
        </a:xfrm>
      </xdr:grpSpPr>
      <xdr:grpSp>
        <xdr:nvGrpSpPr>
          <xdr:cNvPr id="57532" name="Group 18">
            <a:extLst>
              <a:ext uri="{FF2B5EF4-FFF2-40B4-BE49-F238E27FC236}">
                <a16:creationId xmlns:a16="http://schemas.microsoft.com/office/drawing/2014/main" xmlns="" id="{CD449B6E-DC46-4814-984B-1C6382492A6C}"/>
              </a:ext>
            </a:extLst>
          </xdr:cNvPr>
          <xdr:cNvGrpSpPr>
            <a:grpSpLocks/>
          </xdr:cNvGrpSpPr>
        </xdr:nvGrpSpPr>
        <xdr:grpSpPr bwMode="auto">
          <a:xfrm>
            <a:off x="219" y="138"/>
            <a:ext cx="0" cy="68"/>
            <a:chOff x="219" y="0"/>
            <a:chExt cx="1549097130" cy="68"/>
          </a:xfrm>
        </xdr:grpSpPr>
        <xdr:sp macro="" textlink="">
          <xdr:nvSpPr>
            <xdr:cNvPr id="22" name="Rectangle 19">
              <a:extLst>
                <a:ext uri="{FF2B5EF4-FFF2-40B4-BE49-F238E27FC236}">
                  <a16:creationId xmlns:a16="http://schemas.microsoft.com/office/drawing/2014/main" xmlns="" id="{0D776B53-DBBE-424A-AB53-30022E0FAA4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8458140" y="2644140"/>
              <a:ext cx="0" cy="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7432" rIns="0" bIns="0" anchor="t" upright="1"/>
            <a:lstStyle/>
            <a:p>
              <a:pPr algn="l" rtl="1">
                <a:defRPr sz="1000"/>
              </a:pP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  編製機關    內政部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(</a:t>
              </a: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統計處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) </a:t>
              </a:r>
            </a:p>
            <a:p>
              <a:pPr algn="l" rtl="1">
                <a:defRPr sz="1000"/>
              </a:pP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  </a:t>
              </a: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表    號      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1833-02-03   </a:t>
              </a:r>
            </a:p>
          </xdr:txBody>
        </xdr:sp>
        <xdr:sp macro="" textlink="">
          <xdr:nvSpPr>
            <xdr:cNvPr id="57536" name="Line 20">
              <a:extLst>
                <a:ext uri="{FF2B5EF4-FFF2-40B4-BE49-F238E27FC236}">
                  <a16:creationId xmlns:a16="http://schemas.microsoft.com/office/drawing/2014/main" xmlns="" id="{95BABCF5-9CD6-4755-8E55-BF2886B6FD3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19" y="46"/>
              <a:ext cx="257" cy="0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7537" name="Line 21">
              <a:extLst>
                <a:ext uri="{FF2B5EF4-FFF2-40B4-BE49-F238E27FC236}">
                  <a16:creationId xmlns:a16="http://schemas.microsoft.com/office/drawing/2014/main" xmlns="" id="{B791C3EC-DBE5-48E5-B300-0801ED56BDE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77" y="25"/>
              <a:ext cx="0" cy="43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7538" name="Line 22">
              <a:extLst>
                <a:ext uri="{FF2B5EF4-FFF2-40B4-BE49-F238E27FC236}">
                  <a16:creationId xmlns:a16="http://schemas.microsoft.com/office/drawing/2014/main" xmlns="" id="{E7ADE1EE-E9AC-4E66-8C85-07CE90FAFC0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19" y="24"/>
              <a:ext cx="258" cy="0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57533" name="Line 23">
            <a:extLst>
              <a:ext uri="{FF2B5EF4-FFF2-40B4-BE49-F238E27FC236}">
                <a16:creationId xmlns:a16="http://schemas.microsoft.com/office/drawing/2014/main" xmlns="" id="{230F4EB3-2E81-46C2-9C96-46D1D4FF1061}"/>
              </a:ext>
            </a:extLst>
          </xdr:cNvPr>
          <xdr:cNvSpPr>
            <a:spLocks noChangeShapeType="1"/>
          </xdr:cNvSpPr>
        </xdr:nvSpPr>
        <xdr:spPr bwMode="auto">
          <a:xfrm>
            <a:off x="219" y="163"/>
            <a:ext cx="0" cy="43"/>
          </a:xfrm>
          <a:prstGeom prst="line">
            <a:avLst/>
          </a:prstGeom>
          <a:noFill/>
          <a:ln w="1016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534" name="Line 24">
            <a:extLst>
              <a:ext uri="{FF2B5EF4-FFF2-40B4-BE49-F238E27FC236}">
                <a16:creationId xmlns:a16="http://schemas.microsoft.com/office/drawing/2014/main" xmlns="" id="{5F9C2075-9775-4CEC-9FCD-C94C8FAEB6D1}"/>
              </a:ext>
            </a:extLst>
          </xdr:cNvPr>
          <xdr:cNvSpPr>
            <a:spLocks noChangeShapeType="1"/>
          </xdr:cNvSpPr>
        </xdr:nvSpPr>
        <xdr:spPr bwMode="auto">
          <a:xfrm>
            <a:off x="319" y="163"/>
            <a:ext cx="0" cy="44"/>
          </a:xfrm>
          <a:prstGeom prst="line">
            <a:avLst/>
          </a:prstGeom>
          <a:noFill/>
          <a:ln w="1016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54</xdr:col>
      <xdr:colOff>0</xdr:colOff>
      <xdr:row>0</xdr:row>
      <xdr:rowOff>0</xdr:rowOff>
    </xdr:from>
    <xdr:to>
      <xdr:col>54</xdr:col>
      <xdr:colOff>0</xdr:colOff>
      <xdr:row>7</xdr:row>
      <xdr:rowOff>0</xdr:rowOff>
    </xdr:to>
    <xdr:grpSp>
      <xdr:nvGrpSpPr>
        <xdr:cNvPr id="55553" name="Group 1">
          <a:extLst>
            <a:ext uri="{FF2B5EF4-FFF2-40B4-BE49-F238E27FC236}">
              <a16:creationId xmlns:a16="http://schemas.microsoft.com/office/drawing/2014/main" xmlns="" id="{53105DD4-EFFD-4CEC-A6AE-47648DC39BAF}"/>
            </a:ext>
          </a:extLst>
        </xdr:cNvPr>
        <xdr:cNvGrpSpPr>
          <a:grpSpLocks/>
        </xdr:cNvGrpSpPr>
      </xdr:nvGrpSpPr>
      <xdr:grpSpPr bwMode="auto">
        <a:xfrm>
          <a:off x="35036760" y="0"/>
          <a:ext cx="0" cy="1775460"/>
          <a:chOff x="218" y="161"/>
          <a:chExt cx="260" cy="46"/>
        </a:xfrm>
      </xdr:grpSpPr>
      <xdr:grpSp>
        <xdr:nvGrpSpPr>
          <xdr:cNvPr id="55570" name="Group 2">
            <a:extLst>
              <a:ext uri="{FF2B5EF4-FFF2-40B4-BE49-F238E27FC236}">
                <a16:creationId xmlns:a16="http://schemas.microsoft.com/office/drawing/2014/main" xmlns="" id="{33CC3437-7746-44F2-A6BB-A57944005236}"/>
              </a:ext>
            </a:extLst>
          </xdr:cNvPr>
          <xdr:cNvGrpSpPr>
            <a:grpSpLocks/>
          </xdr:cNvGrpSpPr>
        </xdr:nvGrpSpPr>
        <xdr:grpSpPr bwMode="auto">
          <a:xfrm>
            <a:off x="218" y="161"/>
            <a:ext cx="260" cy="46"/>
            <a:chOff x="218" y="23"/>
            <a:chExt cx="259" cy="46"/>
          </a:xfrm>
        </xdr:grpSpPr>
        <xdr:sp macro="" textlink="">
          <xdr:nvSpPr>
            <xdr:cNvPr id="6" name="Rectangle 3">
              <a:extLst>
                <a:ext uri="{FF2B5EF4-FFF2-40B4-BE49-F238E27FC236}">
                  <a16:creationId xmlns:a16="http://schemas.microsoft.com/office/drawing/2014/main" xmlns="" id="{11C2E63D-99B1-4F11-BCD2-D2CF485130D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5036760" y="-68230577280"/>
              <a:ext cx="0" cy="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7432" rIns="0" bIns="0" anchor="t" upright="1"/>
            <a:lstStyle/>
            <a:p>
              <a:pPr algn="l" rtl="1">
                <a:defRPr sz="1000"/>
              </a:pP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  編製機關    內政部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(</a:t>
              </a: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統計處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) </a:t>
              </a:r>
            </a:p>
            <a:p>
              <a:pPr algn="l" rtl="1">
                <a:defRPr sz="1000"/>
              </a:pP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  </a:t>
              </a: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表    號      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1833-02-03   </a:t>
              </a:r>
            </a:p>
          </xdr:txBody>
        </xdr:sp>
        <xdr:sp macro="" textlink="">
          <xdr:nvSpPr>
            <xdr:cNvPr id="55574" name="Line 4">
              <a:extLst>
                <a:ext uri="{FF2B5EF4-FFF2-40B4-BE49-F238E27FC236}">
                  <a16:creationId xmlns:a16="http://schemas.microsoft.com/office/drawing/2014/main" xmlns="" id="{D898E645-5FB2-4AC9-ACA5-EC5FC6A966A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19" y="46"/>
              <a:ext cx="257" cy="0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5575" name="Line 5">
              <a:extLst>
                <a:ext uri="{FF2B5EF4-FFF2-40B4-BE49-F238E27FC236}">
                  <a16:creationId xmlns:a16="http://schemas.microsoft.com/office/drawing/2014/main" xmlns="" id="{DB210964-2476-4233-8D0C-EBE10CD9666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77" y="25"/>
              <a:ext cx="0" cy="43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5576" name="Line 6">
              <a:extLst>
                <a:ext uri="{FF2B5EF4-FFF2-40B4-BE49-F238E27FC236}">
                  <a16:creationId xmlns:a16="http://schemas.microsoft.com/office/drawing/2014/main" xmlns="" id="{C330D5EE-0891-4023-9F0F-1E2BC29BB54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19" y="24"/>
              <a:ext cx="258" cy="0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55571" name="Line 7">
            <a:extLst>
              <a:ext uri="{FF2B5EF4-FFF2-40B4-BE49-F238E27FC236}">
                <a16:creationId xmlns:a16="http://schemas.microsoft.com/office/drawing/2014/main" xmlns="" id="{140732D1-B1DA-4FBC-9FC9-19C5F8E2BB17}"/>
              </a:ext>
            </a:extLst>
          </xdr:cNvPr>
          <xdr:cNvSpPr>
            <a:spLocks noChangeShapeType="1"/>
          </xdr:cNvSpPr>
        </xdr:nvSpPr>
        <xdr:spPr bwMode="auto">
          <a:xfrm>
            <a:off x="219" y="163"/>
            <a:ext cx="0" cy="43"/>
          </a:xfrm>
          <a:prstGeom prst="line">
            <a:avLst/>
          </a:prstGeom>
          <a:noFill/>
          <a:ln w="1016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572" name="Line 8">
            <a:extLst>
              <a:ext uri="{FF2B5EF4-FFF2-40B4-BE49-F238E27FC236}">
                <a16:creationId xmlns:a16="http://schemas.microsoft.com/office/drawing/2014/main" xmlns="" id="{F34593C0-C590-4D19-B9F5-CA69853B66CA}"/>
              </a:ext>
            </a:extLst>
          </xdr:cNvPr>
          <xdr:cNvSpPr>
            <a:spLocks noChangeShapeType="1"/>
          </xdr:cNvSpPr>
        </xdr:nvSpPr>
        <xdr:spPr bwMode="auto">
          <a:xfrm>
            <a:off x="319" y="163"/>
            <a:ext cx="0" cy="44"/>
          </a:xfrm>
          <a:prstGeom prst="line">
            <a:avLst/>
          </a:prstGeom>
          <a:noFill/>
          <a:ln w="1016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37</xdr:col>
      <xdr:colOff>53340</xdr:colOff>
      <xdr:row>0</xdr:row>
      <xdr:rowOff>0</xdr:rowOff>
    </xdr:from>
    <xdr:to>
      <xdr:col>43</xdr:col>
      <xdr:colOff>327660</xdr:colOff>
      <xdr:row>7</xdr:row>
      <xdr:rowOff>0</xdr:rowOff>
    </xdr:to>
    <xdr:grpSp>
      <xdr:nvGrpSpPr>
        <xdr:cNvPr id="55554" name="Group 9">
          <a:extLst>
            <a:ext uri="{FF2B5EF4-FFF2-40B4-BE49-F238E27FC236}">
              <a16:creationId xmlns:a16="http://schemas.microsoft.com/office/drawing/2014/main" xmlns="" id="{B320C8DD-9AE2-41D2-A133-EA1311582F94}"/>
            </a:ext>
          </a:extLst>
        </xdr:cNvPr>
        <xdr:cNvGrpSpPr>
          <a:grpSpLocks/>
        </xdr:cNvGrpSpPr>
      </xdr:nvGrpSpPr>
      <xdr:grpSpPr bwMode="auto">
        <a:xfrm>
          <a:off x="22959060" y="0"/>
          <a:ext cx="4663440" cy="1775460"/>
          <a:chOff x="218" y="161"/>
          <a:chExt cx="260" cy="46"/>
        </a:xfrm>
      </xdr:grpSpPr>
      <xdr:grpSp>
        <xdr:nvGrpSpPr>
          <xdr:cNvPr id="55563" name="Group 10">
            <a:extLst>
              <a:ext uri="{FF2B5EF4-FFF2-40B4-BE49-F238E27FC236}">
                <a16:creationId xmlns:a16="http://schemas.microsoft.com/office/drawing/2014/main" xmlns="" id="{019213C8-2489-47E5-B62E-24176FFCE06A}"/>
              </a:ext>
            </a:extLst>
          </xdr:cNvPr>
          <xdr:cNvGrpSpPr>
            <a:grpSpLocks/>
          </xdr:cNvGrpSpPr>
        </xdr:nvGrpSpPr>
        <xdr:grpSpPr bwMode="auto">
          <a:xfrm>
            <a:off x="218" y="161"/>
            <a:ext cx="260" cy="46"/>
            <a:chOff x="218" y="23"/>
            <a:chExt cx="259" cy="46"/>
          </a:xfrm>
        </xdr:grpSpPr>
        <xdr:sp macro="" textlink="">
          <xdr:nvSpPr>
            <xdr:cNvPr id="14" name="Rectangle 11">
              <a:extLst>
                <a:ext uri="{FF2B5EF4-FFF2-40B4-BE49-F238E27FC236}">
                  <a16:creationId xmlns:a16="http://schemas.microsoft.com/office/drawing/2014/main" xmlns="" id="{C4438181-ACA8-42FF-9A83-2872312B92B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5351955699380" y="-68230577280"/>
              <a:ext cx="0" cy="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7432" rIns="0" bIns="0" anchor="t" upright="1"/>
            <a:lstStyle/>
            <a:p>
              <a:pPr algn="l" rtl="1">
                <a:defRPr sz="1000"/>
              </a:pP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  編製機關    內政部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(</a:t>
              </a: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統計處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) </a:t>
              </a:r>
            </a:p>
            <a:p>
              <a:pPr algn="l" rtl="1">
                <a:defRPr sz="1000"/>
              </a:pP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  </a:t>
              </a: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表    號      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1833-02-03   </a:t>
              </a:r>
            </a:p>
          </xdr:txBody>
        </xdr:sp>
        <xdr:sp macro="" textlink="">
          <xdr:nvSpPr>
            <xdr:cNvPr id="55567" name="Line 12">
              <a:extLst>
                <a:ext uri="{FF2B5EF4-FFF2-40B4-BE49-F238E27FC236}">
                  <a16:creationId xmlns:a16="http://schemas.microsoft.com/office/drawing/2014/main" xmlns="" id="{D7073799-BAA8-4200-8CC0-D41F377C2C7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19" y="46"/>
              <a:ext cx="257" cy="0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5568" name="Line 13">
              <a:extLst>
                <a:ext uri="{FF2B5EF4-FFF2-40B4-BE49-F238E27FC236}">
                  <a16:creationId xmlns:a16="http://schemas.microsoft.com/office/drawing/2014/main" xmlns="" id="{FBC5CE04-1A6A-4250-A765-55EFB0C6AFD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77" y="25"/>
              <a:ext cx="0" cy="43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5569" name="Line 14">
              <a:extLst>
                <a:ext uri="{FF2B5EF4-FFF2-40B4-BE49-F238E27FC236}">
                  <a16:creationId xmlns:a16="http://schemas.microsoft.com/office/drawing/2014/main" xmlns="" id="{12F77F4E-A330-498A-8B69-B496106AFAD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19" y="24"/>
              <a:ext cx="258" cy="0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55564" name="Line 15">
            <a:extLst>
              <a:ext uri="{FF2B5EF4-FFF2-40B4-BE49-F238E27FC236}">
                <a16:creationId xmlns:a16="http://schemas.microsoft.com/office/drawing/2014/main" xmlns="" id="{F6FCA5F6-B12B-4696-BF8B-4B1035A9044D}"/>
              </a:ext>
            </a:extLst>
          </xdr:cNvPr>
          <xdr:cNvSpPr>
            <a:spLocks noChangeShapeType="1"/>
          </xdr:cNvSpPr>
        </xdr:nvSpPr>
        <xdr:spPr bwMode="auto">
          <a:xfrm>
            <a:off x="219" y="163"/>
            <a:ext cx="0" cy="43"/>
          </a:xfrm>
          <a:prstGeom prst="line">
            <a:avLst/>
          </a:prstGeom>
          <a:noFill/>
          <a:ln w="1016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565" name="Line 16">
            <a:extLst>
              <a:ext uri="{FF2B5EF4-FFF2-40B4-BE49-F238E27FC236}">
                <a16:creationId xmlns:a16="http://schemas.microsoft.com/office/drawing/2014/main" xmlns="" id="{79781ADC-E756-4186-B917-5C18786F8823}"/>
              </a:ext>
            </a:extLst>
          </xdr:cNvPr>
          <xdr:cNvSpPr>
            <a:spLocks noChangeShapeType="1"/>
          </xdr:cNvSpPr>
        </xdr:nvSpPr>
        <xdr:spPr bwMode="auto">
          <a:xfrm>
            <a:off x="319" y="163"/>
            <a:ext cx="0" cy="44"/>
          </a:xfrm>
          <a:prstGeom prst="line">
            <a:avLst/>
          </a:prstGeom>
          <a:noFill/>
          <a:ln w="1016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52</xdr:col>
      <xdr:colOff>137160</xdr:colOff>
      <xdr:row>0</xdr:row>
      <xdr:rowOff>0</xdr:rowOff>
    </xdr:from>
    <xdr:to>
      <xdr:col>54</xdr:col>
      <xdr:colOff>0</xdr:colOff>
      <xdr:row>7</xdr:row>
      <xdr:rowOff>0</xdr:rowOff>
    </xdr:to>
    <xdr:grpSp>
      <xdr:nvGrpSpPr>
        <xdr:cNvPr id="55555" name="Group 17">
          <a:extLst>
            <a:ext uri="{FF2B5EF4-FFF2-40B4-BE49-F238E27FC236}">
              <a16:creationId xmlns:a16="http://schemas.microsoft.com/office/drawing/2014/main" xmlns="" id="{813D8D51-F60C-4293-BFD7-F4567EC4B769}"/>
            </a:ext>
          </a:extLst>
        </xdr:cNvPr>
        <xdr:cNvGrpSpPr>
          <a:grpSpLocks/>
        </xdr:cNvGrpSpPr>
      </xdr:nvGrpSpPr>
      <xdr:grpSpPr bwMode="auto">
        <a:xfrm>
          <a:off x="33787080" y="0"/>
          <a:ext cx="1249680" cy="1775460"/>
          <a:chOff x="218" y="161"/>
          <a:chExt cx="260" cy="46"/>
        </a:xfrm>
      </xdr:grpSpPr>
      <xdr:grpSp>
        <xdr:nvGrpSpPr>
          <xdr:cNvPr id="55556" name="Group 18">
            <a:extLst>
              <a:ext uri="{FF2B5EF4-FFF2-40B4-BE49-F238E27FC236}">
                <a16:creationId xmlns:a16="http://schemas.microsoft.com/office/drawing/2014/main" xmlns="" id="{8E654658-4CC4-45E9-A130-C0E179AC3218}"/>
              </a:ext>
            </a:extLst>
          </xdr:cNvPr>
          <xdr:cNvGrpSpPr>
            <a:grpSpLocks/>
          </xdr:cNvGrpSpPr>
        </xdr:nvGrpSpPr>
        <xdr:grpSpPr bwMode="auto">
          <a:xfrm>
            <a:off x="218" y="161"/>
            <a:ext cx="260" cy="46"/>
            <a:chOff x="218" y="23"/>
            <a:chExt cx="259" cy="46"/>
          </a:xfrm>
        </xdr:grpSpPr>
        <xdr:sp macro="" textlink="">
          <xdr:nvSpPr>
            <xdr:cNvPr id="22" name="Rectangle 19">
              <a:extLst>
                <a:ext uri="{FF2B5EF4-FFF2-40B4-BE49-F238E27FC236}">
                  <a16:creationId xmlns:a16="http://schemas.microsoft.com/office/drawing/2014/main" xmlns="" id="{18103451-09EE-4AD2-872C-BCE710AB6C0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-5278445490970" y="-68230577280"/>
              <a:ext cx="259" cy="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7432" rIns="0" bIns="0" anchor="t" upright="1"/>
            <a:lstStyle/>
            <a:p>
              <a:pPr algn="l" rtl="1">
                <a:defRPr sz="1000"/>
              </a:pP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  編製機關    內政部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(</a:t>
              </a: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統計處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) </a:t>
              </a:r>
            </a:p>
            <a:p>
              <a:pPr algn="l" rtl="1">
                <a:defRPr sz="1000"/>
              </a:pP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  </a:t>
              </a: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表    號      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1833-02-03   </a:t>
              </a:r>
            </a:p>
          </xdr:txBody>
        </xdr:sp>
        <xdr:sp macro="" textlink="">
          <xdr:nvSpPr>
            <xdr:cNvPr id="55560" name="Line 20">
              <a:extLst>
                <a:ext uri="{FF2B5EF4-FFF2-40B4-BE49-F238E27FC236}">
                  <a16:creationId xmlns:a16="http://schemas.microsoft.com/office/drawing/2014/main" xmlns="" id="{40229D18-F0C4-4779-8908-23921D26A13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19" y="46"/>
              <a:ext cx="257" cy="0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5561" name="Line 21">
              <a:extLst>
                <a:ext uri="{FF2B5EF4-FFF2-40B4-BE49-F238E27FC236}">
                  <a16:creationId xmlns:a16="http://schemas.microsoft.com/office/drawing/2014/main" xmlns="" id="{C7D7D11F-F211-405E-AC2B-DA9DC464D92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77" y="25"/>
              <a:ext cx="0" cy="43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5562" name="Line 22">
              <a:extLst>
                <a:ext uri="{FF2B5EF4-FFF2-40B4-BE49-F238E27FC236}">
                  <a16:creationId xmlns:a16="http://schemas.microsoft.com/office/drawing/2014/main" xmlns="" id="{1C91F608-FFB9-4FA0-AFC3-D0A34AB56F4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19" y="24"/>
              <a:ext cx="258" cy="0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55557" name="Line 23">
            <a:extLst>
              <a:ext uri="{FF2B5EF4-FFF2-40B4-BE49-F238E27FC236}">
                <a16:creationId xmlns:a16="http://schemas.microsoft.com/office/drawing/2014/main" xmlns="" id="{AF8210DA-49C9-40B7-B68F-D2981F0A0A05}"/>
              </a:ext>
            </a:extLst>
          </xdr:cNvPr>
          <xdr:cNvSpPr>
            <a:spLocks noChangeShapeType="1"/>
          </xdr:cNvSpPr>
        </xdr:nvSpPr>
        <xdr:spPr bwMode="auto">
          <a:xfrm>
            <a:off x="219" y="163"/>
            <a:ext cx="0" cy="43"/>
          </a:xfrm>
          <a:prstGeom prst="line">
            <a:avLst/>
          </a:prstGeom>
          <a:noFill/>
          <a:ln w="1016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558" name="Line 24">
            <a:extLst>
              <a:ext uri="{FF2B5EF4-FFF2-40B4-BE49-F238E27FC236}">
                <a16:creationId xmlns:a16="http://schemas.microsoft.com/office/drawing/2014/main" xmlns="" id="{3A08C8E7-9A65-403E-A200-B467EC598162}"/>
              </a:ext>
            </a:extLst>
          </xdr:cNvPr>
          <xdr:cNvSpPr>
            <a:spLocks noChangeShapeType="1"/>
          </xdr:cNvSpPr>
        </xdr:nvSpPr>
        <xdr:spPr bwMode="auto">
          <a:xfrm>
            <a:off x="319" y="163"/>
            <a:ext cx="0" cy="44"/>
          </a:xfrm>
          <a:prstGeom prst="line">
            <a:avLst/>
          </a:prstGeom>
          <a:noFill/>
          <a:ln w="1016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54</xdr:col>
      <xdr:colOff>0</xdr:colOff>
      <xdr:row>0</xdr:row>
      <xdr:rowOff>0</xdr:rowOff>
    </xdr:from>
    <xdr:to>
      <xdr:col>54</xdr:col>
      <xdr:colOff>0</xdr:colOff>
      <xdr:row>7</xdr:row>
      <xdr:rowOff>0</xdr:rowOff>
    </xdr:to>
    <xdr:grpSp>
      <xdr:nvGrpSpPr>
        <xdr:cNvPr id="54577" name="Group 1">
          <a:extLst>
            <a:ext uri="{FF2B5EF4-FFF2-40B4-BE49-F238E27FC236}">
              <a16:creationId xmlns:a16="http://schemas.microsoft.com/office/drawing/2014/main" xmlns="" id="{5EF7EECE-A324-4180-962C-D6DD9B812F86}"/>
            </a:ext>
          </a:extLst>
        </xdr:cNvPr>
        <xdr:cNvGrpSpPr>
          <a:grpSpLocks/>
        </xdr:cNvGrpSpPr>
      </xdr:nvGrpSpPr>
      <xdr:grpSpPr bwMode="auto">
        <a:xfrm>
          <a:off x="35036760" y="0"/>
          <a:ext cx="0" cy="1775460"/>
          <a:chOff x="218" y="161"/>
          <a:chExt cx="260" cy="46"/>
        </a:xfrm>
      </xdr:grpSpPr>
      <xdr:grpSp>
        <xdr:nvGrpSpPr>
          <xdr:cNvPr id="54594" name="Group 2">
            <a:extLst>
              <a:ext uri="{FF2B5EF4-FFF2-40B4-BE49-F238E27FC236}">
                <a16:creationId xmlns:a16="http://schemas.microsoft.com/office/drawing/2014/main" xmlns="" id="{C776B95D-4734-4CBC-97CF-AF70784C1605}"/>
              </a:ext>
            </a:extLst>
          </xdr:cNvPr>
          <xdr:cNvGrpSpPr>
            <a:grpSpLocks/>
          </xdr:cNvGrpSpPr>
        </xdr:nvGrpSpPr>
        <xdr:grpSpPr bwMode="auto">
          <a:xfrm>
            <a:off x="218" y="161"/>
            <a:ext cx="260" cy="46"/>
            <a:chOff x="218" y="23"/>
            <a:chExt cx="259" cy="46"/>
          </a:xfrm>
        </xdr:grpSpPr>
        <xdr:sp macro="" textlink="">
          <xdr:nvSpPr>
            <xdr:cNvPr id="8195" name="Rectangle 3">
              <a:extLst>
                <a:ext uri="{FF2B5EF4-FFF2-40B4-BE49-F238E27FC236}">
                  <a16:creationId xmlns:a16="http://schemas.microsoft.com/office/drawing/2014/main" xmlns="" id="{568BAD81-9C8D-49B9-B118-F6827F4560C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5036760" y="-68230577280"/>
              <a:ext cx="0" cy="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7432" rIns="0" bIns="0" anchor="t" upright="1"/>
            <a:lstStyle/>
            <a:p>
              <a:pPr algn="l" rtl="1">
                <a:defRPr sz="1000"/>
              </a:pP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  編製機關    內政部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(</a:t>
              </a: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統計處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) </a:t>
              </a:r>
            </a:p>
            <a:p>
              <a:pPr algn="l" rtl="1">
                <a:defRPr sz="1000"/>
              </a:pP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  </a:t>
              </a: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表    號      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1833-02-03   </a:t>
              </a:r>
            </a:p>
          </xdr:txBody>
        </xdr:sp>
        <xdr:sp macro="" textlink="">
          <xdr:nvSpPr>
            <xdr:cNvPr id="54598" name="Line 4">
              <a:extLst>
                <a:ext uri="{FF2B5EF4-FFF2-40B4-BE49-F238E27FC236}">
                  <a16:creationId xmlns:a16="http://schemas.microsoft.com/office/drawing/2014/main" xmlns="" id="{D964EFB5-24EF-4E7A-82CC-70A399BA1B8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19" y="46"/>
              <a:ext cx="257" cy="0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4599" name="Line 5">
              <a:extLst>
                <a:ext uri="{FF2B5EF4-FFF2-40B4-BE49-F238E27FC236}">
                  <a16:creationId xmlns:a16="http://schemas.microsoft.com/office/drawing/2014/main" xmlns="" id="{2406C125-12A0-4E77-B3D8-B24918276CC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77" y="25"/>
              <a:ext cx="0" cy="43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4600" name="Line 6">
              <a:extLst>
                <a:ext uri="{FF2B5EF4-FFF2-40B4-BE49-F238E27FC236}">
                  <a16:creationId xmlns:a16="http://schemas.microsoft.com/office/drawing/2014/main" xmlns="" id="{EEFC6624-27A1-4832-BEBA-0F584A745E4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19" y="24"/>
              <a:ext cx="258" cy="0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54595" name="Line 7">
            <a:extLst>
              <a:ext uri="{FF2B5EF4-FFF2-40B4-BE49-F238E27FC236}">
                <a16:creationId xmlns:a16="http://schemas.microsoft.com/office/drawing/2014/main" xmlns="" id="{C149E2F5-4BA9-4466-B137-D3D0D6D3DBEB}"/>
              </a:ext>
            </a:extLst>
          </xdr:cNvPr>
          <xdr:cNvSpPr>
            <a:spLocks noChangeShapeType="1"/>
          </xdr:cNvSpPr>
        </xdr:nvSpPr>
        <xdr:spPr bwMode="auto">
          <a:xfrm>
            <a:off x="219" y="163"/>
            <a:ext cx="0" cy="43"/>
          </a:xfrm>
          <a:prstGeom prst="line">
            <a:avLst/>
          </a:prstGeom>
          <a:noFill/>
          <a:ln w="1016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596" name="Line 8">
            <a:extLst>
              <a:ext uri="{FF2B5EF4-FFF2-40B4-BE49-F238E27FC236}">
                <a16:creationId xmlns:a16="http://schemas.microsoft.com/office/drawing/2014/main" xmlns="" id="{159A90C0-DB80-430B-B0E6-3E7D261DA228}"/>
              </a:ext>
            </a:extLst>
          </xdr:cNvPr>
          <xdr:cNvSpPr>
            <a:spLocks noChangeShapeType="1"/>
          </xdr:cNvSpPr>
        </xdr:nvSpPr>
        <xdr:spPr bwMode="auto">
          <a:xfrm>
            <a:off x="319" y="163"/>
            <a:ext cx="0" cy="44"/>
          </a:xfrm>
          <a:prstGeom prst="line">
            <a:avLst/>
          </a:prstGeom>
          <a:noFill/>
          <a:ln w="1016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37</xdr:col>
      <xdr:colOff>53340</xdr:colOff>
      <xdr:row>0</xdr:row>
      <xdr:rowOff>0</xdr:rowOff>
    </xdr:from>
    <xdr:to>
      <xdr:col>43</xdr:col>
      <xdr:colOff>327660</xdr:colOff>
      <xdr:row>7</xdr:row>
      <xdr:rowOff>0</xdr:rowOff>
    </xdr:to>
    <xdr:grpSp>
      <xdr:nvGrpSpPr>
        <xdr:cNvPr id="54578" name="Group 9">
          <a:extLst>
            <a:ext uri="{FF2B5EF4-FFF2-40B4-BE49-F238E27FC236}">
              <a16:creationId xmlns:a16="http://schemas.microsoft.com/office/drawing/2014/main" xmlns="" id="{071A521C-B46D-4EB5-9392-361F99E6AADB}"/>
            </a:ext>
          </a:extLst>
        </xdr:cNvPr>
        <xdr:cNvGrpSpPr>
          <a:grpSpLocks/>
        </xdr:cNvGrpSpPr>
      </xdr:nvGrpSpPr>
      <xdr:grpSpPr bwMode="auto">
        <a:xfrm>
          <a:off x="22959060" y="0"/>
          <a:ext cx="4663440" cy="1775460"/>
          <a:chOff x="218" y="161"/>
          <a:chExt cx="260" cy="46"/>
        </a:xfrm>
      </xdr:grpSpPr>
      <xdr:grpSp>
        <xdr:nvGrpSpPr>
          <xdr:cNvPr id="54587" name="Group 10">
            <a:extLst>
              <a:ext uri="{FF2B5EF4-FFF2-40B4-BE49-F238E27FC236}">
                <a16:creationId xmlns:a16="http://schemas.microsoft.com/office/drawing/2014/main" xmlns="" id="{EF90215C-1ED7-49E2-907F-5809D38C1DB3}"/>
              </a:ext>
            </a:extLst>
          </xdr:cNvPr>
          <xdr:cNvGrpSpPr>
            <a:grpSpLocks/>
          </xdr:cNvGrpSpPr>
        </xdr:nvGrpSpPr>
        <xdr:grpSpPr bwMode="auto">
          <a:xfrm>
            <a:off x="218" y="161"/>
            <a:ext cx="260" cy="46"/>
            <a:chOff x="218" y="23"/>
            <a:chExt cx="259" cy="46"/>
          </a:xfrm>
        </xdr:grpSpPr>
        <xdr:sp macro="" textlink="">
          <xdr:nvSpPr>
            <xdr:cNvPr id="8203" name="Rectangle 11">
              <a:extLst>
                <a:ext uri="{FF2B5EF4-FFF2-40B4-BE49-F238E27FC236}">
                  <a16:creationId xmlns:a16="http://schemas.microsoft.com/office/drawing/2014/main" xmlns="" id="{E9B216FC-EF8F-4A5F-BFFF-55AC58BCE35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5351955699380" y="-68230577280"/>
              <a:ext cx="0" cy="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7432" rIns="0" bIns="0" anchor="t" upright="1"/>
            <a:lstStyle/>
            <a:p>
              <a:pPr algn="l" rtl="1">
                <a:defRPr sz="1000"/>
              </a:pP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  編製機關    內政部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(</a:t>
              </a: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統計處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) </a:t>
              </a:r>
            </a:p>
            <a:p>
              <a:pPr algn="l" rtl="1">
                <a:defRPr sz="1000"/>
              </a:pP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  </a:t>
              </a: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表    號      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1833-02-03   </a:t>
              </a:r>
            </a:p>
          </xdr:txBody>
        </xdr:sp>
        <xdr:sp macro="" textlink="">
          <xdr:nvSpPr>
            <xdr:cNvPr id="54591" name="Line 12">
              <a:extLst>
                <a:ext uri="{FF2B5EF4-FFF2-40B4-BE49-F238E27FC236}">
                  <a16:creationId xmlns:a16="http://schemas.microsoft.com/office/drawing/2014/main" xmlns="" id="{1FC03ACE-B197-4A18-9051-4BA5CA6349B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19" y="46"/>
              <a:ext cx="257" cy="0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4592" name="Line 13">
              <a:extLst>
                <a:ext uri="{FF2B5EF4-FFF2-40B4-BE49-F238E27FC236}">
                  <a16:creationId xmlns:a16="http://schemas.microsoft.com/office/drawing/2014/main" xmlns="" id="{D2AE2A98-2DF1-4FFC-9A57-718081494CD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77" y="25"/>
              <a:ext cx="0" cy="43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4593" name="Line 14">
              <a:extLst>
                <a:ext uri="{FF2B5EF4-FFF2-40B4-BE49-F238E27FC236}">
                  <a16:creationId xmlns:a16="http://schemas.microsoft.com/office/drawing/2014/main" xmlns="" id="{D971D39B-C003-40CA-B45C-2F84C073A01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19" y="24"/>
              <a:ext cx="258" cy="0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54588" name="Line 15">
            <a:extLst>
              <a:ext uri="{FF2B5EF4-FFF2-40B4-BE49-F238E27FC236}">
                <a16:creationId xmlns:a16="http://schemas.microsoft.com/office/drawing/2014/main" xmlns="" id="{FE841E3A-3F76-44B3-B7BA-BE83B1E4D876}"/>
              </a:ext>
            </a:extLst>
          </xdr:cNvPr>
          <xdr:cNvSpPr>
            <a:spLocks noChangeShapeType="1"/>
          </xdr:cNvSpPr>
        </xdr:nvSpPr>
        <xdr:spPr bwMode="auto">
          <a:xfrm>
            <a:off x="219" y="163"/>
            <a:ext cx="0" cy="43"/>
          </a:xfrm>
          <a:prstGeom prst="line">
            <a:avLst/>
          </a:prstGeom>
          <a:noFill/>
          <a:ln w="1016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589" name="Line 16">
            <a:extLst>
              <a:ext uri="{FF2B5EF4-FFF2-40B4-BE49-F238E27FC236}">
                <a16:creationId xmlns:a16="http://schemas.microsoft.com/office/drawing/2014/main" xmlns="" id="{FCC77E18-682A-42B6-BDE2-0BC0F4BDCE9C}"/>
              </a:ext>
            </a:extLst>
          </xdr:cNvPr>
          <xdr:cNvSpPr>
            <a:spLocks noChangeShapeType="1"/>
          </xdr:cNvSpPr>
        </xdr:nvSpPr>
        <xdr:spPr bwMode="auto">
          <a:xfrm>
            <a:off x="319" y="163"/>
            <a:ext cx="0" cy="44"/>
          </a:xfrm>
          <a:prstGeom prst="line">
            <a:avLst/>
          </a:prstGeom>
          <a:noFill/>
          <a:ln w="1016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52</xdr:col>
      <xdr:colOff>137160</xdr:colOff>
      <xdr:row>0</xdr:row>
      <xdr:rowOff>0</xdr:rowOff>
    </xdr:from>
    <xdr:to>
      <xdr:col>53</xdr:col>
      <xdr:colOff>1219200</xdr:colOff>
      <xdr:row>7</xdr:row>
      <xdr:rowOff>0</xdr:rowOff>
    </xdr:to>
    <xdr:grpSp>
      <xdr:nvGrpSpPr>
        <xdr:cNvPr id="54579" name="Group 17">
          <a:extLst>
            <a:ext uri="{FF2B5EF4-FFF2-40B4-BE49-F238E27FC236}">
              <a16:creationId xmlns:a16="http://schemas.microsoft.com/office/drawing/2014/main" xmlns="" id="{E75F5B82-AAF1-43B8-8B03-29F93234D148}"/>
            </a:ext>
          </a:extLst>
        </xdr:cNvPr>
        <xdr:cNvGrpSpPr>
          <a:grpSpLocks/>
        </xdr:cNvGrpSpPr>
      </xdr:nvGrpSpPr>
      <xdr:grpSpPr bwMode="auto">
        <a:xfrm>
          <a:off x="33787080" y="0"/>
          <a:ext cx="1249680" cy="1775460"/>
          <a:chOff x="218" y="161"/>
          <a:chExt cx="260" cy="46"/>
        </a:xfrm>
      </xdr:grpSpPr>
      <xdr:grpSp>
        <xdr:nvGrpSpPr>
          <xdr:cNvPr id="54580" name="Group 18">
            <a:extLst>
              <a:ext uri="{FF2B5EF4-FFF2-40B4-BE49-F238E27FC236}">
                <a16:creationId xmlns:a16="http://schemas.microsoft.com/office/drawing/2014/main" xmlns="" id="{E641FC71-2B2B-4D60-BA30-5D2DD737F116}"/>
              </a:ext>
            </a:extLst>
          </xdr:cNvPr>
          <xdr:cNvGrpSpPr>
            <a:grpSpLocks/>
          </xdr:cNvGrpSpPr>
        </xdr:nvGrpSpPr>
        <xdr:grpSpPr bwMode="auto">
          <a:xfrm>
            <a:off x="218" y="161"/>
            <a:ext cx="260" cy="46"/>
            <a:chOff x="218" y="23"/>
            <a:chExt cx="259" cy="46"/>
          </a:xfrm>
        </xdr:grpSpPr>
        <xdr:sp macro="" textlink="">
          <xdr:nvSpPr>
            <xdr:cNvPr id="8211" name="Rectangle 19">
              <a:extLst>
                <a:ext uri="{FF2B5EF4-FFF2-40B4-BE49-F238E27FC236}">
                  <a16:creationId xmlns:a16="http://schemas.microsoft.com/office/drawing/2014/main" xmlns="" id="{0EFB2179-670E-419C-83E3-C1DC42AAB5E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255807688371" y="-68230577280"/>
              <a:ext cx="259" cy="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7432" rIns="0" bIns="0" anchor="t" upright="1"/>
            <a:lstStyle/>
            <a:p>
              <a:pPr algn="l" rtl="1">
                <a:defRPr sz="1000"/>
              </a:pP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  編製機關    內政部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(</a:t>
              </a: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統計處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) </a:t>
              </a:r>
            </a:p>
            <a:p>
              <a:pPr algn="l" rtl="1">
                <a:defRPr sz="1000"/>
              </a:pP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  </a:t>
              </a:r>
              <a:r>
                <a:rPr lang="zh-TW" altLang="en-US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表    號      </a:t>
              </a:r>
              <a:r>
                <a:rPr lang="en-US" altLang="zh-TW" sz="1200" b="0" i="0" strike="noStrike">
                  <a:solidFill>
                    <a:srgbClr val="000000"/>
                  </a:solidFill>
                  <a:latin typeface="標楷體"/>
                  <a:ea typeface="標楷體"/>
                </a:rPr>
                <a:t>1833-02-03   </a:t>
              </a:r>
            </a:p>
          </xdr:txBody>
        </xdr:sp>
        <xdr:sp macro="" textlink="">
          <xdr:nvSpPr>
            <xdr:cNvPr id="54584" name="Line 20">
              <a:extLst>
                <a:ext uri="{FF2B5EF4-FFF2-40B4-BE49-F238E27FC236}">
                  <a16:creationId xmlns:a16="http://schemas.microsoft.com/office/drawing/2014/main" xmlns="" id="{987EDFF3-6092-4287-8E73-9841B3A8AB8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19" y="46"/>
              <a:ext cx="257" cy="0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4585" name="Line 21">
              <a:extLst>
                <a:ext uri="{FF2B5EF4-FFF2-40B4-BE49-F238E27FC236}">
                  <a16:creationId xmlns:a16="http://schemas.microsoft.com/office/drawing/2014/main" xmlns="" id="{7AA79CCA-7514-442B-ABF4-F40560EF82B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77" y="25"/>
              <a:ext cx="0" cy="43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4586" name="Line 22">
              <a:extLst>
                <a:ext uri="{FF2B5EF4-FFF2-40B4-BE49-F238E27FC236}">
                  <a16:creationId xmlns:a16="http://schemas.microsoft.com/office/drawing/2014/main" xmlns="" id="{4231874F-DB8E-4A01-85F9-7E396307F38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19" y="24"/>
              <a:ext cx="258" cy="0"/>
            </a:xfrm>
            <a:prstGeom prst="line">
              <a:avLst/>
            </a:prstGeom>
            <a:noFill/>
            <a:ln w="1016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54581" name="Line 23">
            <a:extLst>
              <a:ext uri="{FF2B5EF4-FFF2-40B4-BE49-F238E27FC236}">
                <a16:creationId xmlns:a16="http://schemas.microsoft.com/office/drawing/2014/main" xmlns="" id="{76B55A8D-9358-407A-8141-C97D3E7439AF}"/>
              </a:ext>
            </a:extLst>
          </xdr:cNvPr>
          <xdr:cNvSpPr>
            <a:spLocks noChangeShapeType="1"/>
          </xdr:cNvSpPr>
        </xdr:nvSpPr>
        <xdr:spPr bwMode="auto">
          <a:xfrm>
            <a:off x="219" y="163"/>
            <a:ext cx="0" cy="43"/>
          </a:xfrm>
          <a:prstGeom prst="line">
            <a:avLst/>
          </a:prstGeom>
          <a:noFill/>
          <a:ln w="1016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582" name="Line 24">
            <a:extLst>
              <a:ext uri="{FF2B5EF4-FFF2-40B4-BE49-F238E27FC236}">
                <a16:creationId xmlns:a16="http://schemas.microsoft.com/office/drawing/2014/main" xmlns="" id="{1E14DE66-560B-4254-8C4F-D851BD2B1DF6}"/>
              </a:ext>
            </a:extLst>
          </xdr:cNvPr>
          <xdr:cNvSpPr>
            <a:spLocks noChangeShapeType="1"/>
          </xdr:cNvSpPr>
        </xdr:nvSpPr>
        <xdr:spPr bwMode="auto">
          <a:xfrm>
            <a:off x="319" y="163"/>
            <a:ext cx="0" cy="44"/>
          </a:xfrm>
          <a:prstGeom prst="line">
            <a:avLst/>
          </a:prstGeom>
          <a:noFill/>
          <a:ln w="1016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7"/>
  <sheetViews>
    <sheetView tabSelected="1" zoomScale="85" zoomScaleNormal="85" zoomScaleSheetLayoutView="90" workbookViewId="0">
      <pane xSplit="2" ySplit="8" topLeftCell="C9" activePane="bottomRight" state="frozen"/>
      <selection pane="topRight" activeCell="C1" sqref="C1"/>
      <selection pane="bottomLeft" activeCell="A10" sqref="A10"/>
      <selection pane="bottomRight" activeCell="B31" sqref="B31"/>
    </sheetView>
  </sheetViews>
  <sheetFormatPr defaultColWidth="11.5" defaultRowHeight="15.75"/>
  <cols>
    <col min="1" max="1" width="23.1640625" style="168" customWidth="1"/>
    <col min="2" max="4" width="12" style="168" customWidth="1"/>
    <col min="5" max="25" width="11.1640625" style="168" customWidth="1"/>
    <col min="26" max="27" width="13.1640625" style="168" customWidth="1"/>
    <col min="28" max="28" width="13.1640625" style="168" bestFit="1" customWidth="1"/>
    <col min="29" max="29" width="13.1640625" style="168" customWidth="1"/>
    <col min="30" max="38" width="11.5" style="168" bestFit="1" customWidth="1"/>
    <col min="39" max="39" width="13.1640625" style="168" customWidth="1"/>
    <col min="40" max="45" width="11.5" style="168" bestFit="1" customWidth="1"/>
    <col min="46" max="47" width="13.1640625" style="168" customWidth="1"/>
    <col min="48" max="49" width="11.5" style="168" bestFit="1" customWidth="1"/>
    <col min="50" max="73" width="11.33203125" style="168" customWidth="1"/>
    <col min="74" max="74" width="12.83203125" style="168" customWidth="1"/>
    <col min="75" max="97" width="10.33203125" style="168" customWidth="1"/>
    <col min="98" max="16384" width="11.5" style="168"/>
  </cols>
  <sheetData>
    <row r="1" spans="1:97" s="174" customFormat="1" ht="27" customHeight="1">
      <c r="A1" s="238" t="s">
        <v>358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3"/>
      <c r="AK1" s="173"/>
      <c r="AL1" s="173"/>
      <c r="AM1" s="173"/>
      <c r="AN1" s="173"/>
      <c r="AO1" s="173"/>
      <c r="AP1" s="173"/>
      <c r="AQ1" s="173"/>
      <c r="AR1" s="173"/>
      <c r="AS1" s="173"/>
      <c r="AT1" s="173"/>
      <c r="AU1" s="173"/>
      <c r="AV1" s="173"/>
      <c r="AW1" s="173"/>
      <c r="AX1" s="173"/>
      <c r="AY1" s="173"/>
      <c r="AZ1" s="173"/>
      <c r="BA1" s="173"/>
      <c r="BB1" s="173"/>
      <c r="BC1" s="173"/>
      <c r="BD1" s="173"/>
      <c r="BE1" s="173"/>
      <c r="BF1" s="173"/>
      <c r="BG1" s="173"/>
      <c r="BH1" s="173"/>
      <c r="BI1" s="173"/>
      <c r="BJ1" s="173"/>
      <c r="BK1" s="173"/>
      <c r="BL1" s="173"/>
      <c r="BM1" s="173"/>
      <c r="BN1" s="173"/>
      <c r="BO1" s="173"/>
      <c r="BP1" s="173"/>
      <c r="BQ1" s="173"/>
      <c r="BR1" s="173"/>
      <c r="BS1" s="173"/>
      <c r="BT1" s="173"/>
      <c r="BU1" s="173"/>
      <c r="BV1" s="173"/>
      <c r="BW1" s="173"/>
      <c r="BX1" s="173"/>
      <c r="BY1" s="173"/>
      <c r="BZ1" s="173"/>
      <c r="CA1" s="173"/>
      <c r="CB1" s="173"/>
      <c r="CC1" s="173"/>
      <c r="CD1" s="173"/>
      <c r="CE1" s="173"/>
      <c r="CF1" s="173"/>
      <c r="CG1" s="173"/>
      <c r="CH1" s="173"/>
      <c r="CI1" s="173"/>
      <c r="CJ1" s="173"/>
      <c r="CK1" s="173"/>
      <c r="CL1" s="173"/>
      <c r="CM1" s="173"/>
      <c r="CN1" s="173"/>
      <c r="CO1" s="173"/>
      <c r="CP1" s="173"/>
      <c r="CQ1" s="173"/>
      <c r="CR1" s="173"/>
      <c r="CS1" s="173"/>
    </row>
    <row r="2" spans="1:97" s="174" customFormat="1" ht="18.600000000000001" customHeight="1">
      <c r="A2" s="167" t="s">
        <v>359</v>
      </c>
      <c r="AA2" s="173"/>
      <c r="AB2" s="173"/>
      <c r="AC2" s="173"/>
      <c r="AD2" s="173"/>
      <c r="AE2" s="173"/>
      <c r="AF2" s="173"/>
      <c r="AG2" s="173"/>
      <c r="AH2" s="173"/>
      <c r="AI2" s="173"/>
      <c r="AJ2" s="173"/>
      <c r="AK2" s="173"/>
      <c r="AL2" s="173"/>
      <c r="AM2" s="173"/>
      <c r="AN2" s="173"/>
      <c r="AO2" s="173"/>
      <c r="AP2" s="173"/>
      <c r="AQ2" s="173"/>
      <c r="AR2" s="173"/>
      <c r="AS2" s="173"/>
      <c r="AT2" s="173"/>
      <c r="AU2" s="173"/>
      <c r="AV2" s="173"/>
      <c r="AW2" s="173"/>
      <c r="AX2" s="173"/>
      <c r="AY2" s="173"/>
      <c r="AZ2" s="173"/>
      <c r="BA2" s="173"/>
      <c r="BB2" s="173"/>
      <c r="BC2" s="173"/>
      <c r="BD2" s="173"/>
      <c r="BE2" s="173"/>
      <c r="BF2" s="173"/>
      <c r="BG2" s="173"/>
      <c r="BH2" s="173"/>
      <c r="BI2" s="173"/>
      <c r="BJ2" s="173"/>
      <c r="BK2" s="173"/>
      <c r="BL2" s="173"/>
      <c r="BM2" s="173"/>
      <c r="BN2" s="173"/>
      <c r="BO2" s="173"/>
      <c r="BP2" s="173"/>
      <c r="BQ2" s="173"/>
      <c r="BR2" s="173"/>
      <c r="BS2" s="173"/>
      <c r="BT2" s="173"/>
      <c r="BU2" s="173"/>
      <c r="BV2" s="173"/>
      <c r="BW2" s="173"/>
      <c r="BX2" s="173"/>
      <c r="BY2" s="173"/>
      <c r="BZ2" s="173"/>
      <c r="CA2" s="173"/>
      <c r="CB2" s="173"/>
      <c r="CC2" s="173"/>
      <c r="CD2" s="173"/>
      <c r="CE2" s="173"/>
      <c r="CF2" s="173"/>
      <c r="CG2" s="173"/>
      <c r="CH2" s="173"/>
      <c r="CI2" s="173"/>
      <c r="CJ2" s="173"/>
      <c r="CK2" s="173"/>
      <c r="CL2" s="173"/>
      <c r="CM2" s="173"/>
      <c r="CN2" s="173"/>
      <c r="CO2" s="173"/>
      <c r="CP2" s="173"/>
      <c r="CQ2" s="173"/>
      <c r="CR2" s="173"/>
      <c r="CS2" s="173"/>
    </row>
    <row r="3" spans="1:97" s="150" customFormat="1" ht="18.600000000000001" customHeight="1" thickBot="1">
      <c r="A3" s="175" t="s">
        <v>443</v>
      </c>
      <c r="B3" s="176"/>
      <c r="C3" s="176"/>
      <c r="D3" s="176"/>
      <c r="E3" s="137"/>
      <c r="F3" s="452"/>
      <c r="G3" s="452"/>
      <c r="H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AY3" s="176"/>
      <c r="AZ3" s="176"/>
      <c r="BA3" s="176"/>
      <c r="BB3" s="176"/>
      <c r="BC3" s="176"/>
      <c r="BD3" s="176"/>
      <c r="BH3" s="176"/>
      <c r="BI3" s="176"/>
      <c r="BJ3" s="176"/>
      <c r="BK3" s="176"/>
      <c r="BL3" s="176"/>
      <c r="BM3" s="176"/>
      <c r="BN3" s="176"/>
      <c r="BO3" s="176"/>
      <c r="BP3" s="176"/>
      <c r="BQ3" s="176"/>
      <c r="BR3" s="176"/>
      <c r="BS3" s="176"/>
      <c r="BT3" s="239"/>
      <c r="BU3" s="239"/>
      <c r="BV3" s="176"/>
      <c r="BW3" s="176"/>
      <c r="BX3" s="176"/>
      <c r="BY3" s="176"/>
      <c r="BZ3" s="176"/>
      <c r="CA3" s="176"/>
      <c r="CB3" s="176"/>
      <c r="CF3" s="176"/>
      <c r="CG3" s="176"/>
      <c r="CH3" s="176"/>
      <c r="CI3" s="176"/>
      <c r="CJ3" s="176"/>
      <c r="CK3" s="176"/>
      <c r="CL3" s="176"/>
      <c r="CM3" s="176"/>
      <c r="CN3" s="176"/>
      <c r="CO3" s="176"/>
      <c r="CP3" s="176"/>
      <c r="CQ3" s="176"/>
      <c r="CR3" s="239"/>
      <c r="CS3" s="239"/>
    </row>
    <row r="4" spans="1:97" s="150" customFormat="1" ht="21.75" customHeight="1">
      <c r="A4" s="453" t="s">
        <v>444</v>
      </c>
      <c r="B4" s="242" t="s">
        <v>378</v>
      </c>
      <c r="C4" s="243"/>
      <c r="D4" s="243"/>
      <c r="E4" s="243"/>
      <c r="F4" s="243"/>
      <c r="G4" s="243"/>
      <c r="H4" s="243"/>
      <c r="I4" s="243"/>
      <c r="J4" s="244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43"/>
      <c r="X4" s="243"/>
      <c r="Y4" s="245"/>
      <c r="Z4" s="246" t="s">
        <v>445</v>
      </c>
      <c r="AA4" s="247"/>
      <c r="AB4" s="247"/>
      <c r="AC4" s="247"/>
      <c r="AD4" s="247"/>
      <c r="AE4" s="247"/>
      <c r="AF4" s="247"/>
      <c r="AG4" s="247"/>
      <c r="AH4" s="248"/>
      <c r="AI4" s="247"/>
      <c r="AJ4" s="247"/>
      <c r="AK4" s="247"/>
      <c r="AL4" s="247"/>
      <c r="AM4" s="247"/>
      <c r="AN4" s="247"/>
      <c r="AO4" s="247"/>
      <c r="AP4" s="247"/>
      <c r="AQ4" s="247"/>
      <c r="AR4" s="247"/>
      <c r="AS4" s="247"/>
      <c r="AT4" s="247"/>
      <c r="AU4" s="247"/>
      <c r="AV4" s="247"/>
      <c r="AW4" s="249"/>
      <c r="AX4" s="250" t="s">
        <v>446</v>
      </c>
      <c r="AY4" s="251"/>
      <c r="AZ4" s="251"/>
      <c r="BA4" s="251"/>
      <c r="BB4" s="251"/>
      <c r="BC4" s="251"/>
      <c r="BD4" s="251"/>
      <c r="BE4" s="251"/>
      <c r="BF4" s="252"/>
      <c r="BG4" s="251"/>
      <c r="BH4" s="251"/>
      <c r="BI4" s="251"/>
      <c r="BJ4" s="251"/>
      <c r="BK4" s="251"/>
      <c r="BL4" s="251"/>
      <c r="BM4" s="251"/>
      <c r="BN4" s="251"/>
      <c r="BO4" s="251"/>
      <c r="BP4" s="251"/>
      <c r="BQ4" s="251"/>
      <c r="BR4" s="251"/>
      <c r="BS4" s="251"/>
      <c r="BT4" s="251"/>
      <c r="BU4" s="253"/>
      <c r="BV4" s="254" t="s">
        <v>447</v>
      </c>
      <c r="BW4" s="255"/>
      <c r="BX4" s="255"/>
      <c r="BY4" s="255"/>
      <c r="BZ4" s="255"/>
      <c r="CA4" s="255"/>
      <c r="CB4" s="255"/>
      <c r="CC4" s="255"/>
      <c r="CD4" s="256"/>
      <c r="CE4" s="255"/>
      <c r="CF4" s="255"/>
      <c r="CG4" s="255"/>
      <c r="CH4" s="255"/>
      <c r="CI4" s="255"/>
      <c r="CJ4" s="255"/>
      <c r="CK4" s="255"/>
      <c r="CL4" s="255"/>
      <c r="CM4" s="255"/>
      <c r="CN4" s="255"/>
      <c r="CO4" s="255"/>
      <c r="CP4" s="255"/>
      <c r="CQ4" s="255"/>
      <c r="CR4" s="255"/>
      <c r="CS4" s="256"/>
    </row>
    <row r="5" spans="1:97" ht="21.75" customHeight="1">
      <c r="A5" s="454"/>
      <c r="B5" s="257" t="s">
        <v>448</v>
      </c>
      <c r="C5" s="257"/>
      <c r="D5" s="257"/>
      <c r="E5" s="257"/>
      <c r="F5" s="257"/>
      <c r="G5" s="257"/>
      <c r="H5" s="257"/>
      <c r="I5" s="257"/>
      <c r="J5" s="257"/>
      <c r="K5" s="257"/>
      <c r="L5" s="257"/>
      <c r="M5" s="257"/>
      <c r="N5" s="257"/>
      <c r="O5" s="257"/>
      <c r="P5" s="257"/>
      <c r="Q5" s="257"/>
      <c r="R5" s="257"/>
      <c r="S5" s="257"/>
      <c r="T5" s="257"/>
      <c r="U5" s="257"/>
      <c r="V5" s="257"/>
      <c r="W5" s="257"/>
      <c r="X5" s="257"/>
      <c r="Y5" s="258"/>
      <c r="Z5" s="259" t="s">
        <v>449</v>
      </c>
      <c r="AA5" s="260"/>
      <c r="AB5" s="260"/>
      <c r="AC5" s="260"/>
      <c r="AD5" s="260"/>
      <c r="AE5" s="260"/>
      <c r="AF5" s="260"/>
      <c r="AG5" s="260"/>
      <c r="AH5" s="261"/>
      <c r="AI5" s="260"/>
      <c r="AJ5" s="260"/>
      <c r="AK5" s="260"/>
      <c r="AL5" s="260"/>
      <c r="AM5" s="260"/>
      <c r="AN5" s="260"/>
      <c r="AO5" s="260"/>
      <c r="AP5" s="260"/>
      <c r="AQ5" s="260"/>
      <c r="AR5" s="260"/>
      <c r="AS5" s="260"/>
      <c r="AT5" s="260"/>
      <c r="AU5" s="260"/>
      <c r="AV5" s="260"/>
      <c r="AW5" s="262"/>
      <c r="AX5" s="263" t="s">
        <v>450</v>
      </c>
      <c r="AY5" s="264"/>
      <c r="AZ5" s="264"/>
      <c r="BA5" s="264"/>
      <c r="BB5" s="264"/>
      <c r="BC5" s="264"/>
      <c r="BD5" s="264"/>
      <c r="BE5" s="264"/>
      <c r="BF5" s="265"/>
      <c r="BG5" s="264"/>
      <c r="BH5" s="264"/>
      <c r="BI5" s="264"/>
      <c r="BJ5" s="264"/>
      <c r="BK5" s="264"/>
      <c r="BL5" s="264"/>
      <c r="BM5" s="264"/>
      <c r="BN5" s="264"/>
      <c r="BO5" s="264"/>
      <c r="BP5" s="264"/>
      <c r="BQ5" s="264"/>
      <c r="BR5" s="264"/>
      <c r="BS5" s="264"/>
      <c r="BT5" s="264"/>
      <c r="BU5" s="266"/>
      <c r="BV5" s="268" t="s">
        <v>451</v>
      </c>
      <c r="BW5" s="269"/>
      <c r="BX5" s="269"/>
      <c r="BY5" s="269"/>
      <c r="BZ5" s="269"/>
      <c r="CA5" s="269"/>
      <c r="CB5" s="269"/>
      <c r="CC5" s="269"/>
      <c r="CD5" s="270"/>
      <c r="CE5" s="269"/>
      <c r="CF5" s="269"/>
      <c r="CG5" s="269"/>
      <c r="CH5" s="269"/>
      <c r="CI5" s="269"/>
      <c r="CJ5" s="269"/>
      <c r="CK5" s="269"/>
      <c r="CL5" s="269"/>
      <c r="CM5" s="269"/>
      <c r="CN5" s="269"/>
      <c r="CO5" s="269"/>
      <c r="CP5" s="269"/>
      <c r="CQ5" s="269"/>
      <c r="CR5" s="269"/>
      <c r="CS5" s="270"/>
    </row>
    <row r="6" spans="1:97" ht="21.75" customHeight="1">
      <c r="A6" s="454"/>
      <c r="B6" s="271" t="s">
        <v>452</v>
      </c>
      <c r="C6" s="271"/>
      <c r="D6" s="272"/>
      <c r="E6" s="267" t="s">
        <v>453</v>
      </c>
      <c r="F6" s="267"/>
      <c r="G6" s="267"/>
      <c r="H6" s="267" t="s">
        <v>454</v>
      </c>
      <c r="I6" s="267"/>
      <c r="J6" s="273"/>
      <c r="K6" s="267" t="s">
        <v>455</v>
      </c>
      <c r="L6" s="267"/>
      <c r="M6" s="267"/>
      <c r="N6" s="267" t="s">
        <v>372</v>
      </c>
      <c r="O6" s="267"/>
      <c r="P6" s="267"/>
      <c r="Q6" s="267" t="s">
        <v>456</v>
      </c>
      <c r="R6" s="267"/>
      <c r="S6" s="267"/>
      <c r="T6" s="267" t="s">
        <v>457</v>
      </c>
      <c r="U6" s="267"/>
      <c r="V6" s="267"/>
      <c r="W6" s="267" t="s">
        <v>458</v>
      </c>
      <c r="X6" s="267"/>
      <c r="Y6" s="274"/>
      <c r="Z6" s="271" t="s">
        <v>459</v>
      </c>
      <c r="AA6" s="271"/>
      <c r="AB6" s="272"/>
      <c r="AC6" s="267" t="s">
        <v>460</v>
      </c>
      <c r="AD6" s="267"/>
      <c r="AE6" s="267"/>
      <c r="AF6" s="267" t="s">
        <v>461</v>
      </c>
      <c r="AG6" s="267"/>
      <c r="AH6" s="273"/>
      <c r="AI6" s="267" t="s">
        <v>371</v>
      </c>
      <c r="AJ6" s="267"/>
      <c r="AK6" s="267"/>
      <c r="AL6" s="267" t="s">
        <v>372</v>
      </c>
      <c r="AM6" s="267"/>
      <c r="AN6" s="267"/>
      <c r="AO6" s="267" t="s">
        <v>373</v>
      </c>
      <c r="AP6" s="267"/>
      <c r="AQ6" s="267"/>
      <c r="AR6" s="267" t="s">
        <v>462</v>
      </c>
      <c r="AS6" s="267"/>
      <c r="AT6" s="267"/>
      <c r="AU6" s="267" t="s">
        <v>463</v>
      </c>
      <c r="AV6" s="267"/>
      <c r="AW6" s="274"/>
      <c r="AX6" s="271" t="s">
        <v>366</v>
      </c>
      <c r="AY6" s="271"/>
      <c r="AZ6" s="272"/>
      <c r="BA6" s="267" t="s">
        <v>369</v>
      </c>
      <c r="BB6" s="267"/>
      <c r="BC6" s="267"/>
      <c r="BD6" s="267" t="s">
        <v>464</v>
      </c>
      <c r="BE6" s="267"/>
      <c r="BF6" s="273"/>
      <c r="BG6" s="267" t="s">
        <v>371</v>
      </c>
      <c r="BH6" s="267"/>
      <c r="BI6" s="267"/>
      <c r="BJ6" s="267" t="s">
        <v>372</v>
      </c>
      <c r="BK6" s="267"/>
      <c r="BL6" s="267"/>
      <c r="BM6" s="267" t="s">
        <v>373</v>
      </c>
      <c r="BN6" s="267"/>
      <c r="BO6" s="267"/>
      <c r="BP6" s="267" t="s">
        <v>462</v>
      </c>
      <c r="BQ6" s="267"/>
      <c r="BR6" s="267"/>
      <c r="BS6" s="267" t="s">
        <v>375</v>
      </c>
      <c r="BT6" s="267"/>
      <c r="BU6" s="274"/>
      <c r="BV6" s="271" t="s">
        <v>452</v>
      </c>
      <c r="BW6" s="271"/>
      <c r="BX6" s="272"/>
      <c r="BY6" s="267" t="s">
        <v>453</v>
      </c>
      <c r="BZ6" s="267"/>
      <c r="CA6" s="267"/>
      <c r="CB6" s="267" t="s">
        <v>370</v>
      </c>
      <c r="CC6" s="267"/>
      <c r="CD6" s="273"/>
      <c r="CE6" s="267" t="s">
        <v>371</v>
      </c>
      <c r="CF6" s="267"/>
      <c r="CG6" s="267"/>
      <c r="CH6" s="267" t="s">
        <v>465</v>
      </c>
      <c r="CI6" s="267"/>
      <c r="CJ6" s="267"/>
      <c r="CK6" s="267" t="s">
        <v>466</v>
      </c>
      <c r="CL6" s="267"/>
      <c r="CM6" s="267"/>
      <c r="CN6" s="267" t="s">
        <v>467</v>
      </c>
      <c r="CO6" s="267"/>
      <c r="CP6" s="267"/>
      <c r="CQ6" s="267" t="s">
        <v>458</v>
      </c>
      <c r="CR6" s="267"/>
      <c r="CS6" s="273"/>
    </row>
    <row r="7" spans="1:97" ht="45.6" customHeight="1" thickBot="1">
      <c r="A7" s="455"/>
      <c r="B7" s="158" t="s">
        <v>468</v>
      </c>
      <c r="C7" s="156" t="s">
        <v>336</v>
      </c>
      <c r="D7" s="156" t="s">
        <v>469</v>
      </c>
      <c r="E7" s="155" t="s">
        <v>470</v>
      </c>
      <c r="F7" s="156" t="s">
        <v>336</v>
      </c>
      <c r="G7" s="156" t="s">
        <v>471</v>
      </c>
      <c r="H7" s="155" t="s">
        <v>468</v>
      </c>
      <c r="I7" s="156" t="s">
        <v>472</v>
      </c>
      <c r="J7" s="156" t="s">
        <v>337</v>
      </c>
      <c r="K7" s="155" t="s">
        <v>468</v>
      </c>
      <c r="L7" s="156" t="s">
        <v>472</v>
      </c>
      <c r="M7" s="156" t="s">
        <v>473</v>
      </c>
      <c r="N7" s="155" t="s">
        <v>474</v>
      </c>
      <c r="O7" s="156" t="s">
        <v>472</v>
      </c>
      <c r="P7" s="156" t="s">
        <v>337</v>
      </c>
      <c r="Q7" s="155" t="s">
        <v>475</v>
      </c>
      <c r="R7" s="156" t="s">
        <v>476</v>
      </c>
      <c r="S7" s="156" t="s">
        <v>477</v>
      </c>
      <c r="T7" s="155" t="s">
        <v>335</v>
      </c>
      <c r="U7" s="156" t="s">
        <v>472</v>
      </c>
      <c r="V7" s="156" t="s">
        <v>477</v>
      </c>
      <c r="W7" s="155" t="s">
        <v>468</v>
      </c>
      <c r="X7" s="156" t="s">
        <v>476</v>
      </c>
      <c r="Y7" s="157" t="s">
        <v>337</v>
      </c>
      <c r="Z7" s="158" t="s">
        <v>478</v>
      </c>
      <c r="AA7" s="156" t="s">
        <v>472</v>
      </c>
      <c r="AB7" s="156" t="s">
        <v>473</v>
      </c>
      <c r="AC7" s="155" t="s">
        <v>478</v>
      </c>
      <c r="AD7" s="156" t="s">
        <v>479</v>
      </c>
      <c r="AE7" s="156" t="s">
        <v>337</v>
      </c>
      <c r="AF7" s="155" t="s">
        <v>475</v>
      </c>
      <c r="AG7" s="156" t="s">
        <v>336</v>
      </c>
      <c r="AH7" s="156" t="s">
        <v>471</v>
      </c>
      <c r="AI7" s="155" t="s">
        <v>470</v>
      </c>
      <c r="AJ7" s="156" t="s">
        <v>472</v>
      </c>
      <c r="AK7" s="156" t="s">
        <v>480</v>
      </c>
      <c r="AL7" s="155" t="s">
        <v>475</v>
      </c>
      <c r="AM7" s="156" t="s">
        <v>479</v>
      </c>
      <c r="AN7" s="156" t="s">
        <v>481</v>
      </c>
      <c r="AO7" s="155" t="s">
        <v>478</v>
      </c>
      <c r="AP7" s="156" t="s">
        <v>472</v>
      </c>
      <c r="AQ7" s="156" t="s">
        <v>471</v>
      </c>
      <c r="AR7" s="155" t="s">
        <v>468</v>
      </c>
      <c r="AS7" s="156" t="s">
        <v>476</v>
      </c>
      <c r="AT7" s="156" t="s">
        <v>471</v>
      </c>
      <c r="AU7" s="155" t="s">
        <v>468</v>
      </c>
      <c r="AV7" s="156" t="s">
        <v>476</v>
      </c>
      <c r="AW7" s="157" t="s">
        <v>477</v>
      </c>
      <c r="AX7" s="159" t="s">
        <v>335</v>
      </c>
      <c r="AY7" s="156" t="s">
        <v>336</v>
      </c>
      <c r="AZ7" s="156" t="s">
        <v>477</v>
      </c>
      <c r="BA7" s="155" t="s">
        <v>475</v>
      </c>
      <c r="BB7" s="156" t="s">
        <v>482</v>
      </c>
      <c r="BC7" s="156" t="s">
        <v>483</v>
      </c>
      <c r="BD7" s="155" t="s">
        <v>475</v>
      </c>
      <c r="BE7" s="156" t="s">
        <v>336</v>
      </c>
      <c r="BF7" s="156" t="s">
        <v>471</v>
      </c>
      <c r="BG7" s="155" t="s">
        <v>484</v>
      </c>
      <c r="BH7" s="156" t="s">
        <v>479</v>
      </c>
      <c r="BI7" s="156" t="s">
        <v>337</v>
      </c>
      <c r="BJ7" s="155" t="s">
        <v>475</v>
      </c>
      <c r="BK7" s="156" t="s">
        <v>479</v>
      </c>
      <c r="BL7" s="156" t="s">
        <v>477</v>
      </c>
      <c r="BM7" s="155" t="s">
        <v>484</v>
      </c>
      <c r="BN7" s="156" t="s">
        <v>336</v>
      </c>
      <c r="BO7" s="156" t="s">
        <v>473</v>
      </c>
      <c r="BP7" s="155" t="s">
        <v>470</v>
      </c>
      <c r="BQ7" s="156" t="s">
        <v>336</v>
      </c>
      <c r="BR7" s="156" t="s">
        <v>337</v>
      </c>
      <c r="BS7" s="155" t="s">
        <v>468</v>
      </c>
      <c r="BT7" s="156" t="s">
        <v>479</v>
      </c>
      <c r="BU7" s="157" t="s">
        <v>337</v>
      </c>
      <c r="BV7" s="159" t="s">
        <v>468</v>
      </c>
      <c r="BW7" s="156" t="s">
        <v>336</v>
      </c>
      <c r="BX7" s="156" t="s">
        <v>473</v>
      </c>
      <c r="BY7" s="155" t="s">
        <v>335</v>
      </c>
      <c r="BZ7" s="156" t="s">
        <v>472</v>
      </c>
      <c r="CA7" s="156" t="s">
        <v>481</v>
      </c>
      <c r="CB7" s="155" t="s">
        <v>478</v>
      </c>
      <c r="CC7" s="156" t="s">
        <v>485</v>
      </c>
      <c r="CD7" s="156" t="s">
        <v>469</v>
      </c>
      <c r="CE7" s="155" t="s">
        <v>478</v>
      </c>
      <c r="CF7" s="156" t="s">
        <v>472</v>
      </c>
      <c r="CG7" s="156" t="s">
        <v>471</v>
      </c>
      <c r="CH7" s="155" t="s">
        <v>468</v>
      </c>
      <c r="CI7" s="156" t="s">
        <v>476</v>
      </c>
      <c r="CJ7" s="156" t="s">
        <v>471</v>
      </c>
      <c r="CK7" s="155" t="s">
        <v>468</v>
      </c>
      <c r="CL7" s="156" t="s">
        <v>476</v>
      </c>
      <c r="CM7" s="156" t="s">
        <v>477</v>
      </c>
      <c r="CN7" s="155" t="s">
        <v>335</v>
      </c>
      <c r="CO7" s="156" t="s">
        <v>476</v>
      </c>
      <c r="CP7" s="156" t="s">
        <v>477</v>
      </c>
      <c r="CQ7" s="155" t="s">
        <v>484</v>
      </c>
      <c r="CR7" s="156" t="s">
        <v>486</v>
      </c>
      <c r="CS7" s="160" t="s">
        <v>471</v>
      </c>
    </row>
    <row r="8" spans="1:97" s="178" customFormat="1" ht="20.45" customHeight="1">
      <c r="A8" s="170" t="s">
        <v>379</v>
      </c>
      <c r="B8" s="139">
        <f>'110'!B8</f>
        <v>264416</v>
      </c>
      <c r="C8" s="139">
        <f>'110'!C8</f>
        <v>111769</v>
      </c>
      <c r="D8" s="139">
        <f>'110'!D8</f>
        <v>152647</v>
      </c>
      <c r="E8" s="139">
        <f>'110'!E8</f>
        <v>44266</v>
      </c>
      <c r="F8" s="139">
        <f>'110'!F8</f>
        <v>16646</v>
      </c>
      <c r="G8" s="139">
        <f>'110'!G8</f>
        <v>27620</v>
      </c>
      <c r="H8" s="139">
        <f>'110'!H8</f>
        <v>46975</v>
      </c>
      <c r="I8" s="139">
        <f>'110'!I8</f>
        <v>17280</v>
      </c>
      <c r="J8" s="139">
        <f>'110'!J8</f>
        <v>29695</v>
      </c>
      <c r="K8" s="139">
        <f>'110'!K8</f>
        <v>53289</v>
      </c>
      <c r="L8" s="139">
        <f>'110'!L8</f>
        <v>22082</v>
      </c>
      <c r="M8" s="139">
        <f>'110'!M8</f>
        <v>31207</v>
      </c>
      <c r="N8" s="139">
        <f>'110'!N8</f>
        <v>42142</v>
      </c>
      <c r="O8" s="139">
        <f>'110'!O8</f>
        <v>19376</v>
      </c>
      <c r="P8" s="139">
        <f>'110'!P8</f>
        <v>22766</v>
      </c>
      <c r="Q8" s="139">
        <f>'110'!Q8</f>
        <v>28166</v>
      </c>
      <c r="R8" s="139">
        <f>'110'!R8</f>
        <v>12754</v>
      </c>
      <c r="S8" s="139">
        <f>'110'!S8</f>
        <v>15412</v>
      </c>
      <c r="T8" s="139">
        <f>'110'!T8</f>
        <v>24472</v>
      </c>
      <c r="U8" s="139">
        <f>'110'!U8</f>
        <v>11499</v>
      </c>
      <c r="V8" s="139">
        <f>'110'!V8</f>
        <v>12973</v>
      </c>
      <c r="W8" s="139">
        <f>'110'!W8</f>
        <v>25106</v>
      </c>
      <c r="X8" s="139">
        <f>'110'!X8</f>
        <v>12132</v>
      </c>
      <c r="Y8" s="139">
        <f>'110'!Y8</f>
        <v>12974</v>
      </c>
      <c r="Z8" s="139">
        <f>'110'!Z8</f>
        <v>249936</v>
      </c>
      <c r="AA8" s="139">
        <f>'110'!AA8</f>
        <v>106538</v>
      </c>
      <c r="AB8" s="139">
        <f>'110'!AB8</f>
        <v>143398</v>
      </c>
      <c r="AC8" s="139">
        <f>'110'!AC8</f>
        <v>42662</v>
      </c>
      <c r="AD8" s="139">
        <f>'110'!AD8</f>
        <v>16160</v>
      </c>
      <c r="AE8" s="139">
        <f>'110'!AE8</f>
        <v>26502</v>
      </c>
      <c r="AF8" s="139">
        <f>'110'!AF8</f>
        <v>44567</v>
      </c>
      <c r="AG8" s="139">
        <f>'110'!AG8</f>
        <v>16563</v>
      </c>
      <c r="AH8" s="139">
        <f>'110'!AH8</f>
        <v>28004</v>
      </c>
      <c r="AI8" s="139">
        <f>'110'!AI8</f>
        <v>49978</v>
      </c>
      <c r="AJ8" s="139">
        <f>'110'!AJ8</f>
        <v>20972</v>
      </c>
      <c r="AK8" s="139">
        <f>'110'!AK8</f>
        <v>29006</v>
      </c>
      <c r="AL8" s="139">
        <f>'110'!AL8</f>
        <v>39113</v>
      </c>
      <c r="AM8" s="139">
        <f>'110'!AM8</f>
        <v>18117</v>
      </c>
      <c r="AN8" s="139">
        <f>'110'!AN8</f>
        <v>20996</v>
      </c>
      <c r="AO8" s="139">
        <f>'110'!AO8</f>
        <v>25189</v>
      </c>
      <c r="AP8" s="139">
        <f>'110'!AP8</f>
        <v>11557</v>
      </c>
      <c r="AQ8" s="139">
        <f>'110'!AQ8</f>
        <v>13632</v>
      </c>
      <c r="AR8" s="139">
        <f>'110'!AR8</f>
        <v>23673</v>
      </c>
      <c r="AS8" s="139">
        <f>'110'!AS8</f>
        <v>11181</v>
      </c>
      <c r="AT8" s="139">
        <f>'110'!AT8</f>
        <v>12492</v>
      </c>
      <c r="AU8" s="139">
        <f>'110'!AU8</f>
        <v>24754</v>
      </c>
      <c r="AV8" s="139">
        <f>'110'!AV8</f>
        <v>11988</v>
      </c>
      <c r="AW8" s="139">
        <f>'110'!AW8</f>
        <v>12766</v>
      </c>
      <c r="AX8" s="139">
        <f>'110'!AX8</f>
        <v>22959</v>
      </c>
      <c r="AY8" s="139">
        <f>'110'!AY8</f>
        <v>8495</v>
      </c>
      <c r="AZ8" s="139">
        <f>'110'!AZ8</f>
        <v>14464</v>
      </c>
      <c r="BA8" s="139">
        <f>'110'!BA8</f>
        <v>2199</v>
      </c>
      <c r="BB8" s="139">
        <f>'110'!BB8</f>
        <v>675</v>
      </c>
      <c r="BC8" s="139">
        <f>'110'!BC8</f>
        <v>1524</v>
      </c>
      <c r="BD8" s="139">
        <f>'110'!BD8</f>
        <v>3635</v>
      </c>
      <c r="BE8" s="139">
        <f>'110'!BE8</f>
        <v>1108</v>
      </c>
      <c r="BF8" s="139">
        <f>'110'!BF8</f>
        <v>2527</v>
      </c>
      <c r="BG8" s="139">
        <f>'110'!BG8</f>
        <v>5132</v>
      </c>
      <c r="BH8" s="139">
        <f>'110'!BH8</f>
        <v>1792</v>
      </c>
      <c r="BI8" s="139">
        <f>'110'!BI8</f>
        <v>3340</v>
      </c>
      <c r="BJ8" s="139">
        <f>'110'!BJ8</f>
        <v>4793</v>
      </c>
      <c r="BK8" s="139">
        <f>'110'!BK8</f>
        <v>1968</v>
      </c>
      <c r="BL8" s="139">
        <f>'110'!BL8</f>
        <v>2825</v>
      </c>
      <c r="BM8" s="139">
        <f>'110'!BM8</f>
        <v>4926</v>
      </c>
      <c r="BN8" s="139">
        <f>'110'!BN8</f>
        <v>1993</v>
      </c>
      <c r="BO8" s="139">
        <f>'110'!BO8</f>
        <v>2933</v>
      </c>
      <c r="BP8" s="139">
        <f>'110'!BP8</f>
        <v>1577</v>
      </c>
      <c r="BQ8" s="139">
        <f>'110'!BQ8</f>
        <v>648</v>
      </c>
      <c r="BR8" s="139">
        <f>'110'!BR8</f>
        <v>929</v>
      </c>
      <c r="BS8" s="139">
        <f>'110'!BS8</f>
        <v>697</v>
      </c>
      <c r="BT8" s="139">
        <f>'110'!BT8</f>
        <v>311</v>
      </c>
      <c r="BU8" s="139">
        <f>'110'!BU8</f>
        <v>386</v>
      </c>
      <c r="BV8" s="139">
        <f>'110'!BV8</f>
        <v>1411</v>
      </c>
      <c r="BW8" s="139">
        <f>'110'!BW8</f>
        <v>612</v>
      </c>
      <c r="BX8" s="139">
        <f>'110'!BX8</f>
        <v>799</v>
      </c>
      <c r="BY8" s="139">
        <f>'110'!BY8</f>
        <v>44</v>
      </c>
      <c r="BZ8" s="139">
        <f>'110'!BZ8</f>
        <v>16</v>
      </c>
      <c r="CA8" s="139">
        <f>'110'!CA8</f>
        <v>28</v>
      </c>
      <c r="CB8" s="139">
        <f>'110'!CB8</f>
        <v>84</v>
      </c>
      <c r="CC8" s="139">
        <f>'110'!CC8</f>
        <v>33</v>
      </c>
      <c r="CD8" s="139">
        <f>'110'!CD8</f>
        <v>51</v>
      </c>
      <c r="CE8" s="139">
        <f>'110'!CE8</f>
        <v>153</v>
      </c>
      <c r="CF8" s="139">
        <f>'110'!CF8</f>
        <v>59</v>
      </c>
      <c r="CG8" s="139">
        <f>'110'!CG8</f>
        <v>94</v>
      </c>
      <c r="CH8" s="139">
        <f>'110'!CH8</f>
        <v>280</v>
      </c>
      <c r="CI8" s="139">
        <f>'110'!CI8</f>
        <v>117</v>
      </c>
      <c r="CJ8" s="139">
        <f>'110'!CJ8</f>
        <v>163</v>
      </c>
      <c r="CK8" s="139">
        <f>'110'!CK8</f>
        <v>347</v>
      </c>
      <c r="CL8" s="139">
        <f>'110'!CL8</f>
        <v>167</v>
      </c>
      <c r="CM8" s="139">
        <f>'110'!CM8</f>
        <v>180</v>
      </c>
      <c r="CN8" s="139">
        <f>'110'!CN8</f>
        <v>286</v>
      </c>
      <c r="CO8" s="139">
        <f>'110'!CO8</f>
        <v>123</v>
      </c>
      <c r="CP8" s="139">
        <f>'110'!CP8</f>
        <v>163</v>
      </c>
      <c r="CQ8" s="139">
        <f>'110'!CQ8</f>
        <v>217</v>
      </c>
      <c r="CR8" s="139">
        <f>'110'!CR8</f>
        <v>97</v>
      </c>
      <c r="CS8" s="139">
        <f>'110'!CS8</f>
        <v>120</v>
      </c>
    </row>
    <row r="9" spans="1:97" s="178" customFormat="1" ht="20.45" customHeight="1">
      <c r="A9" s="170" t="s">
        <v>439</v>
      </c>
      <c r="B9" s="139">
        <f>'111'!B8</f>
        <v>313399</v>
      </c>
      <c r="C9" s="139">
        <f>'111'!C8</f>
        <v>131672</v>
      </c>
      <c r="D9" s="139">
        <f>'111'!D8</f>
        <v>181727</v>
      </c>
      <c r="E9" s="139">
        <f>'111'!E8</f>
        <v>53126</v>
      </c>
      <c r="F9" s="139">
        <f>'111'!F8</f>
        <v>19835</v>
      </c>
      <c r="G9" s="139">
        <f>'111'!G8</f>
        <v>33291</v>
      </c>
      <c r="H9" s="139">
        <f>'111'!H8</f>
        <v>57884</v>
      </c>
      <c r="I9" s="139">
        <f>'111'!I8</f>
        <v>21500</v>
      </c>
      <c r="J9" s="139">
        <f>'111'!J8</f>
        <v>36384</v>
      </c>
      <c r="K9" s="139">
        <f>'111'!K8</f>
        <v>62787</v>
      </c>
      <c r="L9" s="139">
        <f>'111'!L8</f>
        <v>25808</v>
      </c>
      <c r="M9" s="139">
        <f>'111'!M8</f>
        <v>36979</v>
      </c>
      <c r="N9" s="139">
        <f>'111'!N8</f>
        <v>48001</v>
      </c>
      <c r="O9" s="139">
        <f>'111'!O8</f>
        <v>22047</v>
      </c>
      <c r="P9" s="139">
        <f>'111'!P8</f>
        <v>25954</v>
      </c>
      <c r="Q9" s="139">
        <f>'111'!Q8</f>
        <v>31564</v>
      </c>
      <c r="R9" s="139">
        <f>'111'!R8</f>
        <v>14288</v>
      </c>
      <c r="S9" s="139">
        <f>'111'!S8</f>
        <v>17276</v>
      </c>
      <c r="T9" s="139">
        <f>'111'!T8</f>
        <v>29475</v>
      </c>
      <c r="U9" s="139">
        <f>'111'!U8</f>
        <v>13631</v>
      </c>
      <c r="V9" s="139">
        <f>'111'!V8</f>
        <v>15844</v>
      </c>
      <c r="W9" s="139">
        <f>'111'!W8</f>
        <v>30562</v>
      </c>
      <c r="X9" s="139">
        <f>'111'!X8</f>
        <v>14563</v>
      </c>
      <c r="Y9" s="139">
        <f>'111'!Y8</f>
        <v>15999</v>
      </c>
      <c r="Z9" s="139">
        <f>'111'!Z8</f>
        <v>293731</v>
      </c>
      <c r="AA9" s="139">
        <f>'111'!AA8</f>
        <v>124591</v>
      </c>
      <c r="AB9" s="139">
        <f>'111'!AB8</f>
        <v>169140</v>
      </c>
      <c r="AC9" s="139">
        <f>'111'!AC8</f>
        <v>50835</v>
      </c>
      <c r="AD9" s="139">
        <f>'111'!AD8</f>
        <v>19131</v>
      </c>
      <c r="AE9" s="139">
        <f>'111'!AE8</f>
        <v>31704</v>
      </c>
      <c r="AF9" s="139">
        <f>'111'!AF8</f>
        <v>54342</v>
      </c>
      <c r="AG9" s="139">
        <f>'111'!AG8</f>
        <v>20421</v>
      </c>
      <c r="AH9" s="139">
        <f>'111'!AH8</f>
        <v>33921</v>
      </c>
      <c r="AI9" s="139">
        <f>'111'!AI8</f>
        <v>58268</v>
      </c>
      <c r="AJ9" s="139">
        <f>'111'!AJ8</f>
        <v>24226</v>
      </c>
      <c r="AK9" s="139">
        <f>'111'!AK8</f>
        <v>34042</v>
      </c>
      <c r="AL9" s="139">
        <f>'111'!AL8</f>
        <v>44046</v>
      </c>
      <c r="AM9" s="139">
        <f>'111'!AM8</f>
        <v>20438</v>
      </c>
      <c r="AN9" s="139">
        <f>'111'!AN8</f>
        <v>23608</v>
      </c>
      <c r="AO9" s="139">
        <f>'111'!AO8</f>
        <v>27836</v>
      </c>
      <c r="AP9" s="139">
        <f>'111'!AP8</f>
        <v>12821</v>
      </c>
      <c r="AQ9" s="139">
        <f>'111'!AQ8</f>
        <v>15015</v>
      </c>
      <c r="AR9" s="139">
        <f>'111'!AR8</f>
        <v>28326</v>
      </c>
      <c r="AS9" s="139">
        <f>'111'!AS8</f>
        <v>13197</v>
      </c>
      <c r="AT9" s="139">
        <f>'111'!AT8</f>
        <v>15129</v>
      </c>
      <c r="AU9" s="139">
        <f>'111'!AU8</f>
        <v>30078</v>
      </c>
      <c r="AV9" s="139">
        <f>'111'!AV8</f>
        <v>14357</v>
      </c>
      <c r="AW9" s="139">
        <f>'111'!AW8</f>
        <v>15721</v>
      </c>
      <c r="AX9" s="139">
        <f>'111'!AX8</f>
        <v>29261</v>
      </c>
      <c r="AY9" s="139">
        <f>'111'!AY8</f>
        <v>10867</v>
      </c>
      <c r="AZ9" s="139">
        <f>'111'!AZ8</f>
        <v>18394</v>
      </c>
      <c r="BA9" s="139">
        <f>'111'!BA8</f>
        <v>3042</v>
      </c>
      <c r="BB9" s="139">
        <f>'111'!BB8</f>
        <v>948</v>
      </c>
      <c r="BC9" s="139">
        <f>'111'!BC8</f>
        <v>2094</v>
      </c>
      <c r="BD9" s="139">
        <f>'111'!BD8</f>
        <v>5156</v>
      </c>
      <c r="BE9" s="139">
        <f>'111'!BE8</f>
        <v>1634</v>
      </c>
      <c r="BF9" s="139">
        <f>'111'!BF8</f>
        <v>3522</v>
      </c>
      <c r="BG9" s="139">
        <f>'111'!BG8</f>
        <v>6554</v>
      </c>
      <c r="BH9" s="139">
        <f>'111'!BH8</f>
        <v>2349</v>
      </c>
      <c r="BI9" s="139">
        <f>'111'!BI8</f>
        <v>4205</v>
      </c>
      <c r="BJ9" s="139">
        <f>'111'!BJ8</f>
        <v>5821</v>
      </c>
      <c r="BK9" s="139">
        <f>'111'!BK8</f>
        <v>2412</v>
      </c>
      <c r="BL9" s="139">
        <f>'111'!BL8</f>
        <v>3409</v>
      </c>
      <c r="BM9" s="139">
        <f>'111'!BM8</f>
        <v>5689</v>
      </c>
      <c r="BN9" s="139">
        <f>'111'!BN8</f>
        <v>2254</v>
      </c>
      <c r="BO9" s="139">
        <f>'111'!BO8</f>
        <v>3435</v>
      </c>
      <c r="BP9" s="139">
        <f>'111'!BP8</f>
        <v>2076</v>
      </c>
      <c r="BQ9" s="139">
        <f>'111'!BQ8</f>
        <v>872</v>
      </c>
      <c r="BR9" s="139">
        <f>'111'!BR8</f>
        <v>1204</v>
      </c>
      <c r="BS9" s="139">
        <f>'111'!BS8</f>
        <v>923</v>
      </c>
      <c r="BT9" s="139">
        <f>'111'!BT8</f>
        <v>398</v>
      </c>
      <c r="BU9" s="139">
        <f>'111'!BU8</f>
        <v>525</v>
      </c>
      <c r="BV9" s="139">
        <f>'111'!BV8</f>
        <v>1550</v>
      </c>
      <c r="BW9" s="139">
        <f>'111'!BW8</f>
        <v>658</v>
      </c>
      <c r="BX9" s="139">
        <f>'111'!BX8</f>
        <v>892</v>
      </c>
      <c r="BY9" s="139">
        <f>'111'!BY8</f>
        <v>50</v>
      </c>
      <c r="BZ9" s="139">
        <f>'111'!BZ8</f>
        <v>26</v>
      </c>
      <c r="CA9" s="139">
        <f>'111'!CA8</f>
        <v>24</v>
      </c>
      <c r="CB9" s="139">
        <f>'111'!CB8</f>
        <v>92</v>
      </c>
      <c r="CC9" s="139">
        <f>'111'!CC8</f>
        <v>29</v>
      </c>
      <c r="CD9" s="139">
        <f>'111'!CD8</f>
        <v>63</v>
      </c>
      <c r="CE9" s="139">
        <f>'111'!CE8</f>
        <v>169</v>
      </c>
      <c r="CF9" s="139">
        <f>'111'!CF8</f>
        <v>70</v>
      </c>
      <c r="CG9" s="139">
        <f>'111'!CG8</f>
        <v>99</v>
      </c>
      <c r="CH9" s="139">
        <f>'111'!CH8</f>
        <v>284</v>
      </c>
      <c r="CI9" s="139">
        <f>'111'!CI8</f>
        <v>126</v>
      </c>
      <c r="CJ9" s="139">
        <f>'111'!CJ8</f>
        <v>158</v>
      </c>
      <c r="CK9" s="139">
        <f>'111'!CK8</f>
        <v>358</v>
      </c>
      <c r="CL9" s="139">
        <f>'111'!CL8</f>
        <v>154</v>
      </c>
      <c r="CM9" s="139">
        <f>'111'!CM8</f>
        <v>204</v>
      </c>
      <c r="CN9" s="139">
        <f>'111'!CN8</f>
        <v>316</v>
      </c>
      <c r="CO9" s="139">
        <f>'111'!CO8</f>
        <v>134</v>
      </c>
      <c r="CP9" s="139">
        <f>'111'!CP8</f>
        <v>182</v>
      </c>
      <c r="CQ9" s="139">
        <f>'111'!CQ8</f>
        <v>281</v>
      </c>
      <c r="CR9" s="139">
        <f>'111'!CR8</f>
        <v>119</v>
      </c>
      <c r="CS9" s="139">
        <f>'111'!CS8</f>
        <v>162</v>
      </c>
    </row>
    <row r="10" spans="1:97" s="178" customFormat="1" ht="20.45" customHeight="1">
      <c r="A10" s="170" t="s">
        <v>441</v>
      </c>
      <c r="B10" s="139">
        <f>'112'!B8</f>
        <v>359290</v>
      </c>
      <c r="C10" s="139">
        <f>'112'!C8</f>
        <v>148703</v>
      </c>
      <c r="D10" s="139">
        <f>'112'!D8</f>
        <v>210587</v>
      </c>
      <c r="E10" s="139">
        <f>'112'!E8</f>
        <v>66034</v>
      </c>
      <c r="F10" s="139">
        <f>'112'!F8</f>
        <v>24389</v>
      </c>
      <c r="G10" s="139">
        <f>'112'!G8</f>
        <v>41645</v>
      </c>
      <c r="H10" s="139">
        <f>'112'!H8</f>
        <v>71400</v>
      </c>
      <c r="I10" s="139">
        <f>'112'!I8</f>
        <v>26421</v>
      </c>
      <c r="J10" s="139">
        <f>'112'!J8</f>
        <v>44979</v>
      </c>
      <c r="K10" s="139">
        <f>'112'!K8</f>
        <v>72935</v>
      </c>
      <c r="L10" s="139">
        <f>'112'!L8</f>
        <v>29737</v>
      </c>
      <c r="M10" s="139">
        <f>'112'!M8</f>
        <v>43198</v>
      </c>
      <c r="N10" s="139">
        <f>'112'!N8</f>
        <v>52329</v>
      </c>
      <c r="O10" s="139">
        <f>'112'!O8</f>
        <v>23798</v>
      </c>
      <c r="P10" s="139">
        <f>'112'!P8</f>
        <v>28531</v>
      </c>
      <c r="Q10" s="139">
        <f>'112'!Q8</f>
        <v>32070</v>
      </c>
      <c r="R10" s="139">
        <f>'112'!R8</f>
        <v>14492</v>
      </c>
      <c r="S10" s="139">
        <f>'112'!S8</f>
        <v>17578</v>
      </c>
      <c r="T10" s="139">
        <f>'112'!T8</f>
        <v>31330</v>
      </c>
      <c r="U10" s="139">
        <f>'112'!U8</f>
        <v>14328</v>
      </c>
      <c r="V10" s="139">
        <f>'112'!V8</f>
        <v>17002</v>
      </c>
      <c r="W10" s="139">
        <f>'112'!W8</f>
        <v>33192</v>
      </c>
      <c r="X10" s="139">
        <f>'112'!X8</f>
        <v>15538</v>
      </c>
      <c r="Y10" s="139">
        <f>'112'!Y8</f>
        <v>17654</v>
      </c>
      <c r="Z10" s="139">
        <f>'112'!Z8</f>
        <v>334696</v>
      </c>
      <c r="AA10" s="139">
        <f>'112'!AA8</f>
        <v>139931</v>
      </c>
      <c r="AB10" s="139">
        <f>'112'!AB8</f>
        <v>194765</v>
      </c>
      <c r="AC10" s="139">
        <f>'112'!AC8</f>
        <v>62946</v>
      </c>
      <c r="AD10" s="139">
        <f>'112'!AD8</f>
        <v>23515</v>
      </c>
      <c r="AE10" s="139">
        <f>'112'!AE8</f>
        <v>39431</v>
      </c>
      <c r="AF10" s="139">
        <f>'112'!AF8</f>
        <v>66404</v>
      </c>
      <c r="AG10" s="139">
        <f>'112'!AG8</f>
        <v>24873</v>
      </c>
      <c r="AH10" s="139">
        <f>'112'!AH8</f>
        <v>41531</v>
      </c>
      <c r="AI10" s="139">
        <f>'112'!AI8</f>
        <v>67188</v>
      </c>
      <c r="AJ10" s="139">
        <f>'112'!AJ8</f>
        <v>27748</v>
      </c>
      <c r="AK10" s="139">
        <f>'112'!AK8</f>
        <v>39440</v>
      </c>
      <c r="AL10" s="139">
        <f>'112'!AL8</f>
        <v>47744</v>
      </c>
      <c r="AM10" s="139">
        <f>'112'!AM8</f>
        <v>21939</v>
      </c>
      <c r="AN10" s="139">
        <f>'112'!AN8</f>
        <v>25805</v>
      </c>
      <c r="AO10" s="139">
        <f>'112'!AO8</f>
        <v>27872</v>
      </c>
      <c r="AP10" s="139">
        <f>'112'!AP8</f>
        <v>12804</v>
      </c>
      <c r="AQ10" s="139">
        <f>'112'!AQ8</f>
        <v>15068</v>
      </c>
      <c r="AR10" s="139">
        <f>'112'!AR8</f>
        <v>29982</v>
      </c>
      <c r="AS10" s="139">
        <f>'112'!AS8</f>
        <v>13780</v>
      </c>
      <c r="AT10" s="139">
        <f>'112'!AT8</f>
        <v>16202</v>
      </c>
      <c r="AU10" s="139">
        <f>'112'!AU8</f>
        <v>32560</v>
      </c>
      <c r="AV10" s="139">
        <f>'112'!AV8</f>
        <v>15272</v>
      </c>
      <c r="AW10" s="139">
        <f>'112'!AW8</f>
        <v>17288</v>
      </c>
      <c r="AX10" s="139">
        <f>'112'!AX8</f>
        <v>37562</v>
      </c>
      <c r="AY10" s="139">
        <f>'112'!AY8</f>
        <v>13878</v>
      </c>
      <c r="AZ10" s="139">
        <f>'112'!AZ8</f>
        <v>23684</v>
      </c>
      <c r="BA10" s="139">
        <f>'112'!BA8</f>
        <v>4223</v>
      </c>
      <c r="BB10" s="139">
        <f>'112'!BB8</f>
        <v>1254</v>
      </c>
      <c r="BC10" s="139">
        <f>'112'!BC8</f>
        <v>2969</v>
      </c>
      <c r="BD10" s="139">
        <f>'112'!BD8</f>
        <v>7327</v>
      </c>
      <c r="BE10" s="139">
        <f>'112'!BE8</f>
        <v>2295</v>
      </c>
      <c r="BF10" s="139">
        <f>'112'!BF8</f>
        <v>5032</v>
      </c>
      <c r="BG10" s="139">
        <f>'112'!BG8</f>
        <v>8701</v>
      </c>
      <c r="BH10" s="139">
        <f>'112'!BH8</f>
        <v>3088</v>
      </c>
      <c r="BI10" s="139">
        <f>'112'!BI8</f>
        <v>5613</v>
      </c>
      <c r="BJ10" s="139">
        <f>'112'!BJ8</f>
        <v>7079</v>
      </c>
      <c r="BK10" s="139">
        <f>'112'!BK8</f>
        <v>2948</v>
      </c>
      <c r="BL10" s="139">
        <f>'112'!BL8</f>
        <v>4131</v>
      </c>
      <c r="BM10" s="139">
        <f>'112'!BM8</f>
        <v>6485</v>
      </c>
      <c r="BN10" s="139">
        <f>'112'!BN8</f>
        <v>2711</v>
      </c>
      <c r="BO10" s="139">
        <f>'112'!BO8</f>
        <v>3774</v>
      </c>
      <c r="BP10" s="139">
        <f>'112'!BP8</f>
        <v>2556</v>
      </c>
      <c r="BQ10" s="139">
        <f>'112'!BQ8</f>
        <v>1038</v>
      </c>
      <c r="BR10" s="139">
        <f>'112'!BR8</f>
        <v>1518</v>
      </c>
      <c r="BS10" s="139">
        <f>'112'!BS8</f>
        <v>1191</v>
      </c>
      <c r="BT10" s="139">
        <f>'112'!BT8</f>
        <v>544</v>
      </c>
      <c r="BU10" s="139">
        <f>'112'!BU8</f>
        <v>647</v>
      </c>
      <c r="BV10" s="139">
        <f>'112'!BV8</f>
        <v>1586</v>
      </c>
      <c r="BW10" s="139">
        <f>'112'!BW8</f>
        <v>673</v>
      </c>
      <c r="BX10" s="139">
        <f>'112'!BX8</f>
        <v>913</v>
      </c>
      <c r="BY10" s="139">
        <f>'112'!BY8</f>
        <v>42</v>
      </c>
      <c r="BZ10" s="139">
        <f>'112'!BZ8</f>
        <v>18</v>
      </c>
      <c r="CA10" s="139">
        <f>'112'!CA8</f>
        <v>24</v>
      </c>
      <c r="CB10" s="139">
        <f>'112'!CB8</f>
        <v>94</v>
      </c>
      <c r="CC10" s="139">
        <f>'112'!CC8</f>
        <v>38</v>
      </c>
      <c r="CD10" s="139">
        <f>'112'!CD8</f>
        <v>56</v>
      </c>
      <c r="CE10" s="139">
        <f>'112'!CE8</f>
        <v>175</v>
      </c>
      <c r="CF10" s="139">
        <f>'112'!CF8</f>
        <v>77</v>
      </c>
      <c r="CG10" s="139">
        <f>'112'!CG8</f>
        <v>98</v>
      </c>
      <c r="CH10" s="139">
        <f>'112'!CH8</f>
        <v>288</v>
      </c>
      <c r="CI10" s="139">
        <f>'112'!CI8</f>
        <v>123</v>
      </c>
      <c r="CJ10" s="139">
        <f>'112'!CJ8</f>
        <v>165</v>
      </c>
      <c r="CK10" s="139">
        <f>'112'!CK8</f>
        <v>357</v>
      </c>
      <c r="CL10" s="139">
        <f>'112'!CL8</f>
        <v>146</v>
      </c>
      <c r="CM10" s="139">
        <f>'112'!CM8</f>
        <v>211</v>
      </c>
      <c r="CN10" s="139">
        <f>'112'!CN8</f>
        <v>313</v>
      </c>
      <c r="CO10" s="139">
        <f>'112'!CO8</f>
        <v>142</v>
      </c>
      <c r="CP10" s="139">
        <f>'112'!CP8</f>
        <v>171</v>
      </c>
      <c r="CQ10" s="139">
        <f>'112'!CQ8</f>
        <v>317</v>
      </c>
      <c r="CR10" s="139">
        <f>'112'!CR8</f>
        <v>129</v>
      </c>
      <c r="CS10" s="139">
        <f>'112'!CS8</f>
        <v>188</v>
      </c>
    </row>
    <row r="11" spans="1:97" s="177" customFormat="1" ht="20.45" customHeight="1" thickBot="1">
      <c r="A11" s="184" t="s">
        <v>487</v>
      </c>
      <c r="B11" s="152">
        <f>'113'!B8</f>
        <v>391275</v>
      </c>
      <c r="C11" s="152">
        <f>'113'!C8</f>
        <v>160140</v>
      </c>
      <c r="D11" s="152">
        <f>'113'!D8</f>
        <v>231135</v>
      </c>
      <c r="E11" s="152">
        <f>'113'!E8</f>
        <v>78048</v>
      </c>
      <c r="F11" s="152">
        <f>'113'!F8</f>
        <v>28569</v>
      </c>
      <c r="G11" s="152">
        <f>'113'!G8</f>
        <v>49479</v>
      </c>
      <c r="H11" s="152">
        <f>'113'!H8</f>
        <v>82974</v>
      </c>
      <c r="I11" s="152">
        <f>'113'!I8</f>
        <v>30778</v>
      </c>
      <c r="J11" s="152">
        <f>'113'!J8</f>
        <v>52196</v>
      </c>
      <c r="K11" s="152">
        <f>'113'!K8</f>
        <v>80812</v>
      </c>
      <c r="L11" s="152">
        <f>'113'!L8</f>
        <v>32726</v>
      </c>
      <c r="M11" s="152">
        <f>'113'!M8</f>
        <v>48086</v>
      </c>
      <c r="N11" s="152">
        <f>'113'!N8</f>
        <v>53660</v>
      </c>
      <c r="O11" s="152">
        <f>'113'!O8</f>
        <v>24601</v>
      </c>
      <c r="P11" s="152">
        <f>'113'!P8</f>
        <v>29059</v>
      </c>
      <c r="Q11" s="152">
        <f>'113'!Q8</f>
        <v>31765</v>
      </c>
      <c r="R11" s="152">
        <f>'113'!R8</f>
        <v>14227</v>
      </c>
      <c r="S11" s="152">
        <f>'113'!S8</f>
        <v>17538</v>
      </c>
      <c r="T11" s="152">
        <f>'113'!T8</f>
        <v>30985</v>
      </c>
      <c r="U11" s="152">
        <f>'113'!U8</f>
        <v>14039</v>
      </c>
      <c r="V11" s="152">
        <f>'113'!V8</f>
        <v>16946</v>
      </c>
      <c r="W11" s="152">
        <f>'113'!W8</f>
        <v>33031</v>
      </c>
      <c r="X11" s="152">
        <f>'113'!X8</f>
        <v>15200</v>
      </c>
      <c r="Y11" s="152">
        <f>'113'!Y8</f>
        <v>17831</v>
      </c>
      <c r="Z11" s="152">
        <f>'113'!Z8</f>
        <v>363228</v>
      </c>
      <c r="AA11" s="152">
        <f>'113'!AA8</f>
        <v>150193</v>
      </c>
      <c r="AB11" s="152">
        <f>'113'!AB8</f>
        <v>213035</v>
      </c>
      <c r="AC11" s="152">
        <f>'113'!AC8</f>
        <v>74406</v>
      </c>
      <c r="AD11" s="152">
        <f>'113'!AD8</f>
        <v>27478</v>
      </c>
      <c r="AE11" s="152">
        <f>'113'!AE8</f>
        <v>46928</v>
      </c>
      <c r="AF11" s="152">
        <f>'113'!AF8</f>
        <v>76833</v>
      </c>
      <c r="AG11" s="152">
        <f>'113'!AG8</f>
        <v>28847</v>
      </c>
      <c r="AH11" s="152">
        <f>'113'!AH8</f>
        <v>47986</v>
      </c>
      <c r="AI11" s="152">
        <f>'113'!AI8</f>
        <v>74175</v>
      </c>
      <c r="AJ11" s="152">
        <f>'113'!AJ8</f>
        <v>30424</v>
      </c>
      <c r="AK11" s="152">
        <f>'113'!AK8</f>
        <v>43751</v>
      </c>
      <c r="AL11" s="152">
        <f>'113'!AL8</f>
        <v>48662</v>
      </c>
      <c r="AM11" s="152">
        <f>'113'!AM8</f>
        <v>22554</v>
      </c>
      <c r="AN11" s="152">
        <f>'113'!AN8</f>
        <v>26108</v>
      </c>
      <c r="AO11" s="152">
        <f>'113'!AO8</f>
        <v>27315</v>
      </c>
      <c r="AP11" s="152">
        <f>'113'!AP8</f>
        <v>12509</v>
      </c>
      <c r="AQ11" s="152">
        <f>'113'!AQ8</f>
        <v>14806</v>
      </c>
      <c r="AR11" s="152">
        <f>'113'!AR8</f>
        <v>29509</v>
      </c>
      <c r="AS11" s="152">
        <f>'113'!AS8</f>
        <v>13447</v>
      </c>
      <c r="AT11" s="152">
        <f>'113'!AT8</f>
        <v>16062</v>
      </c>
      <c r="AU11" s="152">
        <f>'113'!AU8</f>
        <v>32328</v>
      </c>
      <c r="AV11" s="152">
        <f>'113'!AV8</f>
        <v>14934</v>
      </c>
      <c r="AW11" s="152">
        <f>'113'!AW8</f>
        <v>17394</v>
      </c>
      <c r="AX11" s="152">
        <f>'113'!AX8</f>
        <v>42637</v>
      </c>
      <c r="AY11" s="152">
        <f>'113'!AY8</f>
        <v>15697</v>
      </c>
      <c r="AZ11" s="152">
        <f>'113'!AZ8</f>
        <v>26940</v>
      </c>
      <c r="BA11" s="152">
        <f>'113'!BA8</f>
        <v>4996</v>
      </c>
      <c r="BB11" s="152">
        <f>'113'!BB8</f>
        <v>1518</v>
      </c>
      <c r="BC11" s="152">
        <f>'113'!BC8</f>
        <v>3478</v>
      </c>
      <c r="BD11" s="152">
        <f>'113'!BD8</f>
        <v>8880</v>
      </c>
      <c r="BE11" s="152">
        <f>'113'!BE8</f>
        <v>2828</v>
      </c>
      <c r="BF11" s="152">
        <f>'113'!BF8</f>
        <v>6052</v>
      </c>
      <c r="BG11" s="152">
        <f>'113'!BG8</f>
        <v>10050</v>
      </c>
      <c r="BH11" s="152">
        <f>'113'!BH8</f>
        <v>3597</v>
      </c>
      <c r="BI11" s="152">
        <f>'113'!BI8</f>
        <v>6453</v>
      </c>
      <c r="BJ11" s="152">
        <f>'113'!BJ8</f>
        <v>7674</v>
      </c>
      <c r="BK11" s="152">
        <f>'113'!BK8</f>
        <v>3244</v>
      </c>
      <c r="BL11" s="152">
        <f>'113'!BL8</f>
        <v>4430</v>
      </c>
      <c r="BM11" s="152">
        <f>'113'!BM8</f>
        <v>6937</v>
      </c>
      <c r="BN11" s="152">
        <f>'113'!BN8</f>
        <v>2790</v>
      </c>
      <c r="BO11" s="152">
        <f>'113'!BO8</f>
        <v>4147</v>
      </c>
      <c r="BP11" s="152">
        <f>'113'!BP8</f>
        <v>2765</v>
      </c>
      <c r="BQ11" s="152">
        <f>'113'!BQ8</f>
        <v>1131</v>
      </c>
      <c r="BR11" s="152">
        <f>'113'!BR8</f>
        <v>1634</v>
      </c>
      <c r="BS11" s="152">
        <f>'113'!BS8</f>
        <v>1335</v>
      </c>
      <c r="BT11" s="152">
        <f>'113'!BT8</f>
        <v>589</v>
      </c>
      <c r="BU11" s="152">
        <f>'113'!BU8</f>
        <v>746</v>
      </c>
      <c r="BV11" s="152">
        <f>'113'!BV8</f>
        <v>1574</v>
      </c>
      <c r="BW11" s="152">
        <f>'113'!BW8</f>
        <v>641</v>
      </c>
      <c r="BX11" s="152">
        <f>'113'!BX8</f>
        <v>933</v>
      </c>
      <c r="BY11" s="152">
        <f>'113'!BY8</f>
        <v>45</v>
      </c>
      <c r="BZ11" s="152">
        <f>'113'!BZ8</f>
        <v>15</v>
      </c>
      <c r="CA11" s="152">
        <f>'113'!CA8</f>
        <v>30</v>
      </c>
      <c r="CB11" s="152">
        <f>'113'!CB8</f>
        <v>88</v>
      </c>
      <c r="CC11" s="152">
        <f>'113'!CC8</f>
        <v>36</v>
      </c>
      <c r="CD11" s="152">
        <f>'113'!CD8</f>
        <v>52</v>
      </c>
      <c r="CE11" s="152">
        <f>'113'!CE8</f>
        <v>169</v>
      </c>
      <c r="CF11" s="152">
        <f>'113'!CF8</f>
        <v>61</v>
      </c>
      <c r="CG11" s="152">
        <f>'113'!CG8</f>
        <v>108</v>
      </c>
      <c r="CH11" s="152">
        <f>'113'!CH8</f>
        <v>280</v>
      </c>
      <c r="CI11" s="152">
        <f>'113'!CI8</f>
        <v>116</v>
      </c>
      <c r="CJ11" s="152">
        <f>'113'!CJ8</f>
        <v>164</v>
      </c>
      <c r="CK11" s="152">
        <f>'113'!CK8</f>
        <v>347</v>
      </c>
      <c r="CL11" s="152">
        <f>'113'!CL8</f>
        <v>146</v>
      </c>
      <c r="CM11" s="152">
        <f>'113'!CM8</f>
        <v>201</v>
      </c>
      <c r="CN11" s="152">
        <f>'113'!CN8</f>
        <v>327</v>
      </c>
      <c r="CO11" s="152">
        <f>'113'!CO8</f>
        <v>124</v>
      </c>
      <c r="CP11" s="152">
        <f>'113'!CP8</f>
        <v>203</v>
      </c>
      <c r="CQ11" s="152">
        <f>'113'!CQ8</f>
        <v>318</v>
      </c>
      <c r="CR11" s="152">
        <f>'113'!CR8</f>
        <v>143</v>
      </c>
      <c r="CS11" s="152">
        <f>'113'!CS8</f>
        <v>175</v>
      </c>
    </row>
    <row r="12" spans="1:97" ht="15.75" customHeight="1">
      <c r="A12" s="187" t="s">
        <v>382</v>
      </c>
      <c r="B12" s="181"/>
      <c r="C12" s="181"/>
      <c r="D12" s="182"/>
      <c r="E12" s="183"/>
      <c r="F12" s="183"/>
      <c r="G12" s="181"/>
      <c r="H12" s="181"/>
      <c r="I12" s="183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2"/>
      <c r="AC12" s="183"/>
      <c r="AD12" s="183"/>
      <c r="AE12" s="181"/>
      <c r="AF12" s="181"/>
      <c r="AG12" s="183"/>
      <c r="AH12" s="181"/>
      <c r="AI12" s="181"/>
      <c r="AJ12" s="181"/>
      <c r="AK12" s="181"/>
      <c r="AL12" s="181"/>
      <c r="AM12" s="181"/>
      <c r="AN12" s="181"/>
      <c r="AO12" s="181"/>
      <c r="AP12" s="181"/>
      <c r="AQ12" s="181"/>
      <c r="AR12" s="181"/>
      <c r="AS12" s="181"/>
      <c r="AT12" s="181"/>
      <c r="AU12" s="181"/>
      <c r="AV12" s="181"/>
      <c r="AW12" s="181"/>
      <c r="AX12" s="181"/>
      <c r="AY12" s="181"/>
      <c r="AZ12" s="182"/>
      <c r="BA12" s="183"/>
      <c r="BB12" s="183"/>
      <c r="BC12" s="181"/>
      <c r="BD12" s="181"/>
      <c r="BE12" s="183"/>
      <c r="BF12" s="181"/>
      <c r="BG12" s="181"/>
      <c r="BH12" s="181"/>
      <c r="BI12" s="181"/>
      <c r="BJ12" s="181"/>
      <c r="BK12" s="181"/>
      <c r="BL12" s="181"/>
      <c r="BM12" s="181"/>
      <c r="BN12" s="181"/>
      <c r="BO12" s="181"/>
      <c r="BP12" s="181"/>
      <c r="BQ12" s="181"/>
      <c r="BR12" s="181"/>
      <c r="BS12" s="181"/>
      <c r="BT12" s="181"/>
      <c r="BU12" s="181"/>
      <c r="BV12" s="181"/>
      <c r="BW12" s="181"/>
      <c r="BX12" s="182"/>
      <c r="BY12" s="183"/>
      <c r="BZ12" s="183"/>
      <c r="CA12" s="181"/>
      <c r="CB12" s="181"/>
      <c r="CC12" s="183"/>
      <c r="CD12" s="181"/>
      <c r="CE12" s="181"/>
      <c r="CF12" s="181"/>
      <c r="CG12" s="181"/>
      <c r="CH12" s="181"/>
      <c r="CI12" s="181"/>
      <c r="CJ12" s="181"/>
      <c r="CK12" s="181"/>
      <c r="CL12" s="181"/>
      <c r="CM12" s="181"/>
      <c r="CN12" s="181"/>
      <c r="CO12" s="181"/>
      <c r="CP12" s="181"/>
      <c r="CQ12" s="181"/>
      <c r="CR12" s="181"/>
      <c r="CS12" s="181"/>
    </row>
    <row r="13" spans="1:97" ht="17.45" customHeight="1">
      <c r="A13" s="237" t="s">
        <v>436</v>
      </c>
      <c r="D13" s="179"/>
      <c r="E13" s="180"/>
      <c r="F13" s="180"/>
      <c r="I13" s="180"/>
      <c r="AB13" s="179"/>
      <c r="AC13" s="180"/>
      <c r="AD13" s="180"/>
      <c r="AG13" s="180"/>
      <c r="AZ13" s="179"/>
      <c r="BA13" s="180"/>
      <c r="BB13" s="180"/>
      <c r="BE13" s="180"/>
      <c r="BX13" s="179"/>
      <c r="BY13" s="180"/>
      <c r="BZ13" s="180"/>
      <c r="CC13" s="180"/>
    </row>
    <row r="14" spans="1:97" ht="17.45" customHeight="1">
      <c r="A14" s="189" t="s">
        <v>488</v>
      </c>
      <c r="D14" s="179"/>
      <c r="E14" s="180"/>
      <c r="F14" s="180"/>
      <c r="I14" s="180"/>
      <c r="AB14" s="179"/>
      <c r="AC14" s="180"/>
      <c r="AD14" s="180"/>
      <c r="AG14" s="180"/>
      <c r="AZ14" s="179"/>
      <c r="BA14" s="180"/>
      <c r="BB14" s="180"/>
      <c r="BE14" s="180"/>
      <c r="BX14" s="179"/>
      <c r="BY14" s="180"/>
      <c r="BZ14" s="180"/>
      <c r="CC14" s="180"/>
    </row>
    <row r="15" spans="1:97">
      <c r="A15" s="188" t="s">
        <v>329</v>
      </c>
    </row>
    <row r="16" spans="1:97">
      <c r="A16" s="13"/>
    </row>
    <row r="17" spans="1:1" ht="16.5">
      <c r="A17" s="456" t="s">
        <v>489</v>
      </c>
    </row>
  </sheetData>
  <mergeCells count="43">
    <mergeCell ref="CE6:CG6"/>
    <mergeCell ref="CH6:CJ6"/>
    <mergeCell ref="CK6:CM6"/>
    <mergeCell ref="CN6:CP6"/>
    <mergeCell ref="CQ6:CS6"/>
    <mergeCell ref="CB6:CD6"/>
    <mergeCell ref="AU6:AW6"/>
    <mergeCell ref="AX6:AZ6"/>
    <mergeCell ref="BA6:BC6"/>
    <mergeCell ref="BD6:BF6"/>
    <mergeCell ref="BG6:BI6"/>
    <mergeCell ref="BJ6:BL6"/>
    <mergeCell ref="BM6:BO6"/>
    <mergeCell ref="BP6:BR6"/>
    <mergeCell ref="BS6:BU6"/>
    <mergeCell ref="BV6:BX6"/>
    <mergeCell ref="BY6:CA6"/>
    <mergeCell ref="AC6:AE6"/>
    <mergeCell ref="AF6:AH6"/>
    <mergeCell ref="AI6:AK6"/>
    <mergeCell ref="AL6:AN6"/>
    <mergeCell ref="AO6:AQ6"/>
    <mergeCell ref="N6:P6"/>
    <mergeCell ref="Q6:S6"/>
    <mergeCell ref="T6:V6"/>
    <mergeCell ref="W6:Y6"/>
    <mergeCell ref="Z6:AB6"/>
    <mergeCell ref="BT3:BU3"/>
    <mergeCell ref="CR3:CS3"/>
    <mergeCell ref="A4:A7"/>
    <mergeCell ref="B4:Y4"/>
    <mergeCell ref="Z4:AW4"/>
    <mergeCell ref="AX4:BU4"/>
    <mergeCell ref="BV4:CS4"/>
    <mergeCell ref="B5:Y5"/>
    <mergeCell ref="Z5:AW5"/>
    <mergeCell ref="AX5:BU5"/>
    <mergeCell ref="AR6:AT6"/>
    <mergeCell ref="BV5:CS5"/>
    <mergeCell ref="B6:D6"/>
    <mergeCell ref="E6:G6"/>
    <mergeCell ref="H6:J6"/>
    <mergeCell ref="K6:M6"/>
  </mergeCells>
  <phoneticPr fontId="6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51" fitToWidth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35"/>
  <sheetViews>
    <sheetView zoomScale="85" zoomScaleNormal="85" zoomScaleSheetLayoutView="9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A35" sqref="A35"/>
    </sheetView>
  </sheetViews>
  <sheetFormatPr defaultColWidth="11.5" defaultRowHeight="15.75"/>
  <cols>
    <col min="1" max="1" width="44.33203125" style="168" customWidth="1"/>
    <col min="2" max="4" width="12" style="168" customWidth="1"/>
    <col min="5" max="25" width="11.1640625" style="168" customWidth="1"/>
    <col min="26" max="27" width="13.1640625" style="168" customWidth="1"/>
    <col min="28" max="28" width="12.1640625" style="168" bestFit="1" customWidth="1"/>
    <col min="29" max="29" width="13.1640625" style="168" customWidth="1"/>
    <col min="30" max="38" width="10.6640625" style="168" bestFit="1" customWidth="1"/>
    <col min="39" max="39" width="13.1640625" style="168" customWidth="1"/>
    <col min="40" max="45" width="10.6640625" style="168" bestFit="1" customWidth="1"/>
    <col min="46" max="47" width="13.1640625" style="168" customWidth="1"/>
    <col min="48" max="49" width="10.6640625" style="168" bestFit="1" customWidth="1"/>
    <col min="50" max="73" width="11.33203125" style="168" customWidth="1"/>
    <col min="74" max="74" width="12.83203125" style="168" customWidth="1"/>
    <col min="75" max="97" width="10.33203125" style="168" customWidth="1"/>
    <col min="98" max="16384" width="11.5" style="168"/>
  </cols>
  <sheetData>
    <row r="1" spans="1:97" s="174" customFormat="1" ht="27" customHeight="1">
      <c r="A1" s="172" t="s">
        <v>358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3"/>
      <c r="AK1" s="173"/>
      <c r="AL1" s="173"/>
      <c r="AM1" s="173"/>
      <c r="AN1" s="173"/>
      <c r="AO1" s="173"/>
      <c r="AP1" s="173"/>
      <c r="AQ1" s="173"/>
      <c r="AR1" s="173"/>
      <c r="AS1" s="173"/>
      <c r="AT1" s="173"/>
      <c r="AU1" s="173"/>
      <c r="AV1" s="173"/>
      <c r="AW1" s="173"/>
      <c r="AX1" s="173"/>
      <c r="AY1" s="173"/>
      <c r="AZ1" s="173"/>
      <c r="BA1" s="173"/>
      <c r="BB1" s="173"/>
      <c r="BC1" s="173"/>
      <c r="BD1" s="173"/>
      <c r="BE1" s="173"/>
      <c r="BF1" s="173"/>
      <c r="BG1" s="173"/>
      <c r="BH1" s="173"/>
      <c r="BI1" s="173"/>
      <c r="BJ1" s="173"/>
      <c r="BK1" s="173"/>
      <c r="BL1" s="173"/>
      <c r="BM1" s="173"/>
      <c r="BN1" s="173"/>
      <c r="BO1" s="173"/>
      <c r="BP1" s="173"/>
      <c r="BQ1" s="173"/>
      <c r="BR1" s="173"/>
      <c r="BS1" s="173"/>
      <c r="BT1" s="173"/>
      <c r="BU1" s="173"/>
      <c r="BV1" s="173"/>
      <c r="BW1" s="173"/>
      <c r="BX1" s="173"/>
      <c r="BY1" s="173"/>
      <c r="BZ1" s="173"/>
      <c r="CA1" s="173"/>
      <c r="CB1" s="173"/>
      <c r="CC1" s="173"/>
      <c r="CD1" s="173"/>
      <c r="CE1" s="173"/>
      <c r="CF1" s="173"/>
      <c r="CG1" s="173"/>
      <c r="CH1" s="173"/>
      <c r="CI1" s="173"/>
      <c r="CJ1" s="173"/>
      <c r="CK1" s="173"/>
      <c r="CL1" s="173"/>
      <c r="CM1" s="173"/>
      <c r="CN1" s="173"/>
      <c r="CO1" s="173"/>
      <c r="CP1" s="173"/>
      <c r="CQ1" s="173"/>
      <c r="CR1" s="173"/>
      <c r="CS1" s="173"/>
    </row>
    <row r="2" spans="1:97" s="174" customFormat="1" ht="18.600000000000001" customHeight="1">
      <c r="A2" s="167" t="s">
        <v>359</v>
      </c>
      <c r="AA2" s="173"/>
      <c r="AB2" s="173"/>
      <c r="AC2" s="173"/>
      <c r="AD2" s="173"/>
      <c r="AE2" s="173"/>
      <c r="AF2" s="173"/>
      <c r="AG2" s="173"/>
      <c r="AH2" s="173"/>
      <c r="AI2" s="173"/>
      <c r="AJ2" s="173"/>
      <c r="AK2" s="173"/>
      <c r="AL2" s="173"/>
      <c r="AM2" s="173"/>
      <c r="AN2" s="173"/>
      <c r="AO2" s="173"/>
      <c r="AP2" s="173"/>
      <c r="AQ2" s="173"/>
      <c r="AR2" s="173"/>
      <c r="AS2" s="173"/>
      <c r="AT2" s="173"/>
      <c r="AU2" s="173"/>
      <c r="AV2" s="173"/>
      <c r="AW2" s="173"/>
      <c r="AX2" s="173"/>
      <c r="AY2" s="173"/>
      <c r="AZ2" s="173"/>
      <c r="BA2" s="173"/>
      <c r="BB2" s="173"/>
      <c r="BC2" s="173"/>
      <c r="BD2" s="173"/>
      <c r="BE2" s="173"/>
      <c r="BF2" s="173"/>
      <c r="BG2" s="173"/>
      <c r="BH2" s="173"/>
      <c r="BI2" s="173"/>
      <c r="BJ2" s="173"/>
      <c r="BK2" s="173"/>
      <c r="BL2" s="173"/>
      <c r="BM2" s="173"/>
      <c r="BN2" s="173"/>
      <c r="BO2" s="173"/>
      <c r="BP2" s="173"/>
      <c r="BQ2" s="173"/>
      <c r="BR2" s="173"/>
      <c r="BS2" s="173"/>
      <c r="BT2" s="173"/>
      <c r="BU2" s="173"/>
      <c r="BV2" s="173"/>
      <c r="BW2" s="173"/>
      <c r="BX2" s="173"/>
      <c r="BY2" s="173"/>
      <c r="BZ2" s="173"/>
      <c r="CA2" s="173"/>
      <c r="CB2" s="173"/>
      <c r="CC2" s="173"/>
      <c r="CD2" s="173"/>
      <c r="CE2" s="173"/>
      <c r="CF2" s="173"/>
      <c r="CG2" s="173"/>
      <c r="CH2" s="173"/>
      <c r="CI2" s="173"/>
      <c r="CJ2" s="173"/>
      <c r="CK2" s="173"/>
      <c r="CL2" s="173"/>
      <c r="CM2" s="173"/>
      <c r="CN2" s="173"/>
      <c r="CO2" s="173"/>
      <c r="CP2" s="173"/>
      <c r="CQ2" s="173"/>
      <c r="CR2" s="173"/>
      <c r="CS2" s="173"/>
    </row>
    <row r="3" spans="1:97" s="150" customFormat="1" ht="18.600000000000001" customHeight="1" thickBot="1">
      <c r="A3" s="203" t="s">
        <v>440</v>
      </c>
      <c r="B3" s="176"/>
      <c r="C3" s="176"/>
      <c r="D3" s="176"/>
      <c r="E3" s="137"/>
      <c r="F3" s="138"/>
      <c r="G3" s="138"/>
      <c r="H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AY3" s="176"/>
      <c r="AZ3" s="176"/>
      <c r="BA3" s="176"/>
      <c r="BB3" s="176"/>
      <c r="BC3" s="176"/>
      <c r="BD3" s="176"/>
      <c r="BH3" s="176"/>
      <c r="BI3" s="176"/>
      <c r="BJ3" s="176"/>
      <c r="BK3" s="176"/>
      <c r="BL3" s="176"/>
      <c r="BM3" s="176"/>
      <c r="BN3" s="176"/>
      <c r="BO3" s="176"/>
      <c r="BP3" s="176"/>
      <c r="BQ3" s="176"/>
      <c r="BR3" s="176"/>
      <c r="BS3" s="176"/>
      <c r="BT3" s="239"/>
      <c r="BU3" s="239"/>
      <c r="BV3" s="176"/>
      <c r="BW3" s="176"/>
      <c r="BX3" s="176"/>
      <c r="BY3" s="176"/>
      <c r="BZ3" s="176"/>
      <c r="CA3" s="176"/>
      <c r="CB3" s="176"/>
      <c r="CF3" s="176"/>
      <c r="CG3" s="176"/>
      <c r="CH3" s="176"/>
      <c r="CI3" s="176"/>
      <c r="CJ3" s="176"/>
      <c r="CK3" s="176"/>
      <c r="CL3" s="176"/>
      <c r="CM3" s="176"/>
      <c r="CN3" s="176"/>
      <c r="CO3" s="176"/>
      <c r="CP3" s="176"/>
      <c r="CQ3" s="176"/>
      <c r="CR3" s="239"/>
      <c r="CS3" s="239"/>
    </row>
    <row r="4" spans="1:97" s="150" customFormat="1" ht="21.75" customHeight="1">
      <c r="A4" s="275" t="s">
        <v>361</v>
      </c>
      <c r="B4" s="276" t="s">
        <v>376</v>
      </c>
      <c r="C4" s="243"/>
      <c r="D4" s="243"/>
      <c r="E4" s="243"/>
      <c r="F4" s="243"/>
      <c r="G4" s="243"/>
      <c r="H4" s="243"/>
      <c r="I4" s="243"/>
      <c r="J4" s="244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43"/>
      <c r="X4" s="243"/>
      <c r="Y4" s="245"/>
      <c r="Z4" s="277" t="s">
        <v>376</v>
      </c>
      <c r="AA4" s="247"/>
      <c r="AB4" s="247"/>
      <c r="AC4" s="247"/>
      <c r="AD4" s="247"/>
      <c r="AE4" s="247"/>
      <c r="AF4" s="247"/>
      <c r="AG4" s="247"/>
      <c r="AH4" s="248"/>
      <c r="AI4" s="247"/>
      <c r="AJ4" s="247"/>
      <c r="AK4" s="247"/>
      <c r="AL4" s="247"/>
      <c r="AM4" s="247"/>
      <c r="AN4" s="247"/>
      <c r="AO4" s="247"/>
      <c r="AP4" s="247"/>
      <c r="AQ4" s="247"/>
      <c r="AR4" s="247"/>
      <c r="AS4" s="247"/>
      <c r="AT4" s="247"/>
      <c r="AU4" s="247"/>
      <c r="AV4" s="247"/>
      <c r="AW4" s="249"/>
      <c r="AX4" s="250" t="s">
        <v>376</v>
      </c>
      <c r="AY4" s="251"/>
      <c r="AZ4" s="251"/>
      <c r="BA4" s="251"/>
      <c r="BB4" s="251"/>
      <c r="BC4" s="251"/>
      <c r="BD4" s="251"/>
      <c r="BE4" s="251"/>
      <c r="BF4" s="252"/>
      <c r="BG4" s="251"/>
      <c r="BH4" s="251"/>
      <c r="BI4" s="251"/>
      <c r="BJ4" s="251"/>
      <c r="BK4" s="251"/>
      <c r="BL4" s="251"/>
      <c r="BM4" s="251"/>
      <c r="BN4" s="251"/>
      <c r="BO4" s="251"/>
      <c r="BP4" s="251"/>
      <c r="BQ4" s="251"/>
      <c r="BR4" s="251"/>
      <c r="BS4" s="251"/>
      <c r="BT4" s="251"/>
      <c r="BU4" s="253"/>
      <c r="BV4" s="278" t="s">
        <v>376</v>
      </c>
      <c r="BW4" s="279"/>
      <c r="BX4" s="279"/>
      <c r="BY4" s="279"/>
      <c r="BZ4" s="279"/>
      <c r="CA4" s="279"/>
      <c r="CB4" s="279"/>
      <c r="CC4" s="279"/>
      <c r="CD4" s="279"/>
      <c r="CE4" s="279"/>
      <c r="CF4" s="279"/>
      <c r="CG4" s="279"/>
      <c r="CH4" s="279"/>
      <c r="CI4" s="279"/>
      <c r="CJ4" s="279"/>
      <c r="CK4" s="279"/>
      <c r="CL4" s="279"/>
      <c r="CM4" s="279"/>
      <c r="CN4" s="279"/>
      <c r="CO4" s="279"/>
      <c r="CP4" s="279"/>
      <c r="CQ4" s="279"/>
      <c r="CR4" s="279"/>
      <c r="CS4" s="279"/>
    </row>
    <row r="5" spans="1:97" ht="21.75" customHeight="1">
      <c r="A5" s="240"/>
      <c r="B5" s="257" t="s">
        <v>362</v>
      </c>
      <c r="C5" s="257"/>
      <c r="D5" s="257"/>
      <c r="E5" s="257"/>
      <c r="F5" s="257"/>
      <c r="G5" s="257"/>
      <c r="H5" s="257"/>
      <c r="I5" s="257"/>
      <c r="J5" s="257"/>
      <c r="K5" s="257"/>
      <c r="L5" s="257"/>
      <c r="M5" s="257"/>
      <c r="N5" s="257"/>
      <c r="O5" s="257"/>
      <c r="P5" s="257"/>
      <c r="Q5" s="257"/>
      <c r="R5" s="257"/>
      <c r="S5" s="257"/>
      <c r="T5" s="257"/>
      <c r="U5" s="257"/>
      <c r="V5" s="257"/>
      <c r="W5" s="257"/>
      <c r="X5" s="257"/>
      <c r="Y5" s="258"/>
      <c r="Z5" s="280" t="s">
        <v>363</v>
      </c>
      <c r="AA5" s="280"/>
      <c r="AB5" s="280"/>
      <c r="AC5" s="280"/>
      <c r="AD5" s="280"/>
      <c r="AE5" s="280"/>
      <c r="AF5" s="280"/>
      <c r="AG5" s="280"/>
      <c r="AH5" s="280"/>
      <c r="AI5" s="280"/>
      <c r="AJ5" s="280"/>
      <c r="AK5" s="280"/>
      <c r="AL5" s="280"/>
      <c r="AM5" s="280"/>
      <c r="AN5" s="280"/>
      <c r="AO5" s="280"/>
      <c r="AP5" s="280"/>
      <c r="AQ5" s="280"/>
      <c r="AR5" s="280"/>
      <c r="AS5" s="280"/>
      <c r="AT5" s="280"/>
      <c r="AU5" s="280"/>
      <c r="AV5" s="280"/>
      <c r="AW5" s="281"/>
      <c r="AX5" s="282" t="s">
        <v>364</v>
      </c>
      <c r="AY5" s="283"/>
      <c r="AZ5" s="283"/>
      <c r="BA5" s="283"/>
      <c r="BB5" s="283"/>
      <c r="BC5" s="283"/>
      <c r="BD5" s="283"/>
      <c r="BE5" s="283"/>
      <c r="BF5" s="283"/>
      <c r="BG5" s="283"/>
      <c r="BH5" s="283"/>
      <c r="BI5" s="283"/>
      <c r="BJ5" s="283"/>
      <c r="BK5" s="283"/>
      <c r="BL5" s="283"/>
      <c r="BM5" s="283"/>
      <c r="BN5" s="283"/>
      <c r="BO5" s="283"/>
      <c r="BP5" s="283"/>
      <c r="BQ5" s="283"/>
      <c r="BR5" s="283"/>
      <c r="BS5" s="283"/>
      <c r="BT5" s="283"/>
      <c r="BU5" s="284"/>
      <c r="BV5" s="285" t="s">
        <v>365</v>
      </c>
      <c r="BW5" s="286"/>
      <c r="BX5" s="286"/>
      <c r="BY5" s="286"/>
      <c r="BZ5" s="286"/>
      <c r="CA5" s="286"/>
      <c r="CB5" s="286"/>
      <c r="CC5" s="286"/>
      <c r="CD5" s="286"/>
      <c r="CE5" s="286"/>
      <c r="CF5" s="286"/>
      <c r="CG5" s="286"/>
      <c r="CH5" s="286"/>
      <c r="CI5" s="286"/>
      <c r="CJ5" s="286"/>
      <c r="CK5" s="286"/>
      <c r="CL5" s="286"/>
      <c r="CM5" s="286"/>
      <c r="CN5" s="286"/>
      <c r="CO5" s="286"/>
      <c r="CP5" s="286"/>
      <c r="CQ5" s="286"/>
      <c r="CR5" s="286"/>
      <c r="CS5" s="286"/>
    </row>
    <row r="6" spans="1:97" ht="21.75" customHeight="1">
      <c r="A6" s="240"/>
      <c r="B6" s="271" t="s">
        <v>366</v>
      </c>
      <c r="C6" s="271"/>
      <c r="D6" s="272"/>
      <c r="E6" s="267" t="s">
        <v>369</v>
      </c>
      <c r="F6" s="267"/>
      <c r="G6" s="267"/>
      <c r="H6" s="267" t="s">
        <v>370</v>
      </c>
      <c r="I6" s="267"/>
      <c r="J6" s="273"/>
      <c r="K6" s="267" t="s">
        <v>371</v>
      </c>
      <c r="L6" s="267"/>
      <c r="M6" s="267"/>
      <c r="N6" s="267" t="s">
        <v>372</v>
      </c>
      <c r="O6" s="267"/>
      <c r="P6" s="267"/>
      <c r="Q6" s="267" t="s">
        <v>373</v>
      </c>
      <c r="R6" s="267"/>
      <c r="S6" s="267"/>
      <c r="T6" s="267" t="s">
        <v>374</v>
      </c>
      <c r="U6" s="267"/>
      <c r="V6" s="267"/>
      <c r="W6" s="267" t="s">
        <v>375</v>
      </c>
      <c r="X6" s="267"/>
      <c r="Y6" s="274"/>
      <c r="Z6" s="271" t="s">
        <v>366</v>
      </c>
      <c r="AA6" s="271"/>
      <c r="AB6" s="272"/>
      <c r="AC6" s="267" t="s">
        <v>369</v>
      </c>
      <c r="AD6" s="267"/>
      <c r="AE6" s="267"/>
      <c r="AF6" s="267" t="s">
        <v>370</v>
      </c>
      <c r="AG6" s="267"/>
      <c r="AH6" s="273"/>
      <c r="AI6" s="267" t="s">
        <v>371</v>
      </c>
      <c r="AJ6" s="267"/>
      <c r="AK6" s="267"/>
      <c r="AL6" s="267" t="s">
        <v>372</v>
      </c>
      <c r="AM6" s="267"/>
      <c r="AN6" s="267"/>
      <c r="AO6" s="267" t="s">
        <v>373</v>
      </c>
      <c r="AP6" s="267"/>
      <c r="AQ6" s="267"/>
      <c r="AR6" s="267" t="s">
        <v>374</v>
      </c>
      <c r="AS6" s="267"/>
      <c r="AT6" s="267"/>
      <c r="AU6" s="267" t="s">
        <v>375</v>
      </c>
      <c r="AV6" s="267"/>
      <c r="AW6" s="274"/>
      <c r="AX6" s="271" t="s">
        <v>366</v>
      </c>
      <c r="AY6" s="271"/>
      <c r="AZ6" s="272"/>
      <c r="BA6" s="267" t="s">
        <v>369</v>
      </c>
      <c r="BB6" s="267"/>
      <c r="BC6" s="267"/>
      <c r="BD6" s="267" t="s">
        <v>370</v>
      </c>
      <c r="BE6" s="267"/>
      <c r="BF6" s="273"/>
      <c r="BG6" s="267" t="s">
        <v>371</v>
      </c>
      <c r="BH6" s="267"/>
      <c r="BI6" s="267"/>
      <c r="BJ6" s="267" t="s">
        <v>372</v>
      </c>
      <c r="BK6" s="267"/>
      <c r="BL6" s="267"/>
      <c r="BM6" s="267" t="s">
        <v>373</v>
      </c>
      <c r="BN6" s="267"/>
      <c r="BO6" s="267"/>
      <c r="BP6" s="267" t="s">
        <v>374</v>
      </c>
      <c r="BQ6" s="267"/>
      <c r="BR6" s="267"/>
      <c r="BS6" s="267" t="s">
        <v>375</v>
      </c>
      <c r="BT6" s="267"/>
      <c r="BU6" s="274"/>
      <c r="BV6" s="271" t="s">
        <v>366</v>
      </c>
      <c r="BW6" s="271"/>
      <c r="BX6" s="272"/>
      <c r="BY6" s="267" t="s">
        <v>369</v>
      </c>
      <c r="BZ6" s="267"/>
      <c r="CA6" s="267"/>
      <c r="CB6" s="267" t="s">
        <v>370</v>
      </c>
      <c r="CC6" s="267"/>
      <c r="CD6" s="273"/>
      <c r="CE6" s="267" t="s">
        <v>371</v>
      </c>
      <c r="CF6" s="267"/>
      <c r="CG6" s="267"/>
      <c r="CH6" s="267" t="s">
        <v>372</v>
      </c>
      <c r="CI6" s="267"/>
      <c r="CJ6" s="267"/>
      <c r="CK6" s="267" t="s">
        <v>373</v>
      </c>
      <c r="CL6" s="267"/>
      <c r="CM6" s="267"/>
      <c r="CN6" s="267" t="s">
        <v>374</v>
      </c>
      <c r="CO6" s="267"/>
      <c r="CP6" s="267"/>
      <c r="CQ6" s="267" t="s">
        <v>375</v>
      </c>
      <c r="CR6" s="267"/>
      <c r="CS6" s="273"/>
    </row>
    <row r="7" spans="1:97" ht="45.6" customHeight="1" thickBot="1">
      <c r="A7" s="241"/>
      <c r="B7" s="158" t="s">
        <v>335</v>
      </c>
      <c r="C7" s="156" t="s">
        <v>336</v>
      </c>
      <c r="D7" s="156" t="s">
        <v>337</v>
      </c>
      <c r="E7" s="155" t="s">
        <v>335</v>
      </c>
      <c r="F7" s="156" t="s">
        <v>336</v>
      </c>
      <c r="G7" s="156" t="s">
        <v>337</v>
      </c>
      <c r="H7" s="155" t="s">
        <v>335</v>
      </c>
      <c r="I7" s="156" t="s">
        <v>336</v>
      </c>
      <c r="J7" s="156" t="s">
        <v>337</v>
      </c>
      <c r="K7" s="155" t="s">
        <v>335</v>
      </c>
      <c r="L7" s="156" t="s">
        <v>336</v>
      </c>
      <c r="M7" s="156" t="s">
        <v>337</v>
      </c>
      <c r="N7" s="155" t="s">
        <v>335</v>
      </c>
      <c r="O7" s="156" t="s">
        <v>336</v>
      </c>
      <c r="P7" s="156" t="s">
        <v>337</v>
      </c>
      <c r="Q7" s="155" t="s">
        <v>335</v>
      </c>
      <c r="R7" s="156" t="s">
        <v>336</v>
      </c>
      <c r="S7" s="156" t="s">
        <v>337</v>
      </c>
      <c r="T7" s="155" t="s">
        <v>335</v>
      </c>
      <c r="U7" s="156" t="s">
        <v>336</v>
      </c>
      <c r="V7" s="156" t="s">
        <v>337</v>
      </c>
      <c r="W7" s="155" t="s">
        <v>335</v>
      </c>
      <c r="X7" s="156" t="s">
        <v>336</v>
      </c>
      <c r="Y7" s="157" t="s">
        <v>337</v>
      </c>
      <c r="Z7" s="158" t="s">
        <v>335</v>
      </c>
      <c r="AA7" s="156" t="s">
        <v>336</v>
      </c>
      <c r="AB7" s="156" t="s">
        <v>337</v>
      </c>
      <c r="AC7" s="155" t="s">
        <v>335</v>
      </c>
      <c r="AD7" s="156" t="s">
        <v>336</v>
      </c>
      <c r="AE7" s="156" t="s">
        <v>337</v>
      </c>
      <c r="AF7" s="155" t="s">
        <v>335</v>
      </c>
      <c r="AG7" s="156" t="s">
        <v>336</v>
      </c>
      <c r="AH7" s="156" t="s">
        <v>337</v>
      </c>
      <c r="AI7" s="155" t="s">
        <v>335</v>
      </c>
      <c r="AJ7" s="156" t="s">
        <v>336</v>
      </c>
      <c r="AK7" s="156" t="s">
        <v>337</v>
      </c>
      <c r="AL7" s="155" t="s">
        <v>335</v>
      </c>
      <c r="AM7" s="156" t="s">
        <v>336</v>
      </c>
      <c r="AN7" s="156" t="s">
        <v>337</v>
      </c>
      <c r="AO7" s="155" t="s">
        <v>335</v>
      </c>
      <c r="AP7" s="156" t="s">
        <v>336</v>
      </c>
      <c r="AQ7" s="156" t="s">
        <v>337</v>
      </c>
      <c r="AR7" s="155" t="s">
        <v>335</v>
      </c>
      <c r="AS7" s="156" t="s">
        <v>336</v>
      </c>
      <c r="AT7" s="156" t="s">
        <v>337</v>
      </c>
      <c r="AU7" s="155" t="s">
        <v>335</v>
      </c>
      <c r="AV7" s="156" t="s">
        <v>336</v>
      </c>
      <c r="AW7" s="157" t="s">
        <v>337</v>
      </c>
      <c r="AX7" s="159" t="s">
        <v>335</v>
      </c>
      <c r="AY7" s="156" t="s">
        <v>336</v>
      </c>
      <c r="AZ7" s="156" t="s">
        <v>337</v>
      </c>
      <c r="BA7" s="155" t="s">
        <v>335</v>
      </c>
      <c r="BB7" s="156" t="s">
        <v>336</v>
      </c>
      <c r="BC7" s="156" t="s">
        <v>337</v>
      </c>
      <c r="BD7" s="155" t="s">
        <v>335</v>
      </c>
      <c r="BE7" s="156" t="s">
        <v>336</v>
      </c>
      <c r="BF7" s="156" t="s">
        <v>337</v>
      </c>
      <c r="BG7" s="155" t="s">
        <v>335</v>
      </c>
      <c r="BH7" s="156" t="s">
        <v>336</v>
      </c>
      <c r="BI7" s="156" t="s">
        <v>337</v>
      </c>
      <c r="BJ7" s="155" t="s">
        <v>335</v>
      </c>
      <c r="BK7" s="156" t="s">
        <v>336</v>
      </c>
      <c r="BL7" s="156" t="s">
        <v>337</v>
      </c>
      <c r="BM7" s="155" t="s">
        <v>335</v>
      </c>
      <c r="BN7" s="156" t="s">
        <v>336</v>
      </c>
      <c r="BO7" s="156" t="s">
        <v>337</v>
      </c>
      <c r="BP7" s="155" t="s">
        <v>335</v>
      </c>
      <c r="BQ7" s="156" t="s">
        <v>336</v>
      </c>
      <c r="BR7" s="156" t="s">
        <v>337</v>
      </c>
      <c r="BS7" s="155" t="s">
        <v>335</v>
      </c>
      <c r="BT7" s="156" t="s">
        <v>336</v>
      </c>
      <c r="BU7" s="157" t="s">
        <v>337</v>
      </c>
      <c r="BV7" s="159" t="s">
        <v>335</v>
      </c>
      <c r="BW7" s="156" t="s">
        <v>336</v>
      </c>
      <c r="BX7" s="156" t="s">
        <v>337</v>
      </c>
      <c r="BY7" s="155" t="s">
        <v>335</v>
      </c>
      <c r="BZ7" s="156" t="s">
        <v>336</v>
      </c>
      <c r="CA7" s="156" t="s">
        <v>337</v>
      </c>
      <c r="CB7" s="155" t="s">
        <v>335</v>
      </c>
      <c r="CC7" s="156" t="s">
        <v>336</v>
      </c>
      <c r="CD7" s="156" t="s">
        <v>337</v>
      </c>
      <c r="CE7" s="155" t="s">
        <v>335</v>
      </c>
      <c r="CF7" s="156" t="s">
        <v>336</v>
      </c>
      <c r="CG7" s="156" t="s">
        <v>337</v>
      </c>
      <c r="CH7" s="155" t="s">
        <v>335</v>
      </c>
      <c r="CI7" s="156" t="s">
        <v>336</v>
      </c>
      <c r="CJ7" s="156" t="s">
        <v>337</v>
      </c>
      <c r="CK7" s="155" t="s">
        <v>335</v>
      </c>
      <c r="CL7" s="156" t="s">
        <v>336</v>
      </c>
      <c r="CM7" s="156" t="s">
        <v>337</v>
      </c>
      <c r="CN7" s="155" t="s">
        <v>335</v>
      </c>
      <c r="CO7" s="156" t="s">
        <v>336</v>
      </c>
      <c r="CP7" s="156" t="s">
        <v>337</v>
      </c>
      <c r="CQ7" s="155" t="s">
        <v>335</v>
      </c>
      <c r="CR7" s="156" t="s">
        <v>336</v>
      </c>
      <c r="CS7" s="160" t="s">
        <v>337</v>
      </c>
    </row>
    <row r="8" spans="1:97" s="177" customFormat="1" ht="20.45" customHeight="1">
      <c r="A8" s="169" t="s">
        <v>330</v>
      </c>
      <c r="B8" s="152">
        <v>391275</v>
      </c>
      <c r="C8" s="152">
        <v>160140</v>
      </c>
      <c r="D8" s="152">
        <v>231135</v>
      </c>
      <c r="E8" s="152">
        <v>78048</v>
      </c>
      <c r="F8" s="152">
        <v>28569</v>
      </c>
      <c r="G8" s="152">
        <v>49479</v>
      </c>
      <c r="H8" s="152">
        <v>82974</v>
      </c>
      <c r="I8" s="152">
        <v>30778</v>
      </c>
      <c r="J8" s="152">
        <v>52196</v>
      </c>
      <c r="K8" s="152">
        <v>80812</v>
      </c>
      <c r="L8" s="152">
        <v>32726</v>
      </c>
      <c r="M8" s="152">
        <v>48086</v>
      </c>
      <c r="N8" s="152">
        <v>53660</v>
      </c>
      <c r="O8" s="152">
        <v>24601</v>
      </c>
      <c r="P8" s="152">
        <v>29059</v>
      </c>
      <c r="Q8" s="152">
        <v>31765</v>
      </c>
      <c r="R8" s="152">
        <v>14227</v>
      </c>
      <c r="S8" s="152">
        <v>17538</v>
      </c>
      <c r="T8" s="152">
        <v>30985</v>
      </c>
      <c r="U8" s="152">
        <v>14039</v>
      </c>
      <c r="V8" s="152">
        <v>16946</v>
      </c>
      <c r="W8" s="152">
        <v>33031</v>
      </c>
      <c r="X8" s="152">
        <v>15200</v>
      </c>
      <c r="Y8" s="153">
        <v>17831</v>
      </c>
      <c r="Z8" s="152">
        <v>363228</v>
      </c>
      <c r="AA8" s="152">
        <v>150193</v>
      </c>
      <c r="AB8" s="152">
        <v>213035</v>
      </c>
      <c r="AC8" s="152">
        <v>74406</v>
      </c>
      <c r="AD8" s="152">
        <v>27478</v>
      </c>
      <c r="AE8" s="152">
        <v>46928</v>
      </c>
      <c r="AF8" s="152">
        <v>76833</v>
      </c>
      <c r="AG8" s="152">
        <v>28847</v>
      </c>
      <c r="AH8" s="152">
        <v>47986</v>
      </c>
      <c r="AI8" s="152">
        <v>74175</v>
      </c>
      <c r="AJ8" s="152">
        <v>30424</v>
      </c>
      <c r="AK8" s="152">
        <v>43751</v>
      </c>
      <c r="AL8" s="152">
        <v>48662</v>
      </c>
      <c r="AM8" s="152">
        <v>22554</v>
      </c>
      <c r="AN8" s="152">
        <v>26108</v>
      </c>
      <c r="AO8" s="152">
        <v>27315</v>
      </c>
      <c r="AP8" s="152">
        <v>12509</v>
      </c>
      <c r="AQ8" s="152">
        <v>14806</v>
      </c>
      <c r="AR8" s="152">
        <v>29509</v>
      </c>
      <c r="AS8" s="152">
        <v>13447</v>
      </c>
      <c r="AT8" s="152">
        <v>16062</v>
      </c>
      <c r="AU8" s="152">
        <v>32328</v>
      </c>
      <c r="AV8" s="152">
        <v>14934</v>
      </c>
      <c r="AW8" s="153">
        <v>17394</v>
      </c>
      <c r="AX8" s="154">
        <v>42637</v>
      </c>
      <c r="AY8" s="152">
        <v>15697</v>
      </c>
      <c r="AZ8" s="152">
        <v>26940</v>
      </c>
      <c r="BA8" s="152">
        <v>4996</v>
      </c>
      <c r="BB8" s="152">
        <v>1518</v>
      </c>
      <c r="BC8" s="152">
        <v>3478</v>
      </c>
      <c r="BD8" s="152">
        <v>8880</v>
      </c>
      <c r="BE8" s="152">
        <v>2828</v>
      </c>
      <c r="BF8" s="152">
        <v>6052</v>
      </c>
      <c r="BG8" s="152">
        <v>10050</v>
      </c>
      <c r="BH8" s="152">
        <v>3597</v>
      </c>
      <c r="BI8" s="152">
        <v>6453</v>
      </c>
      <c r="BJ8" s="152">
        <v>7674</v>
      </c>
      <c r="BK8" s="152">
        <v>3244</v>
      </c>
      <c r="BL8" s="152">
        <v>4430</v>
      </c>
      <c r="BM8" s="152">
        <v>6937</v>
      </c>
      <c r="BN8" s="152">
        <v>2790</v>
      </c>
      <c r="BO8" s="152">
        <v>4147</v>
      </c>
      <c r="BP8" s="152">
        <v>2765</v>
      </c>
      <c r="BQ8" s="152">
        <v>1131</v>
      </c>
      <c r="BR8" s="152">
        <v>1634</v>
      </c>
      <c r="BS8" s="152">
        <v>1335</v>
      </c>
      <c r="BT8" s="152">
        <v>589</v>
      </c>
      <c r="BU8" s="153">
        <v>746</v>
      </c>
      <c r="BV8" s="154">
        <v>1574</v>
      </c>
      <c r="BW8" s="152">
        <v>641</v>
      </c>
      <c r="BX8" s="152">
        <v>933</v>
      </c>
      <c r="BY8" s="152">
        <v>45</v>
      </c>
      <c r="BZ8" s="152">
        <v>15</v>
      </c>
      <c r="CA8" s="152">
        <v>30</v>
      </c>
      <c r="CB8" s="152">
        <v>88</v>
      </c>
      <c r="CC8" s="152">
        <v>36</v>
      </c>
      <c r="CD8" s="152">
        <v>52</v>
      </c>
      <c r="CE8" s="152">
        <v>169</v>
      </c>
      <c r="CF8" s="152">
        <v>61</v>
      </c>
      <c r="CG8" s="152">
        <v>108</v>
      </c>
      <c r="CH8" s="152">
        <v>280</v>
      </c>
      <c r="CI8" s="152">
        <v>116</v>
      </c>
      <c r="CJ8" s="152">
        <v>164</v>
      </c>
      <c r="CK8" s="152">
        <v>347</v>
      </c>
      <c r="CL8" s="152">
        <v>146</v>
      </c>
      <c r="CM8" s="152">
        <v>201</v>
      </c>
      <c r="CN8" s="152">
        <v>327</v>
      </c>
      <c r="CO8" s="152">
        <v>124</v>
      </c>
      <c r="CP8" s="152">
        <v>203</v>
      </c>
      <c r="CQ8" s="152">
        <v>318</v>
      </c>
      <c r="CR8" s="152">
        <v>143</v>
      </c>
      <c r="CS8" s="152">
        <v>175</v>
      </c>
    </row>
    <row r="9" spans="1:97" s="178" customFormat="1" ht="20.45" customHeight="1">
      <c r="A9" s="170" t="s">
        <v>338</v>
      </c>
      <c r="B9" s="139">
        <v>49829</v>
      </c>
      <c r="C9" s="139">
        <v>20754</v>
      </c>
      <c r="D9" s="139">
        <v>29075</v>
      </c>
      <c r="E9" s="141">
        <v>9639</v>
      </c>
      <c r="F9" s="141">
        <v>3375</v>
      </c>
      <c r="G9" s="141">
        <v>6264</v>
      </c>
      <c r="H9" s="141">
        <v>10687</v>
      </c>
      <c r="I9" s="141">
        <v>4114</v>
      </c>
      <c r="J9" s="141">
        <v>6573</v>
      </c>
      <c r="K9" s="141">
        <v>10063</v>
      </c>
      <c r="L9" s="141">
        <v>4212</v>
      </c>
      <c r="M9" s="141">
        <v>5851</v>
      </c>
      <c r="N9" s="141">
        <v>6747</v>
      </c>
      <c r="O9" s="141">
        <v>3243</v>
      </c>
      <c r="P9" s="141">
        <v>3504</v>
      </c>
      <c r="Q9" s="141">
        <v>4354</v>
      </c>
      <c r="R9" s="141">
        <v>2022</v>
      </c>
      <c r="S9" s="141">
        <v>2332</v>
      </c>
      <c r="T9" s="141">
        <v>3974</v>
      </c>
      <c r="U9" s="141">
        <v>1794</v>
      </c>
      <c r="V9" s="141">
        <v>2180</v>
      </c>
      <c r="W9" s="141">
        <v>4365</v>
      </c>
      <c r="X9" s="141">
        <v>1994</v>
      </c>
      <c r="Y9" s="151">
        <v>2371</v>
      </c>
      <c r="Z9" s="139">
        <v>46924</v>
      </c>
      <c r="AA9" s="139">
        <v>19745</v>
      </c>
      <c r="AB9" s="139">
        <v>27179</v>
      </c>
      <c r="AC9" s="141">
        <v>9111</v>
      </c>
      <c r="AD9" s="141">
        <v>3224</v>
      </c>
      <c r="AE9" s="141">
        <v>5887</v>
      </c>
      <c r="AF9" s="141">
        <v>9960</v>
      </c>
      <c r="AG9" s="141">
        <v>3883</v>
      </c>
      <c r="AH9" s="141">
        <v>6077</v>
      </c>
      <c r="AI9" s="141">
        <v>9338</v>
      </c>
      <c r="AJ9" s="141">
        <v>3963</v>
      </c>
      <c r="AK9" s="141">
        <v>5375</v>
      </c>
      <c r="AL9" s="141">
        <v>6333</v>
      </c>
      <c r="AM9" s="141">
        <v>3062</v>
      </c>
      <c r="AN9" s="141">
        <v>3271</v>
      </c>
      <c r="AO9" s="141">
        <v>3933</v>
      </c>
      <c r="AP9" s="141">
        <v>1860</v>
      </c>
      <c r="AQ9" s="141">
        <v>2073</v>
      </c>
      <c r="AR9" s="141">
        <v>3916</v>
      </c>
      <c r="AS9" s="141">
        <v>1773</v>
      </c>
      <c r="AT9" s="141">
        <v>2143</v>
      </c>
      <c r="AU9" s="141">
        <v>4333</v>
      </c>
      <c r="AV9" s="141">
        <v>1980</v>
      </c>
      <c r="AW9" s="151">
        <v>2353</v>
      </c>
      <c r="AX9" s="149">
        <v>4878</v>
      </c>
      <c r="AY9" s="139">
        <v>1723</v>
      </c>
      <c r="AZ9" s="139">
        <v>3155</v>
      </c>
      <c r="BA9" s="140">
        <v>780</v>
      </c>
      <c r="BB9" s="141">
        <v>225</v>
      </c>
      <c r="BC9" s="141">
        <v>555</v>
      </c>
      <c r="BD9" s="141">
        <v>1146</v>
      </c>
      <c r="BE9" s="141">
        <v>375</v>
      </c>
      <c r="BF9" s="141">
        <v>771</v>
      </c>
      <c r="BG9" s="141">
        <v>1229</v>
      </c>
      <c r="BH9" s="141">
        <v>404</v>
      </c>
      <c r="BI9" s="141">
        <v>825</v>
      </c>
      <c r="BJ9" s="141">
        <v>729</v>
      </c>
      <c r="BK9" s="141">
        <v>325</v>
      </c>
      <c r="BL9" s="141">
        <v>404</v>
      </c>
      <c r="BM9" s="141">
        <v>752</v>
      </c>
      <c r="BN9" s="141">
        <v>304</v>
      </c>
      <c r="BO9" s="141">
        <v>448</v>
      </c>
      <c r="BP9" s="141">
        <v>169</v>
      </c>
      <c r="BQ9" s="141">
        <v>59</v>
      </c>
      <c r="BR9" s="141">
        <v>110</v>
      </c>
      <c r="BS9" s="141">
        <v>73</v>
      </c>
      <c r="BT9" s="141">
        <v>31</v>
      </c>
      <c r="BU9" s="151">
        <v>42</v>
      </c>
      <c r="BV9" s="149">
        <v>37</v>
      </c>
      <c r="BW9" s="139">
        <v>11</v>
      </c>
      <c r="BX9" s="139">
        <v>26</v>
      </c>
      <c r="BY9" s="140">
        <v>0</v>
      </c>
      <c r="BZ9" s="141">
        <v>0</v>
      </c>
      <c r="CA9" s="141">
        <v>0</v>
      </c>
      <c r="CB9" s="141">
        <v>1</v>
      </c>
      <c r="CC9" s="141">
        <v>1</v>
      </c>
      <c r="CD9" s="141">
        <v>0</v>
      </c>
      <c r="CE9" s="141">
        <v>4</v>
      </c>
      <c r="CF9" s="141">
        <v>0</v>
      </c>
      <c r="CG9" s="141">
        <v>4</v>
      </c>
      <c r="CH9" s="141">
        <v>4</v>
      </c>
      <c r="CI9" s="141">
        <v>1</v>
      </c>
      <c r="CJ9" s="141">
        <v>3</v>
      </c>
      <c r="CK9" s="141">
        <v>12</v>
      </c>
      <c r="CL9" s="141">
        <v>6</v>
      </c>
      <c r="CM9" s="141">
        <v>6</v>
      </c>
      <c r="CN9" s="141">
        <v>5</v>
      </c>
      <c r="CO9" s="141">
        <v>0</v>
      </c>
      <c r="CP9" s="141">
        <v>5</v>
      </c>
      <c r="CQ9" s="141">
        <v>11</v>
      </c>
      <c r="CR9" s="141">
        <v>3</v>
      </c>
      <c r="CS9" s="141">
        <v>8</v>
      </c>
    </row>
    <row r="10" spans="1:97" s="178" customFormat="1" ht="20.45" customHeight="1">
      <c r="A10" s="170" t="s">
        <v>339</v>
      </c>
      <c r="B10" s="139">
        <v>26768</v>
      </c>
      <c r="C10" s="139">
        <v>10681</v>
      </c>
      <c r="D10" s="139">
        <v>16087</v>
      </c>
      <c r="E10" s="141">
        <v>3614</v>
      </c>
      <c r="F10" s="141">
        <v>1102</v>
      </c>
      <c r="G10" s="141">
        <v>2512</v>
      </c>
      <c r="H10" s="141">
        <v>4787</v>
      </c>
      <c r="I10" s="141">
        <v>1703</v>
      </c>
      <c r="J10" s="141">
        <v>3084</v>
      </c>
      <c r="K10" s="141">
        <v>6403</v>
      </c>
      <c r="L10" s="141">
        <v>2440</v>
      </c>
      <c r="M10" s="141">
        <v>3963</v>
      </c>
      <c r="N10" s="141">
        <v>3736</v>
      </c>
      <c r="O10" s="141">
        <v>1767</v>
      </c>
      <c r="P10" s="141">
        <v>1969</v>
      </c>
      <c r="Q10" s="141">
        <v>2571</v>
      </c>
      <c r="R10" s="141">
        <v>1150</v>
      </c>
      <c r="S10" s="141">
        <v>1421</v>
      </c>
      <c r="T10" s="141">
        <v>2814</v>
      </c>
      <c r="U10" s="141">
        <v>1254</v>
      </c>
      <c r="V10" s="141">
        <v>1560</v>
      </c>
      <c r="W10" s="141">
        <v>2843</v>
      </c>
      <c r="X10" s="141">
        <v>1265</v>
      </c>
      <c r="Y10" s="151">
        <v>1578</v>
      </c>
      <c r="Z10" s="139">
        <v>24646</v>
      </c>
      <c r="AA10" s="139">
        <v>9953</v>
      </c>
      <c r="AB10" s="139">
        <v>14693</v>
      </c>
      <c r="AC10" s="141">
        <v>3392</v>
      </c>
      <c r="AD10" s="141">
        <v>1055</v>
      </c>
      <c r="AE10" s="141">
        <v>2337</v>
      </c>
      <c r="AF10" s="141">
        <v>4350</v>
      </c>
      <c r="AG10" s="141">
        <v>1557</v>
      </c>
      <c r="AH10" s="141">
        <v>2793</v>
      </c>
      <c r="AI10" s="141">
        <v>5797</v>
      </c>
      <c r="AJ10" s="141">
        <v>2257</v>
      </c>
      <c r="AK10" s="141">
        <v>3540</v>
      </c>
      <c r="AL10" s="141">
        <v>3374</v>
      </c>
      <c r="AM10" s="141">
        <v>1600</v>
      </c>
      <c r="AN10" s="141">
        <v>1774</v>
      </c>
      <c r="AO10" s="141">
        <v>2195</v>
      </c>
      <c r="AP10" s="141">
        <v>1002</v>
      </c>
      <c r="AQ10" s="141">
        <v>1193</v>
      </c>
      <c r="AR10" s="141">
        <v>2727</v>
      </c>
      <c r="AS10" s="141">
        <v>1228</v>
      </c>
      <c r="AT10" s="141">
        <v>1499</v>
      </c>
      <c r="AU10" s="141">
        <v>2811</v>
      </c>
      <c r="AV10" s="141">
        <v>1254</v>
      </c>
      <c r="AW10" s="151">
        <v>1557</v>
      </c>
      <c r="AX10" s="149">
        <v>3278</v>
      </c>
      <c r="AY10" s="139">
        <v>1160</v>
      </c>
      <c r="AZ10" s="139">
        <v>2118</v>
      </c>
      <c r="BA10" s="140">
        <v>279</v>
      </c>
      <c r="BB10" s="141">
        <v>63</v>
      </c>
      <c r="BC10" s="141">
        <v>216</v>
      </c>
      <c r="BD10" s="141">
        <v>655</v>
      </c>
      <c r="BE10" s="141">
        <v>205</v>
      </c>
      <c r="BF10" s="141">
        <v>450</v>
      </c>
      <c r="BG10" s="141">
        <v>897</v>
      </c>
      <c r="BH10" s="141">
        <v>292</v>
      </c>
      <c r="BI10" s="141">
        <v>605</v>
      </c>
      <c r="BJ10" s="141">
        <v>559</v>
      </c>
      <c r="BK10" s="141">
        <v>254</v>
      </c>
      <c r="BL10" s="141">
        <v>305</v>
      </c>
      <c r="BM10" s="141">
        <v>624</v>
      </c>
      <c r="BN10" s="141">
        <v>245</v>
      </c>
      <c r="BO10" s="141">
        <v>379</v>
      </c>
      <c r="BP10" s="141">
        <v>186</v>
      </c>
      <c r="BQ10" s="141">
        <v>69</v>
      </c>
      <c r="BR10" s="141">
        <v>117</v>
      </c>
      <c r="BS10" s="141">
        <v>78</v>
      </c>
      <c r="BT10" s="141">
        <v>32</v>
      </c>
      <c r="BU10" s="151">
        <v>46</v>
      </c>
      <c r="BV10" s="149">
        <v>31</v>
      </c>
      <c r="BW10" s="139">
        <v>10</v>
      </c>
      <c r="BX10" s="139">
        <v>21</v>
      </c>
      <c r="BY10" s="140">
        <v>0</v>
      </c>
      <c r="BZ10" s="141">
        <v>0</v>
      </c>
      <c r="CA10" s="141">
        <v>0</v>
      </c>
      <c r="CB10" s="141">
        <v>0</v>
      </c>
      <c r="CC10" s="141">
        <v>0</v>
      </c>
      <c r="CD10" s="141">
        <v>0</v>
      </c>
      <c r="CE10" s="141">
        <v>3</v>
      </c>
      <c r="CF10" s="141">
        <v>1</v>
      </c>
      <c r="CG10" s="141">
        <v>2</v>
      </c>
      <c r="CH10" s="141">
        <v>4</v>
      </c>
      <c r="CI10" s="141">
        <v>1</v>
      </c>
      <c r="CJ10" s="141">
        <v>3</v>
      </c>
      <c r="CK10" s="141">
        <v>12</v>
      </c>
      <c r="CL10" s="141">
        <v>6</v>
      </c>
      <c r="CM10" s="141">
        <v>6</v>
      </c>
      <c r="CN10" s="141">
        <v>9</v>
      </c>
      <c r="CO10" s="141">
        <v>2</v>
      </c>
      <c r="CP10" s="141">
        <v>7</v>
      </c>
      <c r="CQ10" s="141">
        <v>3</v>
      </c>
      <c r="CR10" s="141">
        <v>0</v>
      </c>
      <c r="CS10" s="141">
        <v>3</v>
      </c>
    </row>
    <row r="11" spans="1:97" s="178" customFormat="1" ht="20.45" customHeight="1">
      <c r="A11" s="170" t="s">
        <v>340</v>
      </c>
      <c r="B11" s="139">
        <v>27993</v>
      </c>
      <c r="C11" s="139">
        <v>11590</v>
      </c>
      <c r="D11" s="139">
        <v>16403</v>
      </c>
      <c r="E11" s="141">
        <v>4384</v>
      </c>
      <c r="F11" s="141">
        <v>1513</v>
      </c>
      <c r="G11" s="141">
        <v>2871</v>
      </c>
      <c r="H11" s="141">
        <v>5107</v>
      </c>
      <c r="I11" s="141">
        <v>1933</v>
      </c>
      <c r="J11" s="141">
        <v>3174</v>
      </c>
      <c r="K11" s="141">
        <v>6190</v>
      </c>
      <c r="L11" s="141">
        <v>2382</v>
      </c>
      <c r="M11" s="141">
        <v>3808</v>
      </c>
      <c r="N11" s="141">
        <v>3820</v>
      </c>
      <c r="O11" s="141">
        <v>1733</v>
      </c>
      <c r="P11" s="141">
        <v>2087</v>
      </c>
      <c r="Q11" s="141">
        <v>2986</v>
      </c>
      <c r="R11" s="141">
        <v>1422</v>
      </c>
      <c r="S11" s="141">
        <v>1564</v>
      </c>
      <c r="T11" s="141">
        <v>2666</v>
      </c>
      <c r="U11" s="141">
        <v>1241</v>
      </c>
      <c r="V11" s="141">
        <v>1425</v>
      </c>
      <c r="W11" s="141">
        <v>2840</v>
      </c>
      <c r="X11" s="141">
        <v>1366</v>
      </c>
      <c r="Y11" s="151">
        <v>1474</v>
      </c>
      <c r="Z11" s="139">
        <v>25733</v>
      </c>
      <c r="AA11" s="139">
        <v>10814</v>
      </c>
      <c r="AB11" s="139">
        <v>14919</v>
      </c>
      <c r="AC11" s="141">
        <v>4128</v>
      </c>
      <c r="AD11" s="141">
        <v>1438</v>
      </c>
      <c r="AE11" s="141">
        <v>2690</v>
      </c>
      <c r="AF11" s="141">
        <v>4650</v>
      </c>
      <c r="AG11" s="141">
        <v>1785</v>
      </c>
      <c r="AH11" s="141">
        <v>2865</v>
      </c>
      <c r="AI11" s="141">
        <v>5605</v>
      </c>
      <c r="AJ11" s="141">
        <v>2214</v>
      </c>
      <c r="AK11" s="141">
        <v>3391</v>
      </c>
      <c r="AL11" s="141">
        <v>3417</v>
      </c>
      <c r="AM11" s="141">
        <v>1573</v>
      </c>
      <c r="AN11" s="141">
        <v>1844</v>
      </c>
      <c r="AO11" s="141">
        <v>2557</v>
      </c>
      <c r="AP11" s="141">
        <v>1252</v>
      </c>
      <c r="AQ11" s="141">
        <v>1305</v>
      </c>
      <c r="AR11" s="141">
        <v>2569</v>
      </c>
      <c r="AS11" s="141">
        <v>1198</v>
      </c>
      <c r="AT11" s="141">
        <v>1371</v>
      </c>
      <c r="AU11" s="141">
        <v>2807</v>
      </c>
      <c r="AV11" s="141">
        <v>1354</v>
      </c>
      <c r="AW11" s="151">
        <v>1453</v>
      </c>
      <c r="AX11" s="149">
        <v>3255</v>
      </c>
      <c r="AY11" s="139">
        <v>1168</v>
      </c>
      <c r="AZ11" s="139">
        <v>2087</v>
      </c>
      <c r="BA11" s="140">
        <v>334</v>
      </c>
      <c r="BB11" s="141">
        <v>100</v>
      </c>
      <c r="BC11" s="141">
        <v>234</v>
      </c>
      <c r="BD11" s="141">
        <v>604</v>
      </c>
      <c r="BE11" s="141">
        <v>187</v>
      </c>
      <c r="BF11" s="141">
        <v>417</v>
      </c>
      <c r="BG11" s="141">
        <v>838</v>
      </c>
      <c r="BH11" s="141">
        <v>267</v>
      </c>
      <c r="BI11" s="141">
        <v>571</v>
      </c>
      <c r="BJ11" s="141">
        <v>574</v>
      </c>
      <c r="BK11" s="141">
        <v>238</v>
      </c>
      <c r="BL11" s="141">
        <v>336</v>
      </c>
      <c r="BM11" s="141">
        <v>624</v>
      </c>
      <c r="BN11" s="141">
        <v>258</v>
      </c>
      <c r="BO11" s="141">
        <v>366</v>
      </c>
      <c r="BP11" s="141">
        <v>191</v>
      </c>
      <c r="BQ11" s="141">
        <v>80</v>
      </c>
      <c r="BR11" s="141">
        <v>111</v>
      </c>
      <c r="BS11" s="141">
        <v>90</v>
      </c>
      <c r="BT11" s="141">
        <v>38</v>
      </c>
      <c r="BU11" s="151">
        <v>52</v>
      </c>
      <c r="BV11" s="149">
        <v>28</v>
      </c>
      <c r="BW11" s="139">
        <v>11</v>
      </c>
      <c r="BX11" s="139">
        <v>17</v>
      </c>
      <c r="BY11" s="140">
        <v>0</v>
      </c>
      <c r="BZ11" s="141">
        <v>0</v>
      </c>
      <c r="CA11" s="141">
        <v>0</v>
      </c>
      <c r="CB11" s="141">
        <v>1</v>
      </c>
      <c r="CC11" s="141">
        <v>1</v>
      </c>
      <c r="CD11" s="141">
        <v>0</v>
      </c>
      <c r="CE11" s="141">
        <v>2</v>
      </c>
      <c r="CF11" s="141">
        <v>0</v>
      </c>
      <c r="CG11" s="141">
        <v>2</v>
      </c>
      <c r="CH11" s="141">
        <v>2</v>
      </c>
      <c r="CI11" s="141">
        <v>1</v>
      </c>
      <c r="CJ11" s="141">
        <v>1</v>
      </c>
      <c r="CK11" s="141">
        <v>11</v>
      </c>
      <c r="CL11" s="141">
        <v>3</v>
      </c>
      <c r="CM11" s="141">
        <v>8</v>
      </c>
      <c r="CN11" s="141">
        <v>8</v>
      </c>
      <c r="CO11" s="141">
        <v>3</v>
      </c>
      <c r="CP11" s="141">
        <v>5</v>
      </c>
      <c r="CQ11" s="141">
        <v>4</v>
      </c>
      <c r="CR11" s="141">
        <v>3</v>
      </c>
      <c r="CS11" s="141">
        <v>1</v>
      </c>
    </row>
    <row r="12" spans="1:97" s="178" customFormat="1" ht="20.45" customHeight="1">
      <c r="A12" s="170" t="s">
        <v>367</v>
      </c>
      <c r="B12" s="139">
        <v>47590</v>
      </c>
      <c r="C12" s="139">
        <v>19423</v>
      </c>
      <c r="D12" s="139">
        <v>28167</v>
      </c>
      <c r="E12" s="141">
        <v>9384</v>
      </c>
      <c r="F12" s="141">
        <v>3347</v>
      </c>
      <c r="G12" s="141">
        <v>6037</v>
      </c>
      <c r="H12" s="141">
        <v>9582</v>
      </c>
      <c r="I12" s="141">
        <v>3521</v>
      </c>
      <c r="J12" s="141">
        <v>6061</v>
      </c>
      <c r="K12" s="141">
        <v>8861</v>
      </c>
      <c r="L12" s="141">
        <v>3612</v>
      </c>
      <c r="M12" s="141">
        <v>5249</v>
      </c>
      <c r="N12" s="141">
        <v>7409</v>
      </c>
      <c r="O12" s="141">
        <v>3357</v>
      </c>
      <c r="P12" s="141">
        <v>4052</v>
      </c>
      <c r="Q12" s="141">
        <v>4197</v>
      </c>
      <c r="R12" s="141">
        <v>1852</v>
      </c>
      <c r="S12" s="141">
        <v>2345</v>
      </c>
      <c r="T12" s="141">
        <v>3955</v>
      </c>
      <c r="U12" s="141">
        <v>1789</v>
      </c>
      <c r="V12" s="141">
        <v>2166</v>
      </c>
      <c r="W12" s="141">
        <v>4202</v>
      </c>
      <c r="X12" s="141">
        <v>1945</v>
      </c>
      <c r="Y12" s="151">
        <v>2257</v>
      </c>
      <c r="Z12" s="139">
        <v>43621</v>
      </c>
      <c r="AA12" s="139">
        <v>18022</v>
      </c>
      <c r="AB12" s="139">
        <v>25599</v>
      </c>
      <c r="AC12" s="141">
        <v>8765</v>
      </c>
      <c r="AD12" s="141">
        <v>3161</v>
      </c>
      <c r="AE12" s="141">
        <v>5604</v>
      </c>
      <c r="AF12" s="141">
        <v>8790</v>
      </c>
      <c r="AG12" s="141">
        <v>3280</v>
      </c>
      <c r="AH12" s="141">
        <v>5510</v>
      </c>
      <c r="AI12" s="141">
        <v>7997</v>
      </c>
      <c r="AJ12" s="141">
        <v>3296</v>
      </c>
      <c r="AK12" s="141">
        <v>4701</v>
      </c>
      <c r="AL12" s="141">
        <v>6599</v>
      </c>
      <c r="AM12" s="141">
        <v>3025</v>
      </c>
      <c r="AN12" s="141">
        <v>3574</v>
      </c>
      <c r="AO12" s="141">
        <v>3621</v>
      </c>
      <c r="AP12" s="141">
        <v>1649</v>
      </c>
      <c r="AQ12" s="141">
        <v>1972</v>
      </c>
      <c r="AR12" s="141">
        <v>3751</v>
      </c>
      <c r="AS12" s="141">
        <v>1703</v>
      </c>
      <c r="AT12" s="141">
        <v>2048</v>
      </c>
      <c r="AU12" s="141">
        <v>4098</v>
      </c>
      <c r="AV12" s="141">
        <v>1908</v>
      </c>
      <c r="AW12" s="151">
        <v>2190</v>
      </c>
      <c r="AX12" s="149">
        <v>5987</v>
      </c>
      <c r="AY12" s="139">
        <v>2190</v>
      </c>
      <c r="AZ12" s="139">
        <v>3797</v>
      </c>
      <c r="BA12" s="140">
        <v>821</v>
      </c>
      <c r="BB12" s="141">
        <v>255</v>
      </c>
      <c r="BC12" s="141">
        <v>566</v>
      </c>
      <c r="BD12" s="141">
        <v>1176</v>
      </c>
      <c r="BE12" s="141">
        <v>360</v>
      </c>
      <c r="BF12" s="141">
        <v>816</v>
      </c>
      <c r="BG12" s="141">
        <v>1265</v>
      </c>
      <c r="BH12" s="141">
        <v>457</v>
      </c>
      <c r="BI12" s="141">
        <v>808</v>
      </c>
      <c r="BJ12" s="141">
        <v>1216</v>
      </c>
      <c r="BK12" s="141">
        <v>508</v>
      </c>
      <c r="BL12" s="141">
        <v>708</v>
      </c>
      <c r="BM12" s="141">
        <v>917</v>
      </c>
      <c r="BN12" s="141">
        <v>354</v>
      </c>
      <c r="BO12" s="141">
        <v>563</v>
      </c>
      <c r="BP12" s="141">
        <v>393</v>
      </c>
      <c r="BQ12" s="141">
        <v>169</v>
      </c>
      <c r="BR12" s="141">
        <v>224</v>
      </c>
      <c r="BS12" s="141">
        <v>199</v>
      </c>
      <c r="BT12" s="141">
        <v>87</v>
      </c>
      <c r="BU12" s="151">
        <v>112</v>
      </c>
      <c r="BV12" s="149">
        <v>144</v>
      </c>
      <c r="BW12" s="139">
        <v>80</v>
      </c>
      <c r="BX12" s="139">
        <v>64</v>
      </c>
      <c r="BY12" s="140">
        <v>5</v>
      </c>
      <c r="BZ12" s="141">
        <v>2</v>
      </c>
      <c r="CA12" s="141">
        <v>3</v>
      </c>
      <c r="CB12" s="141">
        <v>10</v>
      </c>
      <c r="CC12" s="141">
        <v>5</v>
      </c>
      <c r="CD12" s="141">
        <v>5</v>
      </c>
      <c r="CE12" s="141">
        <v>17</v>
      </c>
      <c r="CF12" s="141">
        <v>9</v>
      </c>
      <c r="CG12" s="141">
        <v>8</v>
      </c>
      <c r="CH12" s="141">
        <v>34</v>
      </c>
      <c r="CI12" s="141">
        <v>21</v>
      </c>
      <c r="CJ12" s="141">
        <v>13</v>
      </c>
      <c r="CK12" s="141">
        <v>32</v>
      </c>
      <c r="CL12" s="141">
        <v>16</v>
      </c>
      <c r="CM12" s="141">
        <v>16</v>
      </c>
      <c r="CN12" s="141">
        <v>25</v>
      </c>
      <c r="CO12" s="141">
        <v>15</v>
      </c>
      <c r="CP12" s="141">
        <v>10</v>
      </c>
      <c r="CQ12" s="141">
        <v>21</v>
      </c>
      <c r="CR12" s="141">
        <v>12</v>
      </c>
      <c r="CS12" s="141">
        <v>9</v>
      </c>
    </row>
    <row r="13" spans="1:97" s="178" customFormat="1" ht="20.45" customHeight="1">
      <c r="A13" s="170" t="s">
        <v>341</v>
      </c>
      <c r="B13" s="139">
        <v>40912</v>
      </c>
      <c r="C13" s="139">
        <v>16375</v>
      </c>
      <c r="D13" s="139">
        <v>24537</v>
      </c>
      <c r="E13" s="141">
        <v>6806</v>
      </c>
      <c r="F13" s="141">
        <v>2511</v>
      </c>
      <c r="G13" s="141">
        <v>4295</v>
      </c>
      <c r="H13" s="141">
        <v>7573</v>
      </c>
      <c r="I13" s="141">
        <v>2822</v>
      </c>
      <c r="J13" s="141">
        <v>4751</v>
      </c>
      <c r="K13" s="141">
        <v>8742</v>
      </c>
      <c r="L13" s="141">
        <v>3370</v>
      </c>
      <c r="M13" s="141">
        <v>5372</v>
      </c>
      <c r="N13" s="141">
        <v>6202</v>
      </c>
      <c r="O13" s="141">
        <v>2697</v>
      </c>
      <c r="P13" s="141">
        <v>3505</v>
      </c>
      <c r="Q13" s="141">
        <v>3633</v>
      </c>
      <c r="R13" s="141">
        <v>1499</v>
      </c>
      <c r="S13" s="141">
        <v>2134</v>
      </c>
      <c r="T13" s="141">
        <v>3881</v>
      </c>
      <c r="U13" s="141">
        <v>1660</v>
      </c>
      <c r="V13" s="141">
        <v>2221</v>
      </c>
      <c r="W13" s="141">
        <v>4075</v>
      </c>
      <c r="X13" s="141">
        <v>1816</v>
      </c>
      <c r="Y13" s="151">
        <v>2259</v>
      </c>
      <c r="Z13" s="139">
        <v>37397</v>
      </c>
      <c r="AA13" s="139">
        <v>15177</v>
      </c>
      <c r="AB13" s="139">
        <v>22220</v>
      </c>
      <c r="AC13" s="141">
        <v>6480</v>
      </c>
      <c r="AD13" s="141">
        <v>2418</v>
      </c>
      <c r="AE13" s="141">
        <v>4062</v>
      </c>
      <c r="AF13" s="141">
        <v>6910</v>
      </c>
      <c r="AG13" s="141">
        <v>2620</v>
      </c>
      <c r="AH13" s="141">
        <v>4290</v>
      </c>
      <c r="AI13" s="141">
        <v>7970</v>
      </c>
      <c r="AJ13" s="141">
        <v>3113</v>
      </c>
      <c r="AK13" s="141">
        <v>4857</v>
      </c>
      <c r="AL13" s="141">
        <v>5542</v>
      </c>
      <c r="AM13" s="141">
        <v>2426</v>
      </c>
      <c r="AN13" s="141">
        <v>3116</v>
      </c>
      <c r="AO13" s="141">
        <v>2964</v>
      </c>
      <c r="AP13" s="141">
        <v>1269</v>
      </c>
      <c r="AQ13" s="141">
        <v>1695</v>
      </c>
      <c r="AR13" s="141">
        <v>3600</v>
      </c>
      <c r="AS13" s="141">
        <v>1563</v>
      </c>
      <c r="AT13" s="141">
        <v>2037</v>
      </c>
      <c r="AU13" s="141">
        <v>3931</v>
      </c>
      <c r="AV13" s="141">
        <v>1768</v>
      </c>
      <c r="AW13" s="151">
        <v>2163</v>
      </c>
      <c r="AX13" s="149">
        <v>5374</v>
      </c>
      <c r="AY13" s="139">
        <v>1923</v>
      </c>
      <c r="AZ13" s="139">
        <v>3451</v>
      </c>
      <c r="BA13" s="140">
        <v>483</v>
      </c>
      <c r="BB13" s="141">
        <v>138</v>
      </c>
      <c r="BC13" s="141">
        <v>345</v>
      </c>
      <c r="BD13" s="141">
        <v>927</v>
      </c>
      <c r="BE13" s="141">
        <v>289</v>
      </c>
      <c r="BF13" s="141">
        <v>638</v>
      </c>
      <c r="BG13" s="141">
        <v>1136</v>
      </c>
      <c r="BH13" s="141">
        <v>397</v>
      </c>
      <c r="BI13" s="141">
        <v>739</v>
      </c>
      <c r="BJ13" s="141">
        <v>995</v>
      </c>
      <c r="BK13" s="141">
        <v>406</v>
      </c>
      <c r="BL13" s="141">
        <v>589</v>
      </c>
      <c r="BM13" s="141">
        <v>1035</v>
      </c>
      <c r="BN13" s="141">
        <v>389</v>
      </c>
      <c r="BO13" s="141">
        <v>646</v>
      </c>
      <c r="BP13" s="141">
        <v>532</v>
      </c>
      <c r="BQ13" s="141">
        <v>184</v>
      </c>
      <c r="BR13" s="141">
        <v>348</v>
      </c>
      <c r="BS13" s="141">
        <v>266</v>
      </c>
      <c r="BT13" s="141">
        <v>120</v>
      </c>
      <c r="BU13" s="151">
        <v>146</v>
      </c>
      <c r="BV13" s="149">
        <v>107</v>
      </c>
      <c r="BW13" s="139">
        <v>37</v>
      </c>
      <c r="BX13" s="139">
        <v>70</v>
      </c>
      <c r="BY13" s="140">
        <v>0</v>
      </c>
      <c r="BZ13" s="141">
        <v>0</v>
      </c>
      <c r="CA13" s="141">
        <v>0</v>
      </c>
      <c r="CB13" s="141">
        <v>3</v>
      </c>
      <c r="CC13" s="141">
        <v>3</v>
      </c>
      <c r="CD13" s="141">
        <v>0</v>
      </c>
      <c r="CE13" s="141">
        <v>4</v>
      </c>
      <c r="CF13" s="141">
        <v>1</v>
      </c>
      <c r="CG13" s="141">
        <v>3</v>
      </c>
      <c r="CH13" s="141">
        <v>20</v>
      </c>
      <c r="CI13" s="141">
        <v>9</v>
      </c>
      <c r="CJ13" s="141">
        <v>11</v>
      </c>
      <c r="CK13" s="141">
        <v>28</v>
      </c>
      <c r="CL13" s="141">
        <v>7</v>
      </c>
      <c r="CM13" s="141">
        <v>21</v>
      </c>
      <c r="CN13" s="141">
        <v>21</v>
      </c>
      <c r="CO13" s="141">
        <v>5</v>
      </c>
      <c r="CP13" s="141">
        <v>16</v>
      </c>
      <c r="CQ13" s="141">
        <v>31</v>
      </c>
      <c r="CR13" s="141">
        <v>12</v>
      </c>
      <c r="CS13" s="141">
        <v>19</v>
      </c>
    </row>
    <row r="14" spans="1:97" s="178" customFormat="1" ht="20.45" customHeight="1">
      <c r="A14" s="170" t="s">
        <v>368</v>
      </c>
      <c r="B14" s="139">
        <v>54449</v>
      </c>
      <c r="C14" s="139">
        <v>22009</v>
      </c>
      <c r="D14" s="139">
        <v>32440</v>
      </c>
      <c r="E14" s="141">
        <v>14266</v>
      </c>
      <c r="F14" s="141">
        <v>5138</v>
      </c>
      <c r="G14" s="141">
        <v>9128</v>
      </c>
      <c r="H14" s="141">
        <v>13279</v>
      </c>
      <c r="I14" s="141">
        <v>4964</v>
      </c>
      <c r="J14" s="141">
        <v>8315</v>
      </c>
      <c r="K14" s="141">
        <v>11126</v>
      </c>
      <c r="L14" s="141">
        <v>4672</v>
      </c>
      <c r="M14" s="141">
        <v>6454</v>
      </c>
      <c r="N14" s="141">
        <v>5795</v>
      </c>
      <c r="O14" s="141">
        <v>2749</v>
      </c>
      <c r="P14" s="141">
        <v>3046</v>
      </c>
      <c r="Q14" s="141">
        <v>2817</v>
      </c>
      <c r="R14" s="141">
        <v>1282</v>
      </c>
      <c r="S14" s="141">
        <v>1535</v>
      </c>
      <c r="T14" s="141">
        <v>3273</v>
      </c>
      <c r="U14" s="141">
        <v>1468</v>
      </c>
      <c r="V14" s="141">
        <v>1805</v>
      </c>
      <c r="W14" s="141">
        <v>3893</v>
      </c>
      <c r="X14" s="141">
        <v>1736</v>
      </c>
      <c r="Y14" s="151">
        <v>2157</v>
      </c>
      <c r="Z14" s="139">
        <v>50745</v>
      </c>
      <c r="AA14" s="139">
        <v>20644</v>
      </c>
      <c r="AB14" s="139">
        <v>30101</v>
      </c>
      <c r="AC14" s="141">
        <v>13637</v>
      </c>
      <c r="AD14" s="141">
        <v>4929</v>
      </c>
      <c r="AE14" s="141">
        <v>8708</v>
      </c>
      <c r="AF14" s="141">
        <v>12281</v>
      </c>
      <c r="AG14" s="141">
        <v>4629</v>
      </c>
      <c r="AH14" s="141">
        <v>7652</v>
      </c>
      <c r="AI14" s="141">
        <v>10196</v>
      </c>
      <c r="AJ14" s="141">
        <v>4316</v>
      </c>
      <c r="AK14" s="141">
        <v>5880</v>
      </c>
      <c r="AL14" s="141">
        <v>5242</v>
      </c>
      <c r="AM14" s="141">
        <v>2520</v>
      </c>
      <c r="AN14" s="141">
        <v>2722</v>
      </c>
      <c r="AO14" s="141">
        <v>2453</v>
      </c>
      <c r="AP14" s="141">
        <v>1137</v>
      </c>
      <c r="AQ14" s="141">
        <v>1316</v>
      </c>
      <c r="AR14" s="141">
        <v>3107</v>
      </c>
      <c r="AS14" s="141">
        <v>1400</v>
      </c>
      <c r="AT14" s="141">
        <v>1707</v>
      </c>
      <c r="AU14" s="141">
        <v>3829</v>
      </c>
      <c r="AV14" s="141">
        <v>1713</v>
      </c>
      <c r="AW14" s="151">
        <v>2116</v>
      </c>
      <c r="AX14" s="149">
        <v>5910</v>
      </c>
      <c r="AY14" s="139">
        <v>2257</v>
      </c>
      <c r="AZ14" s="139">
        <v>3653</v>
      </c>
      <c r="BA14" s="140">
        <v>894</v>
      </c>
      <c r="BB14" s="141">
        <v>294</v>
      </c>
      <c r="BC14" s="141">
        <v>600</v>
      </c>
      <c r="BD14" s="141">
        <v>1520</v>
      </c>
      <c r="BE14" s="141">
        <v>518</v>
      </c>
      <c r="BF14" s="141">
        <v>1002</v>
      </c>
      <c r="BG14" s="141">
        <v>1501</v>
      </c>
      <c r="BH14" s="141">
        <v>597</v>
      </c>
      <c r="BI14" s="141">
        <v>904</v>
      </c>
      <c r="BJ14" s="141">
        <v>879</v>
      </c>
      <c r="BK14" s="141">
        <v>379</v>
      </c>
      <c r="BL14" s="141">
        <v>500</v>
      </c>
      <c r="BM14" s="141">
        <v>594</v>
      </c>
      <c r="BN14" s="141">
        <v>243</v>
      </c>
      <c r="BO14" s="141">
        <v>351</v>
      </c>
      <c r="BP14" s="141">
        <v>343</v>
      </c>
      <c r="BQ14" s="141">
        <v>150</v>
      </c>
      <c r="BR14" s="141">
        <v>193</v>
      </c>
      <c r="BS14" s="141">
        <v>179</v>
      </c>
      <c r="BT14" s="141">
        <v>76</v>
      </c>
      <c r="BU14" s="151">
        <v>103</v>
      </c>
      <c r="BV14" s="149">
        <v>177</v>
      </c>
      <c r="BW14" s="139">
        <v>72</v>
      </c>
      <c r="BX14" s="139">
        <v>105</v>
      </c>
      <c r="BY14" s="140">
        <v>10</v>
      </c>
      <c r="BZ14" s="141">
        <v>6</v>
      </c>
      <c r="CA14" s="141">
        <v>4</v>
      </c>
      <c r="CB14" s="141">
        <v>24</v>
      </c>
      <c r="CC14" s="141">
        <v>8</v>
      </c>
      <c r="CD14" s="141">
        <v>16</v>
      </c>
      <c r="CE14" s="141">
        <v>16</v>
      </c>
      <c r="CF14" s="141">
        <v>8</v>
      </c>
      <c r="CG14" s="141">
        <v>8</v>
      </c>
      <c r="CH14" s="141">
        <v>32</v>
      </c>
      <c r="CI14" s="141">
        <v>12</v>
      </c>
      <c r="CJ14" s="141">
        <v>20</v>
      </c>
      <c r="CK14" s="141">
        <v>28</v>
      </c>
      <c r="CL14" s="141">
        <v>11</v>
      </c>
      <c r="CM14" s="141">
        <v>17</v>
      </c>
      <c r="CN14" s="141">
        <v>22</v>
      </c>
      <c r="CO14" s="141">
        <v>6</v>
      </c>
      <c r="CP14" s="141">
        <v>16</v>
      </c>
      <c r="CQ14" s="141">
        <v>45</v>
      </c>
      <c r="CR14" s="141">
        <v>21</v>
      </c>
      <c r="CS14" s="141">
        <v>24</v>
      </c>
    </row>
    <row r="15" spans="1:97" s="178" customFormat="1" ht="20.45" customHeight="1">
      <c r="A15" s="170" t="s">
        <v>342</v>
      </c>
      <c r="B15" s="139">
        <v>6578</v>
      </c>
      <c r="C15" s="139">
        <v>2675</v>
      </c>
      <c r="D15" s="139">
        <v>3903</v>
      </c>
      <c r="E15" s="141">
        <v>1134</v>
      </c>
      <c r="F15" s="141">
        <v>408</v>
      </c>
      <c r="G15" s="141">
        <v>726</v>
      </c>
      <c r="H15" s="141">
        <v>1245</v>
      </c>
      <c r="I15" s="141">
        <v>427</v>
      </c>
      <c r="J15" s="141">
        <v>818</v>
      </c>
      <c r="K15" s="141">
        <v>1412</v>
      </c>
      <c r="L15" s="141">
        <v>560</v>
      </c>
      <c r="M15" s="141">
        <v>852</v>
      </c>
      <c r="N15" s="141">
        <v>1039</v>
      </c>
      <c r="O15" s="141">
        <v>469</v>
      </c>
      <c r="P15" s="141">
        <v>570</v>
      </c>
      <c r="Q15" s="141">
        <v>628</v>
      </c>
      <c r="R15" s="141">
        <v>283</v>
      </c>
      <c r="S15" s="141">
        <v>345</v>
      </c>
      <c r="T15" s="141">
        <v>515</v>
      </c>
      <c r="U15" s="141">
        <v>253</v>
      </c>
      <c r="V15" s="141">
        <v>262</v>
      </c>
      <c r="W15" s="141">
        <v>605</v>
      </c>
      <c r="X15" s="141">
        <v>275</v>
      </c>
      <c r="Y15" s="151">
        <v>330</v>
      </c>
      <c r="Z15" s="139">
        <v>5468</v>
      </c>
      <c r="AA15" s="139">
        <v>2290</v>
      </c>
      <c r="AB15" s="139">
        <v>3178</v>
      </c>
      <c r="AC15" s="141">
        <v>1043</v>
      </c>
      <c r="AD15" s="141">
        <v>387</v>
      </c>
      <c r="AE15" s="141">
        <v>656</v>
      </c>
      <c r="AF15" s="141">
        <v>1046</v>
      </c>
      <c r="AG15" s="141">
        <v>374</v>
      </c>
      <c r="AH15" s="141">
        <v>672</v>
      </c>
      <c r="AI15" s="141">
        <v>1170</v>
      </c>
      <c r="AJ15" s="141">
        <v>484</v>
      </c>
      <c r="AK15" s="141">
        <v>686</v>
      </c>
      <c r="AL15" s="141">
        <v>800</v>
      </c>
      <c r="AM15" s="141">
        <v>385</v>
      </c>
      <c r="AN15" s="141">
        <v>415</v>
      </c>
      <c r="AO15" s="141">
        <v>405</v>
      </c>
      <c r="AP15" s="141">
        <v>190</v>
      </c>
      <c r="AQ15" s="141">
        <v>215</v>
      </c>
      <c r="AR15" s="141">
        <v>448</v>
      </c>
      <c r="AS15" s="141">
        <v>220</v>
      </c>
      <c r="AT15" s="141">
        <v>228</v>
      </c>
      <c r="AU15" s="141">
        <v>556</v>
      </c>
      <c r="AV15" s="141">
        <v>250</v>
      </c>
      <c r="AW15" s="151">
        <v>306</v>
      </c>
      <c r="AX15" s="149">
        <v>1369</v>
      </c>
      <c r="AY15" s="139">
        <v>492</v>
      </c>
      <c r="AZ15" s="139">
        <v>877</v>
      </c>
      <c r="BA15" s="140">
        <v>112</v>
      </c>
      <c r="BB15" s="141">
        <v>25</v>
      </c>
      <c r="BC15" s="141">
        <v>87</v>
      </c>
      <c r="BD15" s="141">
        <v>239</v>
      </c>
      <c r="BE15" s="141">
        <v>68</v>
      </c>
      <c r="BF15" s="141">
        <v>171</v>
      </c>
      <c r="BG15" s="141">
        <v>292</v>
      </c>
      <c r="BH15" s="141">
        <v>96</v>
      </c>
      <c r="BI15" s="141">
        <v>196</v>
      </c>
      <c r="BJ15" s="141">
        <v>295</v>
      </c>
      <c r="BK15" s="141">
        <v>109</v>
      </c>
      <c r="BL15" s="141">
        <v>186</v>
      </c>
      <c r="BM15" s="141">
        <v>270</v>
      </c>
      <c r="BN15" s="141">
        <v>116</v>
      </c>
      <c r="BO15" s="141">
        <v>154</v>
      </c>
      <c r="BP15" s="141">
        <v>98</v>
      </c>
      <c r="BQ15" s="141">
        <v>46</v>
      </c>
      <c r="BR15" s="141">
        <v>52</v>
      </c>
      <c r="BS15" s="141">
        <v>63</v>
      </c>
      <c r="BT15" s="141">
        <v>32</v>
      </c>
      <c r="BU15" s="151">
        <v>31</v>
      </c>
      <c r="BV15" s="149">
        <v>24</v>
      </c>
      <c r="BW15" s="139">
        <v>13</v>
      </c>
      <c r="BX15" s="139">
        <v>11</v>
      </c>
      <c r="BY15" s="140">
        <v>1</v>
      </c>
      <c r="BZ15" s="141">
        <v>0</v>
      </c>
      <c r="CA15" s="141">
        <v>1</v>
      </c>
      <c r="CB15" s="141">
        <v>0</v>
      </c>
      <c r="CC15" s="141">
        <v>0</v>
      </c>
      <c r="CD15" s="141">
        <v>0</v>
      </c>
      <c r="CE15" s="141">
        <v>2</v>
      </c>
      <c r="CF15" s="141">
        <v>0</v>
      </c>
      <c r="CG15" s="141">
        <v>2</v>
      </c>
      <c r="CH15" s="141">
        <v>3</v>
      </c>
      <c r="CI15" s="141">
        <v>2</v>
      </c>
      <c r="CJ15" s="141">
        <v>1</v>
      </c>
      <c r="CK15" s="141">
        <v>3</v>
      </c>
      <c r="CL15" s="141">
        <v>3</v>
      </c>
      <c r="CM15" s="141">
        <v>0</v>
      </c>
      <c r="CN15" s="141">
        <v>10</v>
      </c>
      <c r="CO15" s="141">
        <v>6</v>
      </c>
      <c r="CP15" s="141">
        <v>4</v>
      </c>
      <c r="CQ15" s="141">
        <v>5</v>
      </c>
      <c r="CR15" s="141">
        <v>2</v>
      </c>
      <c r="CS15" s="141">
        <v>3</v>
      </c>
    </row>
    <row r="16" spans="1:97" s="178" customFormat="1" ht="20.45" customHeight="1">
      <c r="A16" s="170" t="s">
        <v>343</v>
      </c>
      <c r="B16" s="139">
        <v>6195</v>
      </c>
      <c r="C16" s="139">
        <v>2694</v>
      </c>
      <c r="D16" s="139">
        <v>3501</v>
      </c>
      <c r="E16" s="141">
        <v>496</v>
      </c>
      <c r="F16" s="141">
        <v>215</v>
      </c>
      <c r="G16" s="141">
        <v>281</v>
      </c>
      <c r="H16" s="141">
        <v>981</v>
      </c>
      <c r="I16" s="141">
        <v>366</v>
      </c>
      <c r="J16" s="141">
        <v>615</v>
      </c>
      <c r="K16" s="141">
        <v>1400</v>
      </c>
      <c r="L16" s="141">
        <v>554</v>
      </c>
      <c r="M16" s="141">
        <v>846</v>
      </c>
      <c r="N16" s="141">
        <v>1153</v>
      </c>
      <c r="O16" s="141">
        <v>527</v>
      </c>
      <c r="P16" s="141">
        <v>626</v>
      </c>
      <c r="Q16" s="141">
        <v>832</v>
      </c>
      <c r="R16" s="141">
        <v>395</v>
      </c>
      <c r="S16" s="141">
        <v>437</v>
      </c>
      <c r="T16" s="141">
        <v>751</v>
      </c>
      <c r="U16" s="141">
        <v>344</v>
      </c>
      <c r="V16" s="141">
        <v>407</v>
      </c>
      <c r="W16" s="141">
        <v>582</v>
      </c>
      <c r="X16" s="141">
        <v>293</v>
      </c>
      <c r="Y16" s="151">
        <v>289</v>
      </c>
      <c r="Z16" s="139">
        <v>5624</v>
      </c>
      <c r="AA16" s="139">
        <v>2494</v>
      </c>
      <c r="AB16" s="139">
        <v>3130</v>
      </c>
      <c r="AC16" s="141">
        <v>456</v>
      </c>
      <c r="AD16" s="141">
        <v>199</v>
      </c>
      <c r="AE16" s="141">
        <v>257</v>
      </c>
      <c r="AF16" s="141">
        <v>891</v>
      </c>
      <c r="AG16" s="141">
        <v>343</v>
      </c>
      <c r="AH16" s="141">
        <v>548</v>
      </c>
      <c r="AI16" s="141">
        <v>1264</v>
      </c>
      <c r="AJ16" s="141">
        <v>509</v>
      </c>
      <c r="AK16" s="141">
        <v>755</v>
      </c>
      <c r="AL16" s="141">
        <v>1026</v>
      </c>
      <c r="AM16" s="141">
        <v>482</v>
      </c>
      <c r="AN16" s="141">
        <v>544</v>
      </c>
      <c r="AO16" s="141">
        <v>702</v>
      </c>
      <c r="AP16" s="141">
        <v>339</v>
      </c>
      <c r="AQ16" s="141">
        <v>363</v>
      </c>
      <c r="AR16" s="141">
        <v>713</v>
      </c>
      <c r="AS16" s="141">
        <v>333</v>
      </c>
      <c r="AT16" s="141">
        <v>380</v>
      </c>
      <c r="AU16" s="141">
        <v>572</v>
      </c>
      <c r="AV16" s="141">
        <v>289</v>
      </c>
      <c r="AW16" s="151">
        <v>283</v>
      </c>
      <c r="AX16" s="149">
        <v>761</v>
      </c>
      <c r="AY16" s="139">
        <v>277</v>
      </c>
      <c r="AZ16" s="139">
        <v>484</v>
      </c>
      <c r="BA16" s="140">
        <v>48</v>
      </c>
      <c r="BB16" s="141">
        <v>20</v>
      </c>
      <c r="BC16" s="141">
        <v>28</v>
      </c>
      <c r="BD16" s="141">
        <v>113</v>
      </c>
      <c r="BE16" s="141">
        <v>28</v>
      </c>
      <c r="BF16" s="141">
        <v>85</v>
      </c>
      <c r="BG16" s="141">
        <v>176</v>
      </c>
      <c r="BH16" s="141">
        <v>58</v>
      </c>
      <c r="BI16" s="141">
        <v>118</v>
      </c>
      <c r="BJ16" s="141">
        <v>160</v>
      </c>
      <c r="BK16" s="141">
        <v>56</v>
      </c>
      <c r="BL16" s="141">
        <v>104</v>
      </c>
      <c r="BM16" s="141">
        <v>186</v>
      </c>
      <c r="BN16" s="141">
        <v>85</v>
      </c>
      <c r="BO16" s="141">
        <v>101</v>
      </c>
      <c r="BP16" s="141">
        <v>65</v>
      </c>
      <c r="BQ16" s="141">
        <v>24</v>
      </c>
      <c r="BR16" s="141">
        <v>41</v>
      </c>
      <c r="BS16" s="141">
        <v>13</v>
      </c>
      <c r="BT16" s="141">
        <v>6</v>
      </c>
      <c r="BU16" s="151">
        <v>7</v>
      </c>
      <c r="BV16" s="149">
        <v>18</v>
      </c>
      <c r="BW16" s="139">
        <v>6</v>
      </c>
      <c r="BX16" s="139">
        <v>12</v>
      </c>
      <c r="BY16" s="140">
        <v>1</v>
      </c>
      <c r="BZ16" s="141">
        <v>0</v>
      </c>
      <c r="CA16" s="141">
        <v>1</v>
      </c>
      <c r="CB16" s="141">
        <v>0</v>
      </c>
      <c r="CC16" s="141">
        <v>0</v>
      </c>
      <c r="CD16" s="141">
        <v>0</v>
      </c>
      <c r="CE16" s="141">
        <v>2</v>
      </c>
      <c r="CF16" s="141">
        <v>1</v>
      </c>
      <c r="CG16" s="141">
        <v>1</v>
      </c>
      <c r="CH16" s="141">
        <v>3</v>
      </c>
      <c r="CI16" s="141">
        <v>2</v>
      </c>
      <c r="CJ16" s="141">
        <v>1</v>
      </c>
      <c r="CK16" s="141">
        <v>4</v>
      </c>
      <c r="CL16" s="141">
        <v>1</v>
      </c>
      <c r="CM16" s="141">
        <v>3</v>
      </c>
      <c r="CN16" s="141">
        <v>4</v>
      </c>
      <c r="CO16" s="141">
        <v>1</v>
      </c>
      <c r="CP16" s="141">
        <v>3</v>
      </c>
      <c r="CQ16" s="141">
        <v>4</v>
      </c>
      <c r="CR16" s="141">
        <v>1</v>
      </c>
      <c r="CS16" s="141">
        <v>3</v>
      </c>
    </row>
    <row r="17" spans="1:97" s="178" customFormat="1" ht="20.45" customHeight="1">
      <c r="A17" s="170" t="s">
        <v>344</v>
      </c>
      <c r="B17" s="139">
        <v>8800</v>
      </c>
      <c r="C17" s="139">
        <v>3762</v>
      </c>
      <c r="D17" s="139">
        <v>5038</v>
      </c>
      <c r="E17" s="141">
        <v>1197</v>
      </c>
      <c r="F17" s="141">
        <v>476</v>
      </c>
      <c r="G17" s="141">
        <v>721</v>
      </c>
      <c r="H17" s="141">
        <v>1771</v>
      </c>
      <c r="I17" s="141">
        <v>654</v>
      </c>
      <c r="J17" s="141">
        <v>1117</v>
      </c>
      <c r="K17" s="141">
        <v>1937</v>
      </c>
      <c r="L17" s="141">
        <v>808</v>
      </c>
      <c r="M17" s="141">
        <v>1129</v>
      </c>
      <c r="N17" s="141">
        <v>1504</v>
      </c>
      <c r="O17" s="141">
        <v>694</v>
      </c>
      <c r="P17" s="141">
        <v>810</v>
      </c>
      <c r="Q17" s="141">
        <v>864</v>
      </c>
      <c r="R17" s="141">
        <v>423</v>
      </c>
      <c r="S17" s="141">
        <v>441</v>
      </c>
      <c r="T17" s="141">
        <v>712</v>
      </c>
      <c r="U17" s="141">
        <v>332</v>
      </c>
      <c r="V17" s="141">
        <v>380</v>
      </c>
      <c r="W17" s="141">
        <v>815</v>
      </c>
      <c r="X17" s="141">
        <v>375</v>
      </c>
      <c r="Y17" s="151">
        <v>440</v>
      </c>
      <c r="Z17" s="139">
        <v>8353</v>
      </c>
      <c r="AA17" s="139">
        <v>3601</v>
      </c>
      <c r="AB17" s="139">
        <v>4752</v>
      </c>
      <c r="AC17" s="141">
        <v>1162</v>
      </c>
      <c r="AD17" s="141">
        <v>463</v>
      </c>
      <c r="AE17" s="141">
        <v>699</v>
      </c>
      <c r="AF17" s="141">
        <v>1703</v>
      </c>
      <c r="AG17" s="141">
        <v>631</v>
      </c>
      <c r="AH17" s="141">
        <v>1072</v>
      </c>
      <c r="AI17" s="141">
        <v>1823</v>
      </c>
      <c r="AJ17" s="141">
        <v>776</v>
      </c>
      <c r="AK17" s="141">
        <v>1047</v>
      </c>
      <c r="AL17" s="141">
        <v>1396</v>
      </c>
      <c r="AM17" s="141">
        <v>647</v>
      </c>
      <c r="AN17" s="141">
        <v>749</v>
      </c>
      <c r="AO17" s="141">
        <v>776</v>
      </c>
      <c r="AP17" s="141">
        <v>389</v>
      </c>
      <c r="AQ17" s="141">
        <v>387</v>
      </c>
      <c r="AR17" s="141">
        <v>690</v>
      </c>
      <c r="AS17" s="141">
        <v>324</v>
      </c>
      <c r="AT17" s="141">
        <v>366</v>
      </c>
      <c r="AU17" s="141">
        <v>803</v>
      </c>
      <c r="AV17" s="141">
        <v>371</v>
      </c>
      <c r="AW17" s="151">
        <v>432</v>
      </c>
      <c r="AX17" s="149">
        <v>568</v>
      </c>
      <c r="AY17" s="139">
        <v>211</v>
      </c>
      <c r="AZ17" s="139">
        <v>357</v>
      </c>
      <c r="BA17" s="140">
        <v>41</v>
      </c>
      <c r="BB17" s="141">
        <v>13</v>
      </c>
      <c r="BC17" s="141">
        <v>28</v>
      </c>
      <c r="BD17" s="141">
        <v>83</v>
      </c>
      <c r="BE17" s="141">
        <v>29</v>
      </c>
      <c r="BF17" s="141">
        <v>54</v>
      </c>
      <c r="BG17" s="141">
        <v>143</v>
      </c>
      <c r="BH17" s="141">
        <v>39</v>
      </c>
      <c r="BI17" s="141">
        <v>104</v>
      </c>
      <c r="BJ17" s="141">
        <v>138</v>
      </c>
      <c r="BK17" s="141">
        <v>60</v>
      </c>
      <c r="BL17" s="141">
        <v>78</v>
      </c>
      <c r="BM17" s="141">
        <v>119</v>
      </c>
      <c r="BN17" s="141">
        <v>51</v>
      </c>
      <c r="BO17" s="141">
        <v>68</v>
      </c>
      <c r="BP17" s="141">
        <v>32</v>
      </c>
      <c r="BQ17" s="141">
        <v>14</v>
      </c>
      <c r="BR17" s="141">
        <v>18</v>
      </c>
      <c r="BS17" s="141">
        <v>12</v>
      </c>
      <c r="BT17" s="141">
        <v>5</v>
      </c>
      <c r="BU17" s="151">
        <v>7</v>
      </c>
      <c r="BV17" s="149">
        <v>42</v>
      </c>
      <c r="BW17" s="139">
        <v>17</v>
      </c>
      <c r="BX17" s="139">
        <v>25</v>
      </c>
      <c r="BY17" s="140">
        <v>1</v>
      </c>
      <c r="BZ17" s="141">
        <v>0</v>
      </c>
      <c r="CA17" s="141">
        <v>1</v>
      </c>
      <c r="CB17" s="141">
        <v>2</v>
      </c>
      <c r="CC17" s="141">
        <v>1</v>
      </c>
      <c r="CD17" s="141">
        <v>1</v>
      </c>
      <c r="CE17" s="141">
        <v>2</v>
      </c>
      <c r="CF17" s="141">
        <v>1</v>
      </c>
      <c r="CG17" s="141">
        <v>1</v>
      </c>
      <c r="CH17" s="141">
        <v>10</v>
      </c>
      <c r="CI17" s="141">
        <v>7</v>
      </c>
      <c r="CJ17" s="141">
        <v>3</v>
      </c>
      <c r="CK17" s="141">
        <v>10</v>
      </c>
      <c r="CL17" s="141">
        <v>3</v>
      </c>
      <c r="CM17" s="141">
        <v>7</v>
      </c>
      <c r="CN17" s="141">
        <v>11</v>
      </c>
      <c r="CO17" s="141">
        <v>3</v>
      </c>
      <c r="CP17" s="141">
        <v>8</v>
      </c>
      <c r="CQ17" s="141">
        <v>6</v>
      </c>
      <c r="CR17" s="141">
        <v>2</v>
      </c>
      <c r="CS17" s="141">
        <v>4</v>
      </c>
    </row>
    <row r="18" spans="1:97" s="178" customFormat="1" ht="20.45" customHeight="1">
      <c r="A18" s="170" t="s">
        <v>345</v>
      </c>
      <c r="B18" s="139">
        <v>21667</v>
      </c>
      <c r="C18" s="139">
        <v>8576</v>
      </c>
      <c r="D18" s="139">
        <v>13091</v>
      </c>
      <c r="E18" s="141">
        <v>4739</v>
      </c>
      <c r="F18" s="141">
        <v>1845</v>
      </c>
      <c r="G18" s="141">
        <v>2894</v>
      </c>
      <c r="H18" s="141">
        <v>6098</v>
      </c>
      <c r="I18" s="141">
        <v>2179</v>
      </c>
      <c r="J18" s="141">
        <v>3919</v>
      </c>
      <c r="K18" s="141">
        <v>4616</v>
      </c>
      <c r="L18" s="141">
        <v>1840</v>
      </c>
      <c r="M18" s="141">
        <v>2776</v>
      </c>
      <c r="N18" s="141">
        <v>2449</v>
      </c>
      <c r="O18" s="141">
        <v>1084</v>
      </c>
      <c r="P18" s="141">
        <v>1365</v>
      </c>
      <c r="Q18" s="141">
        <v>1317</v>
      </c>
      <c r="R18" s="141">
        <v>545</v>
      </c>
      <c r="S18" s="141">
        <v>772</v>
      </c>
      <c r="T18" s="141">
        <v>1221</v>
      </c>
      <c r="U18" s="141">
        <v>513</v>
      </c>
      <c r="V18" s="141">
        <v>708</v>
      </c>
      <c r="W18" s="141">
        <v>1227</v>
      </c>
      <c r="X18" s="141">
        <v>570</v>
      </c>
      <c r="Y18" s="151">
        <v>657</v>
      </c>
      <c r="Z18" s="139">
        <v>19814</v>
      </c>
      <c r="AA18" s="139">
        <v>7907</v>
      </c>
      <c r="AB18" s="139">
        <v>11907</v>
      </c>
      <c r="AC18" s="141">
        <v>4383</v>
      </c>
      <c r="AD18" s="141">
        <v>1733</v>
      </c>
      <c r="AE18" s="141">
        <v>2650</v>
      </c>
      <c r="AF18" s="141">
        <v>5546</v>
      </c>
      <c r="AG18" s="141">
        <v>1979</v>
      </c>
      <c r="AH18" s="141">
        <v>3567</v>
      </c>
      <c r="AI18" s="141">
        <v>4189</v>
      </c>
      <c r="AJ18" s="141">
        <v>1693</v>
      </c>
      <c r="AK18" s="141">
        <v>2496</v>
      </c>
      <c r="AL18" s="141">
        <v>2242</v>
      </c>
      <c r="AM18" s="141">
        <v>994</v>
      </c>
      <c r="AN18" s="141">
        <v>1248</v>
      </c>
      <c r="AO18" s="141">
        <v>1099</v>
      </c>
      <c r="AP18" s="141">
        <v>458</v>
      </c>
      <c r="AQ18" s="141">
        <v>641</v>
      </c>
      <c r="AR18" s="141">
        <v>1156</v>
      </c>
      <c r="AS18" s="141">
        <v>491</v>
      </c>
      <c r="AT18" s="141">
        <v>665</v>
      </c>
      <c r="AU18" s="141">
        <v>1199</v>
      </c>
      <c r="AV18" s="141">
        <v>559</v>
      </c>
      <c r="AW18" s="151">
        <v>640</v>
      </c>
      <c r="AX18" s="149">
        <v>2491</v>
      </c>
      <c r="AY18" s="139">
        <v>903</v>
      </c>
      <c r="AZ18" s="139">
        <v>1588</v>
      </c>
      <c r="BA18" s="140">
        <v>424</v>
      </c>
      <c r="BB18" s="141">
        <v>130</v>
      </c>
      <c r="BC18" s="141">
        <v>294</v>
      </c>
      <c r="BD18" s="141">
        <v>723</v>
      </c>
      <c r="BE18" s="141">
        <v>245</v>
      </c>
      <c r="BF18" s="141">
        <v>478</v>
      </c>
      <c r="BG18" s="141">
        <v>600</v>
      </c>
      <c r="BH18" s="141">
        <v>219</v>
      </c>
      <c r="BI18" s="141">
        <v>381</v>
      </c>
      <c r="BJ18" s="141">
        <v>318</v>
      </c>
      <c r="BK18" s="141">
        <v>140</v>
      </c>
      <c r="BL18" s="141">
        <v>178</v>
      </c>
      <c r="BM18" s="141">
        <v>304</v>
      </c>
      <c r="BN18" s="141">
        <v>121</v>
      </c>
      <c r="BO18" s="141">
        <v>183</v>
      </c>
      <c r="BP18" s="141">
        <v>84</v>
      </c>
      <c r="BQ18" s="141">
        <v>32</v>
      </c>
      <c r="BR18" s="141">
        <v>52</v>
      </c>
      <c r="BS18" s="141">
        <v>38</v>
      </c>
      <c r="BT18" s="141">
        <v>16</v>
      </c>
      <c r="BU18" s="151">
        <v>22</v>
      </c>
      <c r="BV18" s="149">
        <v>72</v>
      </c>
      <c r="BW18" s="139">
        <v>23</v>
      </c>
      <c r="BX18" s="139">
        <v>49</v>
      </c>
      <c r="BY18" s="140">
        <v>2</v>
      </c>
      <c r="BZ18" s="141">
        <v>0</v>
      </c>
      <c r="CA18" s="141">
        <v>2</v>
      </c>
      <c r="CB18" s="141">
        <v>4</v>
      </c>
      <c r="CC18" s="141">
        <v>0</v>
      </c>
      <c r="CD18" s="141">
        <v>4</v>
      </c>
      <c r="CE18" s="141">
        <v>9</v>
      </c>
      <c r="CF18" s="141">
        <v>5</v>
      </c>
      <c r="CG18" s="141">
        <v>4</v>
      </c>
      <c r="CH18" s="141">
        <v>8</v>
      </c>
      <c r="CI18" s="141">
        <v>1</v>
      </c>
      <c r="CJ18" s="141">
        <v>7</v>
      </c>
      <c r="CK18" s="141">
        <v>20</v>
      </c>
      <c r="CL18" s="141">
        <v>7</v>
      </c>
      <c r="CM18" s="141">
        <v>13</v>
      </c>
      <c r="CN18" s="141">
        <v>18</v>
      </c>
      <c r="CO18" s="141">
        <v>7</v>
      </c>
      <c r="CP18" s="141">
        <v>11</v>
      </c>
      <c r="CQ18" s="141">
        <v>11</v>
      </c>
      <c r="CR18" s="141">
        <v>3</v>
      </c>
      <c r="CS18" s="141">
        <v>8</v>
      </c>
    </row>
    <row r="19" spans="1:97" s="178" customFormat="1" ht="20.45" customHeight="1">
      <c r="A19" s="170" t="s">
        <v>346</v>
      </c>
      <c r="B19" s="139">
        <v>13824</v>
      </c>
      <c r="C19" s="139">
        <v>5698</v>
      </c>
      <c r="D19" s="139">
        <v>8126</v>
      </c>
      <c r="E19" s="141">
        <v>3967</v>
      </c>
      <c r="F19" s="141">
        <v>1494</v>
      </c>
      <c r="G19" s="141">
        <v>2473</v>
      </c>
      <c r="H19" s="141">
        <v>3227</v>
      </c>
      <c r="I19" s="141">
        <v>1225</v>
      </c>
      <c r="J19" s="141">
        <v>2002</v>
      </c>
      <c r="K19" s="141">
        <v>2473</v>
      </c>
      <c r="L19" s="141">
        <v>1035</v>
      </c>
      <c r="M19" s="141">
        <v>1438</v>
      </c>
      <c r="N19" s="141">
        <v>1660</v>
      </c>
      <c r="O19" s="141">
        <v>784</v>
      </c>
      <c r="P19" s="141">
        <v>876</v>
      </c>
      <c r="Q19" s="141">
        <v>987</v>
      </c>
      <c r="R19" s="141">
        <v>458</v>
      </c>
      <c r="S19" s="141">
        <v>529</v>
      </c>
      <c r="T19" s="141">
        <v>713</v>
      </c>
      <c r="U19" s="141">
        <v>320</v>
      </c>
      <c r="V19" s="141">
        <v>393</v>
      </c>
      <c r="W19" s="141">
        <v>797</v>
      </c>
      <c r="X19" s="141">
        <v>382</v>
      </c>
      <c r="Y19" s="151">
        <v>415</v>
      </c>
      <c r="Z19" s="139">
        <v>13242</v>
      </c>
      <c r="AA19" s="139">
        <v>5472</v>
      </c>
      <c r="AB19" s="139">
        <v>7770</v>
      </c>
      <c r="AC19" s="141">
        <v>3926</v>
      </c>
      <c r="AD19" s="141">
        <v>1483</v>
      </c>
      <c r="AE19" s="141">
        <v>2443</v>
      </c>
      <c r="AF19" s="141">
        <v>3104</v>
      </c>
      <c r="AG19" s="141">
        <v>1189</v>
      </c>
      <c r="AH19" s="141">
        <v>1915</v>
      </c>
      <c r="AI19" s="141">
        <v>2336</v>
      </c>
      <c r="AJ19" s="141">
        <v>976</v>
      </c>
      <c r="AK19" s="141">
        <v>1360</v>
      </c>
      <c r="AL19" s="141">
        <v>1520</v>
      </c>
      <c r="AM19" s="141">
        <v>726</v>
      </c>
      <c r="AN19" s="141">
        <v>794</v>
      </c>
      <c r="AO19" s="141">
        <v>895</v>
      </c>
      <c r="AP19" s="141">
        <v>415</v>
      </c>
      <c r="AQ19" s="141">
        <v>480</v>
      </c>
      <c r="AR19" s="141">
        <v>678</v>
      </c>
      <c r="AS19" s="141">
        <v>306</v>
      </c>
      <c r="AT19" s="141">
        <v>372</v>
      </c>
      <c r="AU19" s="141">
        <v>783</v>
      </c>
      <c r="AV19" s="141">
        <v>377</v>
      </c>
      <c r="AW19" s="151">
        <v>406</v>
      </c>
      <c r="AX19" s="149">
        <v>884</v>
      </c>
      <c r="AY19" s="139">
        <v>367</v>
      </c>
      <c r="AZ19" s="139">
        <v>517</v>
      </c>
      <c r="BA19" s="140">
        <v>68</v>
      </c>
      <c r="BB19" s="141">
        <v>20</v>
      </c>
      <c r="BC19" s="141">
        <v>48</v>
      </c>
      <c r="BD19" s="141">
        <v>180</v>
      </c>
      <c r="BE19" s="141">
        <v>58</v>
      </c>
      <c r="BF19" s="141">
        <v>122</v>
      </c>
      <c r="BG19" s="141">
        <v>213</v>
      </c>
      <c r="BH19" s="141">
        <v>91</v>
      </c>
      <c r="BI19" s="141">
        <v>122</v>
      </c>
      <c r="BJ19" s="141">
        <v>207</v>
      </c>
      <c r="BK19" s="141">
        <v>93</v>
      </c>
      <c r="BL19" s="141">
        <v>114</v>
      </c>
      <c r="BM19" s="141">
        <v>142</v>
      </c>
      <c r="BN19" s="141">
        <v>63</v>
      </c>
      <c r="BO19" s="141">
        <v>79</v>
      </c>
      <c r="BP19" s="141">
        <v>44</v>
      </c>
      <c r="BQ19" s="141">
        <v>25</v>
      </c>
      <c r="BR19" s="141">
        <v>19</v>
      </c>
      <c r="BS19" s="141">
        <v>30</v>
      </c>
      <c r="BT19" s="141">
        <v>17</v>
      </c>
      <c r="BU19" s="151">
        <v>13</v>
      </c>
      <c r="BV19" s="149">
        <v>110</v>
      </c>
      <c r="BW19" s="139">
        <v>38</v>
      </c>
      <c r="BX19" s="139">
        <v>72</v>
      </c>
      <c r="BY19" s="140">
        <v>0</v>
      </c>
      <c r="BZ19" s="141">
        <v>0</v>
      </c>
      <c r="CA19" s="141">
        <v>0</v>
      </c>
      <c r="CB19" s="141">
        <v>6</v>
      </c>
      <c r="CC19" s="141">
        <v>1</v>
      </c>
      <c r="CD19" s="141">
        <v>5</v>
      </c>
      <c r="CE19" s="141">
        <v>16</v>
      </c>
      <c r="CF19" s="141">
        <v>4</v>
      </c>
      <c r="CG19" s="141">
        <v>12</v>
      </c>
      <c r="CH19" s="141">
        <v>33</v>
      </c>
      <c r="CI19" s="141">
        <v>13</v>
      </c>
      <c r="CJ19" s="141">
        <v>20</v>
      </c>
      <c r="CK19" s="141">
        <v>21</v>
      </c>
      <c r="CL19" s="141">
        <v>9</v>
      </c>
      <c r="CM19" s="141">
        <v>12</v>
      </c>
      <c r="CN19" s="141">
        <v>21</v>
      </c>
      <c r="CO19" s="141">
        <v>5</v>
      </c>
      <c r="CP19" s="141">
        <v>16</v>
      </c>
      <c r="CQ19" s="141">
        <v>13</v>
      </c>
      <c r="CR19" s="141">
        <v>6</v>
      </c>
      <c r="CS19" s="141">
        <v>7</v>
      </c>
    </row>
    <row r="20" spans="1:97" s="178" customFormat="1" ht="20.45" customHeight="1">
      <c r="A20" s="170" t="s">
        <v>347</v>
      </c>
      <c r="B20" s="139">
        <v>15394</v>
      </c>
      <c r="C20" s="139">
        <v>6090</v>
      </c>
      <c r="D20" s="139">
        <v>9304</v>
      </c>
      <c r="E20" s="141">
        <v>3529</v>
      </c>
      <c r="F20" s="141">
        <v>1362</v>
      </c>
      <c r="G20" s="141">
        <v>2167</v>
      </c>
      <c r="H20" s="141">
        <v>3510</v>
      </c>
      <c r="I20" s="141">
        <v>1199</v>
      </c>
      <c r="J20" s="141">
        <v>2311</v>
      </c>
      <c r="K20" s="141">
        <v>3067</v>
      </c>
      <c r="L20" s="141">
        <v>1217</v>
      </c>
      <c r="M20" s="141">
        <v>1850</v>
      </c>
      <c r="N20" s="141">
        <v>1991</v>
      </c>
      <c r="O20" s="141">
        <v>828</v>
      </c>
      <c r="P20" s="141">
        <v>1163</v>
      </c>
      <c r="Q20" s="141">
        <v>1104</v>
      </c>
      <c r="R20" s="141">
        <v>468</v>
      </c>
      <c r="S20" s="141">
        <v>636</v>
      </c>
      <c r="T20" s="141">
        <v>997</v>
      </c>
      <c r="U20" s="141">
        <v>469</v>
      </c>
      <c r="V20" s="141">
        <v>528</v>
      </c>
      <c r="W20" s="141">
        <v>1196</v>
      </c>
      <c r="X20" s="141">
        <v>547</v>
      </c>
      <c r="Y20" s="151">
        <v>649</v>
      </c>
      <c r="Z20" s="139">
        <v>13999</v>
      </c>
      <c r="AA20" s="139">
        <v>5585</v>
      </c>
      <c r="AB20" s="139">
        <v>8414</v>
      </c>
      <c r="AC20" s="141">
        <v>3422</v>
      </c>
      <c r="AD20" s="141">
        <v>1326</v>
      </c>
      <c r="AE20" s="141">
        <v>2096</v>
      </c>
      <c r="AF20" s="141">
        <v>3268</v>
      </c>
      <c r="AG20" s="141">
        <v>1139</v>
      </c>
      <c r="AH20" s="141">
        <v>2129</v>
      </c>
      <c r="AI20" s="141">
        <v>2746</v>
      </c>
      <c r="AJ20" s="141">
        <v>1106</v>
      </c>
      <c r="AK20" s="141">
        <v>1640</v>
      </c>
      <c r="AL20" s="141">
        <v>1728</v>
      </c>
      <c r="AM20" s="141">
        <v>730</v>
      </c>
      <c r="AN20" s="141">
        <v>998</v>
      </c>
      <c r="AO20" s="141">
        <v>843</v>
      </c>
      <c r="AP20" s="141">
        <v>354</v>
      </c>
      <c r="AQ20" s="141">
        <v>489</v>
      </c>
      <c r="AR20" s="141">
        <v>876</v>
      </c>
      <c r="AS20" s="141">
        <v>418</v>
      </c>
      <c r="AT20" s="141">
        <v>458</v>
      </c>
      <c r="AU20" s="141">
        <v>1116</v>
      </c>
      <c r="AV20" s="141">
        <v>512</v>
      </c>
      <c r="AW20" s="151">
        <v>604</v>
      </c>
      <c r="AX20" s="149">
        <v>1858</v>
      </c>
      <c r="AY20" s="139">
        <v>689</v>
      </c>
      <c r="AZ20" s="139">
        <v>1169</v>
      </c>
      <c r="BA20" s="140">
        <v>149</v>
      </c>
      <c r="BB20" s="141">
        <v>50</v>
      </c>
      <c r="BC20" s="141">
        <v>99</v>
      </c>
      <c r="BD20" s="141">
        <v>340</v>
      </c>
      <c r="BE20" s="141">
        <v>90</v>
      </c>
      <c r="BF20" s="141">
        <v>250</v>
      </c>
      <c r="BG20" s="141">
        <v>436</v>
      </c>
      <c r="BH20" s="141">
        <v>153</v>
      </c>
      <c r="BI20" s="141">
        <v>283</v>
      </c>
      <c r="BJ20" s="141">
        <v>338</v>
      </c>
      <c r="BK20" s="141">
        <v>139</v>
      </c>
      <c r="BL20" s="141">
        <v>199</v>
      </c>
      <c r="BM20" s="141">
        <v>339</v>
      </c>
      <c r="BN20" s="141">
        <v>148</v>
      </c>
      <c r="BO20" s="141">
        <v>191</v>
      </c>
      <c r="BP20" s="141">
        <v>161</v>
      </c>
      <c r="BQ20" s="141">
        <v>66</v>
      </c>
      <c r="BR20" s="141">
        <v>95</v>
      </c>
      <c r="BS20" s="141">
        <v>95</v>
      </c>
      <c r="BT20" s="141">
        <v>43</v>
      </c>
      <c r="BU20" s="151">
        <v>52</v>
      </c>
      <c r="BV20" s="149">
        <v>193</v>
      </c>
      <c r="BW20" s="139">
        <v>75</v>
      </c>
      <c r="BX20" s="139">
        <v>118</v>
      </c>
      <c r="BY20" s="140">
        <v>0</v>
      </c>
      <c r="BZ20" s="141">
        <v>0</v>
      </c>
      <c r="CA20" s="141">
        <v>0</v>
      </c>
      <c r="CB20" s="141">
        <v>3</v>
      </c>
      <c r="CC20" s="141">
        <v>1</v>
      </c>
      <c r="CD20" s="141">
        <v>2</v>
      </c>
      <c r="CE20" s="141">
        <v>20</v>
      </c>
      <c r="CF20" s="141">
        <v>3</v>
      </c>
      <c r="CG20" s="141">
        <v>17</v>
      </c>
      <c r="CH20" s="141">
        <v>37</v>
      </c>
      <c r="CI20" s="141">
        <v>10</v>
      </c>
      <c r="CJ20" s="141">
        <v>27</v>
      </c>
      <c r="CK20" s="141">
        <v>40</v>
      </c>
      <c r="CL20" s="141">
        <v>18</v>
      </c>
      <c r="CM20" s="141">
        <v>22</v>
      </c>
      <c r="CN20" s="141">
        <v>44</v>
      </c>
      <c r="CO20" s="141">
        <v>19</v>
      </c>
      <c r="CP20" s="141">
        <v>25</v>
      </c>
      <c r="CQ20" s="141">
        <v>49</v>
      </c>
      <c r="CR20" s="141">
        <v>24</v>
      </c>
      <c r="CS20" s="141">
        <v>25</v>
      </c>
    </row>
    <row r="21" spans="1:97" s="178" customFormat="1" ht="20.45" customHeight="1">
      <c r="A21" s="170" t="s">
        <v>348</v>
      </c>
      <c r="B21" s="139">
        <v>15269</v>
      </c>
      <c r="C21" s="139">
        <v>6437</v>
      </c>
      <c r="D21" s="139">
        <v>8832</v>
      </c>
      <c r="E21" s="141">
        <v>3363</v>
      </c>
      <c r="F21" s="141">
        <v>1517</v>
      </c>
      <c r="G21" s="141">
        <v>1846</v>
      </c>
      <c r="H21" s="141">
        <v>4208</v>
      </c>
      <c r="I21" s="141">
        <v>1589</v>
      </c>
      <c r="J21" s="141">
        <v>2619</v>
      </c>
      <c r="K21" s="141">
        <v>3259</v>
      </c>
      <c r="L21" s="141">
        <v>1293</v>
      </c>
      <c r="M21" s="141">
        <v>1966</v>
      </c>
      <c r="N21" s="141">
        <v>1872</v>
      </c>
      <c r="O21" s="141">
        <v>896</v>
      </c>
      <c r="P21" s="141">
        <v>976</v>
      </c>
      <c r="Q21" s="141">
        <v>811</v>
      </c>
      <c r="R21" s="141">
        <v>340</v>
      </c>
      <c r="S21" s="141">
        <v>471</v>
      </c>
      <c r="T21" s="141">
        <v>841</v>
      </c>
      <c r="U21" s="141">
        <v>377</v>
      </c>
      <c r="V21" s="141">
        <v>464</v>
      </c>
      <c r="W21" s="141">
        <v>915</v>
      </c>
      <c r="X21" s="141">
        <v>425</v>
      </c>
      <c r="Y21" s="151">
        <v>490</v>
      </c>
      <c r="Z21" s="139">
        <v>14761</v>
      </c>
      <c r="AA21" s="139">
        <v>6274</v>
      </c>
      <c r="AB21" s="139">
        <v>8487</v>
      </c>
      <c r="AC21" s="141">
        <v>3337</v>
      </c>
      <c r="AD21" s="141">
        <v>1510</v>
      </c>
      <c r="AE21" s="141">
        <v>1827</v>
      </c>
      <c r="AF21" s="141">
        <v>4082</v>
      </c>
      <c r="AG21" s="141">
        <v>1558</v>
      </c>
      <c r="AH21" s="141">
        <v>2524</v>
      </c>
      <c r="AI21" s="141">
        <v>3135</v>
      </c>
      <c r="AJ21" s="141">
        <v>1258</v>
      </c>
      <c r="AK21" s="141">
        <v>1877</v>
      </c>
      <c r="AL21" s="141">
        <v>1764</v>
      </c>
      <c r="AM21" s="141">
        <v>854</v>
      </c>
      <c r="AN21" s="141">
        <v>910</v>
      </c>
      <c r="AO21" s="141">
        <v>740</v>
      </c>
      <c r="AP21" s="141">
        <v>317</v>
      </c>
      <c r="AQ21" s="141">
        <v>423</v>
      </c>
      <c r="AR21" s="141">
        <v>805</v>
      </c>
      <c r="AS21" s="141">
        <v>361</v>
      </c>
      <c r="AT21" s="141">
        <v>444</v>
      </c>
      <c r="AU21" s="141">
        <v>898</v>
      </c>
      <c r="AV21" s="141">
        <v>416</v>
      </c>
      <c r="AW21" s="151">
        <v>482</v>
      </c>
      <c r="AX21" s="149">
        <v>802</v>
      </c>
      <c r="AY21" s="139">
        <v>270</v>
      </c>
      <c r="AZ21" s="139">
        <v>532</v>
      </c>
      <c r="BA21" s="140">
        <v>49</v>
      </c>
      <c r="BB21" s="141">
        <v>11</v>
      </c>
      <c r="BC21" s="141">
        <v>38</v>
      </c>
      <c r="BD21" s="141">
        <v>183</v>
      </c>
      <c r="BE21" s="141">
        <v>53</v>
      </c>
      <c r="BF21" s="141">
        <v>130</v>
      </c>
      <c r="BG21" s="141">
        <v>216</v>
      </c>
      <c r="BH21" s="141">
        <v>70</v>
      </c>
      <c r="BI21" s="141">
        <v>146</v>
      </c>
      <c r="BJ21" s="141">
        <v>171</v>
      </c>
      <c r="BK21" s="141">
        <v>64</v>
      </c>
      <c r="BL21" s="141">
        <v>107</v>
      </c>
      <c r="BM21" s="141">
        <v>125</v>
      </c>
      <c r="BN21" s="141">
        <v>44</v>
      </c>
      <c r="BO21" s="141">
        <v>81</v>
      </c>
      <c r="BP21" s="141">
        <v>43</v>
      </c>
      <c r="BQ21" s="141">
        <v>19</v>
      </c>
      <c r="BR21" s="141">
        <v>24</v>
      </c>
      <c r="BS21" s="141">
        <v>15</v>
      </c>
      <c r="BT21" s="141">
        <v>9</v>
      </c>
      <c r="BU21" s="151">
        <v>6</v>
      </c>
      <c r="BV21" s="149">
        <v>138</v>
      </c>
      <c r="BW21" s="139">
        <v>51</v>
      </c>
      <c r="BX21" s="139">
        <v>87</v>
      </c>
      <c r="BY21" s="140">
        <v>0</v>
      </c>
      <c r="BZ21" s="141">
        <v>0</v>
      </c>
      <c r="CA21" s="141">
        <v>0</v>
      </c>
      <c r="CB21" s="141">
        <v>5</v>
      </c>
      <c r="CC21" s="141">
        <v>1</v>
      </c>
      <c r="CD21" s="141">
        <v>4</v>
      </c>
      <c r="CE21" s="141">
        <v>12</v>
      </c>
      <c r="CF21" s="141">
        <v>5</v>
      </c>
      <c r="CG21" s="141">
        <v>7</v>
      </c>
      <c r="CH21" s="141">
        <v>20</v>
      </c>
      <c r="CI21" s="141">
        <v>8</v>
      </c>
      <c r="CJ21" s="141">
        <v>12</v>
      </c>
      <c r="CK21" s="141">
        <v>23</v>
      </c>
      <c r="CL21" s="141">
        <v>8</v>
      </c>
      <c r="CM21" s="141">
        <v>15</v>
      </c>
      <c r="CN21" s="141">
        <v>41</v>
      </c>
      <c r="CO21" s="141">
        <v>11</v>
      </c>
      <c r="CP21" s="141">
        <v>30</v>
      </c>
      <c r="CQ21" s="141">
        <v>37</v>
      </c>
      <c r="CR21" s="141">
        <v>18</v>
      </c>
      <c r="CS21" s="141">
        <v>19</v>
      </c>
    </row>
    <row r="22" spans="1:97" s="178" customFormat="1" ht="20.45" customHeight="1">
      <c r="A22" s="170" t="s">
        <v>349</v>
      </c>
      <c r="B22" s="139">
        <v>23559</v>
      </c>
      <c r="C22" s="139">
        <v>9784</v>
      </c>
      <c r="D22" s="139">
        <v>13775</v>
      </c>
      <c r="E22" s="141">
        <v>4813</v>
      </c>
      <c r="F22" s="141">
        <v>1815</v>
      </c>
      <c r="G22" s="141">
        <v>2998</v>
      </c>
      <c r="H22" s="141">
        <v>4641</v>
      </c>
      <c r="I22" s="141">
        <v>1690</v>
      </c>
      <c r="J22" s="141">
        <v>2951</v>
      </c>
      <c r="K22" s="141">
        <v>4454</v>
      </c>
      <c r="L22" s="141">
        <v>1918</v>
      </c>
      <c r="M22" s="141">
        <v>2536</v>
      </c>
      <c r="N22" s="141">
        <v>3839</v>
      </c>
      <c r="O22" s="141">
        <v>1700</v>
      </c>
      <c r="P22" s="141">
        <v>2139</v>
      </c>
      <c r="Q22" s="141">
        <v>2132</v>
      </c>
      <c r="R22" s="141">
        <v>940</v>
      </c>
      <c r="S22" s="141">
        <v>1192</v>
      </c>
      <c r="T22" s="141">
        <v>1906</v>
      </c>
      <c r="U22" s="141">
        <v>895</v>
      </c>
      <c r="V22" s="141">
        <v>1011</v>
      </c>
      <c r="W22" s="141">
        <v>1774</v>
      </c>
      <c r="X22" s="141">
        <v>826</v>
      </c>
      <c r="Y22" s="151">
        <v>948</v>
      </c>
      <c r="Z22" s="139">
        <v>22171</v>
      </c>
      <c r="AA22" s="139">
        <v>9202</v>
      </c>
      <c r="AB22" s="139">
        <v>12969</v>
      </c>
      <c r="AC22" s="141">
        <v>4681</v>
      </c>
      <c r="AD22" s="141">
        <v>1767</v>
      </c>
      <c r="AE22" s="141">
        <v>2914</v>
      </c>
      <c r="AF22" s="141">
        <v>4386</v>
      </c>
      <c r="AG22" s="141">
        <v>1611</v>
      </c>
      <c r="AH22" s="141">
        <v>2775</v>
      </c>
      <c r="AI22" s="141">
        <v>4150</v>
      </c>
      <c r="AJ22" s="141">
        <v>1773</v>
      </c>
      <c r="AK22" s="141">
        <v>2377</v>
      </c>
      <c r="AL22" s="141">
        <v>3525</v>
      </c>
      <c r="AM22" s="141">
        <v>1566</v>
      </c>
      <c r="AN22" s="141">
        <v>1959</v>
      </c>
      <c r="AO22" s="141">
        <v>1886</v>
      </c>
      <c r="AP22" s="141">
        <v>832</v>
      </c>
      <c r="AQ22" s="141">
        <v>1054</v>
      </c>
      <c r="AR22" s="141">
        <v>1809</v>
      </c>
      <c r="AS22" s="141">
        <v>844</v>
      </c>
      <c r="AT22" s="141">
        <v>965</v>
      </c>
      <c r="AU22" s="141">
        <v>1734</v>
      </c>
      <c r="AV22" s="141">
        <v>809</v>
      </c>
      <c r="AW22" s="151">
        <v>925</v>
      </c>
      <c r="AX22" s="149">
        <v>2555</v>
      </c>
      <c r="AY22" s="139">
        <v>1093</v>
      </c>
      <c r="AZ22" s="139">
        <v>1462</v>
      </c>
      <c r="BA22" s="140">
        <v>198</v>
      </c>
      <c r="BB22" s="141">
        <v>69</v>
      </c>
      <c r="BC22" s="141">
        <v>129</v>
      </c>
      <c r="BD22" s="141">
        <v>412</v>
      </c>
      <c r="BE22" s="141">
        <v>140</v>
      </c>
      <c r="BF22" s="141">
        <v>272</v>
      </c>
      <c r="BG22" s="141">
        <v>546</v>
      </c>
      <c r="BH22" s="141">
        <v>239</v>
      </c>
      <c r="BI22" s="141">
        <v>307</v>
      </c>
      <c r="BJ22" s="141">
        <v>598</v>
      </c>
      <c r="BK22" s="141">
        <v>280</v>
      </c>
      <c r="BL22" s="141">
        <v>318</v>
      </c>
      <c r="BM22" s="141">
        <v>466</v>
      </c>
      <c r="BN22" s="141">
        <v>207</v>
      </c>
      <c r="BO22" s="141">
        <v>259</v>
      </c>
      <c r="BP22" s="141">
        <v>231</v>
      </c>
      <c r="BQ22" s="141">
        <v>108</v>
      </c>
      <c r="BR22" s="141">
        <v>123</v>
      </c>
      <c r="BS22" s="141">
        <v>104</v>
      </c>
      <c r="BT22" s="141">
        <v>50</v>
      </c>
      <c r="BU22" s="151">
        <v>54</v>
      </c>
      <c r="BV22" s="149">
        <v>240</v>
      </c>
      <c r="BW22" s="139">
        <v>103</v>
      </c>
      <c r="BX22" s="139">
        <v>137</v>
      </c>
      <c r="BY22" s="140">
        <v>21</v>
      </c>
      <c r="BZ22" s="141">
        <v>6</v>
      </c>
      <c r="CA22" s="141">
        <v>15</v>
      </c>
      <c r="CB22" s="141">
        <v>22</v>
      </c>
      <c r="CC22" s="141">
        <v>12</v>
      </c>
      <c r="CD22" s="141">
        <v>10</v>
      </c>
      <c r="CE22" s="141">
        <v>38</v>
      </c>
      <c r="CF22" s="141">
        <v>14</v>
      </c>
      <c r="CG22" s="141">
        <v>24</v>
      </c>
      <c r="CH22" s="141">
        <v>45</v>
      </c>
      <c r="CI22" s="141">
        <v>18</v>
      </c>
      <c r="CJ22" s="141">
        <v>27</v>
      </c>
      <c r="CK22" s="141">
        <v>49</v>
      </c>
      <c r="CL22" s="141">
        <v>17</v>
      </c>
      <c r="CM22" s="141">
        <v>32</v>
      </c>
      <c r="CN22" s="141">
        <v>38</v>
      </c>
      <c r="CO22" s="141">
        <v>21</v>
      </c>
      <c r="CP22" s="141">
        <v>17</v>
      </c>
      <c r="CQ22" s="141">
        <v>27</v>
      </c>
      <c r="CR22" s="141">
        <v>15</v>
      </c>
      <c r="CS22" s="141">
        <v>12</v>
      </c>
    </row>
    <row r="23" spans="1:97" s="178" customFormat="1" ht="20.45" customHeight="1">
      <c r="A23" s="170" t="s">
        <v>350</v>
      </c>
      <c r="B23" s="139">
        <v>6645</v>
      </c>
      <c r="C23" s="139">
        <v>2869</v>
      </c>
      <c r="D23" s="139">
        <v>3776</v>
      </c>
      <c r="E23" s="141">
        <v>1141</v>
      </c>
      <c r="F23" s="141">
        <v>442</v>
      </c>
      <c r="G23" s="141">
        <v>699</v>
      </c>
      <c r="H23" s="141">
        <v>1063</v>
      </c>
      <c r="I23" s="141">
        <v>413</v>
      </c>
      <c r="J23" s="141">
        <v>650</v>
      </c>
      <c r="K23" s="141">
        <v>1319</v>
      </c>
      <c r="L23" s="141">
        <v>534</v>
      </c>
      <c r="M23" s="141">
        <v>785</v>
      </c>
      <c r="N23" s="141">
        <v>1031</v>
      </c>
      <c r="O23" s="141">
        <v>477</v>
      </c>
      <c r="P23" s="141">
        <v>554</v>
      </c>
      <c r="Q23" s="141">
        <v>534</v>
      </c>
      <c r="R23" s="141">
        <v>239</v>
      </c>
      <c r="S23" s="141">
        <v>295</v>
      </c>
      <c r="T23" s="141">
        <v>775</v>
      </c>
      <c r="U23" s="141">
        <v>392</v>
      </c>
      <c r="V23" s="141">
        <v>383</v>
      </c>
      <c r="W23" s="141">
        <v>782</v>
      </c>
      <c r="X23" s="141">
        <v>372</v>
      </c>
      <c r="Y23" s="151">
        <v>410</v>
      </c>
      <c r="Z23" s="139">
        <v>6405</v>
      </c>
      <c r="AA23" s="139">
        <v>2778</v>
      </c>
      <c r="AB23" s="139">
        <v>3627</v>
      </c>
      <c r="AC23" s="141">
        <v>1131</v>
      </c>
      <c r="AD23" s="141">
        <v>441</v>
      </c>
      <c r="AE23" s="141">
        <v>690</v>
      </c>
      <c r="AF23" s="141">
        <v>1035</v>
      </c>
      <c r="AG23" s="141">
        <v>403</v>
      </c>
      <c r="AH23" s="141">
        <v>632</v>
      </c>
      <c r="AI23" s="141">
        <v>1285</v>
      </c>
      <c r="AJ23" s="141">
        <v>518</v>
      </c>
      <c r="AK23" s="141">
        <v>767</v>
      </c>
      <c r="AL23" s="141">
        <v>982</v>
      </c>
      <c r="AM23" s="141">
        <v>460</v>
      </c>
      <c r="AN23" s="141">
        <v>522</v>
      </c>
      <c r="AO23" s="141">
        <v>460</v>
      </c>
      <c r="AP23" s="141">
        <v>209</v>
      </c>
      <c r="AQ23" s="141">
        <v>251</v>
      </c>
      <c r="AR23" s="141">
        <v>738</v>
      </c>
      <c r="AS23" s="141">
        <v>377</v>
      </c>
      <c r="AT23" s="141">
        <v>361</v>
      </c>
      <c r="AU23" s="141">
        <v>774</v>
      </c>
      <c r="AV23" s="141">
        <v>370</v>
      </c>
      <c r="AW23" s="151">
        <v>404</v>
      </c>
      <c r="AX23" s="149">
        <v>431</v>
      </c>
      <c r="AY23" s="139">
        <v>184</v>
      </c>
      <c r="AZ23" s="139">
        <v>247</v>
      </c>
      <c r="BA23" s="140">
        <v>13</v>
      </c>
      <c r="BB23" s="141">
        <v>3</v>
      </c>
      <c r="BC23" s="141">
        <v>10</v>
      </c>
      <c r="BD23" s="141">
        <v>45</v>
      </c>
      <c r="BE23" s="141">
        <v>20</v>
      </c>
      <c r="BF23" s="141">
        <v>25</v>
      </c>
      <c r="BG23" s="141">
        <v>70</v>
      </c>
      <c r="BH23" s="141">
        <v>35</v>
      </c>
      <c r="BI23" s="141">
        <v>35</v>
      </c>
      <c r="BJ23" s="141">
        <v>82</v>
      </c>
      <c r="BK23" s="141">
        <v>33</v>
      </c>
      <c r="BL23" s="141">
        <v>49</v>
      </c>
      <c r="BM23" s="141">
        <v>117</v>
      </c>
      <c r="BN23" s="141">
        <v>48</v>
      </c>
      <c r="BO23" s="141">
        <v>69</v>
      </c>
      <c r="BP23" s="141">
        <v>76</v>
      </c>
      <c r="BQ23" s="141">
        <v>35</v>
      </c>
      <c r="BR23" s="141">
        <v>41</v>
      </c>
      <c r="BS23" s="141">
        <v>28</v>
      </c>
      <c r="BT23" s="141">
        <v>10</v>
      </c>
      <c r="BU23" s="151">
        <v>18</v>
      </c>
      <c r="BV23" s="149">
        <v>61</v>
      </c>
      <c r="BW23" s="139">
        <v>35</v>
      </c>
      <c r="BX23" s="139">
        <v>26</v>
      </c>
      <c r="BY23" s="140">
        <v>3</v>
      </c>
      <c r="BZ23" s="141">
        <v>1</v>
      </c>
      <c r="CA23" s="141">
        <v>2</v>
      </c>
      <c r="CB23" s="141">
        <v>3</v>
      </c>
      <c r="CC23" s="141">
        <v>1</v>
      </c>
      <c r="CD23" s="141">
        <v>2</v>
      </c>
      <c r="CE23" s="141">
        <v>10</v>
      </c>
      <c r="CF23" s="141">
        <v>4</v>
      </c>
      <c r="CG23" s="141">
        <v>6</v>
      </c>
      <c r="CH23" s="141">
        <v>13</v>
      </c>
      <c r="CI23" s="141">
        <v>8</v>
      </c>
      <c r="CJ23" s="141">
        <v>5</v>
      </c>
      <c r="CK23" s="141">
        <v>16</v>
      </c>
      <c r="CL23" s="141">
        <v>12</v>
      </c>
      <c r="CM23" s="141">
        <v>4</v>
      </c>
      <c r="CN23" s="141">
        <v>9</v>
      </c>
      <c r="CO23" s="141">
        <v>4</v>
      </c>
      <c r="CP23" s="141">
        <v>5</v>
      </c>
      <c r="CQ23" s="141">
        <v>7</v>
      </c>
      <c r="CR23" s="141">
        <v>5</v>
      </c>
      <c r="CS23" s="141">
        <v>2</v>
      </c>
    </row>
    <row r="24" spans="1:97" s="178" customFormat="1" ht="20.45" customHeight="1">
      <c r="A24" s="170" t="s">
        <v>351</v>
      </c>
      <c r="B24" s="139">
        <v>9613</v>
      </c>
      <c r="C24" s="139">
        <v>4156</v>
      </c>
      <c r="D24" s="139">
        <v>5457</v>
      </c>
      <c r="E24" s="141">
        <v>2031</v>
      </c>
      <c r="F24" s="141">
        <v>770</v>
      </c>
      <c r="G24" s="141">
        <v>1261</v>
      </c>
      <c r="H24" s="141">
        <v>1922</v>
      </c>
      <c r="I24" s="141">
        <v>725</v>
      </c>
      <c r="J24" s="141">
        <v>1197</v>
      </c>
      <c r="K24" s="141">
        <v>1988</v>
      </c>
      <c r="L24" s="141">
        <v>855</v>
      </c>
      <c r="M24" s="141">
        <v>1133</v>
      </c>
      <c r="N24" s="141">
        <v>1180</v>
      </c>
      <c r="O24" s="141">
        <v>591</v>
      </c>
      <c r="P24" s="141">
        <v>589</v>
      </c>
      <c r="Q24" s="141">
        <v>703</v>
      </c>
      <c r="R24" s="141">
        <v>344</v>
      </c>
      <c r="S24" s="141">
        <v>359</v>
      </c>
      <c r="T24" s="141">
        <v>862</v>
      </c>
      <c r="U24" s="141">
        <v>427</v>
      </c>
      <c r="V24" s="141">
        <v>435</v>
      </c>
      <c r="W24" s="141">
        <v>927</v>
      </c>
      <c r="X24" s="141">
        <v>444</v>
      </c>
      <c r="Y24" s="151">
        <v>483</v>
      </c>
      <c r="Z24" s="139">
        <v>9317</v>
      </c>
      <c r="AA24" s="139">
        <v>4057</v>
      </c>
      <c r="AB24" s="139">
        <v>5260</v>
      </c>
      <c r="AC24" s="141">
        <v>2006</v>
      </c>
      <c r="AD24" s="141">
        <v>765</v>
      </c>
      <c r="AE24" s="141">
        <v>1241</v>
      </c>
      <c r="AF24" s="141">
        <v>1864</v>
      </c>
      <c r="AG24" s="141">
        <v>709</v>
      </c>
      <c r="AH24" s="141">
        <v>1155</v>
      </c>
      <c r="AI24" s="141">
        <v>1922</v>
      </c>
      <c r="AJ24" s="141">
        <v>836</v>
      </c>
      <c r="AK24" s="141">
        <v>1086</v>
      </c>
      <c r="AL24" s="141">
        <v>1136</v>
      </c>
      <c r="AM24" s="141">
        <v>571</v>
      </c>
      <c r="AN24" s="141">
        <v>565</v>
      </c>
      <c r="AO24" s="141">
        <v>643</v>
      </c>
      <c r="AP24" s="141">
        <v>324</v>
      </c>
      <c r="AQ24" s="141">
        <v>319</v>
      </c>
      <c r="AR24" s="141">
        <v>837</v>
      </c>
      <c r="AS24" s="141">
        <v>415</v>
      </c>
      <c r="AT24" s="141">
        <v>422</v>
      </c>
      <c r="AU24" s="141">
        <v>909</v>
      </c>
      <c r="AV24" s="141">
        <v>437</v>
      </c>
      <c r="AW24" s="151">
        <v>472</v>
      </c>
      <c r="AX24" s="149">
        <v>472</v>
      </c>
      <c r="AY24" s="139">
        <v>163</v>
      </c>
      <c r="AZ24" s="139">
        <v>309</v>
      </c>
      <c r="BA24" s="140">
        <v>32</v>
      </c>
      <c r="BB24" s="141">
        <v>9</v>
      </c>
      <c r="BC24" s="141">
        <v>23</v>
      </c>
      <c r="BD24" s="141">
        <v>96</v>
      </c>
      <c r="BE24" s="141">
        <v>28</v>
      </c>
      <c r="BF24" s="141">
        <v>68</v>
      </c>
      <c r="BG24" s="141">
        <v>99</v>
      </c>
      <c r="BH24" s="141">
        <v>32</v>
      </c>
      <c r="BI24" s="141">
        <v>67</v>
      </c>
      <c r="BJ24" s="141">
        <v>87</v>
      </c>
      <c r="BK24" s="141">
        <v>39</v>
      </c>
      <c r="BL24" s="141">
        <v>48</v>
      </c>
      <c r="BM24" s="141">
        <v>95</v>
      </c>
      <c r="BN24" s="141">
        <v>29</v>
      </c>
      <c r="BO24" s="141">
        <v>66</v>
      </c>
      <c r="BP24" s="141">
        <v>46</v>
      </c>
      <c r="BQ24" s="141">
        <v>21</v>
      </c>
      <c r="BR24" s="141">
        <v>25</v>
      </c>
      <c r="BS24" s="141">
        <v>17</v>
      </c>
      <c r="BT24" s="141">
        <v>5</v>
      </c>
      <c r="BU24" s="151">
        <v>12</v>
      </c>
      <c r="BV24" s="149">
        <v>97</v>
      </c>
      <c r="BW24" s="139">
        <v>36</v>
      </c>
      <c r="BX24" s="139">
        <v>61</v>
      </c>
      <c r="BY24" s="140">
        <v>1</v>
      </c>
      <c r="BZ24" s="141">
        <v>0</v>
      </c>
      <c r="CA24" s="141">
        <v>1</v>
      </c>
      <c r="CB24" s="141">
        <v>4</v>
      </c>
      <c r="CC24" s="141">
        <v>1</v>
      </c>
      <c r="CD24" s="141">
        <v>3</v>
      </c>
      <c r="CE24" s="141">
        <v>7</v>
      </c>
      <c r="CF24" s="141">
        <v>2</v>
      </c>
      <c r="CG24" s="141">
        <v>5</v>
      </c>
      <c r="CH24" s="141">
        <v>6</v>
      </c>
      <c r="CI24" s="141">
        <v>1</v>
      </c>
      <c r="CJ24" s="141">
        <v>5</v>
      </c>
      <c r="CK24" s="141">
        <v>24</v>
      </c>
      <c r="CL24" s="141">
        <v>12</v>
      </c>
      <c r="CM24" s="141">
        <v>12</v>
      </c>
      <c r="CN24" s="141">
        <v>25</v>
      </c>
      <c r="CO24" s="141">
        <v>7</v>
      </c>
      <c r="CP24" s="141">
        <v>18</v>
      </c>
      <c r="CQ24" s="141">
        <v>30</v>
      </c>
      <c r="CR24" s="141">
        <v>13</v>
      </c>
      <c r="CS24" s="141">
        <v>17</v>
      </c>
    </row>
    <row r="25" spans="1:97" s="178" customFormat="1" ht="20.45" customHeight="1">
      <c r="A25" s="170" t="s">
        <v>352</v>
      </c>
      <c r="B25" s="139">
        <v>2048</v>
      </c>
      <c r="C25" s="139">
        <v>857</v>
      </c>
      <c r="D25" s="139">
        <v>1191</v>
      </c>
      <c r="E25" s="141">
        <v>675</v>
      </c>
      <c r="F25" s="141">
        <v>296</v>
      </c>
      <c r="G25" s="141">
        <v>379</v>
      </c>
      <c r="H25" s="141">
        <v>291</v>
      </c>
      <c r="I25" s="141">
        <v>98</v>
      </c>
      <c r="J25" s="141">
        <v>193</v>
      </c>
      <c r="K25" s="141">
        <v>478</v>
      </c>
      <c r="L25" s="141">
        <v>197</v>
      </c>
      <c r="M25" s="141">
        <v>281</v>
      </c>
      <c r="N25" s="141">
        <v>226</v>
      </c>
      <c r="O25" s="141">
        <v>103</v>
      </c>
      <c r="P25" s="141">
        <v>123</v>
      </c>
      <c r="Q25" s="141">
        <v>109</v>
      </c>
      <c r="R25" s="141">
        <v>54</v>
      </c>
      <c r="S25" s="141">
        <v>55</v>
      </c>
      <c r="T25" s="141">
        <v>104</v>
      </c>
      <c r="U25" s="141">
        <v>35</v>
      </c>
      <c r="V25" s="141">
        <v>69</v>
      </c>
      <c r="W25" s="141">
        <v>165</v>
      </c>
      <c r="X25" s="141">
        <v>74</v>
      </c>
      <c r="Y25" s="151">
        <v>91</v>
      </c>
      <c r="Z25" s="139">
        <v>1908</v>
      </c>
      <c r="AA25" s="139">
        <v>807</v>
      </c>
      <c r="AB25" s="139">
        <v>1101</v>
      </c>
      <c r="AC25" s="141">
        <v>643</v>
      </c>
      <c r="AD25" s="141">
        <v>281</v>
      </c>
      <c r="AE25" s="141">
        <v>362</v>
      </c>
      <c r="AF25" s="141">
        <v>264</v>
      </c>
      <c r="AG25" s="141">
        <v>92</v>
      </c>
      <c r="AH25" s="141">
        <v>172</v>
      </c>
      <c r="AI25" s="141">
        <v>456</v>
      </c>
      <c r="AJ25" s="141">
        <v>187</v>
      </c>
      <c r="AK25" s="141">
        <v>269</v>
      </c>
      <c r="AL25" s="141">
        <v>201</v>
      </c>
      <c r="AM25" s="141">
        <v>96</v>
      </c>
      <c r="AN25" s="141">
        <v>105</v>
      </c>
      <c r="AO25" s="141">
        <v>87</v>
      </c>
      <c r="AP25" s="141">
        <v>46</v>
      </c>
      <c r="AQ25" s="141">
        <v>41</v>
      </c>
      <c r="AR25" s="141">
        <v>97</v>
      </c>
      <c r="AS25" s="141">
        <v>33</v>
      </c>
      <c r="AT25" s="141">
        <v>64</v>
      </c>
      <c r="AU25" s="141">
        <v>160</v>
      </c>
      <c r="AV25" s="141">
        <v>72</v>
      </c>
      <c r="AW25" s="151">
        <v>88</v>
      </c>
      <c r="AX25" s="149">
        <v>231</v>
      </c>
      <c r="AY25" s="139">
        <v>91</v>
      </c>
      <c r="AZ25" s="139">
        <v>140</v>
      </c>
      <c r="BA25" s="140">
        <v>44</v>
      </c>
      <c r="BB25" s="141">
        <v>24</v>
      </c>
      <c r="BC25" s="141">
        <v>20</v>
      </c>
      <c r="BD25" s="141">
        <v>38</v>
      </c>
      <c r="BE25" s="141">
        <v>8</v>
      </c>
      <c r="BF25" s="141">
        <v>30</v>
      </c>
      <c r="BG25" s="141">
        <v>50</v>
      </c>
      <c r="BH25" s="141">
        <v>22</v>
      </c>
      <c r="BI25" s="141">
        <v>28</v>
      </c>
      <c r="BJ25" s="141">
        <v>40</v>
      </c>
      <c r="BK25" s="141">
        <v>14</v>
      </c>
      <c r="BL25" s="141">
        <v>26</v>
      </c>
      <c r="BM25" s="141">
        <v>28</v>
      </c>
      <c r="BN25" s="141">
        <v>11</v>
      </c>
      <c r="BO25" s="141">
        <v>17</v>
      </c>
      <c r="BP25" s="141">
        <v>17</v>
      </c>
      <c r="BQ25" s="141">
        <v>7</v>
      </c>
      <c r="BR25" s="141">
        <v>10</v>
      </c>
      <c r="BS25" s="141">
        <v>14</v>
      </c>
      <c r="BT25" s="141">
        <v>5</v>
      </c>
      <c r="BU25" s="151">
        <v>9</v>
      </c>
      <c r="BV25" s="149">
        <v>7</v>
      </c>
      <c r="BW25" s="139">
        <v>2</v>
      </c>
      <c r="BX25" s="139">
        <v>5</v>
      </c>
      <c r="BY25" s="140">
        <v>0</v>
      </c>
      <c r="BZ25" s="141">
        <v>0</v>
      </c>
      <c r="CA25" s="141">
        <v>0</v>
      </c>
      <c r="CB25" s="141">
        <v>0</v>
      </c>
      <c r="CC25" s="141">
        <v>0</v>
      </c>
      <c r="CD25" s="141">
        <v>0</v>
      </c>
      <c r="CE25" s="141">
        <v>0</v>
      </c>
      <c r="CF25" s="141">
        <v>0</v>
      </c>
      <c r="CG25" s="141">
        <v>0</v>
      </c>
      <c r="CH25" s="141">
        <v>1</v>
      </c>
      <c r="CI25" s="141">
        <v>0</v>
      </c>
      <c r="CJ25" s="141">
        <v>1</v>
      </c>
      <c r="CK25" s="141">
        <v>3</v>
      </c>
      <c r="CL25" s="141">
        <v>2</v>
      </c>
      <c r="CM25" s="141">
        <v>1</v>
      </c>
      <c r="CN25" s="141">
        <v>1</v>
      </c>
      <c r="CO25" s="141">
        <v>0</v>
      </c>
      <c r="CP25" s="141">
        <v>1</v>
      </c>
      <c r="CQ25" s="141">
        <v>2</v>
      </c>
      <c r="CR25" s="141">
        <v>0</v>
      </c>
      <c r="CS25" s="141">
        <v>2</v>
      </c>
    </row>
    <row r="26" spans="1:97" s="178" customFormat="1" ht="20.45" customHeight="1">
      <c r="A26" s="170" t="s">
        <v>353</v>
      </c>
      <c r="B26" s="139">
        <v>4287</v>
      </c>
      <c r="C26" s="139">
        <v>1778</v>
      </c>
      <c r="D26" s="139">
        <v>2509</v>
      </c>
      <c r="E26" s="141">
        <v>806</v>
      </c>
      <c r="F26" s="141">
        <v>264</v>
      </c>
      <c r="G26" s="141">
        <v>542</v>
      </c>
      <c r="H26" s="141">
        <v>1009</v>
      </c>
      <c r="I26" s="141">
        <v>428</v>
      </c>
      <c r="J26" s="141">
        <v>581</v>
      </c>
      <c r="K26" s="141">
        <v>990</v>
      </c>
      <c r="L26" s="141">
        <v>412</v>
      </c>
      <c r="M26" s="141">
        <v>578</v>
      </c>
      <c r="N26" s="141">
        <v>548</v>
      </c>
      <c r="O26" s="141">
        <v>248</v>
      </c>
      <c r="P26" s="141">
        <v>300</v>
      </c>
      <c r="Q26" s="141">
        <v>311</v>
      </c>
      <c r="R26" s="141">
        <v>149</v>
      </c>
      <c r="S26" s="141">
        <v>162</v>
      </c>
      <c r="T26" s="141">
        <v>321</v>
      </c>
      <c r="U26" s="141">
        <v>134</v>
      </c>
      <c r="V26" s="141">
        <v>187</v>
      </c>
      <c r="W26" s="141">
        <v>302</v>
      </c>
      <c r="X26" s="141">
        <v>143</v>
      </c>
      <c r="Y26" s="151">
        <v>159</v>
      </c>
      <c r="Z26" s="139">
        <v>3962</v>
      </c>
      <c r="AA26" s="139">
        <v>1658</v>
      </c>
      <c r="AB26" s="139">
        <v>2304</v>
      </c>
      <c r="AC26" s="141">
        <v>756</v>
      </c>
      <c r="AD26" s="141">
        <v>248</v>
      </c>
      <c r="AE26" s="141">
        <v>508</v>
      </c>
      <c r="AF26" s="141">
        <v>906</v>
      </c>
      <c r="AG26" s="141">
        <v>385</v>
      </c>
      <c r="AH26" s="141">
        <v>521</v>
      </c>
      <c r="AI26" s="141">
        <v>907</v>
      </c>
      <c r="AJ26" s="141">
        <v>376</v>
      </c>
      <c r="AK26" s="141">
        <v>531</v>
      </c>
      <c r="AL26" s="141">
        <v>514</v>
      </c>
      <c r="AM26" s="141">
        <v>240</v>
      </c>
      <c r="AN26" s="141">
        <v>274</v>
      </c>
      <c r="AO26" s="141">
        <v>268</v>
      </c>
      <c r="AP26" s="141">
        <v>136</v>
      </c>
      <c r="AQ26" s="141">
        <v>132</v>
      </c>
      <c r="AR26" s="141">
        <v>313</v>
      </c>
      <c r="AS26" s="141">
        <v>130</v>
      </c>
      <c r="AT26" s="141">
        <v>183</v>
      </c>
      <c r="AU26" s="141">
        <v>298</v>
      </c>
      <c r="AV26" s="141">
        <v>143</v>
      </c>
      <c r="AW26" s="151">
        <v>155</v>
      </c>
      <c r="AX26" s="149">
        <v>451</v>
      </c>
      <c r="AY26" s="139">
        <v>168</v>
      </c>
      <c r="AZ26" s="139">
        <v>283</v>
      </c>
      <c r="BA26" s="140">
        <v>61</v>
      </c>
      <c r="BB26" s="141">
        <v>19</v>
      </c>
      <c r="BC26" s="141">
        <v>42</v>
      </c>
      <c r="BD26" s="141">
        <v>140</v>
      </c>
      <c r="BE26" s="141">
        <v>55</v>
      </c>
      <c r="BF26" s="141">
        <v>85</v>
      </c>
      <c r="BG26" s="141">
        <v>120</v>
      </c>
      <c r="BH26" s="141">
        <v>49</v>
      </c>
      <c r="BI26" s="141">
        <v>71</v>
      </c>
      <c r="BJ26" s="141">
        <v>64</v>
      </c>
      <c r="BK26" s="141">
        <v>20</v>
      </c>
      <c r="BL26" s="141">
        <v>44</v>
      </c>
      <c r="BM26" s="141">
        <v>52</v>
      </c>
      <c r="BN26" s="141">
        <v>20</v>
      </c>
      <c r="BO26" s="141">
        <v>32</v>
      </c>
      <c r="BP26" s="141">
        <v>9</v>
      </c>
      <c r="BQ26" s="141">
        <v>3</v>
      </c>
      <c r="BR26" s="141">
        <v>6</v>
      </c>
      <c r="BS26" s="141">
        <v>5</v>
      </c>
      <c r="BT26" s="141">
        <v>2</v>
      </c>
      <c r="BU26" s="151">
        <v>3</v>
      </c>
      <c r="BV26" s="149">
        <v>17</v>
      </c>
      <c r="BW26" s="139">
        <v>10</v>
      </c>
      <c r="BX26" s="139">
        <v>7</v>
      </c>
      <c r="BY26" s="140">
        <v>0</v>
      </c>
      <c r="BZ26" s="141">
        <v>0</v>
      </c>
      <c r="CA26" s="141">
        <v>0</v>
      </c>
      <c r="CB26" s="141">
        <v>0</v>
      </c>
      <c r="CC26" s="141">
        <v>0</v>
      </c>
      <c r="CD26" s="141">
        <v>0</v>
      </c>
      <c r="CE26" s="141">
        <v>1</v>
      </c>
      <c r="CF26" s="141">
        <v>1</v>
      </c>
      <c r="CG26" s="141">
        <v>0</v>
      </c>
      <c r="CH26" s="141">
        <v>2</v>
      </c>
      <c r="CI26" s="141">
        <v>1</v>
      </c>
      <c r="CJ26" s="141">
        <v>1</v>
      </c>
      <c r="CK26" s="141">
        <v>7</v>
      </c>
      <c r="CL26" s="141">
        <v>3</v>
      </c>
      <c r="CM26" s="141">
        <v>4</v>
      </c>
      <c r="CN26" s="141">
        <v>2</v>
      </c>
      <c r="CO26" s="141">
        <v>2</v>
      </c>
      <c r="CP26" s="141">
        <v>0</v>
      </c>
      <c r="CQ26" s="141">
        <v>5</v>
      </c>
      <c r="CR26" s="141">
        <v>3</v>
      </c>
      <c r="CS26" s="141">
        <v>2</v>
      </c>
    </row>
    <row r="27" spans="1:97" s="178" customFormat="1" ht="20.45" customHeight="1">
      <c r="A27" s="170" t="s">
        <v>354</v>
      </c>
      <c r="B27" s="139">
        <v>3790</v>
      </c>
      <c r="C27" s="139">
        <v>1590</v>
      </c>
      <c r="D27" s="139">
        <v>2200</v>
      </c>
      <c r="E27" s="141">
        <v>789</v>
      </c>
      <c r="F27" s="141">
        <v>268</v>
      </c>
      <c r="G27" s="141">
        <v>521</v>
      </c>
      <c r="H27" s="141">
        <v>756</v>
      </c>
      <c r="I27" s="141">
        <v>293</v>
      </c>
      <c r="J27" s="141">
        <v>463</v>
      </c>
      <c r="K27" s="141">
        <v>773</v>
      </c>
      <c r="L27" s="141">
        <v>330</v>
      </c>
      <c r="M27" s="141">
        <v>443</v>
      </c>
      <c r="N27" s="141">
        <v>508</v>
      </c>
      <c r="O27" s="141">
        <v>230</v>
      </c>
      <c r="P27" s="141">
        <v>278</v>
      </c>
      <c r="Q27" s="141">
        <v>352</v>
      </c>
      <c r="R27" s="141">
        <v>148</v>
      </c>
      <c r="S27" s="141">
        <v>204</v>
      </c>
      <c r="T27" s="141">
        <v>282</v>
      </c>
      <c r="U27" s="141">
        <v>151</v>
      </c>
      <c r="V27" s="141">
        <v>131</v>
      </c>
      <c r="W27" s="141">
        <v>330</v>
      </c>
      <c r="X27" s="141">
        <v>170</v>
      </c>
      <c r="Y27" s="151">
        <v>160</v>
      </c>
      <c r="Z27" s="139">
        <v>3506</v>
      </c>
      <c r="AA27" s="139">
        <v>1512</v>
      </c>
      <c r="AB27" s="139">
        <v>1994</v>
      </c>
      <c r="AC27" s="141">
        <v>728</v>
      </c>
      <c r="AD27" s="141">
        <v>257</v>
      </c>
      <c r="AE27" s="141">
        <v>471</v>
      </c>
      <c r="AF27" s="141">
        <v>677</v>
      </c>
      <c r="AG27" s="141">
        <v>274</v>
      </c>
      <c r="AH27" s="141">
        <v>403</v>
      </c>
      <c r="AI27" s="141">
        <v>724</v>
      </c>
      <c r="AJ27" s="141">
        <v>315</v>
      </c>
      <c r="AK27" s="141">
        <v>409</v>
      </c>
      <c r="AL27" s="141">
        <v>460</v>
      </c>
      <c r="AM27" s="141">
        <v>212</v>
      </c>
      <c r="AN27" s="141">
        <v>248</v>
      </c>
      <c r="AO27" s="141">
        <v>320</v>
      </c>
      <c r="AP27" s="141">
        <v>137</v>
      </c>
      <c r="AQ27" s="141">
        <v>183</v>
      </c>
      <c r="AR27" s="141">
        <v>272</v>
      </c>
      <c r="AS27" s="141">
        <v>147</v>
      </c>
      <c r="AT27" s="141">
        <v>125</v>
      </c>
      <c r="AU27" s="141">
        <v>325</v>
      </c>
      <c r="AV27" s="141">
        <v>170</v>
      </c>
      <c r="AW27" s="151">
        <v>155</v>
      </c>
      <c r="AX27" s="149">
        <v>381</v>
      </c>
      <c r="AY27" s="139">
        <v>115</v>
      </c>
      <c r="AZ27" s="139">
        <v>266</v>
      </c>
      <c r="BA27" s="140">
        <v>82</v>
      </c>
      <c r="BB27" s="141">
        <v>20</v>
      </c>
      <c r="BC27" s="141">
        <v>62</v>
      </c>
      <c r="BD27" s="141">
        <v>98</v>
      </c>
      <c r="BE27" s="141">
        <v>25</v>
      </c>
      <c r="BF27" s="141">
        <v>73</v>
      </c>
      <c r="BG27" s="141">
        <v>74</v>
      </c>
      <c r="BH27" s="141">
        <v>26</v>
      </c>
      <c r="BI27" s="141">
        <v>48</v>
      </c>
      <c r="BJ27" s="141">
        <v>66</v>
      </c>
      <c r="BK27" s="141">
        <v>22</v>
      </c>
      <c r="BL27" s="141">
        <v>44</v>
      </c>
      <c r="BM27" s="141">
        <v>44</v>
      </c>
      <c r="BN27" s="141">
        <v>15</v>
      </c>
      <c r="BO27" s="141">
        <v>29</v>
      </c>
      <c r="BP27" s="141">
        <v>10</v>
      </c>
      <c r="BQ27" s="141">
        <v>4</v>
      </c>
      <c r="BR27" s="141">
        <v>6</v>
      </c>
      <c r="BS27" s="141">
        <v>7</v>
      </c>
      <c r="BT27" s="141">
        <v>3</v>
      </c>
      <c r="BU27" s="151">
        <v>4</v>
      </c>
      <c r="BV27" s="149">
        <v>13</v>
      </c>
      <c r="BW27" s="139">
        <v>6</v>
      </c>
      <c r="BX27" s="139">
        <v>7</v>
      </c>
      <c r="BY27" s="140">
        <v>0</v>
      </c>
      <c r="BZ27" s="141">
        <v>0</v>
      </c>
      <c r="CA27" s="141">
        <v>0</v>
      </c>
      <c r="CB27" s="141">
        <v>0</v>
      </c>
      <c r="CC27" s="141">
        <v>0</v>
      </c>
      <c r="CD27" s="141">
        <v>0</v>
      </c>
      <c r="CE27" s="141">
        <v>1</v>
      </c>
      <c r="CF27" s="141">
        <v>1</v>
      </c>
      <c r="CG27" s="141">
        <v>0</v>
      </c>
      <c r="CH27" s="141">
        <v>0</v>
      </c>
      <c r="CI27" s="141">
        <v>0</v>
      </c>
      <c r="CJ27" s="141">
        <v>0</v>
      </c>
      <c r="CK27" s="141">
        <v>1</v>
      </c>
      <c r="CL27" s="141">
        <v>1</v>
      </c>
      <c r="CM27" s="141">
        <v>0</v>
      </c>
      <c r="CN27" s="141">
        <v>8</v>
      </c>
      <c r="CO27" s="141">
        <v>4</v>
      </c>
      <c r="CP27" s="141">
        <v>4</v>
      </c>
      <c r="CQ27" s="141">
        <v>3</v>
      </c>
      <c r="CR27" s="141">
        <v>0</v>
      </c>
      <c r="CS27" s="141">
        <v>3</v>
      </c>
    </row>
    <row r="28" spans="1:97" s="178" customFormat="1" ht="20.45" customHeight="1">
      <c r="A28" s="170" t="s">
        <v>355</v>
      </c>
      <c r="B28" s="139">
        <v>4865</v>
      </c>
      <c r="C28" s="139">
        <v>1894</v>
      </c>
      <c r="D28" s="139">
        <v>2971</v>
      </c>
      <c r="E28" s="141">
        <v>999</v>
      </c>
      <c r="F28" s="141">
        <v>328</v>
      </c>
      <c r="G28" s="141">
        <v>671</v>
      </c>
      <c r="H28" s="141">
        <v>991</v>
      </c>
      <c r="I28" s="141">
        <v>350</v>
      </c>
      <c r="J28" s="141">
        <v>641</v>
      </c>
      <c r="K28" s="141">
        <v>1009</v>
      </c>
      <c r="L28" s="141">
        <v>390</v>
      </c>
      <c r="M28" s="141">
        <v>619</v>
      </c>
      <c r="N28" s="141">
        <v>788</v>
      </c>
      <c r="O28" s="141">
        <v>362</v>
      </c>
      <c r="P28" s="141">
        <v>426</v>
      </c>
      <c r="Q28" s="141">
        <v>422</v>
      </c>
      <c r="R28" s="141">
        <v>162</v>
      </c>
      <c r="S28" s="141">
        <v>260</v>
      </c>
      <c r="T28" s="141">
        <v>337</v>
      </c>
      <c r="U28" s="141">
        <v>159</v>
      </c>
      <c r="V28" s="141">
        <v>178</v>
      </c>
      <c r="W28" s="141">
        <v>319</v>
      </c>
      <c r="X28" s="141">
        <v>143</v>
      </c>
      <c r="Y28" s="151">
        <v>176</v>
      </c>
      <c r="Z28" s="139">
        <v>4522</v>
      </c>
      <c r="AA28" s="139">
        <v>1787</v>
      </c>
      <c r="AB28" s="139">
        <v>2735</v>
      </c>
      <c r="AC28" s="141">
        <v>959</v>
      </c>
      <c r="AD28" s="141">
        <v>315</v>
      </c>
      <c r="AE28" s="141">
        <v>644</v>
      </c>
      <c r="AF28" s="141">
        <v>892</v>
      </c>
      <c r="AG28" s="141">
        <v>327</v>
      </c>
      <c r="AH28" s="141">
        <v>565</v>
      </c>
      <c r="AI28" s="141">
        <v>933</v>
      </c>
      <c r="AJ28" s="141">
        <v>367</v>
      </c>
      <c r="AK28" s="141">
        <v>566</v>
      </c>
      <c r="AL28" s="141">
        <v>713</v>
      </c>
      <c r="AM28" s="141">
        <v>331</v>
      </c>
      <c r="AN28" s="141">
        <v>382</v>
      </c>
      <c r="AO28" s="141">
        <v>382</v>
      </c>
      <c r="AP28" s="141">
        <v>151</v>
      </c>
      <c r="AQ28" s="141">
        <v>231</v>
      </c>
      <c r="AR28" s="141">
        <v>326</v>
      </c>
      <c r="AS28" s="141">
        <v>153</v>
      </c>
      <c r="AT28" s="141">
        <v>173</v>
      </c>
      <c r="AU28" s="141">
        <v>317</v>
      </c>
      <c r="AV28" s="141">
        <v>143</v>
      </c>
      <c r="AW28" s="151">
        <v>174</v>
      </c>
      <c r="AX28" s="149">
        <v>580</v>
      </c>
      <c r="AY28" s="139">
        <v>206</v>
      </c>
      <c r="AZ28" s="139">
        <v>374</v>
      </c>
      <c r="BA28" s="140">
        <v>66</v>
      </c>
      <c r="BB28" s="141">
        <v>25</v>
      </c>
      <c r="BC28" s="141">
        <v>41</v>
      </c>
      <c r="BD28" s="141">
        <v>139</v>
      </c>
      <c r="BE28" s="141">
        <v>41</v>
      </c>
      <c r="BF28" s="141">
        <v>98</v>
      </c>
      <c r="BG28" s="141">
        <v>123</v>
      </c>
      <c r="BH28" s="141">
        <v>49</v>
      </c>
      <c r="BI28" s="141">
        <v>74</v>
      </c>
      <c r="BJ28" s="141">
        <v>136</v>
      </c>
      <c r="BK28" s="141">
        <v>53</v>
      </c>
      <c r="BL28" s="141">
        <v>83</v>
      </c>
      <c r="BM28" s="141">
        <v>81</v>
      </c>
      <c r="BN28" s="141">
        <v>24</v>
      </c>
      <c r="BO28" s="141">
        <v>57</v>
      </c>
      <c r="BP28" s="141">
        <v>29</v>
      </c>
      <c r="BQ28" s="141">
        <v>13</v>
      </c>
      <c r="BR28" s="141">
        <v>16</v>
      </c>
      <c r="BS28" s="141">
        <v>6</v>
      </c>
      <c r="BT28" s="141">
        <v>1</v>
      </c>
      <c r="BU28" s="151">
        <v>5</v>
      </c>
      <c r="BV28" s="149">
        <v>12</v>
      </c>
      <c r="BW28" s="139">
        <v>4</v>
      </c>
      <c r="BX28" s="139">
        <v>8</v>
      </c>
      <c r="BY28" s="140">
        <v>0</v>
      </c>
      <c r="BZ28" s="141">
        <v>0</v>
      </c>
      <c r="CA28" s="141">
        <v>0</v>
      </c>
      <c r="CB28" s="141">
        <v>0</v>
      </c>
      <c r="CC28" s="141">
        <v>0</v>
      </c>
      <c r="CD28" s="141">
        <v>0</v>
      </c>
      <c r="CE28" s="141">
        <v>2</v>
      </c>
      <c r="CF28" s="141">
        <v>1</v>
      </c>
      <c r="CG28" s="141">
        <v>1</v>
      </c>
      <c r="CH28" s="141">
        <v>1</v>
      </c>
      <c r="CI28" s="141">
        <v>0</v>
      </c>
      <c r="CJ28" s="141">
        <v>1</v>
      </c>
      <c r="CK28" s="141">
        <v>3</v>
      </c>
      <c r="CL28" s="141">
        <v>1</v>
      </c>
      <c r="CM28" s="141">
        <v>2</v>
      </c>
      <c r="CN28" s="141">
        <v>4</v>
      </c>
      <c r="CO28" s="141">
        <v>2</v>
      </c>
      <c r="CP28" s="141">
        <v>2</v>
      </c>
      <c r="CQ28" s="141">
        <v>2</v>
      </c>
      <c r="CR28" s="141">
        <v>0</v>
      </c>
      <c r="CS28" s="141">
        <v>2</v>
      </c>
    </row>
    <row r="29" spans="1:97" s="178" customFormat="1" ht="20.45" customHeight="1">
      <c r="A29" s="170" t="s">
        <v>356</v>
      </c>
      <c r="B29" s="139">
        <v>1182</v>
      </c>
      <c r="C29" s="139">
        <v>438</v>
      </c>
      <c r="D29" s="139">
        <v>744</v>
      </c>
      <c r="E29" s="141">
        <v>270</v>
      </c>
      <c r="F29" s="141">
        <v>79</v>
      </c>
      <c r="G29" s="141">
        <v>191</v>
      </c>
      <c r="H29" s="141">
        <v>242</v>
      </c>
      <c r="I29" s="141">
        <v>83</v>
      </c>
      <c r="J29" s="141">
        <v>159</v>
      </c>
      <c r="K29" s="141">
        <v>249</v>
      </c>
      <c r="L29" s="141">
        <v>94</v>
      </c>
      <c r="M29" s="141">
        <v>155</v>
      </c>
      <c r="N29" s="141">
        <v>163</v>
      </c>
      <c r="O29" s="141">
        <v>62</v>
      </c>
      <c r="P29" s="141">
        <v>101</v>
      </c>
      <c r="Q29" s="141">
        <v>99</v>
      </c>
      <c r="R29" s="141">
        <v>50</v>
      </c>
      <c r="S29" s="141">
        <v>49</v>
      </c>
      <c r="T29" s="141">
        <v>82</v>
      </c>
      <c r="U29" s="141">
        <v>31</v>
      </c>
      <c r="V29" s="141">
        <v>51</v>
      </c>
      <c r="W29" s="141">
        <v>77</v>
      </c>
      <c r="X29" s="141">
        <v>39</v>
      </c>
      <c r="Y29" s="151">
        <v>38</v>
      </c>
      <c r="Z29" s="139">
        <v>1095</v>
      </c>
      <c r="AA29" s="139">
        <v>406</v>
      </c>
      <c r="AB29" s="139">
        <v>689</v>
      </c>
      <c r="AC29" s="141">
        <v>256</v>
      </c>
      <c r="AD29" s="141">
        <v>75</v>
      </c>
      <c r="AE29" s="141">
        <v>181</v>
      </c>
      <c r="AF29" s="141">
        <v>224</v>
      </c>
      <c r="AG29" s="141">
        <v>77</v>
      </c>
      <c r="AH29" s="141">
        <v>147</v>
      </c>
      <c r="AI29" s="141">
        <v>230</v>
      </c>
      <c r="AJ29" s="141">
        <v>91</v>
      </c>
      <c r="AK29" s="141">
        <v>139</v>
      </c>
      <c r="AL29" s="141">
        <v>148</v>
      </c>
      <c r="AM29" s="141">
        <v>54</v>
      </c>
      <c r="AN29" s="141">
        <v>94</v>
      </c>
      <c r="AO29" s="141">
        <v>84</v>
      </c>
      <c r="AP29" s="141">
        <v>41</v>
      </c>
      <c r="AQ29" s="141">
        <v>43</v>
      </c>
      <c r="AR29" s="141">
        <v>78</v>
      </c>
      <c r="AS29" s="141">
        <v>29</v>
      </c>
      <c r="AT29" s="141">
        <v>49</v>
      </c>
      <c r="AU29" s="141">
        <v>75</v>
      </c>
      <c r="AV29" s="141">
        <v>39</v>
      </c>
      <c r="AW29" s="151">
        <v>36</v>
      </c>
      <c r="AX29" s="149">
        <v>118</v>
      </c>
      <c r="AY29" s="139">
        <v>45</v>
      </c>
      <c r="AZ29" s="139">
        <v>73</v>
      </c>
      <c r="BA29" s="140">
        <v>16</v>
      </c>
      <c r="BB29" s="141">
        <v>4</v>
      </c>
      <c r="BC29" s="141">
        <v>12</v>
      </c>
      <c r="BD29" s="141">
        <v>23</v>
      </c>
      <c r="BE29" s="141">
        <v>6</v>
      </c>
      <c r="BF29" s="141">
        <v>17</v>
      </c>
      <c r="BG29" s="141">
        <v>25</v>
      </c>
      <c r="BH29" s="141">
        <v>4</v>
      </c>
      <c r="BI29" s="141">
        <v>21</v>
      </c>
      <c r="BJ29" s="141">
        <v>22</v>
      </c>
      <c r="BK29" s="141">
        <v>12</v>
      </c>
      <c r="BL29" s="141">
        <v>10</v>
      </c>
      <c r="BM29" s="141">
        <v>23</v>
      </c>
      <c r="BN29" s="141">
        <v>15</v>
      </c>
      <c r="BO29" s="141">
        <v>8</v>
      </c>
      <c r="BP29" s="141">
        <v>6</v>
      </c>
      <c r="BQ29" s="141">
        <v>3</v>
      </c>
      <c r="BR29" s="141">
        <v>3</v>
      </c>
      <c r="BS29" s="141">
        <v>3</v>
      </c>
      <c r="BT29" s="141">
        <v>1</v>
      </c>
      <c r="BU29" s="151">
        <v>2</v>
      </c>
      <c r="BV29" s="149">
        <v>6</v>
      </c>
      <c r="BW29" s="139">
        <v>1</v>
      </c>
      <c r="BX29" s="139">
        <v>5</v>
      </c>
      <c r="BY29" s="140">
        <v>0</v>
      </c>
      <c r="BZ29" s="141">
        <v>0</v>
      </c>
      <c r="CA29" s="141">
        <v>0</v>
      </c>
      <c r="CB29" s="141">
        <v>0</v>
      </c>
      <c r="CC29" s="141">
        <v>0</v>
      </c>
      <c r="CD29" s="141">
        <v>0</v>
      </c>
      <c r="CE29" s="141">
        <v>1</v>
      </c>
      <c r="CF29" s="141">
        <v>0</v>
      </c>
      <c r="CG29" s="141">
        <v>1</v>
      </c>
      <c r="CH29" s="141">
        <v>2</v>
      </c>
      <c r="CI29" s="141">
        <v>0</v>
      </c>
      <c r="CJ29" s="141">
        <v>2</v>
      </c>
      <c r="CK29" s="141">
        <v>0</v>
      </c>
      <c r="CL29" s="141">
        <v>0</v>
      </c>
      <c r="CM29" s="141">
        <v>0</v>
      </c>
      <c r="CN29" s="141">
        <v>1</v>
      </c>
      <c r="CO29" s="141">
        <v>1</v>
      </c>
      <c r="CP29" s="141">
        <v>0</v>
      </c>
      <c r="CQ29" s="141">
        <v>2</v>
      </c>
      <c r="CR29" s="141">
        <v>0</v>
      </c>
      <c r="CS29" s="141">
        <v>2</v>
      </c>
    </row>
    <row r="30" spans="1:97" s="178" customFormat="1" ht="20.45" customHeight="1" thickBot="1">
      <c r="A30" s="171" t="s">
        <v>357</v>
      </c>
      <c r="B30" s="161">
        <v>18</v>
      </c>
      <c r="C30" s="161">
        <v>10</v>
      </c>
      <c r="D30" s="161">
        <v>8</v>
      </c>
      <c r="E30" s="162">
        <v>6</v>
      </c>
      <c r="F30" s="162">
        <v>4</v>
      </c>
      <c r="G30" s="162">
        <v>2</v>
      </c>
      <c r="H30" s="162">
        <v>4</v>
      </c>
      <c r="I30" s="163">
        <v>2</v>
      </c>
      <c r="J30" s="164">
        <v>2</v>
      </c>
      <c r="K30" s="162">
        <v>3</v>
      </c>
      <c r="L30" s="162">
        <v>1</v>
      </c>
      <c r="M30" s="162">
        <v>2</v>
      </c>
      <c r="N30" s="162">
        <v>0</v>
      </c>
      <c r="O30" s="162">
        <v>0</v>
      </c>
      <c r="P30" s="162">
        <v>0</v>
      </c>
      <c r="Q30" s="162">
        <v>2</v>
      </c>
      <c r="R30" s="162">
        <v>2</v>
      </c>
      <c r="S30" s="162">
        <v>0</v>
      </c>
      <c r="T30" s="162">
        <v>3</v>
      </c>
      <c r="U30" s="162">
        <v>1</v>
      </c>
      <c r="V30" s="162">
        <v>2</v>
      </c>
      <c r="W30" s="162">
        <v>0</v>
      </c>
      <c r="X30" s="162">
        <v>0</v>
      </c>
      <c r="Y30" s="165">
        <v>0</v>
      </c>
      <c r="Z30" s="161">
        <v>15</v>
      </c>
      <c r="AA30" s="161">
        <v>8</v>
      </c>
      <c r="AB30" s="161">
        <v>7</v>
      </c>
      <c r="AC30" s="162">
        <v>4</v>
      </c>
      <c r="AD30" s="162">
        <v>3</v>
      </c>
      <c r="AE30" s="162">
        <v>1</v>
      </c>
      <c r="AF30" s="162">
        <v>4</v>
      </c>
      <c r="AG30" s="163">
        <v>2</v>
      </c>
      <c r="AH30" s="164">
        <v>2</v>
      </c>
      <c r="AI30" s="162">
        <v>2</v>
      </c>
      <c r="AJ30" s="162">
        <v>0</v>
      </c>
      <c r="AK30" s="162">
        <v>2</v>
      </c>
      <c r="AL30" s="162">
        <v>0</v>
      </c>
      <c r="AM30" s="162">
        <v>0</v>
      </c>
      <c r="AN30" s="162">
        <v>0</v>
      </c>
      <c r="AO30" s="162">
        <v>2</v>
      </c>
      <c r="AP30" s="162">
        <v>2</v>
      </c>
      <c r="AQ30" s="162">
        <v>0</v>
      </c>
      <c r="AR30" s="162">
        <v>3</v>
      </c>
      <c r="AS30" s="162">
        <v>1</v>
      </c>
      <c r="AT30" s="162">
        <v>2</v>
      </c>
      <c r="AU30" s="162">
        <v>0</v>
      </c>
      <c r="AV30" s="162">
        <v>0</v>
      </c>
      <c r="AW30" s="165">
        <v>0</v>
      </c>
      <c r="AX30" s="166">
        <v>3</v>
      </c>
      <c r="AY30" s="161">
        <v>2</v>
      </c>
      <c r="AZ30" s="161">
        <v>1</v>
      </c>
      <c r="BA30" s="164">
        <v>2</v>
      </c>
      <c r="BB30" s="162">
        <v>1</v>
      </c>
      <c r="BC30" s="162">
        <v>1</v>
      </c>
      <c r="BD30" s="162">
        <v>0</v>
      </c>
      <c r="BE30" s="163">
        <v>0</v>
      </c>
      <c r="BF30" s="164">
        <v>0</v>
      </c>
      <c r="BG30" s="162">
        <v>1</v>
      </c>
      <c r="BH30" s="162">
        <v>1</v>
      </c>
      <c r="BI30" s="162">
        <v>0</v>
      </c>
      <c r="BJ30" s="162">
        <v>0</v>
      </c>
      <c r="BK30" s="162">
        <v>0</v>
      </c>
      <c r="BL30" s="162">
        <v>0</v>
      </c>
      <c r="BM30" s="162">
        <v>0</v>
      </c>
      <c r="BN30" s="162">
        <v>0</v>
      </c>
      <c r="BO30" s="162">
        <v>0</v>
      </c>
      <c r="BP30" s="162">
        <v>0</v>
      </c>
      <c r="BQ30" s="162">
        <v>0</v>
      </c>
      <c r="BR30" s="162">
        <v>0</v>
      </c>
      <c r="BS30" s="162">
        <v>0</v>
      </c>
      <c r="BT30" s="162">
        <v>0</v>
      </c>
      <c r="BU30" s="165">
        <v>0</v>
      </c>
      <c r="BV30" s="166">
        <v>0</v>
      </c>
      <c r="BW30" s="161">
        <v>0</v>
      </c>
      <c r="BX30" s="161">
        <v>0</v>
      </c>
      <c r="BY30" s="164">
        <v>0</v>
      </c>
      <c r="BZ30" s="162">
        <v>0</v>
      </c>
      <c r="CA30" s="162">
        <v>0</v>
      </c>
      <c r="CB30" s="162">
        <v>0</v>
      </c>
      <c r="CC30" s="163">
        <v>0</v>
      </c>
      <c r="CD30" s="164">
        <v>0</v>
      </c>
      <c r="CE30" s="162">
        <v>0</v>
      </c>
      <c r="CF30" s="162">
        <v>0</v>
      </c>
      <c r="CG30" s="162">
        <v>0</v>
      </c>
      <c r="CH30" s="162">
        <v>0</v>
      </c>
      <c r="CI30" s="162">
        <v>0</v>
      </c>
      <c r="CJ30" s="162">
        <v>0</v>
      </c>
      <c r="CK30" s="162">
        <v>0</v>
      </c>
      <c r="CL30" s="162">
        <v>0</v>
      </c>
      <c r="CM30" s="162">
        <v>0</v>
      </c>
      <c r="CN30" s="162">
        <v>0</v>
      </c>
      <c r="CO30" s="162">
        <v>0</v>
      </c>
      <c r="CP30" s="162">
        <v>0</v>
      </c>
      <c r="CQ30" s="162">
        <v>0</v>
      </c>
      <c r="CR30" s="162">
        <v>0</v>
      </c>
      <c r="CS30" s="162">
        <v>0</v>
      </c>
    </row>
    <row r="31" spans="1:97" ht="15.75" customHeight="1">
      <c r="A31" s="189" t="s">
        <v>382</v>
      </c>
      <c r="D31" s="179"/>
      <c r="E31" s="180"/>
      <c r="F31" s="180"/>
      <c r="I31" s="180"/>
      <c r="AB31" s="179"/>
      <c r="AC31" s="180"/>
      <c r="AD31" s="180"/>
      <c r="AG31" s="180"/>
      <c r="AZ31" s="179"/>
      <c r="BA31" s="180"/>
      <c r="BB31" s="180"/>
      <c r="BE31" s="180"/>
      <c r="BX31" s="179"/>
      <c r="BY31" s="180"/>
      <c r="BZ31" s="180"/>
      <c r="CC31" s="180"/>
    </row>
    <row r="32" spans="1:97" ht="17.45" customHeight="1">
      <c r="A32" s="189" t="s">
        <v>435</v>
      </c>
      <c r="D32" s="179"/>
      <c r="E32" s="180"/>
      <c r="F32" s="180"/>
      <c r="I32" s="180"/>
      <c r="AB32" s="179"/>
      <c r="AC32" s="180"/>
      <c r="AD32" s="180"/>
      <c r="AG32" s="180"/>
      <c r="AZ32" s="179"/>
      <c r="BA32" s="180"/>
      <c r="BB32" s="180"/>
      <c r="BE32" s="180"/>
      <c r="BX32" s="179"/>
      <c r="BY32" s="180"/>
      <c r="BZ32" s="180"/>
      <c r="CC32" s="180"/>
    </row>
    <row r="33" spans="1:1">
      <c r="A33" s="188" t="s">
        <v>329</v>
      </c>
    </row>
    <row r="34" spans="1:1">
      <c r="A34" s="13"/>
    </row>
    <row r="35" spans="1:1" ht="16.5">
      <c r="A35" s="186" t="s">
        <v>442</v>
      </c>
    </row>
  </sheetData>
  <mergeCells count="43">
    <mergeCell ref="CE6:CG6"/>
    <mergeCell ref="CH6:CJ6"/>
    <mergeCell ref="CK6:CM6"/>
    <mergeCell ref="CN6:CP6"/>
    <mergeCell ref="CQ6:CS6"/>
    <mergeCell ref="CB6:CD6"/>
    <mergeCell ref="AU6:AW6"/>
    <mergeCell ref="AX6:AZ6"/>
    <mergeCell ref="BA6:BC6"/>
    <mergeCell ref="BD6:BF6"/>
    <mergeCell ref="BG6:BI6"/>
    <mergeCell ref="BJ6:BL6"/>
    <mergeCell ref="BM6:BO6"/>
    <mergeCell ref="BP6:BR6"/>
    <mergeCell ref="BS6:BU6"/>
    <mergeCell ref="BV6:BX6"/>
    <mergeCell ref="BY6:CA6"/>
    <mergeCell ref="AC6:AE6"/>
    <mergeCell ref="AF6:AH6"/>
    <mergeCell ref="AI6:AK6"/>
    <mergeCell ref="AL6:AN6"/>
    <mergeCell ref="AO6:AQ6"/>
    <mergeCell ref="N6:P6"/>
    <mergeCell ref="Q6:S6"/>
    <mergeCell ref="T6:V6"/>
    <mergeCell ref="W6:Y6"/>
    <mergeCell ref="Z6:AB6"/>
    <mergeCell ref="BT3:BU3"/>
    <mergeCell ref="CR3:CS3"/>
    <mergeCell ref="A4:A7"/>
    <mergeCell ref="B4:Y4"/>
    <mergeCell ref="Z4:AW4"/>
    <mergeCell ref="AX4:BU4"/>
    <mergeCell ref="BV4:CS4"/>
    <mergeCell ref="B5:Y5"/>
    <mergeCell ref="Z5:AW5"/>
    <mergeCell ref="AX5:BU5"/>
    <mergeCell ref="AR6:AT6"/>
    <mergeCell ref="BV5:CS5"/>
    <mergeCell ref="B6:D6"/>
    <mergeCell ref="E6:G6"/>
    <mergeCell ref="H6:J6"/>
    <mergeCell ref="K6:M6"/>
  </mergeCells>
  <phoneticPr fontId="6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51" fitToWidth="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35"/>
  <sheetViews>
    <sheetView zoomScale="85" zoomScaleNormal="85" zoomScaleSheetLayoutView="90" workbookViewId="0">
      <pane xSplit="2" ySplit="8" topLeftCell="C18" activePane="bottomRight" state="frozen"/>
      <selection pane="topRight" activeCell="C1" sqref="C1"/>
      <selection pane="bottomLeft" activeCell="A9" sqref="A9"/>
      <selection pane="bottomRight" activeCell="AX4" sqref="AX4:BU4"/>
    </sheetView>
  </sheetViews>
  <sheetFormatPr defaultColWidth="11.5" defaultRowHeight="15.75"/>
  <cols>
    <col min="1" max="1" width="44.33203125" style="168" customWidth="1"/>
    <col min="2" max="4" width="12" style="168" customWidth="1"/>
    <col min="5" max="25" width="11.1640625" style="168" customWidth="1"/>
    <col min="26" max="27" width="13.1640625" style="168" customWidth="1"/>
    <col min="28" max="28" width="12.1640625" style="168" bestFit="1" customWidth="1"/>
    <col min="29" max="29" width="13.1640625" style="168" customWidth="1"/>
    <col min="30" max="38" width="10.6640625" style="168" bestFit="1" customWidth="1"/>
    <col min="39" max="39" width="13.1640625" style="168" customWidth="1"/>
    <col min="40" max="45" width="10.6640625" style="168" bestFit="1" customWidth="1"/>
    <col min="46" max="47" width="13.1640625" style="168" customWidth="1"/>
    <col min="48" max="49" width="10.6640625" style="168" bestFit="1" customWidth="1"/>
    <col min="50" max="73" width="11.33203125" style="168" customWidth="1"/>
    <col min="74" max="74" width="12.83203125" style="168" customWidth="1"/>
    <col min="75" max="97" width="10.33203125" style="168" customWidth="1"/>
    <col min="98" max="16384" width="11.5" style="168"/>
  </cols>
  <sheetData>
    <row r="1" spans="1:97" s="174" customFormat="1" ht="27" customHeight="1">
      <c r="A1" s="172" t="s">
        <v>358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3"/>
      <c r="AK1" s="173"/>
      <c r="AL1" s="173"/>
      <c r="AM1" s="173"/>
      <c r="AN1" s="173"/>
      <c r="AO1" s="173"/>
      <c r="AP1" s="173"/>
      <c r="AQ1" s="173"/>
      <c r="AR1" s="173"/>
      <c r="AS1" s="173"/>
      <c r="AT1" s="173"/>
      <c r="AU1" s="173"/>
      <c r="AV1" s="173"/>
      <c r="AW1" s="173"/>
      <c r="AX1" s="173"/>
      <c r="AY1" s="173"/>
      <c r="AZ1" s="173"/>
      <c r="BA1" s="173"/>
      <c r="BB1" s="173"/>
      <c r="BC1" s="173"/>
      <c r="BD1" s="173"/>
      <c r="BE1" s="173"/>
      <c r="BF1" s="173"/>
      <c r="BG1" s="173"/>
      <c r="BH1" s="173"/>
      <c r="BI1" s="173"/>
      <c r="BJ1" s="173"/>
      <c r="BK1" s="173"/>
      <c r="BL1" s="173"/>
      <c r="BM1" s="173"/>
      <c r="BN1" s="173"/>
      <c r="BO1" s="173"/>
      <c r="BP1" s="173"/>
      <c r="BQ1" s="173"/>
      <c r="BR1" s="173"/>
      <c r="BS1" s="173"/>
      <c r="BT1" s="173"/>
      <c r="BU1" s="173"/>
      <c r="BV1" s="173"/>
      <c r="BW1" s="173"/>
      <c r="BX1" s="173"/>
      <c r="BY1" s="173"/>
      <c r="BZ1" s="173"/>
      <c r="CA1" s="173"/>
      <c r="CB1" s="173"/>
      <c r="CC1" s="173"/>
      <c r="CD1" s="173"/>
      <c r="CE1" s="173"/>
      <c r="CF1" s="173"/>
      <c r="CG1" s="173"/>
      <c r="CH1" s="173"/>
      <c r="CI1" s="173"/>
      <c r="CJ1" s="173"/>
      <c r="CK1" s="173"/>
      <c r="CL1" s="173"/>
      <c r="CM1" s="173"/>
      <c r="CN1" s="173"/>
      <c r="CO1" s="173"/>
      <c r="CP1" s="173"/>
      <c r="CQ1" s="173"/>
      <c r="CR1" s="173"/>
      <c r="CS1" s="173"/>
    </row>
    <row r="2" spans="1:97" s="174" customFormat="1" ht="18.600000000000001" customHeight="1">
      <c r="A2" s="167" t="s">
        <v>359</v>
      </c>
      <c r="AA2" s="173"/>
      <c r="AB2" s="173"/>
      <c r="AC2" s="173"/>
      <c r="AD2" s="173"/>
      <c r="AE2" s="173"/>
      <c r="AF2" s="173"/>
      <c r="AG2" s="173"/>
      <c r="AH2" s="173"/>
      <c r="AI2" s="173"/>
      <c r="AJ2" s="173"/>
      <c r="AK2" s="173"/>
      <c r="AL2" s="173"/>
      <c r="AM2" s="173"/>
      <c r="AN2" s="173"/>
      <c r="AO2" s="173"/>
      <c r="AP2" s="173"/>
      <c r="AQ2" s="173"/>
      <c r="AR2" s="173"/>
      <c r="AS2" s="173"/>
      <c r="AT2" s="173"/>
      <c r="AU2" s="173"/>
      <c r="AV2" s="173"/>
      <c r="AW2" s="173"/>
      <c r="AX2" s="173"/>
      <c r="AY2" s="173"/>
      <c r="AZ2" s="173"/>
      <c r="BA2" s="173"/>
      <c r="BB2" s="173"/>
      <c r="BC2" s="173"/>
      <c r="BD2" s="173"/>
      <c r="BE2" s="173"/>
      <c r="BF2" s="173"/>
      <c r="BG2" s="173"/>
      <c r="BH2" s="173"/>
      <c r="BI2" s="173"/>
      <c r="BJ2" s="173"/>
      <c r="BK2" s="173"/>
      <c r="BL2" s="173"/>
      <c r="BM2" s="173"/>
      <c r="BN2" s="173"/>
      <c r="BO2" s="173"/>
      <c r="BP2" s="173"/>
      <c r="BQ2" s="173"/>
      <c r="BR2" s="173"/>
      <c r="BS2" s="173"/>
      <c r="BT2" s="173"/>
      <c r="BU2" s="173"/>
      <c r="BV2" s="173"/>
      <c r="BW2" s="173"/>
      <c r="BX2" s="173"/>
      <c r="BY2" s="173"/>
      <c r="BZ2" s="173"/>
      <c r="CA2" s="173"/>
      <c r="CB2" s="173"/>
      <c r="CC2" s="173"/>
      <c r="CD2" s="173"/>
      <c r="CE2" s="173"/>
      <c r="CF2" s="173"/>
      <c r="CG2" s="173"/>
      <c r="CH2" s="173"/>
      <c r="CI2" s="173"/>
      <c r="CJ2" s="173"/>
      <c r="CK2" s="173"/>
      <c r="CL2" s="173"/>
      <c r="CM2" s="173"/>
      <c r="CN2" s="173"/>
      <c r="CO2" s="173"/>
      <c r="CP2" s="173"/>
      <c r="CQ2" s="173"/>
      <c r="CR2" s="173"/>
      <c r="CS2" s="173"/>
    </row>
    <row r="3" spans="1:97" s="150" customFormat="1" ht="18.600000000000001" customHeight="1" thickBot="1">
      <c r="A3" s="203" t="s">
        <v>437</v>
      </c>
      <c r="B3" s="176"/>
      <c r="C3" s="176"/>
      <c r="D3" s="176"/>
      <c r="E3" s="137"/>
      <c r="F3" s="138"/>
      <c r="G3" s="138"/>
      <c r="H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AY3" s="176"/>
      <c r="AZ3" s="176"/>
      <c r="BA3" s="176"/>
      <c r="BB3" s="176"/>
      <c r="BC3" s="176"/>
      <c r="BD3" s="176"/>
      <c r="BH3" s="176"/>
      <c r="BI3" s="176"/>
      <c r="BJ3" s="176"/>
      <c r="BK3" s="176"/>
      <c r="BL3" s="176"/>
      <c r="BM3" s="176"/>
      <c r="BN3" s="176"/>
      <c r="BO3" s="176"/>
      <c r="BP3" s="176"/>
      <c r="BQ3" s="176"/>
      <c r="BR3" s="176"/>
      <c r="BS3" s="176"/>
      <c r="BT3" s="239"/>
      <c r="BU3" s="239"/>
      <c r="BV3" s="176"/>
      <c r="BW3" s="176"/>
      <c r="BX3" s="176"/>
      <c r="BY3" s="176"/>
      <c r="BZ3" s="176"/>
      <c r="CA3" s="176"/>
      <c r="CB3" s="176"/>
      <c r="CF3" s="176"/>
      <c r="CG3" s="176"/>
      <c r="CH3" s="176"/>
      <c r="CI3" s="176"/>
      <c r="CJ3" s="176"/>
      <c r="CK3" s="176"/>
      <c r="CL3" s="176"/>
      <c r="CM3" s="176"/>
      <c r="CN3" s="176"/>
      <c r="CO3" s="176"/>
      <c r="CP3" s="176"/>
      <c r="CQ3" s="176"/>
      <c r="CR3" s="239"/>
      <c r="CS3" s="239"/>
    </row>
    <row r="4" spans="1:97" s="150" customFormat="1" ht="21.75" customHeight="1">
      <c r="A4" s="275" t="s">
        <v>361</v>
      </c>
      <c r="B4" s="276" t="s">
        <v>376</v>
      </c>
      <c r="C4" s="243"/>
      <c r="D4" s="243"/>
      <c r="E4" s="243"/>
      <c r="F4" s="243"/>
      <c r="G4" s="243"/>
      <c r="H4" s="243"/>
      <c r="I4" s="243"/>
      <c r="J4" s="244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43"/>
      <c r="X4" s="243"/>
      <c r="Y4" s="245"/>
      <c r="Z4" s="277" t="s">
        <v>376</v>
      </c>
      <c r="AA4" s="247"/>
      <c r="AB4" s="247"/>
      <c r="AC4" s="247"/>
      <c r="AD4" s="247"/>
      <c r="AE4" s="247"/>
      <c r="AF4" s="247"/>
      <c r="AG4" s="247"/>
      <c r="AH4" s="248"/>
      <c r="AI4" s="247"/>
      <c r="AJ4" s="247"/>
      <c r="AK4" s="247"/>
      <c r="AL4" s="247"/>
      <c r="AM4" s="247"/>
      <c r="AN4" s="247"/>
      <c r="AO4" s="247"/>
      <c r="AP4" s="247"/>
      <c r="AQ4" s="247"/>
      <c r="AR4" s="247"/>
      <c r="AS4" s="247"/>
      <c r="AT4" s="247"/>
      <c r="AU4" s="247"/>
      <c r="AV4" s="247"/>
      <c r="AW4" s="249"/>
      <c r="AX4" s="250" t="s">
        <v>376</v>
      </c>
      <c r="AY4" s="251"/>
      <c r="AZ4" s="251"/>
      <c r="BA4" s="251"/>
      <c r="BB4" s="251"/>
      <c r="BC4" s="251"/>
      <c r="BD4" s="251"/>
      <c r="BE4" s="251"/>
      <c r="BF4" s="252"/>
      <c r="BG4" s="251"/>
      <c r="BH4" s="251"/>
      <c r="BI4" s="251"/>
      <c r="BJ4" s="251"/>
      <c r="BK4" s="251"/>
      <c r="BL4" s="251"/>
      <c r="BM4" s="251"/>
      <c r="BN4" s="251"/>
      <c r="BO4" s="251"/>
      <c r="BP4" s="251"/>
      <c r="BQ4" s="251"/>
      <c r="BR4" s="251"/>
      <c r="BS4" s="251"/>
      <c r="BT4" s="251"/>
      <c r="BU4" s="253"/>
      <c r="BV4" s="278" t="s">
        <v>376</v>
      </c>
      <c r="BW4" s="279"/>
      <c r="BX4" s="279"/>
      <c r="BY4" s="279"/>
      <c r="BZ4" s="279"/>
      <c r="CA4" s="279"/>
      <c r="CB4" s="279"/>
      <c r="CC4" s="279"/>
      <c r="CD4" s="279"/>
      <c r="CE4" s="279"/>
      <c r="CF4" s="279"/>
      <c r="CG4" s="279"/>
      <c r="CH4" s="279"/>
      <c r="CI4" s="279"/>
      <c r="CJ4" s="279"/>
      <c r="CK4" s="279"/>
      <c r="CL4" s="279"/>
      <c r="CM4" s="279"/>
      <c r="CN4" s="279"/>
      <c r="CO4" s="279"/>
      <c r="CP4" s="279"/>
      <c r="CQ4" s="279"/>
      <c r="CR4" s="279"/>
      <c r="CS4" s="279"/>
    </row>
    <row r="5" spans="1:97" ht="21.75" customHeight="1">
      <c r="A5" s="240"/>
      <c r="B5" s="257" t="s">
        <v>362</v>
      </c>
      <c r="C5" s="257"/>
      <c r="D5" s="257"/>
      <c r="E5" s="257"/>
      <c r="F5" s="257"/>
      <c r="G5" s="257"/>
      <c r="H5" s="257"/>
      <c r="I5" s="257"/>
      <c r="J5" s="257"/>
      <c r="K5" s="257"/>
      <c r="L5" s="257"/>
      <c r="M5" s="257"/>
      <c r="N5" s="257"/>
      <c r="O5" s="257"/>
      <c r="P5" s="257"/>
      <c r="Q5" s="257"/>
      <c r="R5" s="257"/>
      <c r="S5" s="257"/>
      <c r="T5" s="257"/>
      <c r="U5" s="257"/>
      <c r="V5" s="257"/>
      <c r="W5" s="257"/>
      <c r="X5" s="257"/>
      <c r="Y5" s="258"/>
      <c r="Z5" s="280" t="s">
        <v>363</v>
      </c>
      <c r="AA5" s="280"/>
      <c r="AB5" s="280"/>
      <c r="AC5" s="280"/>
      <c r="AD5" s="280"/>
      <c r="AE5" s="280"/>
      <c r="AF5" s="280"/>
      <c r="AG5" s="280"/>
      <c r="AH5" s="280"/>
      <c r="AI5" s="280"/>
      <c r="AJ5" s="280"/>
      <c r="AK5" s="280"/>
      <c r="AL5" s="280"/>
      <c r="AM5" s="280"/>
      <c r="AN5" s="280"/>
      <c r="AO5" s="280"/>
      <c r="AP5" s="280"/>
      <c r="AQ5" s="280"/>
      <c r="AR5" s="280"/>
      <c r="AS5" s="280"/>
      <c r="AT5" s="280"/>
      <c r="AU5" s="280"/>
      <c r="AV5" s="280"/>
      <c r="AW5" s="281"/>
      <c r="AX5" s="282" t="s">
        <v>364</v>
      </c>
      <c r="AY5" s="283"/>
      <c r="AZ5" s="283"/>
      <c r="BA5" s="283"/>
      <c r="BB5" s="283"/>
      <c r="BC5" s="283"/>
      <c r="BD5" s="283"/>
      <c r="BE5" s="283"/>
      <c r="BF5" s="283"/>
      <c r="BG5" s="283"/>
      <c r="BH5" s="283"/>
      <c r="BI5" s="283"/>
      <c r="BJ5" s="283"/>
      <c r="BK5" s="283"/>
      <c r="BL5" s="283"/>
      <c r="BM5" s="283"/>
      <c r="BN5" s="283"/>
      <c r="BO5" s="283"/>
      <c r="BP5" s="283"/>
      <c r="BQ5" s="283"/>
      <c r="BR5" s="283"/>
      <c r="BS5" s="283"/>
      <c r="BT5" s="283"/>
      <c r="BU5" s="284"/>
      <c r="BV5" s="285" t="s">
        <v>365</v>
      </c>
      <c r="BW5" s="286"/>
      <c r="BX5" s="286"/>
      <c r="BY5" s="286"/>
      <c r="BZ5" s="286"/>
      <c r="CA5" s="286"/>
      <c r="CB5" s="286"/>
      <c r="CC5" s="286"/>
      <c r="CD5" s="286"/>
      <c r="CE5" s="286"/>
      <c r="CF5" s="286"/>
      <c r="CG5" s="286"/>
      <c r="CH5" s="286"/>
      <c r="CI5" s="286"/>
      <c r="CJ5" s="286"/>
      <c r="CK5" s="286"/>
      <c r="CL5" s="286"/>
      <c r="CM5" s="286"/>
      <c r="CN5" s="286"/>
      <c r="CO5" s="286"/>
      <c r="CP5" s="286"/>
      <c r="CQ5" s="286"/>
      <c r="CR5" s="286"/>
      <c r="CS5" s="286"/>
    </row>
    <row r="6" spans="1:97" ht="21.75" customHeight="1">
      <c r="A6" s="240"/>
      <c r="B6" s="271" t="s">
        <v>366</v>
      </c>
      <c r="C6" s="271"/>
      <c r="D6" s="272"/>
      <c r="E6" s="267" t="s">
        <v>369</v>
      </c>
      <c r="F6" s="267"/>
      <c r="G6" s="267"/>
      <c r="H6" s="267" t="s">
        <v>370</v>
      </c>
      <c r="I6" s="267"/>
      <c r="J6" s="273"/>
      <c r="K6" s="267" t="s">
        <v>371</v>
      </c>
      <c r="L6" s="267"/>
      <c r="M6" s="267"/>
      <c r="N6" s="267" t="s">
        <v>372</v>
      </c>
      <c r="O6" s="267"/>
      <c r="P6" s="267"/>
      <c r="Q6" s="267" t="s">
        <v>373</v>
      </c>
      <c r="R6" s="267"/>
      <c r="S6" s="267"/>
      <c r="T6" s="267" t="s">
        <v>374</v>
      </c>
      <c r="U6" s="267"/>
      <c r="V6" s="267"/>
      <c r="W6" s="267" t="s">
        <v>375</v>
      </c>
      <c r="X6" s="267"/>
      <c r="Y6" s="274"/>
      <c r="Z6" s="271" t="s">
        <v>366</v>
      </c>
      <c r="AA6" s="271"/>
      <c r="AB6" s="272"/>
      <c r="AC6" s="267" t="s">
        <v>369</v>
      </c>
      <c r="AD6" s="267"/>
      <c r="AE6" s="267"/>
      <c r="AF6" s="267" t="s">
        <v>370</v>
      </c>
      <c r="AG6" s="267"/>
      <c r="AH6" s="273"/>
      <c r="AI6" s="267" t="s">
        <v>371</v>
      </c>
      <c r="AJ6" s="267"/>
      <c r="AK6" s="267"/>
      <c r="AL6" s="267" t="s">
        <v>372</v>
      </c>
      <c r="AM6" s="267"/>
      <c r="AN6" s="267"/>
      <c r="AO6" s="267" t="s">
        <v>373</v>
      </c>
      <c r="AP6" s="267"/>
      <c r="AQ6" s="267"/>
      <c r="AR6" s="267" t="s">
        <v>374</v>
      </c>
      <c r="AS6" s="267"/>
      <c r="AT6" s="267"/>
      <c r="AU6" s="267" t="s">
        <v>375</v>
      </c>
      <c r="AV6" s="267"/>
      <c r="AW6" s="274"/>
      <c r="AX6" s="271" t="s">
        <v>366</v>
      </c>
      <c r="AY6" s="271"/>
      <c r="AZ6" s="272"/>
      <c r="BA6" s="267" t="s">
        <v>369</v>
      </c>
      <c r="BB6" s="267"/>
      <c r="BC6" s="267"/>
      <c r="BD6" s="267" t="s">
        <v>370</v>
      </c>
      <c r="BE6" s="267"/>
      <c r="BF6" s="273"/>
      <c r="BG6" s="267" t="s">
        <v>371</v>
      </c>
      <c r="BH6" s="267"/>
      <c r="BI6" s="267"/>
      <c r="BJ6" s="267" t="s">
        <v>372</v>
      </c>
      <c r="BK6" s="267"/>
      <c r="BL6" s="267"/>
      <c r="BM6" s="267" t="s">
        <v>373</v>
      </c>
      <c r="BN6" s="267"/>
      <c r="BO6" s="267"/>
      <c r="BP6" s="267" t="s">
        <v>374</v>
      </c>
      <c r="BQ6" s="267"/>
      <c r="BR6" s="267"/>
      <c r="BS6" s="267" t="s">
        <v>375</v>
      </c>
      <c r="BT6" s="267"/>
      <c r="BU6" s="274"/>
      <c r="BV6" s="271" t="s">
        <v>366</v>
      </c>
      <c r="BW6" s="271"/>
      <c r="BX6" s="272"/>
      <c r="BY6" s="267" t="s">
        <v>369</v>
      </c>
      <c r="BZ6" s="267"/>
      <c r="CA6" s="267"/>
      <c r="CB6" s="267" t="s">
        <v>370</v>
      </c>
      <c r="CC6" s="267"/>
      <c r="CD6" s="273"/>
      <c r="CE6" s="267" t="s">
        <v>371</v>
      </c>
      <c r="CF6" s="267"/>
      <c r="CG6" s="267"/>
      <c r="CH6" s="267" t="s">
        <v>372</v>
      </c>
      <c r="CI6" s="267"/>
      <c r="CJ6" s="267"/>
      <c r="CK6" s="267" t="s">
        <v>373</v>
      </c>
      <c r="CL6" s="267"/>
      <c r="CM6" s="267"/>
      <c r="CN6" s="267" t="s">
        <v>374</v>
      </c>
      <c r="CO6" s="267"/>
      <c r="CP6" s="267"/>
      <c r="CQ6" s="267" t="s">
        <v>375</v>
      </c>
      <c r="CR6" s="267"/>
      <c r="CS6" s="273"/>
    </row>
    <row r="7" spans="1:97" ht="45.6" customHeight="1" thickBot="1">
      <c r="A7" s="241"/>
      <c r="B7" s="158" t="s">
        <v>335</v>
      </c>
      <c r="C7" s="156" t="s">
        <v>336</v>
      </c>
      <c r="D7" s="156" t="s">
        <v>337</v>
      </c>
      <c r="E7" s="155" t="s">
        <v>335</v>
      </c>
      <c r="F7" s="156" t="s">
        <v>336</v>
      </c>
      <c r="G7" s="156" t="s">
        <v>337</v>
      </c>
      <c r="H7" s="155" t="s">
        <v>335</v>
      </c>
      <c r="I7" s="156" t="s">
        <v>336</v>
      </c>
      <c r="J7" s="156" t="s">
        <v>337</v>
      </c>
      <c r="K7" s="155" t="s">
        <v>335</v>
      </c>
      <c r="L7" s="156" t="s">
        <v>336</v>
      </c>
      <c r="M7" s="156" t="s">
        <v>337</v>
      </c>
      <c r="N7" s="155" t="s">
        <v>335</v>
      </c>
      <c r="O7" s="156" t="s">
        <v>336</v>
      </c>
      <c r="P7" s="156" t="s">
        <v>337</v>
      </c>
      <c r="Q7" s="155" t="s">
        <v>335</v>
      </c>
      <c r="R7" s="156" t="s">
        <v>336</v>
      </c>
      <c r="S7" s="156" t="s">
        <v>337</v>
      </c>
      <c r="T7" s="155" t="s">
        <v>335</v>
      </c>
      <c r="U7" s="156" t="s">
        <v>336</v>
      </c>
      <c r="V7" s="156" t="s">
        <v>337</v>
      </c>
      <c r="W7" s="155" t="s">
        <v>335</v>
      </c>
      <c r="X7" s="156" t="s">
        <v>336</v>
      </c>
      <c r="Y7" s="157" t="s">
        <v>337</v>
      </c>
      <c r="Z7" s="158" t="s">
        <v>335</v>
      </c>
      <c r="AA7" s="156" t="s">
        <v>336</v>
      </c>
      <c r="AB7" s="156" t="s">
        <v>337</v>
      </c>
      <c r="AC7" s="155" t="s">
        <v>335</v>
      </c>
      <c r="AD7" s="156" t="s">
        <v>336</v>
      </c>
      <c r="AE7" s="156" t="s">
        <v>337</v>
      </c>
      <c r="AF7" s="155" t="s">
        <v>335</v>
      </c>
      <c r="AG7" s="156" t="s">
        <v>336</v>
      </c>
      <c r="AH7" s="156" t="s">
        <v>337</v>
      </c>
      <c r="AI7" s="155" t="s">
        <v>335</v>
      </c>
      <c r="AJ7" s="156" t="s">
        <v>336</v>
      </c>
      <c r="AK7" s="156" t="s">
        <v>337</v>
      </c>
      <c r="AL7" s="155" t="s">
        <v>335</v>
      </c>
      <c r="AM7" s="156" t="s">
        <v>336</v>
      </c>
      <c r="AN7" s="156" t="s">
        <v>337</v>
      </c>
      <c r="AO7" s="155" t="s">
        <v>335</v>
      </c>
      <c r="AP7" s="156" t="s">
        <v>336</v>
      </c>
      <c r="AQ7" s="156" t="s">
        <v>337</v>
      </c>
      <c r="AR7" s="155" t="s">
        <v>335</v>
      </c>
      <c r="AS7" s="156" t="s">
        <v>336</v>
      </c>
      <c r="AT7" s="156" t="s">
        <v>337</v>
      </c>
      <c r="AU7" s="155" t="s">
        <v>335</v>
      </c>
      <c r="AV7" s="156" t="s">
        <v>336</v>
      </c>
      <c r="AW7" s="157" t="s">
        <v>337</v>
      </c>
      <c r="AX7" s="159" t="s">
        <v>335</v>
      </c>
      <c r="AY7" s="156" t="s">
        <v>336</v>
      </c>
      <c r="AZ7" s="156" t="s">
        <v>337</v>
      </c>
      <c r="BA7" s="155" t="s">
        <v>335</v>
      </c>
      <c r="BB7" s="156" t="s">
        <v>336</v>
      </c>
      <c r="BC7" s="156" t="s">
        <v>337</v>
      </c>
      <c r="BD7" s="155" t="s">
        <v>335</v>
      </c>
      <c r="BE7" s="156" t="s">
        <v>336</v>
      </c>
      <c r="BF7" s="156" t="s">
        <v>337</v>
      </c>
      <c r="BG7" s="155" t="s">
        <v>335</v>
      </c>
      <c r="BH7" s="156" t="s">
        <v>336</v>
      </c>
      <c r="BI7" s="156" t="s">
        <v>337</v>
      </c>
      <c r="BJ7" s="155" t="s">
        <v>335</v>
      </c>
      <c r="BK7" s="156" t="s">
        <v>336</v>
      </c>
      <c r="BL7" s="156" t="s">
        <v>337</v>
      </c>
      <c r="BM7" s="155" t="s">
        <v>335</v>
      </c>
      <c r="BN7" s="156" t="s">
        <v>336</v>
      </c>
      <c r="BO7" s="156" t="s">
        <v>337</v>
      </c>
      <c r="BP7" s="155" t="s">
        <v>335</v>
      </c>
      <c r="BQ7" s="156" t="s">
        <v>336</v>
      </c>
      <c r="BR7" s="156" t="s">
        <v>337</v>
      </c>
      <c r="BS7" s="155" t="s">
        <v>335</v>
      </c>
      <c r="BT7" s="156" t="s">
        <v>336</v>
      </c>
      <c r="BU7" s="157" t="s">
        <v>337</v>
      </c>
      <c r="BV7" s="159" t="s">
        <v>335</v>
      </c>
      <c r="BW7" s="156" t="s">
        <v>336</v>
      </c>
      <c r="BX7" s="156" t="s">
        <v>337</v>
      </c>
      <c r="BY7" s="155" t="s">
        <v>335</v>
      </c>
      <c r="BZ7" s="156" t="s">
        <v>336</v>
      </c>
      <c r="CA7" s="156" t="s">
        <v>337</v>
      </c>
      <c r="CB7" s="155" t="s">
        <v>335</v>
      </c>
      <c r="CC7" s="156" t="s">
        <v>336</v>
      </c>
      <c r="CD7" s="156" t="s">
        <v>337</v>
      </c>
      <c r="CE7" s="155" t="s">
        <v>335</v>
      </c>
      <c r="CF7" s="156" t="s">
        <v>336</v>
      </c>
      <c r="CG7" s="156" t="s">
        <v>337</v>
      </c>
      <c r="CH7" s="155" t="s">
        <v>335</v>
      </c>
      <c r="CI7" s="156" t="s">
        <v>336</v>
      </c>
      <c r="CJ7" s="156" t="s">
        <v>337</v>
      </c>
      <c r="CK7" s="155" t="s">
        <v>335</v>
      </c>
      <c r="CL7" s="156" t="s">
        <v>336</v>
      </c>
      <c r="CM7" s="156" t="s">
        <v>337</v>
      </c>
      <c r="CN7" s="155" t="s">
        <v>335</v>
      </c>
      <c r="CO7" s="156" t="s">
        <v>336</v>
      </c>
      <c r="CP7" s="156" t="s">
        <v>337</v>
      </c>
      <c r="CQ7" s="155" t="s">
        <v>335</v>
      </c>
      <c r="CR7" s="156" t="s">
        <v>336</v>
      </c>
      <c r="CS7" s="160" t="s">
        <v>337</v>
      </c>
    </row>
    <row r="8" spans="1:97" s="177" customFormat="1" ht="20.45" customHeight="1">
      <c r="A8" s="169" t="s">
        <v>330</v>
      </c>
      <c r="B8" s="152">
        <v>359290</v>
      </c>
      <c r="C8" s="152">
        <v>148703</v>
      </c>
      <c r="D8" s="152">
        <v>210587</v>
      </c>
      <c r="E8" s="152">
        <v>66034</v>
      </c>
      <c r="F8" s="152">
        <v>24389</v>
      </c>
      <c r="G8" s="152">
        <v>41645</v>
      </c>
      <c r="H8" s="152">
        <v>71400</v>
      </c>
      <c r="I8" s="152">
        <v>26421</v>
      </c>
      <c r="J8" s="152">
        <v>44979</v>
      </c>
      <c r="K8" s="152">
        <v>72935</v>
      </c>
      <c r="L8" s="152">
        <v>29737</v>
      </c>
      <c r="M8" s="152">
        <v>43198</v>
      </c>
      <c r="N8" s="152">
        <v>52329</v>
      </c>
      <c r="O8" s="152">
        <v>23798</v>
      </c>
      <c r="P8" s="152">
        <v>28531</v>
      </c>
      <c r="Q8" s="152">
        <v>32070</v>
      </c>
      <c r="R8" s="152">
        <v>14492</v>
      </c>
      <c r="S8" s="152">
        <v>17578</v>
      </c>
      <c r="T8" s="152">
        <v>31330</v>
      </c>
      <c r="U8" s="152">
        <v>14328</v>
      </c>
      <c r="V8" s="152">
        <v>17002</v>
      </c>
      <c r="W8" s="152">
        <v>33192</v>
      </c>
      <c r="X8" s="152">
        <v>15538</v>
      </c>
      <c r="Y8" s="153">
        <v>17654</v>
      </c>
      <c r="Z8" s="152">
        <v>334696</v>
      </c>
      <c r="AA8" s="152">
        <v>139931</v>
      </c>
      <c r="AB8" s="152">
        <v>194765</v>
      </c>
      <c r="AC8" s="152">
        <v>62946</v>
      </c>
      <c r="AD8" s="152">
        <v>23515</v>
      </c>
      <c r="AE8" s="152">
        <v>39431</v>
      </c>
      <c r="AF8" s="152">
        <v>66404</v>
      </c>
      <c r="AG8" s="152">
        <v>24873</v>
      </c>
      <c r="AH8" s="152">
        <v>41531</v>
      </c>
      <c r="AI8" s="152">
        <v>67188</v>
      </c>
      <c r="AJ8" s="152">
        <v>27748</v>
      </c>
      <c r="AK8" s="152">
        <v>39440</v>
      </c>
      <c r="AL8" s="152">
        <v>47744</v>
      </c>
      <c r="AM8" s="152">
        <v>21939</v>
      </c>
      <c r="AN8" s="152">
        <v>25805</v>
      </c>
      <c r="AO8" s="152">
        <v>27872</v>
      </c>
      <c r="AP8" s="152">
        <v>12804</v>
      </c>
      <c r="AQ8" s="152">
        <v>15068</v>
      </c>
      <c r="AR8" s="152">
        <v>29982</v>
      </c>
      <c r="AS8" s="152">
        <v>13780</v>
      </c>
      <c r="AT8" s="152">
        <v>16202</v>
      </c>
      <c r="AU8" s="152">
        <v>32560</v>
      </c>
      <c r="AV8" s="152">
        <v>15272</v>
      </c>
      <c r="AW8" s="153">
        <v>17288</v>
      </c>
      <c r="AX8" s="154">
        <v>37562</v>
      </c>
      <c r="AY8" s="152">
        <v>13878</v>
      </c>
      <c r="AZ8" s="152">
        <v>23684</v>
      </c>
      <c r="BA8" s="152">
        <v>4223</v>
      </c>
      <c r="BB8" s="152">
        <v>1254</v>
      </c>
      <c r="BC8" s="152">
        <v>2969</v>
      </c>
      <c r="BD8" s="152">
        <v>7327</v>
      </c>
      <c r="BE8" s="152">
        <v>2295</v>
      </c>
      <c r="BF8" s="152">
        <v>5032</v>
      </c>
      <c r="BG8" s="152">
        <v>8701</v>
      </c>
      <c r="BH8" s="152">
        <v>3088</v>
      </c>
      <c r="BI8" s="152">
        <v>5613</v>
      </c>
      <c r="BJ8" s="152">
        <v>7079</v>
      </c>
      <c r="BK8" s="152">
        <v>2948</v>
      </c>
      <c r="BL8" s="152">
        <v>4131</v>
      </c>
      <c r="BM8" s="152">
        <v>6485</v>
      </c>
      <c r="BN8" s="152">
        <v>2711</v>
      </c>
      <c r="BO8" s="152">
        <v>3774</v>
      </c>
      <c r="BP8" s="152">
        <v>2556</v>
      </c>
      <c r="BQ8" s="152">
        <v>1038</v>
      </c>
      <c r="BR8" s="152">
        <v>1518</v>
      </c>
      <c r="BS8" s="152">
        <v>1191</v>
      </c>
      <c r="BT8" s="152">
        <v>544</v>
      </c>
      <c r="BU8" s="153">
        <v>647</v>
      </c>
      <c r="BV8" s="154">
        <v>1586</v>
      </c>
      <c r="BW8" s="152">
        <v>673</v>
      </c>
      <c r="BX8" s="152">
        <v>913</v>
      </c>
      <c r="BY8" s="152">
        <v>42</v>
      </c>
      <c r="BZ8" s="152">
        <v>18</v>
      </c>
      <c r="CA8" s="152">
        <v>24</v>
      </c>
      <c r="CB8" s="152">
        <v>94</v>
      </c>
      <c r="CC8" s="152">
        <v>38</v>
      </c>
      <c r="CD8" s="152">
        <v>56</v>
      </c>
      <c r="CE8" s="152">
        <v>175</v>
      </c>
      <c r="CF8" s="152">
        <v>77</v>
      </c>
      <c r="CG8" s="152">
        <v>98</v>
      </c>
      <c r="CH8" s="152">
        <v>288</v>
      </c>
      <c r="CI8" s="152">
        <v>123</v>
      </c>
      <c r="CJ8" s="152">
        <v>165</v>
      </c>
      <c r="CK8" s="152">
        <v>357</v>
      </c>
      <c r="CL8" s="152">
        <v>146</v>
      </c>
      <c r="CM8" s="152">
        <v>211</v>
      </c>
      <c r="CN8" s="152">
        <v>313</v>
      </c>
      <c r="CO8" s="152">
        <v>142</v>
      </c>
      <c r="CP8" s="152">
        <v>171</v>
      </c>
      <c r="CQ8" s="152">
        <v>317</v>
      </c>
      <c r="CR8" s="152">
        <v>129</v>
      </c>
      <c r="CS8" s="152">
        <v>188</v>
      </c>
    </row>
    <row r="9" spans="1:97" s="178" customFormat="1" ht="20.45" customHeight="1">
      <c r="A9" s="170" t="s">
        <v>338</v>
      </c>
      <c r="B9" s="139">
        <v>44072</v>
      </c>
      <c r="C9" s="139">
        <v>18634</v>
      </c>
      <c r="D9" s="139">
        <v>25438</v>
      </c>
      <c r="E9" s="141">
        <v>8037</v>
      </c>
      <c r="F9" s="141">
        <v>2822</v>
      </c>
      <c r="G9" s="141">
        <v>5215</v>
      </c>
      <c r="H9" s="141">
        <v>8700</v>
      </c>
      <c r="I9" s="141">
        <v>3379</v>
      </c>
      <c r="J9" s="141">
        <v>5321</v>
      </c>
      <c r="K9" s="141">
        <v>8696</v>
      </c>
      <c r="L9" s="141">
        <v>3710</v>
      </c>
      <c r="M9" s="141">
        <v>4986</v>
      </c>
      <c r="N9" s="141">
        <v>6269</v>
      </c>
      <c r="O9" s="141">
        <v>3022</v>
      </c>
      <c r="P9" s="141">
        <v>3247</v>
      </c>
      <c r="Q9" s="141">
        <v>4186</v>
      </c>
      <c r="R9" s="141">
        <v>1889</v>
      </c>
      <c r="S9" s="141">
        <v>2297</v>
      </c>
      <c r="T9" s="141">
        <v>3913</v>
      </c>
      <c r="U9" s="141">
        <v>1822</v>
      </c>
      <c r="V9" s="141">
        <v>2091</v>
      </c>
      <c r="W9" s="141">
        <v>4271</v>
      </c>
      <c r="X9" s="141">
        <v>1990</v>
      </c>
      <c r="Y9" s="151">
        <v>2281</v>
      </c>
      <c r="Z9" s="139">
        <v>41715</v>
      </c>
      <c r="AA9" s="139">
        <v>17817</v>
      </c>
      <c r="AB9" s="139">
        <v>23898</v>
      </c>
      <c r="AC9" s="141">
        <v>7590</v>
      </c>
      <c r="AD9" s="141">
        <v>2703</v>
      </c>
      <c r="AE9" s="141">
        <v>4887</v>
      </c>
      <c r="AF9" s="141">
        <v>8159</v>
      </c>
      <c r="AG9" s="141">
        <v>3201</v>
      </c>
      <c r="AH9" s="141">
        <v>4958</v>
      </c>
      <c r="AI9" s="141">
        <v>8095</v>
      </c>
      <c r="AJ9" s="141">
        <v>3503</v>
      </c>
      <c r="AK9" s="141">
        <v>4592</v>
      </c>
      <c r="AL9" s="141">
        <v>5896</v>
      </c>
      <c r="AM9" s="141">
        <v>2856</v>
      </c>
      <c r="AN9" s="141">
        <v>3040</v>
      </c>
      <c r="AO9" s="141">
        <v>3852</v>
      </c>
      <c r="AP9" s="141">
        <v>1765</v>
      </c>
      <c r="AQ9" s="141">
        <v>2087</v>
      </c>
      <c r="AR9" s="141">
        <v>3874</v>
      </c>
      <c r="AS9" s="141">
        <v>1805</v>
      </c>
      <c r="AT9" s="141">
        <v>2069</v>
      </c>
      <c r="AU9" s="141">
        <v>4249</v>
      </c>
      <c r="AV9" s="141">
        <v>1984</v>
      </c>
      <c r="AW9" s="151">
        <v>2265</v>
      </c>
      <c r="AX9" s="149">
        <v>3977</v>
      </c>
      <c r="AY9" s="139">
        <v>1403</v>
      </c>
      <c r="AZ9" s="139">
        <v>2574</v>
      </c>
      <c r="BA9" s="140">
        <v>651</v>
      </c>
      <c r="BB9" s="141">
        <v>182</v>
      </c>
      <c r="BC9" s="141">
        <v>469</v>
      </c>
      <c r="BD9" s="141">
        <v>867</v>
      </c>
      <c r="BE9" s="141">
        <v>279</v>
      </c>
      <c r="BF9" s="141">
        <v>588</v>
      </c>
      <c r="BG9" s="141">
        <v>1000</v>
      </c>
      <c r="BH9" s="141">
        <v>343</v>
      </c>
      <c r="BI9" s="141">
        <v>657</v>
      </c>
      <c r="BJ9" s="141">
        <v>636</v>
      </c>
      <c r="BK9" s="141">
        <v>285</v>
      </c>
      <c r="BL9" s="141">
        <v>351</v>
      </c>
      <c r="BM9" s="141">
        <v>623</v>
      </c>
      <c r="BN9" s="141">
        <v>233</v>
      </c>
      <c r="BO9" s="141">
        <v>390</v>
      </c>
      <c r="BP9" s="141">
        <v>137</v>
      </c>
      <c r="BQ9" s="141">
        <v>51</v>
      </c>
      <c r="BR9" s="141">
        <v>86</v>
      </c>
      <c r="BS9" s="141">
        <v>63</v>
      </c>
      <c r="BT9" s="141">
        <v>30</v>
      </c>
      <c r="BU9" s="151">
        <v>33</v>
      </c>
      <c r="BV9" s="149">
        <v>45</v>
      </c>
      <c r="BW9" s="139">
        <v>12</v>
      </c>
      <c r="BX9" s="139">
        <v>33</v>
      </c>
      <c r="BY9" s="140">
        <v>2</v>
      </c>
      <c r="BZ9" s="141">
        <v>1</v>
      </c>
      <c r="CA9" s="141">
        <v>1</v>
      </c>
      <c r="CB9" s="141">
        <v>3</v>
      </c>
      <c r="CC9" s="141">
        <v>1</v>
      </c>
      <c r="CD9" s="141">
        <v>2</v>
      </c>
      <c r="CE9" s="141">
        <v>7</v>
      </c>
      <c r="CF9" s="141">
        <v>1</v>
      </c>
      <c r="CG9" s="141">
        <v>6</v>
      </c>
      <c r="CH9" s="141">
        <v>7</v>
      </c>
      <c r="CI9" s="141">
        <v>1</v>
      </c>
      <c r="CJ9" s="141">
        <v>6</v>
      </c>
      <c r="CK9" s="141">
        <v>13</v>
      </c>
      <c r="CL9" s="141">
        <v>5</v>
      </c>
      <c r="CM9" s="141">
        <v>8</v>
      </c>
      <c r="CN9" s="141">
        <v>8</v>
      </c>
      <c r="CO9" s="141">
        <v>3</v>
      </c>
      <c r="CP9" s="141">
        <v>5</v>
      </c>
      <c r="CQ9" s="141">
        <v>5</v>
      </c>
      <c r="CR9" s="141">
        <v>0</v>
      </c>
      <c r="CS9" s="141">
        <v>5</v>
      </c>
    </row>
    <row r="10" spans="1:97" s="178" customFormat="1" ht="20.45" customHeight="1">
      <c r="A10" s="170" t="s">
        <v>339</v>
      </c>
      <c r="B10" s="139">
        <v>23782</v>
      </c>
      <c r="C10" s="139">
        <v>9676</v>
      </c>
      <c r="D10" s="139">
        <v>14106</v>
      </c>
      <c r="E10" s="141">
        <v>2899</v>
      </c>
      <c r="F10" s="141">
        <v>914</v>
      </c>
      <c r="G10" s="141">
        <v>1985</v>
      </c>
      <c r="H10" s="141">
        <v>3868</v>
      </c>
      <c r="I10" s="141">
        <v>1372</v>
      </c>
      <c r="J10" s="141">
        <v>2496</v>
      </c>
      <c r="K10" s="141">
        <v>5655</v>
      </c>
      <c r="L10" s="141">
        <v>2212</v>
      </c>
      <c r="M10" s="141">
        <v>3443</v>
      </c>
      <c r="N10" s="141">
        <v>3400</v>
      </c>
      <c r="O10" s="141">
        <v>1599</v>
      </c>
      <c r="P10" s="141">
        <v>1801</v>
      </c>
      <c r="Q10" s="141">
        <v>2518</v>
      </c>
      <c r="R10" s="141">
        <v>1124</v>
      </c>
      <c r="S10" s="141">
        <v>1394</v>
      </c>
      <c r="T10" s="141">
        <v>2658</v>
      </c>
      <c r="U10" s="141">
        <v>1197</v>
      </c>
      <c r="V10" s="141">
        <v>1461</v>
      </c>
      <c r="W10" s="141">
        <v>2784</v>
      </c>
      <c r="X10" s="141">
        <v>1258</v>
      </c>
      <c r="Y10" s="151">
        <v>1526</v>
      </c>
      <c r="Z10" s="139">
        <v>22020</v>
      </c>
      <c r="AA10" s="139">
        <v>9071</v>
      </c>
      <c r="AB10" s="139">
        <v>12949</v>
      </c>
      <c r="AC10" s="141">
        <v>2732</v>
      </c>
      <c r="AD10" s="141">
        <v>869</v>
      </c>
      <c r="AE10" s="141">
        <v>1863</v>
      </c>
      <c r="AF10" s="141">
        <v>3521</v>
      </c>
      <c r="AG10" s="141">
        <v>1254</v>
      </c>
      <c r="AH10" s="141">
        <v>2267</v>
      </c>
      <c r="AI10" s="141">
        <v>5153</v>
      </c>
      <c r="AJ10" s="141">
        <v>2047</v>
      </c>
      <c r="AK10" s="141">
        <v>3106</v>
      </c>
      <c r="AL10" s="141">
        <v>3112</v>
      </c>
      <c r="AM10" s="141">
        <v>1489</v>
      </c>
      <c r="AN10" s="141">
        <v>1623</v>
      </c>
      <c r="AO10" s="141">
        <v>2161</v>
      </c>
      <c r="AP10" s="141">
        <v>988</v>
      </c>
      <c r="AQ10" s="141">
        <v>1173</v>
      </c>
      <c r="AR10" s="141">
        <v>2587</v>
      </c>
      <c r="AS10" s="141">
        <v>1179</v>
      </c>
      <c r="AT10" s="141">
        <v>1408</v>
      </c>
      <c r="AU10" s="141">
        <v>2754</v>
      </c>
      <c r="AV10" s="141">
        <v>1245</v>
      </c>
      <c r="AW10" s="151">
        <v>1509</v>
      </c>
      <c r="AX10" s="149">
        <v>2673</v>
      </c>
      <c r="AY10" s="139">
        <v>926</v>
      </c>
      <c r="AZ10" s="139">
        <v>1747</v>
      </c>
      <c r="BA10" s="140">
        <v>227</v>
      </c>
      <c r="BB10" s="141">
        <v>60</v>
      </c>
      <c r="BC10" s="141">
        <v>167</v>
      </c>
      <c r="BD10" s="141">
        <v>479</v>
      </c>
      <c r="BE10" s="141">
        <v>154</v>
      </c>
      <c r="BF10" s="141">
        <v>325</v>
      </c>
      <c r="BG10" s="141">
        <v>748</v>
      </c>
      <c r="BH10" s="141">
        <v>251</v>
      </c>
      <c r="BI10" s="141">
        <v>497</v>
      </c>
      <c r="BJ10" s="141">
        <v>444</v>
      </c>
      <c r="BK10" s="141">
        <v>172</v>
      </c>
      <c r="BL10" s="141">
        <v>272</v>
      </c>
      <c r="BM10" s="141">
        <v>567</v>
      </c>
      <c r="BN10" s="141">
        <v>212</v>
      </c>
      <c r="BO10" s="141">
        <v>355</v>
      </c>
      <c r="BP10" s="141">
        <v>140</v>
      </c>
      <c r="BQ10" s="141">
        <v>47</v>
      </c>
      <c r="BR10" s="141">
        <v>93</v>
      </c>
      <c r="BS10" s="141">
        <v>68</v>
      </c>
      <c r="BT10" s="141">
        <v>30</v>
      </c>
      <c r="BU10" s="151">
        <v>38</v>
      </c>
      <c r="BV10" s="149">
        <v>30</v>
      </c>
      <c r="BW10" s="139">
        <v>10</v>
      </c>
      <c r="BX10" s="139">
        <v>20</v>
      </c>
      <c r="BY10" s="140">
        <v>0</v>
      </c>
      <c r="BZ10" s="141">
        <v>0</v>
      </c>
      <c r="CA10" s="141">
        <v>0</v>
      </c>
      <c r="CB10" s="141">
        <v>4</v>
      </c>
      <c r="CC10" s="141">
        <v>1</v>
      </c>
      <c r="CD10" s="141">
        <v>3</v>
      </c>
      <c r="CE10" s="141">
        <v>3</v>
      </c>
      <c r="CF10" s="141">
        <v>0</v>
      </c>
      <c r="CG10" s="141">
        <v>3</v>
      </c>
      <c r="CH10" s="141">
        <v>2</v>
      </c>
      <c r="CI10" s="141">
        <v>0</v>
      </c>
      <c r="CJ10" s="141">
        <v>2</v>
      </c>
      <c r="CK10" s="141">
        <v>9</v>
      </c>
      <c r="CL10" s="141">
        <v>6</v>
      </c>
      <c r="CM10" s="141">
        <v>3</v>
      </c>
      <c r="CN10" s="141">
        <v>8</v>
      </c>
      <c r="CO10" s="141">
        <v>2</v>
      </c>
      <c r="CP10" s="141">
        <v>6</v>
      </c>
      <c r="CQ10" s="141">
        <v>4</v>
      </c>
      <c r="CR10" s="141">
        <v>1</v>
      </c>
      <c r="CS10" s="141">
        <v>3</v>
      </c>
    </row>
    <row r="11" spans="1:97" s="178" customFormat="1" ht="20.45" customHeight="1">
      <c r="A11" s="170" t="s">
        <v>340</v>
      </c>
      <c r="B11" s="139">
        <v>25455</v>
      </c>
      <c r="C11" s="139">
        <v>10779</v>
      </c>
      <c r="D11" s="139">
        <v>14676</v>
      </c>
      <c r="E11" s="141">
        <v>3627</v>
      </c>
      <c r="F11" s="141">
        <v>1280</v>
      </c>
      <c r="G11" s="141">
        <v>2347</v>
      </c>
      <c r="H11" s="141">
        <v>4266</v>
      </c>
      <c r="I11" s="141">
        <v>1577</v>
      </c>
      <c r="J11" s="141">
        <v>2689</v>
      </c>
      <c r="K11" s="141">
        <v>5150</v>
      </c>
      <c r="L11" s="141">
        <v>2065</v>
      </c>
      <c r="M11" s="141">
        <v>3085</v>
      </c>
      <c r="N11" s="141">
        <v>3729</v>
      </c>
      <c r="O11" s="141">
        <v>1760</v>
      </c>
      <c r="P11" s="141">
        <v>1969</v>
      </c>
      <c r="Q11" s="141">
        <v>2974</v>
      </c>
      <c r="R11" s="141">
        <v>1408</v>
      </c>
      <c r="S11" s="141">
        <v>1566</v>
      </c>
      <c r="T11" s="141">
        <v>2757</v>
      </c>
      <c r="U11" s="141">
        <v>1273</v>
      </c>
      <c r="V11" s="141">
        <v>1484</v>
      </c>
      <c r="W11" s="141">
        <v>2952</v>
      </c>
      <c r="X11" s="141">
        <v>1416</v>
      </c>
      <c r="Y11" s="151">
        <v>1536</v>
      </c>
      <c r="Z11" s="139">
        <v>23503</v>
      </c>
      <c r="AA11" s="139">
        <v>10100</v>
      </c>
      <c r="AB11" s="139">
        <v>13403</v>
      </c>
      <c r="AC11" s="141">
        <v>3414</v>
      </c>
      <c r="AD11" s="141">
        <v>1226</v>
      </c>
      <c r="AE11" s="141">
        <v>2188</v>
      </c>
      <c r="AF11" s="141">
        <v>3905</v>
      </c>
      <c r="AG11" s="141">
        <v>1457</v>
      </c>
      <c r="AH11" s="141">
        <v>2448</v>
      </c>
      <c r="AI11" s="141">
        <v>4667</v>
      </c>
      <c r="AJ11" s="141">
        <v>1909</v>
      </c>
      <c r="AK11" s="141">
        <v>2758</v>
      </c>
      <c r="AL11" s="141">
        <v>3362</v>
      </c>
      <c r="AM11" s="141">
        <v>1615</v>
      </c>
      <c r="AN11" s="141">
        <v>1747</v>
      </c>
      <c r="AO11" s="141">
        <v>2569</v>
      </c>
      <c r="AP11" s="141">
        <v>1252</v>
      </c>
      <c r="AQ11" s="141">
        <v>1317</v>
      </c>
      <c r="AR11" s="141">
        <v>2662</v>
      </c>
      <c r="AS11" s="141">
        <v>1236</v>
      </c>
      <c r="AT11" s="141">
        <v>1426</v>
      </c>
      <c r="AU11" s="141">
        <v>2924</v>
      </c>
      <c r="AV11" s="141">
        <v>1405</v>
      </c>
      <c r="AW11" s="151">
        <v>1519</v>
      </c>
      <c r="AX11" s="149">
        <v>2856</v>
      </c>
      <c r="AY11" s="139">
        <v>1059</v>
      </c>
      <c r="AZ11" s="139">
        <v>1797</v>
      </c>
      <c r="BA11" s="140">
        <v>274</v>
      </c>
      <c r="BB11" s="141">
        <v>69</v>
      </c>
      <c r="BC11" s="141">
        <v>205</v>
      </c>
      <c r="BD11" s="141">
        <v>484</v>
      </c>
      <c r="BE11" s="141">
        <v>163</v>
      </c>
      <c r="BF11" s="141">
        <v>321</v>
      </c>
      <c r="BG11" s="141">
        <v>688</v>
      </c>
      <c r="BH11" s="141">
        <v>233</v>
      </c>
      <c r="BI11" s="141">
        <v>455</v>
      </c>
      <c r="BJ11" s="141">
        <v>521</v>
      </c>
      <c r="BK11" s="141">
        <v>216</v>
      </c>
      <c r="BL11" s="141">
        <v>305</v>
      </c>
      <c r="BM11" s="141">
        <v>621</v>
      </c>
      <c r="BN11" s="141">
        <v>261</v>
      </c>
      <c r="BO11" s="141">
        <v>360</v>
      </c>
      <c r="BP11" s="141">
        <v>188</v>
      </c>
      <c r="BQ11" s="141">
        <v>82</v>
      </c>
      <c r="BR11" s="141">
        <v>106</v>
      </c>
      <c r="BS11" s="141">
        <v>80</v>
      </c>
      <c r="BT11" s="141">
        <v>35</v>
      </c>
      <c r="BU11" s="151">
        <v>45</v>
      </c>
      <c r="BV11" s="149">
        <v>34</v>
      </c>
      <c r="BW11" s="139">
        <v>15</v>
      </c>
      <c r="BX11" s="139">
        <v>19</v>
      </c>
      <c r="BY11" s="140">
        <v>1</v>
      </c>
      <c r="BZ11" s="141">
        <v>0</v>
      </c>
      <c r="CA11" s="141">
        <v>1</v>
      </c>
      <c r="CB11" s="141">
        <v>1</v>
      </c>
      <c r="CC11" s="141">
        <v>0</v>
      </c>
      <c r="CD11" s="141">
        <v>1</v>
      </c>
      <c r="CE11" s="141">
        <v>5</v>
      </c>
      <c r="CF11" s="141">
        <v>3</v>
      </c>
      <c r="CG11" s="141">
        <v>2</v>
      </c>
      <c r="CH11" s="141">
        <v>3</v>
      </c>
      <c r="CI11" s="141">
        <v>2</v>
      </c>
      <c r="CJ11" s="141">
        <v>1</v>
      </c>
      <c r="CK11" s="141">
        <v>10</v>
      </c>
      <c r="CL11" s="141">
        <v>3</v>
      </c>
      <c r="CM11" s="141">
        <v>7</v>
      </c>
      <c r="CN11" s="141">
        <v>8</v>
      </c>
      <c r="CO11" s="141">
        <v>3</v>
      </c>
      <c r="CP11" s="141">
        <v>5</v>
      </c>
      <c r="CQ11" s="141">
        <v>6</v>
      </c>
      <c r="CR11" s="141">
        <v>4</v>
      </c>
      <c r="CS11" s="141">
        <v>2</v>
      </c>
    </row>
    <row r="12" spans="1:97" s="178" customFormat="1" ht="20.45" customHeight="1">
      <c r="A12" s="170" t="s">
        <v>367</v>
      </c>
      <c r="B12" s="139">
        <v>44921</v>
      </c>
      <c r="C12" s="139">
        <v>18588</v>
      </c>
      <c r="D12" s="139">
        <v>26333</v>
      </c>
      <c r="E12" s="141">
        <v>8220</v>
      </c>
      <c r="F12" s="141">
        <v>2939</v>
      </c>
      <c r="G12" s="141">
        <v>5281</v>
      </c>
      <c r="H12" s="141">
        <v>8536</v>
      </c>
      <c r="I12" s="141">
        <v>3127</v>
      </c>
      <c r="J12" s="141">
        <v>5409</v>
      </c>
      <c r="K12" s="141">
        <v>8097</v>
      </c>
      <c r="L12" s="141">
        <v>3382</v>
      </c>
      <c r="M12" s="141">
        <v>4715</v>
      </c>
      <c r="N12" s="141">
        <v>7331</v>
      </c>
      <c r="O12" s="141">
        <v>3285</v>
      </c>
      <c r="P12" s="141">
        <v>4046</v>
      </c>
      <c r="Q12" s="141">
        <v>4283</v>
      </c>
      <c r="R12" s="141">
        <v>1900</v>
      </c>
      <c r="S12" s="141">
        <v>2383</v>
      </c>
      <c r="T12" s="141">
        <v>4134</v>
      </c>
      <c r="U12" s="141">
        <v>1884</v>
      </c>
      <c r="V12" s="141">
        <v>2250</v>
      </c>
      <c r="W12" s="141">
        <v>4320</v>
      </c>
      <c r="X12" s="141">
        <v>2071</v>
      </c>
      <c r="Y12" s="151">
        <v>2249</v>
      </c>
      <c r="Z12" s="139">
        <v>41304</v>
      </c>
      <c r="AA12" s="139">
        <v>17312</v>
      </c>
      <c r="AB12" s="139">
        <v>23992</v>
      </c>
      <c r="AC12" s="141">
        <v>7682</v>
      </c>
      <c r="AD12" s="141">
        <v>2788</v>
      </c>
      <c r="AE12" s="141">
        <v>4894</v>
      </c>
      <c r="AF12" s="141">
        <v>7828</v>
      </c>
      <c r="AG12" s="141">
        <v>2935</v>
      </c>
      <c r="AH12" s="141">
        <v>4893</v>
      </c>
      <c r="AI12" s="141">
        <v>7309</v>
      </c>
      <c r="AJ12" s="141">
        <v>3097</v>
      </c>
      <c r="AK12" s="141">
        <v>4212</v>
      </c>
      <c r="AL12" s="141">
        <v>6621</v>
      </c>
      <c r="AM12" s="141">
        <v>2979</v>
      </c>
      <c r="AN12" s="141">
        <v>3642</v>
      </c>
      <c r="AO12" s="141">
        <v>3711</v>
      </c>
      <c r="AP12" s="141">
        <v>1691</v>
      </c>
      <c r="AQ12" s="141">
        <v>2020</v>
      </c>
      <c r="AR12" s="141">
        <v>3931</v>
      </c>
      <c r="AS12" s="141">
        <v>1791</v>
      </c>
      <c r="AT12" s="141">
        <v>2140</v>
      </c>
      <c r="AU12" s="141">
        <v>4222</v>
      </c>
      <c r="AV12" s="141">
        <v>2031</v>
      </c>
      <c r="AW12" s="151">
        <v>2191</v>
      </c>
      <c r="AX12" s="149">
        <v>5507</v>
      </c>
      <c r="AY12" s="139">
        <v>1981</v>
      </c>
      <c r="AZ12" s="139">
        <v>3526</v>
      </c>
      <c r="BA12" s="140">
        <v>732</v>
      </c>
      <c r="BB12" s="141">
        <v>211</v>
      </c>
      <c r="BC12" s="141">
        <v>521</v>
      </c>
      <c r="BD12" s="141">
        <v>1050</v>
      </c>
      <c r="BE12" s="141">
        <v>281</v>
      </c>
      <c r="BF12" s="141">
        <v>769</v>
      </c>
      <c r="BG12" s="141">
        <v>1148</v>
      </c>
      <c r="BH12" s="141">
        <v>414</v>
      </c>
      <c r="BI12" s="141">
        <v>734</v>
      </c>
      <c r="BJ12" s="141">
        <v>1099</v>
      </c>
      <c r="BK12" s="141">
        <v>470</v>
      </c>
      <c r="BL12" s="141">
        <v>629</v>
      </c>
      <c r="BM12" s="141">
        <v>888</v>
      </c>
      <c r="BN12" s="141">
        <v>358</v>
      </c>
      <c r="BO12" s="141">
        <v>530</v>
      </c>
      <c r="BP12" s="141">
        <v>392</v>
      </c>
      <c r="BQ12" s="141">
        <v>162</v>
      </c>
      <c r="BR12" s="141">
        <v>230</v>
      </c>
      <c r="BS12" s="141">
        <v>198</v>
      </c>
      <c r="BT12" s="141">
        <v>85</v>
      </c>
      <c r="BU12" s="151">
        <v>113</v>
      </c>
      <c r="BV12" s="149">
        <v>136</v>
      </c>
      <c r="BW12" s="139">
        <v>74</v>
      </c>
      <c r="BX12" s="139">
        <v>62</v>
      </c>
      <c r="BY12" s="140">
        <v>4</v>
      </c>
      <c r="BZ12" s="141">
        <v>2</v>
      </c>
      <c r="CA12" s="141">
        <v>2</v>
      </c>
      <c r="CB12" s="141">
        <v>7</v>
      </c>
      <c r="CC12" s="141">
        <v>3</v>
      </c>
      <c r="CD12" s="141">
        <v>4</v>
      </c>
      <c r="CE12" s="141">
        <v>21</v>
      </c>
      <c r="CF12" s="141">
        <v>12</v>
      </c>
      <c r="CG12" s="141">
        <v>9</v>
      </c>
      <c r="CH12" s="141">
        <v>28</v>
      </c>
      <c r="CI12" s="141">
        <v>15</v>
      </c>
      <c r="CJ12" s="141">
        <v>13</v>
      </c>
      <c r="CK12" s="141">
        <v>32</v>
      </c>
      <c r="CL12" s="141">
        <v>14</v>
      </c>
      <c r="CM12" s="141">
        <v>18</v>
      </c>
      <c r="CN12" s="141">
        <v>28</v>
      </c>
      <c r="CO12" s="141">
        <v>20</v>
      </c>
      <c r="CP12" s="141">
        <v>8</v>
      </c>
      <c r="CQ12" s="141">
        <v>16</v>
      </c>
      <c r="CR12" s="141">
        <v>8</v>
      </c>
      <c r="CS12" s="141">
        <v>8</v>
      </c>
    </row>
    <row r="13" spans="1:97" s="178" customFormat="1" ht="20.45" customHeight="1">
      <c r="A13" s="170" t="s">
        <v>341</v>
      </c>
      <c r="B13" s="139">
        <v>36960</v>
      </c>
      <c r="C13" s="139">
        <v>14901</v>
      </c>
      <c r="D13" s="139">
        <v>22059</v>
      </c>
      <c r="E13" s="141">
        <v>5572</v>
      </c>
      <c r="F13" s="141">
        <v>2087</v>
      </c>
      <c r="G13" s="141">
        <v>3485</v>
      </c>
      <c r="H13" s="141">
        <v>6534</v>
      </c>
      <c r="I13" s="141">
        <v>2413</v>
      </c>
      <c r="J13" s="141">
        <v>4121</v>
      </c>
      <c r="K13" s="141">
        <v>7654</v>
      </c>
      <c r="L13" s="141">
        <v>2866</v>
      </c>
      <c r="M13" s="141">
        <v>4788</v>
      </c>
      <c r="N13" s="141">
        <v>5978</v>
      </c>
      <c r="O13" s="141">
        <v>2612</v>
      </c>
      <c r="P13" s="141">
        <v>3366</v>
      </c>
      <c r="Q13" s="141">
        <v>3485</v>
      </c>
      <c r="R13" s="141">
        <v>1490</v>
      </c>
      <c r="S13" s="141">
        <v>1995</v>
      </c>
      <c r="T13" s="141">
        <v>3916</v>
      </c>
      <c r="U13" s="141">
        <v>1710</v>
      </c>
      <c r="V13" s="141">
        <v>2206</v>
      </c>
      <c r="W13" s="141">
        <v>3821</v>
      </c>
      <c r="X13" s="141">
        <v>1723</v>
      </c>
      <c r="Y13" s="151">
        <v>2098</v>
      </c>
      <c r="Z13" s="139">
        <v>33754</v>
      </c>
      <c r="AA13" s="139">
        <v>13773</v>
      </c>
      <c r="AB13" s="139">
        <v>19981</v>
      </c>
      <c r="AC13" s="141">
        <v>5268</v>
      </c>
      <c r="AD13" s="141">
        <v>2004</v>
      </c>
      <c r="AE13" s="141">
        <v>3264</v>
      </c>
      <c r="AF13" s="141">
        <v>5993</v>
      </c>
      <c r="AG13" s="141">
        <v>2260</v>
      </c>
      <c r="AH13" s="141">
        <v>3733</v>
      </c>
      <c r="AI13" s="141">
        <v>6955</v>
      </c>
      <c r="AJ13" s="141">
        <v>2634</v>
      </c>
      <c r="AK13" s="141">
        <v>4321</v>
      </c>
      <c r="AL13" s="141">
        <v>5333</v>
      </c>
      <c r="AM13" s="141">
        <v>2354</v>
      </c>
      <c r="AN13" s="141">
        <v>2979</v>
      </c>
      <c r="AO13" s="141">
        <v>2865</v>
      </c>
      <c r="AP13" s="141">
        <v>1238</v>
      </c>
      <c r="AQ13" s="141">
        <v>1627</v>
      </c>
      <c r="AR13" s="141">
        <v>3656</v>
      </c>
      <c r="AS13" s="141">
        <v>1610</v>
      </c>
      <c r="AT13" s="141">
        <v>2046</v>
      </c>
      <c r="AU13" s="141">
        <v>3684</v>
      </c>
      <c r="AV13" s="141">
        <v>1673</v>
      </c>
      <c r="AW13" s="151">
        <v>2011</v>
      </c>
      <c r="AX13" s="149">
        <v>4930</v>
      </c>
      <c r="AY13" s="139">
        <v>1798</v>
      </c>
      <c r="AZ13" s="139">
        <v>3132</v>
      </c>
      <c r="BA13" s="140">
        <v>409</v>
      </c>
      <c r="BB13" s="141">
        <v>121</v>
      </c>
      <c r="BC13" s="141">
        <v>288</v>
      </c>
      <c r="BD13" s="141">
        <v>779</v>
      </c>
      <c r="BE13" s="141">
        <v>221</v>
      </c>
      <c r="BF13" s="141">
        <v>558</v>
      </c>
      <c r="BG13" s="141">
        <v>1058</v>
      </c>
      <c r="BH13" s="141">
        <v>368</v>
      </c>
      <c r="BI13" s="141">
        <v>690</v>
      </c>
      <c r="BJ13" s="141">
        <v>999</v>
      </c>
      <c r="BK13" s="141">
        <v>400</v>
      </c>
      <c r="BL13" s="141">
        <v>599</v>
      </c>
      <c r="BM13" s="141">
        <v>921</v>
      </c>
      <c r="BN13" s="141">
        <v>383</v>
      </c>
      <c r="BO13" s="141">
        <v>538</v>
      </c>
      <c r="BP13" s="141">
        <v>499</v>
      </c>
      <c r="BQ13" s="141">
        <v>182</v>
      </c>
      <c r="BR13" s="141">
        <v>317</v>
      </c>
      <c r="BS13" s="141">
        <v>265</v>
      </c>
      <c r="BT13" s="141">
        <v>123</v>
      </c>
      <c r="BU13" s="151">
        <v>142</v>
      </c>
      <c r="BV13" s="149">
        <v>116</v>
      </c>
      <c r="BW13" s="139">
        <v>36</v>
      </c>
      <c r="BX13" s="139">
        <v>80</v>
      </c>
      <c r="BY13" s="140">
        <v>0</v>
      </c>
      <c r="BZ13" s="141">
        <v>0</v>
      </c>
      <c r="CA13" s="141">
        <v>0</v>
      </c>
      <c r="CB13" s="141">
        <v>2</v>
      </c>
      <c r="CC13" s="141">
        <v>1</v>
      </c>
      <c r="CD13" s="141">
        <v>1</v>
      </c>
      <c r="CE13" s="141">
        <v>3</v>
      </c>
      <c r="CF13" s="141">
        <v>3</v>
      </c>
      <c r="CG13" s="141">
        <v>0</v>
      </c>
      <c r="CH13" s="141">
        <v>14</v>
      </c>
      <c r="CI13" s="141">
        <v>7</v>
      </c>
      <c r="CJ13" s="141">
        <v>7</v>
      </c>
      <c r="CK13" s="141">
        <v>31</v>
      </c>
      <c r="CL13" s="141">
        <v>5</v>
      </c>
      <c r="CM13" s="141">
        <v>26</v>
      </c>
      <c r="CN13" s="141">
        <v>29</v>
      </c>
      <c r="CO13" s="141">
        <v>9</v>
      </c>
      <c r="CP13" s="141">
        <v>20</v>
      </c>
      <c r="CQ13" s="141">
        <v>37</v>
      </c>
      <c r="CR13" s="141">
        <v>11</v>
      </c>
      <c r="CS13" s="141">
        <v>26</v>
      </c>
    </row>
    <row r="14" spans="1:97" s="178" customFormat="1" ht="20.45" customHeight="1">
      <c r="A14" s="170" t="s">
        <v>368</v>
      </c>
      <c r="B14" s="139">
        <v>49014</v>
      </c>
      <c r="C14" s="139">
        <v>20023</v>
      </c>
      <c r="D14" s="139">
        <v>28991</v>
      </c>
      <c r="E14" s="141">
        <v>11592</v>
      </c>
      <c r="F14" s="141">
        <v>4196</v>
      </c>
      <c r="G14" s="141">
        <v>7396</v>
      </c>
      <c r="H14" s="141">
        <v>11476</v>
      </c>
      <c r="I14" s="141">
        <v>4315</v>
      </c>
      <c r="J14" s="141">
        <v>7161</v>
      </c>
      <c r="K14" s="141">
        <v>10347</v>
      </c>
      <c r="L14" s="141">
        <v>4350</v>
      </c>
      <c r="M14" s="141">
        <v>5997</v>
      </c>
      <c r="N14" s="141">
        <v>5600</v>
      </c>
      <c r="O14" s="141">
        <v>2580</v>
      </c>
      <c r="P14" s="141">
        <v>3020</v>
      </c>
      <c r="Q14" s="141">
        <v>2926</v>
      </c>
      <c r="R14" s="141">
        <v>1355</v>
      </c>
      <c r="S14" s="141">
        <v>1571</v>
      </c>
      <c r="T14" s="141">
        <v>3205</v>
      </c>
      <c r="U14" s="141">
        <v>1464</v>
      </c>
      <c r="V14" s="141">
        <v>1741</v>
      </c>
      <c r="W14" s="141">
        <v>3868</v>
      </c>
      <c r="X14" s="141">
        <v>1763</v>
      </c>
      <c r="Y14" s="151">
        <v>2105</v>
      </c>
      <c r="Z14" s="139">
        <v>45784</v>
      </c>
      <c r="AA14" s="139">
        <v>18845</v>
      </c>
      <c r="AB14" s="139">
        <v>26939</v>
      </c>
      <c r="AC14" s="141">
        <v>11061</v>
      </c>
      <c r="AD14" s="141">
        <v>4027</v>
      </c>
      <c r="AE14" s="141">
        <v>7034</v>
      </c>
      <c r="AF14" s="141">
        <v>10637</v>
      </c>
      <c r="AG14" s="141">
        <v>4039</v>
      </c>
      <c r="AH14" s="141">
        <v>6598</v>
      </c>
      <c r="AI14" s="141">
        <v>9527</v>
      </c>
      <c r="AJ14" s="141">
        <v>4038</v>
      </c>
      <c r="AK14" s="141">
        <v>5489</v>
      </c>
      <c r="AL14" s="141">
        <v>5132</v>
      </c>
      <c r="AM14" s="141">
        <v>2400</v>
      </c>
      <c r="AN14" s="141">
        <v>2732</v>
      </c>
      <c r="AO14" s="141">
        <v>2564</v>
      </c>
      <c r="AP14" s="141">
        <v>1198</v>
      </c>
      <c r="AQ14" s="141">
        <v>1366</v>
      </c>
      <c r="AR14" s="141">
        <v>3075</v>
      </c>
      <c r="AS14" s="141">
        <v>1411</v>
      </c>
      <c r="AT14" s="141">
        <v>1664</v>
      </c>
      <c r="AU14" s="141">
        <v>3788</v>
      </c>
      <c r="AV14" s="141">
        <v>1732</v>
      </c>
      <c r="AW14" s="151">
        <v>2056</v>
      </c>
      <c r="AX14" s="149">
        <v>5178</v>
      </c>
      <c r="AY14" s="139">
        <v>2006</v>
      </c>
      <c r="AZ14" s="139">
        <v>3172</v>
      </c>
      <c r="BA14" s="140">
        <v>746</v>
      </c>
      <c r="BB14" s="141">
        <v>252</v>
      </c>
      <c r="BC14" s="141">
        <v>494</v>
      </c>
      <c r="BD14" s="141">
        <v>1270</v>
      </c>
      <c r="BE14" s="141">
        <v>447</v>
      </c>
      <c r="BF14" s="141">
        <v>823</v>
      </c>
      <c r="BG14" s="141">
        <v>1321</v>
      </c>
      <c r="BH14" s="141">
        <v>515</v>
      </c>
      <c r="BI14" s="141">
        <v>806</v>
      </c>
      <c r="BJ14" s="141">
        <v>784</v>
      </c>
      <c r="BK14" s="141">
        <v>322</v>
      </c>
      <c r="BL14" s="141">
        <v>462</v>
      </c>
      <c r="BM14" s="141">
        <v>590</v>
      </c>
      <c r="BN14" s="141">
        <v>281</v>
      </c>
      <c r="BO14" s="141">
        <v>309</v>
      </c>
      <c r="BP14" s="141">
        <v>305</v>
      </c>
      <c r="BQ14" s="141">
        <v>115</v>
      </c>
      <c r="BR14" s="141">
        <v>190</v>
      </c>
      <c r="BS14" s="141">
        <v>162</v>
      </c>
      <c r="BT14" s="141">
        <v>74</v>
      </c>
      <c r="BU14" s="151">
        <v>88</v>
      </c>
      <c r="BV14" s="149">
        <v>166</v>
      </c>
      <c r="BW14" s="139">
        <v>68</v>
      </c>
      <c r="BX14" s="139">
        <v>98</v>
      </c>
      <c r="BY14" s="140">
        <v>7</v>
      </c>
      <c r="BZ14" s="141">
        <v>4</v>
      </c>
      <c r="CA14" s="141">
        <v>3</v>
      </c>
      <c r="CB14" s="141">
        <v>16</v>
      </c>
      <c r="CC14" s="141">
        <v>6</v>
      </c>
      <c r="CD14" s="141">
        <v>10</v>
      </c>
      <c r="CE14" s="141">
        <v>27</v>
      </c>
      <c r="CF14" s="141">
        <v>11</v>
      </c>
      <c r="CG14" s="141">
        <v>16</v>
      </c>
      <c r="CH14" s="141">
        <v>24</v>
      </c>
      <c r="CI14" s="141">
        <v>7</v>
      </c>
      <c r="CJ14" s="141">
        <v>17</v>
      </c>
      <c r="CK14" s="141">
        <v>24</v>
      </c>
      <c r="CL14" s="141">
        <v>8</v>
      </c>
      <c r="CM14" s="141">
        <v>16</v>
      </c>
      <c r="CN14" s="141">
        <v>29</v>
      </c>
      <c r="CO14" s="141">
        <v>17</v>
      </c>
      <c r="CP14" s="141">
        <v>12</v>
      </c>
      <c r="CQ14" s="141">
        <v>39</v>
      </c>
      <c r="CR14" s="141">
        <v>15</v>
      </c>
      <c r="CS14" s="141">
        <v>24</v>
      </c>
    </row>
    <row r="15" spans="1:97" s="178" customFormat="1" ht="20.45" customHeight="1">
      <c r="A15" s="170" t="s">
        <v>342</v>
      </c>
      <c r="B15" s="139">
        <v>6163</v>
      </c>
      <c r="C15" s="139">
        <v>2549</v>
      </c>
      <c r="D15" s="139">
        <v>3614</v>
      </c>
      <c r="E15" s="141">
        <v>995</v>
      </c>
      <c r="F15" s="141">
        <v>350</v>
      </c>
      <c r="G15" s="141">
        <v>645</v>
      </c>
      <c r="H15" s="141">
        <v>1106</v>
      </c>
      <c r="I15" s="141">
        <v>359</v>
      </c>
      <c r="J15" s="141">
        <v>747</v>
      </c>
      <c r="K15" s="141">
        <v>1259</v>
      </c>
      <c r="L15" s="141">
        <v>506</v>
      </c>
      <c r="M15" s="141">
        <v>753</v>
      </c>
      <c r="N15" s="141">
        <v>973</v>
      </c>
      <c r="O15" s="141">
        <v>443</v>
      </c>
      <c r="P15" s="141">
        <v>530</v>
      </c>
      <c r="Q15" s="141">
        <v>618</v>
      </c>
      <c r="R15" s="141">
        <v>309</v>
      </c>
      <c r="S15" s="141">
        <v>309</v>
      </c>
      <c r="T15" s="141">
        <v>562</v>
      </c>
      <c r="U15" s="141">
        <v>270</v>
      </c>
      <c r="V15" s="141">
        <v>292</v>
      </c>
      <c r="W15" s="141">
        <v>650</v>
      </c>
      <c r="X15" s="141">
        <v>312</v>
      </c>
      <c r="Y15" s="151">
        <v>338</v>
      </c>
      <c r="Z15" s="139">
        <v>5133</v>
      </c>
      <c r="AA15" s="139">
        <v>2178</v>
      </c>
      <c r="AB15" s="139">
        <v>2955</v>
      </c>
      <c r="AC15" s="141">
        <v>907</v>
      </c>
      <c r="AD15" s="141">
        <v>332</v>
      </c>
      <c r="AE15" s="141">
        <v>575</v>
      </c>
      <c r="AF15" s="141">
        <v>915</v>
      </c>
      <c r="AG15" s="141">
        <v>313</v>
      </c>
      <c r="AH15" s="141">
        <v>602</v>
      </c>
      <c r="AI15" s="141">
        <v>1044</v>
      </c>
      <c r="AJ15" s="141">
        <v>439</v>
      </c>
      <c r="AK15" s="141">
        <v>605</v>
      </c>
      <c r="AL15" s="141">
        <v>752</v>
      </c>
      <c r="AM15" s="141">
        <v>353</v>
      </c>
      <c r="AN15" s="141">
        <v>399</v>
      </c>
      <c r="AO15" s="141">
        <v>409</v>
      </c>
      <c r="AP15" s="141">
        <v>207</v>
      </c>
      <c r="AQ15" s="141">
        <v>202</v>
      </c>
      <c r="AR15" s="141">
        <v>483</v>
      </c>
      <c r="AS15" s="141">
        <v>238</v>
      </c>
      <c r="AT15" s="141">
        <v>245</v>
      </c>
      <c r="AU15" s="141">
        <v>623</v>
      </c>
      <c r="AV15" s="141">
        <v>296</v>
      </c>
      <c r="AW15" s="151">
        <v>327</v>
      </c>
      <c r="AX15" s="149">
        <v>1280</v>
      </c>
      <c r="AY15" s="139">
        <v>474</v>
      </c>
      <c r="AZ15" s="139">
        <v>806</v>
      </c>
      <c r="BA15" s="140">
        <v>105</v>
      </c>
      <c r="BB15" s="141">
        <v>25</v>
      </c>
      <c r="BC15" s="141">
        <v>80</v>
      </c>
      <c r="BD15" s="141">
        <v>220</v>
      </c>
      <c r="BE15" s="141">
        <v>53</v>
      </c>
      <c r="BF15" s="141">
        <v>167</v>
      </c>
      <c r="BG15" s="141">
        <v>268</v>
      </c>
      <c r="BH15" s="141">
        <v>87</v>
      </c>
      <c r="BI15" s="141">
        <v>181</v>
      </c>
      <c r="BJ15" s="141">
        <v>279</v>
      </c>
      <c r="BK15" s="141">
        <v>116</v>
      </c>
      <c r="BL15" s="141">
        <v>163</v>
      </c>
      <c r="BM15" s="141">
        <v>260</v>
      </c>
      <c r="BN15" s="141">
        <v>126</v>
      </c>
      <c r="BO15" s="141">
        <v>134</v>
      </c>
      <c r="BP15" s="141">
        <v>107</v>
      </c>
      <c r="BQ15" s="141">
        <v>43</v>
      </c>
      <c r="BR15" s="141">
        <v>64</v>
      </c>
      <c r="BS15" s="141">
        <v>41</v>
      </c>
      <c r="BT15" s="141">
        <v>24</v>
      </c>
      <c r="BU15" s="151">
        <v>17</v>
      </c>
      <c r="BV15" s="149">
        <v>24</v>
      </c>
      <c r="BW15" s="139">
        <v>17</v>
      </c>
      <c r="BX15" s="139">
        <v>7</v>
      </c>
      <c r="BY15" s="140">
        <v>1</v>
      </c>
      <c r="BZ15" s="141">
        <v>0</v>
      </c>
      <c r="CA15" s="141">
        <v>1</v>
      </c>
      <c r="CB15" s="141">
        <v>0</v>
      </c>
      <c r="CC15" s="141">
        <v>0</v>
      </c>
      <c r="CD15" s="141">
        <v>0</v>
      </c>
      <c r="CE15" s="141">
        <v>2</v>
      </c>
      <c r="CF15" s="141">
        <v>1</v>
      </c>
      <c r="CG15" s="141">
        <v>1</v>
      </c>
      <c r="CH15" s="141">
        <v>5</v>
      </c>
      <c r="CI15" s="141">
        <v>3</v>
      </c>
      <c r="CJ15" s="141">
        <v>2</v>
      </c>
      <c r="CK15" s="141">
        <v>4</v>
      </c>
      <c r="CL15" s="141">
        <v>4</v>
      </c>
      <c r="CM15" s="141">
        <v>0</v>
      </c>
      <c r="CN15" s="141">
        <v>10</v>
      </c>
      <c r="CO15" s="141">
        <v>9</v>
      </c>
      <c r="CP15" s="141">
        <v>1</v>
      </c>
      <c r="CQ15" s="141">
        <v>2</v>
      </c>
      <c r="CR15" s="141">
        <v>0</v>
      </c>
      <c r="CS15" s="141">
        <v>2</v>
      </c>
    </row>
    <row r="16" spans="1:97" s="178" customFormat="1" ht="20.45" customHeight="1">
      <c r="A16" s="170" t="s">
        <v>343</v>
      </c>
      <c r="B16" s="139">
        <v>5913</v>
      </c>
      <c r="C16" s="139">
        <v>2647</v>
      </c>
      <c r="D16" s="139">
        <v>3266</v>
      </c>
      <c r="E16" s="141">
        <v>464</v>
      </c>
      <c r="F16" s="141">
        <v>185</v>
      </c>
      <c r="G16" s="141">
        <v>279</v>
      </c>
      <c r="H16" s="141">
        <v>854</v>
      </c>
      <c r="I16" s="141">
        <v>323</v>
      </c>
      <c r="J16" s="141">
        <v>531</v>
      </c>
      <c r="K16" s="141">
        <v>1252</v>
      </c>
      <c r="L16" s="141">
        <v>531</v>
      </c>
      <c r="M16" s="141">
        <v>721</v>
      </c>
      <c r="N16" s="141">
        <v>1071</v>
      </c>
      <c r="O16" s="141">
        <v>516</v>
      </c>
      <c r="P16" s="141">
        <v>555</v>
      </c>
      <c r="Q16" s="141">
        <v>888</v>
      </c>
      <c r="R16" s="141">
        <v>420</v>
      </c>
      <c r="S16" s="141">
        <v>468</v>
      </c>
      <c r="T16" s="141">
        <v>743</v>
      </c>
      <c r="U16" s="141">
        <v>358</v>
      </c>
      <c r="V16" s="141">
        <v>385</v>
      </c>
      <c r="W16" s="141">
        <v>641</v>
      </c>
      <c r="X16" s="141">
        <v>314</v>
      </c>
      <c r="Y16" s="151">
        <v>327</v>
      </c>
      <c r="Z16" s="139">
        <v>5410</v>
      </c>
      <c r="AA16" s="139">
        <v>2461</v>
      </c>
      <c r="AB16" s="139">
        <v>2949</v>
      </c>
      <c r="AC16" s="141">
        <v>436</v>
      </c>
      <c r="AD16" s="141">
        <v>176</v>
      </c>
      <c r="AE16" s="141">
        <v>260</v>
      </c>
      <c r="AF16" s="141">
        <v>784</v>
      </c>
      <c r="AG16" s="141">
        <v>298</v>
      </c>
      <c r="AH16" s="141">
        <v>486</v>
      </c>
      <c r="AI16" s="141">
        <v>1143</v>
      </c>
      <c r="AJ16" s="141">
        <v>498</v>
      </c>
      <c r="AK16" s="141">
        <v>645</v>
      </c>
      <c r="AL16" s="141">
        <v>947</v>
      </c>
      <c r="AM16" s="141">
        <v>468</v>
      </c>
      <c r="AN16" s="141">
        <v>479</v>
      </c>
      <c r="AO16" s="141">
        <v>757</v>
      </c>
      <c r="AP16" s="141">
        <v>360</v>
      </c>
      <c r="AQ16" s="141">
        <v>397</v>
      </c>
      <c r="AR16" s="141">
        <v>711</v>
      </c>
      <c r="AS16" s="141">
        <v>351</v>
      </c>
      <c r="AT16" s="141">
        <v>360</v>
      </c>
      <c r="AU16" s="141">
        <v>632</v>
      </c>
      <c r="AV16" s="141">
        <v>310</v>
      </c>
      <c r="AW16" s="151">
        <v>322</v>
      </c>
      <c r="AX16" s="149">
        <v>693</v>
      </c>
      <c r="AY16" s="139">
        <v>280</v>
      </c>
      <c r="AZ16" s="139">
        <v>413</v>
      </c>
      <c r="BA16" s="140">
        <v>35</v>
      </c>
      <c r="BB16" s="141">
        <v>11</v>
      </c>
      <c r="BC16" s="141">
        <v>24</v>
      </c>
      <c r="BD16" s="141">
        <v>89</v>
      </c>
      <c r="BE16" s="141">
        <v>32</v>
      </c>
      <c r="BF16" s="141">
        <v>57</v>
      </c>
      <c r="BG16" s="141">
        <v>148</v>
      </c>
      <c r="BH16" s="141">
        <v>52</v>
      </c>
      <c r="BI16" s="141">
        <v>96</v>
      </c>
      <c r="BJ16" s="141">
        <v>164</v>
      </c>
      <c r="BK16" s="141">
        <v>65</v>
      </c>
      <c r="BL16" s="141">
        <v>99</v>
      </c>
      <c r="BM16" s="141">
        <v>186</v>
      </c>
      <c r="BN16" s="141">
        <v>91</v>
      </c>
      <c r="BO16" s="141">
        <v>95</v>
      </c>
      <c r="BP16" s="141">
        <v>49</v>
      </c>
      <c r="BQ16" s="141">
        <v>18</v>
      </c>
      <c r="BR16" s="141">
        <v>31</v>
      </c>
      <c r="BS16" s="141">
        <v>22</v>
      </c>
      <c r="BT16" s="141">
        <v>11</v>
      </c>
      <c r="BU16" s="151">
        <v>11</v>
      </c>
      <c r="BV16" s="149">
        <v>24</v>
      </c>
      <c r="BW16" s="139">
        <v>9</v>
      </c>
      <c r="BX16" s="139">
        <v>15</v>
      </c>
      <c r="BY16" s="140">
        <v>1</v>
      </c>
      <c r="BZ16" s="141">
        <v>0</v>
      </c>
      <c r="CA16" s="141">
        <v>1</v>
      </c>
      <c r="CB16" s="141">
        <v>0</v>
      </c>
      <c r="CC16" s="141">
        <v>0</v>
      </c>
      <c r="CD16" s="141">
        <v>0</v>
      </c>
      <c r="CE16" s="141">
        <v>2</v>
      </c>
      <c r="CF16" s="141">
        <v>1</v>
      </c>
      <c r="CG16" s="141">
        <v>1</v>
      </c>
      <c r="CH16" s="141">
        <v>3</v>
      </c>
      <c r="CI16" s="141">
        <v>1</v>
      </c>
      <c r="CJ16" s="141">
        <v>2</v>
      </c>
      <c r="CK16" s="141">
        <v>8</v>
      </c>
      <c r="CL16" s="141">
        <v>2</v>
      </c>
      <c r="CM16" s="141">
        <v>6</v>
      </c>
      <c r="CN16" s="141">
        <v>5</v>
      </c>
      <c r="CO16" s="141">
        <v>3</v>
      </c>
      <c r="CP16" s="141">
        <v>2</v>
      </c>
      <c r="CQ16" s="141">
        <v>5</v>
      </c>
      <c r="CR16" s="141">
        <v>2</v>
      </c>
      <c r="CS16" s="141">
        <v>3</v>
      </c>
    </row>
    <row r="17" spans="1:97" s="178" customFormat="1" ht="20.45" customHeight="1">
      <c r="A17" s="170" t="s">
        <v>344</v>
      </c>
      <c r="B17" s="139">
        <v>8222</v>
      </c>
      <c r="C17" s="139">
        <v>3581</v>
      </c>
      <c r="D17" s="139">
        <v>4641</v>
      </c>
      <c r="E17" s="141">
        <v>1133</v>
      </c>
      <c r="F17" s="141">
        <v>452</v>
      </c>
      <c r="G17" s="141">
        <v>681</v>
      </c>
      <c r="H17" s="141">
        <v>1598</v>
      </c>
      <c r="I17" s="141">
        <v>597</v>
      </c>
      <c r="J17" s="141">
        <v>1001</v>
      </c>
      <c r="K17" s="141">
        <v>1635</v>
      </c>
      <c r="L17" s="141">
        <v>701</v>
      </c>
      <c r="M17" s="141">
        <v>934</v>
      </c>
      <c r="N17" s="141">
        <v>1494</v>
      </c>
      <c r="O17" s="141">
        <v>685</v>
      </c>
      <c r="P17" s="141">
        <v>809</v>
      </c>
      <c r="Q17" s="141">
        <v>903</v>
      </c>
      <c r="R17" s="141">
        <v>443</v>
      </c>
      <c r="S17" s="141">
        <v>460</v>
      </c>
      <c r="T17" s="141">
        <v>686</v>
      </c>
      <c r="U17" s="141">
        <v>344</v>
      </c>
      <c r="V17" s="141">
        <v>342</v>
      </c>
      <c r="W17" s="141">
        <v>773</v>
      </c>
      <c r="X17" s="141">
        <v>359</v>
      </c>
      <c r="Y17" s="151">
        <v>414</v>
      </c>
      <c r="Z17" s="139">
        <v>7814</v>
      </c>
      <c r="AA17" s="139">
        <v>3433</v>
      </c>
      <c r="AB17" s="139">
        <v>4381</v>
      </c>
      <c r="AC17" s="141">
        <v>1102</v>
      </c>
      <c r="AD17" s="141">
        <v>445</v>
      </c>
      <c r="AE17" s="141">
        <v>657</v>
      </c>
      <c r="AF17" s="141">
        <v>1530</v>
      </c>
      <c r="AG17" s="141">
        <v>575</v>
      </c>
      <c r="AH17" s="141">
        <v>955</v>
      </c>
      <c r="AI17" s="141">
        <v>1540</v>
      </c>
      <c r="AJ17" s="141">
        <v>665</v>
      </c>
      <c r="AK17" s="141">
        <v>875</v>
      </c>
      <c r="AL17" s="141">
        <v>1386</v>
      </c>
      <c r="AM17" s="141">
        <v>642</v>
      </c>
      <c r="AN17" s="141">
        <v>744</v>
      </c>
      <c r="AO17" s="141">
        <v>817</v>
      </c>
      <c r="AP17" s="141">
        <v>411</v>
      </c>
      <c r="AQ17" s="141">
        <v>406</v>
      </c>
      <c r="AR17" s="141">
        <v>672</v>
      </c>
      <c r="AS17" s="141">
        <v>339</v>
      </c>
      <c r="AT17" s="141">
        <v>333</v>
      </c>
      <c r="AU17" s="141">
        <v>767</v>
      </c>
      <c r="AV17" s="141">
        <v>356</v>
      </c>
      <c r="AW17" s="151">
        <v>411</v>
      </c>
      <c r="AX17" s="149">
        <v>539</v>
      </c>
      <c r="AY17" s="139">
        <v>209</v>
      </c>
      <c r="AZ17" s="139">
        <v>330</v>
      </c>
      <c r="BA17" s="140">
        <v>40</v>
      </c>
      <c r="BB17" s="141">
        <v>11</v>
      </c>
      <c r="BC17" s="141">
        <v>29</v>
      </c>
      <c r="BD17" s="141">
        <v>86</v>
      </c>
      <c r="BE17" s="141">
        <v>28</v>
      </c>
      <c r="BF17" s="141">
        <v>58</v>
      </c>
      <c r="BG17" s="141">
        <v>127</v>
      </c>
      <c r="BH17" s="141">
        <v>46</v>
      </c>
      <c r="BI17" s="141">
        <v>81</v>
      </c>
      <c r="BJ17" s="141">
        <v>138</v>
      </c>
      <c r="BK17" s="141">
        <v>63</v>
      </c>
      <c r="BL17" s="141">
        <v>75</v>
      </c>
      <c r="BM17" s="141">
        <v>111</v>
      </c>
      <c r="BN17" s="141">
        <v>46</v>
      </c>
      <c r="BO17" s="141">
        <v>65</v>
      </c>
      <c r="BP17" s="141">
        <v>26</v>
      </c>
      <c r="BQ17" s="141">
        <v>11</v>
      </c>
      <c r="BR17" s="141">
        <v>15</v>
      </c>
      <c r="BS17" s="141">
        <v>11</v>
      </c>
      <c r="BT17" s="141">
        <v>4</v>
      </c>
      <c r="BU17" s="151">
        <v>7</v>
      </c>
      <c r="BV17" s="149">
        <v>33</v>
      </c>
      <c r="BW17" s="139">
        <v>14</v>
      </c>
      <c r="BX17" s="139">
        <v>19</v>
      </c>
      <c r="BY17" s="140">
        <v>0</v>
      </c>
      <c r="BZ17" s="141">
        <v>0</v>
      </c>
      <c r="CA17" s="141">
        <v>0</v>
      </c>
      <c r="CB17" s="141">
        <v>4</v>
      </c>
      <c r="CC17" s="141">
        <v>2</v>
      </c>
      <c r="CD17" s="141">
        <v>2</v>
      </c>
      <c r="CE17" s="141">
        <v>5</v>
      </c>
      <c r="CF17" s="141">
        <v>4</v>
      </c>
      <c r="CG17" s="141">
        <v>1</v>
      </c>
      <c r="CH17" s="141">
        <v>10</v>
      </c>
      <c r="CI17" s="141">
        <v>5</v>
      </c>
      <c r="CJ17" s="141">
        <v>5</v>
      </c>
      <c r="CK17" s="141">
        <v>9</v>
      </c>
      <c r="CL17" s="141">
        <v>1</v>
      </c>
      <c r="CM17" s="141">
        <v>8</v>
      </c>
      <c r="CN17" s="141">
        <v>3</v>
      </c>
      <c r="CO17" s="141">
        <v>1</v>
      </c>
      <c r="CP17" s="141">
        <v>2</v>
      </c>
      <c r="CQ17" s="141">
        <v>2</v>
      </c>
      <c r="CR17" s="141">
        <v>1</v>
      </c>
      <c r="CS17" s="141">
        <v>1</v>
      </c>
    </row>
    <row r="18" spans="1:97" s="178" customFormat="1" ht="20.45" customHeight="1">
      <c r="A18" s="170" t="s">
        <v>345</v>
      </c>
      <c r="B18" s="139">
        <v>20414</v>
      </c>
      <c r="C18" s="139">
        <v>8261</v>
      </c>
      <c r="D18" s="139">
        <v>12153</v>
      </c>
      <c r="E18" s="141">
        <v>3925</v>
      </c>
      <c r="F18" s="141">
        <v>1580</v>
      </c>
      <c r="G18" s="141">
        <v>2345</v>
      </c>
      <c r="H18" s="141">
        <v>5170</v>
      </c>
      <c r="I18" s="141">
        <v>1873</v>
      </c>
      <c r="J18" s="141">
        <v>3297</v>
      </c>
      <c r="K18" s="141">
        <v>4342</v>
      </c>
      <c r="L18" s="141">
        <v>1705</v>
      </c>
      <c r="M18" s="141">
        <v>2637</v>
      </c>
      <c r="N18" s="141">
        <v>2674</v>
      </c>
      <c r="O18" s="141">
        <v>1159</v>
      </c>
      <c r="P18" s="141">
        <v>1515</v>
      </c>
      <c r="Q18" s="141">
        <v>1546</v>
      </c>
      <c r="R18" s="141">
        <v>670</v>
      </c>
      <c r="S18" s="141">
        <v>876</v>
      </c>
      <c r="T18" s="141">
        <v>1393</v>
      </c>
      <c r="U18" s="141">
        <v>627</v>
      </c>
      <c r="V18" s="141">
        <v>766</v>
      </c>
      <c r="W18" s="141">
        <v>1364</v>
      </c>
      <c r="X18" s="141">
        <v>647</v>
      </c>
      <c r="Y18" s="151">
        <v>717</v>
      </c>
      <c r="Z18" s="139">
        <v>18913</v>
      </c>
      <c r="AA18" s="139">
        <v>7716</v>
      </c>
      <c r="AB18" s="139">
        <v>11197</v>
      </c>
      <c r="AC18" s="141">
        <v>3678</v>
      </c>
      <c r="AD18" s="141">
        <v>1499</v>
      </c>
      <c r="AE18" s="141">
        <v>2179</v>
      </c>
      <c r="AF18" s="141">
        <v>4795</v>
      </c>
      <c r="AG18" s="141">
        <v>1730</v>
      </c>
      <c r="AH18" s="141">
        <v>3065</v>
      </c>
      <c r="AI18" s="141">
        <v>3982</v>
      </c>
      <c r="AJ18" s="141">
        <v>1586</v>
      </c>
      <c r="AK18" s="141">
        <v>2396</v>
      </c>
      <c r="AL18" s="141">
        <v>2453</v>
      </c>
      <c r="AM18" s="141">
        <v>1071</v>
      </c>
      <c r="AN18" s="141">
        <v>1382</v>
      </c>
      <c r="AO18" s="141">
        <v>1332</v>
      </c>
      <c r="AP18" s="141">
        <v>587</v>
      </c>
      <c r="AQ18" s="141">
        <v>745</v>
      </c>
      <c r="AR18" s="141">
        <v>1336</v>
      </c>
      <c r="AS18" s="141">
        <v>606</v>
      </c>
      <c r="AT18" s="141">
        <v>730</v>
      </c>
      <c r="AU18" s="141">
        <v>1337</v>
      </c>
      <c r="AV18" s="141">
        <v>637</v>
      </c>
      <c r="AW18" s="151">
        <v>700</v>
      </c>
      <c r="AX18" s="149">
        <v>2082</v>
      </c>
      <c r="AY18" s="139">
        <v>770</v>
      </c>
      <c r="AZ18" s="139">
        <v>1312</v>
      </c>
      <c r="BA18" s="140">
        <v>307</v>
      </c>
      <c r="BB18" s="141">
        <v>99</v>
      </c>
      <c r="BC18" s="141">
        <v>208</v>
      </c>
      <c r="BD18" s="141">
        <v>522</v>
      </c>
      <c r="BE18" s="141">
        <v>187</v>
      </c>
      <c r="BF18" s="141">
        <v>335</v>
      </c>
      <c r="BG18" s="141">
        <v>496</v>
      </c>
      <c r="BH18" s="141">
        <v>174</v>
      </c>
      <c r="BI18" s="141">
        <v>322</v>
      </c>
      <c r="BJ18" s="141">
        <v>322</v>
      </c>
      <c r="BK18" s="141">
        <v>127</v>
      </c>
      <c r="BL18" s="141">
        <v>195</v>
      </c>
      <c r="BM18" s="141">
        <v>312</v>
      </c>
      <c r="BN18" s="141">
        <v>130</v>
      </c>
      <c r="BO18" s="141">
        <v>182</v>
      </c>
      <c r="BP18" s="141">
        <v>89</v>
      </c>
      <c r="BQ18" s="141">
        <v>39</v>
      </c>
      <c r="BR18" s="141">
        <v>50</v>
      </c>
      <c r="BS18" s="141">
        <v>34</v>
      </c>
      <c r="BT18" s="141">
        <v>14</v>
      </c>
      <c r="BU18" s="151">
        <v>20</v>
      </c>
      <c r="BV18" s="149">
        <v>75</v>
      </c>
      <c r="BW18" s="139">
        <v>24</v>
      </c>
      <c r="BX18" s="139">
        <v>51</v>
      </c>
      <c r="BY18" s="140">
        <v>0</v>
      </c>
      <c r="BZ18" s="141">
        <v>0</v>
      </c>
      <c r="CA18" s="141">
        <v>0</v>
      </c>
      <c r="CB18" s="141">
        <v>5</v>
      </c>
      <c r="CC18" s="141">
        <v>1</v>
      </c>
      <c r="CD18" s="141">
        <v>4</v>
      </c>
      <c r="CE18" s="141">
        <v>5</v>
      </c>
      <c r="CF18" s="141">
        <v>1</v>
      </c>
      <c r="CG18" s="141">
        <v>4</v>
      </c>
      <c r="CH18" s="141">
        <v>17</v>
      </c>
      <c r="CI18" s="141">
        <v>7</v>
      </c>
      <c r="CJ18" s="141">
        <v>10</v>
      </c>
      <c r="CK18" s="141">
        <v>13</v>
      </c>
      <c r="CL18" s="141">
        <v>5</v>
      </c>
      <c r="CM18" s="141">
        <v>8</v>
      </c>
      <c r="CN18" s="141">
        <v>20</v>
      </c>
      <c r="CO18" s="141">
        <v>6</v>
      </c>
      <c r="CP18" s="141">
        <v>14</v>
      </c>
      <c r="CQ18" s="141">
        <v>15</v>
      </c>
      <c r="CR18" s="141">
        <v>4</v>
      </c>
      <c r="CS18" s="141">
        <v>11</v>
      </c>
    </row>
    <row r="19" spans="1:97" s="178" customFormat="1" ht="20.45" customHeight="1">
      <c r="A19" s="170" t="s">
        <v>346</v>
      </c>
      <c r="B19" s="139">
        <v>13473</v>
      </c>
      <c r="C19" s="139">
        <v>5548</v>
      </c>
      <c r="D19" s="139">
        <v>7925</v>
      </c>
      <c r="E19" s="141">
        <v>3552</v>
      </c>
      <c r="F19" s="141">
        <v>1355</v>
      </c>
      <c r="G19" s="141">
        <v>2197</v>
      </c>
      <c r="H19" s="141">
        <v>2990</v>
      </c>
      <c r="I19" s="141">
        <v>1109</v>
      </c>
      <c r="J19" s="141">
        <v>1881</v>
      </c>
      <c r="K19" s="141">
        <v>2410</v>
      </c>
      <c r="L19" s="141">
        <v>1016</v>
      </c>
      <c r="M19" s="141">
        <v>1394</v>
      </c>
      <c r="N19" s="141">
        <v>1780</v>
      </c>
      <c r="O19" s="141">
        <v>807</v>
      </c>
      <c r="P19" s="141">
        <v>973</v>
      </c>
      <c r="Q19" s="141">
        <v>1047</v>
      </c>
      <c r="R19" s="141">
        <v>479</v>
      </c>
      <c r="S19" s="141">
        <v>568</v>
      </c>
      <c r="T19" s="141">
        <v>841</v>
      </c>
      <c r="U19" s="141">
        <v>383</v>
      </c>
      <c r="V19" s="141">
        <v>458</v>
      </c>
      <c r="W19" s="141">
        <v>853</v>
      </c>
      <c r="X19" s="141">
        <v>399</v>
      </c>
      <c r="Y19" s="151">
        <v>454</v>
      </c>
      <c r="Z19" s="139">
        <v>12908</v>
      </c>
      <c r="AA19" s="139">
        <v>5321</v>
      </c>
      <c r="AB19" s="139">
        <v>7587</v>
      </c>
      <c r="AC19" s="141">
        <v>3501</v>
      </c>
      <c r="AD19" s="141">
        <v>1339</v>
      </c>
      <c r="AE19" s="141">
        <v>2162</v>
      </c>
      <c r="AF19" s="141">
        <v>2876</v>
      </c>
      <c r="AG19" s="141">
        <v>1069</v>
      </c>
      <c r="AH19" s="141">
        <v>1807</v>
      </c>
      <c r="AI19" s="141">
        <v>2286</v>
      </c>
      <c r="AJ19" s="141">
        <v>968</v>
      </c>
      <c r="AK19" s="141">
        <v>1318</v>
      </c>
      <c r="AL19" s="141">
        <v>1648</v>
      </c>
      <c r="AM19" s="141">
        <v>747</v>
      </c>
      <c r="AN19" s="141">
        <v>901</v>
      </c>
      <c r="AO19" s="141">
        <v>953</v>
      </c>
      <c r="AP19" s="141">
        <v>439</v>
      </c>
      <c r="AQ19" s="141">
        <v>514</v>
      </c>
      <c r="AR19" s="141">
        <v>810</v>
      </c>
      <c r="AS19" s="141">
        <v>366</v>
      </c>
      <c r="AT19" s="141">
        <v>444</v>
      </c>
      <c r="AU19" s="141">
        <v>834</v>
      </c>
      <c r="AV19" s="141">
        <v>393</v>
      </c>
      <c r="AW19" s="151">
        <v>441</v>
      </c>
      <c r="AX19" s="149">
        <v>830</v>
      </c>
      <c r="AY19" s="139">
        <v>343</v>
      </c>
      <c r="AZ19" s="139">
        <v>487</v>
      </c>
      <c r="BA19" s="140">
        <v>77</v>
      </c>
      <c r="BB19" s="141">
        <v>29</v>
      </c>
      <c r="BC19" s="141">
        <v>48</v>
      </c>
      <c r="BD19" s="141">
        <v>175</v>
      </c>
      <c r="BE19" s="141">
        <v>59</v>
      </c>
      <c r="BF19" s="141">
        <v>116</v>
      </c>
      <c r="BG19" s="141">
        <v>184</v>
      </c>
      <c r="BH19" s="141">
        <v>70</v>
      </c>
      <c r="BI19" s="141">
        <v>114</v>
      </c>
      <c r="BJ19" s="141">
        <v>189</v>
      </c>
      <c r="BK19" s="141">
        <v>81</v>
      </c>
      <c r="BL19" s="141">
        <v>108</v>
      </c>
      <c r="BM19" s="141">
        <v>133</v>
      </c>
      <c r="BN19" s="141">
        <v>61</v>
      </c>
      <c r="BO19" s="141">
        <v>72</v>
      </c>
      <c r="BP19" s="141">
        <v>45</v>
      </c>
      <c r="BQ19" s="141">
        <v>30</v>
      </c>
      <c r="BR19" s="141">
        <v>15</v>
      </c>
      <c r="BS19" s="141">
        <v>27</v>
      </c>
      <c r="BT19" s="141">
        <v>13</v>
      </c>
      <c r="BU19" s="151">
        <v>14</v>
      </c>
      <c r="BV19" s="149">
        <v>121</v>
      </c>
      <c r="BW19" s="139">
        <v>48</v>
      </c>
      <c r="BX19" s="139">
        <v>73</v>
      </c>
      <c r="BY19" s="140">
        <v>1</v>
      </c>
      <c r="BZ19" s="141">
        <v>0</v>
      </c>
      <c r="CA19" s="141">
        <v>1</v>
      </c>
      <c r="CB19" s="141">
        <v>3</v>
      </c>
      <c r="CC19" s="141">
        <v>1</v>
      </c>
      <c r="CD19" s="141">
        <v>2</v>
      </c>
      <c r="CE19" s="141">
        <v>12</v>
      </c>
      <c r="CF19" s="141">
        <v>6</v>
      </c>
      <c r="CG19" s="141">
        <v>6</v>
      </c>
      <c r="CH19" s="141">
        <v>33</v>
      </c>
      <c r="CI19" s="141">
        <v>19</v>
      </c>
      <c r="CJ19" s="141">
        <v>14</v>
      </c>
      <c r="CK19" s="141">
        <v>32</v>
      </c>
      <c r="CL19" s="141">
        <v>13</v>
      </c>
      <c r="CM19" s="141">
        <v>19</v>
      </c>
      <c r="CN19" s="141">
        <v>23</v>
      </c>
      <c r="CO19" s="141">
        <v>6</v>
      </c>
      <c r="CP19" s="141">
        <v>17</v>
      </c>
      <c r="CQ19" s="141">
        <v>17</v>
      </c>
      <c r="CR19" s="141">
        <v>3</v>
      </c>
      <c r="CS19" s="141">
        <v>14</v>
      </c>
    </row>
    <row r="20" spans="1:97" s="178" customFormat="1" ht="20.45" customHeight="1">
      <c r="A20" s="170" t="s">
        <v>347</v>
      </c>
      <c r="B20" s="139">
        <v>14675</v>
      </c>
      <c r="C20" s="139">
        <v>5838</v>
      </c>
      <c r="D20" s="139">
        <v>8837</v>
      </c>
      <c r="E20" s="141">
        <v>3096</v>
      </c>
      <c r="F20" s="141">
        <v>1170</v>
      </c>
      <c r="G20" s="141">
        <v>1926</v>
      </c>
      <c r="H20" s="141">
        <v>3166</v>
      </c>
      <c r="I20" s="141">
        <v>1068</v>
      </c>
      <c r="J20" s="141">
        <v>2098</v>
      </c>
      <c r="K20" s="141">
        <v>2850</v>
      </c>
      <c r="L20" s="141">
        <v>1133</v>
      </c>
      <c r="M20" s="141">
        <v>1717</v>
      </c>
      <c r="N20" s="141">
        <v>2068</v>
      </c>
      <c r="O20" s="141">
        <v>881</v>
      </c>
      <c r="P20" s="141">
        <v>1187</v>
      </c>
      <c r="Q20" s="141">
        <v>1178</v>
      </c>
      <c r="R20" s="141">
        <v>515</v>
      </c>
      <c r="S20" s="141">
        <v>663</v>
      </c>
      <c r="T20" s="141">
        <v>1080</v>
      </c>
      <c r="U20" s="141">
        <v>493</v>
      </c>
      <c r="V20" s="141">
        <v>587</v>
      </c>
      <c r="W20" s="141">
        <v>1237</v>
      </c>
      <c r="X20" s="141">
        <v>578</v>
      </c>
      <c r="Y20" s="151">
        <v>659</v>
      </c>
      <c r="Z20" s="139">
        <v>13407</v>
      </c>
      <c r="AA20" s="139">
        <v>5371</v>
      </c>
      <c r="AB20" s="139">
        <v>8036</v>
      </c>
      <c r="AC20" s="141">
        <v>2998</v>
      </c>
      <c r="AD20" s="141">
        <v>1142</v>
      </c>
      <c r="AE20" s="141">
        <v>1856</v>
      </c>
      <c r="AF20" s="141">
        <v>2946</v>
      </c>
      <c r="AG20" s="141">
        <v>1017</v>
      </c>
      <c r="AH20" s="141">
        <v>1929</v>
      </c>
      <c r="AI20" s="141">
        <v>2590</v>
      </c>
      <c r="AJ20" s="141">
        <v>1048</v>
      </c>
      <c r="AK20" s="141">
        <v>1542</v>
      </c>
      <c r="AL20" s="141">
        <v>1801</v>
      </c>
      <c r="AM20" s="141">
        <v>767</v>
      </c>
      <c r="AN20" s="141">
        <v>1034</v>
      </c>
      <c r="AO20" s="141">
        <v>930</v>
      </c>
      <c r="AP20" s="141">
        <v>408</v>
      </c>
      <c r="AQ20" s="141">
        <v>522</v>
      </c>
      <c r="AR20" s="141">
        <v>960</v>
      </c>
      <c r="AS20" s="141">
        <v>440</v>
      </c>
      <c r="AT20" s="141">
        <v>520</v>
      </c>
      <c r="AU20" s="141">
        <v>1182</v>
      </c>
      <c r="AV20" s="141">
        <v>549</v>
      </c>
      <c r="AW20" s="151">
        <v>633</v>
      </c>
      <c r="AX20" s="149">
        <v>1682</v>
      </c>
      <c r="AY20" s="139">
        <v>626</v>
      </c>
      <c r="AZ20" s="139">
        <v>1056</v>
      </c>
      <c r="BA20" s="140">
        <v>138</v>
      </c>
      <c r="BB20" s="141">
        <v>41</v>
      </c>
      <c r="BC20" s="141">
        <v>97</v>
      </c>
      <c r="BD20" s="141">
        <v>320</v>
      </c>
      <c r="BE20" s="141">
        <v>79</v>
      </c>
      <c r="BF20" s="141">
        <v>241</v>
      </c>
      <c r="BG20" s="141">
        <v>352</v>
      </c>
      <c r="BH20" s="141">
        <v>121</v>
      </c>
      <c r="BI20" s="141">
        <v>231</v>
      </c>
      <c r="BJ20" s="141">
        <v>349</v>
      </c>
      <c r="BK20" s="141">
        <v>149</v>
      </c>
      <c r="BL20" s="141">
        <v>200</v>
      </c>
      <c r="BM20" s="141">
        <v>300</v>
      </c>
      <c r="BN20" s="141">
        <v>129</v>
      </c>
      <c r="BO20" s="141">
        <v>171</v>
      </c>
      <c r="BP20" s="141">
        <v>159</v>
      </c>
      <c r="BQ20" s="141">
        <v>78</v>
      </c>
      <c r="BR20" s="141">
        <v>81</v>
      </c>
      <c r="BS20" s="141">
        <v>64</v>
      </c>
      <c r="BT20" s="141">
        <v>29</v>
      </c>
      <c r="BU20" s="151">
        <v>35</v>
      </c>
      <c r="BV20" s="149">
        <v>209</v>
      </c>
      <c r="BW20" s="139">
        <v>81</v>
      </c>
      <c r="BX20" s="139">
        <v>128</v>
      </c>
      <c r="BY20" s="140">
        <v>0</v>
      </c>
      <c r="BZ20" s="141">
        <v>0</v>
      </c>
      <c r="CA20" s="141">
        <v>0</v>
      </c>
      <c r="CB20" s="141">
        <v>3</v>
      </c>
      <c r="CC20" s="141">
        <v>1</v>
      </c>
      <c r="CD20" s="141">
        <v>2</v>
      </c>
      <c r="CE20" s="141">
        <v>18</v>
      </c>
      <c r="CF20" s="141">
        <v>7</v>
      </c>
      <c r="CG20" s="141">
        <v>11</v>
      </c>
      <c r="CH20" s="141">
        <v>41</v>
      </c>
      <c r="CI20" s="141">
        <v>12</v>
      </c>
      <c r="CJ20" s="141">
        <v>29</v>
      </c>
      <c r="CK20" s="141">
        <v>53</v>
      </c>
      <c r="CL20" s="141">
        <v>17</v>
      </c>
      <c r="CM20" s="141">
        <v>36</v>
      </c>
      <c r="CN20" s="141">
        <v>48</v>
      </c>
      <c r="CO20" s="141">
        <v>20</v>
      </c>
      <c r="CP20" s="141">
        <v>28</v>
      </c>
      <c r="CQ20" s="141">
        <v>46</v>
      </c>
      <c r="CR20" s="141">
        <v>24</v>
      </c>
      <c r="CS20" s="141">
        <v>22</v>
      </c>
    </row>
    <row r="21" spans="1:97" s="178" customFormat="1" ht="20.45" customHeight="1">
      <c r="A21" s="170" t="s">
        <v>348</v>
      </c>
      <c r="B21" s="139">
        <v>14026</v>
      </c>
      <c r="C21" s="139">
        <v>5898</v>
      </c>
      <c r="D21" s="139">
        <v>8128</v>
      </c>
      <c r="E21" s="141">
        <v>2919</v>
      </c>
      <c r="F21" s="141">
        <v>1310</v>
      </c>
      <c r="G21" s="141">
        <v>1609</v>
      </c>
      <c r="H21" s="141">
        <v>3601</v>
      </c>
      <c r="I21" s="141">
        <v>1400</v>
      </c>
      <c r="J21" s="141">
        <v>2201</v>
      </c>
      <c r="K21" s="141">
        <v>3120</v>
      </c>
      <c r="L21" s="141">
        <v>1218</v>
      </c>
      <c r="M21" s="141">
        <v>1902</v>
      </c>
      <c r="N21" s="141">
        <v>1862</v>
      </c>
      <c r="O21" s="141">
        <v>824</v>
      </c>
      <c r="P21" s="141">
        <v>1038</v>
      </c>
      <c r="Q21" s="141">
        <v>775</v>
      </c>
      <c r="R21" s="141">
        <v>323</v>
      </c>
      <c r="S21" s="141">
        <v>452</v>
      </c>
      <c r="T21" s="141">
        <v>858</v>
      </c>
      <c r="U21" s="141">
        <v>409</v>
      </c>
      <c r="V21" s="141">
        <v>449</v>
      </c>
      <c r="W21" s="141">
        <v>891</v>
      </c>
      <c r="X21" s="141">
        <v>414</v>
      </c>
      <c r="Y21" s="151">
        <v>477</v>
      </c>
      <c r="Z21" s="139">
        <v>13562</v>
      </c>
      <c r="AA21" s="139">
        <v>5750</v>
      </c>
      <c r="AB21" s="139">
        <v>7812</v>
      </c>
      <c r="AC21" s="141">
        <v>2895</v>
      </c>
      <c r="AD21" s="141">
        <v>1306</v>
      </c>
      <c r="AE21" s="141">
        <v>1589</v>
      </c>
      <c r="AF21" s="141">
        <v>3502</v>
      </c>
      <c r="AG21" s="141">
        <v>1373</v>
      </c>
      <c r="AH21" s="141">
        <v>2129</v>
      </c>
      <c r="AI21" s="141">
        <v>3012</v>
      </c>
      <c r="AJ21" s="141">
        <v>1186</v>
      </c>
      <c r="AK21" s="141">
        <v>1826</v>
      </c>
      <c r="AL21" s="141">
        <v>1749</v>
      </c>
      <c r="AM21" s="141">
        <v>787</v>
      </c>
      <c r="AN21" s="141">
        <v>962</v>
      </c>
      <c r="AO21" s="141">
        <v>702</v>
      </c>
      <c r="AP21" s="141">
        <v>296</v>
      </c>
      <c r="AQ21" s="141">
        <v>406</v>
      </c>
      <c r="AR21" s="141">
        <v>828</v>
      </c>
      <c r="AS21" s="141">
        <v>398</v>
      </c>
      <c r="AT21" s="141">
        <v>430</v>
      </c>
      <c r="AU21" s="141">
        <v>874</v>
      </c>
      <c r="AV21" s="141">
        <v>404</v>
      </c>
      <c r="AW21" s="151">
        <v>470</v>
      </c>
      <c r="AX21" s="149">
        <v>734</v>
      </c>
      <c r="AY21" s="139">
        <v>241</v>
      </c>
      <c r="AZ21" s="139">
        <v>493</v>
      </c>
      <c r="BA21" s="140">
        <v>40</v>
      </c>
      <c r="BB21" s="141">
        <v>12</v>
      </c>
      <c r="BC21" s="141">
        <v>28</v>
      </c>
      <c r="BD21" s="141">
        <v>158</v>
      </c>
      <c r="BE21" s="141">
        <v>45</v>
      </c>
      <c r="BF21" s="141">
        <v>113</v>
      </c>
      <c r="BG21" s="141">
        <v>181</v>
      </c>
      <c r="BH21" s="141">
        <v>53</v>
      </c>
      <c r="BI21" s="141">
        <v>128</v>
      </c>
      <c r="BJ21" s="141">
        <v>187</v>
      </c>
      <c r="BK21" s="141">
        <v>70</v>
      </c>
      <c r="BL21" s="141">
        <v>117</v>
      </c>
      <c r="BM21" s="141">
        <v>115</v>
      </c>
      <c r="BN21" s="141">
        <v>41</v>
      </c>
      <c r="BO21" s="141">
        <v>74</v>
      </c>
      <c r="BP21" s="141">
        <v>40</v>
      </c>
      <c r="BQ21" s="141">
        <v>16</v>
      </c>
      <c r="BR21" s="141">
        <v>24</v>
      </c>
      <c r="BS21" s="141">
        <v>13</v>
      </c>
      <c r="BT21" s="141">
        <v>4</v>
      </c>
      <c r="BU21" s="151">
        <v>9</v>
      </c>
      <c r="BV21" s="149">
        <v>110</v>
      </c>
      <c r="BW21" s="139">
        <v>45</v>
      </c>
      <c r="BX21" s="139">
        <v>65</v>
      </c>
      <c r="BY21" s="140">
        <v>0</v>
      </c>
      <c r="BZ21" s="141">
        <v>0</v>
      </c>
      <c r="CA21" s="141">
        <v>0</v>
      </c>
      <c r="CB21" s="141">
        <v>3</v>
      </c>
      <c r="CC21" s="141">
        <v>2</v>
      </c>
      <c r="CD21" s="141">
        <v>1</v>
      </c>
      <c r="CE21" s="141">
        <v>12</v>
      </c>
      <c r="CF21" s="141">
        <v>6</v>
      </c>
      <c r="CG21" s="141">
        <v>6</v>
      </c>
      <c r="CH21" s="141">
        <v>23</v>
      </c>
      <c r="CI21" s="141">
        <v>7</v>
      </c>
      <c r="CJ21" s="141">
        <v>16</v>
      </c>
      <c r="CK21" s="141">
        <v>18</v>
      </c>
      <c r="CL21" s="141">
        <v>9</v>
      </c>
      <c r="CM21" s="141">
        <v>9</v>
      </c>
      <c r="CN21" s="141">
        <v>22</v>
      </c>
      <c r="CO21" s="141">
        <v>9</v>
      </c>
      <c r="CP21" s="141">
        <v>13</v>
      </c>
      <c r="CQ21" s="141">
        <v>32</v>
      </c>
      <c r="CR21" s="141">
        <v>12</v>
      </c>
      <c r="CS21" s="141">
        <v>20</v>
      </c>
    </row>
    <row r="22" spans="1:97" s="178" customFormat="1" ht="20.45" customHeight="1">
      <c r="A22" s="170" t="s">
        <v>349</v>
      </c>
      <c r="B22" s="139">
        <v>21943</v>
      </c>
      <c r="C22" s="139">
        <v>9079</v>
      </c>
      <c r="D22" s="139">
        <v>12864</v>
      </c>
      <c r="E22" s="141">
        <v>4107</v>
      </c>
      <c r="F22" s="141">
        <v>1567</v>
      </c>
      <c r="G22" s="141">
        <v>2540</v>
      </c>
      <c r="H22" s="141">
        <v>4060</v>
      </c>
      <c r="I22" s="141">
        <v>1456</v>
      </c>
      <c r="J22" s="141">
        <v>2604</v>
      </c>
      <c r="K22" s="141">
        <v>4230</v>
      </c>
      <c r="L22" s="141">
        <v>1786</v>
      </c>
      <c r="M22" s="141">
        <v>2444</v>
      </c>
      <c r="N22" s="141">
        <v>3748</v>
      </c>
      <c r="O22" s="141">
        <v>1652</v>
      </c>
      <c r="P22" s="141">
        <v>2096</v>
      </c>
      <c r="Q22" s="141">
        <v>2188</v>
      </c>
      <c r="R22" s="141">
        <v>970</v>
      </c>
      <c r="S22" s="141">
        <v>1218</v>
      </c>
      <c r="T22" s="141">
        <v>1830</v>
      </c>
      <c r="U22" s="141">
        <v>818</v>
      </c>
      <c r="V22" s="141">
        <v>1012</v>
      </c>
      <c r="W22" s="141">
        <v>1780</v>
      </c>
      <c r="X22" s="141">
        <v>830</v>
      </c>
      <c r="Y22" s="151">
        <v>950</v>
      </c>
      <c r="Z22" s="139">
        <v>20759</v>
      </c>
      <c r="AA22" s="139">
        <v>8579</v>
      </c>
      <c r="AB22" s="139">
        <v>12180</v>
      </c>
      <c r="AC22" s="141">
        <v>4003</v>
      </c>
      <c r="AD22" s="141">
        <v>1530</v>
      </c>
      <c r="AE22" s="141">
        <v>2473</v>
      </c>
      <c r="AF22" s="141">
        <v>3864</v>
      </c>
      <c r="AG22" s="141">
        <v>1398</v>
      </c>
      <c r="AH22" s="141">
        <v>2466</v>
      </c>
      <c r="AI22" s="141">
        <v>3957</v>
      </c>
      <c r="AJ22" s="141">
        <v>1660</v>
      </c>
      <c r="AK22" s="141">
        <v>2297</v>
      </c>
      <c r="AL22" s="141">
        <v>3472</v>
      </c>
      <c r="AM22" s="141">
        <v>1533</v>
      </c>
      <c r="AN22" s="141">
        <v>1939</v>
      </c>
      <c r="AO22" s="141">
        <v>1968</v>
      </c>
      <c r="AP22" s="141">
        <v>872</v>
      </c>
      <c r="AQ22" s="141">
        <v>1096</v>
      </c>
      <c r="AR22" s="141">
        <v>1749</v>
      </c>
      <c r="AS22" s="141">
        <v>776</v>
      </c>
      <c r="AT22" s="141">
        <v>973</v>
      </c>
      <c r="AU22" s="141">
        <v>1746</v>
      </c>
      <c r="AV22" s="141">
        <v>810</v>
      </c>
      <c r="AW22" s="151">
        <v>936</v>
      </c>
      <c r="AX22" s="149">
        <v>2221</v>
      </c>
      <c r="AY22" s="139">
        <v>945</v>
      </c>
      <c r="AZ22" s="139">
        <v>1276</v>
      </c>
      <c r="BA22" s="140">
        <v>160</v>
      </c>
      <c r="BB22" s="141">
        <v>59</v>
      </c>
      <c r="BC22" s="141">
        <v>101</v>
      </c>
      <c r="BD22" s="141">
        <v>343</v>
      </c>
      <c r="BE22" s="141">
        <v>121</v>
      </c>
      <c r="BF22" s="141">
        <v>222</v>
      </c>
      <c r="BG22" s="141">
        <v>481</v>
      </c>
      <c r="BH22" s="141">
        <v>199</v>
      </c>
      <c r="BI22" s="141">
        <v>282</v>
      </c>
      <c r="BJ22" s="141">
        <v>521</v>
      </c>
      <c r="BK22" s="141">
        <v>240</v>
      </c>
      <c r="BL22" s="141">
        <v>281</v>
      </c>
      <c r="BM22" s="141">
        <v>429</v>
      </c>
      <c r="BN22" s="141">
        <v>194</v>
      </c>
      <c r="BO22" s="141">
        <v>235</v>
      </c>
      <c r="BP22" s="141">
        <v>207</v>
      </c>
      <c r="BQ22" s="141">
        <v>93</v>
      </c>
      <c r="BR22" s="141">
        <v>114</v>
      </c>
      <c r="BS22" s="141">
        <v>80</v>
      </c>
      <c r="BT22" s="141">
        <v>39</v>
      </c>
      <c r="BU22" s="151">
        <v>41</v>
      </c>
      <c r="BV22" s="149">
        <v>232</v>
      </c>
      <c r="BW22" s="139">
        <v>105</v>
      </c>
      <c r="BX22" s="139">
        <v>127</v>
      </c>
      <c r="BY22" s="140">
        <v>16</v>
      </c>
      <c r="BZ22" s="141">
        <v>5</v>
      </c>
      <c r="CA22" s="141">
        <v>11</v>
      </c>
      <c r="CB22" s="141">
        <v>35</v>
      </c>
      <c r="CC22" s="141">
        <v>15</v>
      </c>
      <c r="CD22" s="141">
        <v>20</v>
      </c>
      <c r="CE22" s="141">
        <v>38</v>
      </c>
      <c r="CF22" s="141">
        <v>15</v>
      </c>
      <c r="CG22" s="141">
        <v>23</v>
      </c>
      <c r="CH22" s="141">
        <v>35</v>
      </c>
      <c r="CI22" s="141">
        <v>15</v>
      </c>
      <c r="CJ22" s="141">
        <v>20</v>
      </c>
      <c r="CK22" s="141">
        <v>45</v>
      </c>
      <c r="CL22" s="141">
        <v>21</v>
      </c>
      <c r="CM22" s="141">
        <v>24</v>
      </c>
      <c r="CN22" s="141">
        <v>27</v>
      </c>
      <c r="CO22" s="141">
        <v>13</v>
      </c>
      <c r="CP22" s="141">
        <v>14</v>
      </c>
      <c r="CQ22" s="141">
        <v>36</v>
      </c>
      <c r="CR22" s="141">
        <v>21</v>
      </c>
      <c r="CS22" s="141">
        <v>15</v>
      </c>
    </row>
    <row r="23" spans="1:97" s="178" customFormat="1" ht="20.45" customHeight="1">
      <c r="A23" s="170" t="s">
        <v>350</v>
      </c>
      <c r="B23" s="139">
        <v>6239</v>
      </c>
      <c r="C23" s="139">
        <v>2758</v>
      </c>
      <c r="D23" s="139">
        <v>3481</v>
      </c>
      <c r="E23" s="141">
        <v>1010</v>
      </c>
      <c r="F23" s="141">
        <v>415</v>
      </c>
      <c r="G23" s="141">
        <v>595</v>
      </c>
      <c r="H23" s="141">
        <v>959</v>
      </c>
      <c r="I23" s="141">
        <v>354</v>
      </c>
      <c r="J23" s="141">
        <v>605</v>
      </c>
      <c r="K23" s="141">
        <v>1200</v>
      </c>
      <c r="L23" s="141">
        <v>500</v>
      </c>
      <c r="M23" s="141">
        <v>700</v>
      </c>
      <c r="N23" s="141">
        <v>1004</v>
      </c>
      <c r="O23" s="141">
        <v>467</v>
      </c>
      <c r="P23" s="141">
        <v>537</v>
      </c>
      <c r="Q23" s="141">
        <v>544</v>
      </c>
      <c r="R23" s="141">
        <v>272</v>
      </c>
      <c r="S23" s="141">
        <v>272</v>
      </c>
      <c r="T23" s="141">
        <v>739</v>
      </c>
      <c r="U23" s="141">
        <v>358</v>
      </c>
      <c r="V23" s="141">
        <v>381</v>
      </c>
      <c r="W23" s="141">
        <v>783</v>
      </c>
      <c r="X23" s="141">
        <v>392</v>
      </c>
      <c r="Y23" s="151">
        <v>391</v>
      </c>
      <c r="Z23" s="139">
        <v>6001</v>
      </c>
      <c r="AA23" s="139">
        <v>2662</v>
      </c>
      <c r="AB23" s="139">
        <v>3339</v>
      </c>
      <c r="AC23" s="141">
        <v>993</v>
      </c>
      <c r="AD23" s="141">
        <v>407</v>
      </c>
      <c r="AE23" s="141">
        <v>586</v>
      </c>
      <c r="AF23" s="141">
        <v>939</v>
      </c>
      <c r="AG23" s="141">
        <v>346</v>
      </c>
      <c r="AH23" s="141">
        <v>593</v>
      </c>
      <c r="AI23" s="141">
        <v>1168</v>
      </c>
      <c r="AJ23" s="141">
        <v>493</v>
      </c>
      <c r="AK23" s="141">
        <v>675</v>
      </c>
      <c r="AL23" s="141">
        <v>952</v>
      </c>
      <c r="AM23" s="141">
        <v>450</v>
      </c>
      <c r="AN23" s="141">
        <v>502</v>
      </c>
      <c r="AO23" s="141">
        <v>471</v>
      </c>
      <c r="AP23" s="141">
        <v>237</v>
      </c>
      <c r="AQ23" s="141">
        <v>234</v>
      </c>
      <c r="AR23" s="141">
        <v>706</v>
      </c>
      <c r="AS23" s="141">
        <v>341</v>
      </c>
      <c r="AT23" s="141">
        <v>365</v>
      </c>
      <c r="AU23" s="141">
        <v>772</v>
      </c>
      <c r="AV23" s="141">
        <v>388</v>
      </c>
      <c r="AW23" s="151">
        <v>384</v>
      </c>
      <c r="AX23" s="149">
        <v>415</v>
      </c>
      <c r="AY23" s="139">
        <v>170</v>
      </c>
      <c r="AZ23" s="139">
        <v>245</v>
      </c>
      <c r="BA23" s="140">
        <v>23</v>
      </c>
      <c r="BB23" s="141">
        <v>9</v>
      </c>
      <c r="BC23" s="141">
        <v>14</v>
      </c>
      <c r="BD23" s="141">
        <v>40</v>
      </c>
      <c r="BE23" s="141">
        <v>18</v>
      </c>
      <c r="BF23" s="141">
        <v>22</v>
      </c>
      <c r="BG23" s="141">
        <v>66</v>
      </c>
      <c r="BH23" s="141">
        <v>20</v>
      </c>
      <c r="BI23" s="141">
        <v>46</v>
      </c>
      <c r="BJ23" s="141">
        <v>86</v>
      </c>
      <c r="BK23" s="141">
        <v>35</v>
      </c>
      <c r="BL23" s="141">
        <v>51</v>
      </c>
      <c r="BM23" s="141">
        <v>119</v>
      </c>
      <c r="BN23" s="141">
        <v>53</v>
      </c>
      <c r="BO23" s="141">
        <v>66</v>
      </c>
      <c r="BP23" s="141">
        <v>63</v>
      </c>
      <c r="BQ23" s="141">
        <v>29</v>
      </c>
      <c r="BR23" s="141">
        <v>34</v>
      </c>
      <c r="BS23" s="141">
        <v>18</v>
      </c>
      <c r="BT23" s="141">
        <v>6</v>
      </c>
      <c r="BU23" s="151">
        <v>12</v>
      </c>
      <c r="BV23" s="149">
        <v>67</v>
      </c>
      <c r="BW23" s="139">
        <v>40</v>
      </c>
      <c r="BX23" s="139">
        <v>27</v>
      </c>
      <c r="BY23" s="140">
        <v>6</v>
      </c>
      <c r="BZ23" s="141">
        <v>4</v>
      </c>
      <c r="CA23" s="141">
        <v>2</v>
      </c>
      <c r="CB23" s="141">
        <v>4</v>
      </c>
      <c r="CC23" s="141">
        <v>1</v>
      </c>
      <c r="CD23" s="141">
        <v>3</v>
      </c>
      <c r="CE23" s="141">
        <v>6</v>
      </c>
      <c r="CF23" s="141">
        <v>3</v>
      </c>
      <c r="CG23" s="141">
        <v>3</v>
      </c>
      <c r="CH23" s="141">
        <v>14</v>
      </c>
      <c r="CI23" s="141">
        <v>10</v>
      </c>
      <c r="CJ23" s="141">
        <v>4</v>
      </c>
      <c r="CK23" s="141">
        <v>18</v>
      </c>
      <c r="CL23" s="141">
        <v>13</v>
      </c>
      <c r="CM23" s="141">
        <v>5</v>
      </c>
      <c r="CN23" s="141">
        <v>12</v>
      </c>
      <c r="CO23" s="141">
        <v>6</v>
      </c>
      <c r="CP23" s="141">
        <v>6</v>
      </c>
      <c r="CQ23" s="141">
        <v>7</v>
      </c>
      <c r="CR23" s="141">
        <v>3</v>
      </c>
      <c r="CS23" s="141">
        <v>4</v>
      </c>
    </row>
    <row r="24" spans="1:97" s="178" customFormat="1" ht="20.45" customHeight="1">
      <c r="A24" s="170" t="s">
        <v>351</v>
      </c>
      <c r="B24" s="139">
        <v>9189</v>
      </c>
      <c r="C24" s="139">
        <v>3945</v>
      </c>
      <c r="D24" s="139">
        <v>5244</v>
      </c>
      <c r="E24" s="141">
        <v>1880</v>
      </c>
      <c r="F24" s="141">
        <v>714</v>
      </c>
      <c r="G24" s="141">
        <v>1166</v>
      </c>
      <c r="H24" s="141">
        <v>1679</v>
      </c>
      <c r="I24" s="141">
        <v>627</v>
      </c>
      <c r="J24" s="141">
        <v>1052</v>
      </c>
      <c r="K24" s="141">
        <v>1849</v>
      </c>
      <c r="L24" s="141">
        <v>795</v>
      </c>
      <c r="M24" s="141">
        <v>1054</v>
      </c>
      <c r="N24" s="141">
        <v>1183</v>
      </c>
      <c r="O24" s="141">
        <v>547</v>
      </c>
      <c r="P24" s="141">
        <v>636</v>
      </c>
      <c r="Q24" s="141">
        <v>734</v>
      </c>
      <c r="R24" s="141">
        <v>357</v>
      </c>
      <c r="S24" s="141">
        <v>377</v>
      </c>
      <c r="T24" s="141">
        <v>860</v>
      </c>
      <c r="U24" s="141">
        <v>401</v>
      </c>
      <c r="V24" s="141">
        <v>459</v>
      </c>
      <c r="W24" s="141">
        <v>1004</v>
      </c>
      <c r="X24" s="141">
        <v>504</v>
      </c>
      <c r="Y24" s="151">
        <v>500</v>
      </c>
      <c r="Z24" s="139">
        <v>8901</v>
      </c>
      <c r="AA24" s="139">
        <v>3855</v>
      </c>
      <c r="AB24" s="139">
        <v>5046</v>
      </c>
      <c r="AC24" s="141">
        <v>1855</v>
      </c>
      <c r="AD24" s="141">
        <v>710</v>
      </c>
      <c r="AE24" s="141">
        <v>1145</v>
      </c>
      <c r="AF24" s="141">
        <v>1621</v>
      </c>
      <c r="AG24" s="141">
        <v>615</v>
      </c>
      <c r="AH24" s="141">
        <v>1006</v>
      </c>
      <c r="AI24" s="141">
        <v>1804</v>
      </c>
      <c r="AJ24" s="141">
        <v>781</v>
      </c>
      <c r="AK24" s="141">
        <v>1023</v>
      </c>
      <c r="AL24" s="141">
        <v>1125</v>
      </c>
      <c r="AM24" s="141">
        <v>523</v>
      </c>
      <c r="AN24" s="141">
        <v>602</v>
      </c>
      <c r="AO24" s="141">
        <v>675</v>
      </c>
      <c r="AP24" s="141">
        <v>337</v>
      </c>
      <c r="AQ24" s="141">
        <v>338</v>
      </c>
      <c r="AR24" s="141">
        <v>835</v>
      </c>
      <c r="AS24" s="141">
        <v>393</v>
      </c>
      <c r="AT24" s="141">
        <v>442</v>
      </c>
      <c r="AU24" s="141">
        <v>986</v>
      </c>
      <c r="AV24" s="141">
        <v>496</v>
      </c>
      <c r="AW24" s="151">
        <v>490</v>
      </c>
      <c r="AX24" s="149">
        <v>442</v>
      </c>
      <c r="AY24" s="139">
        <v>151</v>
      </c>
      <c r="AZ24" s="139">
        <v>291</v>
      </c>
      <c r="BA24" s="140">
        <v>36</v>
      </c>
      <c r="BB24" s="141">
        <v>10</v>
      </c>
      <c r="BC24" s="141">
        <v>26</v>
      </c>
      <c r="BD24" s="141">
        <v>93</v>
      </c>
      <c r="BE24" s="141">
        <v>21</v>
      </c>
      <c r="BF24" s="141">
        <v>72</v>
      </c>
      <c r="BG24" s="141">
        <v>82</v>
      </c>
      <c r="BH24" s="141">
        <v>28</v>
      </c>
      <c r="BI24" s="141">
        <v>54</v>
      </c>
      <c r="BJ24" s="141">
        <v>86</v>
      </c>
      <c r="BK24" s="141">
        <v>38</v>
      </c>
      <c r="BL24" s="141">
        <v>48</v>
      </c>
      <c r="BM24" s="141">
        <v>88</v>
      </c>
      <c r="BN24" s="141">
        <v>28</v>
      </c>
      <c r="BO24" s="141">
        <v>60</v>
      </c>
      <c r="BP24" s="141">
        <v>36</v>
      </c>
      <c r="BQ24" s="141">
        <v>14</v>
      </c>
      <c r="BR24" s="141">
        <v>22</v>
      </c>
      <c r="BS24" s="141">
        <v>21</v>
      </c>
      <c r="BT24" s="141">
        <v>12</v>
      </c>
      <c r="BU24" s="151">
        <v>9</v>
      </c>
      <c r="BV24" s="149">
        <v>116</v>
      </c>
      <c r="BW24" s="139">
        <v>48</v>
      </c>
      <c r="BX24" s="139">
        <v>68</v>
      </c>
      <c r="BY24" s="140">
        <v>2</v>
      </c>
      <c r="BZ24" s="141">
        <v>1</v>
      </c>
      <c r="CA24" s="141">
        <v>1</v>
      </c>
      <c r="CB24" s="141">
        <v>3</v>
      </c>
      <c r="CC24" s="141">
        <v>3</v>
      </c>
      <c r="CD24" s="141">
        <v>0</v>
      </c>
      <c r="CE24" s="141">
        <v>6</v>
      </c>
      <c r="CF24" s="141">
        <v>1</v>
      </c>
      <c r="CG24" s="141">
        <v>5</v>
      </c>
      <c r="CH24" s="141">
        <v>23</v>
      </c>
      <c r="CI24" s="141">
        <v>9</v>
      </c>
      <c r="CJ24" s="141">
        <v>14</v>
      </c>
      <c r="CK24" s="141">
        <v>25</v>
      </c>
      <c r="CL24" s="141">
        <v>10</v>
      </c>
      <c r="CM24" s="141">
        <v>15</v>
      </c>
      <c r="CN24" s="141">
        <v>20</v>
      </c>
      <c r="CO24" s="141">
        <v>8</v>
      </c>
      <c r="CP24" s="141">
        <v>12</v>
      </c>
      <c r="CQ24" s="141">
        <v>37</v>
      </c>
      <c r="CR24" s="141">
        <v>16</v>
      </c>
      <c r="CS24" s="141">
        <v>21</v>
      </c>
    </row>
    <row r="25" spans="1:97" s="178" customFormat="1" ht="20.45" customHeight="1">
      <c r="A25" s="170" t="s">
        <v>352</v>
      </c>
      <c r="B25" s="139">
        <v>2002</v>
      </c>
      <c r="C25" s="139">
        <v>813</v>
      </c>
      <c r="D25" s="139">
        <v>1189</v>
      </c>
      <c r="E25" s="141">
        <v>588</v>
      </c>
      <c r="F25" s="141">
        <v>251</v>
      </c>
      <c r="G25" s="141">
        <v>337</v>
      </c>
      <c r="H25" s="141">
        <v>287</v>
      </c>
      <c r="I25" s="141">
        <v>99</v>
      </c>
      <c r="J25" s="141">
        <v>188</v>
      </c>
      <c r="K25" s="141">
        <v>453</v>
      </c>
      <c r="L25" s="141">
        <v>176</v>
      </c>
      <c r="M25" s="141">
        <v>277</v>
      </c>
      <c r="N25" s="141">
        <v>253</v>
      </c>
      <c r="O25" s="141">
        <v>112</v>
      </c>
      <c r="P25" s="141">
        <v>141</v>
      </c>
      <c r="Q25" s="141">
        <v>130</v>
      </c>
      <c r="R25" s="141">
        <v>60</v>
      </c>
      <c r="S25" s="141">
        <v>70</v>
      </c>
      <c r="T25" s="141">
        <v>123</v>
      </c>
      <c r="U25" s="141">
        <v>47</v>
      </c>
      <c r="V25" s="141">
        <v>76</v>
      </c>
      <c r="W25" s="141">
        <v>168</v>
      </c>
      <c r="X25" s="141">
        <v>68</v>
      </c>
      <c r="Y25" s="151">
        <v>100</v>
      </c>
      <c r="Z25" s="139">
        <v>1866</v>
      </c>
      <c r="AA25" s="139">
        <v>762</v>
      </c>
      <c r="AB25" s="139">
        <v>1104</v>
      </c>
      <c r="AC25" s="141">
        <v>559</v>
      </c>
      <c r="AD25" s="141">
        <v>238</v>
      </c>
      <c r="AE25" s="141">
        <v>321</v>
      </c>
      <c r="AF25" s="141">
        <v>262</v>
      </c>
      <c r="AG25" s="141">
        <v>91</v>
      </c>
      <c r="AH25" s="141">
        <v>171</v>
      </c>
      <c r="AI25" s="141">
        <v>429</v>
      </c>
      <c r="AJ25" s="141">
        <v>168</v>
      </c>
      <c r="AK25" s="141">
        <v>261</v>
      </c>
      <c r="AL25" s="141">
        <v>231</v>
      </c>
      <c r="AM25" s="141">
        <v>105</v>
      </c>
      <c r="AN25" s="141">
        <v>126</v>
      </c>
      <c r="AO25" s="141">
        <v>109</v>
      </c>
      <c r="AP25" s="141">
        <v>51</v>
      </c>
      <c r="AQ25" s="141">
        <v>58</v>
      </c>
      <c r="AR25" s="141">
        <v>113</v>
      </c>
      <c r="AS25" s="141">
        <v>42</v>
      </c>
      <c r="AT25" s="141">
        <v>71</v>
      </c>
      <c r="AU25" s="141">
        <v>163</v>
      </c>
      <c r="AV25" s="141">
        <v>67</v>
      </c>
      <c r="AW25" s="151">
        <v>96</v>
      </c>
      <c r="AX25" s="149">
        <v>216</v>
      </c>
      <c r="AY25" s="139">
        <v>85</v>
      </c>
      <c r="AZ25" s="139">
        <v>131</v>
      </c>
      <c r="BA25" s="140">
        <v>38</v>
      </c>
      <c r="BB25" s="141">
        <v>19</v>
      </c>
      <c r="BC25" s="141">
        <v>19</v>
      </c>
      <c r="BD25" s="141">
        <v>38</v>
      </c>
      <c r="BE25" s="141">
        <v>12</v>
      </c>
      <c r="BF25" s="141">
        <v>26</v>
      </c>
      <c r="BG25" s="141">
        <v>41</v>
      </c>
      <c r="BH25" s="141">
        <v>16</v>
      </c>
      <c r="BI25" s="141">
        <v>25</v>
      </c>
      <c r="BJ25" s="141">
        <v>34</v>
      </c>
      <c r="BK25" s="141">
        <v>12</v>
      </c>
      <c r="BL25" s="141">
        <v>22</v>
      </c>
      <c r="BM25" s="141">
        <v>35</v>
      </c>
      <c r="BN25" s="141">
        <v>16</v>
      </c>
      <c r="BO25" s="141">
        <v>19</v>
      </c>
      <c r="BP25" s="141">
        <v>16</v>
      </c>
      <c r="BQ25" s="141">
        <v>7</v>
      </c>
      <c r="BR25" s="141">
        <v>9</v>
      </c>
      <c r="BS25" s="141">
        <v>14</v>
      </c>
      <c r="BT25" s="141">
        <v>3</v>
      </c>
      <c r="BU25" s="151">
        <v>11</v>
      </c>
      <c r="BV25" s="149">
        <v>3</v>
      </c>
      <c r="BW25" s="139">
        <v>1</v>
      </c>
      <c r="BX25" s="139">
        <v>2</v>
      </c>
      <c r="BY25" s="140">
        <v>0</v>
      </c>
      <c r="BZ25" s="141">
        <v>0</v>
      </c>
      <c r="CA25" s="141">
        <v>0</v>
      </c>
      <c r="CB25" s="141">
        <v>0</v>
      </c>
      <c r="CC25" s="141">
        <v>0</v>
      </c>
      <c r="CD25" s="141">
        <v>0</v>
      </c>
      <c r="CE25" s="141">
        <v>2</v>
      </c>
      <c r="CF25" s="141">
        <v>1</v>
      </c>
      <c r="CG25" s="141">
        <v>1</v>
      </c>
      <c r="CH25" s="141">
        <v>0</v>
      </c>
      <c r="CI25" s="141">
        <v>0</v>
      </c>
      <c r="CJ25" s="141">
        <v>0</v>
      </c>
      <c r="CK25" s="141">
        <v>0</v>
      </c>
      <c r="CL25" s="141">
        <v>0</v>
      </c>
      <c r="CM25" s="141">
        <v>0</v>
      </c>
      <c r="CN25" s="141">
        <v>0</v>
      </c>
      <c r="CO25" s="141">
        <v>0</v>
      </c>
      <c r="CP25" s="141">
        <v>0</v>
      </c>
      <c r="CQ25" s="141">
        <v>1</v>
      </c>
      <c r="CR25" s="141">
        <v>0</v>
      </c>
      <c r="CS25" s="141">
        <v>1</v>
      </c>
    </row>
    <row r="26" spans="1:97" s="178" customFormat="1" ht="20.45" customHeight="1">
      <c r="A26" s="170" t="s">
        <v>353</v>
      </c>
      <c r="B26" s="139">
        <v>3654</v>
      </c>
      <c r="C26" s="139">
        <v>1498</v>
      </c>
      <c r="D26" s="139">
        <v>2156</v>
      </c>
      <c r="E26" s="141">
        <v>645</v>
      </c>
      <c r="F26" s="141">
        <v>224</v>
      </c>
      <c r="G26" s="141">
        <v>421</v>
      </c>
      <c r="H26" s="141">
        <v>774</v>
      </c>
      <c r="I26" s="141">
        <v>314</v>
      </c>
      <c r="J26" s="141">
        <v>460</v>
      </c>
      <c r="K26" s="141">
        <v>873</v>
      </c>
      <c r="L26" s="141">
        <v>329</v>
      </c>
      <c r="M26" s="141">
        <v>544</v>
      </c>
      <c r="N26" s="141">
        <v>513</v>
      </c>
      <c r="O26" s="141">
        <v>231</v>
      </c>
      <c r="P26" s="141">
        <v>282</v>
      </c>
      <c r="Q26" s="141">
        <v>273</v>
      </c>
      <c r="R26" s="141">
        <v>137</v>
      </c>
      <c r="S26" s="141">
        <v>136</v>
      </c>
      <c r="T26" s="141">
        <v>304</v>
      </c>
      <c r="U26" s="141">
        <v>127</v>
      </c>
      <c r="V26" s="141">
        <v>177</v>
      </c>
      <c r="W26" s="141">
        <v>272</v>
      </c>
      <c r="X26" s="141">
        <v>136</v>
      </c>
      <c r="Y26" s="151">
        <v>136</v>
      </c>
      <c r="Z26" s="139">
        <v>3364</v>
      </c>
      <c r="AA26" s="139">
        <v>1409</v>
      </c>
      <c r="AB26" s="139">
        <v>1955</v>
      </c>
      <c r="AC26" s="141">
        <v>594</v>
      </c>
      <c r="AD26" s="141">
        <v>209</v>
      </c>
      <c r="AE26" s="141">
        <v>385</v>
      </c>
      <c r="AF26" s="141">
        <v>695</v>
      </c>
      <c r="AG26" s="141">
        <v>286</v>
      </c>
      <c r="AH26" s="141">
        <v>409</v>
      </c>
      <c r="AI26" s="141">
        <v>800</v>
      </c>
      <c r="AJ26" s="141">
        <v>311</v>
      </c>
      <c r="AK26" s="141">
        <v>489</v>
      </c>
      <c r="AL26" s="141">
        <v>480</v>
      </c>
      <c r="AM26" s="141">
        <v>221</v>
      </c>
      <c r="AN26" s="141">
        <v>259</v>
      </c>
      <c r="AO26" s="141">
        <v>232</v>
      </c>
      <c r="AP26" s="141">
        <v>123</v>
      </c>
      <c r="AQ26" s="141">
        <v>109</v>
      </c>
      <c r="AR26" s="141">
        <v>291</v>
      </c>
      <c r="AS26" s="141">
        <v>123</v>
      </c>
      <c r="AT26" s="141">
        <v>168</v>
      </c>
      <c r="AU26" s="141">
        <v>272</v>
      </c>
      <c r="AV26" s="141">
        <v>136</v>
      </c>
      <c r="AW26" s="151">
        <v>136</v>
      </c>
      <c r="AX26" s="149">
        <v>412</v>
      </c>
      <c r="AY26" s="139">
        <v>133</v>
      </c>
      <c r="AZ26" s="139">
        <v>279</v>
      </c>
      <c r="BA26" s="140">
        <v>62</v>
      </c>
      <c r="BB26" s="141">
        <v>17</v>
      </c>
      <c r="BC26" s="141">
        <v>45</v>
      </c>
      <c r="BD26" s="141">
        <v>109</v>
      </c>
      <c r="BE26" s="141">
        <v>35</v>
      </c>
      <c r="BF26" s="141">
        <v>74</v>
      </c>
      <c r="BG26" s="141">
        <v>109</v>
      </c>
      <c r="BH26" s="141">
        <v>33</v>
      </c>
      <c r="BI26" s="141">
        <v>76</v>
      </c>
      <c r="BJ26" s="141">
        <v>63</v>
      </c>
      <c r="BK26" s="141">
        <v>24</v>
      </c>
      <c r="BL26" s="141">
        <v>39</v>
      </c>
      <c r="BM26" s="141">
        <v>50</v>
      </c>
      <c r="BN26" s="141">
        <v>17</v>
      </c>
      <c r="BO26" s="141">
        <v>33</v>
      </c>
      <c r="BP26" s="141">
        <v>18</v>
      </c>
      <c r="BQ26" s="141">
        <v>7</v>
      </c>
      <c r="BR26" s="141">
        <v>11</v>
      </c>
      <c r="BS26" s="141">
        <v>1</v>
      </c>
      <c r="BT26" s="141">
        <v>0</v>
      </c>
      <c r="BU26" s="151">
        <v>1</v>
      </c>
      <c r="BV26" s="149">
        <v>14</v>
      </c>
      <c r="BW26" s="139">
        <v>11</v>
      </c>
      <c r="BX26" s="139">
        <v>3</v>
      </c>
      <c r="BY26" s="140">
        <v>0</v>
      </c>
      <c r="BZ26" s="141">
        <v>0</v>
      </c>
      <c r="CA26" s="141">
        <v>0</v>
      </c>
      <c r="CB26" s="141">
        <v>0</v>
      </c>
      <c r="CC26" s="141">
        <v>0</v>
      </c>
      <c r="CD26" s="141">
        <v>0</v>
      </c>
      <c r="CE26" s="141">
        <v>1</v>
      </c>
      <c r="CF26" s="141">
        <v>1</v>
      </c>
      <c r="CG26" s="141">
        <v>0</v>
      </c>
      <c r="CH26" s="141">
        <v>0</v>
      </c>
      <c r="CI26" s="141">
        <v>0</v>
      </c>
      <c r="CJ26" s="141">
        <v>0</v>
      </c>
      <c r="CK26" s="141">
        <v>7</v>
      </c>
      <c r="CL26" s="141">
        <v>6</v>
      </c>
      <c r="CM26" s="141">
        <v>1</v>
      </c>
      <c r="CN26" s="141">
        <v>5</v>
      </c>
      <c r="CO26" s="141">
        <v>3</v>
      </c>
      <c r="CP26" s="141">
        <v>2</v>
      </c>
      <c r="CQ26" s="141">
        <v>1</v>
      </c>
      <c r="CR26" s="141">
        <v>1</v>
      </c>
      <c r="CS26" s="141">
        <v>0</v>
      </c>
    </row>
    <row r="27" spans="1:97" s="178" customFormat="1" ht="20.45" customHeight="1">
      <c r="A27" s="170" t="s">
        <v>354</v>
      </c>
      <c r="B27" s="139">
        <v>3514</v>
      </c>
      <c r="C27" s="139">
        <v>1498</v>
      </c>
      <c r="D27" s="139">
        <v>2016</v>
      </c>
      <c r="E27" s="141">
        <v>689</v>
      </c>
      <c r="F27" s="141">
        <v>232</v>
      </c>
      <c r="G27" s="141">
        <v>457</v>
      </c>
      <c r="H27" s="141">
        <v>686</v>
      </c>
      <c r="I27" s="141">
        <v>274</v>
      </c>
      <c r="J27" s="141">
        <v>412</v>
      </c>
      <c r="K27" s="141">
        <v>737</v>
      </c>
      <c r="L27" s="141">
        <v>298</v>
      </c>
      <c r="M27" s="141">
        <v>439</v>
      </c>
      <c r="N27" s="141">
        <v>460</v>
      </c>
      <c r="O27" s="141">
        <v>225</v>
      </c>
      <c r="P27" s="141">
        <v>235</v>
      </c>
      <c r="Q27" s="141">
        <v>317</v>
      </c>
      <c r="R27" s="141">
        <v>140</v>
      </c>
      <c r="S27" s="141">
        <v>177</v>
      </c>
      <c r="T27" s="141">
        <v>292</v>
      </c>
      <c r="U27" s="141">
        <v>155</v>
      </c>
      <c r="V27" s="141">
        <v>137</v>
      </c>
      <c r="W27" s="141">
        <v>333</v>
      </c>
      <c r="X27" s="141">
        <v>174</v>
      </c>
      <c r="Y27" s="151">
        <v>159</v>
      </c>
      <c r="Z27" s="139">
        <v>3305</v>
      </c>
      <c r="AA27" s="139">
        <v>1445</v>
      </c>
      <c r="AB27" s="139">
        <v>1860</v>
      </c>
      <c r="AC27" s="141">
        <v>647</v>
      </c>
      <c r="AD27" s="141">
        <v>230</v>
      </c>
      <c r="AE27" s="141">
        <v>417</v>
      </c>
      <c r="AF27" s="141">
        <v>630</v>
      </c>
      <c r="AG27" s="141">
        <v>259</v>
      </c>
      <c r="AH27" s="141">
        <v>371</v>
      </c>
      <c r="AI27" s="141">
        <v>696</v>
      </c>
      <c r="AJ27" s="141">
        <v>286</v>
      </c>
      <c r="AK27" s="141">
        <v>410</v>
      </c>
      <c r="AL27" s="141">
        <v>424</v>
      </c>
      <c r="AM27" s="141">
        <v>212</v>
      </c>
      <c r="AN27" s="141">
        <v>212</v>
      </c>
      <c r="AO27" s="141">
        <v>297</v>
      </c>
      <c r="AP27" s="141">
        <v>133</v>
      </c>
      <c r="AQ27" s="141">
        <v>164</v>
      </c>
      <c r="AR27" s="141">
        <v>283</v>
      </c>
      <c r="AS27" s="141">
        <v>153</v>
      </c>
      <c r="AT27" s="141">
        <v>130</v>
      </c>
      <c r="AU27" s="141">
        <v>328</v>
      </c>
      <c r="AV27" s="141">
        <v>172</v>
      </c>
      <c r="AW27" s="151">
        <v>156</v>
      </c>
      <c r="AX27" s="149">
        <v>277</v>
      </c>
      <c r="AY27" s="139">
        <v>72</v>
      </c>
      <c r="AZ27" s="139">
        <v>205</v>
      </c>
      <c r="BA27" s="140">
        <v>52</v>
      </c>
      <c r="BB27" s="141">
        <v>4</v>
      </c>
      <c r="BC27" s="141">
        <v>48</v>
      </c>
      <c r="BD27" s="141">
        <v>72</v>
      </c>
      <c r="BE27" s="141">
        <v>18</v>
      </c>
      <c r="BF27" s="141">
        <v>54</v>
      </c>
      <c r="BG27" s="141">
        <v>63</v>
      </c>
      <c r="BH27" s="141">
        <v>18</v>
      </c>
      <c r="BI27" s="141">
        <v>45</v>
      </c>
      <c r="BJ27" s="141">
        <v>44</v>
      </c>
      <c r="BK27" s="141">
        <v>16</v>
      </c>
      <c r="BL27" s="141">
        <v>28</v>
      </c>
      <c r="BM27" s="141">
        <v>37</v>
      </c>
      <c r="BN27" s="141">
        <v>14</v>
      </c>
      <c r="BO27" s="141">
        <v>23</v>
      </c>
      <c r="BP27" s="141">
        <v>9</v>
      </c>
      <c r="BQ27" s="141">
        <v>2</v>
      </c>
      <c r="BR27" s="141">
        <v>7</v>
      </c>
      <c r="BS27" s="141">
        <v>0</v>
      </c>
      <c r="BT27" s="141">
        <v>0</v>
      </c>
      <c r="BU27" s="151">
        <v>0</v>
      </c>
      <c r="BV27" s="149">
        <v>16</v>
      </c>
      <c r="BW27" s="139">
        <v>7</v>
      </c>
      <c r="BX27" s="139">
        <v>9</v>
      </c>
      <c r="BY27" s="140">
        <v>1</v>
      </c>
      <c r="BZ27" s="141">
        <v>1</v>
      </c>
      <c r="CA27" s="141">
        <v>0</v>
      </c>
      <c r="CB27" s="141">
        <v>0</v>
      </c>
      <c r="CC27" s="141">
        <v>0</v>
      </c>
      <c r="CD27" s="141">
        <v>0</v>
      </c>
      <c r="CE27" s="141">
        <v>0</v>
      </c>
      <c r="CF27" s="141">
        <v>0</v>
      </c>
      <c r="CG27" s="141">
        <v>0</v>
      </c>
      <c r="CH27" s="141">
        <v>4</v>
      </c>
      <c r="CI27" s="141">
        <v>2</v>
      </c>
      <c r="CJ27" s="141">
        <v>2</v>
      </c>
      <c r="CK27" s="141">
        <v>2</v>
      </c>
      <c r="CL27" s="141">
        <v>1</v>
      </c>
      <c r="CM27" s="141">
        <v>1</v>
      </c>
      <c r="CN27" s="141">
        <v>4</v>
      </c>
      <c r="CO27" s="141">
        <v>1</v>
      </c>
      <c r="CP27" s="141">
        <v>3</v>
      </c>
      <c r="CQ27" s="141">
        <v>5</v>
      </c>
      <c r="CR27" s="141">
        <v>2</v>
      </c>
      <c r="CS27" s="141">
        <v>3</v>
      </c>
    </row>
    <row r="28" spans="1:97" s="178" customFormat="1" ht="20.45" customHeight="1">
      <c r="A28" s="170" t="s">
        <v>355</v>
      </c>
      <c r="B28" s="139">
        <v>4478</v>
      </c>
      <c r="C28" s="139">
        <v>1742</v>
      </c>
      <c r="D28" s="139">
        <v>2736</v>
      </c>
      <c r="E28" s="141">
        <v>832</v>
      </c>
      <c r="F28" s="141">
        <v>259</v>
      </c>
      <c r="G28" s="141">
        <v>573</v>
      </c>
      <c r="H28" s="141">
        <v>865</v>
      </c>
      <c r="I28" s="141">
        <v>318</v>
      </c>
      <c r="J28" s="141">
        <v>547</v>
      </c>
      <c r="K28" s="141">
        <v>901</v>
      </c>
      <c r="L28" s="141">
        <v>366</v>
      </c>
      <c r="M28" s="141">
        <v>535</v>
      </c>
      <c r="N28" s="141">
        <v>766</v>
      </c>
      <c r="O28" s="141">
        <v>321</v>
      </c>
      <c r="P28" s="141">
        <v>445</v>
      </c>
      <c r="Q28" s="141">
        <v>444</v>
      </c>
      <c r="R28" s="141">
        <v>186</v>
      </c>
      <c r="S28" s="141">
        <v>258</v>
      </c>
      <c r="T28" s="141">
        <v>335</v>
      </c>
      <c r="U28" s="141">
        <v>149</v>
      </c>
      <c r="V28" s="141">
        <v>186</v>
      </c>
      <c r="W28" s="141">
        <v>335</v>
      </c>
      <c r="X28" s="141">
        <v>143</v>
      </c>
      <c r="Y28" s="151">
        <v>192</v>
      </c>
      <c r="Z28" s="139">
        <v>4169</v>
      </c>
      <c r="AA28" s="139">
        <v>1651</v>
      </c>
      <c r="AB28" s="139">
        <v>2518</v>
      </c>
      <c r="AC28" s="141">
        <v>797</v>
      </c>
      <c r="AD28" s="141">
        <v>252</v>
      </c>
      <c r="AE28" s="141">
        <v>545</v>
      </c>
      <c r="AF28" s="141">
        <v>790</v>
      </c>
      <c r="AG28" s="141">
        <v>293</v>
      </c>
      <c r="AH28" s="141">
        <v>497</v>
      </c>
      <c r="AI28" s="141">
        <v>819</v>
      </c>
      <c r="AJ28" s="141">
        <v>344</v>
      </c>
      <c r="AK28" s="141">
        <v>475</v>
      </c>
      <c r="AL28" s="141">
        <v>712</v>
      </c>
      <c r="AM28" s="141">
        <v>306</v>
      </c>
      <c r="AN28" s="141">
        <v>406</v>
      </c>
      <c r="AO28" s="141">
        <v>397</v>
      </c>
      <c r="AP28" s="141">
        <v>170</v>
      </c>
      <c r="AQ28" s="141">
        <v>227</v>
      </c>
      <c r="AR28" s="141">
        <v>322</v>
      </c>
      <c r="AS28" s="141">
        <v>144</v>
      </c>
      <c r="AT28" s="141">
        <v>178</v>
      </c>
      <c r="AU28" s="141">
        <v>332</v>
      </c>
      <c r="AV28" s="141">
        <v>142</v>
      </c>
      <c r="AW28" s="151">
        <v>190</v>
      </c>
      <c r="AX28" s="149">
        <v>511</v>
      </c>
      <c r="AY28" s="139">
        <v>170</v>
      </c>
      <c r="AZ28" s="139">
        <v>341</v>
      </c>
      <c r="BA28" s="140">
        <v>52</v>
      </c>
      <c r="BB28" s="141">
        <v>9</v>
      </c>
      <c r="BC28" s="141">
        <v>43</v>
      </c>
      <c r="BD28" s="141">
        <v>115</v>
      </c>
      <c r="BE28" s="141">
        <v>39</v>
      </c>
      <c r="BF28" s="141">
        <v>76</v>
      </c>
      <c r="BG28" s="141">
        <v>119</v>
      </c>
      <c r="BH28" s="141">
        <v>40</v>
      </c>
      <c r="BI28" s="141">
        <v>79</v>
      </c>
      <c r="BJ28" s="141">
        <v>108</v>
      </c>
      <c r="BK28" s="141">
        <v>35</v>
      </c>
      <c r="BL28" s="141">
        <v>73</v>
      </c>
      <c r="BM28" s="141">
        <v>80</v>
      </c>
      <c r="BN28" s="141">
        <v>28</v>
      </c>
      <c r="BO28" s="141">
        <v>52</v>
      </c>
      <c r="BP28" s="141">
        <v>29</v>
      </c>
      <c r="BQ28" s="141">
        <v>12</v>
      </c>
      <c r="BR28" s="141">
        <v>17</v>
      </c>
      <c r="BS28" s="141">
        <v>8</v>
      </c>
      <c r="BT28" s="141">
        <v>7</v>
      </c>
      <c r="BU28" s="151">
        <v>1</v>
      </c>
      <c r="BV28" s="149">
        <v>11</v>
      </c>
      <c r="BW28" s="139">
        <v>7</v>
      </c>
      <c r="BX28" s="139">
        <v>4</v>
      </c>
      <c r="BY28" s="140">
        <v>0</v>
      </c>
      <c r="BZ28" s="141">
        <v>0</v>
      </c>
      <c r="CA28" s="141">
        <v>0</v>
      </c>
      <c r="CB28" s="141">
        <v>1</v>
      </c>
      <c r="CC28" s="141">
        <v>0</v>
      </c>
      <c r="CD28" s="141">
        <v>1</v>
      </c>
      <c r="CE28" s="141">
        <v>0</v>
      </c>
      <c r="CF28" s="141">
        <v>0</v>
      </c>
      <c r="CG28" s="141">
        <v>0</v>
      </c>
      <c r="CH28" s="141">
        <v>1</v>
      </c>
      <c r="CI28" s="141">
        <v>1</v>
      </c>
      <c r="CJ28" s="141">
        <v>0</v>
      </c>
      <c r="CK28" s="141">
        <v>4</v>
      </c>
      <c r="CL28" s="141">
        <v>3</v>
      </c>
      <c r="CM28" s="141">
        <v>1</v>
      </c>
      <c r="CN28" s="141">
        <v>2</v>
      </c>
      <c r="CO28" s="141">
        <v>2</v>
      </c>
      <c r="CP28" s="141">
        <v>0</v>
      </c>
      <c r="CQ28" s="141">
        <v>3</v>
      </c>
      <c r="CR28" s="141">
        <v>1</v>
      </c>
      <c r="CS28" s="141">
        <v>2</v>
      </c>
    </row>
    <row r="29" spans="1:97" s="178" customFormat="1" ht="20.45" customHeight="1">
      <c r="A29" s="170" t="s">
        <v>356</v>
      </c>
      <c r="B29" s="139">
        <v>1160</v>
      </c>
      <c r="C29" s="139">
        <v>437</v>
      </c>
      <c r="D29" s="139">
        <v>723</v>
      </c>
      <c r="E29" s="141">
        <v>243</v>
      </c>
      <c r="F29" s="141">
        <v>83</v>
      </c>
      <c r="G29" s="141">
        <v>160</v>
      </c>
      <c r="H29" s="141">
        <v>220</v>
      </c>
      <c r="I29" s="141">
        <v>65</v>
      </c>
      <c r="J29" s="141">
        <v>155</v>
      </c>
      <c r="K29" s="141">
        <v>222</v>
      </c>
      <c r="L29" s="141">
        <v>91</v>
      </c>
      <c r="M29" s="141">
        <v>131</v>
      </c>
      <c r="N29" s="141">
        <v>171</v>
      </c>
      <c r="O29" s="141">
        <v>69</v>
      </c>
      <c r="P29" s="141">
        <v>102</v>
      </c>
      <c r="Q29" s="141">
        <v>112</v>
      </c>
      <c r="R29" s="141">
        <v>44</v>
      </c>
      <c r="S29" s="141">
        <v>68</v>
      </c>
      <c r="T29" s="141">
        <v>101</v>
      </c>
      <c r="U29" s="141">
        <v>39</v>
      </c>
      <c r="V29" s="141">
        <v>62</v>
      </c>
      <c r="W29" s="141">
        <v>91</v>
      </c>
      <c r="X29" s="141">
        <v>46</v>
      </c>
      <c r="Y29" s="151">
        <v>45</v>
      </c>
      <c r="Z29" s="139">
        <v>1088</v>
      </c>
      <c r="AA29" s="139">
        <v>413</v>
      </c>
      <c r="AB29" s="139">
        <v>675</v>
      </c>
      <c r="AC29" s="141">
        <v>228</v>
      </c>
      <c r="AD29" s="141">
        <v>80</v>
      </c>
      <c r="AE29" s="141">
        <v>148</v>
      </c>
      <c r="AF29" s="141">
        <v>207</v>
      </c>
      <c r="AG29" s="141">
        <v>62</v>
      </c>
      <c r="AH29" s="141">
        <v>145</v>
      </c>
      <c r="AI29" s="141">
        <v>209</v>
      </c>
      <c r="AJ29" s="141">
        <v>86</v>
      </c>
      <c r="AK29" s="141">
        <v>123</v>
      </c>
      <c r="AL29" s="141">
        <v>155</v>
      </c>
      <c r="AM29" s="141">
        <v>61</v>
      </c>
      <c r="AN29" s="141">
        <v>94</v>
      </c>
      <c r="AO29" s="141">
        <v>100</v>
      </c>
      <c r="AP29" s="141">
        <v>40</v>
      </c>
      <c r="AQ29" s="141">
        <v>60</v>
      </c>
      <c r="AR29" s="141">
        <v>98</v>
      </c>
      <c r="AS29" s="141">
        <v>38</v>
      </c>
      <c r="AT29" s="141">
        <v>60</v>
      </c>
      <c r="AU29" s="141">
        <v>91</v>
      </c>
      <c r="AV29" s="141">
        <v>46</v>
      </c>
      <c r="AW29" s="151">
        <v>45</v>
      </c>
      <c r="AX29" s="149">
        <v>102</v>
      </c>
      <c r="AY29" s="139">
        <v>33</v>
      </c>
      <c r="AZ29" s="139">
        <v>69</v>
      </c>
      <c r="BA29" s="140">
        <v>16</v>
      </c>
      <c r="BB29" s="141">
        <v>3</v>
      </c>
      <c r="BC29" s="141">
        <v>13</v>
      </c>
      <c r="BD29" s="141">
        <v>18</v>
      </c>
      <c r="BE29" s="141">
        <v>3</v>
      </c>
      <c r="BF29" s="141">
        <v>15</v>
      </c>
      <c r="BG29" s="141">
        <v>21</v>
      </c>
      <c r="BH29" s="141">
        <v>7</v>
      </c>
      <c r="BI29" s="141">
        <v>14</v>
      </c>
      <c r="BJ29" s="141">
        <v>25</v>
      </c>
      <c r="BK29" s="141">
        <v>11</v>
      </c>
      <c r="BL29" s="141">
        <v>14</v>
      </c>
      <c r="BM29" s="141">
        <v>20</v>
      </c>
      <c r="BN29" s="141">
        <v>9</v>
      </c>
      <c r="BO29" s="141">
        <v>11</v>
      </c>
      <c r="BP29" s="141">
        <v>2</v>
      </c>
      <c r="BQ29" s="141">
        <v>0</v>
      </c>
      <c r="BR29" s="141">
        <v>2</v>
      </c>
      <c r="BS29" s="141">
        <v>0</v>
      </c>
      <c r="BT29" s="141">
        <v>0</v>
      </c>
      <c r="BU29" s="151">
        <v>0</v>
      </c>
      <c r="BV29" s="149">
        <v>4</v>
      </c>
      <c r="BW29" s="139">
        <v>1</v>
      </c>
      <c r="BX29" s="139">
        <v>3</v>
      </c>
      <c r="BY29" s="140">
        <v>0</v>
      </c>
      <c r="BZ29" s="141">
        <v>0</v>
      </c>
      <c r="CA29" s="141">
        <v>0</v>
      </c>
      <c r="CB29" s="141">
        <v>0</v>
      </c>
      <c r="CC29" s="141">
        <v>0</v>
      </c>
      <c r="CD29" s="141">
        <v>0</v>
      </c>
      <c r="CE29" s="141">
        <v>0</v>
      </c>
      <c r="CF29" s="141">
        <v>0</v>
      </c>
      <c r="CG29" s="141">
        <v>0</v>
      </c>
      <c r="CH29" s="141">
        <v>1</v>
      </c>
      <c r="CI29" s="141">
        <v>0</v>
      </c>
      <c r="CJ29" s="141">
        <v>1</v>
      </c>
      <c r="CK29" s="141">
        <v>0</v>
      </c>
      <c r="CL29" s="141">
        <v>0</v>
      </c>
      <c r="CM29" s="141">
        <v>0</v>
      </c>
      <c r="CN29" s="141">
        <v>2</v>
      </c>
      <c r="CO29" s="141">
        <v>1</v>
      </c>
      <c r="CP29" s="141">
        <v>1</v>
      </c>
      <c r="CQ29" s="141">
        <v>1</v>
      </c>
      <c r="CR29" s="141">
        <v>0</v>
      </c>
      <c r="CS29" s="141">
        <v>1</v>
      </c>
    </row>
    <row r="30" spans="1:97" s="178" customFormat="1" ht="20.45" customHeight="1" thickBot="1">
      <c r="A30" s="171" t="s">
        <v>357</v>
      </c>
      <c r="B30" s="161">
        <v>21</v>
      </c>
      <c r="C30" s="161">
        <v>10</v>
      </c>
      <c r="D30" s="161">
        <v>11</v>
      </c>
      <c r="E30" s="162">
        <v>9</v>
      </c>
      <c r="F30" s="162">
        <v>4</v>
      </c>
      <c r="G30" s="162">
        <v>5</v>
      </c>
      <c r="H30" s="162">
        <v>5</v>
      </c>
      <c r="I30" s="163">
        <v>2</v>
      </c>
      <c r="J30" s="164">
        <v>3</v>
      </c>
      <c r="K30" s="162">
        <v>3</v>
      </c>
      <c r="L30" s="162">
        <v>1</v>
      </c>
      <c r="M30" s="162">
        <v>2</v>
      </c>
      <c r="N30" s="162">
        <v>2</v>
      </c>
      <c r="O30" s="162">
        <v>1</v>
      </c>
      <c r="P30" s="162">
        <v>1</v>
      </c>
      <c r="Q30" s="162">
        <v>1</v>
      </c>
      <c r="R30" s="162">
        <v>1</v>
      </c>
      <c r="S30" s="162">
        <v>0</v>
      </c>
      <c r="T30" s="162">
        <v>0</v>
      </c>
      <c r="U30" s="162">
        <v>0</v>
      </c>
      <c r="V30" s="162">
        <v>0</v>
      </c>
      <c r="W30" s="162">
        <v>1</v>
      </c>
      <c r="X30" s="162">
        <v>1</v>
      </c>
      <c r="Y30" s="165">
        <v>0</v>
      </c>
      <c r="Z30" s="161">
        <v>16</v>
      </c>
      <c r="AA30" s="161">
        <v>7</v>
      </c>
      <c r="AB30" s="161">
        <v>9</v>
      </c>
      <c r="AC30" s="162">
        <v>6</v>
      </c>
      <c r="AD30" s="162">
        <v>3</v>
      </c>
      <c r="AE30" s="162">
        <v>3</v>
      </c>
      <c r="AF30" s="162">
        <v>5</v>
      </c>
      <c r="AG30" s="163">
        <v>2</v>
      </c>
      <c r="AH30" s="164">
        <v>3</v>
      </c>
      <c r="AI30" s="162">
        <v>3</v>
      </c>
      <c r="AJ30" s="162">
        <v>1</v>
      </c>
      <c r="AK30" s="162">
        <v>2</v>
      </c>
      <c r="AL30" s="162">
        <v>1</v>
      </c>
      <c r="AM30" s="162">
        <v>0</v>
      </c>
      <c r="AN30" s="162">
        <v>1</v>
      </c>
      <c r="AO30" s="162">
        <v>1</v>
      </c>
      <c r="AP30" s="162">
        <v>1</v>
      </c>
      <c r="AQ30" s="162">
        <v>0</v>
      </c>
      <c r="AR30" s="162">
        <v>0</v>
      </c>
      <c r="AS30" s="162">
        <v>0</v>
      </c>
      <c r="AT30" s="162">
        <v>0</v>
      </c>
      <c r="AU30" s="162">
        <v>0</v>
      </c>
      <c r="AV30" s="162">
        <v>0</v>
      </c>
      <c r="AW30" s="165">
        <v>0</v>
      </c>
      <c r="AX30" s="166">
        <v>5</v>
      </c>
      <c r="AY30" s="161">
        <v>3</v>
      </c>
      <c r="AZ30" s="161">
        <v>2</v>
      </c>
      <c r="BA30" s="164">
        <v>3</v>
      </c>
      <c r="BB30" s="162">
        <v>1</v>
      </c>
      <c r="BC30" s="162">
        <v>2</v>
      </c>
      <c r="BD30" s="162">
        <v>0</v>
      </c>
      <c r="BE30" s="163">
        <v>0</v>
      </c>
      <c r="BF30" s="164">
        <v>0</v>
      </c>
      <c r="BG30" s="162">
        <v>0</v>
      </c>
      <c r="BH30" s="162">
        <v>0</v>
      </c>
      <c r="BI30" s="162">
        <v>0</v>
      </c>
      <c r="BJ30" s="162">
        <v>1</v>
      </c>
      <c r="BK30" s="162">
        <v>1</v>
      </c>
      <c r="BL30" s="162">
        <v>0</v>
      </c>
      <c r="BM30" s="162">
        <v>0</v>
      </c>
      <c r="BN30" s="162">
        <v>0</v>
      </c>
      <c r="BO30" s="162">
        <v>0</v>
      </c>
      <c r="BP30" s="162">
        <v>0</v>
      </c>
      <c r="BQ30" s="162">
        <v>0</v>
      </c>
      <c r="BR30" s="162">
        <v>0</v>
      </c>
      <c r="BS30" s="162">
        <v>1</v>
      </c>
      <c r="BT30" s="162">
        <v>1</v>
      </c>
      <c r="BU30" s="165">
        <v>0</v>
      </c>
      <c r="BV30" s="166">
        <v>0</v>
      </c>
      <c r="BW30" s="161">
        <v>0</v>
      </c>
      <c r="BX30" s="161">
        <v>0</v>
      </c>
      <c r="BY30" s="164">
        <v>0</v>
      </c>
      <c r="BZ30" s="162">
        <v>0</v>
      </c>
      <c r="CA30" s="162">
        <v>0</v>
      </c>
      <c r="CB30" s="162">
        <v>0</v>
      </c>
      <c r="CC30" s="163">
        <v>0</v>
      </c>
      <c r="CD30" s="164">
        <v>0</v>
      </c>
      <c r="CE30" s="162">
        <v>0</v>
      </c>
      <c r="CF30" s="162">
        <v>0</v>
      </c>
      <c r="CG30" s="162">
        <v>0</v>
      </c>
      <c r="CH30" s="162">
        <v>0</v>
      </c>
      <c r="CI30" s="162">
        <v>0</v>
      </c>
      <c r="CJ30" s="162">
        <v>0</v>
      </c>
      <c r="CK30" s="162">
        <v>0</v>
      </c>
      <c r="CL30" s="162">
        <v>0</v>
      </c>
      <c r="CM30" s="162">
        <v>0</v>
      </c>
      <c r="CN30" s="162">
        <v>0</v>
      </c>
      <c r="CO30" s="162">
        <v>0</v>
      </c>
      <c r="CP30" s="162">
        <v>0</v>
      </c>
      <c r="CQ30" s="162">
        <v>0</v>
      </c>
      <c r="CR30" s="162">
        <v>0</v>
      </c>
      <c r="CS30" s="162">
        <v>0</v>
      </c>
    </row>
    <row r="31" spans="1:97" ht="15.75" customHeight="1">
      <c r="A31" s="189" t="s">
        <v>382</v>
      </c>
      <c r="D31" s="179"/>
      <c r="E31" s="180"/>
      <c r="F31" s="180"/>
      <c r="I31" s="180"/>
      <c r="AB31" s="179"/>
      <c r="AC31" s="180"/>
      <c r="AD31" s="180"/>
      <c r="AG31" s="180"/>
      <c r="AZ31" s="179"/>
      <c r="BA31" s="180"/>
      <c r="BB31" s="180"/>
      <c r="BE31" s="180"/>
      <c r="BX31" s="179"/>
      <c r="BY31" s="180"/>
      <c r="BZ31" s="180"/>
      <c r="CC31" s="180"/>
    </row>
    <row r="32" spans="1:97" ht="17.45" customHeight="1">
      <c r="A32" s="189" t="s">
        <v>435</v>
      </c>
      <c r="D32" s="179"/>
      <c r="E32" s="180"/>
      <c r="F32" s="180"/>
      <c r="I32" s="180"/>
      <c r="AB32" s="179"/>
      <c r="AC32" s="180"/>
      <c r="AD32" s="180"/>
      <c r="AG32" s="180"/>
      <c r="AZ32" s="179"/>
      <c r="BA32" s="180"/>
      <c r="BB32" s="180"/>
      <c r="BE32" s="180"/>
      <c r="BX32" s="179"/>
      <c r="BY32" s="180"/>
      <c r="BZ32" s="180"/>
      <c r="CC32" s="180"/>
    </row>
    <row r="33" spans="1:1">
      <c r="A33" s="188" t="s">
        <v>329</v>
      </c>
    </row>
    <row r="34" spans="1:1">
      <c r="A34" s="13"/>
    </row>
    <row r="35" spans="1:1" ht="16.5">
      <c r="A35" s="186" t="s">
        <v>438</v>
      </c>
    </row>
  </sheetData>
  <mergeCells count="43">
    <mergeCell ref="CE6:CG6"/>
    <mergeCell ref="CH6:CJ6"/>
    <mergeCell ref="CK6:CM6"/>
    <mergeCell ref="CN6:CP6"/>
    <mergeCell ref="CQ6:CS6"/>
    <mergeCell ref="CB6:CD6"/>
    <mergeCell ref="AU6:AW6"/>
    <mergeCell ref="AX6:AZ6"/>
    <mergeCell ref="BA6:BC6"/>
    <mergeCell ref="BD6:BF6"/>
    <mergeCell ref="BG6:BI6"/>
    <mergeCell ref="BJ6:BL6"/>
    <mergeCell ref="BM6:BO6"/>
    <mergeCell ref="BP6:BR6"/>
    <mergeCell ref="BS6:BU6"/>
    <mergeCell ref="BV6:BX6"/>
    <mergeCell ref="BY6:CA6"/>
    <mergeCell ref="AC6:AE6"/>
    <mergeCell ref="AF6:AH6"/>
    <mergeCell ref="AI6:AK6"/>
    <mergeCell ref="AL6:AN6"/>
    <mergeCell ref="AO6:AQ6"/>
    <mergeCell ref="N6:P6"/>
    <mergeCell ref="Q6:S6"/>
    <mergeCell ref="T6:V6"/>
    <mergeCell ref="W6:Y6"/>
    <mergeCell ref="Z6:AB6"/>
    <mergeCell ref="BT3:BU3"/>
    <mergeCell ref="CR3:CS3"/>
    <mergeCell ref="A4:A7"/>
    <mergeCell ref="B4:Y4"/>
    <mergeCell ref="Z4:AW4"/>
    <mergeCell ref="AX4:BU4"/>
    <mergeCell ref="BV4:CS4"/>
    <mergeCell ref="B5:Y5"/>
    <mergeCell ref="Z5:AW5"/>
    <mergeCell ref="AX5:BU5"/>
    <mergeCell ref="AR6:AT6"/>
    <mergeCell ref="BV5:CS5"/>
    <mergeCell ref="B6:D6"/>
    <mergeCell ref="E6:G6"/>
    <mergeCell ref="H6:J6"/>
    <mergeCell ref="K6:M6"/>
  </mergeCells>
  <phoneticPr fontId="6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51" fitToWidth="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35"/>
  <sheetViews>
    <sheetView zoomScale="85" zoomScaleNormal="85" zoomScaleSheetLayoutView="9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AE14" sqref="AE14"/>
    </sheetView>
  </sheetViews>
  <sheetFormatPr defaultColWidth="11.5" defaultRowHeight="15.75"/>
  <cols>
    <col min="1" max="1" width="44.33203125" style="168" customWidth="1"/>
    <col min="2" max="4" width="12" style="168" customWidth="1"/>
    <col min="5" max="25" width="11.1640625" style="168" customWidth="1"/>
    <col min="26" max="27" width="13.1640625" style="168" customWidth="1"/>
    <col min="28" max="28" width="12.1640625" style="168" bestFit="1" customWidth="1"/>
    <col min="29" max="29" width="13.1640625" style="168" customWidth="1"/>
    <col min="30" max="38" width="10.6640625" style="168" bestFit="1" customWidth="1"/>
    <col min="39" max="39" width="13.1640625" style="168" customWidth="1"/>
    <col min="40" max="45" width="10.6640625" style="168" bestFit="1" customWidth="1"/>
    <col min="46" max="47" width="13.1640625" style="168" customWidth="1"/>
    <col min="48" max="49" width="10.6640625" style="168" bestFit="1" customWidth="1"/>
    <col min="50" max="73" width="11.33203125" style="168" customWidth="1"/>
    <col min="74" max="74" width="12.83203125" style="168" customWidth="1"/>
    <col min="75" max="97" width="10.33203125" style="168" customWidth="1"/>
    <col min="98" max="16384" width="11.5" style="168"/>
  </cols>
  <sheetData>
    <row r="1" spans="1:97" s="174" customFormat="1" ht="27" customHeight="1">
      <c r="A1" s="172" t="s">
        <v>358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3"/>
      <c r="AK1" s="173"/>
      <c r="AL1" s="173"/>
      <c r="AM1" s="173"/>
      <c r="AN1" s="173"/>
      <c r="AO1" s="173"/>
      <c r="AP1" s="173"/>
      <c r="AQ1" s="173"/>
      <c r="AR1" s="173"/>
      <c r="AS1" s="173"/>
      <c r="AT1" s="173"/>
      <c r="AU1" s="173"/>
      <c r="AV1" s="173"/>
      <c r="AW1" s="173"/>
      <c r="AX1" s="173"/>
      <c r="AY1" s="173"/>
      <c r="AZ1" s="173"/>
      <c r="BA1" s="173"/>
      <c r="BB1" s="173"/>
      <c r="BC1" s="173"/>
      <c r="BD1" s="173"/>
      <c r="BE1" s="173"/>
      <c r="BF1" s="173"/>
      <c r="BG1" s="173"/>
      <c r="BH1" s="173"/>
      <c r="BI1" s="173"/>
      <c r="BJ1" s="173"/>
      <c r="BK1" s="173"/>
      <c r="BL1" s="173"/>
      <c r="BM1" s="173"/>
      <c r="BN1" s="173"/>
      <c r="BO1" s="173"/>
      <c r="BP1" s="173"/>
      <c r="BQ1" s="173"/>
      <c r="BR1" s="173"/>
      <c r="BS1" s="173"/>
      <c r="BT1" s="173"/>
      <c r="BU1" s="173"/>
      <c r="BV1" s="173"/>
      <c r="BW1" s="173"/>
      <c r="BX1" s="173"/>
      <c r="BY1" s="173"/>
      <c r="BZ1" s="173"/>
      <c r="CA1" s="173"/>
      <c r="CB1" s="173"/>
      <c r="CC1" s="173"/>
      <c r="CD1" s="173"/>
      <c r="CE1" s="173"/>
      <c r="CF1" s="173"/>
      <c r="CG1" s="173"/>
      <c r="CH1" s="173"/>
      <c r="CI1" s="173"/>
      <c r="CJ1" s="173"/>
      <c r="CK1" s="173"/>
      <c r="CL1" s="173"/>
      <c r="CM1" s="173"/>
      <c r="CN1" s="173"/>
      <c r="CO1" s="173"/>
      <c r="CP1" s="173"/>
      <c r="CQ1" s="173"/>
      <c r="CR1" s="173"/>
      <c r="CS1" s="173"/>
    </row>
    <row r="2" spans="1:97" s="174" customFormat="1" ht="18.600000000000001" customHeight="1">
      <c r="A2" s="167" t="s">
        <v>359</v>
      </c>
      <c r="AA2" s="173"/>
      <c r="AB2" s="173"/>
      <c r="AC2" s="173"/>
      <c r="AD2" s="173"/>
      <c r="AE2" s="173"/>
      <c r="AF2" s="173"/>
      <c r="AG2" s="173"/>
      <c r="AH2" s="173"/>
      <c r="AI2" s="173"/>
      <c r="AJ2" s="173"/>
      <c r="AK2" s="173"/>
      <c r="AL2" s="173"/>
      <c r="AM2" s="173"/>
      <c r="AN2" s="173"/>
      <c r="AO2" s="173"/>
      <c r="AP2" s="173"/>
      <c r="AQ2" s="173"/>
      <c r="AR2" s="173"/>
      <c r="AS2" s="173"/>
      <c r="AT2" s="173"/>
      <c r="AU2" s="173"/>
      <c r="AV2" s="173"/>
      <c r="AW2" s="173"/>
      <c r="AX2" s="173"/>
      <c r="AY2" s="173"/>
      <c r="AZ2" s="173"/>
      <c r="BA2" s="173"/>
      <c r="BB2" s="173"/>
      <c r="BC2" s="173"/>
      <c r="BD2" s="173"/>
      <c r="BE2" s="173"/>
      <c r="BF2" s="173"/>
      <c r="BG2" s="173"/>
      <c r="BH2" s="173"/>
      <c r="BI2" s="173"/>
      <c r="BJ2" s="173"/>
      <c r="BK2" s="173"/>
      <c r="BL2" s="173"/>
      <c r="BM2" s="173"/>
      <c r="BN2" s="173"/>
      <c r="BO2" s="173"/>
      <c r="BP2" s="173"/>
      <c r="BQ2" s="173"/>
      <c r="BR2" s="173"/>
      <c r="BS2" s="173"/>
      <c r="BT2" s="173"/>
      <c r="BU2" s="173"/>
      <c r="BV2" s="173"/>
      <c r="BW2" s="173"/>
      <c r="BX2" s="173"/>
      <c r="BY2" s="173"/>
      <c r="BZ2" s="173"/>
      <c r="CA2" s="173"/>
      <c r="CB2" s="173"/>
      <c r="CC2" s="173"/>
      <c r="CD2" s="173"/>
      <c r="CE2" s="173"/>
      <c r="CF2" s="173"/>
      <c r="CG2" s="173"/>
      <c r="CH2" s="173"/>
      <c r="CI2" s="173"/>
      <c r="CJ2" s="173"/>
      <c r="CK2" s="173"/>
      <c r="CL2" s="173"/>
      <c r="CM2" s="173"/>
      <c r="CN2" s="173"/>
      <c r="CO2" s="173"/>
      <c r="CP2" s="173"/>
      <c r="CQ2" s="173"/>
      <c r="CR2" s="173"/>
      <c r="CS2" s="173"/>
    </row>
    <row r="3" spans="1:97" s="150" customFormat="1" ht="18.600000000000001" customHeight="1" thickBot="1">
      <c r="A3" s="203" t="s">
        <v>383</v>
      </c>
      <c r="B3" s="176"/>
      <c r="C3" s="176"/>
      <c r="D3" s="176"/>
      <c r="E3" s="137"/>
      <c r="F3" s="138"/>
      <c r="G3" s="138"/>
      <c r="H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AY3" s="176"/>
      <c r="AZ3" s="176"/>
      <c r="BA3" s="176"/>
      <c r="BB3" s="176"/>
      <c r="BC3" s="176"/>
      <c r="BD3" s="176"/>
      <c r="BH3" s="176"/>
      <c r="BI3" s="176"/>
      <c r="BJ3" s="176"/>
      <c r="BK3" s="176"/>
      <c r="BL3" s="176"/>
      <c r="BM3" s="176"/>
      <c r="BN3" s="176"/>
      <c r="BO3" s="176"/>
      <c r="BP3" s="176"/>
      <c r="BQ3" s="176"/>
      <c r="BR3" s="176"/>
      <c r="BS3" s="176"/>
      <c r="BT3" s="239"/>
      <c r="BU3" s="239"/>
      <c r="BV3" s="176"/>
      <c r="BW3" s="176"/>
      <c r="BX3" s="176"/>
      <c r="BY3" s="176"/>
      <c r="BZ3" s="176"/>
      <c r="CA3" s="176"/>
      <c r="CB3" s="176"/>
      <c r="CF3" s="176"/>
      <c r="CG3" s="176"/>
      <c r="CH3" s="176"/>
      <c r="CI3" s="176"/>
      <c r="CJ3" s="176"/>
      <c r="CK3" s="176"/>
      <c r="CL3" s="176"/>
      <c r="CM3" s="176"/>
      <c r="CN3" s="176"/>
      <c r="CO3" s="176"/>
      <c r="CP3" s="176"/>
      <c r="CQ3" s="176"/>
      <c r="CR3" s="239"/>
      <c r="CS3" s="239"/>
    </row>
    <row r="4" spans="1:97" s="150" customFormat="1" ht="21.75" customHeight="1">
      <c r="A4" s="275" t="s">
        <v>361</v>
      </c>
      <c r="B4" s="276" t="s">
        <v>376</v>
      </c>
      <c r="C4" s="243"/>
      <c r="D4" s="243"/>
      <c r="E4" s="243"/>
      <c r="F4" s="243"/>
      <c r="G4" s="243"/>
      <c r="H4" s="243"/>
      <c r="I4" s="243"/>
      <c r="J4" s="244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43"/>
      <c r="X4" s="243"/>
      <c r="Y4" s="245"/>
      <c r="Z4" s="246" t="s">
        <v>376</v>
      </c>
      <c r="AA4" s="247"/>
      <c r="AB4" s="247"/>
      <c r="AC4" s="247"/>
      <c r="AD4" s="247"/>
      <c r="AE4" s="247"/>
      <c r="AF4" s="247"/>
      <c r="AG4" s="247"/>
      <c r="AH4" s="248"/>
      <c r="AI4" s="247"/>
      <c r="AJ4" s="247"/>
      <c r="AK4" s="247"/>
      <c r="AL4" s="247"/>
      <c r="AM4" s="247"/>
      <c r="AN4" s="247"/>
      <c r="AO4" s="247"/>
      <c r="AP4" s="247"/>
      <c r="AQ4" s="247"/>
      <c r="AR4" s="247"/>
      <c r="AS4" s="247"/>
      <c r="AT4" s="247"/>
      <c r="AU4" s="247"/>
      <c r="AV4" s="247"/>
      <c r="AW4" s="249"/>
      <c r="AX4" s="250" t="s">
        <v>376</v>
      </c>
      <c r="AY4" s="251"/>
      <c r="AZ4" s="251"/>
      <c r="BA4" s="251"/>
      <c r="BB4" s="251"/>
      <c r="BC4" s="251"/>
      <c r="BD4" s="251"/>
      <c r="BE4" s="251"/>
      <c r="BF4" s="252"/>
      <c r="BG4" s="251"/>
      <c r="BH4" s="251"/>
      <c r="BI4" s="251"/>
      <c r="BJ4" s="251"/>
      <c r="BK4" s="251"/>
      <c r="BL4" s="251"/>
      <c r="BM4" s="251"/>
      <c r="BN4" s="251"/>
      <c r="BO4" s="251"/>
      <c r="BP4" s="251"/>
      <c r="BQ4" s="251"/>
      <c r="BR4" s="251"/>
      <c r="BS4" s="251"/>
      <c r="BT4" s="251"/>
      <c r="BU4" s="253"/>
      <c r="BV4" s="254" t="s">
        <v>376</v>
      </c>
      <c r="BW4" s="255"/>
      <c r="BX4" s="255"/>
      <c r="BY4" s="255"/>
      <c r="BZ4" s="255"/>
      <c r="CA4" s="255"/>
      <c r="CB4" s="255"/>
      <c r="CC4" s="255"/>
      <c r="CD4" s="256"/>
      <c r="CE4" s="255"/>
      <c r="CF4" s="255"/>
      <c r="CG4" s="255"/>
      <c r="CH4" s="255"/>
      <c r="CI4" s="255"/>
      <c r="CJ4" s="255"/>
      <c r="CK4" s="255"/>
      <c r="CL4" s="255"/>
      <c r="CM4" s="255"/>
      <c r="CN4" s="255"/>
      <c r="CO4" s="255"/>
      <c r="CP4" s="255"/>
      <c r="CQ4" s="255"/>
      <c r="CR4" s="255"/>
      <c r="CS4" s="256"/>
    </row>
    <row r="5" spans="1:97" ht="21.75" customHeight="1">
      <c r="A5" s="240"/>
      <c r="B5" s="257" t="s">
        <v>362</v>
      </c>
      <c r="C5" s="257"/>
      <c r="D5" s="257"/>
      <c r="E5" s="257"/>
      <c r="F5" s="257"/>
      <c r="G5" s="257"/>
      <c r="H5" s="257"/>
      <c r="I5" s="257"/>
      <c r="J5" s="257"/>
      <c r="K5" s="257"/>
      <c r="L5" s="257"/>
      <c r="M5" s="257"/>
      <c r="N5" s="257"/>
      <c r="O5" s="257"/>
      <c r="P5" s="257"/>
      <c r="Q5" s="257"/>
      <c r="R5" s="257"/>
      <c r="S5" s="257"/>
      <c r="T5" s="257"/>
      <c r="U5" s="257"/>
      <c r="V5" s="257"/>
      <c r="W5" s="257"/>
      <c r="X5" s="257"/>
      <c r="Y5" s="258"/>
      <c r="Z5" s="259" t="s">
        <v>363</v>
      </c>
      <c r="AA5" s="260"/>
      <c r="AB5" s="260"/>
      <c r="AC5" s="260"/>
      <c r="AD5" s="260"/>
      <c r="AE5" s="260"/>
      <c r="AF5" s="260"/>
      <c r="AG5" s="260"/>
      <c r="AH5" s="261"/>
      <c r="AI5" s="260"/>
      <c r="AJ5" s="260"/>
      <c r="AK5" s="260"/>
      <c r="AL5" s="260"/>
      <c r="AM5" s="260"/>
      <c r="AN5" s="260"/>
      <c r="AO5" s="260"/>
      <c r="AP5" s="260"/>
      <c r="AQ5" s="260"/>
      <c r="AR5" s="260"/>
      <c r="AS5" s="260"/>
      <c r="AT5" s="260"/>
      <c r="AU5" s="260"/>
      <c r="AV5" s="260"/>
      <c r="AW5" s="262"/>
      <c r="AX5" s="263" t="s">
        <v>364</v>
      </c>
      <c r="AY5" s="264"/>
      <c r="AZ5" s="264"/>
      <c r="BA5" s="264"/>
      <c r="BB5" s="264"/>
      <c r="BC5" s="264"/>
      <c r="BD5" s="264"/>
      <c r="BE5" s="264"/>
      <c r="BF5" s="265"/>
      <c r="BG5" s="264"/>
      <c r="BH5" s="264"/>
      <c r="BI5" s="264"/>
      <c r="BJ5" s="264"/>
      <c r="BK5" s="264"/>
      <c r="BL5" s="264"/>
      <c r="BM5" s="264"/>
      <c r="BN5" s="264"/>
      <c r="BO5" s="264"/>
      <c r="BP5" s="264"/>
      <c r="BQ5" s="264"/>
      <c r="BR5" s="264"/>
      <c r="BS5" s="264"/>
      <c r="BT5" s="264"/>
      <c r="BU5" s="266"/>
      <c r="BV5" s="268" t="s">
        <v>365</v>
      </c>
      <c r="BW5" s="269"/>
      <c r="BX5" s="269"/>
      <c r="BY5" s="269"/>
      <c r="BZ5" s="269"/>
      <c r="CA5" s="269"/>
      <c r="CB5" s="269"/>
      <c r="CC5" s="269"/>
      <c r="CD5" s="270"/>
      <c r="CE5" s="269"/>
      <c r="CF5" s="269"/>
      <c r="CG5" s="269"/>
      <c r="CH5" s="269"/>
      <c r="CI5" s="269"/>
      <c r="CJ5" s="269"/>
      <c r="CK5" s="269"/>
      <c r="CL5" s="269"/>
      <c r="CM5" s="269"/>
      <c r="CN5" s="269"/>
      <c r="CO5" s="269"/>
      <c r="CP5" s="269"/>
      <c r="CQ5" s="269"/>
      <c r="CR5" s="269"/>
      <c r="CS5" s="270"/>
    </row>
    <row r="6" spans="1:97" ht="21.75" customHeight="1">
      <c r="A6" s="240"/>
      <c r="B6" s="271" t="s">
        <v>366</v>
      </c>
      <c r="C6" s="271"/>
      <c r="D6" s="272"/>
      <c r="E6" s="267" t="s">
        <v>369</v>
      </c>
      <c r="F6" s="267"/>
      <c r="G6" s="267"/>
      <c r="H6" s="267" t="s">
        <v>370</v>
      </c>
      <c r="I6" s="267"/>
      <c r="J6" s="273"/>
      <c r="K6" s="267" t="s">
        <v>371</v>
      </c>
      <c r="L6" s="267"/>
      <c r="M6" s="267"/>
      <c r="N6" s="267" t="s">
        <v>372</v>
      </c>
      <c r="O6" s="267"/>
      <c r="P6" s="267"/>
      <c r="Q6" s="267" t="s">
        <v>373</v>
      </c>
      <c r="R6" s="267"/>
      <c r="S6" s="267"/>
      <c r="T6" s="267" t="s">
        <v>374</v>
      </c>
      <c r="U6" s="267"/>
      <c r="V6" s="267"/>
      <c r="W6" s="267" t="s">
        <v>375</v>
      </c>
      <c r="X6" s="267"/>
      <c r="Y6" s="274"/>
      <c r="Z6" s="271" t="s">
        <v>366</v>
      </c>
      <c r="AA6" s="271"/>
      <c r="AB6" s="272"/>
      <c r="AC6" s="267" t="s">
        <v>369</v>
      </c>
      <c r="AD6" s="267"/>
      <c r="AE6" s="267"/>
      <c r="AF6" s="267" t="s">
        <v>370</v>
      </c>
      <c r="AG6" s="267"/>
      <c r="AH6" s="273"/>
      <c r="AI6" s="267" t="s">
        <v>371</v>
      </c>
      <c r="AJ6" s="267"/>
      <c r="AK6" s="267"/>
      <c r="AL6" s="267" t="s">
        <v>372</v>
      </c>
      <c r="AM6" s="267"/>
      <c r="AN6" s="267"/>
      <c r="AO6" s="267" t="s">
        <v>373</v>
      </c>
      <c r="AP6" s="267"/>
      <c r="AQ6" s="267"/>
      <c r="AR6" s="267" t="s">
        <v>374</v>
      </c>
      <c r="AS6" s="267"/>
      <c r="AT6" s="267"/>
      <c r="AU6" s="267" t="s">
        <v>375</v>
      </c>
      <c r="AV6" s="267"/>
      <c r="AW6" s="274"/>
      <c r="AX6" s="271" t="s">
        <v>366</v>
      </c>
      <c r="AY6" s="271"/>
      <c r="AZ6" s="272"/>
      <c r="BA6" s="267" t="s">
        <v>369</v>
      </c>
      <c r="BB6" s="267"/>
      <c r="BC6" s="267"/>
      <c r="BD6" s="267" t="s">
        <v>370</v>
      </c>
      <c r="BE6" s="267"/>
      <c r="BF6" s="273"/>
      <c r="BG6" s="267" t="s">
        <v>371</v>
      </c>
      <c r="BH6" s="267"/>
      <c r="BI6" s="267"/>
      <c r="BJ6" s="267" t="s">
        <v>372</v>
      </c>
      <c r="BK6" s="267"/>
      <c r="BL6" s="267"/>
      <c r="BM6" s="267" t="s">
        <v>373</v>
      </c>
      <c r="BN6" s="267"/>
      <c r="BO6" s="267"/>
      <c r="BP6" s="267" t="s">
        <v>374</v>
      </c>
      <c r="BQ6" s="267"/>
      <c r="BR6" s="267"/>
      <c r="BS6" s="267" t="s">
        <v>375</v>
      </c>
      <c r="BT6" s="267"/>
      <c r="BU6" s="274"/>
      <c r="BV6" s="271" t="s">
        <v>366</v>
      </c>
      <c r="BW6" s="271"/>
      <c r="BX6" s="272"/>
      <c r="BY6" s="267" t="s">
        <v>369</v>
      </c>
      <c r="BZ6" s="267"/>
      <c r="CA6" s="267"/>
      <c r="CB6" s="267" t="s">
        <v>370</v>
      </c>
      <c r="CC6" s="267"/>
      <c r="CD6" s="273"/>
      <c r="CE6" s="267" t="s">
        <v>371</v>
      </c>
      <c r="CF6" s="267"/>
      <c r="CG6" s="267"/>
      <c r="CH6" s="267" t="s">
        <v>372</v>
      </c>
      <c r="CI6" s="267"/>
      <c r="CJ6" s="267"/>
      <c r="CK6" s="267" t="s">
        <v>373</v>
      </c>
      <c r="CL6" s="267"/>
      <c r="CM6" s="267"/>
      <c r="CN6" s="267" t="s">
        <v>374</v>
      </c>
      <c r="CO6" s="267"/>
      <c r="CP6" s="267"/>
      <c r="CQ6" s="267" t="s">
        <v>375</v>
      </c>
      <c r="CR6" s="267"/>
      <c r="CS6" s="274"/>
    </row>
    <row r="7" spans="1:97" ht="45.6" customHeight="1" thickBot="1">
      <c r="A7" s="241"/>
      <c r="B7" s="158" t="s">
        <v>335</v>
      </c>
      <c r="C7" s="156" t="s">
        <v>336</v>
      </c>
      <c r="D7" s="156" t="s">
        <v>337</v>
      </c>
      <c r="E7" s="155" t="s">
        <v>335</v>
      </c>
      <c r="F7" s="156" t="s">
        <v>336</v>
      </c>
      <c r="G7" s="156" t="s">
        <v>337</v>
      </c>
      <c r="H7" s="155" t="s">
        <v>335</v>
      </c>
      <c r="I7" s="156" t="s">
        <v>336</v>
      </c>
      <c r="J7" s="156" t="s">
        <v>337</v>
      </c>
      <c r="K7" s="155" t="s">
        <v>335</v>
      </c>
      <c r="L7" s="156" t="s">
        <v>336</v>
      </c>
      <c r="M7" s="156" t="s">
        <v>337</v>
      </c>
      <c r="N7" s="155" t="s">
        <v>335</v>
      </c>
      <c r="O7" s="156" t="s">
        <v>336</v>
      </c>
      <c r="P7" s="156" t="s">
        <v>337</v>
      </c>
      <c r="Q7" s="155" t="s">
        <v>335</v>
      </c>
      <c r="R7" s="156" t="s">
        <v>336</v>
      </c>
      <c r="S7" s="156" t="s">
        <v>337</v>
      </c>
      <c r="T7" s="155" t="s">
        <v>335</v>
      </c>
      <c r="U7" s="156" t="s">
        <v>336</v>
      </c>
      <c r="V7" s="156" t="s">
        <v>337</v>
      </c>
      <c r="W7" s="155" t="s">
        <v>335</v>
      </c>
      <c r="X7" s="156" t="s">
        <v>336</v>
      </c>
      <c r="Y7" s="157" t="s">
        <v>337</v>
      </c>
      <c r="Z7" s="158" t="s">
        <v>335</v>
      </c>
      <c r="AA7" s="156" t="s">
        <v>336</v>
      </c>
      <c r="AB7" s="156" t="s">
        <v>337</v>
      </c>
      <c r="AC7" s="155" t="s">
        <v>335</v>
      </c>
      <c r="AD7" s="156" t="s">
        <v>336</v>
      </c>
      <c r="AE7" s="156" t="s">
        <v>337</v>
      </c>
      <c r="AF7" s="155" t="s">
        <v>335</v>
      </c>
      <c r="AG7" s="156" t="s">
        <v>336</v>
      </c>
      <c r="AH7" s="156" t="s">
        <v>337</v>
      </c>
      <c r="AI7" s="155" t="s">
        <v>335</v>
      </c>
      <c r="AJ7" s="156" t="s">
        <v>336</v>
      </c>
      <c r="AK7" s="156" t="s">
        <v>337</v>
      </c>
      <c r="AL7" s="155" t="s">
        <v>335</v>
      </c>
      <c r="AM7" s="156" t="s">
        <v>336</v>
      </c>
      <c r="AN7" s="156" t="s">
        <v>337</v>
      </c>
      <c r="AO7" s="155" t="s">
        <v>335</v>
      </c>
      <c r="AP7" s="156" t="s">
        <v>336</v>
      </c>
      <c r="AQ7" s="156" t="s">
        <v>337</v>
      </c>
      <c r="AR7" s="155" t="s">
        <v>335</v>
      </c>
      <c r="AS7" s="156" t="s">
        <v>336</v>
      </c>
      <c r="AT7" s="156" t="s">
        <v>337</v>
      </c>
      <c r="AU7" s="155" t="s">
        <v>335</v>
      </c>
      <c r="AV7" s="156" t="s">
        <v>336</v>
      </c>
      <c r="AW7" s="157" t="s">
        <v>337</v>
      </c>
      <c r="AX7" s="159" t="s">
        <v>335</v>
      </c>
      <c r="AY7" s="156" t="s">
        <v>336</v>
      </c>
      <c r="AZ7" s="156" t="s">
        <v>337</v>
      </c>
      <c r="BA7" s="155" t="s">
        <v>335</v>
      </c>
      <c r="BB7" s="156" t="s">
        <v>336</v>
      </c>
      <c r="BC7" s="156" t="s">
        <v>337</v>
      </c>
      <c r="BD7" s="155" t="s">
        <v>335</v>
      </c>
      <c r="BE7" s="156" t="s">
        <v>336</v>
      </c>
      <c r="BF7" s="156" t="s">
        <v>337</v>
      </c>
      <c r="BG7" s="155" t="s">
        <v>335</v>
      </c>
      <c r="BH7" s="156" t="s">
        <v>336</v>
      </c>
      <c r="BI7" s="156" t="s">
        <v>337</v>
      </c>
      <c r="BJ7" s="155" t="s">
        <v>335</v>
      </c>
      <c r="BK7" s="156" t="s">
        <v>336</v>
      </c>
      <c r="BL7" s="156" t="s">
        <v>337</v>
      </c>
      <c r="BM7" s="155" t="s">
        <v>335</v>
      </c>
      <c r="BN7" s="156" t="s">
        <v>336</v>
      </c>
      <c r="BO7" s="156" t="s">
        <v>337</v>
      </c>
      <c r="BP7" s="155" t="s">
        <v>335</v>
      </c>
      <c r="BQ7" s="156" t="s">
        <v>336</v>
      </c>
      <c r="BR7" s="156" t="s">
        <v>337</v>
      </c>
      <c r="BS7" s="155" t="s">
        <v>335</v>
      </c>
      <c r="BT7" s="156" t="s">
        <v>336</v>
      </c>
      <c r="BU7" s="157" t="s">
        <v>337</v>
      </c>
      <c r="BV7" s="159" t="s">
        <v>335</v>
      </c>
      <c r="BW7" s="156" t="s">
        <v>336</v>
      </c>
      <c r="BX7" s="156" t="s">
        <v>337</v>
      </c>
      <c r="BY7" s="155" t="s">
        <v>335</v>
      </c>
      <c r="BZ7" s="156" t="s">
        <v>336</v>
      </c>
      <c r="CA7" s="156" t="s">
        <v>337</v>
      </c>
      <c r="CB7" s="155" t="s">
        <v>335</v>
      </c>
      <c r="CC7" s="156" t="s">
        <v>336</v>
      </c>
      <c r="CD7" s="156" t="s">
        <v>337</v>
      </c>
      <c r="CE7" s="155" t="s">
        <v>335</v>
      </c>
      <c r="CF7" s="156" t="s">
        <v>336</v>
      </c>
      <c r="CG7" s="156" t="s">
        <v>337</v>
      </c>
      <c r="CH7" s="155" t="s">
        <v>335</v>
      </c>
      <c r="CI7" s="156" t="s">
        <v>336</v>
      </c>
      <c r="CJ7" s="156" t="s">
        <v>337</v>
      </c>
      <c r="CK7" s="155" t="s">
        <v>335</v>
      </c>
      <c r="CL7" s="156" t="s">
        <v>336</v>
      </c>
      <c r="CM7" s="156" t="s">
        <v>337</v>
      </c>
      <c r="CN7" s="155" t="s">
        <v>335</v>
      </c>
      <c r="CO7" s="156" t="s">
        <v>336</v>
      </c>
      <c r="CP7" s="156" t="s">
        <v>337</v>
      </c>
      <c r="CQ7" s="155" t="s">
        <v>335</v>
      </c>
      <c r="CR7" s="156" t="s">
        <v>336</v>
      </c>
      <c r="CS7" s="160" t="s">
        <v>337</v>
      </c>
    </row>
    <row r="8" spans="1:97" s="177" customFormat="1" ht="20.45" customHeight="1">
      <c r="A8" s="169" t="s">
        <v>330</v>
      </c>
      <c r="B8" s="152">
        <v>313399</v>
      </c>
      <c r="C8" s="152">
        <v>131672</v>
      </c>
      <c r="D8" s="152">
        <v>181727</v>
      </c>
      <c r="E8" s="152">
        <v>53126</v>
      </c>
      <c r="F8" s="152">
        <v>19835</v>
      </c>
      <c r="G8" s="152">
        <v>33291</v>
      </c>
      <c r="H8" s="152">
        <v>57884</v>
      </c>
      <c r="I8" s="152">
        <v>21500</v>
      </c>
      <c r="J8" s="152">
        <v>36384</v>
      </c>
      <c r="K8" s="152">
        <v>62787</v>
      </c>
      <c r="L8" s="152">
        <v>25808</v>
      </c>
      <c r="M8" s="152">
        <v>36979</v>
      </c>
      <c r="N8" s="152">
        <v>48001</v>
      </c>
      <c r="O8" s="152">
        <v>22047</v>
      </c>
      <c r="P8" s="152">
        <v>25954</v>
      </c>
      <c r="Q8" s="152">
        <v>31564</v>
      </c>
      <c r="R8" s="152">
        <v>14288</v>
      </c>
      <c r="S8" s="152">
        <v>17276</v>
      </c>
      <c r="T8" s="152">
        <v>29475</v>
      </c>
      <c r="U8" s="152">
        <v>13631</v>
      </c>
      <c r="V8" s="152">
        <v>15844</v>
      </c>
      <c r="W8" s="152">
        <v>30562</v>
      </c>
      <c r="X8" s="152">
        <v>14563</v>
      </c>
      <c r="Y8" s="153">
        <v>15999</v>
      </c>
      <c r="Z8" s="152">
        <v>293731</v>
      </c>
      <c r="AA8" s="152">
        <v>124591</v>
      </c>
      <c r="AB8" s="152">
        <v>169140</v>
      </c>
      <c r="AC8" s="152">
        <v>50835</v>
      </c>
      <c r="AD8" s="152">
        <v>19131</v>
      </c>
      <c r="AE8" s="152">
        <v>31704</v>
      </c>
      <c r="AF8" s="152">
        <v>54342</v>
      </c>
      <c r="AG8" s="152">
        <v>20421</v>
      </c>
      <c r="AH8" s="152">
        <v>33921</v>
      </c>
      <c r="AI8" s="152">
        <v>58268</v>
      </c>
      <c r="AJ8" s="152">
        <v>24226</v>
      </c>
      <c r="AK8" s="152">
        <v>34042</v>
      </c>
      <c r="AL8" s="152">
        <v>44046</v>
      </c>
      <c r="AM8" s="152">
        <v>20438</v>
      </c>
      <c r="AN8" s="152">
        <v>23608</v>
      </c>
      <c r="AO8" s="152">
        <v>27836</v>
      </c>
      <c r="AP8" s="152">
        <v>12821</v>
      </c>
      <c r="AQ8" s="152">
        <v>15015</v>
      </c>
      <c r="AR8" s="152">
        <v>28326</v>
      </c>
      <c r="AS8" s="152">
        <v>13197</v>
      </c>
      <c r="AT8" s="152">
        <v>15129</v>
      </c>
      <c r="AU8" s="152">
        <v>30078</v>
      </c>
      <c r="AV8" s="152">
        <v>14357</v>
      </c>
      <c r="AW8" s="153">
        <v>15721</v>
      </c>
      <c r="AX8" s="154">
        <v>29261</v>
      </c>
      <c r="AY8" s="152">
        <v>10867</v>
      </c>
      <c r="AZ8" s="152">
        <v>18394</v>
      </c>
      <c r="BA8" s="152">
        <v>3042</v>
      </c>
      <c r="BB8" s="152">
        <v>948</v>
      </c>
      <c r="BC8" s="152">
        <v>2094</v>
      </c>
      <c r="BD8" s="152">
        <v>5156</v>
      </c>
      <c r="BE8" s="152">
        <v>1634</v>
      </c>
      <c r="BF8" s="152">
        <v>3522</v>
      </c>
      <c r="BG8" s="152">
        <v>6554</v>
      </c>
      <c r="BH8" s="152">
        <v>2349</v>
      </c>
      <c r="BI8" s="152">
        <v>4205</v>
      </c>
      <c r="BJ8" s="152">
        <v>5821</v>
      </c>
      <c r="BK8" s="152">
        <v>2412</v>
      </c>
      <c r="BL8" s="152">
        <v>3409</v>
      </c>
      <c r="BM8" s="152">
        <v>5689</v>
      </c>
      <c r="BN8" s="152">
        <v>2254</v>
      </c>
      <c r="BO8" s="152">
        <v>3435</v>
      </c>
      <c r="BP8" s="152">
        <v>2076</v>
      </c>
      <c r="BQ8" s="152">
        <v>872</v>
      </c>
      <c r="BR8" s="152">
        <v>1204</v>
      </c>
      <c r="BS8" s="152">
        <v>923</v>
      </c>
      <c r="BT8" s="152">
        <v>398</v>
      </c>
      <c r="BU8" s="153">
        <v>525</v>
      </c>
      <c r="BV8" s="154">
        <v>1550</v>
      </c>
      <c r="BW8" s="152">
        <v>658</v>
      </c>
      <c r="BX8" s="152">
        <v>892</v>
      </c>
      <c r="BY8" s="152">
        <v>50</v>
      </c>
      <c r="BZ8" s="152">
        <v>26</v>
      </c>
      <c r="CA8" s="152">
        <v>24</v>
      </c>
      <c r="CB8" s="152">
        <v>92</v>
      </c>
      <c r="CC8" s="152">
        <v>29</v>
      </c>
      <c r="CD8" s="152">
        <v>63</v>
      </c>
      <c r="CE8" s="152">
        <v>169</v>
      </c>
      <c r="CF8" s="152">
        <v>70</v>
      </c>
      <c r="CG8" s="152">
        <v>99</v>
      </c>
      <c r="CH8" s="152">
        <v>284</v>
      </c>
      <c r="CI8" s="152">
        <v>126</v>
      </c>
      <c r="CJ8" s="152">
        <v>158</v>
      </c>
      <c r="CK8" s="152">
        <v>358</v>
      </c>
      <c r="CL8" s="152">
        <v>154</v>
      </c>
      <c r="CM8" s="152">
        <v>204</v>
      </c>
      <c r="CN8" s="152">
        <v>316</v>
      </c>
      <c r="CO8" s="152">
        <v>134</v>
      </c>
      <c r="CP8" s="152">
        <v>182</v>
      </c>
      <c r="CQ8" s="152">
        <v>281</v>
      </c>
      <c r="CR8" s="152">
        <v>119</v>
      </c>
      <c r="CS8" s="152">
        <v>162</v>
      </c>
    </row>
    <row r="9" spans="1:97" s="178" customFormat="1" ht="20.45" customHeight="1">
      <c r="A9" s="170" t="s">
        <v>338</v>
      </c>
      <c r="B9" s="139">
        <v>37207</v>
      </c>
      <c r="C9" s="139">
        <v>15929</v>
      </c>
      <c r="D9" s="139">
        <v>21278</v>
      </c>
      <c r="E9" s="141">
        <v>6228</v>
      </c>
      <c r="F9" s="141">
        <v>2189</v>
      </c>
      <c r="G9" s="141">
        <v>4039</v>
      </c>
      <c r="H9" s="141">
        <v>6448</v>
      </c>
      <c r="I9" s="141">
        <v>2485</v>
      </c>
      <c r="J9" s="141">
        <v>3963</v>
      </c>
      <c r="K9" s="141">
        <v>7512</v>
      </c>
      <c r="L9" s="141">
        <v>3182</v>
      </c>
      <c r="M9" s="141">
        <v>4330</v>
      </c>
      <c r="N9" s="141">
        <v>5616</v>
      </c>
      <c r="O9" s="141">
        <v>2704</v>
      </c>
      <c r="P9" s="141">
        <v>2912</v>
      </c>
      <c r="Q9" s="141">
        <v>4137</v>
      </c>
      <c r="R9" s="141">
        <v>1914</v>
      </c>
      <c r="S9" s="141">
        <v>2223</v>
      </c>
      <c r="T9" s="141">
        <v>3475</v>
      </c>
      <c r="U9" s="141">
        <v>1585</v>
      </c>
      <c r="V9" s="141">
        <v>1890</v>
      </c>
      <c r="W9" s="141">
        <v>3791</v>
      </c>
      <c r="X9" s="141">
        <v>1870</v>
      </c>
      <c r="Y9" s="151">
        <v>1921</v>
      </c>
      <c r="Z9" s="139">
        <v>35351</v>
      </c>
      <c r="AA9" s="139">
        <v>15309</v>
      </c>
      <c r="AB9" s="139">
        <v>20042</v>
      </c>
      <c r="AC9" s="141">
        <v>5877</v>
      </c>
      <c r="AD9" s="141">
        <v>2092</v>
      </c>
      <c r="AE9" s="141">
        <v>3785</v>
      </c>
      <c r="AF9" s="141">
        <v>6109</v>
      </c>
      <c r="AG9" s="141">
        <v>2386</v>
      </c>
      <c r="AH9" s="141">
        <v>3723</v>
      </c>
      <c r="AI9" s="141">
        <v>7027</v>
      </c>
      <c r="AJ9" s="141">
        <v>3019</v>
      </c>
      <c r="AK9" s="141">
        <v>4008</v>
      </c>
      <c r="AL9" s="141">
        <v>5286</v>
      </c>
      <c r="AM9" s="141">
        <v>2563</v>
      </c>
      <c r="AN9" s="141">
        <v>2723</v>
      </c>
      <c r="AO9" s="141">
        <v>3840</v>
      </c>
      <c r="AP9" s="141">
        <v>1812</v>
      </c>
      <c r="AQ9" s="141">
        <v>2028</v>
      </c>
      <c r="AR9" s="141">
        <v>3437</v>
      </c>
      <c r="AS9" s="141">
        <v>1572</v>
      </c>
      <c r="AT9" s="141">
        <v>1865</v>
      </c>
      <c r="AU9" s="141">
        <v>3775</v>
      </c>
      <c r="AV9" s="141">
        <v>1865</v>
      </c>
      <c r="AW9" s="151">
        <v>1910</v>
      </c>
      <c r="AX9" s="149">
        <v>2904</v>
      </c>
      <c r="AY9" s="139">
        <v>984</v>
      </c>
      <c r="AZ9" s="139">
        <v>1920</v>
      </c>
      <c r="BA9" s="140">
        <v>486</v>
      </c>
      <c r="BB9" s="141">
        <v>133</v>
      </c>
      <c r="BC9" s="141">
        <v>353</v>
      </c>
      <c r="BD9" s="141">
        <v>553</v>
      </c>
      <c r="BE9" s="141">
        <v>162</v>
      </c>
      <c r="BF9" s="141">
        <v>391</v>
      </c>
      <c r="BG9" s="141">
        <v>735</v>
      </c>
      <c r="BH9" s="141">
        <v>248</v>
      </c>
      <c r="BI9" s="141">
        <v>487</v>
      </c>
      <c r="BJ9" s="141">
        <v>502</v>
      </c>
      <c r="BK9" s="141">
        <v>214</v>
      </c>
      <c r="BL9" s="141">
        <v>288</v>
      </c>
      <c r="BM9" s="141">
        <v>506</v>
      </c>
      <c r="BN9" s="141">
        <v>182</v>
      </c>
      <c r="BO9" s="141">
        <v>324</v>
      </c>
      <c r="BP9" s="141">
        <v>81</v>
      </c>
      <c r="BQ9" s="141">
        <v>30</v>
      </c>
      <c r="BR9" s="141">
        <v>51</v>
      </c>
      <c r="BS9" s="141">
        <v>41</v>
      </c>
      <c r="BT9" s="141">
        <v>15</v>
      </c>
      <c r="BU9" s="151">
        <v>26</v>
      </c>
      <c r="BV9" s="149">
        <v>46</v>
      </c>
      <c r="BW9" s="139">
        <v>15</v>
      </c>
      <c r="BX9" s="139">
        <v>31</v>
      </c>
      <c r="BY9" s="140">
        <v>2</v>
      </c>
      <c r="BZ9" s="141">
        <v>2</v>
      </c>
      <c r="CA9" s="141">
        <v>0</v>
      </c>
      <c r="CB9" s="141">
        <v>2</v>
      </c>
      <c r="CC9" s="141">
        <v>1</v>
      </c>
      <c r="CD9" s="141">
        <v>1</v>
      </c>
      <c r="CE9" s="141">
        <v>8</v>
      </c>
      <c r="CF9" s="141">
        <v>2</v>
      </c>
      <c r="CG9" s="141">
        <v>6</v>
      </c>
      <c r="CH9" s="141">
        <v>6</v>
      </c>
      <c r="CI9" s="141">
        <v>1</v>
      </c>
      <c r="CJ9" s="141">
        <v>5</v>
      </c>
      <c r="CK9" s="141">
        <v>12</v>
      </c>
      <c r="CL9" s="141">
        <v>3</v>
      </c>
      <c r="CM9" s="141">
        <v>9</v>
      </c>
      <c r="CN9" s="141">
        <v>12</v>
      </c>
      <c r="CO9" s="141">
        <v>5</v>
      </c>
      <c r="CP9" s="141">
        <v>7</v>
      </c>
      <c r="CQ9" s="141">
        <v>4</v>
      </c>
      <c r="CR9" s="141">
        <v>1</v>
      </c>
      <c r="CS9" s="141">
        <v>3</v>
      </c>
    </row>
    <row r="10" spans="1:97" s="178" customFormat="1" ht="20.45" customHeight="1">
      <c r="A10" s="170" t="s">
        <v>339</v>
      </c>
      <c r="B10" s="139">
        <v>20333</v>
      </c>
      <c r="C10" s="139">
        <v>8354</v>
      </c>
      <c r="D10" s="139">
        <v>11979</v>
      </c>
      <c r="E10" s="141">
        <v>2397</v>
      </c>
      <c r="F10" s="141">
        <v>755</v>
      </c>
      <c r="G10" s="141">
        <v>1642</v>
      </c>
      <c r="H10" s="141">
        <v>3106</v>
      </c>
      <c r="I10" s="141">
        <v>1160</v>
      </c>
      <c r="J10" s="141">
        <v>1946</v>
      </c>
      <c r="K10" s="141">
        <v>4644</v>
      </c>
      <c r="L10" s="141">
        <v>1803</v>
      </c>
      <c r="M10" s="141">
        <v>2841</v>
      </c>
      <c r="N10" s="141">
        <v>2999</v>
      </c>
      <c r="O10" s="141">
        <v>1400</v>
      </c>
      <c r="P10" s="141">
        <v>1599</v>
      </c>
      <c r="Q10" s="141">
        <v>2225</v>
      </c>
      <c r="R10" s="141">
        <v>985</v>
      </c>
      <c r="S10" s="141">
        <v>1240</v>
      </c>
      <c r="T10" s="141">
        <v>2478</v>
      </c>
      <c r="U10" s="141">
        <v>1097</v>
      </c>
      <c r="V10" s="141">
        <v>1381</v>
      </c>
      <c r="W10" s="141">
        <v>2484</v>
      </c>
      <c r="X10" s="141">
        <v>1154</v>
      </c>
      <c r="Y10" s="151">
        <v>1330</v>
      </c>
      <c r="Z10" s="139">
        <v>18930</v>
      </c>
      <c r="AA10" s="139">
        <v>7869</v>
      </c>
      <c r="AB10" s="139">
        <v>11061</v>
      </c>
      <c r="AC10" s="141">
        <v>2263</v>
      </c>
      <c r="AD10" s="141">
        <v>715</v>
      </c>
      <c r="AE10" s="141">
        <v>1548</v>
      </c>
      <c r="AF10" s="141">
        <v>2837</v>
      </c>
      <c r="AG10" s="141">
        <v>1076</v>
      </c>
      <c r="AH10" s="141">
        <v>1761</v>
      </c>
      <c r="AI10" s="141">
        <v>4258</v>
      </c>
      <c r="AJ10" s="141">
        <v>1671</v>
      </c>
      <c r="AK10" s="141">
        <v>2587</v>
      </c>
      <c r="AL10" s="141">
        <v>2776</v>
      </c>
      <c r="AM10" s="141">
        <v>1312</v>
      </c>
      <c r="AN10" s="141">
        <v>1464</v>
      </c>
      <c r="AO10" s="141">
        <v>1910</v>
      </c>
      <c r="AP10" s="141">
        <v>866</v>
      </c>
      <c r="AQ10" s="141">
        <v>1044</v>
      </c>
      <c r="AR10" s="141">
        <v>2425</v>
      </c>
      <c r="AS10" s="141">
        <v>1086</v>
      </c>
      <c r="AT10" s="141">
        <v>1339</v>
      </c>
      <c r="AU10" s="141">
        <v>2461</v>
      </c>
      <c r="AV10" s="141">
        <v>1143</v>
      </c>
      <c r="AW10" s="151">
        <v>1318</v>
      </c>
      <c r="AX10" s="149">
        <v>2015</v>
      </c>
      <c r="AY10" s="139">
        <v>697</v>
      </c>
      <c r="AZ10" s="139">
        <v>1318</v>
      </c>
      <c r="BA10" s="140">
        <v>168</v>
      </c>
      <c r="BB10" s="141">
        <v>47</v>
      </c>
      <c r="BC10" s="141">
        <v>121</v>
      </c>
      <c r="BD10" s="141">
        <v>346</v>
      </c>
      <c r="BE10" s="141">
        <v>108</v>
      </c>
      <c r="BF10" s="141">
        <v>238</v>
      </c>
      <c r="BG10" s="141">
        <v>547</v>
      </c>
      <c r="BH10" s="141">
        <v>187</v>
      </c>
      <c r="BI10" s="141">
        <v>360</v>
      </c>
      <c r="BJ10" s="141">
        <v>322</v>
      </c>
      <c r="BK10" s="141">
        <v>125</v>
      </c>
      <c r="BL10" s="141">
        <v>197</v>
      </c>
      <c r="BM10" s="141">
        <v>474</v>
      </c>
      <c r="BN10" s="141">
        <v>170</v>
      </c>
      <c r="BO10" s="141">
        <v>304</v>
      </c>
      <c r="BP10" s="141">
        <v>108</v>
      </c>
      <c r="BQ10" s="141">
        <v>34</v>
      </c>
      <c r="BR10" s="141">
        <v>74</v>
      </c>
      <c r="BS10" s="141">
        <v>50</v>
      </c>
      <c r="BT10" s="141">
        <v>26</v>
      </c>
      <c r="BU10" s="151">
        <v>24</v>
      </c>
      <c r="BV10" s="149">
        <v>30</v>
      </c>
      <c r="BW10" s="139">
        <v>16</v>
      </c>
      <c r="BX10" s="139">
        <v>14</v>
      </c>
      <c r="BY10" s="140">
        <v>0</v>
      </c>
      <c r="BZ10" s="141">
        <v>0</v>
      </c>
      <c r="CA10" s="141">
        <v>0</v>
      </c>
      <c r="CB10" s="141">
        <v>2</v>
      </c>
      <c r="CC10" s="141">
        <v>1</v>
      </c>
      <c r="CD10" s="141">
        <v>1</v>
      </c>
      <c r="CE10" s="141">
        <v>2</v>
      </c>
      <c r="CF10" s="141">
        <v>1</v>
      </c>
      <c r="CG10" s="141">
        <v>1</v>
      </c>
      <c r="CH10" s="141">
        <v>4</v>
      </c>
      <c r="CI10" s="141">
        <v>3</v>
      </c>
      <c r="CJ10" s="141">
        <v>1</v>
      </c>
      <c r="CK10" s="141">
        <v>7</v>
      </c>
      <c r="CL10" s="141">
        <v>5</v>
      </c>
      <c r="CM10" s="141">
        <v>2</v>
      </c>
      <c r="CN10" s="141">
        <v>10</v>
      </c>
      <c r="CO10" s="141">
        <v>5</v>
      </c>
      <c r="CP10" s="141">
        <v>5</v>
      </c>
      <c r="CQ10" s="141">
        <v>5</v>
      </c>
      <c r="CR10" s="141">
        <v>1</v>
      </c>
      <c r="CS10" s="141">
        <v>4</v>
      </c>
    </row>
    <row r="11" spans="1:97" s="178" customFormat="1" ht="20.45" customHeight="1">
      <c r="A11" s="170" t="s">
        <v>340</v>
      </c>
      <c r="B11" s="139">
        <v>22005</v>
      </c>
      <c r="C11" s="139">
        <v>9506</v>
      </c>
      <c r="D11" s="139">
        <v>12499</v>
      </c>
      <c r="E11" s="141">
        <v>2739</v>
      </c>
      <c r="F11" s="141">
        <v>970</v>
      </c>
      <c r="G11" s="141">
        <v>1769</v>
      </c>
      <c r="H11" s="141">
        <v>3264</v>
      </c>
      <c r="I11" s="141">
        <v>1219</v>
      </c>
      <c r="J11" s="141">
        <v>2045</v>
      </c>
      <c r="K11" s="141">
        <v>4151</v>
      </c>
      <c r="L11" s="141">
        <v>1686</v>
      </c>
      <c r="M11" s="141">
        <v>2465</v>
      </c>
      <c r="N11" s="141">
        <v>3450</v>
      </c>
      <c r="O11" s="141">
        <v>1611</v>
      </c>
      <c r="P11" s="141">
        <v>1839</v>
      </c>
      <c r="Q11" s="141">
        <v>3033</v>
      </c>
      <c r="R11" s="141">
        <v>1435</v>
      </c>
      <c r="S11" s="141">
        <v>1598</v>
      </c>
      <c r="T11" s="141">
        <v>2637</v>
      </c>
      <c r="U11" s="141">
        <v>1255</v>
      </c>
      <c r="V11" s="141">
        <v>1382</v>
      </c>
      <c r="W11" s="141">
        <v>2731</v>
      </c>
      <c r="X11" s="141">
        <v>1330</v>
      </c>
      <c r="Y11" s="151">
        <v>1401</v>
      </c>
      <c r="Z11" s="139">
        <v>20493</v>
      </c>
      <c r="AA11" s="139">
        <v>8974</v>
      </c>
      <c r="AB11" s="139">
        <v>11519</v>
      </c>
      <c r="AC11" s="141">
        <v>2591</v>
      </c>
      <c r="AD11" s="141">
        <v>928</v>
      </c>
      <c r="AE11" s="141">
        <v>1663</v>
      </c>
      <c r="AF11" s="141">
        <v>3037</v>
      </c>
      <c r="AG11" s="141">
        <v>1143</v>
      </c>
      <c r="AH11" s="141">
        <v>1894</v>
      </c>
      <c r="AI11" s="141">
        <v>3754</v>
      </c>
      <c r="AJ11" s="141">
        <v>1571</v>
      </c>
      <c r="AK11" s="141">
        <v>2183</v>
      </c>
      <c r="AL11" s="141">
        <v>3178</v>
      </c>
      <c r="AM11" s="141">
        <v>1499</v>
      </c>
      <c r="AN11" s="141">
        <v>1679</v>
      </c>
      <c r="AO11" s="141">
        <v>2667</v>
      </c>
      <c r="AP11" s="141">
        <v>1293</v>
      </c>
      <c r="AQ11" s="141">
        <v>1374</v>
      </c>
      <c r="AR11" s="141">
        <v>2560</v>
      </c>
      <c r="AS11" s="141">
        <v>1225</v>
      </c>
      <c r="AT11" s="141">
        <v>1335</v>
      </c>
      <c r="AU11" s="141">
        <v>2706</v>
      </c>
      <c r="AV11" s="141">
        <v>1315</v>
      </c>
      <c r="AW11" s="151">
        <v>1391</v>
      </c>
      <c r="AX11" s="149">
        <v>2198</v>
      </c>
      <c r="AY11" s="139">
        <v>809</v>
      </c>
      <c r="AZ11" s="139">
        <v>1389</v>
      </c>
      <c r="BA11" s="140">
        <v>180</v>
      </c>
      <c r="BB11" s="141">
        <v>52</v>
      </c>
      <c r="BC11" s="141">
        <v>128</v>
      </c>
      <c r="BD11" s="141">
        <v>307</v>
      </c>
      <c r="BE11" s="141">
        <v>104</v>
      </c>
      <c r="BF11" s="141">
        <v>203</v>
      </c>
      <c r="BG11" s="141">
        <v>536</v>
      </c>
      <c r="BH11" s="141">
        <v>166</v>
      </c>
      <c r="BI11" s="141">
        <v>370</v>
      </c>
      <c r="BJ11" s="141">
        <v>400</v>
      </c>
      <c r="BK11" s="141">
        <v>163</v>
      </c>
      <c r="BL11" s="141">
        <v>237</v>
      </c>
      <c r="BM11" s="141">
        <v>569</v>
      </c>
      <c r="BN11" s="141">
        <v>235</v>
      </c>
      <c r="BO11" s="141">
        <v>334</v>
      </c>
      <c r="BP11" s="141">
        <v>149</v>
      </c>
      <c r="BQ11" s="141">
        <v>63</v>
      </c>
      <c r="BR11" s="141">
        <v>86</v>
      </c>
      <c r="BS11" s="141">
        <v>57</v>
      </c>
      <c r="BT11" s="141">
        <v>26</v>
      </c>
      <c r="BU11" s="151">
        <v>31</v>
      </c>
      <c r="BV11" s="149">
        <v>35</v>
      </c>
      <c r="BW11" s="139">
        <v>15</v>
      </c>
      <c r="BX11" s="139">
        <v>20</v>
      </c>
      <c r="BY11" s="140">
        <v>0</v>
      </c>
      <c r="BZ11" s="141">
        <v>0</v>
      </c>
      <c r="CA11" s="141">
        <v>0</v>
      </c>
      <c r="CB11" s="141">
        <v>2</v>
      </c>
      <c r="CC11" s="141">
        <v>2</v>
      </c>
      <c r="CD11" s="141">
        <v>0</v>
      </c>
      <c r="CE11" s="141">
        <v>3</v>
      </c>
      <c r="CF11" s="141">
        <v>1</v>
      </c>
      <c r="CG11" s="141">
        <v>2</v>
      </c>
      <c r="CH11" s="141">
        <v>2</v>
      </c>
      <c r="CI11" s="141">
        <v>1</v>
      </c>
      <c r="CJ11" s="141">
        <v>1</v>
      </c>
      <c r="CK11" s="141">
        <v>11</v>
      </c>
      <c r="CL11" s="141">
        <v>4</v>
      </c>
      <c r="CM11" s="141">
        <v>7</v>
      </c>
      <c r="CN11" s="141">
        <v>12</v>
      </c>
      <c r="CO11" s="141">
        <v>5</v>
      </c>
      <c r="CP11" s="141">
        <v>7</v>
      </c>
      <c r="CQ11" s="141">
        <v>5</v>
      </c>
      <c r="CR11" s="141">
        <v>2</v>
      </c>
      <c r="CS11" s="141">
        <v>3</v>
      </c>
    </row>
    <row r="12" spans="1:97" s="178" customFormat="1" ht="20.45" customHeight="1">
      <c r="A12" s="170" t="s">
        <v>367</v>
      </c>
      <c r="B12" s="139">
        <v>40818</v>
      </c>
      <c r="C12" s="139">
        <v>17231</v>
      </c>
      <c r="D12" s="139">
        <v>23587</v>
      </c>
      <c r="E12" s="141">
        <v>6684</v>
      </c>
      <c r="F12" s="141">
        <v>2442</v>
      </c>
      <c r="G12" s="141">
        <v>4242</v>
      </c>
      <c r="H12" s="141">
        <v>7146</v>
      </c>
      <c r="I12" s="141">
        <v>2616</v>
      </c>
      <c r="J12" s="141">
        <v>4530</v>
      </c>
      <c r="K12" s="141">
        <v>7391</v>
      </c>
      <c r="L12" s="141">
        <v>3118</v>
      </c>
      <c r="M12" s="141">
        <v>4273</v>
      </c>
      <c r="N12" s="141">
        <v>6889</v>
      </c>
      <c r="O12" s="141">
        <v>3137</v>
      </c>
      <c r="P12" s="141">
        <v>3752</v>
      </c>
      <c r="Q12" s="141">
        <v>4309</v>
      </c>
      <c r="R12" s="141">
        <v>1956</v>
      </c>
      <c r="S12" s="141">
        <v>2353</v>
      </c>
      <c r="T12" s="141">
        <v>4170</v>
      </c>
      <c r="U12" s="141">
        <v>1961</v>
      </c>
      <c r="V12" s="141">
        <v>2209</v>
      </c>
      <c r="W12" s="141">
        <v>4229</v>
      </c>
      <c r="X12" s="141">
        <v>2001</v>
      </c>
      <c r="Y12" s="151">
        <v>2228</v>
      </c>
      <c r="Z12" s="139">
        <v>37998</v>
      </c>
      <c r="AA12" s="139">
        <v>16219</v>
      </c>
      <c r="AB12" s="139">
        <v>21779</v>
      </c>
      <c r="AC12" s="141">
        <v>6309</v>
      </c>
      <c r="AD12" s="141">
        <v>2320</v>
      </c>
      <c r="AE12" s="141">
        <v>3989</v>
      </c>
      <c r="AF12" s="141">
        <v>6650</v>
      </c>
      <c r="AG12" s="141">
        <v>2476</v>
      </c>
      <c r="AH12" s="141">
        <v>4174</v>
      </c>
      <c r="AI12" s="141">
        <v>6779</v>
      </c>
      <c r="AJ12" s="141">
        <v>2897</v>
      </c>
      <c r="AK12" s="141">
        <v>3882</v>
      </c>
      <c r="AL12" s="141">
        <v>6293</v>
      </c>
      <c r="AM12" s="141">
        <v>2901</v>
      </c>
      <c r="AN12" s="141">
        <v>3392</v>
      </c>
      <c r="AO12" s="141">
        <v>3800</v>
      </c>
      <c r="AP12" s="141">
        <v>1756</v>
      </c>
      <c r="AQ12" s="141">
        <v>2044</v>
      </c>
      <c r="AR12" s="141">
        <v>4021</v>
      </c>
      <c r="AS12" s="141">
        <v>1902</v>
      </c>
      <c r="AT12" s="141">
        <v>2119</v>
      </c>
      <c r="AU12" s="141">
        <v>4146</v>
      </c>
      <c r="AV12" s="141">
        <v>1967</v>
      </c>
      <c r="AW12" s="151">
        <v>2179</v>
      </c>
      <c r="AX12" s="149">
        <v>4434</v>
      </c>
      <c r="AY12" s="139">
        <v>1652</v>
      </c>
      <c r="AZ12" s="139">
        <v>2782</v>
      </c>
      <c r="BA12" s="140">
        <v>517</v>
      </c>
      <c r="BB12" s="141">
        <v>175</v>
      </c>
      <c r="BC12" s="141">
        <v>342</v>
      </c>
      <c r="BD12" s="141">
        <v>755</v>
      </c>
      <c r="BE12" s="141">
        <v>232</v>
      </c>
      <c r="BF12" s="141">
        <v>523</v>
      </c>
      <c r="BG12" s="141">
        <v>906</v>
      </c>
      <c r="BH12" s="141">
        <v>321</v>
      </c>
      <c r="BI12" s="141">
        <v>585</v>
      </c>
      <c r="BJ12" s="141">
        <v>938</v>
      </c>
      <c r="BK12" s="141">
        <v>392</v>
      </c>
      <c r="BL12" s="141">
        <v>546</v>
      </c>
      <c r="BM12" s="141">
        <v>810</v>
      </c>
      <c r="BN12" s="141">
        <v>312</v>
      </c>
      <c r="BO12" s="141">
        <v>498</v>
      </c>
      <c r="BP12" s="141">
        <v>330</v>
      </c>
      <c r="BQ12" s="141">
        <v>150</v>
      </c>
      <c r="BR12" s="141">
        <v>180</v>
      </c>
      <c r="BS12" s="141">
        <v>178</v>
      </c>
      <c r="BT12" s="141">
        <v>70</v>
      </c>
      <c r="BU12" s="151">
        <v>108</v>
      </c>
      <c r="BV12" s="149">
        <v>126</v>
      </c>
      <c r="BW12" s="139">
        <v>72</v>
      </c>
      <c r="BX12" s="139">
        <v>54</v>
      </c>
      <c r="BY12" s="140">
        <v>5</v>
      </c>
      <c r="BZ12" s="141">
        <v>4</v>
      </c>
      <c r="CA12" s="141">
        <v>1</v>
      </c>
      <c r="CB12" s="141">
        <v>2</v>
      </c>
      <c r="CC12" s="141">
        <v>1</v>
      </c>
      <c r="CD12" s="141">
        <v>1</v>
      </c>
      <c r="CE12" s="141">
        <v>16</v>
      </c>
      <c r="CF12" s="141">
        <v>10</v>
      </c>
      <c r="CG12" s="141">
        <v>6</v>
      </c>
      <c r="CH12" s="141">
        <v>23</v>
      </c>
      <c r="CI12" s="141">
        <v>10</v>
      </c>
      <c r="CJ12" s="141">
        <v>13</v>
      </c>
      <c r="CK12" s="141">
        <v>41</v>
      </c>
      <c r="CL12" s="141">
        <v>24</v>
      </c>
      <c r="CM12" s="141">
        <v>17</v>
      </c>
      <c r="CN12" s="141">
        <v>23</v>
      </c>
      <c r="CO12" s="141">
        <v>15</v>
      </c>
      <c r="CP12" s="141">
        <v>8</v>
      </c>
      <c r="CQ12" s="141">
        <v>16</v>
      </c>
      <c r="CR12" s="141">
        <v>8</v>
      </c>
      <c r="CS12" s="141">
        <v>8</v>
      </c>
    </row>
    <row r="13" spans="1:97" s="178" customFormat="1" ht="20.45" customHeight="1">
      <c r="A13" s="170" t="s">
        <v>341</v>
      </c>
      <c r="B13" s="139">
        <v>31429</v>
      </c>
      <c r="C13" s="139">
        <v>12920</v>
      </c>
      <c r="D13" s="139">
        <v>18509</v>
      </c>
      <c r="E13" s="141">
        <v>4397</v>
      </c>
      <c r="F13" s="141">
        <v>1678</v>
      </c>
      <c r="G13" s="141">
        <v>2719</v>
      </c>
      <c r="H13" s="141">
        <v>5382</v>
      </c>
      <c r="I13" s="141">
        <v>1984</v>
      </c>
      <c r="J13" s="141">
        <v>3398</v>
      </c>
      <c r="K13" s="141">
        <v>6357</v>
      </c>
      <c r="L13" s="141">
        <v>2444</v>
      </c>
      <c r="M13" s="141">
        <v>3913</v>
      </c>
      <c r="N13" s="141">
        <v>5202</v>
      </c>
      <c r="O13" s="141">
        <v>2302</v>
      </c>
      <c r="P13" s="141">
        <v>2900</v>
      </c>
      <c r="Q13" s="141">
        <v>3156</v>
      </c>
      <c r="R13" s="141">
        <v>1371</v>
      </c>
      <c r="S13" s="141">
        <v>1785</v>
      </c>
      <c r="T13" s="141">
        <v>3490</v>
      </c>
      <c r="U13" s="141">
        <v>1526</v>
      </c>
      <c r="V13" s="141">
        <v>1964</v>
      </c>
      <c r="W13" s="141">
        <v>3445</v>
      </c>
      <c r="X13" s="141">
        <v>1615</v>
      </c>
      <c r="Y13" s="151">
        <v>1830</v>
      </c>
      <c r="Z13" s="139">
        <v>28915</v>
      </c>
      <c r="AA13" s="139">
        <v>12012</v>
      </c>
      <c r="AB13" s="139">
        <v>16903</v>
      </c>
      <c r="AC13" s="141">
        <v>4196</v>
      </c>
      <c r="AD13" s="141">
        <v>1622</v>
      </c>
      <c r="AE13" s="141">
        <v>2574</v>
      </c>
      <c r="AF13" s="141">
        <v>4989</v>
      </c>
      <c r="AG13" s="141">
        <v>1878</v>
      </c>
      <c r="AH13" s="141">
        <v>3111</v>
      </c>
      <c r="AI13" s="141">
        <v>5846</v>
      </c>
      <c r="AJ13" s="141">
        <v>2258</v>
      </c>
      <c r="AK13" s="141">
        <v>3588</v>
      </c>
      <c r="AL13" s="141">
        <v>4657</v>
      </c>
      <c r="AM13" s="141">
        <v>2066</v>
      </c>
      <c r="AN13" s="141">
        <v>2591</v>
      </c>
      <c r="AO13" s="141">
        <v>2638</v>
      </c>
      <c r="AP13" s="141">
        <v>1173</v>
      </c>
      <c r="AQ13" s="141">
        <v>1465</v>
      </c>
      <c r="AR13" s="141">
        <v>3246</v>
      </c>
      <c r="AS13" s="141">
        <v>1437</v>
      </c>
      <c r="AT13" s="141">
        <v>1809</v>
      </c>
      <c r="AU13" s="141">
        <v>3343</v>
      </c>
      <c r="AV13" s="141">
        <v>1578</v>
      </c>
      <c r="AW13" s="151">
        <v>1765</v>
      </c>
      <c r="AX13" s="149">
        <v>3784</v>
      </c>
      <c r="AY13" s="139">
        <v>1411</v>
      </c>
      <c r="AZ13" s="139">
        <v>2373</v>
      </c>
      <c r="BA13" s="140">
        <v>282</v>
      </c>
      <c r="BB13" s="141">
        <v>84</v>
      </c>
      <c r="BC13" s="141">
        <v>198</v>
      </c>
      <c r="BD13" s="141">
        <v>579</v>
      </c>
      <c r="BE13" s="141">
        <v>161</v>
      </c>
      <c r="BF13" s="141">
        <v>418</v>
      </c>
      <c r="BG13" s="141">
        <v>739</v>
      </c>
      <c r="BH13" s="141">
        <v>267</v>
      </c>
      <c r="BI13" s="141">
        <v>472</v>
      </c>
      <c r="BJ13" s="141">
        <v>787</v>
      </c>
      <c r="BK13" s="141">
        <v>331</v>
      </c>
      <c r="BL13" s="141">
        <v>456</v>
      </c>
      <c r="BM13" s="141">
        <v>780</v>
      </c>
      <c r="BN13" s="141">
        <v>313</v>
      </c>
      <c r="BO13" s="141">
        <v>467</v>
      </c>
      <c r="BP13" s="141">
        <v>430</v>
      </c>
      <c r="BQ13" s="141">
        <v>169</v>
      </c>
      <c r="BR13" s="141">
        <v>261</v>
      </c>
      <c r="BS13" s="141">
        <v>187</v>
      </c>
      <c r="BT13" s="141">
        <v>86</v>
      </c>
      <c r="BU13" s="151">
        <v>101</v>
      </c>
      <c r="BV13" s="149">
        <v>111</v>
      </c>
      <c r="BW13" s="139">
        <v>34</v>
      </c>
      <c r="BX13" s="139">
        <v>77</v>
      </c>
      <c r="BY13" s="140">
        <v>0</v>
      </c>
      <c r="BZ13" s="141">
        <v>0</v>
      </c>
      <c r="CA13" s="141">
        <v>0</v>
      </c>
      <c r="CB13" s="141">
        <v>1</v>
      </c>
      <c r="CC13" s="141">
        <v>0</v>
      </c>
      <c r="CD13" s="141">
        <v>1</v>
      </c>
      <c r="CE13" s="141">
        <v>3</v>
      </c>
      <c r="CF13" s="141">
        <v>1</v>
      </c>
      <c r="CG13" s="141">
        <v>2</v>
      </c>
      <c r="CH13" s="141">
        <v>14</v>
      </c>
      <c r="CI13" s="141">
        <v>6</v>
      </c>
      <c r="CJ13" s="141">
        <v>8</v>
      </c>
      <c r="CK13" s="141">
        <v>29</v>
      </c>
      <c r="CL13" s="141">
        <v>5</v>
      </c>
      <c r="CM13" s="141">
        <v>24</v>
      </c>
      <c r="CN13" s="141">
        <v>26</v>
      </c>
      <c r="CO13" s="141">
        <v>10</v>
      </c>
      <c r="CP13" s="141">
        <v>16</v>
      </c>
      <c r="CQ13" s="141">
        <v>38</v>
      </c>
      <c r="CR13" s="141">
        <v>12</v>
      </c>
      <c r="CS13" s="141">
        <v>26</v>
      </c>
    </row>
    <row r="14" spans="1:97" s="178" customFormat="1" ht="20.45" customHeight="1">
      <c r="A14" s="170" t="s">
        <v>368</v>
      </c>
      <c r="B14" s="139">
        <v>41304</v>
      </c>
      <c r="C14" s="139">
        <v>17190</v>
      </c>
      <c r="D14" s="139">
        <v>24114</v>
      </c>
      <c r="E14" s="141">
        <v>9049</v>
      </c>
      <c r="F14" s="141">
        <v>3315</v>
      </c>
      <c r="G14" s="141">
        <v>5734</v>
      </c>
      <c r="H14" s="141">
        <v>9238</v>
      </c>
      <c r="I14" s="141">
        <v>3494</v>
      </c>
      <c r="J14" s="141">
        <v>5744</v>
      </c>
      <c r="K14" s="141">
        <v>8603</v>
      </c>
      <c r="L14" s="141">
        <v>3611</v>
      </c>
      <c r="M14" s="141">
        <v>4992</v>
      </c>
      <c r="N14" s="141">
        <v>5059</v>
      </c>
      <c r="O14" s="141">
        <v>2411</v>
      </c>
      <c r="P14" s="141">
        <v>2648</v>
      </c>
      <c r="Q14" s="141">
        <v>2790</v>
      </c>
      <c r="R14" s="141">
        <v>1341</v>
      </c>
      <c r="S14" s="141">
        <v>1449</v>
      </c>
      <c r="T14" s="141">
        <v>3032</v>
      </c>
      <c r="U14" s="141">
        <v>1397</v>
      </c>
      <c r="V14" s="141">
        <v>1635</v>
      </c>
      <c r="W14" s="141">
        <v>3533</v>
      </c>
      <c r="X14" s="141">
        <v>1621</v>
      </c>
      <c r="Y14" s="151">
        <v>1912</v>
      </c>
      <c r="Z14" s="139">
        <v>38868</v>
      </c>
      <c r="AA14" s="139">
        <v>16263</v>
      </c>
      <c r="AB14" s="139">
        <v>22605</v>
      </c>
      <c r="AC14" s="141">
        <v>8684</v>
      </c>
      <c r="AD14" s="141">
        <v>3193</v>
      </c>
      <c r="AE14" s="141">
        <v>5491</v>
      </c>
      <c r="AF14" s="141">
        <v>8658</v>
      </c>
      <c r="AG14" s="141">
        <v>3301</v>
      </c>
      <c r="AH14" s="141">
        <v>5357</v>
      </c>
      <c r="AI14" s="141">
        <v>7994</v>
      </c>
      <c r="AJ14" s="141">
        <v>3382</v>
      </c>
      <c r="AK14" s="141">
        <v>4612</v>
      </c>
      <c r="AL14" s="141">
        <v>4668</v>
      </c>
      <c r="AM14" s="141">
        <v>2242</v>
      </c>
      <c r="AN14" s="141">
        <v>2426</v>
      </c>
      <c r="AO14" s="141">
        <v>2470</v>
      </c>
      <c r="AP14" s="141">
        <v>1194</v>
      </c>
      <c r="AQ14" s="141">
        <v>1276</v>
      </c>
      <c r="AR14" s="141">
        <v>2915</v>
      </c>
      <c r="AS14" s="141">
        <v>1353</v>
      </c>
      <c r="AT14" s="141">
        <v>1562</v>
      </c>
      <c r="AU14" s="141">
        <v>3479</v>
      </c>
      <c r="AV14" s="141">
        <v>1598</v>
      </c>
      <c r="AW14" s="151">
        <v>1881</v>
      </c>
      <c r="AX14" s="149">
        <v>3805</v>
      </c>
      <c r="AY14" s="139">
        <v>1485</v>
      </c>
      <c r="AZ14" s="139">
        <v>2320</v>
      </c>
      <c r="BA14" s="140">
        <v>494</v>
      </c>
      <c r="BB14" s="141">
        <v>173</v>
      </c>
      <c r="BC14" s="141">
        <v>321</v>
      </c>
      <c r="BD14" s="141">
        <v>879</v>
      </c>
      <c r="BE14" s="141">
        <v>294</v>
      </c>
      <c r="BF14" s="141">
        <v>585</v>
      </c>
      <c r="BG14" s="141">
        <v>932</v>
      </c>
      <c r="BH14" s="141">
        <v>365</v>
      </c>
      <c r="BI14" s="141">
        <v>567</v>
      </c>
      <c r="BJ14" s="141">
        <v>604</v>
      </c>
      <c r="BK14" s="141">
        <v>258</v>
      </c>
      <c r="BL14" s="141">
        <v>346</v>
      </c>
      <c r="BM14" s="141">
        <v>534</v>
      </c>
      <c r="BN14" s="141">
        <v>244</v>
      </c>
      <c r="BO14" s="141">
        <v>290</v>
      </c>
      <c r="BP14" s="141">
        <v>243</v>
      </c>
      <c r="BQ14" s="141">
        <v>101</v>
      </c>
      <c r="BR14" s="141">
        <v>142</v>
      </c>
      <c r="BS14" s="141">
        <v>119</v>
      </c>
      <c r="BT14" s="141">
        <v>50</v>
      </c>
      <c r="BU14" s="151">
        <v>69</v>
      </c>
      <c r="BV14" s="149">
        <v>171</v>
      </c>
      <c r="BW14" s="139">
        <v>64</v>
      </c>
      <c r="BX14" s="139">
        <v>107</v>
      </c>
      <c r="BY14" s="140">
        <v>7</v>
      </c>
      <c r="BZ14" s="141">
        <v>3</v>
      </c>
      <c r="CA14" s="141">
        <v>4</v>
      </c>
      <c r="CB14" s="141">
        <v>20</v>
      </c>
      <c r="CC14" s="141">
        <v>3</v>
      </c>
      <c r="CD14" s="141">
        <v>17</v>
      </c>
      <c r="CE14" s="141">
        <v>20</v>
      </c>
      <c r="CF14" s="141">
        <v>10</v>
      </c>
      <c r="CG14" s="141">
        <v>10</v>
      </c>
      <c r="CH14" s="141">
        <v>33</v>
      </c>
      <c r="CI14" s="141">
        <v>13</v>
      </c>
      <c r="CJ14" s="141">
        <v>20</v>
      </c>
      <c r="CK14" s="141">
        <v>33</v>
      </c>
      <c r="CL14" s="141">
        <v>13</v>
      </c>
      <c r="CM14" s="141">
        <v>20</v>
      </c>
      <c r="CN14" s="141">
        <v>23</v>
      </c>
      <c r="CO14" s="141">
        <v>10</v>
      </c>
      <c r="CP14" s="141">
        <v>13</v>
      </c>
      <c r="CQ14" s="141">
        <v>35</v>
      </c>
      <c r="CR14" s="141">
        <v>12</v>
      </c>
      <c r="CS14" s="141">
        <v>23</v>
      </c>
    </row>
    <row r="15" spans="1:97" s="178" customFormat="1" ht="20.45" customHeight="1">
      <c r="A15" s="170" t="s">
        <v>342</v>
      </c>
      <c r="B15" s="139">
        <v>5602</v>
      </c>
      <c r="C15" s="139">
        <v>2373</v>
      </c>
      <c r="D15" s="139">
        <v>3229</v>
      </c>
      <c r="E15" s="141">
        <v>779</v>
      </c>
      <c r="F15" s="141">
        <v>293</v>
      </c>
      <c r="G15" s="141">
        <v>486</v>
      </c>
      <c r="H15" s="141">
        <v>883</v>
      </c>
      <c r="I15" s="141">
        <v>324</v>
      </c>
      <c r="J15" s="141">
        <v>559</v>
      </c>
      <c r="K15" s="141">
        <v>1186</v>
      </c>
      <c r="L15" s="141">
        <v>473</v>
      </c>
      <c r="M15" s="141">
        <v>713</v>
      </c>
      <c r="N15" s="141">
        <v>929</v>
      </c>
      <c r="O15" s="141">
        <v>447</v>
      </c>
      <c r="P15" s="141">
        <v>482</v>
      </c>
      <c r="Q15" s="141">
        <v>654</v>
      </c>
      <c r="R15" s="141">
        <v>290</v>
      </c>
      <c r="S15" s="141">
        <v>364</v>
      </c>
      <c r="T15" s="141">
        <v>537</v>
      </c>
      <c r="U15" s="141">
        <v>258</v>
      </c>
      <c r="V15" s="141">
        <v>279</v>
      </c>
      <c r="W15" s="141">
        <v>634</v>
      </c>
      <c r="X15" s="141">
        <v>288</v>
      </c>
      <c r="Y15" s="151">
        <v>346</v>
      </c>
      <c r="Z15" s="139">
        <v>4750</v>
      </c>
      <c r="AA15" s="139">
        <v>2062</v>
      </c>
      <c r="AB15" s="139">
        <v>2688</v>
      </c>
      <c r="AC15" s="141">
        <v>718</v>
      </c>
      <c r="AD15" s="141">
        <v>281</v>
      </c>
      <c r="AE15" s="141">
        <v>437</v>
      </c>
      <c r="AF15" s="141">
        <v>745</v>
      </c>
      <c r="AG15" s="141">
        <v>286</v>
      </c>
      <c r="AH15" s="141">
        <v>459</v>
      </c>
      <c r="AI15" s="141">
        <v>1015</v>
      </c>
      <c r="AJ15" s="141">
        <v>422</v>
      </c>
      <c r="AK15" s="141">
        <v>593</v>
      </c>
      <c r="AL15" s="141">
        <v>716</v>
      </c>
      <c r="AM15" s="141">
        <v>349</v>
      </c>
      <c r="AN15" s="141">
        <v>367</v>
      </c>
      <c r="AO15" s="141">
        <v>465</v>
      </c>
      <c r="AP15" s="141">
        <v>212</v>
      </c>
      <c r="AQ15" s="141">
        <v>253</v>
      </c>
      <c r="AR15" s="141">
        <v>479</v>
      </c>
      <c r="AS15" s="141">
        <v>236</v>
      </c>
      <c r="AT15" s="141">
        <v>243</v>
      </c>
      <c r="AU15" s="141">
        <v>612</v>
      </c>
      <c r="AV15" s="141">
        <v>276</v>
      </c>
      <c r="AW15" s="151">
        <v>336</v>
      </c>
      <c r="AX15" s="149">
        <v>1066</v>
      </c>
      <c r="AY15" s="139">
        <v>397</v>
      </c>
      <c r="AZ15" s="139">
        <v>669</v>
      </c>
      <c r="BA15" s="140">
        <v>71</v>
      </c>
      <c r="BB15" s="141">
        <v>14</v>
      </c>
      <c r="BC15" s="141">
        <v>57</v>
      </c>
      <c r="BD15" s="141">
        <v>165</v>
      </c>
      <c r="BE15" s="141">
        <v>49</v>
      </c>
      <c r="BF15" s="141">
        <v>116</v>
      </c>
      <c r="BG15" s="141">
        <v>205</v>
      </c>
      <c r="BH15" s="141">
        <v>68</v>
      </c>
      <c r="BI15" s="141">
        <v>137</v>
      </c>
      <c r="BJ15" s="141">
        <v>253</v>
      </c>
      <c r="BK15" s="141">
        <v>120</v>
      </c>
      <c r="BL15" s="141">
        <v>133</v>
      </c>
      <c r="BM15" s="141">
        <v>248</v>
      </c>
      <c r="BN15" s="141">
        <v>96</v>
      </c>
      <c r="BO15" s="141">
        <v>152</v>
      </c>
      <c r="BP15" s="141">
        <v>85</v>
      </c>
      <c r="BQ15" s="141">
        <v>32</v>
      </c>
      <c r="BR15" s="141">
        <v>53</v>
      </c>
      <c r="BS15" s="141">
        <v>39</v>
      </c>
      <c r="BT15" s="141">
        <v>18</v>
      </c>
      <c r="BU15" s="151">
        <v>21</v>
      </c>
      <c r="BV15" s="149">
        <v>15</v>
      </c>
      <c r="BW15" s="139">
        <v>8</v>
      </c>
      <c r="BX15" s="139">
        <v>7</v>
      </c>
      <c r="BY15" s="140">
        <v>1</v>
      </c>
      <c r="BZ15" s="141">
        <v>0</v>
      </c>
      <c r="CA15" s="141">
        <v>1</v>
      </c>
      <c r="CB15" s="141">
        <v>0</v>
      </c>
      <c r="CC15" s="141">
        <v>0</v>
      </c>
      <c r="CD15" s="141">
        <v>0</v>
      </c>
      <c r="CE15" s="141">
        <v>1</v>
      </c>
      <c r="CF15" s="141">
        <v>1</v>
      </c>
      <c r="CG15" s="141">
        <v>0</v>
      </c>
      <c r="CH15" s="141">
        <v>3</v>
      </c>
      <c r="CI15" s="141">
        <v>1</v>
      </c>
      <c r="CJ15" s="141">
        <v>2</v>
      </c>
      <c r="CK15" s="141">
        <v>3</v>
      </c>
      <c r="CL15" s="141">
        <v>2</v>
      </c>
      <c r="CM15" s="141">
        <v>1</v>
      </c>
      <c r="CN15" s="141">
        <v>5</v>
      </c>
      <c r="CO15" s="141">
        <v>4</v>
      </c>
      <c r="CP15" s="141">
        <v>1</v>
      </c>
      <c r="CQ15" s="141">
        <v>2</v>
      </c>
      <c r="CR15" s="141">
        <v>0</v>
      </c>
      <c r="CS15" s="141">
        <v>2</v>
      </c>
    </row>
    <row r="16" spans="1:97" s="178" customFormat="1" ht="20.45" customHeight="1">
      <c r="A16" s="170" t="s">
        <v>343</v>
      </c>
      <c r="B16" s="139">
        <v>5269</v>
      </c>
      <c r="C16" s="139">
        <v>2416</v>
      </c>
      <c r="D16" s="139">
        <v>2853</v>
      </c>
      <c r="E16" s="141">
        <v>357</v>
      </c>
      <c r="F16" s="141">
        <v>149</v>
      </c>
      <c r="G16" s="141">
        <v>208</v>
      </c>
      <c r="H16" s="141">
        <v>629</v>
      </c>
      <c r="I16" s="141">
        <v>229</v>
      </c>
      <c r="J16" s="141">
        <v>400</v>
      </c>
      <c r="K16" s="141">
        <v>1116</v>
      </c>
      <c r="L16" s="141">
        <v>481</v>
      </c>
      <c r="M16" s="141">
        <v>635</v>
      </c>
      <c r="N16" s="141">
        <v>928</v>
      </c>
      <c r="O16" s="141">
        <v>439</v>
      </c>
      <c r="P16" s="141">
        <v>489</v>
      </c>
      <c r="Q16" s="141">
        <v>924</v>
      </c>
      <c r="R16" s="141">
        <v>441</v>
      </c>
      <c r="S16" s="141">
        <v>483</v>
      </c>
      <c r="T16" s="141">
        <v>703</v>
      </c>
      <c r="U16" s="141">
        <v>372</v>
      </c>
      <c r="V16" s="141">
        <v>331</v>
      </c>
      <c r="W16" s="141">
        <v>612</v>
      </c>
      <c r="X16" s="141">
        <v>305</v>
      </c>
      <c r="Y16" s="151">
        <v>307</v>
      </c>
      <c r="Z16" s="139">
        <v>4818</v>
      </c>
      <c r="AA16" s="139">
        <v>2254</v>
      </c>
      <c r="AB16" s="139">
        <v>2564</v>
      </c>
      <c r="AC16" s="141">
        <v>339</v>
      </c>
      <c r="AD16" s="141">
        <v>146</v>
      </c>
      <c r="AE16" s="141">
        <v>193</v>
      </c>
      <c r="AF16" s="141">
        <v>580</v>
      </c>
      <c r="AG16" s="141">
        <v>214</v>
      </c>
      <c r="AH16" s="141">
        <v>366</v>
      </c>
      <c r="AI16" s="141">
        <v>1028</v>
      </c>
      <c r="AJ16" s="141">
        <v>451</v>
      </c>
      <c r="AK16" s="141">
        <v>577</v>
      </c>
      <c r="AL16" s="141">
        <v>815</v>
      </c>
      <c r="AM16" s="141">
        <v>404</v>
      </c>
      <c r="AN16" s="141">
        <v>411</v>
      </c>
      <c r="AO16" s="141">
        <v>784</v>
      </c>
      <c r="AP16" s="141">
        <v>377</v>
      </c>
      <c r="AQ16" s="141">
        <v>407</v>
      </c>
      <c r="AR16" s="141">
        <v>666</v>
      </c>
      <c r="AS16" s="141">
        <v>357</v>
      </c>
      <c r="AT16" s="141">
        <v>309</v>
      </c>
      <c r="AU16" s="141">
        <v>606</v>
      </c>
      <c r="AV16" s="141">
        <v>305</v>
      </c>
      <c r="AW16" s="151">
        <v>301</v>
      </c>
      <c r="AX16" s="149">
        <v>560</v>
      </c>
      <c r="AY16" s="139">
        <v>216</v>
      </c>
      <c r="AZ16" s="139">
        <v>344</v>
      </c>
      <c r="BA16" s="140">
        <v>20</v>
      </c>
      <c r="BB16" s="141">
        <v>3</v>
      </c>
      <c r="BC16" s="141">
        <v>17</v>
      </c>
      <c r="BD16" s="141">
        <v>61</v>
      </c>
      <c r="BE16" s="141">
        <v>18</v>
      </c>
      <c r="BF16" s="141">
        <v>43</v>
      </c>
      <c r="BG16" s="141">
        <v>108</v>
      </c>
      <c r="BH16" s="141">
        <v>37</v>
      </c>
      <c r="BI16" s="141">
        <v>71</v>
      </c>
      <c r="BJ16" s="141">
        <v>131</v>
      </c>
      <c r="BK16" s="141">
        <v>44</v>
      </c>
      <c r="BL16" s="141">
        <v>87</v>
      </c>
      <c r="BM16" s="141">
        <v>177</v>
      </c>
      <c r="BN16" s="141">
        <v>85</v>
      </c>
      <c r="BO16" s="141">
        <v>92</v>
      </c>
      <c r="BP16" s="141">
        <v>54</v>
      </c>
      <c r="BQ16" s="141">
        <v>24</v>
      </c>
      <c r="BR16" s="141">
        <v>30</v>
      </c>
      <c r="BS16" s="141">
        <v>9</v>
      </c>
      <c r="BT16" s="141">
        <v>5</v>
      </c>
      <c r="BU16" s="151">
        <v>4</v>
      </c>
      <c r="BV16" s="149">
        <v>24</v>
      </c>
      <c r="BW16" s="139">
        <v>7</v>
      </c>
      <c r="BX16" s="139">
        <v>17</v>
      </c>
      <c r="BY16" s="140">
        <v>0</v>
      </c>
      <c r="BZ16" s="141">
        <v>0</v>
      </c>
      <c r="CA16" s="141">
        <v>0</v>
      </c>
      <c r="CB16" s="141">
        <v>0</v>
      </c>
      <c r="CC16" s="141">
        <v>0</v>
      </c>
      <c r="CD16" s="141">
        <v>0</v>
      </c>
      <c r="CE16" s="141">
        <v>2</v>
      </c>
      <c r="CF16" s="141">
        <v>1</v>
      </c>
      <c r="CG16" s="141">
        <v>1</v>
      </c>
      <c r="CH16" s="141">
        <v>6</v>
      </c>
      <c r="CI16" s="141">
        <v>0</v>
      </c>
      <c r="CJ16" s="141">
        <v>6</v>
      </c>
      <c r="CK16" s="141">
        <v>4</v>
      </c>
      <c r="CL16" s="141">
        <v>2</v>
      </c>
      <c r="CM16" s="141">
        <v>2</v>
      </c>
      <c r="CN16" s="141">
        <v>8</v>
      </c>
      <c r="CO16" s="141">
        <v>3</v>
      </c>
      <c r="CP16" s="141">
        <v>5</v>
      </c>
      <c r="CQ16" s="141">
        <v>4</v>
      </c>
      <c r="CR16" s="141">
        <v>1</v>
      </c>
      <c r="CS16" s="141">
        <v>3</v>
      </c>
    </row>
    <row r="17" spans="1:97" s="178" customFormat="1" ht="20.45" customHeight="1">
      <c r="A17" s="170" t="s">
        <v>344</v>
      </c>
      <c r="B17" s="139">
        <v>7233</v>
      </c>
      <c r="C17" s="139">
        <v>3176</v>
      </c>
      <c r="D17" s="139">
        <v>4057</v>
      </c>
      <c r="E17" s="141">
        <v>928</v>
      </c>
      <c r="F17" s="141">
        <v>378</v>
      </c>
      <c r="G17" s="141">
        <v>550</v>
      </c>
      <c r="H17" s="141">
        <v>1218</v>
      </c>
      <c r="I17" s="141">
        <v>444</v>
      </c>
      <c r="J17" s="141">
        <v>774</v>
      </c>
      <c r="K17" s="141">
        <v>1444</v>
      </c>
      <c r="L17" s="141">
        <v>615</v>
      </c>
      <c r="M17" s="141">
        <v>829</v>
      </c>
      <c r="N17" s="141">
        <v>1434</v>
      </c>
      <c r="O17" s="141">
        <v>663</v>
      </c>
      <c r="P17" s="141">
        <v>771</v>
      </c>
      <c r="Q17" s="141">
        <v>901</v>
      </c>
      <c r="R17" s="141">
        <v>415</v>
      </c>
      <c r="S17" s="141">
        <v>486</v>
      </c>
      <c r="T17" s="141">
        <v>654</v>
      </c>
      <c r="U17" s="141">
        <v>327</v>
      </c>
      <c r="V17" s="141">
        <v>327</v>
      </c>
      <c r="W17" s="141">
        <v>654</v>
      </c>
      <c r="X17" s="141">
        <v>334</v>
      </c>
      <c r="Y17" s="151">
        <v>320</v>
      </c>
      <c r="Z17" s="139">
        <v>6861</v>
      </c>
      <c r="AA17" s="139">
        <v>3039</v>
      </c>
      <c r="AB17" s="139">
        <v>3822</v>
      </c>
      <c r="AC17" s="141">
        <v>894</v>
      </c>
      <c r="AD17" s="141">
        <v>371</v>
      </c>
      <c r="AE17" s="141">
        <v>523</v>
      </c>
      <c r="AF17" s="141">
        <v>1165</v>
      </c>
      <c r="AG17" s="141">
        <v>427</v>
      </c>
      <c r="AH17" s="141">
        <v>738</v>
      </c>
      <c r="AI17" s="141">
        <v>1361</v>
      </c>
      <c r="AJ17" s="141">
        <v>583</v>
      </c>
      <c r="AK17" s="141">
        <v>778</v>
      </c>
      <c r="AL17" s="141">
        <v>1323</v>
      </c>
      <c r="AM17" s="141">
        <v>616</v>
      </c>
      <c r="AN17" s="141">
        <v>707</v>
      </c>
      <c r="AO17" s="141">
        <v>828</v>
      </c>
      <c r="AP17" s="141">
        <v>390</v>
      </c>
      <c r="AQ17" s="141">
        <v>438</v>
      </c>
      <c r="AR17" s="141">
        <v>639</v>
      </c>
      <c r="AS17" s="141">
        <v>319</v>
      </c>
      <c r="AT17" s="141">
        <v>320</v>
      </c>
      <c r="AU17" s="141">
        <v>651</v>
      </c>
      <c r="AV17" s="141">
        <v>333</v>
      </c>
      <c r="AW17" s="151">
        <v>318</v>
      </c>
      <c r="AX17" s="149">
        <v>469</v>
      </c>
      <c r="AY17" s="139">
        <v>179</v>
      </c>
      <c r="AZ17" s="139">
        <v>290</v>
      </c>
      <c r="BA17" s="140">
        <v>42</v>
      </c>
      <c r="BB17" s="141">
        <v>9</v>
      </c>
      <c r="BC17" s="141">
        <v>33</v>
      </c>
      <c r="BD17" s="141">
        <v>68</v>
      </c>
      <c r="BE17" s="141">
        <v>26</v>
      </c>
      <c r="BF17" s="141">
        <v>42</v>
      </c>
      <c r="BG17" s="141">
        <v>96</v>
      </c>
      <c r="BH17" s="141">
        <v>34</v>
      </c>
      <c r="BI17" s="141">
        <v>62</v>
      </c>
      <c r="BJ17" s="141">
        <v>136</v>
      </c>
      <c r="BK17" s="141">
        <v>61</v>
      </c>
      <c r="BL17" s="141">
        <v>75</v>
      </c>
      <c r="BM17" s="141">
        <v>91</v>
      </c>
      <c r="BN17" s="141">
        <v>34</v>
      </c>
      <c r="BO17" s="141">
        <v>57</v>
      </c>
      <c r="BP17" s="141">
        <v>25</v>
      </c>
      <c r="BQ17" s="141">
        <v>12</v>
      </c>
      <c r="BR17" s="141">
        <v>13</v>
      </c>
      <c r="BS17" s="141">
        <v>11</v>
      </c>
      <c r="BT17" s="141">
        <v>3</v>
      </c>
      <c r="BU17" s="151">
        <v>8</v>
      </c>
      <c r="BV17" s="149">
        <v>33</v>
      </c>
      <c r="BW17" s="139">
        <v>15</v>
      </c>
      <c r="BX17" s="139">
        <v>18</v>
      </c>
      <c r="BY17" s="140">
        <v>0</v>
      </c>
      <c r="BZ17" s="141">
        <v>0</v>
      </c>
      <c r="CA17" s="141">
        <v>0</v>
      </c>
      <c r="CB17" s="141">
        <v>3</v>
      </c>
      <c r="CC17" s="141">
        <v>1</v>
      </c>
      <c r="CD17" s="141">
        <v>2</v>
      </c>
      <c r="CE17" s="141">
        <v>1</v>
      </c>
      <c r="CF17" s="141">
        <v>1</v>
      </c>
      <c r="CG17" s="141">
        <v>0</v>
      </c>
      <c r="CH17" s="141">
        <v>11</v>
      </c>
      <c r="CI17" s="141">
        <v>4</v>
      </c>
      <c r="CJ17" s="141">
        <v>7</v>
      </c>
      <c r="CK17" s="141">
        <v>5</v>
      </c>
      <c r="CL17" s="141">
        <v>1</v>
      </c>
      <c r="CM17" s="141">
        <v>4</v>
      </c>
      <c r="CN17" s="141">
        <v>8</v>
      </c>
      <c r="CO17" s="141">
        <v>6</v>
      </c>
      <c r="CP17" s="141">
        <v>2</v>
      </c>
      <c r="CQ17" s="141">
        <v>5</v>
      </c>
      <c r="CR17" s="141">
        <v>2</v>
      </c>
      <c r="CS17" s="141">
        <v>3</v>
      </c>
    </row>
    <row r="18" spans="1:97" s="178" customFormat="1" ht="20.45" customHeight="1">
      <c r="A18" s="170" t="s">
        <v>345</v>
      </c>
      <c r="B18" s="139">
        <v>18818</v>
      </c>
      <c r="C18" s="139">
        <v>7680</v>
      </c>
      <c r="D18" s="139">
        <v>11138</v>
      </c>
      <c r="E18" s="141">
        <v>3308</v>
      </c>
      <c r="F18" s="141">
        <v>1342</v>
      </c>
      <c r="G18" s="141">
        <v>1966</v>
      </c>
      <c r="H18" s="141">
        <v>4265</v>
      </c>
      <c r="I18" s="141">
        <v>1536</v>
      </c>
      <c r="J18" s="141">
        <v>2729</v>
      </c>
      <c r="K18" s="141">
        <v>3947</v>
      </c>
      <c r="L18" s="141">
        <v>1551</v>
      </c>
      <c r="M18" s="141">
        <v>2396</v>
      </c>
      <c r="N18" s="141">
        <v>2804</v>
      </c>
      <c r="O18" s="141">
        <v>1217</v>
      </c>
      <c r="P18" s="141">
        <v>1587</v>
      </c>
      <c r="Q18" s="141">
        <v>1674</v>
      </c>
      <c r="R18" s="141">
        <v>703</v>
      </c>
      <c r="S18" s="141">
        <v>971</v>
      </c>
      <c r="T18" s="141">
        <v>1443</v>
      </c>
      <c r="U18" s="141">
        <v>653</v>
      </c>
      <c r="V18" s="141">
        <v>790</v>
      </c>
      <c r="W18" s="141">
        <v>1377</v>
      </c>
      <c r="X18" s="141">
        <v>678</v>
      </c>
      <c r="Y18" s="151">
        <v>699</v>
      </c>
      <c r="Z18" s="139">
        <v>17661</v>
      </c>
      <c r="AA18" s="139">
        <v>7273</v>
      </c>
      <c r="AB18" s="139">
        <v>10388</v>
      </c>
      <c r="AC18" s="141">
        <v>3145</v>
      </c>
      <c r="AD18" s="141">
        <v>1278</v>
      </c>
      <c r="AE18" s="141">
        <v>1867</v>
      </c>
      <c r="AF18" s="141">
        <v>4005</v>
      </c>
      <c r="AG18" s="141">
        <v>1437</v>
      </c>
      <c r="AH18" s="141">
        <v>2568</v>
      </c>
      <c r="AI18" s="141">
        <v>3680</v>
      </c>
      <c r="AJ18" s="141">
        <v>1465</v>
      </c>
      <c r="AK18" s="141">
        <v>2215</v>
      </c>
      <c r="AL18" s="141">
        <v>2595</v>
      </c>
      <c r="AM18" s="141">
        <v>1145</v>
      </c>
      <c r="AN18" s="141">
        <v>1450</v>
      </c>
      <c r="AO18" s="141">
        <v>1490</v>
      </c>
      <c r="AP18" s="141">
        <v>644</v>
      </c>
      <c r="AQ18" s="141">
        <v>846</v>
      </c>
      <c r="AR18" s="141">
        <v>1390</v>
      </c>
      <c r="AS18" s="141">
        <v>634</v>
      </c>
      <c r="AT18" s="141">
        <v>756</v>
      </c>
      <c r="AU18" s="141">
        <v>1356</v>
      </c>
      <c r="AV18" s="141">
        <v>670</v>
      </c>
      <c r="AW18" s="151">
        <v>686</v>
      </c>
      <c r="AX18" s="149">
        <v>1563</v>
      </c>
      <c r="AY18" s="139">
        <v>568</v>
      </c>
      <c r="AZ18" s="139">
        <v>995</v>
      </c>
      <c r="BA18" s="140">
        <v>195</v>
      </c>
      <c r="BB18" s="141">
        <v>70</v>
      </c>
      <c r="BC18" s="141">
        <v>125</v>
      </c>
      <c r="BD18" s="141">
        <v>350</v>
      </c>
      <c r="BE18" s="141">
        <v>130</v>
      </c>
      <c r="BF18" s="141">
        <v>220</v>
      </c>
      <c r="BG18" s="141">
        <v>367</v>
      </c>
      <c r="BH18" s="141">
        <v>130</v>
      </c>
      <c r="BI18" s="141">
        <v>237</v>
      </c>
      <c r="BJ18" s="141">
        <v>295</v>
      </c>
      <c r="BK18" s="141">
        <v>106</v>
      </c>
      <c r="BL18" s="141">
        <v>189</v>
      </c>
      <c r="BM18" s="141">
        <v>257</v>
      </c>
      <c r="BN18" s="141">
        <v>89</v>
      </c>
      <c r="BO18" s="141">
        <v>168</v>
      </c>
      <c r="BP18" s="141">
        <v>72</v>
      </c>
      <c r="BQ18" s="141">
        <v>33</v>
      </c>
      <c r="BR18" s="141">
        <v>39</v>
      </c>
      <c r="BS18" s="141">
        <v>27</v>
      </c>
      <c r="BT18" s="141">
        <v>10</v>
      </c>
      <c r="BU18" s="151">
        <v>17</v>
      </c>
      <c r="BV18" s="149">
        <v>84</v>
      </c>
      <c r="BW18" s="139">
        <v>31</v>
      </c>
      <c r="BX18" s="139">
        <v>53</v>
      </c>
      <c r="BY18" s="140">
        <v>4</v>
      </c>
      <c r="BZ18" s="141">
        <v>3</v>
      </c>
      <c r="CA18" s="141">
        <v>1</v>
      </c>
      <c r="CB18" s="141">
        <v>5</v>
      </c>
      <c r="CC18" s="141">
        <v>2</v>
      </c>
      <c r="CD18" s="141">
        <v>3</v>
      </c>
      <c r="CE18" s="141">
        <v>9</v>
      </c>
      <c r="CF18" s="141">
        <v>2</v>
      </c>
      <c r="CG18" s="141">
        <v>7</v>
      </c>
      <c r="CH18" s="141">
        <v>20</v>
      </c>
      <c r="CI18" s="141">
        <v>9</v>
      </c>
      <c r="CJ18" s="141">
        <v>11</v>
      </c>
      <c r="CK18" s="141">
        <v>14</v>
      </c>
      <c r="CL18" s="141">
        <v>5</v>
      </c>
      <c r="CM18" s="141">
        <v>9</v>
      </c>
      <c r="CN18" s="141">
        <v>15</v>
      </c>
      <c r="CO18" s="141">
        <v>5</v>
      </c>
      <c r="CP18" s="141">
        <v>10</v>
      </c>
      <c r="CQ18" s="141">
        <v>17</v>
      </c>
      <c r="CR18" s="141">
        <v>5</v>
      </c>
      <c r="CS18" s="141">
        <v>12</v>
      </c>
    </row>
    <row r="19" spans="1:97" s="178" customFormat="1" ht="20.45" customHeight="1">
      <c r="A19" s="170" t="s">
        <v>346</v>
      </c>
      <c r="B19" s="139">
        <v>12478</v>
      </c>
      <c r="C19" s="139">
        <v>5186</v>
      </c>
      <c r="D19" s="139">
        <v>7292</v>
      </c>
      <c r="E19" s="141">
        <v>3210</v>
      </c>
      <c r="F19" s="141">
        <v>1212</v>
      </c>
      <c r="G19" s="141">
        <v>1998</v>
      </c>
      <c r="H19" s="141">
        <v>2611</v>
      </c>
      <c r="I19" s="141">
        <v>1001</v>
      </c>
      <c r="J19" s="141">
        <v>1610</v>
      </c>
      <c r="K19" s="141">
        <v>2241</v>
      </c>
      <c r="L19" s="141">
        <v>960</v>
      </c>
      <c r="M19" s="141">
        <v>1281</v>
      </c>
      <c r="N19" s="141">
        <v>1727</v>
      </c>
      <c r="O19" s="141">
        <v>789</v>
      </c>
      <c r="P19" s="141">
        <v>938</v>
      </c>
      <c r="Q19" s="141">
        <v>1021</v>
      </c>
      <c r="R19" s="141">
        <v>438</v>
      </c>
      <c r="S19" s="141">
        <v>583</v>
      </c>
      <c r="T19" s="141">
        <v>820</v>
      </c>
      <c r="U19" s="141">
        <v>362</v>
      </c>
      <c r="V19" s="141">
        <v>458</v>
      </c>
      <c r="W19" s="141">
        <v>848</v>
      </c>
      <c r="X19" s="141">
        <v>424</v>
      </c>
      <c r="Y19" s="151">
        <v>424</v>
      </c>
      <c r="Z19" s="139">
        <v>12006</v>
      </c>
      <c r="AA19" s="139">
        <v>4996</v>
      </c>
      <c r="AB19" s="139">
        <v>7010</v>
      </c>
      <c r="AC19" s="141">
        <v>3169</v>
      </c>
      <c r="AD19" s="141">
        <v>1198</v>
      </c>
      <c r="AE19" s="141">
        <v>1971</v>
      </c>
      <c r="AF19" s="141">
        <v>2524</v>
      </c>
      <c r="AG19" s="141">
        <v>971</v>
      </c>
      <c r="AH19" s="141">
        <v>1553</v>
      </c>
      <c r="AI19" s="141">
        <v>2134</v>
      </c>
      <c r="AJ19" s="141">
        <v>915</v>
      </c>
      <c r="AK19" s="141">
        <v>1219</v>
      </c>
      <c r="AL19" s="141">
        <v>1618</v>
      </c>
      <c r="AM19" s="141">
        <v>736</v>
      </c>
      <c r="AN19" s="141">
        <v>882</v>
      </c>
      <c r="AO19" s="141">
        <v>935</v>
      </c>
      <c r="AP19" s="141">
        <v>404</v>
      </c>
      <c r="AQ19" s="141">
        <v>531</v>
      </c>
      <c r="AR19" s="141">
        <v>793</v>
      </c>
      <c r="AS19" s="141">
        <v>354</v>
      </c>
      <c r="AT19" s="141">
        <v>439</v>
      </c>
      <c r="AU19" s="141">
        <v>833</v>
      </c>
      <c r="AV19" s="141">
        <v>418</v>
      </c>
      <c r="AW19" s="151">
        <v>415</v>
      </c>
      <c r="AX19" s="149">
        <v>648</v>
      </c>
      <c r="AY19" s="139">
        <v>275</v>
      </c>
      <c r="AZ19" s="139">
        <v>373</v>
      </c>
      <c r="BA19" s="140">
        <v>62</v>
      </c>
      <c r="BB19" s="141">
        <v>26</v>
      </c>
      <c r="BC19" s="141">
        <v>36</v>
      </c>
      <c r="BD19" s="141">
        <v>122</v>
      </c>
      <c r="BE19" s="141">
        <v>47</v>
      </c>
      <c r="BF19" s="141">
        <v>75</v>
      </c>
      <c r="BG19" s="141">
        <v>157</v>
      </c>
      <c r="BH19" s="141">
        <v>63</v>
      </c>
      <c r="BI19" s="141">
        <v>94</v>
      </c>
      <c r="BJ19" s="141">
        <v>138</v>
      </c>
      <c r="BK19" s="141">
        <v>64</v>
      </c>
      <c r="BL19" s="141">
        <v>74</v>
      </c>
      <c r="BM19" s="141">
        <v>112</v>
      </c>
      <c r="BN19" s="141">
        <v>47</v>
      </c>
      <c r="BO19" s="141">
        <v>65</v>
      </c>
      <c r="BP19" s="141">
        <v>33</v>
      </c>
      <c r="BQ19" s="141">
        <v>16</v>
      </c>
      <c r="BR19" s="141">
        <v>17</v>
      </c>
      <c r="BS19" s="141">
        <v>24</v>
      </c>
      <c r="BT19" s="141">
        <v>12</v>
      </c>
      <c r="BU19" s="151">
        <v>12</v>
      </c>
      <c r="BV19" s="149">
        <v>128</v>
      </c>
      <c r="BW19" s="139">
        <v>60</v>
      </c>
      <c r="BX19" s="139">
        <v>68</v>
      </c>
      <c r="BY19" s="140">
        <v>3</v>
      </c>
      <c r="BZ19" s="141">
        <v>2</v>
      </c>
      <c r="CA19" s="141">
        <v>1</v>
      </c>
      <c r="CB19" s="141">
        <v>4</v>
      </c>
      <c r="CC19" s="141">
        <v>0</v>
      </c>
      <c r="CD19" s="141">
        <v>4</v>
      </c>
      <c r="CE19" s="141">
        <v>15</v>
      </c>
      <c r="CF19" s="141">
        <v>9</v>
      </c>
      <c r="CG19" s="141">
        <v>6</v>
      </c>
      <c r="CH19" s="141">
        <v>34</v>
      </c>
      <c r="CI19" s="141">
        <v>18</v>
      </c>
      <c r="CJ19" s="141">
        <v>16</v>
      </c>
      <c r="CK19" s="141">
        <v>30</v>
      </c>
      <c r="CL19" s="141">
        <v>16</v>
      </c>
      <c r="CM19" s="141">
        <v>14</v>
      </c>
      <c r="CN19" s="141">
        <v>26</v>
      </c>
      <c r="CO19" s="141">
        <v>7</v>
      </c>
      <c r="CP19" s="141">
        <v>19</v>
      </c>
      <c r="CQ19" s="141">
        <v>16</v>
      </c>
      <c r="CR19" s="141">
        <v>8</v>
      </c>
      <c r="CS19" s="141">
        <v>8</v>
      </c>
    </row>
    <row r="20" spans="1:97" s="178" customFormat="1" ht="20.45" customHeight="1">
      <c r="A20" s="170" t="s">
        <v>347</v>
      </c>
      <c r="B20" s="139">
        <v>12470</v>
      </c>
      <c r="C20" s="139">
        <v>5014</v>
      </c>
      <c r="D20" s="139">
        <v>7456</v>
      </c>
      <c r="E20" s="141">
        <v>2514</v>
      </c>
      <c r="F20" s="141">
        <v>1004</v>
      </c>
      <c r="G20" s="141">
        <v>1510</v>
      </c>
      <c r="H20" s="141">
        <v>2511</v>
      </c>
      <c r="I20" s="141">
        <v>846</v>
      </c>
      <c r="J20" s="141">
        <v>1665</v>
      </c>
      <c r="K20" s="141">
        <v>2356</v>
      </c>
      <c r="L20" s="141">
        <v>936</v>
      </c>
      <c r="M20" s="141">
        <v>1420</v>
      </c>
      <c r="N20" s="141">
        <v>1898</v>
      </c>
      <c r="O20" s="141">
        <v>809</v>
      </c>
      <c r="P20" s="141">
        <v>1089</v>
      </c>
      <c r="Q20" s="141">
        <v>1177</v>
      </c>
      <c r="R20" s="141">
        <v>493</v>
      </c>
      <c r="S20" s="141">
        <v>684</v>
      </c>
      <c r="T20" s="141">
        <v>966</v>
      </c>
      <c r="U20" s="141">
        <v>447</v>
      </c>
      <c r="V20" s="141">
        <v>519</v>
      </c>
      <c r="W20" s="141">
        <v>1048</v>
      </c>
      <c r="X20" s="141">
        <v>479</v>
      </c>
      <c r="Y20" s="151">
        <v>569</v>
      </c>
      <c r="Z20" s="139">
        <v>11483</v>
      </c>
      <c r="AA20" s="139">
        <v>4653</v>
      </c>
      <c r="AB20" s="139">
        <v>6830</v>
      </c>
      <c r="AC20" s="141">
        <v>2433</v>
      </c>
      <c r="AD20" s="141">
        <v>978</v>
      </c>
      <c r="AE20" s="141">
        <v>1455</v>
      </c>
      <c r="AF20" s="141">
        <v>2363</v>
      </c>
      <c r="AG20" s="141">
        <v>809</v>
      </c>
      <c r="AH20" s="141">
        <v>1554</v>
      </c>
      <c r="AI20" s="141">
        <v>2164</v>
      </c>
      <c r="AJ20" s="141">
        <v>869</v>
      </c>
      <c r="AK20" s="141">
        <v>1295</v>
      </c>
      <c r="AL20" s="141">
        <v>1677</v>
      </c>
      <c r="AM20" s="141">
        <v>724</v>
      </c>
      <c r="AN20" s="141">
        <v>953</v>
      </c>
      <c r="AO20" s="141">
        <v>973</v>
      </c>
      <c r="AP20" s="141">
        <v>404</v>
      </c>
      <c r="AQ20" s="141">
        <v>569</v>
      </c>
      <c r="AR20" s="141">
        <v>867</v>
      </c>
      <c r="AS20" s="141">
        <v>410</v>
      </c>
      <c r="AT20" s="141">
        <v>457</v>
      </c>
      <c r="AU20" s="141">
        <v>1006</v>
      </c>
      <c r="AV20" s="141">
        <v>459</v>
      </c>
      <c r="AW20" s="151">
        <v>547</v>
      </c>
      <c r="AX20" s="149">
        <v>1316</v>
      </c>
      <c r="AY20" s="139">
        <v>484</v>
      </c>
      <c r="AZ20" s="139">
        <v>832</v>
      </c>
      <c r="BA20" s="140">
        <v>110</v>
      </c>
      <c r="BB20" s="141">
        <v>32</v>
      </c>
      <c r="BC20" s="141">
        <v>78</v>
      </c>
      <c r="BD20" s="141">
        <v>208</v>
      </c>
      <c r="BE20" s="141">
        <v>58</v>
      </c>
      <c r="BF20" s="141">
        <v>150</v>
      </c>
      <c r="BG20" s="141">
        <v>264</v>
      </c>
      <c r="BH20" s="141">
        <v>97</v>
      </c>
      <c r="BI20" s="141">
        <v>167</v>
      </c>
      <c r="BJ20" s="141">
        <v>308</v>
      </c>
      <c r="BK20" s="141">
        <v>121</v>
      </c>
      <c r="BL20" s="141">
        <v>187</v>
      </c>
      <c r="BM20" s="141">
        <v>259</v>
      </c>
      <c r="BN20" s="141">
        <v>102</v>
      </c>
      <c r="BO20" s="141">
        <v>157</v>
      </c>
      <c r="BP20" s="141">
        <v>117</v>
      </c>
      <c r="BQ20" s="141">
        <v>53</v>
      </c>
      <c r="BR20" s="141">
        <v>64</v>
      </c>
      <c r="BS20" s="141">
        <v>50</v>
      </c>
      <c r="BT20" s="141">
        <v>21</v>
      </c>
      <c r="BU20" s="151">
        <v>29</v>
      </c>
      <c r="BV20" s="149">
        <v>216</v>
      </c>
      <c r="BW20" s="139">
        <v>86</v>
      </c>
      <c r="BX20" s="139">
        <v>130</v>
      </c>
      <c r="BY20" s="140">
        <v>3</v>
      </c>
      <c r="BZ20" s="141">
        <v>1</v>
      </c>
      <c r="CA20" s="141">
        <v>2</v>
      </c>
      <c r="CB20" s="141">
        <v>2</v>
      </c>
      <c r="CC20" s="141">
        <v>0</v>
      </c>
      <c r="CD20" s="141">
        <v>2</v>
      </c>
      <c r="CE20" s="141">
        <v>18</v>
      </c>
      <c r="CF20" s="141">
        <v>3</v>
      </c>
      <c r="CG20" s="141">
        <v>15</v>
      </c>
      <c r="CH20" s="141">
        <v>43</v>
      </c>
      <c r="CI20" s="141">
        <v>19</v>
      </c>
      <c r="CJ20" s="141">
        <v>24</v>
      </c>
      <c r="CK20" s="141">
        <v>55</v>
      </c>
      <c r="CL20" s="141">
        <v>24</v>
      </c>
      <c r="CM20" s="141">
        <v>31</v>
      </c>
      <c r="CN20" s="141">
        <v>54</v>
      </c>
      <c r="CO20" s="141">
        <v>20</v>
      </c>
      <c r="CP20" s="141">
        <v>34</v>
      </c>
      <c r="CQ20" s="141">
        <v>41</v>
      </c>
      <c r="CR20" s="141">
        <v>19</v>
      </c>
      <c r="CS20" s="141">
        <v>22</v>
      </c>
    </row>
    <row r="21" spans="1:97" s="178" customFormat="1" ht="20.45" customHeight="1">
      <c r="A21" s="170" t="s">
        <v>348</v>
      </c>
      <c r="B21" s="139">
        <v>11790</v>
      </c>
      <c r="C21" s="139">
        <v>4998</v>
      </c>
      <c r="D21" s="139">
        <v>6792</v>
      </c>
      <c r="E21" s="141">
        <v>2099</v>
      </c>
      <c r="F21" s="141">
        <v>939</v>
      </c>
      <c r="G21" s="141">
        <v>1160</v>
      </c>
      <c r="H21" s="141">
        <v>2999</v>
      </c>
      <c r="I21" s="141">
        <v>1141</v>
      </c>
      <c r="J21" s="141">
        <v>1858</v>
      </c>
      <c r="K21" s="141">
        <v>2673</v>
      </c>
      <c r="L21" s="141">
        <v>1067</v>
      </c>
      <c r="M21" s="141">
        <v>1606</v>
      </c>
      <c r="N21" s="141">
        <v>1669</v>
      </c>
      <c r="O21" s="141">
        <v>773</v>
      </c>
      <c r="P21" s="141">
        <v>896</v>
      </c>
      <c r="Q21" s="141">
        <v>776</v>
      </c>
      <c r="R21" s="141">
        <v>355</v>
      </c>
      <c r="S21" s="141">
        <v>421</v>
      </c>
      <c r="T21" s="141">
        <v>771</v>
      </c>
      <c r="U21" s="141">
        <v>346</v>
      </c>
      <c r="V21" s="141">
        <v>425</v>
      </c>
      <c r="W21" s="141">
        <v>803</v>
      </c>
      <c r="X21" s="141">
        <v>377</v>
      </c>
      <c r="Y21" s="151">
        <v>426</v>
      </c>
      <c r="Z21" s="139">
        <v>11389</v>
      </c>
      <c r="AA21" s="139">
        <v>4860</v>
      </c>
      <c r="AB21" s="139">
        <v>6529</v>
      </c>
      <c r="AC21" s="141">
        <v>2079</v>
      </c>
      <c r="AD21" s="141">
        <v>933</v>
      </c>
      <c r="AE21" s="141">
        <v>1146</v>
      </c>
      <c r="AF21" s="141">
        <v>2915</v>
      </c>
      <c r="AG21" s="141">
        <v>1115</v>
      </c>
      <c r="AH21" s="141">
        <v>1800</v>
      </c>
      <c r="AI21" s="141">
        <v>2574</v>
      </c>
      <c r="AJ21" s="141">
        <v>1033</v>
      </c>
      <c r="AK21" s="141">
        <v>1541</v>
      </c>
      <c r="AL21" s="141">
        <v>1579</v>
      </c>
      <c r="AM21" s="141">
        <v>741</v>
      </c>
      <c r="AN21" s="141">
        <v>838</v>
      </c>
      <c r="AO21" s="141">
        <v>707</v>
      </c>
      <c r="AP21" s="141">
        <v>330</v>
      </c>
      <c r="AQ21" s="141">
        <v>377</v>
      </c>
      <c r="AR21" s="141">
        <v>743</v>
      </c>
      <c r="AS21" s="141">
        <v>338</v>
      </c>
      <c r="AT21" s="141">
        <v>405</v>
      </c>
      <c r="AU21" s="141">
        <v>792</v>
      </c>
      <c r="AV21" s="141">
        <v>370</v>
      </c>
      <c r="AW21" s="151">
        <v>422</v>
      </c>
      <c r="AX21" s="149">
        <v>612</v>
      </c>
      <c r="AY21" s="139">
        <v>214</v>
      </c>
      <c r="AZ21" s="139">
        <v>398</v>
      </c>
      <c r="BA21" s="140">
        <v>30</v>
      </c>
      <c r="BB21" s="141">
        <v>8</v>
      </c>
      <c r="BC21" s="141">
        <v>22</v>
      </c>
      <c r="BD21" s="141">
        <v>130</v>
      </c>
      <c r="BE21" s="141">
        <v>44</v>
      </c>
      <c r="BF21" s="141">
        <v>86</v>
      </c>
      <c r="BG21" s="141">
        <v>159</v>
      </c>
      <c r="BH21" s="141">
        <v>61</v>
      </c>
      <c r="BI21" s="141">
        <v>98</v>
      </c>
      <c r="BJ21" s="141">
        <v>141</v>
      </c>
      <c r="BK21" s="141">
        <v>52</v>
      </c>
      <c r="BL21" s="141">
        <v>89</v>
      </c>
      <c r="BM21" s="141">
        <v>106</v>
      </c>
      <c r="BN21" s="141">
        <v>34</v>
      </c>
      <c r="BO21" s="141">
        <v>72</v>
      </c>
      <c r="BP21" s="141">
        <v>34</v>
      </c>
      <c r="BQ21" s="141">
        <v>10</v>
      </c>
      <c r="BR21" s="141">
        <v>24</v>
      </c>
      <c r="BS21" s="141">
        <v>12</v>
      </c>
      <c r="BT21" s="141">
        <v>5</v>
      </c>
      <c r="BU21" s="151">
        <v>7</v>
      </c>
      <c r="BV21" s="149">
        <v>89</v>
      </c>
      <c r="BW21" s="139">
        <v>32</v>
      </c>
      <c r="BX21" s="139">
        <v>57</v>
      </c>
      <c r="BY21" s="140">
        <v>0</v>
      </c>
      <c r="BZ21" s="141">
        <v>0</v>
      </c>
      <c r="CA21" s="141">
        <v>0</v>
      </c>
      <c r="CB21" s="141">
        <v>1</v>
      </c>
      <c r="CC21" s="141">
        <v>0</v>
      </c>
      <c r="CD21" s="141">
        <v>1</v>
      </c>
      <c r="CE21" s="141">
        <v>9</v>
      </c>
      <c r="CF21" s="141">
        <v>3</v>
      </c>
      <c r="CG21" s="141">
        <v>6</v>
      </c>
      <c r="CH21" s="141">
        <v>14</v>
      </c>
      <c r="CI21" s="141">
        <v>4</v>
      </c>
      <c r="CJ21" s="141">
        <v>10</v>
      </c>
      <c r="CK21" s="141">
        <v>20</v>
      </c>
      <c r="CL21" s="141">
        <v>8</v>
      </c>
      <c r="CM21" s="141">
        <v>12</v>
      </c>
      <c r="CN21" s="141">
        <v>18</v>
      </c>
      <c r="CO21" s="141">
        <v>4</v>
      </c>
      <c r="CP21" s="141">
        <v>14</v>
      </c>
      <c r="CQ21" s="141">
        <v>27</v>
      </c>
      <c r="CR21" s="141">
        <v>13</v>
      </c>
      <c r="CS21" s="141">
        <v>14</v>
      </c>
    </row>
    <row r="22" spans="1:97" s="178" customFormat="1" ht="20.45" customHeight="1">
      <c r="A22" s="170" t="s">
        <v>349</v>
      </c>
      <c r="B22" s="139">
        <v>19581</v>
      </c>
      <c r="C22" s="139">
        <v>8172</v>
      </c>
      <c r="D22" s="139">
        <v>11409</v>
      </c>
      <c r="E22" s="141">
        <v>3450</v>
      </c>
      <c r="F22" s="141">
        <v>1333</v>
      </c>
      <c r="G22" s="141">
        <v>2117</v>
      </c>
      <c r="H22" s="141">
        <v>3479</v>
      </c>
      <c r="I22" s="141">
        <v>1250</v>
      </c>
      <c r="J22" s="141">
        <v>2229</v>
      </c>
      <c r="K22" s="141">
        <v>3735</v>
      </c>
      <c r="L22" s="141">
        <v>1586</v>
      </c>
      <c r="M22" s="141">
        <v>2149</v>
      </c>
      <c r="N22" s="141">
        <v>3348</v>
      </c>
      <c r="O22" s="141">
        <v>1449</v>
      </c>
      <c r="P22" s="141">
        <v>1899</v>
      </c>
      <c r="Q22" s="141">
        <v>2262</v>
      </c>
      <c r="R22" s="141">
        <v>990</v>
      </c>
      <c r="S22" s="141">
        <v>1272</v>
      </c>
      <c r="T22" s="141">
        <v>1691</v>
      </c>
      <c r="U22" s="141">
        <v>806</v>
      </c>
      <c r="V22" s="141">
        <v>885</v>
      </c>
      <c r="W22" s="141">
        <v>1616</v>
      </c>
      <c r="X22" s="141">
        <v>758</v>
      </c>
      <c r="Y22" s="151">
        <v>858</v>
      </c>
      <c r="Z22" s="139">
        <v>18526</v>
      </c>
      <c r="AA22" s="139">
        <v>7719</v>
      </c>
      <c r="AB22" s="139">
        <v>10807</v>
      </c>
      <c r="AC22" s="141">
        <v>3337</v>
      </c>
      <c r="AD22" s="141">
        <v>1289</v>
      </c>
      <c r="AE22" s="141">
        <v>2048</v>
      </c>
      <c r="AF22" s="141">
        <v>3317</v>
      </c>
      <c r="AG22" s="141">
        <v>1196</v>
      </c>
      <c r="AH22" s="141">
        <v>2121</v>
      </c>
      <c r="AI22" s="141">
        <v>3506</v>
      </c>
      <c r="AJ22" s="141">
        <v>1484</v>
      </c>
      <c r="AK22" s="141">
        <v>2022</v>
      </c>
      <c r="AL22" s="141">
        <v>3073</v>
      </c>
      <c r="AM22" s="141">
        <v>1332</v>
      </c>
      <c r="AN22" s="141">
        <v>1741</v>
      </c>
      <c r="AO22" s="141">
        <v>2064</v>
      </c>
      <c r="AP22" s="141">
        <v>894</v>
      </c>
      <c r="AQ22" s="141">
        <v>1170</v>
      </c>
      <c r="AR22" s="141">
        <v>1631</v>
      </c>
      <c r="AS22" s="141">
        <v>776</v>
      </c>
      <c r="AT22" s="141">
        <v>855</v>
      </c>
      <c r="AU22" s="141">
        <v>1598</v>
      </c>
      <c r="AV22" s="141">
        <v>748</v>
      </c>
      <c r="AW22" s="151">
        <v>850</v>
      </c>
      <c r="AX22" s="149">
        <v>1854</v>
      </c>
      <c r="AY22" s="139">
        <v>808</v>
      </c>
      <c r="AZ22" s="139">
        <v>1046</v>
      </c>
      <c r="BA22" s="140">
        <v>152</v>
      </c>
      <c r="BB22" s="141">
        <v>62</v>
      </c>
      <c r="BC22" s="141">
        <v>90</v>
      </c>
      <c r="BD22" s="141">
        <v>281</v>
      </c>
      <c r="BE22" s="141">
        <v>106</v>
      </c>
      <c r="BF22" s="141">
        <v>175</v>
      </c>
      <c r="BG22" s="141">
        <v>366</v>
      </c>
      <c r="BH22" s="141">
        <v>163</v>
      </c>
      <c r="BI22" s="141">
        <v>203</v>
      </c>
      <c r="BJ22" s="141">
        <v>475</v>
      </c>
      <c r="BK22" s="141">
        <v>212</v>
      </c>
      <c r="BL22" s="141">
        <v>263</v>
      </c>
      <c r="BM22" s="141">
        <v>375</v>
      </c>
      <c r="BN22" s="141">
        <v>164</v>
      </c>
      <c r="BO22" s="141">
        <v>211</v>
      </c>
      <c r="BP22" s="141">
        <v>144</v>
      </c>
      <c r="BQ22" s="141">
        <v>71</v>
      </c>
      <c r="BR22" s="141">
        <v>73</v>
      </c>
      <c r="BS22" s="141">
        <v>61</v>
      </c>
      <c r="BT22" s="141">
        <v>30</v>
      </c>
      <c r="BU22" s="151">
        <v>31</v>
      </c>
      <c r="BV22" s="149">
        <v>217</v>
      </c>
      <c r="BW22" s="139">
        <v>94</v>
      </c>
      <c r="BX22" s="139">
        <v>123</v>
      </c>
      <c r="BY22" s="140">
        <v>19</v>
      </c>
      <c r="BZ22" s="141">
        <v>7</v>
      </c>
      <c r="CA22" s="141">
        <v>12</v>
      </c>
      <c r="CB22" s="141">
        <v>40</v>
      </c>
      <c r="CC22" s="141">
        <v>14</v>
      </c>
      <c r="CD22" s="141">
        <v>26</v>
      </c>
      <c r="CE22" s="141">
        <v>39</v>
      </c>
      <c r="CF22" s="141">
        <v>13</v>
      </c>
      <c r="CG22" s="141">
        <v>26</v>
      </c>
      <c r="CH22" s="141">
        <v>36</v>
      </c>
      <c r="CI22" s="141">
        <v>16</v>
      </c>
      <c r="CJ22" s="141">
        <v>20</v>
      </c>
      <c r="CK22" s="141">
        <v>38</v>
      </c>
      <c r="CL22" s="141">
        <v>19</v>
      </c>
      <c r="CM22" s="141">
        <v>19</v>
      </c>
      <c r="CN22" s="141">
        <v>24</v>
      </c>
      <c r="CO22" s="141">
        <v>12</v>
      </c>
      <c r="CP22" s="141">
        <v>12</v>
      </c>
      <c r="CQ22" s="141">
        <v>21</v>
      </c>
      <c r="CR22" s="141">
        <v>13</v>
      </c>
      <c r="CS22" s="141">
        <v>8</v>
      </c>
    </row>
    <row r="23" spans="1:97" s="178" customFormat="1" ht="20.45" customHeight="1">
      <c r="A23" s="170" t="s">
        <v>350</v>
      </c>
      <c r="B23" s="139">
        <v>5613</v>
      </c>
      <c r="C23" s="139">
        <v>2509</v>
      </c>
      <c r="D23" s="139">
        <v>3104</v>
      </c>
      <c r="E23" s="141">
        <v>945</v>
      </c>
      <c r="F23" s="141">
        <v>387</v>
      </c>
      <c r="G23" s="141">
        <v>558</v>
      </c>
      <c r="H23" s="141">
        <v>892</v>
      </c>
      <c r="I23" s="141">
        <v>329</v>
      </c>
      <c r="J23" s="141">
        <v>563</v>
      </c>
      <c r="K23" s="141">
        <v>999</v>
      </c>
      <c r="L23" s="141">
        <v>455</v>
      </c>
      <c r="M23" s="141">
        <v>544</v>
      </c>
      <c r="N23" s="141">
        <v>897</v>
      </c>
      <c r="O23" s="141">
        <v>412</v>
      </c>
      <c r="P23" s="141">
        <v>485</v>
      </c>
      <c r="Q23" s="141">
        <v>543</v>
      </c>
      <c r="R23" s="141">
        <v>277</v>
      </c>
      <c r="S23" s="141">
        <v>266</v>
      </c>
      <c r="T23" s="141">
        <v>656</v>
      </c>
      <c r="U23" s="141">
        <v>321</v>
      </c>
      <c r="V23" s="141">
        <v>335</v>
      </c>
      <c r="W23" s="141">
        <v>681</v>
      </c>
      <c r="X23" s="141">
        <v>328</v>
      </c>
      <c r="Y23" s="151">
        <v>353</v>
      </c>
      <c r="Z23" s="139">
        <v>5371</v>
      </c>
      <c r="AA23" s="139">
        <v>2412</v>
      </c>
      <c r="AB23" s="139">
        <v>2959</v>
      </c>
      <c r="AC23" s="141">
        <v>930</v>
      </c>
      <c r="AD23" s="141">
        <v>381</v>
      </c>
      <c r="AE23" s="141">
        <v>549</v>
      </c>
      <c r="AF23" s="141">
        <v>866</v>
      </c>
      <c r="AG23" s="141">
        <v>320</v>
      </c>
      <c r="AH23" s="141">
        <v>546</v>
      </c>
      <c r="AI23" s="141">
        <v>960</v>
      </c>
      <c r="AJ23" s="141">
        <v>443</v>
      </c>
      <c r="AK23" s="141">
        <v>517</v>
      </c>
      <c r="AL23" s="141">
        <v>840</v>
      </c>
      <c r="AM23" s="141">
        <v>388</v>
      </c>
      <c r="AN23" s="141">
        <v>452</v>
      </c>
      <c r="AO23" s="141">
        <v>474</v>
      </c>
      <c r="AP23" s="141">
        <v>246</v>
      </c>
      <c r="AQ23" s="141">
        <v>228</v>
      </c>
      <c r="AR23" s="141">
        <v>628</v>
      </c>
      <c r="AS23" s="141">
        <v>308</v>
      </c>
      <c r="AT23" s="141">
        <v>320</v>
      </c>
      <c r="AU23" s="141">
        <v>673</v>
      </c>
      <c r="AV23" s="141">
        <v>326</v>
      </c>
      <c r="AW23" s="151">
        <v>347</v>
      </c>
      <c r="AX23" s="149">
        <v>392</v>
      </c>
      <c r="AY23" s="139">
        <v>166</v>
      </c>
      <c r="AZ23" s="139">
        <v>226</v>
      </c>
      <c r="BA23" s="140">
        <v>18</v>
      </c>
      <c r="BB23" s="141">
        <v>6</v>
      </c>
      <c r="BC23" s="141">
        <v>12</v>
      </c>
      <c r="BD23" s="141">
        <v>40</v>
      </c>
      <c r="BE23" s="141">
        <v>17</v>
      </c>
      <c r="BF23" s="141">
        <v>23</v>
      </c>
      <c r="BG23" s="141">
        <v>64</v>
      </c>
      <c r="BH23" s="141">
        <v>23</v>
      </c>
      <c r="BI23" s="141">
        <v>41</v>
      </c>
      <c r="BJ23" s="141">
        <v>92</v>
      </c>
      <c r="BK23" s="141">
        <v>38</v>
      </c>
      <c r="BL23" s="141">
        <v>54</v>
      </c>
      <c r="BM23" s="141">
        <v>100</v>
      </c>
      <c r="BN23" s="141">
        <v>48</v>
      </c>
      <c r="BO23" s="141">
        <v>52</v>
      </c>
      <c r="BP23" s="141">
        <v>53</v>
      </c>
      <c r="BQ23" s="141">
        <v>24</v>
      </c>
      <c r="BR23" s="141">
        <v>29</v>
      </c>
      <c r="BS23" s="141">
        <v>25</v>
      </c>
      <c r="BT23" s="141">
        <v>10</v>
      </c>
      <c r="BU23" s="151">
        <v>15</v>
      </c>
      <c r="BV23" s="149">
        <v>58</v>
      </c>
      <c r="BW23" s="139">
        <v>30</v>
      </c>
      <c r="BX23" s="139">
        <v>28</v>
      </c>
      <c r="BY23" s="140">
        <v>3</v>
      </c>
      <c r="BZ23" s="141">
        <v>3</v>
      </c>
      <c r="CA23" s="141">
        <v>0</v>
      </c>
      <c r="CB23" s="141">
        <v>7</v>
      </c>
      <c r="CC23" s="141">
        <v>3</v>
      </c>
      <c r="CD23" s="141">
        <v>4</v>
      </c>
      <c r="CE23" s="141">
        <v>8</v>
      </c>
      <c r="CF23" s="141">
        <v>5</v>
      </c>
      <c r="CG23" s="141">
        <v>3</v>
      </c>
      <c r="CH23" s="141">
        <v>15</v>
      </c>
      <c r="CI23" s="141">
        <v>10</v>
      </c>
      <c r="CJ23" s="141">
        <v>5</v>
      </c>
      <c r="CK23" s="141">
        <v>14</v>
      </c>
      <c r="CL23" s="141">
        <v>6</v>
      </c>
      <c r="CM23" s="141">
        <v>8</v>
      </c>
      <c r="CN23" s="141">
        <v>9</v>
      </c>
      <c r="CO23" s="141">
        <v>3</v>
      </c>
      <c r="CP23" s="141">
        <v>6</v>
      </c>
      <c r="CQ23" s="141">
        <v>2</v>
      </c>
      <c r="CR23" s="141">
        <v>0</v>
      </c>
      <c r="CS23" s="141">
        <v>2</v>
      </c>
    </row>
    <row r="24" spans="1:97" s="178" customFormat="1" ht="20.45" customHeight="1">
      <c r="A24" s="170" t="s">
        <v>351</v>
      </c>
      <c r="B24" s="139">
        <v>8349</v>
      </c>
      <c r="C24" s="139">
        <v>3630</v>
      </c>
      <c r="D24" s="139">
        <v>4719</v>
      </c>
      <c r="E24" s="141">
        <v>1639</v>
      </c>
      <c r="F24" s="141">
        <v>626</v>
      </c>
      <c r="G24" s="141">
        <v>1013</v>
      </c>
      <c r="H24" s="141">
        <v>1541</v>
      </c>
      <c r="I24" s="141">
        <v>612</v>
      </c>
      <c r="J24" s="141">
        <v>929</v>
      </c>
      <c r="K24" s="141">
        <v>1608</v>
      </c>
      <c r="L24" s="141">
        <v>686</v>
      </c>
      <c r="M24" s="141">
        <v>922</v>
      </c>
      <c r="N24" s="141">
        <v>1152</v>
      </c>
      <c r="O24" s="141">
        <v>532</v>
      </c>
      <c r="P24" s="141">
        <v>620</v>
      </c>
      <c r="Q24" s="141">
        <v>699</v>
      </c>
      <c r="R24" s="141">
        <v>331</v>
      </c>
      <c r="S24" s="141">
        <v>368</v>
      </c>
      <c r="T24" s="141">
        <v>814</v>
      </c>
      <c r="U24" s="141">
        <v>394</v>
      </c>
      <c r="V24" s="141">
        <v>420</v>
      </c>
      <c r="W24" s="141">
        <v>896</v>
      </c>
      <c r="X24" s="141">
        <v>449</v>
      </c>
      <c r="Y24" s="151">
        <v>447</v>
      </c>
      <c r="Z24" s="139">
        <v>8087</v>
      </c>
      <c r="AA24" s="139">
        <v>3545</v>
      </c>
      <c r="AB24" s="139">
        <v>4542</v>
      </c>
      <c r="AC24" s="141">
        <v>1614</v>
      </c>
      <c r="AD24" s="141">
        <v>620</v>
      </c>
      <c r="AE24" s="141">
        <v>994</v>
      </c>
      <c r="AF24" s="141">
        <v>1492</v>
      </c>
      <c r="AG24" s="141">
        <v>605</v>
      </c>
      <c r="AH24" s="141">
        <v>887</v>
      </c>
      <c r="AI24" s="141">
        <v>1567</v>
      </c>
      <c r="AJ24" s="141">
        <v>674</v>
      </c>
      <c r="AK24" s="141">
        <v>893</v>
      </c>
      <c r="AL24" s="141">
        <v>1106</v>
      </c>
      <c r="AM24" s="141">
        <v>514</v>
      </c>
      <c r="AN24" s="141">
        <v>592</v>
      </c>
      <c r="AO24" s="141">
        <v>647</v>
      </c>
      <c r="AP24" s="141">
        <v>315</v>
      </c>
      <c r="AQ24" s="141">
        <v>332</v>
      </c>
      <c r="AR24" s="141">
        <v>786</v>
      </c>
      <c r="AS24" s="141">
        <v>379</v>
      </c>
      <c r="AT24" s="141">
        <v>407</v>
      </c>
      <c r="AU24" s="141">
        <v>875</v>
      </c>
      <c r="AV24" s="141">
        <v>438</v>
      </c>
      <c r="AW24" s="151">
        <v>437</v>
      </c>
      <c r="AX24" s="149">
        <v>390</v>
      </c>
      <c r="AY24" s="139">
        <v>137</v>
      </c>
      <c r="AZ24" s="139">
        <v>253</v>
      </c>
      <c r="BA24" s="140">
        <v>33</v>
      </c>
      <c r="BB24" s="141">
        <v>10</v>
      </c>
      <c r="BC24" s="141">
        <v>23</v>
      </c>
      <c r="BD24" s="141">
        <v>67</v>
      </c>
      <c r="BE24" s="141">
        <v>13</v>
      </c>
      <c r="BF24" s="141">
        <v>54</v>
      </c>
      <c r="BG24" s="141">
        <v>80</v>
      </c>
      <c r="BH24" s="141">
        <v>28</v>
      </c>
      <c r="BI24" s="141">
        <v>52</v>
      </c>
      <c r="BJ24" s="141">
        <v>74</v>
      </c>
      <c r="BK24" s="141">
        <v>31</v>
      </c>
      <c r="BL24" s="141">
        <v>43</v>
      </c>
      <c r="BM24" s="141">
        <v>78</v>
      </c>
      <c r="BN24" s="141">
        <v>28</v>
      </c>
      <c r="BO24" s="141">
        <v>50</v>
      </c>
      <c r="BP24" s="141">
        <v>48</v>
      </c>
      <c r="BQ24" s="141">
        <v>22</v>
      </c>
      <c r="BR24" s="141">
        <v>26</v>
      </c>
      <c r="BS24" s="141">
        <v>10</v>
      </c>
      <c r="BT24" s="141">
        <v>5</v>
      </c>
      <c r="BU24" s="151">
        <v>5</v>
      </c>
      <c r="BV24" s="149">
        <v>106</v>
      </c>
      <c r="BW24" s="139">
        <v>52</v>
      </c>
      <c r="BX24" s="139">
        <v>54</v>
      </c>
      <c r="BY24" s="140">
        <v>1</v>
      </c>
      <c r="BZ24" s="141">
        <v>0</v>
      </c>
      <c r="CA24" s="141">
        <v>1</v>
      </c>
      <c r="CB24" s="141">
        <v>1</v>
      </c>
      <c r="CC24" s="141">
        <v>1</v>
      </c>
      <c r="CD24" s="141">
        <v>0</v>
      </c>
      <c r="CE24" s="141">
        <v>6</v>
      </c>
      <c r="CF24" s="141">
        <v>3</v>
      </c>
      <c r="CG24" s="141">
        <v>3</v>
      </c>
      <c r="CH24" s="141">
        <v>13</v>
      </c>
      <c r="CI24" s="141">
        <v>7</v>
      </c>
      <c r="CJ24" s="141">
        <v>6</v>
      </c>
      <c r="CK24" s="141">
        <v>23</v>
      </c>
      <c r="CL24" s="141">
        <v>10</v>
      </c>
      <c r="CM24" s="141">
        <v>13</v>
      </c>
      <c r="CN24" s="141">
        <v>27</v>
      </c>
      <c r="CO24" s="141">
        <v>13</v>
      </c>
      <c r="CP24" s="141">
        <v>14</v>
      </c>
      <c r="CQ24" s="141">
        <v>35</v>
      </c>
      <c r="CR24" s="141">
        <v>18</v>
      </c>
      <c r="CS24" s="141">
        <v>17</v>
      </c>
    </row>
    <row r="25" spans="1:97" s="178" customFormat="1" ht="20.45" customHeight="1">
      <c r="A25" s="170" t="s">
        <v>352</v>
      </c>
      <c r="B25" s="139">
        <v>1836</v>
      </c>
      <c r="C25" s="139">
        <v>755</v>
      </c>
      <c r="D25" s="139">
        <v>1081</v>
      </c>
      <c r="E25" s="141">
        <v>509</v>
      </c>
      <c r="F25" s="141">
        <v>211</v>
      </c>
      <c r="G25" s="141">
        <v>298</v>
      </c>
      <c r="H25" s="141">
        <v>277</v>
      </c>
      <c r="I25" s="141">
        <v>90</v>
      </c>
      <c r="J25" s="141">
        <v>187</v>
      </c>
      <c r="K25" s="141">
        <v>416</v>
      </c>
      <c r="L25" s="141">
        <v>161</v>
      </c>
      <c r="M25" s="141">
        <v>255</v>
      </c>
      <c r="N25" s="141">
        <v>226</v>
      </c>
      <c r="O25" s="141">
        <v>109</v>
      </c>
      <c r="P25" s="141">
        <v>117</v>
      </c>
      <c r="Q25" s="141">
        <v>145</v>
      </c>
      <c r="R25" s="141">
        <v>51</v>
      </c>
      <c r="S25" s="141">
        <v>94</v>
      </c>
      <c r="T25" s="141">
        <v>126</v>
      </c>
      <c r="U25" s="141">
        <v>60</v>
      </c>
      <c r="V25" s="141">
        <v>66</v>
      </c>
      <c r="W25" s="141">
        <v>137</v>
      </c>
      <c r="X25" s="141">
        <v>73</v>
      </c>
      <c r="Y25" s="151">
        <v>64</v>
      </c>
      <c r="Z25" s="139">
        <v>1728</v>
      </c>
      <c r="AA25" s="139">
        <v>718</v>
      </c>
      <c r="AB25" s="139">
        <v>1010</v>
      </c>
      <c r="AC25" s="141">
        <v>489</v>
      </c>
      <c r="AD25" s="141">
        <v>201</v>
      </c>
      <c r="AE25" s="141">
        <v>288</v>
      </c>
      <c r="AF25" s="141">
        <v>254</v>
      </c>
      <c r="AG25" s="141">
        <v>81</v>
      </c>
      <c r="AH25" s="141">
        <v>173</v>
      </c>
      <c r="AI25" s="141">
        <v>392</v>
      </c>
      <c r="AJ25" s="141">
        <v>150</v>
      </c>
      <c r="AK25" s="141">
        <v>242</v>
      </c>
      <c r="AL25" s="141">
        <v>209</v>
      </c>
      <c r="AM25" s="141">
        <v>106</v>
      </c>
      <c r="AN25" s="141">
        <v>103</v>
      </c>
      <c r="AO25" s="141">
        <v>130</v>
      </c>
      <c r="AP25" s="141">
        <v>49</v>
      </c>
      <c r="AQ25" s="141">
        <v>81</v>
      </c>
      <c r="AR25" s="141">
        <v>122</v>
      </c>
      <c r="AS25" s="141">
        <v>59</v>
      </c>
      <c r="AT25" s="141">
        <v>63</v>
      </c>
      <c r="AU25" s="141">
        <v>132</v>
      </c>
      <c r="AV25" s="141">
        <v>72</v>
      </c>
      <c r="AW25" s="151">
        <v>60</v>
      </c>
      <c r="AX25" s="149">
        <v>173</v>
      </c>
      <c r="AY25" s="139">
        <v>67</v>
      </c>
      <c r="AZ25" s="139">
        <v>106</v>
      </c>
      <c r="BA25" s="140">
        <v>25</v>
      </c>
      <c r="BB25" s="141">
        <v>12</v>
      </c>
      <c r="BC25" s="141">
        <v>13</v>
      </c>
      <c r="BD25" s="141">
        <v>30</v>
      </c>
      <c r="BE25" s="141">
        <v>10</v>
      </c>
      <c r="BF25" s="141">
        <v>20</v>
      </c>
      <c r="BG25" s="141">
        <v>40</v>
      </c>
      <c r="BH25" s="141">
        <v>18</v>
      </c>
      <c r="BI25" s="141">
        <v>22</v>
      </c>
      <c r="BJ25" s="141">
        <v>28</v>
      </c>
      <c r="BK25" s="141">
        <v>11</v>
      </c>
      <c r="BL25" s="141">
        <v>17</v>
      </c>
      <c r="BM25" s="141">
        <v>30</v>
      </c>
      <c r="BN25" s="141">
        <v>9</v>
      </c>
      <c r="BO25" s="141">
        <v>21</v>
      </c>
      <c r="BP25" s="141">
        <v>11</v>
      </c>
      <c r="BQ25" s="141">
        <v>4</v>
      </c>
      <c r="BR25" s="141">
        <v>7</v>
      </c>
      <c r="BS25" s="141">
        <v>9</v>
      </c>
      <c r="BT25" s="141">
        <v>3</v>
      </c>
      <c r="BU25" s="151">
        <v>6</v>
      </c>
      <c r="BV25" s="149">
        <v>5</v>
      </c>
      <c r="BW25" s="139">
        <v>4</v>
      </c>
      <c r="BX25" s="139">
        <v>1</v>
      </c>
      <c r="BY25" s="140">
        <v>0</v>
      </c>
      <c r="BZ25" s="141">
        <v>0</v>
      </c>
      <c r="CA25" s="141">
        <v>0</v>
      </c>
      <c r="CB25" s="141">
        <v>0</v>
      </c>
      <c r="CC25" s="141">
        <v>0</v>
      </c>
      <c r="CD25" s="141">
        <v>0</v>
      </c>
      <c r="CE25" s="141">
        <v>2</v>
      </c>
      <c r="CF25" s="141">
        <v>2</v>
      </c>
      <c r="CG25" s="141">
        <v>0</v>
      </c>
      <c r="CH25" s="141">
        <v>0</v>
      </c>
      <c r="CI25" s="141">
        <v>0</v>
      </c>
      <c r="CJ25" s="141">
        <v>0</v>
      </c>
      <c r="CK25" s="141">
        <v>0</v>
      </c>
      <c r="CL25" s="141">
        <v>0</v>
      </c>
      <c r="CM25" s="141">
        <v>0</v>
      </c>
      <c r="CN25" s="141">
        <v>1</v>
      </c>
      <c r="CO25" s="141">
        <v>0</v>
      </c>
      <c r="CP25" s="141">
        <v>1</v>
      </c>
      <c r="CQ25" s="141">
        <v>2</v>
      </c>
      <c r="CR25" s="141">
        <v>2</v>
      </c>
      <c r="CS25" s="141">
        <v>0</v>
      </c>
    </row>
    <row r="26" spans="1:97" s="178" customFormat="1" ht="20.45" customHeight="1">
      <c r="A26" s="170" t="s">
        <v>353</v>
      </c>
      <c r="B26" s="139">
        <v>3261</v>
      </c>
      <c r="C26" s="139">
        <v>1365</v>
      </c>
      <c r="D26" s="139">
        <v>1896</v>
      </c>
      <c r="E26" s="141">
        <v>493</v>
      </c>
      <c r="F26" s="141">
        <v>173</v>
      </c>
      <c r="G26" s="141">
        <v>320</v>
      </c>
      <c r="H26" s="141">
        <v>603</v>
      </c>
      <c r="I26" s="141">
        <v>238</v>
      </c>
      <c r="J26" s="141">
        <v>365</v>
      </c>
      <c r="K26" s="141">
        <v>702</v>
      </c>
      <c r="L26" s="141">
        <v>270</v>
      </c>
      <c r="M26" s="141">
        <v>432</v>
      </c>
      <c r="N26" s="141">
        <v>515</v>
      </c>
      <c r="O26" s="141">
        <v>242</v>
      </c>
      <c r="P26" s="141">
        <v>273</v>
      </c>
      <c r="Q26" s="141">
        <v>308</v>
      </c>
      <c r="R26" s="141">
        <v>154</v>
      </c>
      <c r="S26" s="141">
        <v>154</v>
      </c>
      <c r="T26" s="141">
        <v>333</v>
      </c>
      <c r="U26" s="141">
        <v>148</v>
      </c>
      <c r="V26" s="141">
        <v>185</v>
      </c>
      <c r="W26" s="141">
        <v>307</v>
      </c>
      <c r="X26" s="141">
        <v>140</v>
      </c>
      <c r="Y26" s="151">
        <v>167</v>
      </c>
      <c r="Z26" s="139">
        <v>2986</v>
      </c>
      <c r="AA26" s="139">
        <v>1278</v>
      </c>
      <c r="AB26" s="139">
        <v>1708</v>
      </c>
      <c r="AC26" s="141">
        <v>452</v>
      </c>
      <c r="AD26" s="141">
        <v>159</v>
      </c>
      <c r="AE26" s="141">
        <v>293</v>
      </c>
      <c r="AF26" s="141">
        <v>539</v>
      </c>
      <c r="AG26" s="141">
        <v>220</v>
      </c>
      <c r="AH26" s="141">
        <v>319</v>
      </c>
      <c r="AI26" s="141">
        <v>636</v>
      </c>
      <c r="AJ26" s="141">
        <v>249</v>
      </c>
      <c r="AK26" s="141">
        <v>387</v>
      </c>
      <c r="AL26" s="141">
        <v>471</v>
      </c>
      <c r="AM26" s="141">
        <v>229</v>
      </c>
      <c r="AN26" s="141">
        <v>242</v>
      </c>
      <c r="AO26" s="141">
        <v>264</v>
      </c>
      <c r="AP26" s="141">
        <v>140</v>
      </c>
      <c r="AQ26" s="141">
        <v>124</v>
      </c>
      <c r="AR26" s="141">
        <v>319</v>
      </c>
      <c r="AS26" s="141">
        <v>142</v>
      </c>
      <c r="AT26" s="141">
        <v>177</v>
      </c>
      <c r="AU26" s="141">
        <v>305</v>
      </c>
      <c r="AV26" s="141">
        <v>139</v>
      </c>
      <c r="AW26" s="151">
        <v>166</v>
      </c>
      <c r="AX26" s="149">
        <v>357</v>
      </c>
      <c r="AY26" s="139">
        <v>116</v>
      </c>
      <c r="AZ26" s="139">
        <v>241</v>
      </c>
      <c r="BA26" s="140">
        <v>50</v>
      </c>
      <c r="BB26" s="141">
        <v>15</v>
      </c>
      <c r="BC26" s="141">
        <v>35</v>
      </c>
      <c r="BD26" s="141">
        <v>80</v>
      </c>
      <c r="BE26" s="141">
        <v>22</v>
      </c>
      <c r="BF26" s="141">
        <v>58</v>
      </c>
      <c r="BG26" s="141">
        <v>81</v>
      </c>
      <c r="BH26" s="141">
        <v>24</v>
      </c>
      <c r="BI26" s="141">
        <v>57</v>
      </c>
      <c r="BJ26" s="141">
        <v>59</v>
      </c>
      <c r="BK26" s="141">
        <v>19</v>
      </c>
      <c r="BL26" s="141">
        <v>40</v>
      </c>
      <c r="BM26" s="141">
        <v>63</v>
      </c>
      <c r="BN26" s="141">
        <v>26</v>
      </c>
      <c r="BO26" s="141">
        <v>37</v>
      </c>
      <c r="BP26" s="141">
        <v>20</v>
      </c>
      <c r="BQ26" s="141">
        <v>9</v>
      </c>
      <c r="BR26" s="141">
        <v>11</v>
      </c>
      <c r="BS26" s="141">
        <v>4</v>
      </c>
      <c r="BT26" s="141">
        <v>1</v>
      </c>
      <c r="BU26" s="151">
        <v>3</v>
      </c>
      <c r="BV26" s="149">
        <v>14</v>
      </c>
      <c r="BW26" s="139">
        <v>7</v>
      </c>
      <c r="BX26" s="139">
        <v>7</v>
      </c>
      <c r="BY26" s="140">
        <v>0</v>
      </c>
      <c r="BZ26" s="141">
        <v>0</v>
      </c>
      <c r="CA26" s="141">
        <v>0</v>
      </c>
      <c r="CB26" s="141">
        <v>0</v>
      </c>
      <c r="CC26" s="141">
        <v>0</v>
      </c>
      <c r="CD26" s="141">
        <v>0</v>
      </c>
      <c r="CE26" s="141">
        <v>3</v>
      </c>
      <c r="CF26" s="141">
        <v>1</v>
      </c>
      <c r="CG26" s="141">
        <v>2</v>
      </c>
      <c r="CH26" s="141">
        <v>0</v>
      </c>
      <c r="CI26" s="141">
        <v>0</v>
      </c>
      <c r="CJ26" s="141">
        <v>0</v>
      </c>
      <c r="CK26" s="141">
        <v>5</v>
      </c>
      <c r="CL26" s="141">
        <v>3</v>
      </c>
      <c r="CM26" s="141">
        <v>2</v>
      </c>
      <c r="CN26" s="141">
        <v>5</v>
      </c>
      <c r="CO26" s="141">
        <v>3</v>
      </c>
      <c r="CP26" s="141">
        <v>2</v>
      </c>
      <c r="CQ26" s="141">
        <v>1</v>
      </c>
      <c r="CR26" s="141">
        <v>0</v>
      </c>
      <c r="CS26" s="141">
        <v>1</v>
      </c>
    </row>
    <row r="27" spans="1:97" s="178" customFormat="1" ht="20.45" customHeight="1">
      <c r="A27" s="170" t="s">
        <v>354</v>
      </c>
      <c r="B27" s="139">
        <v>3039</v>
      </c>
      <c r="C27" s="139">
        <v>1320</v>
      </c>
      <c r="D27" s="139">
        <v>1719</v>
      </c>
      <c r="E27" s="141">
        <v>495</v>
      </c>
      <c r="F27" s="141">
        <v>160</v>
      </c>
      <c r="G27" s="141">
        <v>335</v>
      </c>
      <c r="H27" s="141">
        <v>538</v>
      </c>
      <c r="I27" s="141">
        <v>223</v>
      </c>
      <c r="J27" s="141">
        <v>315</v>
      </c>
      <c r="K27" s="141">
        <v>685</v>
      </c>
      <c r="L27" s="141">
        <v>291</v>
      </c>
      <c r="M27" s="141">
        <v>394</v>
      </c>
      <c r="N27" s="141">
        <v>407</v>
      </c>
      <c r="O27" s="141">
        <v>194</v>
      </c>
      <c r="P27" s="141">
        <v>213</v>
      </c>
      <c r="Q27" s="141">
        <v>332</v>
      </c>
      <c r="R27" s="141">
        <v>156</v>
      </c>
      <c r="S27" s="141">
        <v>176</v>
      </c>
      <c r="T27" s="141">
        <v>260</v>
      </c>
      <c r="U27" s="141">
        <v>132</v>
      </c>
      <c r="V27" s="141">
        <v>128</v>
      </c>
      <c r="W27" s="141">
        <v>322</v>
      </c>
      <c r="X27" s="141">
        <v>164</v>
      </c>
      <c r="Y27" s="151">
        <v>158</v>
      </c>
      <c r="Z27" s="139">
        <v>2891</v>
      </c>
      <c r="AA27" s="139">
        <v>1282</v>
      </c>
      <c r="AB27" s="139">
        <v>1609</v>
      </c>
      <c r="AC27" s="141">
        <v>471</v>
      </c>
      <c r="AD27" s="141">
        <v>158</v>
      </c>
      <c r="AE27" s="141">
        <v>313</v>
      </c>
      <c r="AF27" s="141">
        <v>507</v>
      </c>
      <c r="AG27" s="141">
        <v>217</v>
      </c>
      <c r="AH27" s="141">
        <v>290</v>
      </c>
      <c r="AI27" s="141">
        <v>653</v>
      </c>
      <c r="AJ27" s="141">
        <v>284</v>
      </c>
      <c r="AK27" s="141">
        <v>369</v>
      </c>
      <c r="AL27" s="141">
        <v>379</v>
      </c>
      <c r="AM27" s="141">
        <v>183</v>
      </c>
      <c r="AN27" s="141">
        <v>196</v>
      </c>
      <c r="AO27" s="141">
        <v>308</v>
      </c>
      <c r="AP27" s="141">
        <v>147</v>
      </c>
      <c r="AQ27" s="141">
        <v>161</v>
      </c>
      <c r="AR27" s="141">
        <v>256</v>
      </c>
      <c r="AS27" s="141">
        <v>131</v>
      </c>
      <c r="AT27" s="141">
        <v>125</v>
      </c>
      <c r="AU27" s="141">
        <v>317</v>
      </c>
      <c r="AV27" s="141">
        <v>162</v>
      </c>
      <c r="AW27" s="151">
        <v>155</v>
      </c>
      <c r="AX27" s="149">
        <v>186</v>
      </c>
      <c r="AY27" s="139">
        <v>45</v>
      </c>
      <c r="AZ27" s="139">
        <v>141</v>
      </c>
      <c r="BA27" s="140">
        <v>28</v>
      </c>
      <c r="BB27" s="141">
        <v>3</v>
      </c>
      <c r="BC27" s="141">
        <v>25</v>
      </c>
      <c r="BD27" s="141">
        <v>43</v>
      </c>
      <c r="BE27" s="141">
        <v>10</v>
      </c>
      <c r="BF27" s="141">
        <v>33</v>
      </c>
      <c r="BG27" s="141">
        <v>47</v>
      </c>
      <c r="BH27" s="141">
        <v>9</v>
      </c>
      <c r="BI27" s="141">
        <v>38</v>
      </c>
      <c r="BJ27" s="141">
        <v>31</v>
      </c>
      <c r="BK27" s="141">
        <v>11</v>
      </c>
      <c r="BL27" s="141">
        <v>20</v>
      </c>
      <c r="BM27" s="141">
        <v>29</v>
      </c>
      <c r="BN27" s="141">
        <v>9</v>
      </c>
      <c r="BO27" s="141">
        <v>20</v>
      </c>
      <c r="BP27" s="141">
        <v>6</v>
      </c>
      <c r="BQ27" s="141">
        <v>3</v>
      </c>
      <c r="BR27" s="141">
        <v>3</v>
      </c>
      <c r="BS27" s="141">
        <v>2</v>
      </c>
      <c r="BT27" s="141">
        <v>0</v>
      </c>
      <c r="BU27" s="151">
        <v>2</v>
      </c>
      <c r="BV27" s="149">
        <v>24</v>
      </c>
      <c r="BW27" s="139">
        <v>6</v>
      </c>
      <c r="BX27" s="139">
        <v>18</v>
      </c>
      <c r="BY27" s="140">
        <v>1</v>
      </c>
      <c r="BZ27" s="141">
        <v>1</v>
      </c>
      <c r="CA27" s="141">
        <v>0</v>
      </c>
      <c r="CB27" s="141">
        <v>0</v>
      </c>
      <c r="CC27" s="141">
        <v>0</v>
      </c>
      <c r="CD27" s="141">
        <v>0</v>
      </c>
      <c r="CE27" s="141">
        <v>4</v>
      </c>
      <c r="CF27" s="141">
        <v>1</v>
      </c>
      <c r="CG27" s="141">
        <v>3</v>
      </c>
      <c r="CH27" s="141">
        <v>3</v>
      </c>
      <c r="CI27" s="141">
        <v>1</v>
      </c>
      <c r="CJ27" s="141">
        <v>2</v>
      </c>
      <c r="CK27" s="141">
        <v>9</v>
      </c>
      <c r="CL27" s="141">
        <v>1</v>
      </c>
      <c r="CM27" s="141">
        <v>8</v>
      </c>
      <c r="CN27" s="141">
        <v>4</v>
      </c>
      <c r="CO27" s="141">
        <v>0</v>
      </c>
      <c r="CP27" s="141">
        <v>4</v>
      </c>
      <c r="CQ27" s="141">
        <v>3</v>
      </c>
      <c r="CR27" s="141">
        <v>2</v>
      </c>
      <c r="CS27" s="141">
        <v>1</v>
      </c>
    </row>
    <row r="28" spans="1:97" s="178" customFormat="1" ht="20.45" customHeight="1">
      <c r="A28" s="170" t="s">
        <v>355</v>
      </c>
      <c r="B28" s="139">
        <v>3838</v>
      </c>
      <c r="C28" s="139">
        <v>1515</v>
      </c>
      <c r="D28" s="139">
        <v>2323</v>
      </c>
      <c r="E28" s="141">
        <v>679</v>
      </c>
      <c r="F28" s="141">
        <v>207</v>
      </c>
      <c r="G28" s="141">
        <v>472</v>
      </c>
      <c r="H28" s="141">
        <v>629</v>
      </c>
      <c r="I28" s="141">
        <v>204</v>
      </c>
      <c r="J28" s="141">
        <v>425</v>
      </c>
      <c r="K28" s="141">
        <v>810</v>
      </c>
      <c r="L28" s="141">
        <v>354</v>
      </c>
      <c r="M28" s="141">
        <v>456</v>
      </c>
      <c r="N28" s="141">
        <v>683</v>
      </c>
      <c r="O28" s="141">
        <v>322</v>
      </c>
      <c r="P28" s="141">
        <v>361</v>
      </c>
      <c r="Q28" s="141">
        <v>387</v>
      </c>
      <c r="R28" s="141">
        <v>153</v>
      </c>
      <c r="S28" s="141">
        <v>234</v>
      </c>
      <c r="T28" s="141">
        <v>317</v>
      </c>
      <c r="U28" s="141">
        <v>138</v>
      </c>
      <c r="V28" s="141">
        <v>179</v>
      </c>
      <c r="W28" s="141">
        <v>333</v>
      </c>
      <c r="X28" s="141">
        <v>137</v>
      </c>
      <c r="Y28" s="151">
        <v>196</v>
      </c>
      <c r="Z28" s="139">
        <v>3555</v>
      </c>
      <c r="AA28" s="139">
        <v>1440</v>
      </c>
      <c r="AB28" s="139">
        <v>2115</v>
      </c>
      <c r="AC28" s="141">
        <v>630</v>
      </c>
      <c r="AD28" s="141">
        <v>198</v>
      </c>
      <c r="AE28" s="141">
        <v>432</v>
      </c>
      <c r="AF28" s="141">
        <v>577</v>
      </c>
      <c r="AG28" s="141">
        <v>192</v>
      </c>
      <c r="AH28" s="141">
        <v>385</v>
      </c>
      <c r="AI28" s="141">
        <v>747</v>
      </c>
      <c r="AJ28" s="141">
        <v>333</v>
      </c>
      <c r="AK28" s="141">
        <v>414</v>
      </c>
      <c r="AL28" s="141">
        <v>625</v>
      </c>
      <c r="AM28" s="141">
        <v>306</v>
      </c>
      <c r="AN28" s="141">
        <v>319</v>
      </c>
      <c r="AO28" s="141">
        <v>342</v>
      </c>
      <c r="AP28" s="141">
        <v>140</v>
      </c>
      <c r="AQ28" s="141">
        <v>202</v>
      </c>
      <c r="AR28" s="141">
        <v>303</v>
      </c>
      <c r="AS28" s="141">
        <v>134</v>
      </c>
      <c r="AT28" s="141">
        <v>169</v>
      </c>
      <c r="AU28" s="141">
        <v>331</v>
      </c>
      <c r="AV28" s="141">
        <v>137</v>
      </c>
      <c r="AW28" s="151">
        <v>194</v>
      </c>
      <c r="AX28" s="149">
        <v>437</v>
      </c>
      <c r="AY28" s="139">
        <v>125</v>
      </c>
      <c r="AZ28" s="139">
        <v>312</v>
      </c>
      <c r="BA28" s="140">
        <v>61</v>
      </c>
      <c r="BB28" s="141">
        <v>10</v>
      </c>
      <c r="BC28" s="141">
        <v>51</v>
      </c>
      <c r="BD28" s="141">
        <v>74</v>
      </c>
      <c r="BE28" s="141">
        <v>17</v>
      </c>
      <c r="BF28" s="141">
        <v>57</v>
      </c>
      <c r="BG28" s="141">
        <v>98</v>
      </c>
      <c r="BH28" s="141">
        <v>32</v>
      </c>
      <c r="BI28" s="141">
        <v>66</v>
      </c>
      <c r="BJ28" s="141">
        <v>90</v>
      </c>
      <c r="BK28" s="141">
        <v>31</v>
      </c>
      <c r="BL28" s="141">
        <v>59</v>
      </c>
      <c r="BM28" s="141">
        <v>77</v>
      </c>
      <c r="BN28" s="141">
        <v>23</v>
      </c>
      <c r="BO28" s="141">
        <v>54</v>
      </c>
      <c r="BP28" s="141">
        <v>30</v>
      </c>
      <c r="BQ28" s="141">
        <v>11</v>
      </c>
      <c r="BR28" s="141">
        <v>19</v>
      </c>
      <c r="BS28" s="141">
        <v>7</v>
      </c>
      <c r="BT28" s="141">
        <v>1</v>
      </c>
      <c r="BU28" s="151">
        <v>6</v>
      </c>
      <c r="BV28" s="149">
        <v>10</v>
      </c>
      <c r="BW28" s="139">
        <v>6</v>
      </c>
      <c r="BX28" s="139">
        <v>4</v>
      </c>
      <c r="BY28" s="140">
        <v>1</v>
      </c>
      <c r="BZ28" s="141">
        <v>0</v>
      </c>
      <c r="CA28" s="141">
        <v>1</v>
      </c>
      <c r="CB28" s="141">
        <v>0</v>
      </c>
      <c r="CC28" s="141">
        <v>0</v>
      </c>
      <c r="CD28" s="141">
        <v>0</v>
      </c>
      <c r="CE28" s="141">
        <v>0</v>
      </c>
      <c r="CF28" s="141">
        <v>0</v>
      </c>
      <c r="CG28" s="141">
        <v>0</v>
      </c>
      <c r="CH28" s="141">
        <v>1</v>
      </c>
      <c r="CI28" s="141">
        <v>1</v>
      </c>
      <c r="CJ28" s="141">
        <v>0</v>
      </c>
      <c r="CK28" s="141">
        <v>3</v>
      </c>
      <c r="CL28" s="141">
        <v>3</v>
      </c>
      <c r="CM28" s="141">
        <v>0</v>
      </c>
      <c r="CN28" s="141">
        <v>4</v>
      </c>
      <c r="CO28" s="141">
        <v>2</v>
      </c>
      <c r="CP28" s="141">
        <v>2</v>
      </c>
      <c r="CQ28" s="141">
        <v>1</v>
      </c>
      <c r="CR28" s="141">
        <v>0</v>
      </c>
      <c r="CS28" s="141">
        <v>1</v>
      </c>
    </row>
    <row r="29" spans="1:97" s="178" customFormat="1" ht="20.45" customHeight="1">
      <c r="A29" s="170" t="s">
        <v>356</v>
      </c>
      <c r="B29" s="139">
        <v>1106</v>
      </c>
      <c r="C29" s="139">
        <v>425</v>
      </c>
      <c r="D29" s="139">
        <v>681</v>
      </c>
      <c r="E29" s="141">
        <v>221</v>
      </c>
      <c r="F29" s="141">
        <v>70</v>
      </c>
      <c r="G29" s="141">
        <v>151</v>
      </c>
      <c r="H29" s="141">
        <v>219</v>
      </c>
      <c r="I29" s="141">
        <v>71</v>
      </c>
      <c r="J29" s="141">
        <v>148</v>
      </c>
      <c r="K29" s="141">
        <v>209</v>
      </c>
      <c r="L29" s="141">
        <v>78</v>
      </c>
      <c r="M29" s="141">
        <v>131</v>
      </c>
      <c r="N29" s="141">
        <v>166</v>
      </c>
      <c r="O29" s="141">
        <v>84</v>
      </c>
      <c r="P29" s="141">
        <v>82</v>
      </c>
      <c r="Q29" s="141">
        <v>110</v>
      </c>
      <c r="R29" s="141">
        <v>38</v>
      </c>
      <c r="S29" s="141">
        <v>72</v>
      </c>
      <c r="T29" s="141">
        <v>100</v>
      </c>
      <c r="U29" s="141">
        <v>46</v>
      </c>
      <c r="V29" s="141">
        <v>54</v>
      </c>
      <c r="W29" s="141">
        <v>81</v>
      </c>
      <c r="X29" s="141">
        <v>38</v>
      </c>
      <c r="Y29" s="151">
        <v>43</v>
      </c>
      <c r="Z29" s="139">
        <v>1048</v>
      </c>
      <c r="AA29" s="139">
        <v>409</v>
      </c>
      <c r="AB29" s="139">
        <v>639</v>
      </c>
      <c r="AC29" s="141">
        <v>211</v>
      </c>
      <c r="AD29" s="141">
        <v>69</v>
      </c>
      <c r="AE29" s="141">
        <v>142</v>
      </c>
      <c r="AF29" s="141">
        <v>209</v>
      </c>
      <c r="AG29" s="141">
        <v>69</v>
      </c>
      <c r="AH29" s="141">
        <v>140</v>
      </c>
      <c r="AI29" s="141">
        <v>191</v>
      </c>
      <c r="AJ29" s="141">
        <v>73</v>
      </c>
      <c r="AK29" s="141">
        <v>118</v>
      </c>
      <c r="AL29" s="141">
        <v>159</v>
      </c>
      <c r="AM29" s="141">
        <v>81</v>
      </c>
      <c r="AN29" s="141">
        <v>78</v>
      </c>
      <c r="AO29" s="141">
        <v>99</v>
      </c>
      <c r="AP29" s="141">
        <v>34</v>
      </c>
      <c r="AQ29" s="141">
        <v>65</v>
      </c>
      <c r="AR29" s="141">
        <v>98</v>
      </c>
      <c r="AS29" s="141">
        <v>45</v>
      </c>
      <c r="AT29" s="141">
        <v>53</v>
      </c>
      <c r="AU29" s="141">
        <v>81</v>
      </c>
      <c r="AV29" s="141">
        <v>38</v>
      </c>
      <c r="AW29" s="151">
        <v>43</v>
      </c>
      <c r="AX29" s="149">
        <v>93</v>
      </c>
      <c r="AY29" s="139">
        <v>29</v>
      </c>
      <c r="AZ29" s="139">
        <v>64</v>
      </c>
      <c r="BA29" s="140">
        <v>15</v>
      </c>
      <c r="BB29" s="141">
        <v>3</v>
      </c>
      <c r="BC29" s="141">
        <v>12</v>
      </c>
      <c r="BD29" s="141">
        <v>16</v>
      </c>
      <c r="BE29" s="141">
        <v>4</v>
      </c>
      <c r="BF29" s="141">
        <v>12</v>
      </c>
      <c r="BG29" s="141">
        <v>27</v>
      </c>
      <c r="BH29" s="141">
        <v>8</v>
      </c>
      <c r="BI29" s="141">
        <v>19</v>
      </c>
      <c r="BJ29" s="141">
        <v>17</v>
      </c>
      <c r="BK29" s="141">
        <v>8</v>
      </c>
      <c r="BL29" s="141">
        <v>9</v>
      </c>
      <c r="BM29" s="141">
        <v>14</v>
      </c>
      <c r="BN29" s="141">
        <v>4</v>
      </c>
      <c r="BO29" s="141">
        <v>10</v>
      </c>
      <c r="BP29" s="141">
        <v>3</v>
      </c>
      <c r="BQ29" s="141">
        <v>1</v>
      </c>
      <c r="BR29" s="141">
        <v>2</v>
      </c>
      <c r="BS29" s="141">
        <v>1</v>
      </c>
      <c r="BT29" s="141">
        <v>1</v>
      </c>
      <c r="BU29" s="151">
        <v>0</v>
      </c>
      <c r="BV29" s="149">
        <v>8</v>
      </c>
      <c r="BW29" s="139">
        <v>4</v>
      </c>
      <c r="BX29" s="139">
        <v>4</v>
      </c>
      <c r="BY29" s="140">
        <v>0</v>
      </c>
      <c r="BZ29" s="141">
        <v>0</v>
      </c>
      <c r="CA29" s="141">
        <v>0</v>
      </c>
      <c r="CB29" s="141">
        <v>0</v>
      </c>
      <c r="CC29" s="141">
        <v>0</v>
      </c>
      <c r="CD29" s="141">
        <v>0</v>
      </c>
      <c r="CE29" s="141">
        <v>0</v>
      </c>
      <c r="CF29" s="141">
        <v>0</v>
      </c>
      <c r="CG29" s="141">
        <v>0</v>
      </c>
      <c r="CH29" s="141">
        <v>3</v>
      </c>
      <c r="CI29" s="141">
        <v>2</v>
      </c>
      <c r="CJ29" s="141">
        <v>1</v>
      </c>
      <c r="CK29" s="141">
        <v>2</v>
      </c>
      <c r="CL29" s="141">
        <v>0</v>
      </c>
      <c r="CM29" s="141">
        <v>2</v>
      </c>
      <c r="CN29" s="141">
        <v>2</v>
      </c>
      <c r="CO29" s="141">
        <v>2</v>
      </c>
      <c r="CP29" s="141">
        <v>0</v>
      </c>
      <c r="CQ29" s="141">
        <v>1</v>
      </c>
      <c r="CR29" s="141">
        <v>0</v>
      </c>
      <c r="CS29" s="141">
        <v>1</v>
      </c>
    </row>
    <row r="30" spans="1:97" s="178" customFormat="1" ht="20.45" customHeight="1" thickBot="1">
      <c r="A30" s="171" t="s">
        <v>357</v>
      </c>
      <c r="B30" s="161">
        <v>20</v>
      </c>
      <c r="C30" s="161">
        <v>8</v>
      </c>
      <c r="D30" s="161">
        <v>12</v>
      </c>
      <c r="E30" s="162">
        <v>6</v>
      </c>
      <c r="F30" s="162">
        <v>2</v>
      </c>
      <c r="G30" s="162">
        <v>4</v>
      </c>
      <c r="H30" s="162">
        <v>6</v>
      </c>
      <c r="I30" s="163">
        <v>4</v>
      </c>
      <c r="J30" s="164">
        <v>2</v>
      </c>
      <c r="K30" s="162">
        <v>2</v>
      </c>
      <c r="L30" s="162">
        <v>0</v>
      </c>
      <c r="M30" s="162">
        <v>2</v>
      </c>
      <c r="N30" s="162">
        <v>3</v>
      </c>
      <c r="O30" s="162">
        <v>1</v>
      </c>
      <c r="P30" s="162">
        <v>2</v>
      </c>
      <c r="Q30" s="162">
        <v>1</v>
      </c>
      <c r="R30" s="162">
        <v>1</v>
      </c>
      <c r="S30" s="162">
        <v>0</v>
      </c>
      <c r="T30" s="162">
        <v>2</v>
      </c>
      <c r="U30" s="162">
        <v>0</v>
      </c>
      <c r="V30" s="162">
        <v>2</v>
      </c>
      <c r="W30" s="162">
        <v>0</v>
      </c>
      <c r="X30" s="162">
        <v>0</v>
      </c>
      <c r="Y30" s="165">
        <v>0</v>
      </c>
      <c r="Z30" s="161">
        <v>16</v>
      </c>
      <c r="AA30" s="161">
        <v>5</v>
      </c>
      <c r="AB30" s="161">
        <v>11</v>
      </c>
      <c r="AC30" s="162">
        <v>4</v>
      </c>
      <c r="AD30" s="162">
        <v>1</v>
      </c>
      <c r="AE30" s="162">
        <v>3</v>
      </c>
      <c r="AF30" s="162">
        <v>4</v>
      </c>
      <c r="AG30" s="163">
        <v>2</v>
      </c>
      <c r="AH30" s="164">
        <v>2</v>
      </c>
      <c r="AI30" s="162">
        <v>2</v>
      </c>
      <c r="AJ30" s="162">
        <v>0</v>
      </c>
      <c r="AK30" s="162">
        <v>2</v>
      </c>
      <c r="AL30" s="162">
        <v>3</v>
      </c>
      <c r="AM30" s="162">
        <v>1</v>
      </c>
      <c r="AN30" s="162">
        <v>2</v>
      </c>
      <c r="AO30" s="162">
        <v>1</v>
      </c>
      <c r="AP30" s="162">
        <v>1</v>
      </c>
      <c r="AQ30" s="162">
        <v>0</v>
      </c>
      <c r="AR30" s="162">
        <v>2</v>
      </c>
      <c r="AS30" s="162">
        <v>0</v>
      </c>
      <c r="AT30" s="162">
        <v>2</v>
      </c>
      <c r="AU30" s="162">
        <v>0</v>
      </c>
      <c r="AV30" s="162">
        <v>0</v>
      </c>
      <c r="AW30" s="165">
        <v>0</v>
      </c>
      <c r="AX30" s="166">
        <v>5</v>
      </c>
      <c r="AY30" s="161">
        <v>3</v>
      </c>
      <c r="AZ30" s="161">
        <v>2</v>
      </c>
      <c r="BA30" s="164">
        <v>3</v>
      </c>
      <c r="BB30" s="162">
        <v>1</v>
      </c>
      <c r="BC30" s="162">
        <v>2</v>
      </c>
      <c r="BD30" s="162">
        <v>2</v>
      </c>
      <c r="BE30" s="163">
        <v>2</v>
      </c>
      <c r="BF30" s="164">
        <v>0</v>
      </c>
      <c r="BG30" s="162">
        <v>0</v>
      </c>
      <c r="BH30" s="162">
        <v>0</v>
      </c>
      <c r="BI30" s="162">
        <v>0</v>
      </c>
      <c r="BJ30" s="162">
        <v>0</v>
      </c>
      <c r="BK30" s="162">
        <v>0</v>
      </c>
      <c r="BL30" s="162">
        <v>0</v>
      </c>
      <c r="BM30" s="162">
        <v>0</v>
      </c>
      <c r="BN30" s="162">
        <v>0</v>
      </c>
      <c r="BO30" s="162">
        <v>0</v>
      </c>
      <c r="BP30" s="162">
        <v>0</v>
      </c>
      <c r="BQ30" s="162">
        <v>0</v>
      </c>
      <c r="BR30" s="162">
        <v>0</v>
      </c>
      <c r="BS30" s="162">
        <v>0</v>
      </c>
      <c r="BT30" s="162">
        <v>0</v>
      </c>
      <c r="BU30" s="165">
        <v>0</v>
      </c>
      <c r="BV30" s="166">
        <v>0</v>
      </c>
      <c r="BW30" s="161">
        <v>0</v>
      </c>
      <c r="BX30" s="161">
        <v>0</v>
      </c>
      <c r="BY30" s="164">
        <v>0</v>
      </c>
      <c r="BZ30" s="162">
        <v>0</v>
      </c>
      <c r="CA30" s="162">
        <v>0</v>
      </c>
      <c r="CB30" s="162">
        <v>0</v>
      </c>
      <c r="CC30" s="163">
        <v>0</v>
      </c>
      <c r="CD30" s="164">
        <v>0</v>
      </c>
      <c r="CE30" s="162">
        <v>0</v>
      </c>
      <c r="CF30" s="162">
        <v>0</v>
      </c>
      <c r="CG30" s="162">
        <v>0</v>
      </c>
      <c r="CH30" s="162">
        <v>0</v>
      </c>
      <c r="CI30" s="162">
        <v>0</v>
      </c>
      <c r="CJ30" s="162">
        <v>0</v>
      </c>
      <c r="CK30" s="162">
        <v>0</v>
      </c>
      <c r="CL30" s="162">
        <v>0</v>
      </c>
      <c r="CM30" s="162">
        <v>0</v>
      </c>
      <c r="CN30" s="162">
        <v>0</v>
      </c>
      <c r="CO30" s="162">
        <v>0</v>
      </c>
      <c r="CP30" s="162">
        <v>0</v>
      </c>
      <c r="CQ30" s="162">
        <v>0</v>
      </c>
      <c r="CR30" s="162">
        <v>0</v>
      </c>
      <c r="CS30" s="162">
        <v>0</v>
      </c>
    </row>
    <row r="31" spans="1:97" ht="15.75" customHeight="1">
      <c r="A31" s="189" t="s">
        <v>382</v>
      </c>
      <c r="D31" s="179"/>
      <c r="E31" s="180"/>
      <c r="F31" s="180"/>
      <c r="I31" s="180"/>
      <c r="AB31" s="179"/>
      <c r="AC31" s="180"/>
      <c r="AD31" s="180"/>
      <c r="AG31" s="180"/>
      <c r="AZ31" s="179"/>
      <c r="BA31" s="180"/>
      <c r="BB31" s="180"/>
      <c r="BE31" s="180"/>
      <c r="BX31" s="179"/>
      <c r="BY31" s="180"/>
      <c r="BZ31" s="180"/>
      <c r="CC31" s="180"/>
    </row>
    <row r="32" spans="1:97" ht="17.45" customHeight="1">
      <c r="A32" s="189" t="s">
        <v>435</v>
      </c>
      <c r="D32" s="179"/>
      <c r="E32" s="180"/>
      <c r="F32" s="180"/>
      <c r="I32" s="180"/>
      <c r="AB32" s="179"/>
      <c r="AC32" s="180"/>
      <c r="AD32" s="180"/>
      <c r="AG32" s="180"/>
      <c r="AZ32" s="179"/>
      <c r="BA32" s="180"/>
      <c r="BB32" s="180"/>
      <c r="BE32" s="180"/>
      <c r="BX32" s="179"/>
      <c r="BY32" s="180"/>
      <c r="BZ32" s="180"/>
      <c r="CC32" s="180"/>
    </row>
    <row r="33" spans="1:1">
      <c r="A33" s="188" t="s">
        <v>329</v>
      </c>
    </row>
    <row r="34" spans="1:1">
      <c r="A34" s="13"/>
    </row>
    <row r="35" spans="1:1" ht="16.5">
      <c r="A35" s="186" t="s">
        <v>381</v>
      </c>
    </row>
  </sheetData>
  <mergeCells count="43">
    <mergeCell ref="CE6:CG6"/>
    <mergeCell ref="CH6:CJ6"/>
    <mergeCell ref="CK6:CM6"/>
    <mergeCell ref="CN6:CP6"/>
    <mergeCell ref="CQ6:CS6"/>
    <mergeCell ref="CB6:CD6"/>
    <mergeCell ref="AU6:AW6"/>
    <mergeCell ref="AX6:AZ6"/>
    <mergeCell ref="BA6:BC6"/>
    <mergeCell ref="BD6:BF6"/>
    <mergeCell ref="BG6:BI6"/>
    <mergeCell ref="BJ6:BL6"/>
    <mergeCell ref="BM6:BO6"/>
    <mergeCell ref="BP6:BR6"/>
    <mergeCell ref="BS6:BU6"/>
    <mergeCell ref="BV6:BX6"/>
    <mergeCell ref="BY6:CA6"/>
    <mergeCell ref="AC6:AE6"/>
    <mergeCell ref="AF6:AH6"/>
    <mergeCell ref="AI6:AK6"/>
    <mergeCell ref="AL6:AN6"/>
    <mergeCell ref="AO6:AQ6"/>
    <mergeCell ref="N6:P6"/>
    <mergeCell ref="Q6:S6"/>
    <mergeCell ref="T6:V6"/>
    <mergeCell ref="W6:Y6"/>
    <mergeCell ref="Z6:AB6"/>
    <mergeCell ref="BT3:BU3"/>
    <mergeCell ref="CR3:CS3"/>
    <mergeCell ref="A4:A7"/>
    <mergeCell ref="B4:Y4"/>
    <mergeCell ref="Z4:AW4"/>
    <mergeCell ref="AX4:BU4"/>
    <mergeCell ref="BV4:CS4"/>
    <mergeCell ref="B5:Y5"/>
    <mergeCell ref="Z5:AW5"/>
    <mergeCell ref="AX5:BU5"/>
    <mergeCell ref="AR6:AT6"/>
    <mergeCell ref="BV5:CS5"/>
    <mergeCell ref="B6:D6"/>
    <mergeCell ref="E6:G6"/>
    <mergeCell ref="H6:J6"/>
    <mergeCell ref="K6:M6"/>
  </mergeCells>
  <phoneticPr fontId="6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51" fitToWidth="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35"/>
  <sheetViews>
    <sheetView zoomScale="85" zoomScaleNormal="85" zoomScaleSheetLayoutView="9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O23" sqref="O23"/>
    </sheetView>
  </sheetViews>
  <sheetFormatPr defaultColWidth="11.5" defaultRowHeight="15.75"/>
  <cols>
    <col min="1" max="1" width="44.33203125" style="168" customWidth="1"/>
    <col min="2" max="4" width="12" style="168" customWidth="1"/>
    <col min="5" max="25" width="11.1640625" style="168" customWidth="1"/>
    <col min="26" max="27" width="13.1640625" style="168" customWidth="1"/>
    <col min="28" max="28" width="12.1640625" style="168" bestFit="1" customWidth="1"/>
    <col min="29" max="29" width="13.1640625" style="168" customWidth="1"/>
    <col min="30" max="38" width="10.6640625" style="168" bestFit="1" customWidth="1"/>
    <col min="39" max="39" width="13.1640625" style="168" customWidth="1"/>
    <col min="40" max="45" width="10.6640625" style="168" bestFit="1" customWidth="1"/>
    <col min="46" max="47" width="13.1640625" style="168" customWidth="1"/>
    <col min="48" max="49" width="10.6640625" style="168" bestFit="1" customWidth="1"/>
    <col min="50" max="73" width="11.33203125" style="168" customWidth="1"/>
    <col min="74" max="74" width="12.83203125" style="168" customWidth="1"/>
    <col min="75" max="97" width="10.33203125" style="168" customWidth="1"/>
    <col min="98" max="16384" width="11.5" style="168"/>
  </cols>
  <sheetData>
    <row r="1" spans="1:97" s="174" customFormat="1" ht="27" customHeight="1">
      <c r="A1" s="172" t="s">
        <v>358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3"/>
      <c r="AK1" s="173"/>
      <c r="AL1" s="173"/>
      <c r="AM1" s="173"/>
      <c r="AN1" s="173"/>
      <c r="AO1" s="173"/>
      <c r="AP1" s="173"/>
      <c r="AQ1" s="173"/>
      <c r="AR1" s="173"/>
      <c r="AS1" s="173"/>
      <c r="AT1" s="173"/>
      <c r="AU1" s="173"/>
      <c r="AV1" s="173"/>
      <c r="AW1" s="173"/>
      <c r="AX1" s="173"/>
      <c r="AY1" s="173"/>
      <c r="AZ1" s="173"/>
      <c r="BA1" s="173"/>
      <c r="BB1" s="173"/>
      <c r="BC1" s="173"/>
      <c r="BD1" s="173"/>
      <c r="BE1" s="173"/>
      <c r="BF1" s="173"/>
      <c r="BG1" s="173"/>
      <c r="BH1" s="173"/>
      <c r="BI1" s="173"/>
      <c r="BJ1" s="173"/>
      <c r="BK1" s="173"/>
      <c r="BL1" s="173"/>
      <c r="BM1" s="173"/>
      <c r="BN1" s="173"/>
      <c r="BO1" s="173"/>
      <c r="BP1" s="173"/>
      <c r="BQ1" s="173"/>
      <c r="BR1" s="173"/>
      <c r="BS1" s="173"/>
      <c r="BT1" s="173"/>
      <c r="BU1" s="173"/>
      <c r="BV1" s="173"/>
      <c r="BW1" s="173"/>
      <c r="BX1" s="173"/>
      <c r="BY1" s="173"/>
      <c r="BZ1" s="173"/>
      <c r="CA1" s="173"/>
      <c r="CB1" s="173"/>
      <c r="CC1" s="173"/>
      <c r="CD1" s="173"/>
      <c r="CE1" s="173"/>
      <c r="CF1" s="173"/>
      <c r="CG1" s="173"/>
      <c r="CH1" s="173"/>
      <c r="CI1" s="173"/>
      <c r="CJ1" s="173"/>
      <c r="CK1" s="173"/>
      <c r="CL1" s="173"/>
      <c r="CM1" s="173"/>
      <c r="CN1" s="173"/>
      <c r="CO1" s="173"/>
      <c r="CP1" s="173"/>
      <c r="CQ1" s="173"/>
      <c r="CR1" s="173"/>
      <c r="CS1" s="173"/>
    </row>
    <row r="2" spans="1:97" s="174" customFormat="1" ht="18.600000000000001" customHeight="1">
      <c r="A2" s="167" t="s">
        <v>359</v>
      </c>
      <c r="AA2" s="173"/>
      <c r="AB2" s="173"/>
      <c r="AC2" s="173"/>
      <c r="AD2" s="173"/>
      <c r="AE2" s="173"/>
      <c r="AF2" s="173"/>
      <c r="AG2" s="173"/>
      <c r="AH2" s="173"/>
      <c r="AI2" s="173"/>
      <c r="AJ2" s="173"/>
      <c r="AK2" s="173"/>
      <c r="AL2" s="173"/>
      <c r="AM2" s="173"/>
      <c r="AN2" s="173"/>
      <c r="AO2" s="173"/>
      <c r="AP2" s="173"/>
      <c r="AQ2" s="173"/>
      <c r="AR2" s="173"/>
      <c r="AS2" s="173"/>
      <c r="AT2" s="173"/>
      <c r="AU2" s="173"/>
      <c r="AV2" s="173"/>
      <c r="AW2" s="173"/>
      <c r="AX2" s="173"/>
      <c r="AY2" s="173"/>
      <c r="AZ2" s="173"/>
      <c r="BA2" s="173"/>
      <c r="BB2" s="173"/>
      <c r="BC2" s="173"/>
      <c r="BD2" s="173"/>
      <c r="BE2" s="173"/>
      <c r="BF2" s="173"/>
      <c r="BG2" s="173"/>
      <c r="BH2" s="173"/>
      <c r="BI2" s="173"/>
      <c r="BJ2" s="173"/>
      <c r="BK2" s="173"/>
      <c r="BL2" s="173"/>
      <c r="BM2" s="173"/>
      <c r="BN2" s="173"/>
      <c r="BO2" s="173"/>
      <c r="BP2" s="173"/>
      <c r="BQ2" s="173"/>
      <c r="BR2" s="173"/>
      <c r="BS2" s="173"/>
      <c r="BT2" s="173"/>
      <c r="BU2" s="173"/>
      <c r="BV2" s="173"/>
      <c r="BW2" s="173"/>
      <c r="BX2" s="173"/>
      <c r="BY2" s="173"/>
      <c r="BZ2" s="173"/>
      <c r="CA2" s="173"/>
      <c r="CB2" s="173"/>
      <c r="CC2" s="173"/>
      <c r="CD2" s="173"/>
      <c r="CE2" s="173"/>
      <c r="CF2" s="173"/>
      <c r="CG2" s="173"/>
      <c r="CH2" s="173"/>
      <c r="CI2" s="173"/>
      <c r="CJ2" s="173"/>
      <c r="CK2" s="173"/>
      <c r="CL2" s="173"/>
      <c r="CM2" s="173"/>
      <c r="CN2" s="173"/>
      <c r="CO2" s="173"/>
      <c r="CP2" s="173"/>
      <c r="CQ2" s="173"/>
      <c r="CR2" s="173"/>
      <c r="CS2" s="173"/>
    </row>
    <row r="3" spans="1:97" s="150" customFormat="1" ht="18.600000000000001" customHeight="1" thickBot="1">
      <c r="A3" s="175" t="s">
        <v>360</v>
      </c>
      <c r="B3" s="176"/>
      <c r="C3" s="176"/>
      <c r="D3" s="176"/>
      <c r="E3" s="137"/>
      <c r="F3" s="138"/>
      <c r="G3" s="138"/>
      <c r="H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AY3" s="176"/>
      <c r="AZ3" s="176"/>
      <c r="BA3" s="176"/>
      <c r="BB3" s="176"/>
      <c r="BC3" s="176"/>
      <c r="BD3" s="176"/>
      <c r="BH3" s="176"/>
      <c r="BI3" s="176"/>
      <c r="BJ3" s="176"/>
      <c r="BK3" s="176"/>
      <c r="BL3" s="176"/>
      <c r="BM3" s="176"/>
      <c r="BN3" s="176"/>
      <c r="BO3" s="176"/>
      <c r="BP3" s="176"/>
      <c r="BQ3" s="176"/>
      <c r="BR3" s="176"/>
      <c r="BS3" s="176"/>
      <c r="BT3" s="239"/>
      <c r="BU3" s="239"/>
      <c r="BV3" s="176"/>
      <c r="BW3" s="176"/>
      <c r="BX3" s="176"/>
      <c r="BY3" s="176"/>
      <c r="BZ3" s="176"/>
      <c r="CA3" s="176"/>
      <c r="CB3" s="176"/>
      <c r="CF3" s="176"/>
      <c r="CG3" s="176"/>
      <c r="CH3" s="176"/>
      <c r="CI3" s="176"/>
      <c r="CJ3" s="176"/>
      <c r="CK3" s="176"/>
      <c r="CL3" s="176"/>
      <c r="CM3" s="176"/>
      <c r="CN3" s="176"/>
      <c r="CO3" s="176"/>
      <c r="CP3" s="176"/>
      <c r="CQ3" s="176"/>
      <c r="CR3" s="239"/>
      <c r="CS3" s="239"/>
    </row>
    <row r="4" spans="1:97" s="150" customFormat="1" ht="21.75" customHeight="1">
      <c r="A4" s="275" t="s">
        <v>361</v>
      </c>
      <c r="B4" s="276" t="s">
        <v>377</v>
      </c>
      <c r="C4" s="243"/>
      <c r="D4" s="243"/>
      <c r="E4" s="243"/>
      <c r="F4" s="243"/>
      <c r="G4" s="243"/>
      <c r="H4" s="243"/>
      <c r="I4" s="243"/>
      <c r="J4" s="244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43"/>
      <c r="X4" s="243"/>
      <c r="Y4" s="245"/>
      <c r="Z4" s="246" t="s">
        <v>376</v>
      </c>
      <c r="AA4" s="247"/>
      <c r="AB4" s="247"/>
      <c r="AC4" s="247"/>
      <c r="AD4" s="247"/>
      <c r="AE4" s="247"/>
      <c r="AF4" s="247"/>
      <c r="AG4" s="247"/>
      <c r="AH4" s="248"/>
      <c r="AI4" s="247"/>
      <c r="AJ4" s="247"/>
      <c r="AK4" s="247"/>
      <c r="AL4" s="247"/>
      <c r="AM4" s="247"/>
      <c r="AN4" s="247"/>
      <c r="AO4" s="247"/>
      <c r="AP4" s="247"/>
      <c r="AQ4" s="247"/>
      <c r="AR4" s="247"/>
      <c r="AS4" s="247"/>
      <c r="AT4" s="247"/>
      <c r="AU4" s="247"/>
      <c r="AV4" s="247"/>
      <c r="AW4" s="249"/>
      <c r="AX4" s="250" t="s">
        <v>376</v>
      </c>
      <c r="AY4" s="251"/>
      <c r="AZ4" s="251"/>
      <c r="BA4" s="251"/>
      <c r="BB4" s="251"/>
      <c r="BC4" s="251"/>
      <c r="BD4" s="251"/>
      <c r="BE4" s="251"/>
      <c r="BF4" s="252"/>
      <c r="BG4" s="251"/>
      <c r="BH4" s="251"/>
      <c r="BI4" s="251"/>
      <c r="BJ4" s="251"/>
      <c r="BK4" s="251"/>
      <c r="BL4" s="251"/>
      <c r="BM4" s="251"/>
      <c r="BN4" s="251"/>
      <c r="BO4" s="251"/>
      <c r="BP4" s="251"/>
      <c r="BQ4" s="251"/>
      <c r="BR4" s="251"/>
      <c r="BS4" s="251"/>
      <c r="BT4" s="251"/>
      <c r="BU4" s="253"/>
      <c r="BV4" s="254" t="s">
        <v>376</v>
      </c>
      <c r="BW4" s="255"/>
      <c r="BX4" s="255"/>
      <c r="BY4" s="255"/>
      <c r="BZ4" s="255"/>
      <c r="CA4" s="255"/>
      <c r="CB4" s="255"/>
      <c r="CC4" s="255"/>
      <c r="CD4" s="256"/>
      <c r="CE4" s="255"/>
      <c r="CF4" s="255"/>
      <c r="CG4" s="255"/>
      <c r="CH4" s="255"/>
      <c r="CI4" s="255"/>
      <c r="CJ4" s="255"/>
      <c r="CK4" s="255"/>
      <c r="CL4" s="255"/>
      <c r="CM4" s="255"/>
      <c r="CN4" s="255"/>
      <c r="CO4" s="255"/>
      <c r="CP4" s="255"/>
      <c r="CQ4" s="255"/>
      <c r="CR4" s="255"/>
      <c r="CS4" s="256"/>
    </row>
    <row r="5" spans="1:97" ht="21.75" customHeight="1">
      <c r="A5" s="240"/>
      <c r="B5" s="257" t="s">
        <v>362</v>
      </c>
      <c r="C5" s="257"/>
      <c r="D5" s="257"/>
      <c r="E5" s="257"/>
      <c r="F5" s="257"/>
      <c r="G5" s="257"/>
      <c r="H5" s="257"/>
      <c r="I5" s="257"/>
      <c r="J5" s="257"/>
      <c r="K5" s="257"/>
      <c r="L5" s="257"/>
      <c r="M5" s="257"/>
      <c r="N5" s="257"/>
      <c r="O5" s="257"/>
      <c r="P5" s="257"/>
      <c r="Q5" s="257"/>
      <c r="R5" s="257"/>
      <c r="S5" s="257"/>
      <c r="T5" s="257"/>
      <c r="U5" s="257"/>
      <c r="V5" s="257"/>
      <c r="W5" s="257"/>
      <c r="X5" s="257"/>
      <c r="Y5" s="258"/>
      <c r="Z5" s="259" t="s">
        <v>363</v>
      </c>
      <c r="AA5" s="260"/>
      <c r="AB5" s="260"/>
      <c r="AC5" s="260"/>
      <c r="AD5" s="260"/>
      <c r="AE5" s="260"/>
      <c r="AF5" s="260"/>
      <c r="AG5" s="260"/>
      <c r="AH5" s="261"/>
      <c r="AI5" s="260"/>
      <c r="AJ5" s="260"/>
      <c r="AK5" s="260"/>
      <c r="AL5" s="260"/>
      <c r="AM5" s="260"/>
      <c r="AN5" s="260"/>
      <c r="AO5" s="260"/>
      <c r="AP5" s="260"/>
      <c r="AQ5" s="260"/>
      <c r="AR5" s="260"/>
      <c r="AS5" s="260"/>
      <c r="AT5" s="260"/>
      <c r="AU5" s="260"/>
      <c r="AV5" s="260"/>
      <c r="AW5" s="262"/>
      <c r="AX5" s="263" t="s">
        <v>364</v>
      </c>
      <c r="AY5" s="264"/>
      <c r="AZ5" s="264"/>
      <c r="BA5" s="264"/>
      <c r="BB5" s="264"/>
      <c r="BC5" s="264"/>
      <c r="BD5" s="264"/>
      <c r="BE5" s="264"/>
      <c r="BF5" s="265"/>
      <c r="BG5" s="264"/>
      <c r="BH5" s="264"/>
      <c r="BI5" s="264"/>
      <c r="BJ5" s="264"/>
      <c r="BK5" s="264"/>
      <c r="BL5" s="264"/>
      <c r="BM5" s="264"/>
      <c r="BN5" s="264"/>
      <c r="BO5" s="264"/>
      <c r="BP5" s="264"/>
      <c r="BQ5" s="264"/>
      <c r="BR5" s="264"/>
      <c r="BS5" s="264"/>
      <c r="BT5" s="264"/>
      <c r="BU5" s="266"/>
      <c r="BV5" s="268" t="s">
        <v>365</v>
      </c>
      <c r="BW5" s="269"/>
      <c r="BX5" s="269"/>
      <c r="BY5" s="269"/>
      <c r="BZ5" s="269"/>
      <c r="CA5" s="269"/>
      <c r="CB5" s="269"/>
      <c r="CC5" s="269"/>
      <c r="CD5" s="270"/>
      <c r="CE5" s="269"/>
      <c r="CF5" s="269"/>
      <c r="CG5" s="269"/>
      <c r="CH5" s="269"/>
      <c r="CI5" s="269"/>
      <c r="CJ5" s="269"/>
      <c r="CK5" s="269"/>
      <c r="CL5" s="269"/>
      <c r="CM5" s="269"/>
      <c r="CN5" s="269"/>
      <c r="CO5" s="269"/>
      <c r="CP5" s="269"/>
      <c r="CQ5" s="269"/>
      <c r="CR5" s="269"/>
      <c r="CS5" s="270"/>
    </row>
    <row r="6" spans="1:97" ht="21.75" customHeight="1">
      <c r="A6" s="240"/>
      <c r="B6" s="271" t="s">
        <v>366</v>
      </c>
      <c r="C6" s="271"/>
      <c r="D6" s="272"/>
      <c r="E6" s="267" t="s">
        <v>369</v>
      </c>
      <c r="F6" s="267"/>
      <c r="G6" s="267"/>
      <c r="H6" s="267" t="s">
        <v>370</v>
      </c>
      <c r="I6" s="267"/>
      <c r="J6" s="273"/>
      <c r="K6" s="267" t="s">
        <v>371</v>
      </c>
      <c r="L6" s="267"/>
      <c r="M6" s="267"/>
      <c r="N6" s="267" t="s">
        <v>372</v>
      </c>
      <c r="O6" s="267"/>
      <c r="P6" s="267"/>
      <c r="Q6" s="267" t="s">
        <v>373</v>
      </c>
      <c r="R6" s="267"/>
      <c r="S6" s="267"/>
      <c r="T6" s="267" t="s">
        <v>374</v>
      </c>
      <c r="U6" s="267"/>
      <c r="V6" s="267"/>
      <c r="W6" s="267" t="s">
        <v>375</v>
      </c>
      <c r="X6" s="267"/>
      <c r="Y6" s="274"/>
      <c r="Z6" s="271" t="s">
        <v>366</v>
      </c>
      <c r="AA6" s="271"/>
      <c r="AB6" s="272"/>
      <c r="AC6" s="267" t="s">
        <v>369</v>
      </c>
      <c r="AD6" s="267"/>
      <c r="AE6" s="267"/>
      <c r="AF6" s="267" t="s">
        <v>370</v>
      </c>
      <c r="AG6" s="267"/>
      <c r="AH6" s="273"/>
      <c r="AI6" s="267" t="s">
        <v>371</v>
      </c>
      <c r="AJ6" s="267"/>
      <c r="AK6" s="267"/>
      <c r="AL6" s="267" t="s">
        <v>372</v>
      </c>
      <c r="AM6" s="267"/>
      <c r="AN6" s="267"/>
      <c r="AO6" s="267" t="s">
        <v>373</v>
      </c>
      <c r="AP6" s="267"/>
      <c r="AQ6" s="267"/>
      <c r="AR6" s="267" t="s">
        <v>374</v>
      </c>
      <c r="AS6" s="267"/>
      <c r="AT6" s="267"/>
      <c r="AU6" s="267" t="s">
        <v>375</v>
      </c>
      <c r="AV6" s="267"/>
      <c r="AW6" s="274"/>
      <c r="AX6" s="271" t="s">
        <v>366</v>
      </c>
      <c r="AY6" s="271"/>
      <c r="AZ6" s="272"/>
      <c r="BA6" s="267" t="s">
        <v>369</v>
      </c>
      <c r="BB6" s="267"/>
      <c r="BC6" s="267"/>
      <c r="BD6" s="267" t="s">
        <v>370</v>
      </c>
      <c r="BE6" s="267"/>
      <c r="BF6" s="273"/>
      <c r="BG6" s="267" t="s">
        <v>371</v>
      </c>
      <c r="BH6" s="267"/>
      <c r="BI6" s="267"/>
      <c r="BJ6" s="267" t="s">
        <v>372</v>
      </c>
      <c r="BK6" s="267"/>
      <c r="BL6" s="267"/>
      <c r="BM6" s="267" t="s">
        <v>373</v>
      </c>
      <c r="BN6" s="267"/>
      <c r="BO6" s="267"/>
      <c r="BP6" s="267" t="s">
        <v>374</v>
      </c>
      <c r="BQ6" s="267"/>
      <c r="BR6" s="267"/>
      <c r="BS6" s="267" t="s">
        <v>375</v>
      </c>
      <c r="BT6" s="267"/>
      <c r="BU6" s="274"/>
      <c r="BV6" s="271" t="s">
        <v>366</v>
      </c>
      <c r="BW6" s="271"/>
      <c r="BX6" s="272"/>
      <c r="BY6" s="267" t="s">
        <v>369</v>
      </c>
      <c r="BZ6" s="267"/>
      <c r="CA6" s="267"/>
      <c r="CB6" s="267" t="s">
        <v>370</v>
      </c>
      <c r="CC6" s="267"/>
      <c r="CD6" s="273"/>
      <c r="CE6" s="267" t="s">
        <v>371</v>
      </c>
      <c r="CF6" s="267"/>
      <c r="CG6" s="267"/>
      <c r="CH6" s="267" t="s">
        <v>372</v>
      </c>
      <c r="CI6" s="267"/>
      <c r="CJ6" s="267"/>
      <c r="CK6" s="267" t="s">
        <v>373</v>
      </c>
      <c r="CL6" s="267"/>
      <c r="CM6" s="267"/>
      <c r="CN6" s="267" t="s">
        <v>374</v>
      </c>
      <c r="CO6" s="267"/>
      <c r="CP6" s="267"/>
      <c r="CQ6" s="267" t="s">
        <v>375</v>
      </c>
      <c r="CR6" s="267"/>
      <c r="CS6" s="273"/>
    </row>
    <row r="7" spans="1:97" ht="45.6" customHeight="1" thickBot="1">
      <c r="A7" s="241"/>
      <c r="B7" s="158" t="s">
        <v>335</v>
      </c>
      <c r="C7" s="156" t="s">
        <v>336</v>
      </c>
      <c r="D7" s="156" t="s">
        <v>337</v>
      </c>
      <c r="E7" s="155" t="s">
        <v>335</v>
      </c>
      <c r="F7" s="156" t="s">
        <v>336</v>
      </c>
      <c r="G7" s="156" t="s">
        <v>337</v>
      </c>
      <c r="H7" s="155" t="s">
        <v>335</v>
      </c>
      <c r="I7" s="156" t="s">
        <v>336</v>
      </c>
      <c r="J7" s="156" t="s">
        <v>337</v>
      </c>
      <c r="K7" s="155" t="s">
        <v>335</v>
      </c>
      <c r="L7" s="156" t="s">
        <v>336</v>
      </c>
      <c r="M7" s="156" t="s">
        <v>337</v>
      </c>
      <c r="N7" s="155" t="s">
        <v>335</v>
      </c>
      <c r="O7" s="156" t="s">
        <v>336</v>
      </c>
      <c r="P7" s="156" t="s">
        <v>337</v>
      </c>
      <c r="Q7" s="155" t="s">
        <v>335</v>
      </c>
      <c r="R7" s="156" t="s">
        <v>336</v>
      </c>
      <c r="S7" s="156" t="s">
        <v>337</v>
      </c>
      <c r="T7" s="155" t="s">
        <v>335</v>
      </c>
      <c r="U7" s="156" t="s">
        <v>336</v>
      </c>
      <c r="V7" s="156" t="s">
        <v>337</v>
      </c>
      <c r="W7" s="155" t="s">
        <v>335</v>
      </c>
      <c r="X7" s="156" t="s">
        <v>336</v>
      </c>
      <c r="Y7" s="157" t="s">
        <v>337</v>
      </c>
      <c r="Z7" s="158" t="s">
        <v>335</v>
      </c>
      <c r="AA7" s="156" t="s">
        <v>336</v>
      </c>
      <c r="AB7" s="156" t="s">
        <v>337</v>
      </c>
      <c r="AC7" s="155" t="s">
        <v>335</v>
      </c>
      <c r="AD7" s="156" t="s">
        <v>336</v>
      </c>
      <c r="AE7" s="156" t="s">
        <v>337</v>
      </c>
      <c r="AF7" s="155" t="s">
        <v>335</v>
      </c>
      <c r="AG7" s="156" t="s">
        <v>336</v>
      </c>
      <c r="AH7" s="156" t="s">
        <v>337</v>
      </c>
      <c r="AI7" s="155" t="s">
        <v>335</v>
      </c>
      <c r="AJ7" s="156" t="s">
        <v>336</v>
      </c>
      <c r="AK7" s="156" t="s">
        <v>337</v>
      </c>
      <c r="AL7" s="155" t="s">
        <v>335</v>
      </c>
      <c r="AM7" s="156" t="s">
        <v>336</v>
      </c>
      <c r="AN7" s="156" t="s">
        <v>337</v>
      </c>
      <c r="AO7" s="155" t="s">
        <v>335</v>
      </c>
      <c r="AP7" s="156" t="s">
        <v>336</v>
      </c>
      <c r="AQ7" s="156" t="s">
        <v>337</v>
      </c>
      <c r="AR7" s="155" t="s">
        <v>335</v>
      </c>
      <c r="AS7" s="156" t="s">
        <v>336</v>
      </c>
      <c r="AT7" s="156" t="s">
        <v>337</v>
      </c>
      <c r="AU7" s="155" t="s">
        <v>335</v>
      </c>
      <c r="AV7" s="156" t="s">
        <v>336</v>
      </c>
      <c r="AW7" s="157" t="s">
        <v>337</v>
      </c>
      <c r="AX7" s="159" t="s">
        <v>335</v>
      </c>
      <c r="AY7" s="156" t="s">
        <v>336</v>
      </c>
      <c r="AZ7" s="156" t="s">
        <v>337</v>
      </c>
      <c r="BA7" s="155" t="s">
        <v>335</v>
      </c>
      <c r="BB7" s="156" t="s">
        <v>336</v>
      </c>
      <c r="BC7" s="156" t="s">
        <v>337</v>
      </c>
      <c r="BD7" s="155" t="s">
        <v>335</v>
      </c>
      <c r="BE7" s="156" t="s">
        <v>336</v>
      </c>
      <c r="BF7" s="156" t="s">
        <v>337</v>
      </c>
      <c r="BG7" s="155" t="s">
        <v>335</v>
      </c>
      <c r="BH7" s="156" t="s">
        <v>336</v>
      </c>
      <c r="BI7" s="156" t="s">
        <v>337</v>
      </c>
      <c r="BJ7" s="155" t="s">
        <v>335</v>
      </c>
      <c r="BK7" s="156" t="s">
        <v>336</v>
      </c>
      <c r="BL7" s="156" t="s">
        <v>337</v>
      </c>
      <c r="BM7" s="155" t="s">
        <v>335</v>
      </c>
      <c r="BN7" s="156" t="s">
        <v>336</v>
      </c>
      <c r="BO7" s="156" t="s">
        <v>337</v>
      </c>
      <c r="BP7" s="155" t="s">
        <v>335</v>
      </c>
      <c r="BQ7" s="156" t="s">
        <v>336</v>
      </c>
      <c r="BR7" s="156" t="s">
        <v>337</v>
      </c>
      <c r="BS7" s="155" t="s">
        <v>335</v>
      </c>
      <c r="BT7" s="156" t="s">
        <v>336</v>
      </c>
      <c r="BU7" s="157" t="s">
        <v>337</v>
      </c>
      <c r="BV7" s="159" t="s">
        <v>335</v>
      </c>
      <c r="BW7" s="156" t="s">
        <v>336</v>
      </c>
      <c r="BX7" s="156" t="s">
        <v>337</v>
      </c>
      <c r="BY7" s="155" t="s">
        <v>335</v>
      </c>
      <c r="BZ7" s="156" t="s">
        <v>336</v>
      </c>
      <c r="CA7" s="156" t="s">
        <v>337</v>
      </c>
      <c r="CB7" s="155" t="s">
        <v>335</v>
      </c>
      <c r="CC7" s="156" t="s">
        <v>336</v>
      </c>
      <c r="CD7" s="156" t="s">
        <v>337</v>
      </c>
      <c r="CE7" s="155" t="s">
        <v>335</v>
      </c>
      <c r="CF7" s="156" t="s">
        <v>336</v>
      </c>
      <c r="CG7" s="156" t="s">
        <v>337</v>
      </c>
      <c r="CH7" s="155" t="s">
        <v>335</v>
      </c>
      <c r="CI7" s="156" t="s">
        <v>336</v>
      </c>
      <c r="CJ7" s="156" t="s">
        <v>337</v>
      </c>
      <c r="CK7" s="155" t="s">
        <v>335</v>
      </c>
      <c r="CL7" s="156" t="s">
        <v>336</v>
      </c>
      <c r="CM7" s="156" t="s">
        <v>337</v>
      </c>
      <c r="CN7" s="155" t="s">
        <v>335</v>
      </c>
      <c r="CO7" s="156" t="s">
        <v>336</v>
      </c>
      <c r="CP7" s="156" t="s">
        <v>337</v>
      </c>
      <c r="CQ7" s="155" t="s">
        <v>335</v>
      </c>
      <c r="CR7" s="156" t="s">
        <v>336</v>
      </c>
      <c r="CS7" s="160" t="s">
        <v>337</v>
      </c>
    </row>
    <row r="8" spans="1:97" s="177" customFormat="1" ht="20.45" customHeight="1">
      <c r="A8" s="169" t="s">
        <v>330</v>
      </c>
      <c r="B8" s="152">
        <v>264416</v>
      </c>
      <c r="C8" s="152">
        <v>111769</v>
      </c>
      <c r="D8" s="152">
        <v>152647</v>
      </c>
      <c r="E8" s="152">
        <v>44266</v>
      </c>
      <c r="F8" s="152">
        <v>16646</v>
      </c>
      <c r="G8" s="152">
        <v>27620</v>
      </c>
      <c r="H8" s="152">
        <v>46975</v>
      </c>
      <c r="I8" s="152">
        <v>17280</v>
      </c>
      <c r="J8" s="152">
        <v>29695</v>
      </c>
      <c r="K8" s="152">
        <v>53289</v>
      </c>
      <c r="L8" s="152">
        <v>22082</v>
      </c>
      <c r="M8" s="152">
        <v>31207</v>
      </c>
      <c r="N8" s="152">
        <v>42142</v>
      </c>
      <c r="O8" s="152">
        <v>19376</v>
      </c>
      <c r="P8" s="152">
        <v>22766</v>
      </c>
      <c r="Q8" s="152">
        <v>28166</v>
      </c>
      <c r="R8" s="152">
        <v>12754</v>
      </c>
      <c r="S8" s="152">
        <v>15412</v>
      </c>
      <c r="T8" s="152">
        <v>24472</v>
      </c>
      <c r="U8" s="152">
        <v>11499</v>
      </c>
      <c r="V8" s="152">
        <v>12973</v>
      </c>
      <c r="W8" s="152">
        <v>25106</v>
      </c>
      <c r="X8" s="152">
        <v>12132</v>
      </c>
      <c r="Y8" s="153">
        <v>12974</v>
      </c>
      <c r="Z8" s="152">
        <v>249936</v>
      </c>
      <c r="AA8" s="152">
        <v>106538</v>
      </c>
      <c r="AB8" s="152">
        <v>143398</v>
      </c>
      <c r="AC8" s="152">
        <v>42662</v>
      </c>
      <c r="AD8" s="152">
        <v>16160</v>
      </c>
      <c r="AE8" s="152">
        <v>26502</v>
      </c>
      <c r="AF8" s="152">
        <v>44567</v>
      </c>
      <c r="AG8" s="152">
        <v>16563</v>
      </c>
      <c r="AH8" s="152">
        <v>28004</v>
      </c>
      <c r="AI8" s="152">
        <v>49978</v>
      </c>
      <c r="AJ8" s="152">
        <v>20972</v>
      </c>
      <c r="AK8" s="152">
        <v>29006</v>
      </c>
      <c r="AL8" s="152">
        <v>39113</v>
      </c>
      <c r="AM8" s="152">
        <v>18117</v>
      </c>
      <c r="AN8" s="152">
        <v>20996</v>
      </c>
      <c r="AO8" s="152">
        <v>25189</v>
      </c>
      <c r="AP8" s="152">
        <v>11557</v>
      </c>
      <c r="AQ8" s="152">
        <v>13632</v>
      </c>
      <c r="AR8" s="152">
        <v>23673</v>
      </c>
      <c r="AS8" s="152">
        <v>11181</v>
      </c>
      <c r="AT8" s="152">
        <v>12492</v>
      </c>
      <c r="AU8" s="152">
        <v>24754</v>
      </c>
      <c r="AV8" s="152">
        <v>11988</v>
      </c>
      <c r="AW8" s="153">
        <v>12766</v>
      </c>
      <c r="AX8" s="154">
        <v>22959</v>
      </c>
      <c r="AY8" s="152">
        <v>8495</v>
      </c>
      <c r="AZ8" s="152">
        <v>14464</v>
      </c>
      <c r="BA8" s="152">
        <v>2199</v>
      </c>
      <c r="BB8" s="152">
        <v>675</v>
      </c>
      <c r="BC8" s="152">
        <v>1524</v>
      </c>
      <c r="BD8" s="152">
        <v>3635</v>
      </c>
      <c r="BE8" s="152">
        <v>1108</v>
      </c>
      <c r="BF8" s="152">
        <v>2527</v>
      </c>
      <c r="BG8" s="152">
        <v>5132</v>
      </c>
      <c r="BH8" s="152">
        <v>1792</v>
      </c>
      <c r="BI8" s="152">
        <v>3340</v>
      </c>
      <c r="BJ8" s="152">
        <v>4793</v>
      </c>
      <c r="BK8" s="152">
        <v>1968</v>
      </c>
      <c r="BL8" s="152">
        <v>2825</v>
      </c>
      <c r="BM8" s="152">
        <v>4926</v>
      </c>
      <c r="BN8" s="152">
        <v>1993</v>
      </c>
      <c r="BO8" s="152">
        <v>2933</v>
      </c>
      <c r="BP8" s="152">
        <v>1577</v>
      </c>
      <c r="BQ8" s="152">
        <v>648</v>
      </c>
      <c r="BR8" s="152">
        <v>929</v>
      </c>
      <c r="BS8" s="152">
        <v>697</v>
      </c>
      <c r="BT8" s="152">
        <v>311</v>
      </c>
      <c r="BU8" s="153">
        <v>386</v>
      </c>
      <c r="BV8" s="154">
        <v>1411</v>
      </c>
      <c r="BW8" s="152">
        <v>612</v>
      </c>
      <c r="BX8" s="152">
        <v>799</v>
      </c>
      <c r="BY8" s="152">
        <v>44</v>
      </c>
      <c r="BZ8" s="152">
        <v>16</v>
      </c>
      <c r="CA8" s="152">
        <v>28</v>
      </c>
      <c r="CB8" s="152">
        <v>84</v>
      </c>
      <c r="CC8" s="152">
        <v>33</v>
      </c>
      <c r="CD8" s="152">
        <v>51</v>
      </c>
      <c r="CE8" s="152">
        <v>153</v>
      </c>
      <c r="CF8" s="152">
        <v>59</v>
      </c>
      <c r="CG8" s="152">
        <v>94</v>
      </c>
      <c r="CH8" s="152">
        <v>280</v>
      </c>
      <c r="CI8" s="152">
        <v>117</v>
      </c>
      <c r="CJ8" s="152">
        <v>163</v>
      </c>
      <c r="CK8" s="152">
        <v>347</v>
      </c>
      <c r="CL8" s="152">
        <v>167</v>
      </c>
      <c r="CM8" s="152">
        <v>180</v>
      </c>
      <c r="CN8" s="152">
        <v>286</v>
      </c>
      <c r="CO8" s="152">
        <v>123</v>
      </c>
      <c r="CP8" s="152">
        <v>163</v>
      </c>
      <c r="CQ8" s="152">
        <v>217</v>
      </c>
      <c r="CR8" s="152">
        <v>97</v>
      </c>
      <c r="CS8" s="152">
        <v>120</v>
      </c>
    </row>
    <row r="9" spans="1:97" s="178" customFormat="1" ht="20.45" customHeight="1">
      <c r="A9" s="170" t="s">
        <v>338</v>
      </c>
      <c r="B9" s="139">
        <v>30998</v>
      </c>
      <c r="C9" s="139">
        <v>13358</v>
      </c>
      <c r="D9" s="139">
        <v>17640</v>
      </c>
      <c r="E9" s="141">
        <v>4894</v>
      </c>
      <c r="F9" s="141">
        <v>1708</v>
      </c>
      <c r="G9" s="141">
        <v>3186</v>
      </c>
      <c r="H9" s="141">
        <v>5002</v>
      </c>
      <c r="I9" s="141">
        <v>1875</v>
      </c>
      <c r="J9" s="141">
        <v>3127</v>
      </c>
      <c r="K9" s="141">
        <v>6489</v>
      </c>
      <c r="L9" s="141">
        <v>2835</v>
      </c>
      <c r="M9" s="141">
        <v>3654</v>
      </c>
      <c r="N9" s="141">
        <v>5105</v>
      </c>
      <c r="O9" s="141">
        <v>2464</v>
      </c>
      <c r="P9" s="141">
        <v>2641</v>
      </c>
      <c r="Q9" s="141">
        <v>3670</v>
      </c>
      <c r="R9" s="141">
        <v>1693</v>
      </c>
      <c r="S9" s="141">
        <v>1977</v>
      </c>
      <c r="T9" s="141">
        <v>2862</v>
      </c>
      <c r="U9" s="141">
        <v>1326</v>
      </c>
      <c r="V9" s="141">
        <v>1536</v>
      </c>
      <c r="W9" s="141">
        <v>2976</v>
      </c>
      <c r="X9" s="141">
        <v>1457</v>
      </c>
      <c r="Y9" s="151">
        <v>1519</v>
      </c>
      <c r="Z9" s="139">
        <v>29633</v>
      </c>
      <c r="AA9" s="139">
        <v>12906</v>
      </c>
      <c r="AB9" s="139">
        <v>16727</v>
      </c>
      <c r="AC9" s="141">
        <v>4657</v>
      </c>
      <c r="AD9" s="141">
        <v>1645</v>
      </c>
      <c r="AE9" s="141">
        <v>3012</v>
      </c>
      <c r="AF9" s="141">
        <v>4783</v>
      </c>
      <c r="AG9" s="141">
        <v>1810</v>
      </c>
      <c r="AH9" s="141">
        <v>2973</v>
      </c>
      <c r="AI9" s="141">
        <v>6137</v>
      </c>
      <c r="AJ9" s="141">
        <v>2720</v>
      </c>
      <c r="AK9" s="141">
        <v>3417</v>
      </c>
      <c r="AL9" s="141">
        <v>4825</v>
      </c>
      <c r="AM9" s="141">
        <v>2358</v>
      </c>
      <c r="AN9" s="141">
        <v>2467</v>
      </c>
      <c r="AO9" s="141">
        <v>3429</v>
      </c>
      <c r="AP9" s="141">
        <v>1604</v>
      </c>
      <c r="AQ9" s="141">
        <v>1825</v>
      </c>
      <c r="AR9" s="141">
        <v>2841</v>
      </c>
      <c r="AS9" s="141">
        <v>1320</v>
      </c>
      <c r="AT9" s="141">
        <v>1521</v>
      </c>
      <c r="AU9" s="141">
        <v>2961</v>
      </c>
      <c r="AV9" s="141">
        <v>1449</v>
      </c>
      <c r="AW9" s="151">
        <v>1512</v>
      </c>
      <c r="AX9" s="149">
        <v>2193</v>
      </c>
      <c r="AY9" s="139">
        <v>735</v>
      </c>
      <c r="AZ9" s="139">
        <v>1458</v>
      </c>
      <c r="BA9" s="140">
        <v>314</v>
      </c>
      <c r="BB9" s="141">
        <v>82</v>
      </c>
      <c r="BC9" s="141">
        <v>232</v>
      </c>
      <c r="BD9" s="141">
        <v>353</v>
      </c>
      <c r="BE9" s="141">
        <v>106</v>
      </c>
      <c r="BF9" s="141">
        <v>247</v>
      </c>
      <c r="BG9" s="141">
        <v>572</v>
      </c>
      <c r="BH9" s="141">
        <v>184</v>
      </c>
      <c r="BI9" s="141">
        <v>388</v>
      </c>
      <c r="BJ9" s="141">
        <v>432</v>
      </c>
      <c r="BK9" s="141">
        <v>163</v>
      </c>
      <c r="BL9" s="141">
        <v>269</v>
      </c>
      <c r="BM9" s="141">
        <v>417</v>
      </c>
      <c r="BN9" s="141">
        <v>160</v>
      </c>
      <c r="BO9" s="141">
        <v>257</v>
      </c>
      <c r="BP9" s="141">
        <v>68</v>
      </c>
      <c r="BQ9" s="141">
        <v>25</v>
      </c>
      <c r="BR9" s="141">
        <v>43</v>
      </c>
      <c r="BS9" s="141">
        <v>37</v>
      </c>
      <c r="BT9" s="141">
        <v>15</v>
      </c>
      <c r="BU9" s="151">
        <v>22</v>
      </c>
      <c r="BV9" s="149">
        <v>45</v>
      </c>
      <c r="BW9" s="139">
        <v>14</v>
      </c>
      <c r="BX9" s="139">
        <v>31</v>
      </c>
      <c r="BY9" s="140">
        <v>1</v>
      </c>
      <c r="BZ9" s="141">
        <v>1</v>
      </c>
      <c r="CA9" s="141">
        <v>0</v>
      </c>
      <c r="CB9" s="141">
        <v>2</v>
      </c>
      <c r="CC9" s="141">
        <v>0</v>
      </c>
      <c r="CD9" s="141">
        <v>2</v>
      </c>
      <c r="CE9" s="141">
        <v>7</v>
      </c>
      <c r="CF9" s="141">
        <v>1</v>
      </c>
      <c r="CG9" s="141">
        <v>6</v>
      </c>
      <c r="CH9" s="141">
        <v>8</v>
      </c>
      <c r="CI9" s="141">
        <v>2</v>
      </c>
      <c r="CJ9" s="141">
        <v>6</v>
      </c>
      <c r="CK9" s="141">
        <v>17</v>
      </c>
      <c r="CL9" s="141">
        <v>7</v>
      </c>
      <c r="CM9" s="141">
        <v>10</v>
      </c>
      <c r="CN9" s="141">
        <v>8</v>
      </c>
      <c r="CO9" s="141">
        <v>3</v>
      </c>
      <c r="CP9" s="141">
        <v>5</v>
      </c>
      <c r="CQ9" s="141">
        <v>2</v>
      </c>
      <c r="CR9" s="141">
        <v>0</v>
      </c>
      <c r="CS9" s="141">
        <v>2</v>
      </c>
    </row>
    <row r="10" spans="1:97" s="178" customFormat="1" ht="20.45" customHeight="1">
      <c r="A10" s="170" t="s">
        <v>339</v>
      </c>
      <c r="B10" s="139">
        <v>16991</v>
      </c>
      <c r="C10" s="139">
        <v>7071</v>
      </c>
      <c r="D10" s="139">
        <v>9920</v>
      </c>
      <c r="E10" s="141">
        <v>2028</v>
      </c>
      <c r="F10" s="141">
        <v>677</v>
      </c>
      <c r="G10" s="141">
        <v>1351</v>
      </c>
      <c r="H10" s="141">
        <v>2549</v>
      </c>
      <c r="I10" s="141">
        <v>940</v>
      </c>
      <c r="J10" s="141">
        <v>1609</v>
      </c>
      <c r="K10" s="141">
        <v>3876</v>
      </c>
      <c r="L10" s="141">
        <v>1528</v>
      </c>
      <c r="M10" s="141">
        <v>2348</v>
      </c>
      <c r="N10" s="141">
        <v>2499</v>
      </c>
      <c r="O10" s="141">
        <v>1157</v>
      </c>
      <c r="P10" s="141">
        <v>1342</v>
      </c>
      <c r="Q10" s="141">
        <v>1964</v>
      </c>
      <c r="R10" s="141">
        <v>884</v>
      </c>
      <c r="S10" s="141">
        <v>1080</v>
      </c>
      <c r="T10" s="141">
        <v>2076</v>
      </c>
      <c r="U10" s="141">
        <v>953</v>
      </c>
      <c r="V10" s="141">
        <v>1123</v>
      </c>
      <c r="W10" s="141">
        <v>1999</v>
      </c>
      <c r="X10" s="141">
        <v>932</v>
      </c>
      <c r="Y10" s="151">
        <v>1067</v>
      </c>
      <c r="Z10" s="139">
        <v>15953</v>
      </c>
      <c r="AA10" s="139">
        <v>6700</v>
      </c>
      <c r="AB10" s="139">
        <v>9253</v>
      </c>
      <c r="AC10" s="141">
        <v>1948</v>
      </c>
      <c r="AD10" s="141">
        <v>646</v>
      </c>
      <c r="AE10" s="141">
        <v>1302</v>
      </c>
      <c r="AF10" s="141">
        <v>2377</v>
      </c>
      <c r="AG10" s="141">
        <v>878</v>
      </c>
      <c r="AH10" s="141">
        <v>1499</v>
      </c>
      <c r="AI10" s="141">
        <v>3589</v>
      </c>
      <c r="AJ10" s="141">
        <v>1445</v>
      </c>
      <c r="AK10" s="141">
        <v>2144</v>
      </c>
      <c r="AL10" s="141">
        <v>2317</v>
      </c>
      <c r="AM10" s="141">
        <v>1085</v>
      </c>
      <c r="AN10" s="141">
        <v>1232</v>
      </c>
      <c r="AO10" s="141">
        <v>1708</v>
      </c>
      <c r="AP10" s="141">
        <v>779</v>
      </c>
      <c r="AQ10" s="141">
        <v>929</v>
      </c>
      <c r="AR10" s="141">
        <v>2033</v>
      </c>
      <c r="AS10" s="141">
        <v>942</v>
      </c>
      <c r="AT10" s="141">
        <v>1091</v>
      </c>
      <c r="AU10" s="141">
        <v>1981</v>
      </c>
      <c r="AV10" s="141">
        <v>925</v>
      </c>
      <c r="AW10" s="151">
        <v>1056</v>
      </c>
      <c r="AX10" s="149">
        <v>1461</v>
      </c>
      <c r="AY10" s="139">
        <v>501</v>
      </c>
      <c r="AZ10" s="139">
        <v>960</v>
      </c>
      <c r="BA10" s="140">
        <v>94</v>
      </c>
      <c r="BB10" s="141">
        <v>34</v>
      </c>
      <c r="BC10" s="141">
        <v>60</v>
      </c>
      <c r="BD10" s="141">
        <v>223</v>
      </c>
      <c r="BE10" s="141">
        <v>71</v>
      </c>
      <c r="BF10" s="141">
        <v>152</v>
      </c>
      <c r="BG10" s="141">
        <v>417</v>
      </c>
      <c r="BH10" s="141">
        <v>117</v>
      </c>
      <c r="BI10" s="141">
        <v>300</v>
      </c>
      <c r="BJ10" s="141">
        <v>245</v>
      </c>
      <c r="BK10" s="141">
        <v>93</v>
      </c>
      <c r="BL10" s="141">
        <v>152</v>
      </c>
      <c r="BM10" s="141">
        <v>378</v>
      </c>
      <c r="BN10" s="141">
        <v>149</v>
      </c>
      <c r="BO10" s="141">
        <v>229</v>
      </c>
      <c r="BP10" s="141">
        <v>69</v>
      </c>
      <c r="BQ10" s="141">
        <v>21</v>
      </c>
      <c r="BR10" s="141">
        <v>48</v>
      </c>
      <c r="BS10" s="141">
        <v>35</v>
      </c>
      <c r="BT10" s="141">
        <v>16</v>
      </c>
      <c r="BU10" s="151">
        <v>19</v>
      </c>
      <c r="BV10" s="149">
        <v>33</v>
      </c>
      <c r="BW10" s="139">
        <v>16</v>
      </c>
      <c r="BX10" s="139">
        <v>17</v>
      </c>
      <c r="BY10" s="140">
        <v>0</v>
      </c>
      <c r="BZ10" s="141">
        <v>0</v>
      </c>
      <c r="CA10" s="141">
        <v>0</v>
      </c>
      <c r="CB10" s="141">
        <v>2</v>
      </c>
      <c r="CC10" s="141">
        <v>1</v>
      </c>
      <c r="CD10" s="141">
        <v>1</v>
      </c>
      <c r="CE10" s="141">
        <v>5</v>
      </c>
      <c r="CF10" s="141">
        <v>2</v>
      </c>
      <c r="CG10" s="141">
        <v>3</v>
      </c>
      <c r="CH10" s="141">
        <v>4</v>
      </c>
      <c r="CI10" s="141">
        <v>2</v>
      </c>
      <c r="CJ10" s="141">
        <v>2</v>
      </c>
      <c r="CK10" s="141">
        <v>13</v>
      </c>
      <c r="CL10" s="141">
        <v>8</v>
      </c>
      <c r="CM10" s="141">
        <v>5</v>
      </c>
      <c r="CN10" s="141">
        <v>6</v>
      </c>
      <c r="CO10" s="141">
        <v>2</v>
      </c>
      <c r="CP10" s="141">
        <v>4</v>
      </c>
      <c r="CQ10" s="141">
        <v>3</v>
      </c>
      <c r="CR10" s="141">
        <v>1</v>
      </c>
      <c r="CS10" s="141">
        <v>2</v>
      </c>
    </row>
    <row r="11" spans="1:97" s="178" customFormat="1" ht="20.45" customHeight="1">
      <c r="A11" s="170" t="s">
        <v>340</v>
      </c>
      <c r="B11" s="139">
        <v>17731</v>
      </c>
      <c r="C11" s="139">
        <v>7834</v>
      </c>
      <c r="D11" s="139">
        <v>9897</v>
      </c>
      <c r="E11" s="141">
        <v>2189</v>
      </c>
      <c r="F11" s="141">
        <v>788</v>
      </c>
      <c r="G11" s="141">
        <v>1401</v>
      </c>
      <c r="H11" s="141">
        <v>2596</v>
      </c>
      <c r="I11" s="141">
        <v>986</v>
      </c>
      <c r="J11" s="141">
        <v>1610</v>
      </c>
      <c r="K11" s="141">
        <v>3213</v>
      </c>
      <c r="L11" s="141">
        <v>1367</v>
      </c>
      <c r="M11" s="141">
        <v>1846</v>
      </c>
      <c r="N11" s="141">
        <v>2973</v>
      </c>
      <c r="O11" s="141">
        <v>1406</v>
      </c>
      <c r="P11" s="141">
        <v>1567</v>
      </c>
      <c r="Q11" s="141">
        <v>2615</v>
      </c>
      <c r="R11" s="141">
        <v>1271</v>
      </c>
      <c r="S11" s="141">
        <v>1344</v>
      </c>
      <c r="T11" s="141">
        <v>2088</v>
      </c>
      <c r="U11" s="141">
        <v>978</v>
      </c>
      <c r="V11" s="141">
        <v>1110</v>
      </c>
      <c r="W11" s="141">
        <v>2057</v>
      </c>
      <c r="X11" s="141">
        <v>1038</v>
      </c>
      <c r="Y11" s="151">
        <v>1019</v>
      </c>
      <c r="Z11" s="139">
        <v>16688</v>
      </c>
      <c r="AA11" s="139">
        <v>7465</v>
      </c>
      <c r="AB11" s="139">
        <v>9223</v>
      </c>
      <c r="AC11" s="141">
        <v>2081</v>
      </c>
      <c r="AD11" s="141">
        <v>758</v>
      </c>
      <c r="AE11" s="141">
        <v>1323</v>
      </c>
      <c r="AF11" s="141">
        <v>2453</v>
      </c>
      <c r="AG11" s="141">
        <v>941</v>
      </c>
      <c r="AH11" s="141">
        <v>1512</v>
      </c>
      <c r="AI11" s="141">
        <v>2950</v>
      </c>
      <c r="AJ11" s="141">
        <v>1285</v>
      </c>
      <c r="AK11" s="141">
        <v>1665</v>
      </c>
      <c r="AL11" s="141">
        <v>2761</v>
      </c>
      <c r="AM11" s="141">
        <v>1319</v>
      </c>
      <c r="AN11" s="141">
        <v>1442</v>
      </c>
      <c r="AO11" s="141">
        <v>2363</v>
      </c>
      <c r="AP11" s="141">
        <v>1169</v>
      </c>
      <c r="AQ11" s="141">
        <v>1194</v>
      </c>
      <c r="AR11" s="141">
        <v>2040</v>
      </c>
      <c r="AS11" s="141">
        <v>962</v>
      </c>
      <c r="AT11" s="141">
        <v>1078</v>
      </c>
      <c r="AU11" s="141">
        <v>2040</v>
      </c>
      <c r="AV11" s="141">
        <v>1031</v>
      </c>
      <c r="AW11" s="151">
        <v>1009</v>
      </c>
      <c r="AX11" s="149">
        <v>1567</v>
      </c>
      <c r="AY11" s="139">
        <v>586</v>
      </c>
      <c r="AZ11" s="139">
        <v>981</v>
      </c>
      <c r="BA11" s="140">
        <v>143</v>
      </c>
      <c r="BB11" s="141">
        <v>39</v>
      </c>
      <c r="BC11" s="141">
        <v>104</v>
      </c>
      <c r="BD11" s="141">
        <v>208</v>
      </c>
      <c r="BE11" s="141">
        <v>72</v>
      </c>
      <c r="BF11" s="141">
        <v>136</v>
      </c>
      <c r="BG11" s="141">
        <v>356</v>
      </c>
      <c r="BH11" s="141">
        <v>115</v>
      </c>
      <c r="BI11" s="141">
        <v>241</v>
      </c>
      <c r="BJ11" s="141">
        <v>303</v>
      </c>
      <c r="BK11" s="141">
        <v>124</v>
      </c>
      <c r="BL11" s="141">
        <v>179</v>
      </c>
      <c r="BM11" s="141">
        <v>415</v>
      </c>
      <c r="BN11" s="141">
        <v>172</v>
      </c>
      <c r="BO11" s="141">
        <v>243</v>
      </c>
      <c r="BP11" s="141">
        <v>104</v>
      </c>
      <c r="BQ11" s="141">
        <v>41</v>
      </c>
      <c r="BR11" s="141">
        <v>63</v>
      </c>
      <c r="BS11" s="141">
        <v>38</v>
      </c>
      <c r="BT11" s="141">
        <v>23</v>
      </c>
      <c r="BU11" s="151">
        <v>15</v>
      </c>
      <c r="BV11" s="149">
        <v>30</v>
      </c>
      <c r="BW11" s="139">
        <v>8</v>
      </c>
      <c r="BX11" s="139">
        <v>22</v>
      </c>
      <c r="BY11" s="140">
        <v>1</v>
      </c>
      <c r="BZ11" s="141">
        <v>0</v>
      </c>
      <c r="CA11" s="141">
        <v>1</v>
      </c>
      <c r="CB11" s="141">
        <v>3</v>
      </c>
      <c r="CC11" s="141">
        <v>1</v>
      </c>
      <c r="CD11" s="141">
        <v>2</v>
      </c>
      <c r="CE11" s="141">
        <v>2</v>
      </c>
      <c r="CF11" s="141">
        <v>1</v>
      </c>
      <c r="CG11" s="141">
        <v>1</v>
      </c>
      <c r="CH11" s="141">
        <v>2</v>
      </c>
      <c r="CI11" s="141">
        <v>0</v>
      </c>
      <c r="CJ11" s="141">
        <v>2</v>
      </c>
      <c r="CK11" s="141">
        <v>13</v>
      </c>
      <c r="CL11" s="141">
        <v>3</v>
      </c>
      <c r="CM11" s="141">
        <v>10</v>
      </c>
      <c r="CN11" s="141">
        <v>7</v>
      </c>
      <c r="CO11" s="141">
        <v>3</v>
      </c>
      <c r="CP11" s="141">
        <v>4</v>
      </c>
      <c r="CQ11" s="141">
        <v>2</v>
      </c>
      <c r="CR11" s="141">
        <v>0</v>
      </c>
      <c r="CS11" s="141">
        <v>2</v>
      </c>
    </row>
    <row r="12" spans="1:97" s="178" customFormat="1" ht="20.45" customHeight="1">
      <c r="A12" s="170" t="s">
        <v>367</v>
      </c>
      <c r="B12" s="139">
        <v>35225</v>
      </c>
      <c r="C12" s="139">
        <v>14970</v>
      </c>
      <c r="D12" s="139">
        <v>20255</v>
      </c>
      <c r="E12" s="141">
        <v>5483</v>
      </c>
      <c r="F12" s="141">
        <v>2008</v>
      </c>
      <c r="G12" s="141">
        <v>3475</v>
      </c>
      <c r="H12" s="141">
        <v>5775</v>
      </c>
      <c r="I12" s="141">
        <v>2049</v>
      </c>
      <c r="J12" s="141">
        <v>3726</v>
      </c>
      <c r="K12" s="141">
        <v>6532</v>
      </c>
      <c r="L12" s="141">
        <v>2809</v>
      </c>
      <c r="M12" s="141">
        <v>3723</v>
      </c>
      <c r="N12" s="141">
        <v>6162</v>
      </c>
      <c r="O12" s="141">
        <v>2819</v>
      </c>
      <c r="P12" s="141">
        <v>3343</v>
      </c>
      <c r="Q12" s="141">
        <v>3908</v>
      </c>
      <c r="R12" s="141">
        <v>1789</v>
      </c>
      <c r="S12" s="141">
        <v>2119</v>
      </c>
      <c r="T12" s="141">
        <v>3586</v>
      </c>
      <c r="U12" s="141">
        <v>1730</v>
      </c>
      <c r="V12" s="141">
        <v>1856</v>
      </c>
      <c r="W12" s="141">
        <v>3779</v>
      </c>
      <c r="X12" s="141">
        <v>1766</v>
      </c>
      <c r="Y12" s="151">
        <v>2013</v>
      </c>
      <c r="Z12" s="139">
        <v>33262</v>
      </c>
      <c r="AA12" s="139">
        <v>14241</v>
      </c>
      <c r="AB12" s="139">
        <v>19021</v>
      </c>
      <c r="AC12" s="141">
        <v>5252</v>
      </c>
      <c r="AD12" s="141">
        <v>1937</v>
      </c>
      <c r="AE12" s="141">
        <v>3315</v>
      </c>
      <c r="AF12" s="141">
        <v>5478</v>
      </c>
      <c r="AG12" s="141">
        <v>1971</v>
      </c>
      <c r="AH12" s="141">
        <v>3507</v>
      </c>
      <c r="AI12" s="141">
        <v>6113</v>
      </c>
      <c r="AJ12" s="141">
        <v>2668</v>
      </c>
      <c r="AK12" s="141">
        <v>3445</v>
      </c>
      <c r="AL12" s="141">
        <v>5711</v>
      </c>
      <c r="AM12" s="141">
        <v>2609</v>
      </c>
      <c r="AN12" s="141">
        <v>3102</v>
      </c>
      <c r="AO12" s="141">
        <v>3514</v>
      </c>
      <c r="AP12" s="141">
        <v>1634</v>
      </c>
      <c r="AQ12" s="141">
        <v>1880</v>
      </c>
      <c r="AR12" s="141">
        <v>3470</v>
      </c>
      <c r="AS12" s="141">
        <v>1680</v>
      </c>
      <c r="AT12" s="141">
        <v>1790</v>
      </c>
      <c r="AU12" s="141">
        <v>3724</v>
      </c>
      <c r="AV12" s="141">
        <v>1742</v>
      </c>
      <c r="AW12" s="151">
        <v>1982</v>
      </c>
      <c r="AX12" s="149">
        <v>3430</v>
      </c>
      <c r="AY12" s="139">
        <v>1276</v>
      </c>
      <c r="AZ12" s="139">
        <v>2154</v>
      </c>
      <c r="BA12" s="140">
        <v>325</v>
      </c>
      <c r="BB12" s="141">
        <v>98</v>
      </c>
      <c r="BC12" s="141">
        <v>227</v>
      </c>
      <c r="BD12" s="141">
        <v>495</v>
      </c>
      <c r="BE12" s="141">
        <v>140</v>
      </c>
      <c r="BF12" s="141">
        <v>355</v>
      </c>
      <c r="BG12" s="141">
        <v>679</v>
      </c>
      <c r="BH12" s="141">
        <v>236</v>
      </c>
      <c r="BI12" s="141">
        <v>443</v>
      </c>
      <c r="BJ12" s="141">
        <v>775</v>
      </c>
      <c r="BK12" s="141">
        <v>332</v>
      </c>
      <c r="BL12" s="141">
        <v>443</v>
      </c>
      <c r="BM12" s="141">
        <v>707</v>
      </c>
      <c r="BN12" s="141">
        <v>285</v>
      </c>
      <c r="BO12" s="141">
        <v>422</v>
      </c>
      <c r="BP12" s="141">
        <v>297</v>
      </c>
      <c r="BQ12" s="141">
        <v>125</v>
      </c>
      <c r="BR12" s="141">
        <v>172</v>
      </c>
      <c r="BS12" s="141">
        <v>152</v>
      </c>
      <c r="BT12" s="141">
        <v>60</v>
      </c>
      <c r="BU12" s="151">
        <v>92</v>
      </c>
      <c r="BV12" s="149">
        <v>106</v>
      </c>
      <c r="BW12" s="139">
        <v>68</v>
      </c>
      <c r="BX12" s="139">
        <v>38</v>
      </c>
      <c r="BY12" s="140">
        <v>2</v>
      </c>
      <c r="BZ12" s="141">
        <v>1</v>
      </c>
      <c r="CA12" s="141">
        <v>1</v>
      </c>
      <c r="CB12" s="141">
        <v>3</v>
      </c>
      <c r="CC12" s="141">
        <v>0</v>
      </c>
      <c r="CD12" s="141">
        <v>3</v>
      </c>
      <c r="CE12" s="141">
        <v>13</v>
      </c>
      <c r="CF12" s="141">
        <v>8</v>
      </c>
      <c r="CG12" s="141">
        <v>5</v>
      </c>
      <c r="CH12" s="141">
        <v>16</v>
      </c>
      <c r="CI12" s="141">
        <v>12</v>
      </c>
      <c r="CJ12" s="141">
        <v>4</v>
      </c>
      <c r="CK12" s="141">
        <v>34</v>
      </c>
      <c r="CL12" s="141">
        <v>26</v>
      </c>
      <c r="CM12" s="141">
        <v>8</v>
      </c>
      <c r="CN12" s="141">
        <v>25</v>
      </c>
      <c r="CO12" s="141">
        <v>15</v>
      </c>
      <c r="CP12" s="141">
        <v>10</v>
      </c>
      <c r="CQ12" s="141">
        <v>13</v>
      </c>
      <c r="CR12" s="141">
        <v>6</v>
      </c>
      <c r="CS12" s="141">
        <v>7</v>
      </c>
    </row>
    <row r="13" spans="1:97" s="178" customFormat="1" ht="20.45" customHeight="1">
      <c r="A13" s="170" t="s">
        <v>341</v>
      </c>
      <c r="B13" s="139">
        <v>25963</v>
      </c>
      <c r="C13" s="139">
        <v>10589</v>
      </c>
      <c r="D13" s="139">
        <v>15374</v>
      </c>
      <c r="E13" s="141">
        <v>3719</v>
      </c>
      <c r="F13" s="141">
        <v>1462</v>
      </c>
      <c r="G13" s="141">
        <v>2257</v>
      </c>
      <c r="H13" s="141">
        <v>4549</v>
      </c>
      <c r="I13" s="141">
        <v>1631</v>
      </c>
      <c r="J13" s="141">
        <v>2918</v>
      </c>
      <c r="K13" s="141">
        <v>5302</v>
      </c>
      <c r="L13" s="141">
        <v>1983</v>
      </c>
      <c r="M13" s="141">
        <v>3319</v>
      </c>
      <c r="N13" s="141">
        <v>4291</v>
      </c>
      <c r="O13" s="141">
        <v>1867</v>
      </c>
      <c r="P13" s="141">
        <v>2424</v>
      </c>
      <c r="Q13" s="141">
        <v>2726</v>
      </c>
      <c r="R13" s="141">
        <v>1168</v>
      </c>
      <c r="S13" s="141">
        <v>1558</v>
      </c>
      <c r="T13" s="141">
        <v>2668</v>
      </c>
      <c r="U13" s="141">
        <v>1208</v>
      </c>
      <c r="V13" s="141">
        <v>1460</v>
      </c>
      <c r="W13" s="141">
        <v>2708</v>
      </c>
      <c r="X13" s="141">
        <v>1270</v>
      </c>
      <c r="Y13" s="151">
        <v>1438</v>
      </c>
      <c r="Z13" s="139">
        <v>24235</v>
      </c>
      <c r="AA13" s="139">
        <v>9963</v>
      </c>
      <c r="AB13" s="139">
        <v>14272</v>
      </c>
      <c r="AC13" s="141">
        <v>3599</v>
      </c>
      <c r="AD13" s="141">
        <v>1430</v>
      </c>
      <c r="AE13" s="141">
        <v>2169</v>
      </c>
      <c r="AF13" s="141">
        <v>4280</v>
      </c>
      <c r="AG13" s="141">
        <v>1554</v>
      </c>
      <c r="AH13" s="141">
        <v>2726</v>
      </c>
      <c r="AI13" s="141">
        <v>4937</v>
      </c>
      <c r="AJ13" s="141">
        <v>1871</v>
      </c>
      <c r="AK13" s="141">
        <v>3066</v>
      </c>
      <c r="AL13" s="141">
        <v>3924</v>
      </c>
      <c r="AM13" s="141">
        <v>1693</v>
      </c>
      <c r="AN13" s="141">
        <v>2231</v>
      </c>
      <c r="AO13" s="141">
        <v>2341</v>
      </c>
      <c r="AP13" s="141">
        <v>1019</v>
      </c>
      <c r="AQ13" s="141">
        <v>1322</v>
      </c>
      <c r="AR13" s="141">
        <v>2505</v>
      </c>
      <c r="AS13" s="141">
        <v>1145</v>
      </c>
      <c r="AT13" s="141">
        <v>1360</v>
      </c>
      <c r="AU13" s="141">
        <v>2649</v>
      </c>
      <c r="AV13" s="141">
        <v>1251</v>
      </c>
      <c r="AW13" s="151">
        <v>1398</v>
      </c>
      <c r="AX13" s="149">
        <v>2985</v>
      </c>
      <c r="AY13" s="139">
        <v>1122</v>
      </c>
      <c r="AZ13" s="139">
        <v>1863</v>
      </c>
      <c r="BA13" s="140">
        <v>192</v>
      </c>
      <c r="BB13" s="141">
        <v>54</v>
      </c>
      <c r="BC13" s="141">
        <v>138</v>
      </c>
      <c r="BD13" s="141">
        <v>415</v>
      </c>
      <c r="BE13" s="141">
        <v>118</v>
      </c>
      <c r="BF13" s="141">
        <v>297</v>
      </c>
      <c r="BG13" s="141">
        <v>625</v>
      </c>
      <c r="BH13" s="141">
        <v>211</v>
      </c>
      <c r="BI13" s="141">
        <v>414</v>
      </c>
      <c r="BJ13" s="141">
        <v>663</v>
      </c>
      <c r="BK13" s="141">
        <v>294</v>
      </c>
      <c r="BL13" s="141">
        <v>369</v>
      </c>
      <c r="BM13" s="141">
        <v>666</v>
      </c>
      <c r="BN13" s="141">
        <v>258</v>
      </c>
      <c r="BO13" s="141">
        <v>408</v>
      </c>
      <c r="BP13" s="141">
        <v>306</v>
      </c>
      <c r="BQ13" s="141">
        <v>136</v>
      </c>
      <c r="BR13" s="141">
        <v>170</v>
      </c>
      <c r="BS13" s="141">
        <v>118</v>
      </c>
      <c r="BT13" s="141">
        <v>51</v>
      </c>
      <c r="BU13" s="151">
        <v>67</v>
      </c>
      <c r="BV13" s="149">
        <v>92</v>
      </c>
      <c r="BW13" s="139">
        <v>33</v>
      </c>
      <c r="BX13" s="139">
        <v>59</v>
      </c>
      <c r="BY13" s="140">
        <v>0</v>
      </c>
      <c r="BZ13" s="141">
        <v>0</v>
      </c>
      <c r="CA13" s="141">
        <v>0</v>
      </c>
      <c r="CB13" s="141">
        <v>0</v>
      </c>
      <c r="CC13" s="141">
        <v>0</v>
      </c>
      <c r="CD13" s="141">
        <v>0</v>
      </c>
      <c r="CE13" s="141">
        <v>7</v>
      </c>
      <c r="CF13" s="141">
        <v>1</v>
      </c>
      <c r="CG13" s="141">
        <v>6</v>
      </c>
      <c r="CH13" s="141">
        <v>12</v>
      </c>
      <c r="CI13" s="141">
        <v>4</v>
      </c>
      <c r="CJ13" s="141">
        <v>8</v>
      </c>
      <c r="CK13" s="141">
        <v>20</v>
      </c>
      <c r="CL13" s="141">
        <v>8</v>
      </c>
      <c r="CM13" s="141">
        <v>12</v>
      </c>
      <c r="CN13" s="141">
        <v>25</v>
      </c>
      <c r="CO13" s="141">
        <v>10</v>
      </c>
      <c r="CP13" s="141">
        <v>15</v>
      </c>
      <c r="CQ13" s="141">
        <v>28</v>
      </c>
      <c r="CR13" s="141">
        <v>10</v>
      </c>
      <c r="CS13" s="141">
        <v>18</v>
      </c>
    </row>
    <row r="14" spans="1:97" s="178" customFormat="1" ht="20.45" customHeight="1">
      <c r="A14" s="170" t="s">
        <v>368</v>
      </c>
      <c r="B14" s="139">
        <v>35586</v>
      </c>
      <c r="C14" s="139">
        <v>14990</v>
      </c>
      <c r="D14" s="139">
        <v>20596</v>
      </c>
      <c r="E14" s="141">
        <v>7928</v>
      </c>
      <c r="F14" s="141">
        <v>2984</v>
      </c>
      <c r="G14" s="141">
        <v>4944</v>
      </c>
      <c r="H14" s="141">
        <v>7830</v>
      </c>
      <c r="I14" s="141">
        <v>2946</v>
      </c>
      <c r="J14" s="141">
        <v>4884</v>
      </c>
      <c r="K14" s="141">
        <v>7182</v>
      </c>
      <c r="L14" s="141">
        <v>3028</v>
      </c>
      <c r="M14" s="141">
        <v>4154</v>
      </c>
      <c r="N14" s="141">
        <v>4461</v>
      </c>
      <c r="O14" s="141">
        <v>2171</v>
      </c>
      <c r="P14" s="141">
        <v>2290</v>
      </c>
      <c r="Q14" s="141">
        <v>2601</v>
      </c>
      <c r="R14" s="141">
        <v>1227</v>
      </c>
      <c r="S14" s="141">
        <v>1374</v>
      </c>
      <c r="T14" s="141">
        <v>2564</v>
      </c>
      <c r="U14" s="141">
        <v>1202</v>
      </c>
      <c r="V14" s="141">
        <v>1362</v>
      </c>
      <c r="W14" s="141">
        <v>3020</v>
      </c>
      <c r="X14" s="141">
        <v>1432</v>
      </c>
      <c r="Y14" s="151">
        <v>1588</v>
      </c>
      <c r="Z14" s="139">
        <v>33886</v>
      </c>
      <c r="AA14" s="139">
        <v>14359</v>
      </c>
      <c r="AB14" s="139">
        <v>19527</v>
      </c>
      <c r="AC14" s="141">
        <v>7673</v>
      </c>
      <c r="AD14" s="141">
        <v>2898</v>
      </c>
      <c r="AE14" s="141">
        <v>4775</v>
      </c>
      <c r="AF14" s="141">
        <v>7461</v>
      </c>
      <c r="AG14" s="141">
        <v>2824</v>
      </c>
      <c r="AH14" s="141">
        <v>4637</v>
      </c>
      <c r="AI14" s="141">
        <v>6750</v>
      </c>
      <c r="AJ14" s="141">
        <v>2877</v>
      </c>
      <c r="AK14" s="141">
        <v>3873</v>
      </c>
      <c r="AL14" s="141">
        <v>4167</v>
      </c>
      <c r="AM14" s="141">
        <v>2049</v>
      </c>
      <c r="AN14" s="141">
        <v>2118</v>
      </c>
      <c r="AO14" s="141">
        <v>2353</v>
      </c>
      <c r="AP14" s="141">
        <v>1112</v>
      </c>
      <c r="AQ14" s="141">
        <v>1241</v>
      </c>
      <c r="AR14" s="141">
        <v>2495</v>
      </c>
      <c r="AS14" s="141">
        <v>1178</v>
      </c>
      <c r="AT14" s="141">
        <v>1317</v>
      </c>
      <c r="AU14" s="141">
        <v>2987</v>
      </c>
      <c r="AV14" s="141">
        <v>1421</v>
      </c>
      <c r="AW14" s="151">
        <v>1566</v>
      </c>
      <c r="AX14" s="149">
        <v>2859</v>
      </c>
      <c r="AY14" s="139">
        <v>1114</v>
      </c>
      <c r="AZ14" s="139">
        <v>1745</v>
      </c>
      <c r="BA14" s="140">
        <v>371</v>
      </c>
      <c r="BB14" s="141">
        <v>126</v>
      </c>
      <c r="BC14" s="141">
        <v>245</v>
      </c>
      <c r="BD14" s="141">
        <v>609</v>
      </c>
      <c r="BE14" s="141">
        <v>214</v>
      </c>
      <c r="BF14" s="141">
        <v>395</v>
      </c>
      <c r="BG14" s="141">
        <v>702</v>
      </c>
      <c r="BH14" s="141">
        <v>266</v>
      </c>
      <c r="BI14" s="141">
        <v>436</v>
      </c>
      <c r="BJ14" s="141">
        <v>476</v>
      </c>
      <c r="BK14" s="141">
        <v>203</v>
      </c>
      <c r="BL14" s="141">
        <v>273</v>
      </c>
      <c r="BM14" s="141">
        <v>451</v>
      </c>
      <c r="BN14" s="141">
        <v>205</v>
      </c>
      <c r="BO14" s="141">
        <v>246</v>
      </c>
      <c r="BP14" s="141">
        <v>162</v>
      </c>
      <c r="BQ14" s="141">
        <v>61</v>
      </c>
      <c r="BR14" s="141">
        <v>101</v>
      </c>
      <c r="BS14" s="141">
        <v>88</v>
      </c>
      <c r="BT14" s="141">
        <v>39</v>
      </c>
      <c r="BU14" s="151">
        <v>49</v>
      </c>
      <c r="BV14" s="149">
        <v>164</v>
      </c>
      <c r="BW14" s="139">
        <v>61</v>
      </c>
      <c r="BX14" s="139">
        <v>103</v>
      </c>
      <c r="BY14" s="140">
        <v>9</v>
      </c>
      <c r="BZ14" s="141">
        <v>2</v>
      </c>
      <c r="CA14" s="141">
        <v>7</v>
      </c>
      <c r="CB14" s="141">
        <v>13</v>
      </c>
      <c r="CC14" s="141">
        <v>2</v>
      </c>
      <c r="CD14" s="141">
        <v>11</v>
      </c>
      <c r="CE14" s="141">
        <v>23</v>
      </c>
      <c r="CF14" s="141">
        <v>9</v>
      </c>
      <c r="CG14" s="141">
        <v>14</v>
      </c>
      <c r="CH14" s="141">
        <v>32</v>
      </c>
      <c r="CI14" s="141">
        <v>14</v>
      </c>
      <c r="CJ14" s="141">
        <v>18</v>
      </c>
      <c r="CK14" s="141">
        <v>35</v>
      </c>
      <c r="CL14" s="141">
        <v>13</v>
      </c>
      <c r="CM14" s="141">
        <v>22</v>
      </c>
      <c r="CN14" s="141">
        <v>26</v>
      </c>
      <c r="CO14" s="141">
        <v>10</v>
      </c>
      <c r="CP14" s="141">
        <v>16</v>
      </c>
      <c r="CQ14" s="141">
        <v>26</v>
      </c>
      <c r="CR14" s="141">
        <v>11</v>
      </c>
      <c r="CS14" s="141">
        <v>15</v>
      </c>
    </row>
    <row r="15" spans="1:97" s="178" customFormat="1" ht="20.45" customHeight="1">
      <c r="A15" s="170" t="s">
        <v>342</v>
      </c>
      <c r="B15" s="139">
        <v>4766</v>
      </c>
      <c r="C15" s="139">
        <v>2040</v>
      </c>
      <c r="D15" s="139">
        <v>2726</v>
      </c>
      <c r="E15" s="141">
        <v>593</v>
      </c>
      <c r="F15" s="141">
        <v>229</v>
      </c>
      <c r="G15" s="141">
        <v>364</v>
      </c>
      <c r="H15" s="141">
        <v>644</v>
      </c>
      <c r="I15" s="141">
        <v>229</v>
      </c>
      <c r="J15" s="141">
        <v>415</v>
      </c>
      <c r="K15" s="141">
        <v>1050</v>
      </c>
      <c r="L15" s="141">
        <v>429</v>
      </c>
      <c r="M15" s="141">
        <v>621</v>
      </c>
      <c r="N15" s="141">
        <v>809</v>
      </c>
      <c r="O15" s="141">
        <v>365</v>
      </c>
      <c r="P15" s="141">
        <v>444</v>
      </c>
      <c r="Q15" s="141">
        <v>598</v>
      </c>
      <c r="R15" s="141">
        <v>276</v>
      </c>
      <c r="S15" s="141">
        <v>322</v>
      </c>
      <c r="T15" s="141">
        <v>505</v>
      </c>
      <c r="U15" s="141">
        <v>248</v>
      </c>
      <c r="V15" s="141">
        <v>257</v>
      </c>
      <c r="W15" s="141">
        <v>567</v>
      </c>
      <c r="X15" s="141">
        <v>264</v>
      </c>
      <c r="Y15" s="151">
        <v>303</v>
      </c>
      <c r="Z15" s="139">
        <v>4069</v>
      </c>
      <c r="AA15" s="139">
        <v>1786</v>
      </c>
      <c r="AB15" s="139">
        <v>2283</v>
      </c>
      <c r="AC15" s="141">
        <v>548</v>
      </c>
      <c r="AD15" s="141">
        <v>219</v>
      </c>
      <c r="AE15" s="141">
        <v>329</v>
      </c>
      <c r="AF15" s="141">
        <v>546</v>
      </c>
      <c r="AG15" s="141">
        <v>204</v>
      </c>
      <c r="AH15" s="141">
        <v>342</v>
      </c>
      <c r="AI15" s="141">
        <v>919</v>
      </c>
      <c r="AJ15" s="141">
        <v>384</v>
      </c>
      <c r="AK15" s="141">
        <v>535</v>
      </c>
      <c r="AL15" s="141">
        <v>640</v>
      </c>
      <c r="AM15" s="141">
        <v>297</v>
      </c>
      <c r="AN15" s="141">
        <v>343</v>
      </c>
      <c r="AO15" s="141">
        <v>423</v>
      </c>
      <c r="AP15" s="141">
        <v>205</v>
      </c>
      <c r="AQ15" s="141">
        <v>218</v>
      </c>
      <c r="AR15" s="141">
        <v>447</v>
      </c>
      <c r="AS15" s="141">
        <v>225</v>
      </c>
      <c r="AT15" s="141">
        <v>222</v>
      </c>
      <c r="AU15" s="141">
        <v>546</v>
      </c>
      <c r="AV15" s="141">
        <v>252</v>
      </c>
      <c r="AW15" s="151">
        <v>294</v>
      </c>
      <c r="AX15" s="149">
        <v>851</v>
      </c>
      <c r="AY15" s="139">
        <v>315</v>
      </c>
      <c r="AZ15" s="139">
        <v>536</v>
      </c>
      <c r="BA15" s="140">
        <v>54</v>
      </c>
      <c r="BB15" s="141">
        <v>12</v>
      </c>
      <c r="BC15" s="141">
        <v>42</v>
      </c>
      <c r="BD15" s="141">
        <v>115</v>
      </c>
      <c r="BE15" s="141">
        <v>33</v>
      </c>
      <c r="BF15" s="141">
        <v>82</v>
      </c>
      <c r="BG15" s="141">
        <v>154</v>
      </c>
      <c r="BH15" s="141">
        <v>56</v>
      </c>
      <c r="BI15" s="141">
        <v>98</v>
      </c>
      <c r="BJ15" s="141">
        <v>197</v>
      </c>
      <c r="BK15" s="141">
        <v>82</v>
      </c>
      <c r="BL15" s="141">
        <v>115</v>
      </c>
      <c r="BM15" s="141">
        <v>225</v>
      </c>
      <c r="BN15" s="141">
        <v>90</v>
      </c>
      <c r="BO15" s="141">
        <v>135</v>
      </c>
      <c r="BP15" s="141">
        <v>79</v>
      </c>
      <c r="BQ15" s="141">
        <v>27</v>
      </c>
      <c r="BR15" s="141">
        <v>52</v>
      </c>
      <c r="BS15" s="141">
        <v>27</v>
      </c>
      <c r="BT15" s="141">
        <v>15</v>
      </c>
      <c r="BU15" s="151">
        <v>12</v>
      </c>
      <c r="BV15" s="149">
        <v>9</v>
      </c>
      <c r="BW15" s="139">
        <v>5</v>
      </c>
      <c r="BX15" s="139">
        <v>4</v>
      </c>
      <c r="BY15" s="140">
        <v>0</v>
      </c>
      <c r="BZ15" s="141">
        <v>0</v>
      </c>
      <c r="CA15" s="141">
        <v>0</v>
      </c>
      <c r="CB15" s="141">
        <v>1</v>
      </c>
      <c r="CC15" s="141">
        <v>0</v>
      </c>
      <c r="CD15" s="141">
        <v>1</v>
      </c>
      <c r="CE15" s="141">
        <v>0</v>
      </c>
      <c r="CF15" s="141">
        <v>0</v>
      </c>
      <c r="CG15" s="141">
        <v>0</v>
      </c>
      <c r="CH15" s="141">
        <v>3</v>
      </c>
      <c r="CI15" s="141">
        <v>1</v>
      </c>
      <c r="CJ15" s="141">
        <v>2</v>
      </c>
      <c r="CK15" s="141">
        <v>2</v>
      </c>
      <c r="CL15" s="141">
        <v>2</v>
      </c>
      <c r="CM15" s="141">
        <v>0</v>
      </c>
      <c r="CN15" s="141">
        <v>1</v>
      </c>
      <c r="CO15" s="141">
        <v>0</v>
      </c>
      <c r="CP15" s="141">
        <v>1</v>
      </c>
      <c r="CQ15" s="141">
        <v>2</v>
      </c>
      <c r="CR15" s="141">
        <v>2</v>
      </c>
      <c r="CS15" s="141">
        <v>0</v>
      </c>
    </row>
    <row r="16" spans="1:97" s="178" customFormat="1" ht="20.45" customHeight="1">
      <c r="A16" s="170" t="s">
        <v>343</v>
      </c>
      <c r="B16" s="139">
        <v>4466</v>
      </c>
      <c r="C16" s="139">
        <v>2026</v>
      </c>
      <c r="D16" s="139">
        <v>2440</v>
      </c>
      <c r="E16" s="141">
        <v>286</v>
      </c>
      <c r="F16" s="141">
        <v>130</v>
      </c>
      <c r="G16" s="141">
        <v>156</v>
      </c>
      <c r="H16" s="141">
        <v>488</v>
      </c>
      <c r="I16" s="141">
        <v>189</v>
      </c>
      <c r="J16" s="141">
        <v>299</v>
      </c>
      <c r="K16" s="141">
        <v>947</v>
      </c>
      <c r="L16" s="141">
        <v>386</v>
      </c>
      <c r="M16" s="141">
        <v>561</v>
      </c>
      <c r="N16" s="141">
        <v>798</v>
      </c>
      <c r="O16" s="141">
        <v>375</v>
      </c>
      <c r="P16" s="141">
        <v>423</v>
      </c>
      <c r="Q16" s="141">
        <v>851</v>
      </c>
      <c r="R16" s="141">
        <v>394</v>
      </c>
      <c r="S16" s="141">
        <v>457</v>
      </c>
      <c r="T16" s="141">
        <v>574</v>
      </c>
      <c r="U16" s="141">
        <v>284</v>
      </c>
      <c r="V16" s="141">
        <v>290</v>
      </c>
      <c r="W16" s="141">
        <v>522</v>
      </c>
      <c r="X16" s="141">
        <v>268</v>
      </c>
      <c r="Y16" s="151">
        <v>254</v>
      </c>
      <c r="Z16" s="139">
        <v>4062</v>
      </c>
      <c r="AA16" s="139">
        <v>1870</v>
      </c>
      <c r="AB16" s="139">
        <v>2192</v>
      </c>
      <c r="AC16" s="141">
        <v>270</v>
      </c>
      <c r="AD16" s="141">
        <v>125</v>
      </c>
      <c r="AE16" s="141">
        <v>145</v>
      </c>
      <c r="AF16" s="141">
        <v>453</v>
      </c>
      <c r="AG16" s="141">
        <v>182</v>
      </c>
      <c r="AH16" s="141">
        <v>271</v>
      </c>
      <c r="AI16" s="141">
        <v>875</v>
      </c>
      <c r="AJ16" s="141">
        <v>359</v>
      </c>
      <c r="AK16" s="141">
        <v>516</v>
      </c>
      <c r="AL16" s="141">
        <v>705</v>
      </c>
      <c r="AM16" s="141">
        <v>342</v>
      </c>
      <c r="AN16" s="141">
        <v>363</v>
      </c>
      <c r="AO16" s="141">
        <v>706</v>
      </c>
      <c r="AP16" s="141">
        <v>326</v>
      </c>
      <c r="AQ16" s="141">
        <v>380</v>
      </c>
      <c r="AR16" s="141">
        <v>540</v>
      </c>
      <c r="AS16" s="141">
        <v>271</v>
      </c>
      <c r="AT16" s="141">
        <v>269</v>
      </c>
      <c r="AU16" s="141">
        <v>513</v>
      </c>
      <c r="AV16" s="141">
        <v>265</v>
      </c>
      <c r="AW16" s="151">
        <v>248</v>
      </c>
      <c r="AX16" s="149">
        <v>550</v>
      </c>
      <c r="AY16" s="139">
        <v>224</v>
      </c>
      <c r="AZ16" s="139">
        <v>326</v>
      </c>
      <c r="BA16" s="140">
        <v>18</v>
      </c>
      <c r="BB16" s="141">
        <v>7</v>
      </c>
      <c r="BC16" s="141">
        <v>11</v>
      </c>
      <c r="BD16" s="141">
        <v>47</v>
      </c>
      <c r="BE16" s="141">
        <v>14</v>
      </c>
      <c r="BF16" s="141">
        <v>33</v>
      </c>
      <c r="BG16" s="141">
        <v>92</v>
      </c>
      <c r="BH16" s="141">
        <v>32</v>
      </c>
      <c r="BI16" s="141">
        <v>60</v>
      </c>
      <c r="BJ16" s="141">
        <v>128</v>
      </c>
      <c r="BK16" s="141">
        <v>44</v>
      </c>
      <c r="BL16" s="141">
        <v>84</v>
      </c>
      <c r="BM16" s="141">
        <v>191</v>
      </c>
      <c r="BN16" s="141">
        <v>93</v>
      </c>
      <c r="BO16" s="141">
        <v>98</v>
      </c>
      <c r="BP16" s="141">
        <v>60</v>
      </c>
      <c r="BQ16" s="141">
        <v>28</v>
      </c>
      <c r="BR16" s="141">
        <v>32</v>
      </c>
      <c r="BS16" s="141">
        <v>14</v>
      </c>
      <c r="BT16" s="141">
        <v>6</v>
      </c>
      <c r="BU16" s="151">
        <v>8</v>
      </c>
      <c r="BV16" s="149">
        <v>24</v>
      </c>
      <c r="BW16" s="139">
        <v>10</v>
      </c>
      <c r="BX16" s="139">
        <v>14</v>
      </c>
      <c r="BY16" s="140">
        <v>2</v>
      </c>
      <c r="BZ16" s="141">
        <v>1</v>
      </c>
      <c r="CA16" s="141">
        <v>1</v>
      </c>
      <c r="CB16" s="141">
        <v>1</v>
      </c>
      <c r="CC16" s="141">
        <v>1</v>
      </c>
      <c r="CD16" s="141">
        <v>0</v>
      </c>
      <c r="CE16" s="141">
        <v>1</v>
      </c>
      <c r="CF16" s="141">
        <v>1</v>
      </c>
      <c r="CG16" s="141">
        <v>0</v>
      </c>
      <c r="CH16" s="141">
        <v>4</v>
      </c>
      <c r="CI16" s="141">
        <v>1</v>
      </c>
      <c r="CJ16" s="141">
        <v>3</v>
      </c>
      <c r="CK16" s="141">
        <v>7</v>
      </c>
      <c r="CL16" s="141">
        <v>4</v>
      </c>
      <c r="CM16" s="141">
        <v>3</v>
      </c>
      <c r="CN16" s="141">
        <v>5</v>
      </c>
      <c r="CO16" s="141">
        <v>2</v>
      </c>
      <c r="CP16" s="141">
        <v>3</v>
      </c>
      <c r="CQ16" s="141">
        <v>4</v>
      </c>
      <c r="CR16" s="141">
        <v>0</v>
      </c>
      <c r="CS16" s="141">
        <v>4</v>
      </c>
    </row>
    <row r="17" spans="1:97" s="178" customFormat="1" ht="20.45" customHeight="1">
      <c r="A17" s="170" t="s">
        <v>344</v>
      </c>
      <c r="B17" s="139">
        <v>6147</v>
      </c>
      <c r="C17" s="139">
        <v>2734</v>
      </c>
      <c r="D17" s="139">
        <v>3413</v>
      </c>
      <c r="E17" s="141">
        <v>759</v>
      </c>
      <c r="F17" s="141">
        <v>302</v>
      </c>
      <c r="G17" s="141">
        <v>457</v>
      </c>
      <c r="H17" s="141">
        <v>955</v>
      </c>
      <c r="I17" s="141">
        <v>354</v>
      </c>
      <c r="J17" s="141">
        <v>601</v>
      </c>
      <c r="K17" s="141">
        <v>1225</v>
      </c>
      <c r="L17" s="141">
        <v>536</v>
      </c>
      <c r="M17" s="141">
        <v>689</v>
      </c>
      <c r="N17" s="141">
        <v>1308</v>
      </c>
      <c r="O17" s="141">
        <v>611</v>
      </c>
      <c r="P17" s="141">
        <v>697</v>
      </c>
      <c r="Q17" s="141">
        <v>787</v>
      </c>
      <c r="R17" s="141">
        <v>349</v>
      </c>
      <c r="S17" s="141">
        <v>438</v>
      </c>
      <c r="T17" s="141">
        <v>568</v>
      </c>
      <c r="U17" s="141">
        <v>286</v>
      </c>
      <c r="V17" s="141">
        <v>282</v>
      </c>
      <c r="W17" s="141">
        <v>545</v>
      </c>
      <c r="X17" s="141">
        <v>296</v>
      </c>
      <c r="Y17" s="151">
        <v>249</v>
      </c>
      <c r="Z17" s="139">
        <v>5853</v>
      </c>
      <c r="AA17" s="139">
        <v>2623</v>
      </c>
      <c r="AB17" s="139">
        <v>3230</v>
      </c>
      <c r="AC17" s="141">
        <v>739</v>
      </c>
      <c r="AD17" s="141">
        <v>297</v>
      </c>
      <c r="AE17" s="141">
        <v>442</v>
      </c>
      <c r="AF17" s="141">
        <v>915</v>
      </c>
      <c r="AG17" s="141">
        <v>346</v>
      </c>
      <c r="AH17" s="141">
        <v>569</v>
      </c>
      <c r="AI17" s="141">
        <v>1164</v>
      </c>
      <c r="AJ17" s="141">
        <v>513</v>
      </c>
      <c r="AK17" s="141">
        <v>651</v>
      </c>
      <c r="AL17" s="141">
        <v>1223</v>
      </c>
      <c r="AM17" s="141">
        <v>578</v>
      </c>
      <c r="AN17" s="141">
        <v>645</v>
      </c>
      <c r="AO17" s="141">
        <v>716</v>
      </c>
      <c r="AP17" s="141">
        <v>317</v>
      </c>
      <c r="AQ17" s="141">
        <v>399</v>
      </c>
      <c r="AR17" s="141">
        <v>557</v>
      </c>
      <c r="AS17" s="141">
        <v>279</v>
      </c>
      <c r="AT17" s="141">
        <v>278</v>
      </c>
      <c r="AU17" s="141">
        <v>539</v>
      </c>
      <c r="AV17" s="141">
        <v>293</v>
      </c>
      <c r="AW17" s="151">
        <v>246</v>
      </c>
      <c r="AX17" s="149">
        <v>427</v>
      </c>
      <c r="AY17" s="139">
        <v>169</v>
      </c>
      <c r="AZ17" s="139">
        <v>258</v>
      </c>
      <c r="BA17" s="140">
        <v>27</v>
      </c>
      <c r="BB17" s="141">
        <v>9</v>
      </c>
      <c r="BC17" s="141">
        <v>18</v>
      </c>
      <c r="BD17" s="141">
        <v>55</v>
      </c>
      <c r="BE17" s="141">
        <v>15</v>
      </c>
      <c r="BF17" s="141">
        <v>40</v>
      </c>
      <c r="BG17" s="141">
        <v>68</v>
      </c>
      <c r="BH17" s="141">
        <v>27</v>
      </c>
      <c r="BI17" s="141">
        <v>41</v>
      </c>
      <c r="BJ17" s="141">
        <v>123</v>
      </c>
      <c r="BK17" s="141">
        <v>53</v>
      </c>
      <c r="BL17" s="141">
        <v>70</v>
      </c>
      <c r="BM17" s="141">
        <v>120</v>
      </c>
      <c r="BN17" s="141">
        <v>45</v>
      </c>
      <c r="BO17" s="141">
        <v>75</v>
      </c>
      <c r="BP17" s="141">
        <v>21</v>
      </c>
      <c r="BQ17" s="141">
        <v>13</v>
      </c>
      <c r="BR17" s="141">
        <v>8</v>
      </c>
      <c r="BS17" s="141">
        <v>13</v>
      </c>
      <c r="BT17" s="141">
        <v>7</v>
      </c>
      <c r="BU17" s="151">
        <v>6</v>
      </c>
      <c r="BV17" s="149">
        <v>25</v>
      </c>
      <c r="BW17" s="139">
        <v>12</v>
      </c>
      <c r="BX17" s="139">
        <v>13</v>
      </c>
      <c r="BY17" s="140">
        <v>0</v>
      </c>
      <c r="BZ17" s="141">
        <v>0</v>
      </c>
      <c r="CA17" s="141">
        <v>0</v>
      </c>
      <c r="CB17" s="141">
        <v>1</v>
      </c>
      <c r="CC17" s="141">
        <v>0</v>
      </c>
      <c r="CD17" s="141">
        <v>1</v>
      </c>
      <c r="CE17" s="141">
        <v>3</v>
      </c>
      <c r="CF17" s="141">
        <v>2</v>
      </c>
      <c r="CG17" s="141">
        <v>1</v>
      </c>
      <c r="CH17" s="141">
        <v>7</v>
      </c>
      <c r="CI17" s="141">
        <v>1</v>
      </c>
      <c r="CJ17" s="141">
        <v>6</v>
      </c>
      <c r="CK17" s="141">
        <v>8</v>
      </c>
      <c r="CL17" s="141">
        <v>3</v>
      </c>
      <c r="CM17" s="141">
        <v>5</v>
      </c>
      <c r="CN17" s="141">
        <v>5</v>
      </c>
      <c r="CO17" s="141">
        <v>5</v>
      </c>
      <c r="CP17" s="141">
        <v>0</v>
      </c>
      <c r="CQ17" s="141">
        <v>1</v>
      </c>
      <c r="CR17" s="141">
        <v>1</v>
      </c>
      <c r="CS17" s="141">
        <v>0</v>
      </c>
    </row>
    <row r="18" spans="1:97" s="178" customFormat="1" ht="20.45" customHeight="1">
      <c r="A18" s="170" t="s">
        <v>345</v>
      </c>
      <c r="B18" s="139">
        <v>16303</v>
      </c>
      <c r="C18" s="139">
        <v>6572</v>
      </c>
      <c r="D18" s="139">
        <v>9731</v>
      </c>
      <c r="E18" s="141">
        <v>2751</v>
      </c>
      <c r="F18" s="141">
        <v>1060</v>
      </c>
      <c r="G18" s="141">
        <v>1691</v>
      </c>
      <c r="H18" s="141">
        <v>3259</v>
      </c>
      <c r="I18" s="141">
        <v>1130</v>
      </c>
      <c r="J18" s="141">
        <v>2129</v>
      </c>
      <c r="K18" s="141">
        <v>3460</v>
      </c>
      <c r="L18" s="141">
        <v>1337</v>
      </c>
      <c r="M18" s="141">
        <v>2123</v>
      </c>
      <c r="N18" s="141">
        <v>2692</v>
      </c>
      <c r="O18" s="141">
        <v>1141</v>
      </c>
      <c r="P18" s="141">
        <v>1551</v>
      </c>
      <c r="Q18" s="141">
        <v>1576</v>
      </c>
      <c r="R18" s="141">
        <v>693</v>
      </c>
      <c r="S18" s="141">
        <v>883</v>
      </c>
      <c r="T18" s="141">
        <v>1332</v>
      </c>
      <c r="U18" s="141">
        <v>606</v>
      </c>
      <c r="V18" s="141">
        <v>726</v>
      </c>
      <c r="W18" s="141">
        <v>1233</v>
      </c>
      <c r="X18" s="141">
        <v>605</v>
      </c>
      <c r="Y18" s="151">
        <v>628</v>
      </c>
      <c r="Z18" s="139">
        <v>15544</v>
      </c>
      <c r="AA18" s="139">
        <v>6312</v>
      </c>
      <c r="AB18" s="139">
        <v>9232</v>
      </c>
      <c r="AC18" s="141">
        <v>2653</v>
      </c>
      <c r="AD18" s="141">
        <v>1031</v>
      </c>
      <c r="AE18" s="141">
        <v>1622</v>
      </c>
      <c r="AF18" s="141">
        <v>3105</v>
      </c>
      <c r="AG18" s="141">
        <v>1083</v>
      </c>
      <c r="AH18" s="141">
        <v>2022</v>
      </c>
      <c r="AI18" s="141">
        <v>3278</v>
      </c>
      <c r="AJ18" s="141">
        <v>1273</v>
      </c>
      <c r="AK18" s="141">
        <v>2005</v>
      </c>
      <c r="AL18" s="141">
        <v>2556</v>
      </c>
      <c r="AM18" s="141">
        <v>1093</v>
      </c>
      <c r="AN18" s="141">
        <v>1463</v>
      </c>
      <c r="AO18" s="141">
        <v>1439</v>
      </c>
      <c r="AP18" s="141">
        <v>648</v>
      </c>
      <c r="AQ18" s="141">
        <v>791</v>
      </c>
      <c r="AR18" s="141">
        <v>1290</v>
      </c>
      <c r="AS18" s="141">
        <v>584</v>
      </c>
      <c r="AT18" s="141">
        <v>706</v>
      </c>
      <c r="AU18" s="141">
        <v>1223</v>
      </c>
      <c r="AV18" s="141">
        <v>600</v>
      </c>
      <c r="AW18" s="151">
        <v>623</v>
      </c>
      <c r="AX18" s="149">
        <v>1202</v>
      </c>
      <c r="AY18" s="139">
        <v>411</v>
      </c>
      <c r="AZ18" s="139">
        <v>791</v>
      </c>
      <c r="BA18" s="140">
        <v>136</v>
      </c>
      <c r="BB18" s="141">
        <v>37</v>
      </c>
      <c r="BC18" s="141">
        <v>99</v>
      </c>
      <c r="BD18" s="141">
        <v>225</v>
      </c>
      <c r="BE18" s="141">
        <v>71</v>
      </c>
      <c r="BF18" s="141">
        <v>154</v>
      </c>
      <c r="BG18" s="141">
        <v>290</v>
      </c>
      <c r="BH18" s="141">
        <v>101</v>
      </c>
      <c r="BI18" s="141">
        <v>189</v>
      </c>
      <c r="BJ18" s="141">
        <v>232</v>
      </c>
      <c r="BK18" s="141">
        <v>80</v>
      </c>
      <c r="BL18" s="141">
        <v>152</v>
      </c>
      <c r="BM18" s="141">
        <v>237</v>
      </c>
      <c r="BN18" s="141">
        <v>83</v>
      </c>
      <c r="BO18" s="141">
        <v>154</v>
      </c>
      <c r="BP18" s="141">
        <v>61</v>
      </c>
      <c r="BQ18" s="141">
        <v>29</v>
      </c>
      <c r="BR18" s="141">
        <v>32</v>
      </c>
      <c r="BS18" s="141">
        <v>21</v>
      </c>
      <c r="BT18" s="141">
        <v>10</v>
      </c>
      <c r="BU18" s="151">
        <v>11</v>
      </c>
      <c r="BV18" s="149">
        <v>63</v>
      </c>
      <c r="BW18" s="139">
        <v>21</v>
      </c>
      <c r="BX18" s="139">
        <v>42</v>
      </c>
      <c r="BY18" s="140">
        <v>0</v>
      </c>
      <c r="BZ18" s="141">
        <v>0</v>
      </c>
      <c r="CA18" s="141">
        <v>0</v>
      </c>
      <c r="CB18" s="141">
        <v>1</v>
      </c>
      <c r="CC18" s="141">
        <v>0</v>
      </c>
      <c r="CD18" s="141">
        <v>1</v>
      </c>
      <c r="CE18" s="141">
        <v>9</v>
      </c>
      <c r="CF18" s="141">
        <v>3</v>
      </c>
      <c r="CG18" s="141">
        <v>6</v>
      </c>
      <c r="CH18" s="141">
        <v>11</v>
      </c>
      <c r="CI18" s="141">
        <v>6</v>
      </c>
      <c r="CJ18" s="141">
        <v>5</v>
      </c>
      <c r="CK18" s="141">
        <v>15</v>
      </c>
      <c r="CL18" s="141">
        <v>4</v>
      </c>
      <c r="CM18" s="141">
        <v>11</v>
      </c>
      <c r="CN18" s="141">
        <v>19</v>
      </c>
      <c r="CO18" s="141">
        <v>5</v>
      </c>
      <c r="CP18" s="141">
        <v>14</v>
      </c>
      <c r="CQ18" s="141">
        <v>8</v>
      </c>
      <c r="CR18" s="141">
        <v>3</v>
      </c>
      <c r="CS18" s="141">
        <v>5</v>
      </c>
    </row>
    <row r="19" spans="1:97" s="178" customFormat="1" ht="20.45" customHeight="1">
      <c r="A19" s="170" t="s">
        <v>346</v>
      </c>
      <c r="B19" s="139">
        <v>10987</v>
      </c>
      <c r="C19" s="139">
        <v>4622</v>
      </c>
      <c r="D19" s="139">
        <v>6365</v>
      </c>
      <c r="E19" s="141">
        <v>2843</v>
      </c>
      <c r="F19" s="141">
        <v>1096</v>
      </c>
      <c r="G19" s="141">
        <v>1747</v>
      </c>
      <c r="H19" s="141">
        <v>2236</v>
      </c>
      <c r="I19" s="141">
        <v>849</v>
      </c>
      <c r="J19" s="141">
        <v>1387</v>
      </c>
      <c r="K19" s="141">
        <v>2011</v>
      </c>
      <c r="L19" s="141">
        <v>891</v>
      </c>
      <c r="M19" s="141">
        <v>1120</v>
      </c>
      <c r="N19" s="141">
        <v>1655</v>
      </c>
      <c r="O19" s="141">
        <v>749</v>
      </c>
      <c r="P19" s="141">
        <v>906</v>
      </c>
      <c r="Q19" s="141">
        <v>887</v>
      </c>
      <c r="R19" s="141">
        <v>376</v>
      </c>
      <c r="S19" s="141">
        <v>511</v>
      </c>
      <c r="T19" s="141">
        <v>718</v>
      </c>
      <c r="U19" s="141">
        <v>328</v>
      </c>
      <c r="V19" s="141">
        <v>390</v>
      </c>
      <c r="W19" s="141">
        <v>637</v>
      </c>
      <c r="X19" s="141">
        <v>333</v>
      </c>
      <c r="Y19" s="151">
        <v>304</v>
      </c>
      <c r="Z19" s="139">
        <v>10575</v>
      </c>
      <c r="AA19" s="139">
        <v>4459</v>
      </c>
      <c r="AB19" s="139">
        <v>6116</v>
      </c>
      <c r="AC19" s="141">
        <v>2793</v>
      </c>
      <c r="AD19" s="141">
        <v>1078</v>
      </c>
      <c r="AE19" s="141">
        <v>1715</v>
      </c>
      <c r="AF19" s="141">
        <v>2160</v>
      </c>
      <c r="AG19" s="141">
        <v>822</v>
      </c>
      <c r="AH19" s="141">
        <v>1338</v>
      </c>
      <c r="AI19" s="141">
        <v>1918</v>
      </c>
      <c r="AJ19" s="141">
        <v>850</v>
      </c>
      <c r="AK19" s="141">
        <v>1068</v>
      </c>
      <c r="AL19" s="141">
        <v>1551</v>
      </c>
      <c r="AM19" s="141">
        <v>710</v>
      </c>
      <c r="AN19" s="141">
        <v>841</v>
      </c>
      <c r="AO19" s="141">
        <v>829</v>
      </c>
      <c r="AP19" s="141">
        <v>351</v>
      </c>
      <c r="AQ19" s="141">
        <v>478</v>
      </c>
      <c r="AR19" s="141">
        <v>699</v>
      </c>
      <c r="AS19" s="141">
        <v>320</v>
      </c>
      <c r="AT19" s="141">
        <v>379</v>
      </c>
      <c r="AU19" s="141">
        <v>625</v>
      </c>
      <c r="AV19" s="141">
        <v>328</v>
      </c>
      <c r="AW19" s="151">
        <v>297</v>
      </c>
      <c r="AX19" s="149">
        <v>604</v>
      </c>
      <c r="AY19" s="139">
        <v>243</v>
      </c>
      <c r="AZ19" s="139">
        <v>361</v>
      </c>
      <c r="BA19" s="140">
        <v>66</v>
      </c>
      <c r="BB19" s="141">
        <v>24</v>
      </c>
      <c r="BC19" s="141">
        <v>42</v>
      </c>
      <c r="BD19" s="141">
        <v>99</v>
      </c>
      <c r="BE19" s="141">
        <v>35</v>
      </c>
      <c r="BF19" s="141">
        <v>64</v>
      </c>
      <c r="BG19" s="141">
        <v>134</v>
      </c>
      <c r="BH19" s="141">
        <v>55</v>
      </c>
      <c r="BI19" s="141">
        <v>79</v>
      </c>
      <c r="BJ19" s="141">
        <v>149</v>
      </c>
      <c r="BK19" s="141">
        <v>60</v>
      </c>
      <c r="BL19" s="141">
        <v>89</v>
      </c>
      <c r="BM19" s="141">
        <v>106</v>
      </c>
      <c r="BN19" s="141">
        <v>45</v>
      </c>
      <c r="BO19" s="141">
        <v>61</v>
      </c>
      <c r="BP19" s="141">
        <v>31</v>
      </c>
      <c r="BQ19" s="141">
        <v>15</v>
      </c>
      <c r="BR19" s="141">
        <v>16</v>
      </c>
      <c r="BS19" s="141">
        <v>19</v>
      </c>
      <c r="BT19" s="141">
        <v>9</v>
      </c>
      <c r="BU19" s="151">
        <v>10</v>
      </c>
      <c r="BV19" s="149">
        <v>127</v>
      </c>
      <c r="BW19" s="139">
        <v>55</v>
      </c>
      <c r="BX19" s="139">
        <v>72</v>
      </c>
      <c r="BY19" s="140">
        <v>4</v>
      </c>
      <c r="BZ19" s="141">
        <v>1</v>
      </c>
      <c r="CA19" s="141">
        <v>3</v>
      </c>
      <c r="CB19" s="141">
        <v>10</v>
      </c>
      <c r="CC19" s="141">
        <v>6</v>
      </c>
      <c r="CD19" s="141">
        <v>4</v>
      </c>
      <c r="CE19" s="141">
        <v>13</v>
      </c>
      <c r="CF19" s="141">
        <v>7</v>
      </c>
      <c r="CG19" s="141">
        <v>6</v>
      </c>
      <c r="CH19" s="141">
        <v>42</v>
      </c>
      <c r="CI19" s="141">
        <v>17</v>
      </c>
      <c r="CJ19" s="141">
        <v>25</v>
      </c>
      <c r="CK19" s="141">
        <v>26</v>
      </c>
      <c r="CL19" s="141">
        <v>12</v>
      </c>
      <c r="CM19" s="141">
        <v>14</v>
      </c>
      <c r="CN19" s="141">
        <v>20</v>
      </c>
      <c r="CO19" s="141">
        <v>6</v>
      </c>
      <c r="CP19" s="141">
        <v>14</v>
      </c>
      <c r="CQ19" s="141">
        <v>12</v>
      </c>
      <c r="CR19" s="141">
        <v>6</v>
      </c>
      <c r="CS19" s="141">
        <v>6</v>
      </c>
    </row>
    <row r="20" spans="1:97" s="178" customFormat="1" ht="20.45" customHeight="1">
      <c r="A20" s="170" t="s">
        <v>347</v>
      </c>
      <c r="B20" s="139">
        <v>10257</v>
      </c>
      <c r="C20" s="139">
        <v>4150</v>
      </c>
      <c r="D20" s="139">
        <v>6107</v>
      </c>
      <c r="E20" s="141">
        <v>1878</v>
      </c>
      <c r="F20" s="141">
        <v>750</v>
      </c>
      <c r="G20" s="141">
        <v>1128</v>
      </c>
      <c r="H20" s="141">
        <v>1868</v>
      </c>
      <c r="I20" s="141">
        <v>649</v>
      </c>
      <c r="J20" s="141">
        <v>1219</v>
      </c>
      <c r="K20" s="141">
        <v>2051</v>
      </c>
      <c r="L20" s="141">
        <v>783</v>
      </c>
      <c r="M20" s="141">
        <v>1268</v>
      </c>
      <c r="N20" s="141">
        <v>1665</v>
      </c>
      <c r="O20" s="141">
        <v>728</v>
      </c>
      <c r="P20" s="141">
        <v>937</v>
      </c>
      <c r="Q20" s="141">
        <v>1087</v>
      </c>
      <c r="R20" s="141">
        <v>448</v>
      </c>
      <c r="S20" s="141">
        <v>639</v>
      </c>
      <c r="T20" s="141">
        <v>857</v>
      </c>
      <c r="U20" s="141">
        <v>391</v>
      </c>
      <c r="V20" s="141">
        <v>466</v>
      </c>
      <c r="W20" s="141">
        <v>851</v>
      </c>
      <c r="X20" s="141">
        <v>401</v>
      </c>
      <c r="Y20" s="151">
        <v>450</v>
      </c>
      <c r="Z20" s="139">
        <v>9475</v>
      </c>
      <c r="AA20" s="139">
        <v>3872</v>
      </c>
      <c r="AB20" s="139">
        <v>5603</v>
      </c>
      <c r="AC20" s="141">
        <v>1809</v>
      </c>
      <c r="AD20" s="141">
        <v>734</v>
      </c>
      <c r="AE20" s="141">
        <v>1075</v>
      </c>
      <c r="AF20" s="141">
        <v>1749</v>
      </c>
      <c r="AG20" s="141">
        <v>619</v>
      </c>
      <c r="AH20" s="141">
        <v>1130</v>
      </c>
      <c r="AI20" s="141">
        <v>1899</v>
      </c>
      <c r="AJ20" s="141">
        <v>727</v>
      </c>
      <c r="AK20" s="141">
        <v>1172</v>
      </c>
      <c r="AL20" s="141">
        <v>1510</v>
      </c>
      <c r="AM20" s="141">
        <v>663</v>
      </c>
      <c r="AN20" s="141">
        <v>847</v>
      </c>
      <c r="AO20" s="141">
        <v>896</v>
      </c>
      <c r="AP20" s="141">
        <v>377</v>
      </c>
      <c r="AQ20" s="141">
        <v>519</v>
      </c>
      <c r="AR20" s="141">
        <v>793</v>
      </c>
      <c r="AS20" s="141">
        <v>364</v>
      </c>
      <c r="AT20" s="141">
        <v>429</v>
      </c>
      <c r="AU20" s="141">
        <v>819</v>
      </c>
      <c r="AV20" s="141">
        <v>388</v>
      </c>
      <c r="AW20" s="151">
        <v>431</v>
      </c>
      <c r="AX20" s="149">
        <v>1125</v>
      </c>
      <c r="AY20" s="139">
        <v>396</v>
      </c>
      <c r="AZ20" s="139">
        <v>729</v>
      </c>
      <c r="BA20" s="140">
        <v>101</v>
      </c>
      <c r="BB20" s="141">
        <v>29</v>
      </c>
      <c r="BC20" s="141">
        <v>72</v>
      </c>
      <c r="BD20" s="141">
        <v>182</v>
      </c>
      <c r="BE20" s="141">
        <v>42</v>
      </c>
      <c r="BF20" s="141">
        <v>140</v>
      </c>
      <c r="BG20" s="141">
        <v>224</v>
      </c>
      <c r="BH20" s="141">
        <v>89</v>
      </c>
      <c r="BI20" s="141">
        <v>135</v>
      </c>
      <c r="BJ20" s="141">
        <v>226</v>
      </c>
      <c r="BK20" s="141">
        <v>87</v>
      </c>
      <c r="BL20" s="141">
        <v>139</v>
      </c>
      <c r="BM20" s="141">
        <v>263</v>
      </c>
      <c r="BN20" s="141">
        <v>93</v>
      </c>
      <c r="BO20" s="141">
        <v>170</v>
      </c>
      <c r="BP20" s="141">
        <v>92</v>
      </c>
      <c r="BQ20" s="141">
        <v>38</v>
      </c>
      <c r="BR20" s="141">
        <v>54</v>
      </c>
      <c r="BS20" s="141">
        <v>37</v>
      </c>
      <c r="BT20" s="141">
        <v>18</v>
      </c>
      <c r="BU20" s="151">
        <v>19</v>
      </c>
      <c r="BV20" s="149">
        <v>222</v>
      </c>
      <c r="BW20" s="139">
        <v>93</v>
      </c>
      <c r="BX20" s="139">
        <v>129</v>
      </c>
      <c r="BY20" s="140">
        <v>2</v>
      </c>
      <c r="BZ20" s="141">
        <v>1</v>
      </c>
      <c r="CA20" s="141">
        <v>1</v>
      </c>
      <c r="CB20" s="141">
        <v>1</v>
      </c>
      <c r="CC20" s="141">
        <v>0</v>
      </c>
      <c r="CD20" s="141">
        <v>1</v>
      </c>
      <c r="CE20" s="141">
        <v>15</v>
      </c>
      <c r="CF20" s="141">
        <v>2</v>
      </c>
      <c r="CG20" s="141">
        <v>13</v>
      </c>
      <c r="CH20" s="141">
        <v>48</v>
      </c>
      <c r="CI20" s="141">
        <v>16</v>
      </c>
      <c r="CJ20" s="141">
        <v>32</v>
      </c>
      <c r="CK20" s="141">
        <v>57</v>
      </c>
      <c r="CL20" s="141">
        <v>31</v>
      </c>
      <c r="CM20" s="141">
        <v>26</v>
      </c>
      <c r="CN20" s="141">
        <v>52</v>
      </c>
      <c r="CO20" s="141">
        <v>22</v>
      </c>
      <c r="CP20" s="141">
        <v>30</v>
      </c>
      <c r="CQ20" s="141">
        <v>47</v>
      </c>
      <c r="CR20" s="141">
        <v>21</v>
      </c>
      <c r="CS20" s="141">
        <v>26</v>
      </c>
    </row>
    <row r="21" spans="1:97" s="178" customFormat="1" ht="20.45" customHeight="1">
      <c r="A21" s="170" t="s">
        <v>348</v>
      </c>
      <c r="B21" s="139">
        <v>8772</v>
      </c>
      <c r="C21" s="139">
        <v>3641</v>
      </c>
      <c r="D21" s="139">
        <v>5131</v>
      </c>
      <c r="E21" s="141">
        <v>1564</v>
      </c>
      <c r="F21" s="141">
        <v>678</v>
      </c>
      <c r="G21" s="141">
        <v>886</v>
      </c>
      <c r="H21" s="141">
        <v>2219</v>
      </c>
      <c r="I21" s="141">
        <v>814</v>
      </c>
      <c r="J21" s="141">
        <v>1405</v>
      </c>
      <c r="K21" s="141">
        <v>1967</v>
      </c>
      <c r="L21" s="141">
        <v>782</v>
      </c>
      <c r="M21" s="141">
        <v>1185</v>
      </c>
      <c r="N21" s="141">
        <v>1273</v>
      </c>
      <c r="O21" s="141">
        <v>568</v>
      </c>
      <c r="P21" s="141">
        <v>705</v>
      </c>
      <c r="Q21" s="141">
        <v>567</v>
      </c>
      <c r="R21" s="141">
        <v>244</v>
      </c>
      <c r="S21" s="141">
        <v>323</v>
      </c>
      <c r="T21" s="141">
        <v>559</v>
      </c>
      <c r="U21" s="141">
        <v>265</v>
      </c>
      <c r="V21" s="141">
        <v>294</v>
      </c>
      <c r="W21" s="141">
        <v>623</v>
      </c>
      <c r="X21" s="141">
        <v>290</v>
      </c>
      <c r="Y21" s="151">
        <v>333</v>
      </c>
      <c r="Z21" s="139">
        <v>8449</v>
      </c>
      <c r="AA21" s="139">
        <v>3526</v>
      </c>
      <c r="AB21" s="139">
        <v>4923</v>
      </c>
      <c r="AC21" s="141">
        <v>1531</v>
      </c>
      <c r="AD21" s="141">
        <v>663</v>
      </c>
      <c r="AE21" s="141">
        <v>868</v>
      </c>
      <c r="AF21" s="141">
        <v>2152</v>
      </c>
      <c r="AG21" s="141">
        <v>795</v>
      </c>
      <c r="AH21" s="141">
        <v>1357</v>
      </c>
      <c r="AI21" s="141">
        <v>1880</v>
      </c>
      <c r="AJ21" s="141">
        <v>750</v>
      </c>
      <c r="AK21" s="141">
        <v>1130</v>
      </c>
      <c r="AL21" s="141">
        <v>1208</v>
      </c>
      <c r="AM21" s="141">
        <v>545</v>
      </c>
      <c r="AN21" s="141">
        <v>663</v>
      </c>
      <c r="AO21" s="141">
        <v>517</v>
      </c>
      <c r="AP21" s="141">
        <v>227</v>
      </c>
      <c r="AQ21" s="141">
        <v>290</v>
      </c>
      <c r="AR21" s="141">
        <v>548</v>
      </c>
      <c r="AS21" s="141">
        <v>260</v>
      </c>
      <c r="AT21" s="141">
        <v>288</v>
      </c>
      <c r="AU21" s="141">
        <v>613</v>
      </c>
      <c r="AV21" s="141">
        <v>286</v>
      </c>
      <c r="AW21" s="151">
        <v>327</v>
      </c>
      <c r="AX21" s="149">
        <v>457</v>
      </c>
      <c r="AY21" s="139">
        <v>160</v>
      </c>
      <c r="AZ21" s="139">
        <v>297</v>
      </c>
      <c r="BA21" s="140">
        <v>39</v>
      </c>
      <c r="BB21" s="141">
        <v>17</v>
      </c>
      <c r="BC21" s="141">
        <v>22</v>
      </c>
      <c r="BD21" s="141">
        <v>95</v>
      </c>
      <c r="BE21" s="141">
        <v>29</v>
      </c>
      <c r="BF21" s="141">
        <v>66</v>
      </c>
      <c r="BG21" s="141">
        <v>136</v>
      </c>
      <c r="BH21" s="141">
        <v>51</v>
      </c>
      <c r="BI21" s="141">
        <v>85</v>
      </c>
      <c r="BJ21" s="141">
        <v>98</v>
      </c>
      <c r="BK21" s="141">
        <v>32</v>
      </c>
      <c r="BL21" s="141">
        <v>66</v>
      </c>
      <c r="BM21" s="141">
        <v>70</v>
      </c>
      <c r="BN21" s="141">
        <v>24</v>
      </c>
      <c r="BO21" s="141">
        <v>46</v>
      </c>
      <c r="BP21" s="141">
        <v>13</v>
      </c>
      <c r="BQ21" s="141">
        <v>4</v>
      </c>
      <c r="BR21" s="141">
        <v>9</v>
      </c>
      <c r="BS21" s="141">
        <v>6</v>
      </c>
      <c r="BT21" s="141">
        <v>3</v>
      </c>
      <c r="BU21" s="151">
        <v>3</v>
      </c>
      <c r="BV21" s="149">
        <v>75</v>
      </c>
      <c r="BW21" s="139">
        <v>31</v>
      </c>
      <c r="BX21" s="139">
        <v>44</v>
      </c>
      <c r="BY21" s="140">
        <v>0</v>
      </c>
      <c r="BZ21" s="141">
        <v>0</v>
      </c>
      <c r="CA21" s="141">
        <v>0</v>
      </c>
      <c r="CB21" s="141">
        <v>2</v>
      </c>
      <c r="CC21" s="141">
        <v>1</v>
      </c>
      <c r="CD21" s="141">
        <v>1</v>
      </c>
      <c r="CE21" s="141">
        <v>10</v>
      </c>
      <c r="CF21" s="141">
        <v>5</v>
      </c>
      <c r="CG21" s="141">
        <v>5</v>
      </c>
      <c r="CH21" s="141">
        <v>12</v>
      </c>
      <c r="CI21" s="141">
        <v>4</v>
      </c>
      <c r="CJ21" s="141">
        <v>8</v>
      </c>
      <c r="CK21" s="141">
        <v>15</v>
      </c>
      <c r="CL21" s="141">
        <v>6</v>
      </c>
      <c r="CM21" s="141">
        <v>9</v>
      </c>
      <c r="CN21" s="141">
        <v>19</v>
      </c>
      <c r="CO21" s="141">
        <v>6</v>
      </c>
      <c r="CP21" s="141">
        <v>13</v>
      </c>
      <c r="CQ21" s="141">
        <v>17</v>
      </c>
      <c r="CR21" s="141">
        <v>9</v>
      </c>
      <c r="CS21" s="141">
        <v>8</v>
      </c>
    </row>
    <row r="22" spans="1:97" s="178" customFormat="1" ht="20.45" customHeight="1">
      <c r="A22" s="170" t="s">
        <v>349</v>
      </c>
      <c r="B22" s="139">
        <v>16977</v>
      </c>
      <c r="C22" s="139">
        <v>7167</v>
      </c>
      <c r="D22" s="139">
        <v>9810</v>
      </c>
      <c r="E22" s="141">
        <v>2986</v>
      </c>
      <c r="F22" s="141">
        <v>1134</v>
      </c>
      <c r="G22" s="141">
        <v>1852</v>
      </c>
      <c r="H22" s="141">
        <v>2935</v>
      </c>
      <c r="I22" s="141">
        <v>1081</v>
      </c>
      <c r="J22" s="141">
        <v>1854</v>
      </c>
      <c r="K22" s="141">
        <v>3466</v>
      </c>
      <c r="L22" s="141">
        <v>1468</v>
      </c>
      <c r="M22" s="141">
        <v>1998</v>
      </c>
      <c r="N22" s="141">
        <v>2946</v>
      </c>
      <c r="O22" s="141">
        <v>1308</v>
      </c>
      <c r="P22" s="141">
        <v>1638</v>
      </c>
      <c r="Q22" s="141">
        <v>1952</v>
      </c>
      <c r="R22" s="141">
        <v>872</v>
      </c>
      <c r="S22" s="141">
        <v>1080</v>
      </c>
      <c r="T22" s="141">
        <v>1417</v>
      </c>
      <c r="U22" s="141">
        <v>670</v>
      </c>
      <c r="V22" s="141">
        <v>747</v>
      </c>
      <c r="W22" s="141">
        <v>1275</v>
      </c>
      <c r="X22" s="141">
        <v>634</v>
      </c>
      <c r="Y22" s="151">
        <v>641</v>
      </c>
      <c r="Z22" s="139">
        <v>16202</v>
      </c>
      <c r="AA22" s="139">
        <v>6831</v>
      </c>
      <c r="AB22" s="139">
        <v>9371</v>
      </c>
      <c r="AC22" s="141">
        <v>2903</v>
      </c>
      <c r="AD22" s="141">
        <v>1103</v>
      </c>
      <c r="AE22" s="141">
        <v>1800</v>
      </c>
      <c r="AF22" s="141">
        <v>2819</v>
      </c>
      <c r="AG22" s="141">
        <v>1036</v>
      </c>
      <c r="AH22" s="141">
        <v>1783</v>
      </c>
      <c r="AI22" s="141">
        <v>3292</v>
      </c>
      <c r="AJ22" s="141">
        <v>1395</v>
      </c>
      <c r="AK22" s="141">
        <v>1897</v>
      </c>
      <c r="AL22" s="141">
        <v>2748</v>
      </c>
      <c r="AM22" s="141">
        <v>1217</v>
      </c>
      <c r="AN22" s="141">
        <v>1531</v>
      </c>
      <c r="AO22" s="141">
        <v>1805</v>
      </c>
      <c r="AP22" s="141">
        <v>798</v>
      </c>
      <c r="AQ22" s="141">
        <v>1007</v>
      </c>
      <c r="AR22" s="141">
        <v>1382</v>
      </c>
      <c r="AS22" s="141">
        <v>657</v>
      </c>
      <c r="AT22" s="141">
        <v>725</v>
      </c>
      <c r="AU22" s="141">
        <v>1253</v>
      </c>
      <c r="AV22" s="141">
        <v>625</v>
      </c>
      <c r="AW22" s="151">
        <v>628</v>
      </c>
      <c r="AX22" s="149">
        <v>1366</v>
      </c>
      <c r="AY22" s="139">
        <v>607</v>
      </c>
      <c r="AZ22" s="139">
        <v>759</v>
      </c>
      <c r="BA22" s="140">
        <v>104</v>
      </c>
      <c r="BB22" s="141">
        <v>41</v>
      </c>
      <c r="BC22" s="141">
        <v>63</v>
      </c>
      <c r="BD22" s="141">
        <v>176</v>
      </c>
      <c r="BE22" s="141">
        <v>68</v>
      </c>
      <c r="BF22" s="141">
        <v>108</v>
      </c>
      <c r="BG22" s="141">
        <v>284</v>
      </c>
      <c r="BH22" s="141">
        <v>123</v>
      </c>
      <c r="BI22" s="141">
        <v>161</v>
      </c>
      <c r="BJ22" s="141">
        <v>358</v>
      </c>
      <c r="BK22" s="141">
        <v>167</v>
      </c>
      <c r="BL22" s="141">
        <v>191</v>
      </c>
      <c r="BM22" s="141">
        <v>301</v>
      </c>
      <c r="BN22" s="141">
        <v>148</v>
      </c>
      <c r="BO22" s="141">
        <v>153</v>
      </c>
      <c r="BP22" s="141">
        <v>97</v>
      </c>
      <c r="BQ22" s="141">
        <v>39</v>
      </c>
      <c r="BR22" s="141">
        <v>58</v>
      </c>
      <c r="BS22" s="141">
        <v>46</v>
      </c>
      <c r="BT22" s="141">
        <v>21</v>
      </c>
      <c r="BU22" s="151">
        <v>25</v>
      </c>
      <c r="BV22" s="149">
        <v>206</v>
      </c>
      <c r="BW22" s="139">
        <v>89</v>
      </c>
      <c r="BX22" s="139">
        <v>117</v>
      </c>
      <c r="BY22" s="140">
        <v>20</v>
      </c>
      <c r="BZ22" s="141">
        <v>9</v>
      </c>
      <c r="CA22" s="141">
        <v>11</v>
      </c>
      <c r="CB22" s="141">
        <v>31</v>
      </c>
      <c r="CC22" s="141">
        <v>13</v>
      </c>
      <c r="CD22" s="141">
        <v>18</v>
      </c>
      <c r="CE22" s="141">
        <v>35</v>
      </c>
      <c r="CF22" s="141">
        <v>13</v>
      </c>
      <c r="CG22" s="141">
        <v>22</v>
      </c>
      <c r="CH22" s="141">
        <v>43</v>
      </c>
      <c r="CI22" s="141">
        <v>18</v>
      </c>
      <c r="CJ22" s="141">
        <v>25</v>
      </c>
      <c r="CK22" s="141">
        <v>36</v>
      </c>
      <c r="CL22" s="141">
        <v>15</v>
      </c>
      <c r="CM22" s="141">
        <v>21</v>
      </c>
      <c r="CN22" s="141">
        <v>23</v>
      </c>
      <c r="CO22" s="141">
        <v>13</v>
      </c>
      <c r="CP22" s="141">
        <v>10</v>
      </c>
      <c r="CQ22" s="141">
        <v>18</v>
      </c>
      <c r="CR22" s="141">
        <v>8</v>
      </c>
      <c r="CS22" s="141">
        <v>10</v>
      </c>
    </row>
    <row r="23" spans="1:97" s="178" customFormat="1" ht="20.45" customHeight="1">
      <c r="A23" s="170" t="s">
        <v>350</v>
      </c>
      <c r="B23" s="139">
        <v>4883</v>
      </c>
      <c r="C23" s="139">
        <v>2234</v>
      </c>
      <c r="D23" s="139">
        <v>2649</v>
      </c>
      <c r="E23" s="141">
        <v>863</v>
      </c>
      <c r="F23" s="141">
        <v>370</v>
      </c>
      <c r="G23" s="141">
        <v>493</v>
      </c>
      <c r="H23" s="141">
        <v>832</v>
      </c>
      <c r="I23" s="141">
        <v>329</v>
      </c>
      <c r="J23" s="141">
        <v>503</v>
      </c>
      <c r="K23" s="141">
        <v>837</v>
      </c>
      <c r="L23" s="141">
        <v>384</v>
      </c>
      <c r="M23" s="141">
        <v>453</v>
      </c>
      <c r="N23" s="141">
        <v>802</v>
      </c>
      <c r="O23" s="141">
        <v>404</v>
      </c>
      <c r="P23" s="141">
        <v>398</v>
      </c>
      <c r="Q23" s="141">
        <v>483</v>
      </c>
      <c r="R23" s="141">
        <v>222</v>
      </c>
      <c r="S23" s="141">
        <v>261</v>
      </c>
      <c r="T23" s="141">
        <v>502</v>
      </c>
      <c r="U23" s="141">
        <v>241</v>
      </c>
      <c r="V23" s="141">
        <v>261</v>
      </c>
      <c r="W23" s="141">
        <v>564</v>
      </c>
      <c r="X23" s="141">
        <v>284</v>
      </c>
      <c r="Y23" s="151">
        <v>280</v>
      </c>
      <c r="Z23" s="139">
        <v>4686</v>
      </c>
      <c r="AA23" s="139">
        <v>2166</v>
      </c>
      <c r="AB23" s="139">
        <v>2520</v>
      </c>
      <c r="AC23" s="141">
        <v>846</v>
      </c>
      <c r="AD23" s="141">
        <v>364</v>
      </c>
      <c r="AE23" s="141">
        <v>482</v>
      </c>
      <c r="AF23" s="141">
        <v>805</v>
      </c>
      <c r="AG23" s="141">
        <v>321</v>
      </c>
      <c r="AH23" s="141">
        <v>484</v>
      </c>
      <c r="AI23" s="141">
        <v>805</v>
      </c>
      <c r="AJ23" s="141">
        <v>374</v>
      </c>
      <c r="AK23" s="141">
        <v>431</v>
      </c>
      <c r="AL23" s="141">
        <v>752</v>
      </c>
      <c r="AM23" s="141">
        <v>384</v>
      </c>
      <c r="AN23" s="141">
        <v>368</v>
      </c>
      <c r="AO23" s="141">
        <v>428</v>
      </c>
      <c r="AP23" s="141">
        <v>206</v>
      </c>
      <c r="AQ23" s="141">
        <v>222</v>
      </c>
      <c r="AR23" s="141">
        <v>490</v>
      </c>
      <c r="AS23" s="141">
        <v>236</v>
      </c>
      <c r="AT23" s="141">
        <v>254</v>
      </c>
      <c r="AU23" s="141">
        <v>560</v>
      </c>
      <c r="AV23" s="141">
        <v>281</v>
      </c>
      <c r="AW23" s="151">
        <v>279</v>
      </c>
      <c r="AX23" s="149">
        <v>388</v>
      </c>
      <c r="AY23" s="139">
        <v>167</v>
      </c>
      <c r="AZ23" s="139">
        <v>221</v>
      </c>
      <c r="BA23" s="140">
        <v>27</v>
      </c>
      <c r="BB23" s="141">
        <v>13</v>
      </c>
      <c r="BC23" s="141">
        <v>14</v>
      </c>
      <c r="BD23" s="141">
        <v>43</v>
      </c>
      <c r="BE23" s="141">
        <v>12</v>
      </c>
      <c r="BF23" s="141">
        <v>31</v>
      </c>
      <c r="BG23" s="141">
        <v>69</v>
      </c>
      <c r="BH23" s="141">
        <v>26</v>
      </c>
      <c r="BI23" s="141">
        <v>43</v>
      </c>
      <c r="BJ23" s="141">
        <v>100</v>
      </c>
      <c r="BK23" s="141">
        <v>51</v>
      </c>
      <c r="BL23" s="141">
        <v>49</v>
      </c>
      <c r="BM23" s="141">
        <v>98</v>
      </c>
      <c r="BN23" s="141">
        <v>39</v>
      </c>
      <c r="BO23" s="141">
        <v>59</v>
      </c>
      <c r="BP23" s="141">
        <v>37</v>
      </c>
      <c r="BQ23" s="141">
        <v>17</v>
      </c>
      <c r="BR23" s="141">
        <v>20</v>
      </c>
      <c r="BS23" s="141">
        <v>14</v>
      </c>
      <c r="BT23" s="141">
        <v>9</v>
      </c>
      <c r="BU23" s="151">
        <v>5</v>
      </c>
      <c r="BV23" s="149">
        <v>53</v>
      </c>
      <c r="BW23" s="139">
        <v>26</v>
      </c>
      <c r="BX23" s="139">
        <v>27</v>
      </c>
      <c r="BY23" s="140">
        <v>2</v>
      </c>
      <c r="BZ23" s="141">
        <v>0</v>
      </c>
      <c r="CA23" s="141">
        <v>2</v>
      </c>
      <c r="CB23" s="141">
        <v>7</v>
      </c>
      <c r="CC23" s="141">
        <v>4</v>
      </c>
      <c r="CD23" s="141">
        <v>3</v>
      </c>
      <c r="CE23" s="141">
        <v>4</v>
      </c>
      <c r="CF23" s="141">
        <v>2</v>
      </c>
      <c r="CG23" s="141">
        <v>2</v>
      </c>
      <c r="CH23" s="141">
        <v>15</v>
      </c>
      <c r="CI23" s="141">
        <v>10</v>
      </c>
      <c r="CJ23" s="141">
        <v>5</v>
      </c>
      <c r="CK23" s="141">
        <v>10</v>
      </c>
      <c r="CL23" s="141">
        <v>5</v>
      </c>
      <c r="CM23" s="141">
        <v>5</v>
      </c>
      <c r="CN23" s="141">
        <v>10</v>
      </c>
      <c r="CO23" s="141">
        <v>3</v>
      </c>
      <c r="CP23" s="141">
        <v>7</v>
      </c>
      <c r="CQ23" s="141">
        <v>5</v>
      </c>
      <c r="CR23" s="141">
        <v>2</v>
      </c>
      <c r="CS23" s="141">
        <v>3</v>
      </c>
    </row>
    <row r="24" spans="1:97" s="178" customFormat="1" ht="20.45" customHeight="1">
      <c r="A24" s="170" t="s">
        <v>351</v>
      </c>
      <c r="B24" s="139">
        <v>7378</v>
      </c>
      <c r="C24" s="139">
        <v>3249</v>
      </c>
      <c r="D24" s="139">
        <v>4129</v>
      </c>
      <c r="E24" s="141">
        <v>1478</v>
      </c>
      <c r="F24" s="141">
        <v>564</v>
      </c>
      <c r="G24" s="141">
        <v>914</v>
      </c>
      <c r="H24" s="141">
        <v>1316</v>
      </c>
      <c r="I24" s="141">
        <v>535</v>
      </c>
      <c r="J24" s="141">
        <v>781</v>
      </c>
      <c r="K24" s="141">
        <v>1399</v>
      </c>
      <c r="L24" s="141">
        <v>604</v>
      </c>
      <c r="M24" s="141">
        <v>795</v>
      </c>
      <c r="N24" s="141">
        <v>1039</v>
      </c>
      <c r="O24" s="141">
        <v>479</v>
      </c>
      <c r="P24" s="141">
        <v>560</v>
      </c>
      <c r="Q24" s="141">
        <v>704</v>
      </c>
      <c r="R24" s="141">
        <v>325</v>
      </c>
      <c r="S24" s="141">
        <v>379</v>
      </c>
      <c r="T24" s="141">
        <v>664</v>
      </c>
      <c r="U24" s="141">
        <v>347</v>
      </c>
      <c r="V24" s="141">
        <v>317</v>
      </c>
      <c r="W24" s="141">
        <v>778</v>
      </c>
      <c r="X24" s="141">
        <v>395</v>
      </c>
      <c r="Y24" s="151">
        <v>383</v>
      </c>
      <c r="Z24" s="139">
        <v>7107</v>
      </c>
      <c r="AA24" s="139">
        <v>3149</v>
      </c>
      <c r="AB24" s="139">
        <v>3958</v>
      </c>
      <c r="AC24" s="141">
        <v>1451</v>
      </c>
      <c r="AD24" s="141">
        <v>554</v>
      </c>
      <c r="AE24" s="141">
        <v>897</v>
      </c>
      <c r="AF24" s="141">
        <v>1276</v>
      </c>
      <c r="AG24" s="141">
        <v>527</v>
      </c>
      <c r="AH24" s="141">
        <v>749</v>
      </c>
      <c r="AI24" s="141">
        <v>1351</v>
      </c>
      <c r="AJ24" s="141">
        <v>593</v>
      </c>
      <c r="AK24" s="141">
        <v>758</v>
      </c>
      <c r="AL24" s="141">
        <v>979</v>
      </c>
      <c r="AM24" s="141">
        <v>452</v>
      </c>
      <c r="AN24" s="141">
        <v>527</v>
      </c>
      <c r="AO24" s="141">
        <v>652</v>
      </c>
      <c r="AP24" s="141">
        <v>304</v>
      </c>
      <c r="AQ24" s="141">
        <v>348</v>
      </c>
      <c r="AR24" s="141">
        <v>636</v>
      </c>
      <c r="AS24" s="141">
        <v>331</v>
      </c>
      <c r="AT24" s="141">
        <v>305</v>
      </c>
      <c r="AU24" s="141">
        <v>762</v>
      </c>
      <c r="AV24" s="141">
        <v>388</v>
      </c>
      <c r="AW24" s="151">
        <v>374</v>
      </c>
      <c r="AX24" s="149">
        <v>394</v>
      </c>
      <c r="AY24" s="139">
        <v>146</v>
      </c>
      <c r="AZ24" s="139">
        <v>248</v>
      </c>
      <c r="BA24" s="140">
        <v>39</v>
      </c>
      <c r="BB24" s="141">
        <v>14</v>
      </c>
      <c r="BC24" s="141">
        <v>25</v>
      </c>
      <c r="BD24" s="141">
        <v>64</v>
      </c>
      <c r="BE24" s="141">
        <v>12</v>
      </c>
      <c r="BF24" s="141">
        <v>52</v>
      </c>
      <c r="BG24" s="141">
        <v>85</v>
      </c>
      <c r="BH24" s="141">
        <v>31</v>
      </c>
      <c r="BI24" s="141">
        <v>54</v>
      </c>
      <c r="BJ24" s="141">
        <v>83</v>
      </c>
      <c r="BK24" s="141">
        <v>39</v>
      </c>
      <c r="BL24" s="141">
        <v>44</v>
      </c>
      <c r="BM24" s="141">
        <v>79</v>
      </c>
      <c r="BN24" s="141">
        <v>34</v>
      </c>
      <c r="BO24" s="141">
        <v>45</v>
      </c>
      <c r="BP24" s="141">
        <v>35</v>
      </c>
      <c r="BQ24" s="141">
        <v>12</v>
      </c>
      <c r="BR24" s="141">
        <v>23</v>
      </c>
      <c r="BS24" s="141">
        <v>9</v>
      </c>
      <c r="BT24" s="141">
        <v>4</v>
      </c>
      <c r="BU24" s="151">
        <v>5</v>
      </c>
      <c r="BV24" s="149">
        <v>95</v>
      </c>
      <c r="BW24" s="139">
        <v>49</v>
      </c>
      <c r="BX24" s="139">
        <v>46</v>
      </c>
      <c r="BY24" s="140">
        <v>1</v>
      </c>
      <c r="BZ24" s="141">
        <v>0</v>
      </c>
      <c r="CA24" s="141">
        <v>1</v>
      </c>
      <c r="CB24" s="141">
        <v>2</v>
      </c>
      <c r="CC24" s="141">
        <v>0</v>
      </c>
      <c r="CD24" s="141">
        <v>2</v>
      </c>
      <c r="CE24" s="141">
        <v>4</v>
      </c>
      <c r="CF24" s="141">
        <v>1</v>
      </c>
      <c r="CG24" s="141">
        <v>3</v>
      </c>
      <c r="CH24" s="141">
        <v>11</v>
      </c>
      <c r="CI24" s="141">
        <v>6</v>
      </c>
      <c r="CJ24" s="141">
        <v>5</v>
      </c>
      <c r="CK24" s="141">
        <v>23</v>
      </c>
      <c r="CL24" s="141">
        <v>11</v>
      </c>
      <c r="CM24" s="141">
        <v>12</v>
      </c>
      <c r="CN24" s="141">
        <v>29</v>
      </c>
      <c r="CO24" s="141">
        <v>17</v>
      </c>
      <c r="CP24" s="141">
        <v>12</v>
      </c>
      <c r="CQ24" s="141">
        <v>25</v>
      </c>
      <c r="CR24" s="141">
        <v>14</v>
      </c>
      <c r="CS24" s="141">
        <v>11</v>
      </c>
    </row>
    <row r="25" spans="1:97" s="178" customFormat="1" ht="20.45" customHeight="1">
      <c r="A25" s="170" t="s">
        <v>352</v>
      </c>
      <c r="B25" s="139">
        <v>1567</v>
      </c>
      <c r="C25" s="139">
        <v>646</v>
      </c>
      <c r="D25" s="139">
        <v>921</v>
      </c>
      <c r="E25" s="141">
        <v>433</v>
      </c>
      <c r="F25" s="141">
        <v>180</v>
      </c>
      <c r="G25" s="141">
        <v>253</v>
      </c>
      <c r="H25" s="141">
        <v>244</v>
      </c>
      <c r="I25" s="141">
        <v>73</v>
      </c>
      <c r="J25" s="141">
        <v>171</v>
      </c>
      <c r="K25" s="141">
        <v>327</v>
      </c>
      <c r="L25" s="141">
        <v>129</v>
      </c>
      <c r="M25" s="141">
        <v>198</v>
      </c>
      <c r="N25" s="141">
        <v>186</v>
      </c>
      <c r="O25" s="141">
        <v>91</v>
      </c>
      <c r="P25" s="141">
        <v>95</v>
      </c>
      <c r="Q25" s="141">
        <v>143</v>
      </c>
      <c r="R25" s="141">
        <v>57</v>
      </c>
      <c r="S25" s="141">
        <v>86</v>
      </c>
      <c r="T25" s="141">
        <v>119</v>
      </c>
      <c r="U25" s="141">
        <v>56</v>
      </c>
      <c r="V25" s="141">
        <v>63</v>
      </c>
      <c r="W25" s="141">
        <v>115</v>
      </c>
      <c r="X25" s="141">
        <v>60</v>
      </c>
      <c r="Y25" s="151">
        <v>55</v>
      </c>
      <c r="Z25" s="139">
        <v>1467</v>
      </c>
      <c r="AA25" s="139">
        <v>612</v>
      </c>
      <c r="AB25" s="139">
        <v>855</v>
      </c>
      <c r="AC25" s="141">
        <v>417</v>
      </c>
      <c r="AD25" s="141">
        <v>172</v>
      </c>
      <c r="AE25" s="141">
        <v>245</v>
      </c>
      <c r="AF25" s="141">
        <v>224</v>
      </c>
      <c r="AG25" s="141">
        <v>67</v>
      </c>
      <c r="AH25" s="141">
        <v>157</v>
      </c>
      <c r="AI25" s="141">
        <v>305</v>
      </c>
      <c r="AJ25" s="141">
        <v>122</v>
      </c>
      <c r="AK25" s="141">
        <v>183</v>
      </c>
      <c r="AL25" s="141">
        <v>169</v>
      </c>
      <c r="AM25" s="141">
        <v>86</v>
      </c>
      <c r="AN25" s="141">
        <v>83</v>
      </c>
      <c r="AO25" s="141">
        <v>129</v>
      </c>
      <c r="AP25" s="141">
        <v>51</v>
      </c>
      <c r="AQ25" s="141">
        <v>78</v>
      </c>
      <c r="AR25" s="141">
        <v>113</v>
      </c>
      <c r="AS25" s="141">
        <v>55</v>
      </c>
      <c r="AT25" s="141">
        <v>58</v>
      </c>
      <c r="AU25" s="141">
        <v>110</v>
      </c>
      <c r="AV25" s="141">
        <v>59</v>
      </c>
      <c r="AW25" s="151">
        <v>51</v>
      </c>
      <c r="AX25" s="149">
        <v>162</v>
      </c>
      <c r="AY25" s="139">
        <v>61</v>
      </c>
      <c r="AZ25" s="139">
        <v>101</v>
      </c>
      <c r="BA25" s="140">
        <v>21</v>
      </c>
      <c r="BB25" s="141">
        <v>10</v>
      </c>
      <c r="BC25" s="141">
        <v>11</v>
      </c>
      <c r="BD25" s="141">
        <v>27</v>
      </c>
      <c r="BE25" s="141">
        <v>7</v>
      </c>
      <c r="BF25" s="141">
        <v>20</v>
      </c>
      <c r="BG25" s="141">
        <v>34</v>
      </c>
      <c r="BH25" s="141">
        <v>14</v>
      </c>
      <c r="BI25" s="141">
        <v>20</v>
      </c>
      <c r="BJ25" s="141">
        <v>29</v>
      </c>
      <c r="BK25" s="141">
        <v>13</v>
      </c>
      <c r="BL25" s="141">
        <v>16</v>
      </c>
      <c r="BM25" s="141">
        <v>29</v>
      </c>
      <c r="BN25" s="141">
        <v>10</v>
      </c>
      <c r="BO25" s="141">
        <v>19</v>
      </c>
      <c r="BP25" s="141">
        <v>14</v>
      </c>
      <c r="BQ25" s="141">
        <v>4</v>
      </c>
      <c r="BR25" s="141">
        <v>10</v>
      </c>
      <c r="BS25" s="141">
        <v>8</v>
      </c>
      <c r="BT25" s="141">
        <v>3</v>
      </c>
      <c r="BU25" s="151">
        <v>5</v>
      </c>
      <c r="BV25" s="149">
        <v>9</v>
      </c>
      <c r="BW25" s="139">
        <v>7</v>
      </c>
      <c r="BX25" s="139">
        <v>2</v>
      </c>
      <c r="BY25" s="140">
        <v>0</v>
      </c>
      <c r="BZ25" s="141">
        <v>0</v>
      </c>
      <c r="CA25" s="141">
        <v>0</v>
      </c>
      <c r="CB25" s="141">
        <v>4</v>
      </c>
      <c r="CC25" s="141">
        <v>4</v>
      </c>
      <c r="CD25" s="141">
        <v>0</v>
      </c>
      <c r="CE25" s="141">
        <v>0</v>
      </c>
      <c r="CF25" s="141">
        <v>0</v>
      </c>
      <c r="CG25" s="141">
        <v>0</v>
      </c>
      <c r="CH25" s="141">
        <v>2</v>
      </c>
      <c r="CI25" s="141">
        <v>0</v>
      </c>
      <c r="CJ25" s="141">
        <v>2</v>
      </c>
      <c r="CK25" s="141">
        <v>2</v>
      </c>
      <c r="CL25" s="141">
        <v>2</v>
      </c>
      <c r="CM25" s="141">
        <v>0</v>
      </c>
      <c r="CN25" s="141">
        <v>1</v>
      </c>
      <c r="CO25" s="141">
        <v>1</v>
      </c>
      <c r="CP25" s="141">
        <v>0</v>
      </c>
      <c r="CQ25" s="141">
        <v>0</v>
      </c>
      <c r="CR25" s="141">
        <v>0</v>
      </c>
      <c r="CS25" s="141">
        <v>0</v>
      </c>
    </row>
    <row r="26" spans="1:97" s="178" customFormat="1" ht="20.45" customHeight="1">
      <c r="A26" s="170" t="s">
        <v>353</v>
      </c>
      <c r="B26" s="139">
        <v>2687</v>
      </c>
      <c r="C26" s="139">
        <v>1119</v>
      </c>
      <c r="D26" s="139">
        <v>1568</v>
      </c>
      <c r="E26" s="141">
        <v>378</v>
      </c>
      <c r="F26" s="141">
        <v>139</v>
      </c>
      <c r="G26" s="141">
        <v>239</v>
      </c>
      <c r="H26" s="141">
        <v>502</v>
      </c>
      <c r="I26" s="141">
        <v>185</v>
      </c>
      <c r="J26" s="141">
        <v>317</v>
      </c>
      <c r="K26" s="141">
        <v>560</v>
      </c>
      <c r="L26" s="141">
        <v>217</v>
      </c>
      <c r="M26" s="141">
        <v>343</v>
      </c>
      <c r="N26" s="141">
        <v>429</v>
      </c>
      <c r="O26" s="141">
        <v>197</v>
      </c>
      <c r="P26" s="141">
        <v>232</v>
      </c>
      <c r="Q26" s="141">
        <v>256</v>
      </c>
      <c r="R26" s="141">
        <v>138</v>
      </c>
      <c r="S26" s="141">
        <v>118</v>
      </c>
      <c r="T26" s="141">
        <v>300</v>
      </c>
      <c r="U26" s="141">
        <v>128</v>
      </c>
      <c r="V26" s="141">
        <v>172</v>
      </c>
      <c r="W26" s="141">
        <v>262</v>
      </c>
      <c r="X26" s="141">
        <v>115</v>
      </c>
      <c r="Y26" s="151">
        <v>147</v>
      </c>
      <c r="Z26" s="139">
        <v>2485</v>
      </c>
      <c r="AA26" s="139">
        <v>1058</v>
      </c>
      <c r="AB26" s="139">
        <v>1427</v>
      </c>
      <c r="AC26" s="141">
        <v>357</v>
      </c>
      <c r="AD26" s="141">
        <v>135</v>
      </c>
      <c r="AE26" s="141">
        <v>222</v>
      </c>
      <c r="AF26" s="141">
        <v>448</v>
      </c>
      <c r="AG26" s="141">
        <v>170</v>
      </c>
      <c r="AH26" s="141">
        <v>278</v>
      </c>
      <c r="AI26" s="141">
        <v>513</v>
      </c>
      <c r="AJ26" s="141">
        <v>204</v>
      </c>
      <c r="AK26" s="141">
        <v>309</v>
      </c>
      <c r="AL26" s="141">
        <v>396</v>
      </c>
      <c r="AM26" s="141">
        <v>186</v>
      </c>
      <c r="AN26" s="141">
        <v>210</v>
      </c>
      <c r="AO26" s="141">
        <v>220</v>
      </c>
      <c r="AP26" s="141">
        <v>125</v>
      </c>
      <c r="AQ26" s="141">
        <v>95</v>
      </c>
      <c r="AR26" s="141">
        <v>293</v>
      </c>
      <c r="AS26" s="141">
        <v>125</v>
      </c>
      <c r="AT26" s="141">
        <v>168</v>
      </c>
      <c r="AU26" s="141">
        <v>258</v>
      </c>
      <c r="AV26" s="141">
        <v>113</v>
      </c>
      <c r="AW26" s="151">
        <v>145</v>
      </c>
      <c r="AX26" s="149">
        <v>280</v>
      </c>
      <c r="AY26" s="139">
        <v>79</v>
      </c>
      <c r="AZ26" s="139">
        <v>201</v>
      </c>
      <c r="BA26" s="140">
        <v>26</v>
      </c>
      <c r="BB26" s="141">
        <v>6</v>
      </c>
      <c r="BC26" s="141">
        <v>20</v>
      </c>
      <c r="BD26" s="141">
        <v>74</v>
      </c>
      <c r="BE26" s="141">
        <v>19</v>
      </c>
      <c r="BF26" s="141">
        <v>55</v>
      </c>
      <c r="BG26" s="141">
        <v>67</v>
      </c>
      <c r="BH26" s="141">
        <v>16</v>
      </c>
      <c r="BI26" s="141">
        <v>51</v>
      </c>
      <c r="BJ26" s="141">
        <v>48</v>
      </c>
      <c r="BK26" s="141">
        <v>13</v>
      </c>
      <c r="BL26" s="141">
        <v>35</v>
      </c>
      <c r="BM26" s="141">
        <v>50</v>
      </c>
      <c r="BN26" s="141">
        <v>20</v>
      </c>
      <c r="BO26" s="141">
        <v>30</v>
      </c>
      <c r="BP26" s="141">
        <v>8</v>
      </c>
      <c r="BQ26" s="141">
        <v>4</v>
      </c>
      <c r="BR26" s="141">
        <v>4</v>
      </c>
      <c r="BS26" s="141">
        <v>7</v>
      </c>
      <c r="BT26" s="141">
        <v>1</v>
      </c>
      <c r="BU26" s="151">
        <v>6</v>
      </c>
      <c r="BV26" s="149">
        <v>2</v>
      </c>
      <c r="BW26" s="139">
        <v>2</v>
      </c>
      <c r="BX26" s="139">
        <v>0</v>
      </c>
      <c r="BY26" s="140">
        <v>0</v>
      </c>
      <c r="BZ26" s="141">
        <v>0</v>
      </c>
      <c r="CA26" s="141">
        <v>0</v>
      </c>
      <c r="CB26" s="141">
        <v>0</v>
      </c>
      <c r="CC26" s="141">
        <v>0</v>
      </c>
      <c r="CD26" s="141">
        <v>0</v>
      </c>
      <c r="CE26" s="141">
        <v>0</v>
      </c>
      <c r="CF26" s="141">
        <v>0</v>
      </c>
      <c r="CG26" s="141">
        <v>0</v>
      </c>
      <c r="CH26" s="141">
        <v>0</v>
      </c>
      <c r="CI26" s="141">
        <v>0</v>
      </c>
      <c r="CJ26" s="141">
        <v>0</v>
      </c>
      <c r="CK26" s="141">
        <v>1</v>
      </c>
      <c r="CL26" s="141">
        <v>1</v>
      </c>
      <c r="CM26" s="141">
        <v>0</v>
      </c>
      <c r="CN26" s="141">
        <v>0</v>
      </c>
      <c r="CO26" s="141">
        <v>0</v>
      </c>
      <c r="CP26" s="141">
        <v>0</v>
      </c>
      <c r="CQ26" s="141">
        <v>1</v>
      </c>
      <c r="CR26" s="141">
        <v>1</v>
      </c>
      <c r="CS26" s="141">
        <v>0</v>
      </c>
    </row>
    <row r="27" spans="1:97" s="178" customFormat="1" ht="20.45" customHeight="1">
      <c r="A27" s="170" t="s">
        <v>354</v>
      </c>
      <c r="B27" s="139">
        <v>2649</v>
      </c>
      <c r="C27" s="139">
        <v>1155</v>
      </c>
      <c r="D27" s="139">
        <v>1494</v>
      </c>
      <c r="E27" s="141">
        <v>466</v>
      </c>
      <c r="F27" s="141">
        <v>152</v>
      </c>
      <c r="G27" s="141">
        <v>314</v>
      </c>
      <c r="H27" s="141">
        <v>453</v>
      </c>
      <c r="I27" s="141">
        <v>172</v>
      </c>
      <c r="J27" s="141">
        <v>281</v>
      </c>
      <c r="K27" s="141">
        <v>598</v>
      </c>
      <c r="L27" s="141">
        <v>270</v>
      </c>
      <c r="M27" s="141">
        <v>328</v>
      </c>
      <c r="N27" s="141">
        <v>355</v>
      </c>
      <c r="O27" s="141">
        <v>170</v>
      </c>
      <c r="P27" s="141">
        <v>185</v>
      </c>
      <c r="Q27" s="141">
        <v>323</v>
      </c>
      <c r="R27" s="141">
        <v>153</v>
      </c>
      <c r="S27" s="141">
        <v>170</v>
      </c>
      <c r="T27" s="141">
        <v>200</v>
      </c>
      <c r="U27" s="141">
        <v>106</v>
      </c>
      <c r="V27" s="141">
        <v>94</v>
      </c>
      <c r="W27" s="141">
        <v>254</v>
      </c>
      <c r="X27" s="141">
        <v>132</v>
      </c>
      <c r="Y27" s="151">
        <v>122</v>
      </c>
      <c r="Z27" s="139">
        <v>2499</v>
      </c>
      <c r="AA27" s="139">
        <v>1111</v>
      </c>
      <c r="AB27" s="139">
        <v>1388</v>
      </c>
      <c r="AC27" s="141">
        <v>446</v>
      </c>
      <c r="AD27" s="141">
        <v>148</v>
      </c>
      <c r="AE27" s="141">
        <v>298</v>
      </c>
      <c r="AF27" s="141">
        <v>411</v>
      </c>
      <c r="AG27" s="141">
        <v>162</v>
      </c>
      <c r="AH27" s="141">
        <v>249</v>
      </c>
      <c r="AI27" s="141">
        <v>566</v>
      </c>
      <c r="AJ27" s="141">
        <v>262</v>
      </c>
      <c r="AK27" s="141">
        <v>304</v>
      </c>
      <c r="AL27" s="141">
        <v>336</v>
      </c>
      <c r="AM27" s="141">
        <v>164</v>
      </c>
      <c r="AN27" s="141">
        <v>172</v>
      </c>
      <c r="AO27" s="141">
        <v>295</v>
      </c>
      <c r="AP27" s="141">
        <v>141</v>
      </c>
      <c r="AQ27" s="141">
        <v>154</v>
      </c>
      <c r="AR27" s="141">
        <v>194</v>
      </c>
      <c r="AS27" s="141">
        <v>103</v>
      </c>
      <c r="AT27" s="141">
        <v>91</v>
      </c>
      <c r="AU27" s="141">
        <v>251</v>
      </c>
      <c r="AV27" s="141">
        <v>131</v>
      </c>
      <c r="AW27" s="151">
        <v>120</v>
      </c>
      <c r="AX27" s="149">
        <v>200</v>
      </c>
      <c r="AY27" s="139">
        <v>54</v>
      </c>
      <c r="AZ27" s="139">
        <v>146</v>
      </c>
      <c r="BA27" s="140">
        <v>23</v>
      </c>
      <c r="BB27" s="141">
        <v>4</v>
      </c>
      <c r="BC27" s="141">
        <v>19</v>
      </c>
      <c r="BD27" s="141">
        <v>55</v>
      </c>
      <c r="BE27" s="141">
        <v>12</v>
      </c>
      <c r="BF27" s="141">
        <v>43</v>
      </c>
      <c r="BG27" s="141">
        <v>45</v>
      </c>
      <c r="BH27" s="141">
        <v>12</v>
      </c>
      <c r="BI27" s="141">
        <v>33</v>
      </c>
      <c r="BJ27" s="141">
        <v>26</v>
      </c>
      <c r="BK27" s="141">
        <v>8</v>
      </c>
      <c r="BL27" s="141">
        <v>18</v>
      </c>
      <c r="BM27" s="141">
        <v>35</v>
      </c>
      <c r="BN27" s="141">
        <v>13</v>
      </c>
      <c r="BO27" s="141">
        <v>22</v>
      </c>
      <c r="BP27" s="141">
        <v>10</v>
      </c>
      <c r="BQ27" s="141">
        <v>4</v>
      </c>
      <c r="BR27" s="141">
        <v>6</v>
      </c>
      <c r="BS27" s="141">
        <v>6</v>
      </c>
      <c r="BT27" s="141">
        <v>1</v>
      </c>
      <c r="BU27" s="151">
        <v>5</v>
      </c>
      <c r="BV27" s="149">
        <v>18</v>
      </c>
      <c r="BW27" s="139">
        <v>6</v>
      </c>
      <c r="BX27" s="139">
        <v>12</v>
      </c>
      <c r="BY27" s="140">
        <v>0</v>
      </c>
      <c r="BZ27" s="141">
        <v>0</v>
      </c>
      <c r="CA27" s="141">
        <v>0</v>
      </c>
      <c r="CB27" s="141">
        <v>0</v>
      </c>
      <c r="CC27" s="141">
        <v>0</v>
      </c>
      <c r="CD27" s="141">
        <v>0</v>
      </c>
      <c r="CE27" s="141">
        <v>1</v>
      </c>
      <c r="CF27" s="141">
        <v>0</v>
      </c>
      <c r="CG27" s="141">
        <v>1</v>
      </c>
      <c r="CH27" s="141">
        <v>3</v>
      </c>
      <c r="CI27" s="141">
        <v>1</v>
      </c>
      <c r="CJ27" s="141">
        <v>2</v>
      </c>
      <c r="CK27" s="141">
        <v>7</v>
      </c>
      <c r="CL27" s="141">
        <v>3</v>
      </c>
      <c r="CM27" s="141">
        <v>4</v>
      </c>
      <c r="CN27" s="141">
        <v>4</v>
      </c>
      <c r="CO27" s="141">
        <v>0</v>
      </c>
      <c r="CP27" s="141">
        <v>4</v>
      </c>
      <c r="CQ27" s="141">
        <v>3</v>
      </c>
      <c r="CR27" s="141">
        <v>2</v>
      </c>
      <c r="CS27" s="141">
        <v>1</v>
      </c>
    </row>
    <row r="28" spans="1:97" s="178" customFormat="1" ht="20.45" customHeight="1">
      <c r="A28" s="170" t="s">
        <v>355</v>
      </c>
      <c r="B28" s="139">
        <v>3088</v>
      </c>
      <c r="C28" s="139">
        <v>1224</v>
      </c>
      <c r="D28" s="139">
        <v>1864</v>
      </c>
      <c r="E28" s="141">
        <v>524</v>
      </c>
      <c r="F28" s="141">
        <v>174</v>
      </c>
      <c r="G28" s="141">
        <v>350</v>
      </c>
      <c r="H28" s="141">
        <v>520</v>
      </c>
      <c r="I28" s="141">
        <v>193</v>
      </c>
      <c r="J28" s="141">
        <v>327</v>
      </c>
      <c r="K28" s="141">
        <v>631</v>
      </c>
      <c r="L28" s="141">
        <v>251</v>
      </c>
      <c r="M28" s="141">
        <v>380</v>
      </c>
      <c r="N28" s="141">
        <v>546</v>
      </c>
      <c r="O28" s="141">
        <v>237</v>
      </c>
      <c r="P28" s="141">
        <v>309</v>
      </c>
      <c r="Q28" s="141">
        <v>349</v>
      </c>
      <c r="R28" s="141">
        <v>132</v>
      </c>
      <c r="S28" s="141">
        <v>217</v>
      </c>
      <c r="T28" s="141">
        <v>240</v>
      </c>
      <c r="U28" s="141">
        <v>107</v>
      </c>
      <c r="V28" s="141">
        <v>133</v>
      </c>
      <c r="W28" s="141">
        <v>278</v>
      </c>
      <c r="X28" s="141">
        <v>130</v>
      </c>
      <c r="Y28" s="151">
        <v>148</v>
      </c>
      <c r="Z28" s="139">
        <v>2880</v>
      </c>
      <c r="AA28" s="139">
        <v>1170</v>
      </c>
      <c r="AB28" s="139">
        <v>1710</v>
      </c>
      <c r="AC28" s="141">
        <v>486</v>
      </c>
      <c r="AD28" s="141">
        <v>165</v>
      </c>
      <c r="AE28" s="141">
        <v>321</v>
      </c>
      <c r="AF28" s="141">
        <v>481</v>
      </c>
      <c r="AG28" s="141">
        <v>185</v>
      </c>
      <c r="AH28" s="141">
        <v>296</v>
      </c>
      <c r="AI28" s="141">
        <v>584</v>
      </c>
      <c r="AJ28" s="141">
        <v>238</v>
      </c>
      <c r="AK28" s="141">
        <v>346</v>
      </c>
      <c r="AL28" s="141">
        <v>497</v>
      </c>
      <c r="AM28" s="141">
        <v>223</v>
      </c>
      <c r="AN28" s="141">
        <v>274</v>
      </c>
      <c r="AO28" s="141">
        <v>318</v>
      </c>
      <c r="AP28" s="141">
        <v>123</v>
      </c>
      <c r="AQ28" s="141">
        <v>195</v>
      </c>
      <c r="AR28" s="141">
        <v>236</v>
      </c>
      <c r="AS28" s="141">
        <v>106</v>
      </c>
      <c r="AT28" s="141">
        <v>130</v>
      </c>
      <c r="AU28" s="141">
        <v>278</v>
      </c>
      <c r="AV28" s="141">
        <v>130</v>
      </c>
      <c r="AW28" s="151">
        <v>148</v>
      </c>
      <c r="AX28" s="149">
        <v>364</v>
      </c>
      <c r="AY28" s="139">
        <v>103</v>
      </c>
      <c r="AZ28" s="139">
        <v>261</v>
      </c>
      <c r="BA28" s="140">
        <v>55</v>
      </c>
      <c r="BB28" s="141">
        <v>14</v>
      </c>
      <c r="BC28" s="141">
        <v>41</v>
      </c>
      <c r="BD28" s="141">
        <v>62</v>
      </c>
      <c r="BE28" s="141">
        <v>13</v>
      </c>
      <c r="BF28" s="141">
        <v>49</v>
      </c>
      <c r="BG28" s="141">
        <v>80</v>
      </c>
      <c r="BH28" s="141">
        <v>26</v>
      </c>
      <c r="BI28" s="141">
        <v>54</v>
      </c>
      <c r="BJ28" s="141">
        <v>88</v>
      </c>
      <c r="BK28" s="141">
        <v>25</v>
      </c>
      <c r="BL28" s="141">
        <v>63</v>
      </c>
      <c r="BM28" s="141">
        <v>67</v>
      </c>
      <c r="BN28" s="141">
        <v>21</v>
      </c>
      <c r="BO28" s="141">
        <v>46</v>
      </c>
      <c r="BP28" s="141">
        <v>11</v>
      </c>
      <c r="BQ28" s="141">
        <v>4</v>
      </c>
      <c r="BR28" s="141">
        <v>7</v>
      </c>
      <c r="BS28" s="141">
        <v>1</v>
      </c>
      <c r="BT28" s="141">
        <v>0</v>
      </c>
      <c r="BU28" s="151">
        <v>1</v>
      </c>
      <c r="BV28" s="149">
        <v>7</v>
      </c>
      <c r="BW28" s="139">
        <v>4</v>
      </c>
      <c r="BX28" s="139">
        <v>3</v>
      </c>
      <c r="BY28" s="140">
        <v>0</v>
      </c>
      <c r="BZ28" s="141">
        <v>0</v>
      </c>
      <c r="CA28" s="141">
        <v>0</v>
      </c>
      <c r="CB28" s="141">
        <v>0</v>
      </c>
      <c r="CC28" s="141">
        <v>0</v>
      </c>
      <c r="CD28" s="141">
        <v>0</v>
      </c>
      <c r="CE28" s="141">
        <v>0</v>
      </c>
      <c r="CF28" s="141">
        <v>0</v>
      </c>
      <c r="CG28" s="141">
        <v>0</v>
      </c>
      <c r="CH28" s="141">
        <v>2</v>
      </c>
      <c r="CI28" s="141">
        <v>1</v>
      </c>
      <c r="CJ28" s="141">
        <v>1</v>
      </c>
      <c r="CK28" s="141">
        <v>4</v>
      </c>
      <c r="CL28" s="141">
        <v>3</v>
      </c>
      <c r="CM28" s="141">
        <v>1</v>
      </c>
      <c r="CN28" s="141">
        <v>1</v>
      </c>
      <c r="CO28" s="141">
        <v>0</v>
      </c>
      <c r="CP28" s="141">
        <v>1</v>
      </c>
      <c r="CQ28" s="141">
        <v>0</v>
      </c>
      <c r="CR28" s="141">
        <v>0</v>
      </c>
      <c r="CS28" s="141">
        <v>0</v>
      </c>
    </row>
    <row r="29" spans="1:97" s="178" customFormat="1" ht="20.45" customHeight="1">
      <c r="A29" s="170" t="s">
        <v>356</v>
      </c>
      <c r="B29" s="139">
        <v>977</v>
      </c>
      <c r="C29" s="139">
        <v>369</v>
      </c>
      <c r="D29" s="139">
        <v>608</v>
      </c>
      <c r="E29" s="141">
        <v>213</v>
      </c>
      <c r="F29" s="141">
        <v>56</v>
      </c>
      <c r="G29" s="141">
        <v>157</v>
      </c>
      <c r="H29" s="141">
        <v>198</v>
      </c>
      <c r="I29" s="141">
        <v>68</v>
      </c>
      <c r="J29" s="141">
        <v>130</v>
      </c>
      <c r="K29" s="141">
        <v>166</v>
      </c>
      <c r="L29" s="141">
        <v>65</v>
      </c>
      <c r="M29" s="141">
        <v>101</v>
      </c>
      <c r="N29" s="141">
        <v>148</v>
      </c>
      <c r="O29" s="141">
        <v>69</v>
      </c>
      <c r="P29" s="141">
        <v>79</v>
      </c>
      <c r="Q29" s="141">
        <v>118</v>
      </c>
      <c r="R29" s="141">
        <v>42</v>
      </c>
      <c r="S29" s="141">
        <v>76</v>
      </c>
      <c r="T29" s="141">
        <v>72</v>
      </c>
      <c r="U29" s="141">
        <v>39</v>
      </c>
      <c r="V29" s="141">
        <v>33</v>
      </c>
      <c r="W29" s="141">
        <v>62</v>
      </c>
      <c r="X29" s="141">
        <v>30</v>
      </c>
      <c r="Y29" s="151">
        <v>32</v>
      </c>
      <c r="Z29" s="139">
        <v>913</v>
      </c>
      <c r="AA29" s="139">
        <v>354</v>
      </c>
      <c r="AB29" s="139">
        <v>559</v>
      </c>
      <c r="AC29" s="141">
        <v>197</v>
      </c>
      <c r="AD29" s="141">
        <v>56</v>
      </c>
      <c r="AE29" s="141">
        <v>141</v>
      </c>
      <c r="AF29" s="141">
        <v>187</v>
      </c>
      <c r="AG29" s="141">
        <v>64</v>
      </c>
      <c r="AH29" s="141">
        <v>123</v>
      </c>
      <c r="AI29" s="141">
        <v>153</v>
      </c>
      <c r="AJ29" s="141">
        <v>62</v>
      </c>
      <c r="AK29" s="141">
        <v>91</v>
      </c>
      <c r="AL29" s="141">
        <v>138</v>
      </c>
      <c r="AM29" s="141">
        <v>64</v>
      </c>
      <c r="AN29" s="141">
        <v>74</v>
      </c>
      <c r="AO29" s="141">
        <v>107</v>
      </c>
      <c r="AP29" s="141">
        <v>40</v>
      </c>
      <c r="AQ29" s="141">
        <v>67</v>
      </c>
      <c r="AR29" s="141">
        <v>70</v>
      </c>
      <c r="AS29" s="141">
        <v>38</v>
      </c>
      <c r="AT29" s="141">
        <v>32</v>
      </c>
      <c r="AU29" s="141">
        <v>61</v>
      </c>
      <c r="AV29" s="141">
        <v>30</v>
      </c>
      <c r="AW29" s="151">
        <v>31</v>
      </c>
      <c r="AX29" s="149">
        <v>89</v>
      </c>
      <c r="AY29" s="139">
        <v>22</v>
      </c>
      <c r="AZ29" s="139">
        <v>67</v>
      </c>
      <c r="BA29" s="140">
        <v>20</v>
      </c>
      <c r="BB29" s="141">
        <v>2</v>
      </c>
      <c r="BC29" s="141">
        <v>18</v>
      </c>
      <c r="BD29" s="141">
        <v>12</v>
      </c>
      <c r="BE29" s="141">
        <v>4</v>
      </c>
      <c r="BF29" s="141">
        <v>8</v>
      </c>
      <c r="BG29" s="141">
        <v>19</v>
      </c>
      <c r="BH29" s="141">
        <v>4</v>
      </c>
      <c r="BI29" s="141">
        <v>15</v>
      </c>
      <c r="BJ29" s="141">
        <v>14</v>
      </c>
      <c r="BK29" s="141">
        <v>5</v>
      </c>
      <c r="BL29" s="141">
        <v>9</v>
      </c>
      <c r="BM29" s="141">
        <v>21</v>
      </c>
      <c r="BN29" s="141">
        <v>6</v>
      </c>
      <c r="BO29" s="141">
        <v>15</v>
      </c>
      <c r="BP29" s="141">
        <v>2</v>
      </c>
      <c r="BQ29" s="141">
        <v>1</v>
      </c>
      <c r="BR29" s="141">
        <v>1</v>
      </c>
      <c r="BS29" s="141">
        <v>1</v>
      </c>
      <c r="BT29" s="141">
        <v>0</v>
      </c>
      <c r="BU29" s="151">
        <v>1</v>
      </c>
      <c r="BV29" s="149">
        <v>6</v>
      </c>
      <c r="BW29" s="139">
        <v>2</v>
      </c>
      <c r="BX29" s="139">
        <v>4</v>
      </c>
      <c r="BY29" s="140">
        <v>0</v>
      </c>
      <c r="BZ29" s="141">
        <v>0</v>
      </c>
      <c r="CA29" s="141">
        <v>0</v>
      </c>
      <c r="CB29" s="141">
        <v>0</v>
      </c>
      <c r="CC29" s="141">
        <v>0</v>
      </c>
      <c r="CD29" s="141">
        <v>0</v>
      </c>
      <c r="CE29" s="141">
        <v>1</v>
      </c>
      <c r="CF29" s="141">
        <v>1</v>
      </c>
      <c r="CG29" s="141">
        <v>0</v>
      </c>
      <c r="CH29" s="141">
        <v>3</v>
      </c>
      <c r="CI29" s="141">
        <v>1</v>
      </c>
      <c r="CJ29" s="141">
        <v>2</v>
      </c>
      <c r="CK29" s="141">
        <v>2</v>
      </c>
      <c r="CL29" s="141">
        <v>0</v>
      </c>
      <c r="CM29" s="141">
        <v>2</v>
      </c>
      <c r="CN29" s="141">
        <v>0</v>
      </c>
      <c r="CO29" s="141">
        <v>0</v>
      </c>
      <c r="CP29" s="141">
        <v>0</v>
      </c>
      <c r="CQ29" s="141">
        <v>0</v>
      </c>
      <c r="CR29" s="141">
        <v>0</v>
      </c>
      <c r="CS29" s="141">
        <v>0</v>
      </c>
    </row>
    <row r="30" spans="1:97" s="178" customFormat="1" ht="20.45" customHeight="1" thickBot="1">
      <c r="A30" s="171" t="s">
        <v>357</v>
      </c>
      <c r="B30" s="161">
        <v>18</v>
      </c>
      <c r="C30" s="161">
        <v>9</v>
      </c>
      <c r="D30" s="161">
        <v>9</v>
      </c>
      <c r="E30" s="162">
        <v>10</v>
      </c>
      <c r="F30" s="162">
        <v>5</v>
      </c>
      <c r="G30" s="162">
        <v>5</v>
      </c>
      <c r="H30" s="162">
        <v>5</v>
      </c>
      <c r="I30" s="163">
        <v>3</v>
      </c>
      <c r="J30" s="164">
        <v>2</v>
      </c>
      <c r="K30" s="162">
        <v>0</v>
      </c>
      <c r="L30" s="162">
        <v>0</v>
      </c>
      <c r="M30" s="162">
        <v>0</v>
      </c>
      <c r="N30" s="162">
        <v>0</v>
      </c>
      <c r="O30" s="162">
        <v>0</v>
      </c>
      <c r="P30" s="162">
        <v>0</v>
      </c>
      <c r="Q30" s="162">
        <v>1</v>
      </c>
      <c r="R30" s="162">
        <v>1</v>
      </c>
      <c r="S30" s="162">
        <v>0</v>
      </c>
      <c r="T30" s="162">
        <v>1</v>
      </c>
      <c r="U30" s="162">
        <v>0</v>
      </c>
      <c r="V30" s="162">
        <v>1</v>
      </c>
      <c r="W30" s="162">
        <v>1</v>
      </c>
      <c r="X30" s="162">
        <v>0</v>
      </c>
      <c r="Y30" s="165">
        <v>1</v>
      </c>
      <c r="Z30" s="161">
        <v>13</v>
      </c>
      <c r="AA30" s="161">
        <v>5</v>
      </c>
      <c r="AB30" s="161">
        <v>8</v>
      </c>
      <c r="AC30" s="162">
        <v>6</v>
      </c>
      <c r="AD30" s="162">
        <v>2</v>
      </c>
      <c r="AE30" s="162">
        <v>4</v>
      </c>
      <c r="AF30" s="162">
        <v>4</v>
      </c>
      <c r="AG30" s="163">
        <v>2</v>
      </c>
      <c r="AH30" s="164">
        <v>2</v>
      </c>
      <c r="AI30" s="162">
        <v>0</v>
      </c>
      <c r="AJ30" s="162">
        <v>0</v>
      </c>
      <c r="AK30" s="162">
        <v>0</v>
      </c>
      <c r="AL30" s="162">
        <v>0</v>
      </c>
      <c r="AM30" s="162">
        <v>0</v>
      </c>
      <c r="AN30" s="162">
        <v>0</v>
      </c>
      <c r="AO30" s="162">
        <v>1</v>
      </c>
      <c r="AP30" s="162">
        <v>1</v>
      </c>
      <c r="AQ30" s="162">
        <v>0</v>
      </c>
      <c r="AR30" s="162">
        <v>1</v>
      </c>
      <c r="AS30" s="162">
        <v>0</v>
      </c>
      <c r="AT30" s="162">
        <v>1</v>
      </c>
      <c r="AU30" s="162">
        <v>1</v>
      </c>
      <c r="AV30" s="162">
        <v>0</v>
      </c>
      <c r="AW30" s="165">
        <v>1</v>
      </c>
      <c r="AX30" s="166">
        <v>5</v>
      </c>
      <c r="AY30" s="161">
        <v>4</v>
      </c>
      <c r="AZ30" s="161">
        <v>1</v>
      </c>
      <c r="BA30" s="164">
        <v>4</v>
      </c>
      <c r="BB30" s="162">
        <v>3</v>
      </c>
      <c r="BC30" s="162">
        <v>1</v>
      </c>
      <c r="BD30" s="162">
        <v>1</v>
      </c>
      <c r="BE30" s="163">
        <v>1</v>
      </c>
      <c r="BF30" s="164">
        <v>0</v>
      </c>
      <c r="BG30" s="162">
        <v>0</v>
      </c>
      <c r="BH30" s="162">
        <v>0</v>
      </c>
      <c r="BI30" s="162">
        <v>0</v>
      </c>
      <c r="BJ30" s="162">
        <v>0</v>
      </c>
      <c r="BK30" s="162">
        <v>0</v>
      </c>
      <c r="BL30" s="162">
        <v>0</v>
      </c>
      <c r="BM30" s="162">
        <v>0</v>
      </c>
      <c r="BN30" s="162">
        <v>0</v>
      </c>
      <c r="BO30" s="162">
        <v>0</v>
      </c>
      <c r="BP30" s="162">
        <v>0</v>
      </c>
      <c r="BQ30" s="162">
        <v>0</v>
      </c>
      <c r="BR30" s="162">
        <v>0</v>
      </c>
      <c r="BS30" s="162">
        <v>0</v>
      </c>
      <c r="BT30" s="162">
        <v>0</v>
      </c>
      <c r="BU30" s="165">
        <v>0</v>
      </c>
      <c r="BV30" s="166">
        <v>0</v>
      </c>
      <c r="BW30" s="161">
        <v>0</v>
      </c>
      <c r="BX30" s="161">
        <v>0</v>
      </c>
      <c r="BY30" s="164">
        <v>0</v>
      </c>
      <c r="BZ30" s="162">
        <v>0</v>
      </c>
      <c r="CA30" s="162">
        <v>0</v>
      </c>
      <c r="CB30" s="162">
        <v>0</v>
      </c>
      <c r="CC30" s="163">
        <v>0</v>
      </c>
      <c r="CD30" s="164">
        <v>0</v>
      </c>
      <c r="CE30" s="162">
        <v>0</v>
      </c>
      <c r="CF30" s="162">
        <v>0</v>
      </c>
      <c r="CG30" s="162">
        <v>0</v>
      </c>
      <c r="CH30" s="162">
        <v>0</v>
      </c>
      <c r="CI30" s="162">
        <v>0</v>
      </c>
      <c r="CJ30" s="162">
        <v>0</v>
      </c>
      <c r="CK30" s="162">
        <v>0</v>
      </c>
      <c r="CL30" s="162">
        <v>0</v>
      </c>
      <c r="CM30" s="162">
        <v>0</v>
      </c>
      <c r="CN30" s="162">
        <v>0</v>
      </c>
      <c r="CO30" s="162">
        <v>0</v>
      </c>
      <c r="CP30" s="162">
        <v>0</v>
      </c>
      <c r="CQ30" s="162">
        <v>0</v>
      </c>
      <c r="CR30" s="162">
        <v>0</v>
      </c>
      <c r="CS30" s="162">
        <v>0</v>
      </c>
    </row>
    <row r="31" spans="1:97" ht="15.75" customHeight="1">
      <c r="A31" s="189" t="s">
        <v>382</v>
      </c>
      <c r="D31" s="179"/>
      <c r="E31" s="180"/>
      <c r="F31" s="180"/>
      <c r="I31" s="180"/>
      <c r="AB31" s="179"/>
      <c r="AC31" s="180"/>
      <c r="AD31" s="180"/>
      <c r="AG31" s="180"/>
      <c r="AZ31" s="179"/>
      <c r="BA31" s="180"/>
      <c r="BB31" s="180"/>
      <c r="BE31" s="180"/>
      <c r="BX31" s="179"/>
      <c r="BY31" s="180"/>
      <c r="BZ31" s="180"/>
      <c r="CC31" s="180"/>
    </row>
    <row r="32" spans="1:97" ht="17.45" customHeight="1">
      <c r="A32" s="189" t="s">
        <v>435</v>
      </c>
      <c r="D32" s="179"/>
      <c r="E32" s="180"/>
      <c r="F32" s="180"/>
      <c r="I32" s="180"/>
      <c r="AB32" s="179"/>
      <c r="AC32" s="180"/>
      <c r="AD32" s="180"/>
      <c r="AG32" s="180"/>
      <c r="AZ32" s="179"/>
      <c r="BA32" s="180"/>
      <c r="BB32" s="180"/>
      <c r="BE32" s="180"/>
      <c r="BX32" s="179"/>
      <c r="BY32" s="180"/>
      <c r="BZ32" s="180"/>
      <c r="CC32" s="180"/>
    </row>
    <row r="33" spans="1:1">
      <c r="A33" s="188" t="s">
        <v>329</v>
      </c>
    </row>
    <row r="34" spans="1:1">
      <c r="A34" s="188"/>
    </row>
    <row r="35" spans="1:1" ht="16.5">
      <c r="A35" s="185" t="s">
        <v>380</v>
      </c>
    </row>
  </sheetData>
  <mergeCells count="43">
    <mergeCell ref="BT3:BU3"/>
    <mergeCell ref="CR3:CS3"/>
    <mergeCell ref="A4:A7"/>
    <mergeCell ref="B5:Y5"/>
    <mergeCell ref="Z5:AW5"/>
    <mergeCell ref="AX4:BU4"/>
    <mergeCell ref="AC6:AE6"/>
    <mergeCell ref="BV5:CS5"/>
    <mergeCell ref="B4:Y4"/>
    <mergeCell ref="AX5:BU5"/>
    <mergeCell ref="B6:D6"/>
    <mergeCell ref="E6:G6"/>
    <mergeCell ref="H6:J6"/>
    <mergeCell ref="BA6:BC6"/>
    <mergeCell ref="BD6:BF6"/>
    <mergeCell ref="BG6:BI6"/>
    <mergeCell ref="BJ6:BL6"/>
    <mergeCell ref="K6:M6"/>
    <mergeCell ref="N6:P6"/>
    <mergeCell ref="Q6:S6"/>
    <mergeCell ref="T6:V6"/>
    <mergeCell ref="W6:Y6"/>
    <mergeCell ref="AL6:AN6"/>
    <mergeCell ref="AO6:AQ6"/>
    <mergeCell ref="AR6:AT6"/>
    <mergeCell ref="AU6:AW6"/>
    <mergeCell ref="AX6:AZ6"/>
    <mergeCell ref="Z4:AW4"/>
    <mergeCell ref="BV4:CS4"/>
    <mergeCell ref="CH6:CJ6"/>
    <mergeCell ref="CK6:CM6"/>
    <mergeCell ref="CN6:CP6"/>
    <mergeCell ref="CQ6:CS6"/>
    <mergeCell ref="BP6:BR6"/>
    <mergeCell ref="BS6:BU6"/>
    <mergeCell ref="BV6:BX6"/>
    <mergeCell ref="BY6:CA6"/>
    <mergeCell ref="CB6:CD6"/>
    <mergeCell ref="CE6:CG6"/>
    <mergeCell ref="Z6:AB6"/>
    <mergeCell ref="BM6:BO6"/>
    <mergeCell ref="AF6:AH6"/>
    <mergeCell ref="AI6:AK6"/>
  </mergeCells>
  <phoneticPr fontId="6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51" fitToWidth="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  <pageSetUpPr fitToPage="1"/>
  </sheetPr>
  <dimension ref="A1:BJ33"/>
  <sheetViews>
    <sheetView zoomScaleNormal="100" zoomScaleSheetLayoutView="75" workbookViewId="0">
      <selection activeCell="B18" sqref="B18:J19"/>
    </sheetView>
  </sheetViews>
  <sheetFormatPr defaultColWidth="12" defaultRowHeight="15.75"/>
  <cols>
    <col min="1" max="1" width="19.1640625" style="2" customWidth="1"/>
    <col min="2" max="2" width="11.1640625" style="2" customWidth="1"/>
    <col min="3" max="3" width="11" style="2" customWidth="1"/>
    <col min="4" max="4" width="10.83203125" style="2" customWidth="1"/>
    <col min="5" max="11" width="9.83203125" style="2" customWidth="1"/>
    <col min="12" max="13" width="11.33203125" style="2" bestFit="1" customWidth="1"/>
    <col min="14" max="14" width="10.1640625" style="2" bestFit="1" customWidth="1"/>
    <col min="15" max="15" width="11.33203125" style="2" bestFit="1" customWidth="1"/>
    <col min="16" max="16" width="10.1640625" style="2" bestFit="1" customWidth="1"/>
    <col min="17" max="17" width="11.33203125" style="2" bestFit="1" customWidth="1"/>
    <col min="18" max="18" width="10.1640625" style="2" bestFit="1" customWidth="1"/>
    <col min="19" max="19" width="11.33203125" style="2" bestFit="1" customWidth="1"/>
    <col min="20" max="21" width="12" style="2" customWidth="1"/>
    <col min="22" max="24" width="10.83203125" style="2" customWidth="1"/>
    <col min="25" max="33" width="11.1640625" style="2" customWidth="1"/>
    <col min="34" max="34" width="12.6640625" style="2" bestFit="1" customWidth="1"/>
    <col min="35" max="35" width="11.33203125" style="2" customWidth="1"/>
    <col min="36" max="36" width="11.83203125" style="2" customWidth="1"/>
    <col min="37" max="37" width="13.1640625" style="2" bestFit="1" customWidth="1"/>
    <col min="38" max="39" width="10.5" style="2" bestFit="1" customWidth="1"/>
    <col min="40" max="40" width="11.6640625" style="2" customWidth="1"/>
    <col min="41" max="42" width="10.5" style="2" bestFit="1" customWidth="1"/>
    <col min="43" max="43" width="12.5" style="2" customWidth="1"/>
    <col min="44" max="44" width="13.33203125" style="2" customWidth="1"/>
    <col min="45" max="45" width="13.5" style="2" customWidth="1"/>
    <col min="46" max="46" width="14.1640625" style="2" bestFit="1" customWidth="1"/>
    <col min="47" max="48" width="12.6640625" style="2" bestFit="1" customWidth="1"/>
    <col min="49" max="49" width="11.33203125" style="2" customWidth="1"/>
    <col min="50" max="256" width="12" style="2"/>
    <col min="257" max="257" width="19.1640625" style="2" customWidth="1"/>
    <col min="258" max="258" width="11.1640625" style="2" customWidth="1"/>
    <col min="259" max="259" width="11" style="2" customWidth="1"/>
    <col min="260" max="260" width="10.83203125" style="2" customWidth="1"/>
    <col min="261" max="267" width="9.83203125" style="2" customWidth="1"/>
    <col min="268" max="269" width="11.33203125" style="2" bestFit="1" customWidth="1"/>
    <col min="270" max="270" width="10.1640625" style="2" bestFit="1" customWidth="1"/>
    <col min="271" max="271" width="11.33203125" style="2" bestFit="1" customWidth="1"/>
    <col min="272" max="272" width="10.1640625" style="2" bestFit="1" customWidth="1"/>
    <col min="273" max="273" width="11.33203125" style="2" bestFit="1" customWidth="1"/>
    <col min="274" max="274" width="10.1640625" style="2" bestFit="1" customWidth="1"/>
    <col min="275" max="275" width="11.33203125" style="2" bestFit="1" customWidth="1"/>
    <col min="276" max="277" width="12" style="2"/>
    <col min="278" max="280" width="10.83203125" style="2" customWidth="1"/>
    <col min="281" max="289" width="11.1640625" style="2" customWidth="1"/>
    <col min="290" max="290" width="12.6640625" style="2" bestFit="1" customWidth="1"/>
    <col min="291" max="291" width="11.33203125" style="2" customWidth="1"/>
    <col min="292" max="292" width="11.83203125" style="2" customWidth="1"/>
    <col min="293" max="293" width="13.1640625" style="2" bestFit="1" customWidth="1"/>
    <col min="294" max="295" width="10.5" style="2" bestFit="1" customWidth="1"/>
    <col min="296" max="296" width="11.6640625" style="2" customWidth="1"/>
    <col min="297" max="298" width="10.5" style="2" bestFit="1" customWidth="1"/>
    <col min="299" max="299" width="12.5" style="2" customWidth="1"/>
    <col min="300" max="300" width="13.33203125" style="2" customWidth="1"/>
    <col min="301" max="301" width="13.5" style="2" customWidth="1"/>
    <col min="302" max="302" width="14.1640625" style="2" bestFit="1" customWidth="1"/>
    <col min="303" max="304" width="12.6640625" style="2" bestFit="1" customWidth="1"/>
    <col min="305" max="305" width="11.33203125" style="2" customWidth="1"/>
    <col min="306" max="512" width="12" style="2"/>
    <col min="513" max="513" width="19.1640625" style="2" customWidth="1"/>
    <col min="514" max="514" width="11.1640625" style="2" customWidth="1"/>
    <col min="515" max="515" width="11" style="2" customWidth="1"/>
    <col min="516" max="516" width="10.83203125" style="2" customWidth="1"/>
    <col min="517" max="523" width="9.83203125" style="2" customWidth="1"/>
    <col min="524" max="525" width="11.33203125" style="2" bestFit="1" customWidth="1"/>
    <col min="526" max="526" width="10.1640625" style="2" bestFit="1" customWidth="1"/>
    <col min="527" max="527" width="11.33203125" style="2" bestFit="1" customWidth="1"/>
    <col min="528" max="528" width="10.1640625" style="2" bestFit="1" customWidth="1"/>
    <col min="529" max="529" width="11.33203125" style="2" bestFit="1" customWidth="1"/>
    <col min="530" max="530" width="10.1640625" style="2" bestFit="1" customWidth="1"/>
    <col min="531" max="531" width="11.33203125" style="2" bestFit="1" customWidth="1"/>
    <col min="532" max="533" width="12" style="2"/>
    <col min="534" max="536" width="10.83203125" style="2" customWidth="1"/>
    <col min="537" max="545" width="11.1640625" style="2" customWidth="1"/>
    <col min="546" max="546" width="12.6640625" style="2" bestFit="1" customWidth="1"/>
    <col min="547" max="547" width="11.33203125" style="2" customWidth="1"/>
    <col min="548" max="548" width="11.83203125" style="2" customWidth="1"/>
    <col min="549" max="549" width="13.1640625" style="2" bestFit="1" customWidth="1"/>
    <col min="550" max="551" width="10.5" style="2" bestFit="1" customWidth="1"/>
    <col min="552" max="552" width="11.6640625" style="2" customWidth="1"/>
    <col min="553" max="554" width="10.5" style="2" bestFit="1" customWidth="1"/>
    <col min="555" max="555" width="12.5" style="2" customWidth="1"/>
    <col min="556" max="556" width="13.33203125" style="2" customWidth="1"/>
    <col min="557" max="557" width="13.5" style="2" customWidth="1"/>
    <col min="558" max="558" width="14.1640625" style="2" bestFit="1" customWidth="1"/>
    <col min="559" max="560" width="12.6640625" style="2" bestFit="1" customWidth="1"/>
    <col min="561" max="561" width="11.33203125" style="2" customWidth="1"/>
    <col min="562" max="768" width="12" style="2"/>
    <col min="769" max="769" width="19.1640625" style="2" customWidth="1"/>
    <col min="770" max="770" width="11.1640625" style="2" customWidth="1"/>
    <col min="771" max="771" width="11" style="2" customWidth="1"/>
    <col min="772" max="772" width="10.83203125" style="2" customWidth="1"/>
    <col min="773" max="779" width="9.83203125" style="2" customWidth="1"/>
    <col min="780" max="781" width="11.33203125" style="2" bestFit="1" customWidth="1"/>
    <col min="782" max="782" width="10.1640625" style="2" bestFit="1" customWidth="1"/>
    <col min="783" max="783" width="11.33203125" style="2" bestFit="1" customWidth="1"/>
    <col min="784" max="784" width="10.1640625" style="2" bestFit="1" customWidth="1"/>
    <col min="785" max="785" width="11.33203125" style="2" bestFit="1" customWidth="1"/>
    <col min="786" max="786" width="10.1640625" style="2" bestFit="1" customWidth="1"/>
    <col min="787" max="787" width="11.33203125" style="2" bestFit="1" customWidth="1"/>
    <col min="788" max="789" width="12" style="2"/>
    <col min="790" max="792" width="10.83203125" style="2" customWidth="1"/>
    <col min="793" max="801" width="11.1640625" style="2" customWidth="1"/>
    <col min="802" max="802" width="12.6640625" style="2" bestFit="1" customWidth="1"/>
    <col min="803" max="803" width="11.33203125" style="2" customWidth="1"/>
    <col min="804" max="804" width="11.83203125" style="2" customWidth="1"/>
    <col min="805" max="805" width="13.1640625" style="2" bestFit="1" customWidth="1"/>
    <col min="806" max="807" width="10.5" style="2" bestFit="1" customWidth="1"/>
    <col min="808" max="808" width="11.6640625" style="2" customWidth="1"/>
    <col min="809" max="810" width="10.5" style="2" bestFit="1" customWidth="1"/>
    <col min="811" max="811" width="12.5" style="2" customWidth="1"/>
    <col min="812" max="812" width="13.33203125" style="2" customWidth="1"/>
    <col min="813" max="813" width="13.5" style="2" customWidth="1"/>
    <col min="814" max="814" width="14.1640625" style="2" bestFit="1" customWidth="1"/>
    <col min="815" max="816" width="12.6640625" style="2" bestFit="1" customWidth="1"/>
    <col min="817" max="817" width="11.33203125" style="2" customWidth="1"/>
    <col min="818" max="1024" width="12" style="2"/>
    <col min="1025" max="1025" width="19.1640625" style="2" customWidth="1"/>
    <col min="1026" max="1026" width="11.1640625" style="2" customWidth="1"/>
    <col min="1027" max="1027" width="11" style="2" customWidth="1"/>
    <col min="1028" max="1028" width="10.83203125" style="2" customWidth="1"/>
    <col min="1029" max="1035" width="9.83203125" style="2" customWidth="1"/>
    <col min="1036" max="1037" width="11.33203125" style="2" bestFit="1" customWidth="1"/>
    <col min="1038" max="1038" width="10.1640625" style="2" bestFit="1" customWidth="1"/>
    <col min="1039" max="1039" width="11.33203125" style="2" bestFit="1" customWidth="1"/>
    <col min="1040" max="1040" width="10.1640625" style="2" bestFit="1" customWidth="1"/>
    <col min="1041" max="1041" width="11.33203125" style="2" bestFit="1" customWidth="1"/>
    <col min="1042" max="1042" width="10.1640625" style="2" bestFit="1" customWidth="1"/>
    <col min="1043" max="1043" width="11.33203125" style="2" bestFit="1" customWidth="1"/>
    <col min="1044" max="1045" width="12" style="2"/>
    <col min="1046" max="1048" width="10.83203125" style="2" customWidth="1"/>
    <col min="1049" max="1057" width="11.1640625" style="2" customWidth="1"/>
    <col min="1058" max="1058" width="12.6640625" style="2" bestFit="1" customWidth="1"/>
    <col min="1059" max="1059" width="11.33203125" style="2" customWidth="1"/>
    <col min="1060" max="1060" width="11.83203125" style="2" customWidth="1"/>
    <col min="1061" max="1061" width="13.1640625" style="2" bestFit="1" customWidth="1"/>
    <col min="1062" max="1063" width="10.5" style="2" bestFit="1" customWidth="1"/>
    <col min="1064" max="1064" width="11.6640625" style="2" customWidth="1"/>
    <col min="1065" max="1066" width="10.5" style="2" bestFit="1" customWidth="1"/>
    <col min="1067" max="1067" width="12.5" style="2" customWidth="1"/>
    <col min="1068" max="1068" width="13.33203125" style="2" customWidth="1"/>
    <col min="1069" max="1069" width="13.5" style="2" customWidth="1"/>
    <col min="1070" max="1070" width="14.1640625" style="2" bestFit="1" customWidth="1"/>
    <col min="1071" max="1072" width="12.6640625" style="2" bestFit="1" customWidth="1"/>
    <col min="1073" max="1073" width="11.33203125" style="2" customWidth="1"/>
    <col min="1074" max="1280" width="12" style="2"/>
    <col min="1281" max="1281" width="19.1640625" style="2" customWidth="1"/>
    <col min="1282" max="1282" width="11.1640625" style="2" customWidth="1"/>
    <col min="1283" max="1283" width="11" style="2" customWidth="1"/>
    <col min="1284" max="1284" width="10.83203125" style="2" customWidth="1"/>
    <col min="1285" max="1291" width="9.83203125" style="2" customWidth="1"/>
    <col min="1292" max="1293" width="11.33203125" style="2" bestFit="1" customWidth="1"/>
    <col min="1294" max="1294" width="10.1640625" style="2" bestFit="1" customWidth="1"/>
    <col min="1295" max="1295" width="11.33203125" style="2" bestFit="1" customWidth="1"/>
    <col min="1296" max="1296" width="10.1640625" style="2" bestFit="1" customWidth="1"/>
    <col min="1297" max="1297" width="11.33203125" style="2" bestFit="1" customWidth="1"/>
    <col min="1298" max="1298" width="10.1640625" style="2" bestFit="1" customWidth="1"/>
    <col min="1299" max="1299" width="11.33203125" style="2" bestFit="1" customWidth="1"/>
    <col min="1300" max="1301" width="12" style="2"/>
    <col min="1302" max="1304" width="10.83203125" style="2" customWidth="1"/>
    <col min="1305" max="1313" width="11.1640625" style="2" customWidth="1"/>
    <col min="1314" max="1314" width="12.6640625" style="2" bestFit="1" customWidth="1"/>
    <col min="1315" max="1315" width="11.33203125" style="2" customWidth="1"/>
    <col min="1316" max="1316" width="11.83203125" style="2" customWidth="1"/>
    <col min="1317" max="1317" width="13.1640625" style="2" bestFit="1" customWidth="1"/>
    <col min="1318" max="1319" width="10.5" style="2" bestFit="1" customWidth="1"/>
    <col min="1320" max="1320" width="11.6640625" style="2" customWidth="1"/>
    <col min="1321" max="1322" width="10.5" style="2" bestFit="1" customWidth="1"/>
    <col min="1323" max="1323" width="12.5" style="2" customWidth="1"/>
    <col min="1324" max="1324" width="13.33203125" style="2" customWidth="1"/>
    <col min="1325" max="1325" width="13.5" style="2" customWidth="1"/>
    <col min="1326" max="1326" width="14.1640625" style="2" bestFit="1" customWidth="1"/>
    <col min="1327" max="1328" width="12.6640625" style="2" bestFit="1" customWidth="1"/>
    <col min="1329" max="1329" width="11.33203125" style="2" customWidth="1"/>
    <col min="1330" max="1536" width="12" style="2"/>
    <col min="1537" max="1537" width="19.1640625" style="2" customWidth="1"/>
    <col min="1538" max="1538" width="11.1640625" style="2" customWidth="1"/>
    <col min="1539" max="1539" width="11" style="2" customWidth="1"/>
    <col min="1540" max="1540" width="10.83203125" style="2" customWidth="1"/>
    <col min="1541" max="1547" width="9.83203125" style="2" customWidth="1"/>
    <col min="1548" max="1549" width="11.33203125" style="2" bestFit="1" customWidth="1"/>
    <col min="1550" max="1550" width="10.1640625" style="2" bestFit="1" customWidth="1"/>
    <col min="1551" max="1551" width="11.33203125" style="2" bestFit="1" customWidth="1"/>
    <col min="1552" max="1552" width="10.1640625" style="2" bestFit="1" customWidth="1"/>
    <col min="1553" max="1553" width="11.33203125" style="2" bestFit="1" customWidth="1"/>
    <col min="1554" max="1554" width="10.1640625" style="2" bestFit="1" customWidth="1"/>
    <col min="1555" max="1555" width="11.33203125" style="2" bestFit="1" customWidth="1"/>
    <col min="1556" max="1557" width="12" style="2"/>
    <col min="1558" max="1560" width="10.83203125" style="2" customWidth="1"/>
    <col min="1561" max="1569" width="11.1640625" style="2" customWidth="1"/>
    <col min="1570" max="1570" width="12.6640625" style="2" bestFit="1" customWidth="1"/>
    <col min="1571" max="1571" width="11.33203125" style="2" customWidth="1"/>
    <col min="1572" max="1572" width="11.83203125" style="2" customWidth="1"/>
    <col min="1573" max="1573" width="13.1640625" style="2" bestFit="1" customWidth="1"/>
    <col min="1574" max="1575" width="10.5" style="2" bestFit="1" customWidth="1"/>
    <col min="1576" max="1576" width="11.6640625" style="2" customWidth="1"/>
    <col min="1577" max="1578" width="10.5" style="2" bestFit="1" customWidth="1"/>
    <col min="1579" max="1579" width="12.5" style="2" customWidth="1"/>
    <col min="1580" max="1580" width="13.33203125" style="2" customWidth="1"/>
    <col min="1581" max="1581" width="13.5" style="2" customWidth="1"/>
    <col min="1582" max="1582" width="14.1640625" style="2" bestFit="1" customWidth="1"/>
    <col min="1583" max="1584" width="12.6640625" style="2" bestFit="1" customWidth="1"/>
    <col min="1585" max="1585" width="11.33203125" style="2" customWidth="1"/>
    <col min="1586" max="1792" width="12" style="2"/>
    <col min="1793" max="1793" width="19.1640625" style="2" customWidth="1"/>
    <col min="1794" max="1794" width="11.1640625" style="2" customWidth="1"/>
    <col min="1795" max="1795" width="11" style="2" customWidth="1"/>
    <col min="1796" max="1796" width="10.83203125" style="2" customWidth="1"/>
    <col min="1797" max="1803" width="9.83203125" style="2" customWidth="1"/>
    <col min="1804" max="1805" width="11.33203125" style="2" bestFit="1" customWidth="1"/>
    <col min="1806" max="1806" width="10.1640625" style="2" bestFit="1" customWidth="1"/>
    <col min="1807" max="1807" width="11.33203125" style="2" bestFit="1" customWidth="1"/>
    <col min="1808" max="1808" width="10.1640625" style="2" bestFit="1" customWidth="1"/>
    <col min="1809" max="1809" width="11.33203125" style="2" bestFit="1" customWidth="1"/>
    <col min="1810" max="1810" width="10.1640625" style="2" bestFit="1" customWidth="1"/>
    <col min="1811" max="1811" width="11.33203125" style="2" bestFit="1" customWidth="1"/>
    <col min="1812" max="1813" width="12" style="2"/>
    <col min="1814" max="1816" width="10.83203125" style="2" customWidth="1"/>
    <col min="1817" max="1825" width="11.1640625" style="2" customWidth="1"/>
    <col min="1826" max="1826" width="12.6640625" style="2" bestFit="1" customWidth="1"/>
    <col min="1827" max="1827" width="11.33203125" style="2" customWidth="1"/>
    <col min="1828" max="1828" width="11.83203125" style="2" customWidth="1"/>
    <col min="1829" max="1829" width="13.1640625" style="2" bestFit="1" customWidth="1"/>
    <col min="1830" max="1831" width="10.5" style="2" bestFit="1" customWidth="1"/>
    <col min="1832" max="1832" width="11.6640625" style="2" customWidth="1"/>
    <col min="1833" max="1834" width="10.5" style="2" bestFit="1" customWidth="1"/>
    <col min="1835" max="1835" width="12.5" style="2" customWidth="1"/>
    <col min="1836" max="1836" width="13.33203125" style="2" customWidth="1"/>
    <col min="1837" max="1837" width="13.5" style="2" customWidth="1"/>
    <col min="1838" max="1838" width="14.1640625" style="2" bestFit="1" customWidth="1"/>
    <col min="1839" max="1840" width="12.6640625" style="2" bestFit="1" customWidth="1"/>
    <col min="1841" max="1841" width="11.33203125" style="2" customWidth="1"/>
    <col min="1842" max="2048" width="12" style="2"/>
    <col min="2049" max="2049" width="19.1640625" style="2" customWidth="1"/>
    <col min="2050" max="2050" width="11.1640625" style="2" customWidth="1"/>
    <col min="2051" max="2051" width="11" style="2" customWidth="1"/>
    <col min="2052" max="2052" width="10.83203125" style="2" customWidth="1"/>
    <col min="2053" max="2059" width="9.83203125" style="2" customWidth="1"/>
    <col min="2060" max="2061" width="11.33203125" style="2" bestFit="1" customWidth="1"/>
    <col min="2062" max="2062" width="10.1640625" style="2" bestFit="1" customWidth="1"/>
    <col min="2063" max="2063" width="11.33203125" style="2" bestFit="1" customWidth="1"/>
    <col min="2064" max="2064" width="10.1640625" style="2" bestFit="1" customWidth="1"/>
    <col min="2065" max="2065" width="11.33203125" style="2" bestFit="1" customWidth="1"/>
    <col min="2066" max="2066" width="10.1640625" style="2" bestFit="1" customWidth="1"/>
    <col min="2067" max="2067" width="11.33203125" style="2" bestFit="1" customWidth="1"/>
    <col min="2068" max="2069" width="12" style="2"/>
    <col min="2070" max="2072" width="10.83203125" style="2" customWidth="1"/>
    <col min="2073" max="2081" width="11.1640625" style="2" customWidth="1"/>
    <col min="2082" max="2082" width="12.6640625" style="2" bestFit="1" customWidth="1"/>
    <col min="2083" max="2083" width="11.33203125" style="2" customWidth="1"/>
    <col min="2084" max="2084" width="11.83203125" style="2" customWidth="1"/>
    <col min="2085" max="2085" width="13.1640625" style="2" bestFit="1" customWidth="1"/>
    <col min="2086" max="2087" width="10.5" style="2" bestFit="1" customWidth="1"/>
    <col min="2088" max="2088" width="11.6640625" style="2" customWidth="1"/>
    <col min="2089" max="2090" width="10.5" style="2" bestFit="1" customWidth="1"/>
    <col min="2091" max="2091" width="12.5" style="2" customWidth="1"/>
    <col min="2092" max="2092" width="13.33203125" style="2" customWidth="1"/>
    <col min="2093" max="2093" width="13.5" style="2" customWidth="1"/>
    <col min="2094" max="2094" width="14.1640625" style="2" bestFit="1" customWidth="1"/>
    <col min="2095" max="2096" width="12.6640625" style="2" bestFit="1" customWidth="1"/>
    <col min="2097" max="2097" width="11.33203125" style="2" customWidth="1"/>
    <col min="2098" max="2304" width="12" style="2"/>
    <col min="2305" max="2305" width="19.1640625" style="2" customWidth="1"/>
    <col min="2306" max="2306" width="11.1640625" style="2" customWidth="1"/>
    <col min="2307" max="2307" width="11" style="2" customWidth="1"/>
    <col min="2308" max="2308" width="10.83203125" style="2" customWidth="1"/>
    <col min="2309" max="2315" width="9.83203125" style="2" customWidth="1"/>
    <col min="2316" max="2317" width="11.33203125" style="2" bestFit="1" customWidth="1"/>
    <col min="2318" max="2318" width="10.1640625" style="2" bestFit="1" customWidth="1"/>
    <col min="2319" max="2319" width="11.33203125" style="2" bestFit="1" customWidth="1"/>
    <col min="2320" max="2320" width="10.1640625" style="2" bestFit="1" customWidth="1"/>
    <col min="2321" max="2321" width="11.33203125" style="2" bestFit="1" customWidth="1"/>
    <col min="2322" max="2322" width="10.1640625" style="2" bestFit="1" customWidth="1"/>
    <col min="2323" max="2323" width="11.33203125" style="2" bestFit="1" customWidth="1"/>
    <col min="2324" max="2325" width="12" style="2"/>
    <col min="2326" max="2328" width="10.83203125" style="2" customWidth="1"/>
    <col min="2329" max="2337" width="11.1640625" style="2" customWidth="1"/>
    <col min="2338" max="2338" width="12.6640625" style="2" bestFit="1" customWidth="1"/>
    <col min="2339" max="2339" width="11.33203125" style="2" customWidth="1"/>
    <col min="2340" max="2340" width="11.83203125" style="2" customWidth="1"/>
    <col min="2341" max="2341" width="13.1640625" style="2" bestFit="1" customWidth="1"/>
    <col min="2342" max="2343" width="10.5" style="2" bestFit="1" customWidth="1"/>
    <col min="2344" max="2344" width="11.6640625" style="2" customWidth="1"/>
    <col min="2345" max="2346" width="10.5" style="2" bestFit="1" customWidth="1"/>
    <col min="2347" max="2347" width="12.5" style="2" customWidth="1"/>
    <col min="2348" max="2348" width="13.33203125" style="2" customWidth="1"/>
    <col min="2349" max="2349" width="13.5" style="2" customWidth="1"/>
    <col min="2350" max="2350" width="14.1640625" style="2" bestFit="1" customWidth="1"/>
    <col min="2351" max="2352" width="12.6640625" style="2" bestFit="1" customWidth="1"/>
    <col min="2353" max="2353" width="11.33203125" style="2" customWidth="1"/>
    <col min="2354" max="2560" width="12" style="2"/>
    <col min="2561" max="2561" width="19.1640625" style="2" customWidth="1"/>
    <col min="2562" max="2562" width="11.1640625" style="2" customWidth="1"/>
    <col min="2563" max="2563" width="11" style="2" customWidth="1"/>
    <col min="2564" max="2564" width="10.83203125" style="2" customWidth="1"/>
    <col min="2565" max="2571" width="9.83203125" style="2" customWidth="1"/>
    <col min="2572" max="2573" width="11.33203125" style="2" bestFit="1" customWidth="1"/>
    <col min="2574" max="2574" width="10.1640625" style="2" bestFit="1" customWidth="1"/>
    <col min="2575" max="2575" width="11.33203125" style="2" bestFit="1" customWidth="1"/>
    <col min="2576" max="2576" width="10.1640625" style="2" bestFit="1" customWidth="1"/>
    <col min="2577" max="2577" width="11.33203125" style="2" bestFit="1" customWidth="1"/>
    <col min="2578" max="2578" width="10.1640625" style="2" bestFit="1" customWidth="1"/>
    <col min="2579" max="2579" width="11.33203125" style="2" bestFit="1" customWidth="1"/>
    <col min="2580" max="2581" width="12" style="2"/>
    <col min="2582" max="2584" width="10.83203125" style="2" customWidth="1"/>
    <col min="2585" max="2593" width="11.1640625" style="2" customWidth="1"/>
    <col min="2594" max="2594" width="12.6640625" style="2" bestFit="1" customWidth="1"/>
    <col min="2595" max="2595" width="11.33203125" style="2" customWidth="1"/>
    <col min="2596" max="2596" width="11.83203125" style="2" customWidth="1"/>
    <col min="2597" max="2597" width="13.1640625" style="2" bestFit="1" customWidth="1"/>
    <col min="2598" max="2599" width="10.5" style="2" bestFit="1" customWidth="1"/>
    <col min="2600" max="2600" width="11.6640625" style="2" customWidth="1"/>
    <col min="2601" max="2602" width="10.5" style="2" bestFit="1" customWidth="1"/>
    <col min="2603" max="2603" width="12.5" style="2" customWidth="1"/>
    <col min="2604" max="2604" width="13.33203125" style="2" customWidth="1"/>
    <col min="2605" max="2605" width="13.5" style="2" customWidth="1"/>
    <col min="2606" max="2606" width="14.1640625" style="2" bestFit="1" customWidth="1"/>
    <col min="2607" max="2608" width="12.6640625" style="2" bestFit="1" customWidth="1"/>
    <col min="2609" max="2609" width="11.33203125" style="2" customWidth="1"/>
    <col min="2610" max="2816" width="12" style="2"/>
    <col min="2817" max="2817" width="19.1640625" style="2" customWidth="1"/>
    <col min="2818" max="2818" width="11.1640625" style="2" customWidth="1"/>
    <col min="2819" max="2819" width="11" style="2" customWidth="1"/>
    <col min="2820" max="2820" width="10.83203125" style="2" customWidth="1"/>
    <col min="2821" max="2827" width="9.83203125" style="2" customWidth="1"/>
    <col min="2828" max="2829" width="11.33203125" style="2" bestFit="1" customWidth="1"/>
    <col min="2830" max="2830" width="10.1640625" style="2" bestFit="1" customWidth="1"/>
    <col min="2831" max="2831" width="11.33203125" style="2" bestFit="1" customWidth="1"/>
    <col min="2832" max="2832" width="10.1640625" style="2" bestFit="1" customWidth="1"/>
    <col min="2833" max="2833" width="11.33203125" style="2" bestFit="1" customWidth="1"/>
    <col min="2834" max="2834" width="10.1640625" style="2" bestFit="1" customWidth="1"/>
    <col min="2835" max="2835" width="11.33203125" style="2" bestFit="1" customWidth="1"/>
    <col min="2836" max="2837" width="12" style="2"/>
    <col min="2838" max="2840" width="10.83203125" style="2" customWidth="1"/>
    <col min="2841" max="2849" width="11.1640625" style="2" customWidth="1"/>
    <col min="2850" max="2850" width="12.6640625" style="2" bestFit="1" customWidth="1"/>
    <col min="2851" max="2851" width="11.33203125" style="2" customWidth="1"/>
    <col min="2852" max="2852" width="11.83203125" style="2" customWidth="1"/>
    <col min="2853" max="2853" width="13.1640625" style="2" bestFit="1" customWidth="1"/>
    <col min="2854" max="2855" width="10.5" style="2" bestFit="1" customWidth="1"/>
    <col min="2856" max="2856" width="11.6640625" style="2" customWidth="1"/>
    <col min="2857" max="2858" width="10.5" style="2" bestFit="1" customWidth="1"/>
    <col min="2859" max="2859" width="12.5" style="2" customWidth="1"/>
    <col min="2860" max="2860" width="13.33203125" style="2" customWidth="1"/>
    <col min="2861" max="2861" width="13.5" style="2" customWidth="1"/>
    <col min="2862" max="2862" width="14.1640625" style="2" bestFit="1" customWidth="1"/>
    <col min="2863" max="2864" width="12.6640625" style="2" bestFit="1" customWidth="1"/>
    <col min="2865" max="2865" width="11.33203125" style="2" customWidth="1"/>
    <col min="2866" max="3072" width="12" style="2"/>
    <col min="3073" max="3073" width="19.1640625" style="2" customWidth="1"/>
    <col min="3074" max="3074" width="11.1640625" style="2" customWidth="1"/>
    <col min="3075" max="3075" width="11" style="2" customWidth="1"/>
    <col min="3076" max="3076" width="10.83203125" style="2" customWidth="1"/>
    <col min="3077" max="3083" width="9.83203125" style="2" customWidth="1"/>
    <col min="3084" max="3085" width="11.33203125" style="2" bestFit="1" customWidth="1"/>
    <col min="3086" max="3086" width="10.1640625" style="2" bestFit="1" customWidth="1"/>
    <col min="3087" max="3087" width="11.33203125" style="2" bestFit="1" customWidth="1"/>
    <col min="3088" max="3088" width="10.1640625" style="2" bestFit="1" customWidth="1"/>
    <col min="3089" max="3089" width="11.33203125" style="2" bestFit="1" customWidth="1"/>
    <col min="3090" max="3090" width="10.1640625" style="2" bestFit="1" customWidth="1"/>
    <col min="3091" max="3091" width="11.33203125" style="2" bestFit="1" customWidth="1"/>
    <col min="3092" max="3093" width="12" style="2"/>
    <col min="3094" max="3096" width="10.83203125" style="2" customWidth="1"/>
    <col min="3097" max="3105" width="11.1640625" style="2" customWidth="1"/>
    <col min="3106" max="3106" width="12.6640625" style="2" bestFit="1" customWidth="1"/>
    <col min="3107" max="3107" width="11.33203125" style="2" customWidth="1"/>
    <col min="3108" max="3108" width="11.83203125" style="2" customWidth="1"/>
    <col min="3109" max="3109" width="13.1640625" style="2" bestFit="1" customWidth="1"/>
    <col min="3110" max="3111" width="10.5" style="2" bestFit="1" customWidth="1"/>
    <col min="3112" max="3112" width="11.6640625" style="2" customWidth="1"/>
    <col min="3113" max="3114" width="10.5" style="2" bestFit="1" customWidth="1"/>
    <col min="3115" max="3115" width="12.5" style="2" customWidth="1"/>
    <col min="3116" max="3116" width="13.33203125" style="2" customWidth="1"/>
    <col min="3117" max="3117" width="13.5" style="2" customWidth="1"/>
    <col min="3118" max="3118" width="14.1640625" style="2" bestFit="1" customWidth="1"/>
    <col min="3119" max="3120" width="12.6640625" style="2" bestFit="1" customWidth="1"/>
    <col min="3121" max="3121" width="11.33203125" style="2" customWidth="1"/>
    <col min="3122" max="3328" width="12" style="2"/>
    <col min="3329" max="3329" width="19.1640625" style="2" customWidth="1"/>
    <col min="3330" max="3330" width="11.1640625" style="2" customWidth="1"/>
    <col min="3331" max="3331" width="11" style="2" customWidth="1"/>
    <col min="3332" max="3332" width="10.83203125" style="2" customWidth="1"/>
    <col min="3333" max="3339" width="9.83203125" style="2" customWidth="1"/>
    <col min="3340" max="3341" width="11.33203125" style="2" bestFit="1" customWidth="1"/>
    <col min="3342" max="3342" width="10.1640625" style="2" bestFit="1" customWidth="1"/>
    <col min="3343" max="3343" width="11.33203125" style="2" bestFit="1" customWidth="1"/>
    <col min="3344" max="3344" width="10.1640625" style="2" bestFit="1" customWidth="1"/>
    <col min="3345" max="3345" width="11.33203125" style="2" bestFit="1" customWidth="1"/>
    <col min="3346" max="3346" width="10.1640625" style="2" bestFit="1" customWidth="1"/>
    <col min="3347" max="3347" width="11.33203125" style="2" bestFit="1" customWidth="1"/>
    <col min="3348" max="3349" width="12" style="2"/>
    <col min="3350" max="3352" width="10.83203125" style="2" customWidth="1"/>
    <col min="3353" max="3361" width="11.1640625" style="2" customWidth="1"/>
    <col min="3362" max="3362" width="12.6640625" style="2" bestFit="1" customWidth="1"/>
    <col min="3363" max="3363" width="11.33203125" style="2" customWidth="1"/>
    <col min="3364" max="3364" width="11.83203125" style="2" customWidth="1"/>
    <col min="3365" max="3365" width="13.1640625" style="2" bestFit="1" customWidth="1"/>
    <col min="3366" max="3367" width="10.5" style="2" bestFit="1" customWidth="1"/>
    <col min="3368" max="3368" width="11.6640625" style="2" customWidth="1"/>
    <col min="3369" max="3370" width="10.5" style="2" bestFit="1" customWidth="1"/>
    <col min="3371" max="3371" width="12.5" style="2" customWidth="1"/>
    <col min="3372" max="3372" width="13.33203125" style="2" customWidth="1"/>
    <col min="3373" max="3373" width="13.5" style="2" customWidth="1"/>
    <col min="3374" max="3374" width="14.1640625" style="2" bestFit="1" customWidth="1"/>
    <col min="3375" max="3376" width="12.6640625" style="2" bestFit="1" customWidth="1"/>
    <col min="3377" max="3377" width="11.33203125" style="2" customWidth="1"/>
    <col min="3378" max="3584" width="12" style="2"/>
    <col min="3585" max="3585" width="19.1640625" style="2" customWidth="1"/>
    <col min="3586" max="3586" width="11.1640625" style="2" customWidth="1"/>
    <col min="3587" max="3587" width="11" style="2" customWidth="1"/>
    <col min="3588" max="3588" width="10.83203125" style="2" customWidth="1"/>
    <col min="3589" max="3595" width="9.83203125" style="2" customWidth="1"/>
    <col min="3596" max="3597" width="11.33203125" style="2" bestFit="1" customWidth="1"/>
    <col min="3598" max="3598" width="10.1640625" style="2" bestFit="1" customWidth="1"/>
    <col min="3599" max="3599" width="11.33203125" style="2" bestFit="1" customWidth="1"/>
    <col min="3600" max="3600" width="10.1640625" style="2" bestFit="1" customWidth="1"/>
    <col min="3601" max="3601" width="11.33203125" style="2" bestFit="1" customWidth="1"/>
    <col min="3602" max="3602" width="10.1640625" style="2" bestFit="1" customWidth="1"/>
    <col min="3603" max="3603" width="11.33203125" style="2" bestFit="1" customWidth="1"/>
    <col min="3604" max="3605" width="12" style="2"/>
    <col min="3606" max="3608" width="10.83203125" style="2" customWidth="1"/>
    <col min="3609" max="3617" width="11.1640625" style="2" customWidth="1"/>
    <col min="3618" max="3618" width="12.6640625" style="2" bestFit="1" customWidth="1"/>
    <col min="3619" max="3619" width="11.33203125" style="2" customWidth="1"/>
    <col min="3620" max="3620" width="11.83203125" style="2" customWidth="1"/>
    <col min="3621" max="3621" width="13.1640625" style="2" bestFit="1" customWidth="1"/>
    <col min="3622" max="3623" width="10.5" style="2" bestFit="1" customWidth="1"/>
    <col min="3624" max="3624" width="11.6640625" style="2" customWidth="1"/>
    <col min="3625" max="3626" width="10.5" style="2" bestFit="1" customWidth="1"/>
    <col min="3627" max="3627" width="12.5" style="2" customWidth="1"/>
    <col min="3628" max="3628" width="13.33203125" style="2" customWidth="1"/>
    <col min="3629" max="3629" width="13.5" style="2" customWidth="1"/>
    <col min="3630" max="3630" width="14.1640625" style="2" bestFit="1" customWidth="1"/>
    <col min="3631" max="3632" width="12.6640625" style="2" bestFit="1" customWidth="1"/>
    <col min="3633" max="3633" width="11.33203125" style="2" customWidth="1"/>
    <col min="3634" max="3840" width="12" style="2"/>
    <col min="3841" max="3841" width="19.1640625" style="2" customWidth="1"/>
    <col min="3842" max="3842" width="11.1640625" style="2" customWidth="1"/>
    <col min="3843" max="3843" width="11" style="2" customWidth="1"/>
    <col min="3844" max="3844" width="10.83203125" style="2" customWidth="1"/>
    <col min="3845" max="3851" width="9.83203125" style="2" customWidth="1"/>
    <col min="3852" max="3853" width="11.33203125" style="2" bestFit="1" customWidth="1"/>
    <col min="3854" max="3854" width="10.1640625" style="2" bestFit="1" customWidth="1"/>
    <col min="3855" max="3855" width="11.33203125" style="2" bestFit="1" customWidth="1"/>
    <col min="3856" max="3856" width="10.1640625" style="2" bestFit="1" customWidth="1"/>
    <col min="3857" max="3857" width="11.33203125" style="2" bestFit="1" customWidth="1"/>
    <col min="3858" max="3858" width="10.1640625" style="2" bestFit="1" customWidth="1"/>
    <col min="3859" max="3859" width="11.33203125" style="2" bestFit="1" customWidth="1"/>
    <col min="3860" max="3861" width="12" style="2"/>
    <col min="3862" max="3864" width="10.83203125" style="2" customWidth="1"/>
    <col min="3865" max="3873" width="11.1640625" style="2" customWidth="1"/>
    <col min="3874" max="3874" width="12.6640625" style="2" bestFit="1" customWidth="1"/>
    <col min="3875" max="3875" width="11.33203125" style="2" customWidth="1"/>
    <col min="3876" max="3876" width="11.83203125" style="2" customWidth="1"/>
    <col min="3877" max="3877" width="13.1640625" style="2" bestFit="1" customWidth="1"/>
    <col min="3878" max="3879" width="10.5" style="2" bestFit="1" customWidth="1"/>
    <col min="3880" max="3880" width="11.6640625" style="2" customWidth="1"/>
    <col min="3881" max="3882" width="10.5" style="2" bestFit="1" customWidth="1"/>
    <col min="3883" max="3883" width="12.5" style="2" customWidth="1"/>
    <col min="3884" max="3884" width="13.33203125" style="2" customWidth="1"/>
    <col min="3885" max="3885" width="13.5" style="2" customWidth="1"/>
    <col min="3886" max="3886" width="14.1640625" style="2" bestFit="1" customWidth="1"/>
    <col min="3887" max="3888" width="12.6640625" style="2" bestFit="1" customWidth="1"/>
    <col min="3889" max="3889" width="11.33203125" style="2" customWidth="1"/>
    <col min="3890" max="4096" width="12" style="2"/>
    <col min="4097" max="4097" width="19.1640625" style="2" customWidth="1"/>
    <col min="4098" max="4098" width="11.1640625" style="2" customWidth="1"/>
    <col min="4099" max="4099" width="11" style="2" customWidth="1"/>
    <col min="4100" max="4100" width="10.83203125" style="2" customWidth="1"/>
    <col min="4101" max="4107" width="9.83203125" style="2" customWidth="1"/>
    <col min="4108" max="4109" width="11.33203125" style="2" bestFit="1" customWidth="1"/>
    <col min="4110" max="4110" width="10.1640625" style="2" bestFit="1" customWidth="1"/>
    <col min="4111" max="4111" width="11.33203125" style="2" bestFit="1" customWidth="1"/>
    <col min="4112" max="4112" width="10.1640625" style="2" bestFit="1" customWidth="1"/>
    <col min="4113" max="4113" width="11.33203125" style="2" bestFit="1" customWidth="1"/>
    <col min="4114" max="4114" width="10.1640625" style="2" bestFit="1" customWidth="1"/>
    <col min="4115" max="4115" width="11.33203125" style="2" bestFit="1" customWidth="1"/>
    <col min="4116" max="4117" width="12" style="2"/>
    <col min="4118" max="4120" width="10.83203125" style="2" customWidth="1"/>
    <col min="4121" max="4129" width="11.1640625" style="2" customWidth="1"/>
    <col min="4130" max="4130" width="12.6640625" style="2" bestFit="1" customWidth="1"/>
    <col min="4131" max="4131" width="11.33203125" style="2" customWidth="1"/>
    <col min="4132" max="4132" width="11.83203125" style="2" customWidth="1"/>
    <col min="4133" max="4133" width="13.1640625" style="2" bestFit="1" customWidth="1"/>
    <col min="4134" max="4135" width="10.5" style="2" bestFit="1" customWidth="1"/>
    <col min="4136" max="4136" width="11.6640625" style="2" customWidth="1"/>
    <col min="4137" max="4138" width="10.5" style="2" bestFit="1" customWidth="1"/>
    <col min="4139" max="4139" width="12.5" style="2" customWidth="1"/>
    <col min="4140" max="4140" width="13.33203125" style="2" customWidth="1"/>
    <col min="4141" max="4141" width="13.5" style="2" customWidth="1"/>
    <col min="4142" max="4142" width="14.1640625" style="2" bestFit="1" customWidth="1"/>
    <col min="4143" max="4144" width="12.6640625" style="2" bestFit="1" customWidth="1"/>
    <col min="4145" max="4145" width="11.33203125" style="2" customWidth="1"/>
    <col min="4146" max="4352" width="12" style="2"/>
    <col min="4353" max="4353" width="19.1640625" style="2" customWidth="1"/>
    <col min="4354" max="4354" width="11.1640625" style="2" customWidth="1"/>
    <col min="4355" max="4355" width="11" style="2" customWidth="1"/>
    <col min="4356" max="4356" width="10.83203125" style="2" customWidth="1"/>
    <col min="4357" max="4363" width="9.83203125" style="2" customWidth="1"/>
    <col min="4364" max="4365" width="11.33203125" style="2" bestFit="1" customWidth="1"/>
    <col min="4366" max="4366" width="10.1640625" style="2" bestFit="1" customWidth="1"/>
    <col min="4367" max="4367" width="11.33203125" style="2" bestFit="1" customWidth="1"/>
    <col min="4368" max="4368" width="10.1640625" style="2" bestFit="1" customWidth="1"/>
    <col min="4369" max="4369" width="11.33203125" style="2" bestFit="1" customWidth="1"/>
    <col min="4370" max="4370" width="10.1640625" style="2" bestFit="1" customWidth="1"/>
    <col min="4371" max="4371" width="11.33203125" style="2" bestFit="1" customWidth="1"/>
    <col min="4372" max="4373" width="12" style="2"/>
    <col min="4374" max="4376" width="10.83203125" style="2" customWidth="1"/>
    <col min="4377" max="4385" width="11.1640625" style="2" customWidth="1"/>
    <col min="4386" max="4386" width="12.6640625" style="2" bestFit="1" customWidth="1"/>
    <col min="4387" max="4387" width="11.33203125" style="2" customWidth="1"/>
    <col min="4388" max="4388" width="11.83203125" style="2" customWidth="1"/>
    <col min="4389" max="4389" width="13.1640625" style="2" bestFit="1" customWidth="1"/>
    <col min="4390" max="4391" width="10.5" style="2" bestFit="1" customWidth="1"/>
    <col min="4392" max="4392" width="11.6640625" style="2" customWidth="1"/>
    <col min="4393" max="4394" width="10.5" style="2" bestFit="1" customWidth="1"/>
    <col min="4395" max="4395" width="12.5" style="2" customWidth="1"/>
    <col min="4396" max="4396" width="13.33203125" style="2" customWidth="1"/>
    <col min="4397" max="4397" width="13.5" style="2" customWidth="1"/>
    <col min="4398" max="4398" width="14.1640625" style="2" bestFit="1" customWidth="1"/>
    <col min="4399" max="4400" width="12.6640625" style="2" bestFit="1" customWidth="1"/>
    <col min="4401" max="4401" width="11.33203125" style="2" customWidth="1"/>
    <col min="4402" max="4608" width="12" style="2"/>
    <col min="4609" max="4609" width="19.1640625" style="2" customWidth="1"/>
    <col min="4610" max="4610" width="11.1640625" style="2" customWidth="1"/>
    <col min="4611" max="4611" width="11" style="2" customWidth="1"/>
    <col min="4612" max="4612" width="10.83203125" style="2" customWidth="1"/>
    <col min="4613" max="4619" width="9.83203125" style="2" customWidth="1"/>
    <col min="4620" max="4621" width="11.33203125" style="2" bestFit="1" customWidth="1"/>
    <col min="4622" max="4622" width="10.1640625" style="2" bestFit="1" customWidth="1"/>
    <col min="4623" max="4623" width="11.33203125" style="2" bestFit="1" customWidth="1"/>
    <col min="4624" max="4624" width="10.1640625" style="2" bestFit="1" customWidth="1"/>
    <col min="4625" max="4625" width="11.33203125" style="2" bestFit="1" customWidth="1"/>
    <col min="4626" max="4626" width="10.1640625" style="2" bestFit="1" customWidth="1"/>
    <col min="4627" max="4627" width="11.33203125" style="2" bestFit="1" customWidth="1"/>
    <col min="4628" max="4629" width="12" style="2"/>
    <col min="4630" max="4632" width="10.83203125" style="2" customWidth="1"/>
    <col min="4633" max="4641" width="11.1640625" style="2" customWidth="1"/>
    <col min="4642" max="4642" width="12.6640625" style="2" bestFit="1" customWidth="1"/>
    <col min="4643" max="4643" width="11.33203125" style="2" customWidth="1"/>
    <col min="4644" max="4644" width="11.83203125" style="2" customWidth="1"/>
    <col min="4645" max="4645" width="13.1640625" style="2" bestFit="1" customWidth="1"/>
    <col min="4646" max="4647" width="10.5" style="2" bestFit="1" customWidth="1"/>
    <col min="4648" max="4648" width="11.6640625" style="2" customWidth="1"/>
    <col min="4649" max="4650" width="10.5" style="2" bestFit="1" customWidth="1"/>
    <col min="4651" max="4651" width="12.5" style="2" customWidth="1"/>
    <col min="4652" max="4652" width="13.33203125" style="2" customWidth="1"/>
    <col min="4653" max="4653" width="13.5" style="2" customWidth="1"/>
    <col min="4654" max="4654" width="14.1640625" style="2" bestFit="1" customWidth="1"/>
    <col min="4655" max="4656" width="12.6640625" style="2" bestFit="1" customWidth="1"/>
    <col min="4657" max="4657" width="11.33203125" style="2" customWidth="1"/>
    <col min="4658" max="4864" width="12" style="2"/>
    <col min="4865" max="4865" width="19.1640625" style="2" customWidth="1"/>
    <col min="4866" max="4866" width="11.1640625" style="2" customWidth="1"/>
    <col min="4867" max="4867" width="11" style="2" customWidth="1"/>
    <col min="4868" max="4868" width="10.83203125" style="2" customWidth="1"/>
    <col min="4869" max="4875" width="9.83203125" style="2" customWidth="1"/>
    <col min="4876" max="4877" width="11.33203125" style="2" bestFit="1" customWidth="1"/>
    <col min="4878" max="4878" width="10.1640625" style="2" bestFit="1" customWidth="1"/>
    <col min="4879" max="4879" width="11.33203125" style="2" bestFit="1" customWidth="1"/>
    <col min="4880" max="4880" width="10.1640625" style="2" bestFit="1" customWidth="1"/>
    <col min="4881" max="4881" width="11.33203125" style="2" bestFit="1" customWidth="1"/>
    <col min="4882" max="4882" width="10.1640625" style="2" bestFit="1" customWidth="1"/>
    <col min="4883" max="4883" width="11.33203125" style="2" bestFit="1" customWidth="1"/>
    <col min="4884" max="4885" width="12" style="2"/>
    <col min="4886" max="4888" width="10.83203125" style="2" customWidth="1"/>
    <col min="4889" max="4897" width="11.1640625" style="2" customWidth="1"/>
    <col min="4898" max="4898" width="12.6640625" style="2" bestFit="1" customWidth="1"/>
    <col min="4899" max="4899" width="11.33203125" style="2" customWidth="1"/>
    <col min="4900" max="4900" width="11.83203125" style="2" customWidth="1"/>
    <col min="4901" max="4901" width="13.1640625" style="2" bestFit="1" customWidth="1"/>
    <col min="4902" max="4903" width="10.5" style="2" bestFit="1" customWidth="1"/>
    <col min="4904" max="4904" width="11.6640625" style="2" customWidth="1"/>
    <col min="4905" max="4906" width="10.5" style="2" bestFit="1" customWidth="1"/>
    <col min="4907" max="4907" width="12.5" style="2" customWidth="1"/>
    <col min="4908" max="4908" width="13.33203125" style="2" customWidth="1"/>
    <col min="4909" max="4909" width="13.5" style="2" customWidth="1"/>
    <col min="4910" max="4910" width="14.1640625" style="2" bestFit="1" customWidth="1"/>
    <col min="4911" max="4912" width="12.6640625" style="2" bestFit="1" customWidth="1"/>
    <col min="4913" max="4913" width="11.33203125" style="2" customWidth="1"/>
    <col min="4914" max="5120" width="12" style="2"/>
    <col min="5121" max="5121" width="19.1640625" style="2" customWidth="1"/>
    <col min="5122" max="5122" width="11.1640625" style="2" customWidth="1"/>
    <col min="5123" max="5123" width="11" style="2" customWidth="1"/>
    <col min="5124" max="5124" width="10.83203125" style="2" customWidth="1"/>
    <col min="5125" max="5131" width="9.83203125" style="2" customWidth="1"/>
    <col min="5132" max="5133" width="11.33203125" style="2" bestFit="1" customWidth="1"/>
    <col min="5134" max="5134" width="10.1640625" style="2" bestFit="1" customWidth="1"/>
    <col min="5135" max="5135" width="11.33203125" style="2" bestFit="1" customWidth="1"/>
    <col min="5136" max="5136" width="10.1640625" style="2" bestFit="1" customWidth="1"/>
    <col min="5137" max="5137" width="11.33203125" style="2" bestFit="1" customWidth="1"/>
    <col min="5138" max="5138" width="10.1640625" style="2" bestFit="1" customWidth="1"/>
    <col min="5139" max="5139" width="11.33203125" style="2" bestFit="1" customWidth="1"/>
    <col min="5140" max="5141" width="12" style="2"/>
    <col min="5142" max="5144" width="10.83203125" style="2" customWidth="1"/>
    <col min="5145" max="5153" width="11.1640625" style="2" customWidth="1"/>
    <col min="5154" max="5154" width="12.6640625" style="2" bestFit="1" customWidth="1"/>
    <col min="5155" max="5155" width="11.33203125" style="2" customWidth="1"/>
    <col min="5156" max="5156" width="11.83203125" style="2" customWidth="1"/>
    <col min="5157" max="5157" width="13.1640625" style="2" bestFit="1" customWidth="1"/>
    <col min="5158" max="5159" width="10.5" style="2" bestFit="1" customWidth="1"/>
    <col min="5160" max="5160" width="11.6640625" style="2" customWidth="1"/>
    <col min="5161" max="5162" width="10.5" style="2" bestFit="1" customWidth="1"/>
    <col min="5163" max="5163" width="12.5" style="2" customWidth="1"/>
    <col min="5164" max="5164" width="13.33203125" style="2" customWidth="1"/>
    <col min="5165" max="5165" width="13.5" style="2" customWidth="1"/>
    <col min="5166" max="5166" width="14.1640625" style="2" bestFit="1" customWidth="1"/>
    <col min="5167" max="5168" width="12.6640625" style="2" bestFit="1" customWidth="1"/>
    <col min="5169" max="5169" width="11.33203125" style="2" customWidth="1"/>
    <col min="5170" max="5376" width="12" style="2"/>
    <col min="5377" max="5377" width="19.1640625" style="2" customWidth="1"/>
    <col min="5378" max="5378" width="11.1640625" style="2" customWidth="1"/>
    <col min="5379" max="5379" width="11" style="2" customWidth="1"/>
    <col min="5380" max="5380" width="10.83203125" style="2" customWidth="1"/>
    <col min="5381" max="5387" width="9.83203125" style="2" customWidth="1"/>
    <col min="5388" max="5389" width="11.33203125" style="2" bestFit="1" customWidth="1"/>
    <col min="5390" max="5390" width="10.1640625" style="2" bestFit="1" customWidth="1"/>
    <col min="5391" max="5391" width="11.33203125" style="2" bestFit="1" customWidth="1"/>
    <col min="5392" max="5392" width="10.1640625" style="2" bestFit="1" customWidth="1"/>
    <col min="5393" max="5393" width="11.33203125" style="2" bestFit="1" customWidth="1"/>
    <col min="5394" max="5394" width="10.1640625" style="2" bestFit="1" customWidth="1"/>
    <col min="5395" max="5395" width="11.33203125" style="2" bestFit="1" customWidth="1"/>
    <col min="5396" max="5397" width="12" style="2"/>
    <col min="5398" max="5400" width="10.83203125" style="2" customWidth="1"/>
    <col min="5401" max="5409" width="11.1640625" style="2" customWidth="1"/>
    <col min="5410" max="5410" width="12.6640625" style="2" bestFit="1" customWidth="1"/>
    <col min="5411" max="5411" width="11.33203125" style="2" customWidth="1"/>
    <col min="5412" max="5412" width="11.83203125" style="2" customWidth="1"/>
    <col min="5413" max="5413" width="13.1640625" style="2" bestFit="1" customWidth="1"/>
    <col min="5414" max="5415" width="10.5" style="2" bestFit="1" customWidth="1"/>
    <col min="5416" max="5416" width="11.6640625" style="2" customWidth="1"/>
    <col min="5417" max="5418" width="10.5" style="2" bestFit="1" customWidth="1"/>
    <col min="5419" max="5419" width="12.5" style="2" customWidth="1"/>
    <col min="5420" max="5420" width="13.33203125" style="2" customWidth="1"/>
    <col min="5421" max="5421" width="13.5" style="2" customWidth="1"/>
    <col min="5422" max="5422" width="14.1640625" style="2" bestFit="1" customWidth="1"/>
    <col min="5423" max="5424" width="12.6640625" style="2" bestFit="1" customWidth="1"/>
    <col min="5425" max="5425" width="11.33203125" style="2" customWidth="1"/>
    <col min="5426" max="5632" width="12" style="2"/>
    <col min="5633" max="5633" width="19.1640625" style="2" customWidth="1"/>
    <col min="5634" max="5634" width="11.1640625" style="2" customWidth="1"/>
    <col min="5635" max="5635" width="11" style="2" customWidth="1"/>
    <col min="5636" max="5636" width="10.83203125" style="2" customWidth="1"/>
    <col min="5637" max="5643" width="9.83203125" style="2" customWidth="1"/>
    <col min="5644" max="5645" width="11.33203125" style="2" bestFit="1" customWidth="1"/>
    <col min="5646" max="5646" width="10.1640625" style="2" bestFit="1" customWidth="1"/>
    <col min="5647" max="5647" width="11.33203125" style="2" bestFit="1" customWidth="1"/>
    <col min="5648" max="5648" width="10.1640625" style="2" bestFit="1" customWidth="1"/>
    <col min="5649" max="5649" width="11.33203125" style="2" bestFit="1" customWidth="1"/>
    <col min="5650" max="5650" width="10.1640625" style="2" bestFit="1" customWidth="1"/>
    <col min="5651" max="5651" width="11.33203125" style="2" bestFit="1" customWidth="1"/>
    <col min="5652" max="5653" width="12" style="2"/>
    <col min="5654" max="5656" width="10.83203125" style="2" customWidth="1"/>
    <col min="5657" max="5665" width="11.1640625" style="2" customWidth="1"/>
    <col min="5666" max="5666" width="12.6640625" style="2" bestFit="1" customWidth="1"/>
    <col min="5667" max="5667" width="11.33203125" style="2" customWidth="1"/>
    <col min="5668" max="5668" width="11.83203125" style="2" customWidth="1"/>
    <col min="5669" max="5669" width="13.1640625" style="2" bestFit="1" customWidth="1"/>
    <col min="5670" max="5671" width="10.5" style="2" bestFit="1" customWidth="1"/>
    <col min="5672" max="5672" width="11.6640625" style="2" customWidth="1"/>
    <col min="5673" max="5674" width="10.5" style="2" bestFit="1" customWidth="1"/>
    <col min="5675" max="5675" width="12.5" style="2" customWidth="1"/>
    <col min="5676" max="5676" width="13.33203125" style="2" customWidth="1"/>
    <col min="5677" max="5677" width="13.5" style="2" customWidth="1"/>
    <col min="5678" max="5678" width="14.1640625" style="2" bestFit="1" customWidth="1"/>
    <col min="5679" max="5680" width="12.6640625" style="2" bestFit="1" customWidth="1"/>
    <col min="5681" max="5681" width="11.33203125" style="2" customWidth="1"/>
    <col min="5682" max="5888" width="12" style="2"/>
    <col min="5889" max="5889" width="19.1640625" style="2" customWidth="1"/>
    <col min="5890" max="5890" width="11.1640625" style="2" customWidth="1"/>
    <col min="5891" max="5891" width="11" style="2" customWidth="1"/>
    <col min="5892" max="5892" width="10.83203125" style="2" customWidth="1"/>
    <col min="5893" max="5899" width="9.83203125" style="2" customWidth="1"/>
    <col min="5900" max="5901" width="11.33203125" style="2" bestFit="1" customWidth="1"/>
    <col min="5902" max="5902" width="10.1640625" style="2" bestFit="1" customWidth="1"/>
    <col min="5903" max="5903" width="11.33203125" style="2" bestFit="1" customWidth="1"/>
    <col min="5904" max="5904" width="10.1640625" style="2" bestFit="1" customWidth="1"/>
    <col min="5905" max="5905" width="11.33203125" style="2" bestFit="1" customWidth="1"/>
    <col min="5906" max="5906" width="10.1640625" style="2" bestFit="1" customWidth="1"/>
    <col min="5907" max="5907" width="11.33203125" style="2" bestFit="1" customWidth="1"/>
    <col min="5908" max="5909" width="12" style="2"/>
    <col min="5910" max="5912" width="10.83203125" style="2" customWidth="1"/>
    <col min="5913" max="5921" width="11.1640625" style="2" customWidth="1"/>
    <col min="5922" max="5922" width="12.6640625" style="2" bestFit="1" customWidth="1"/>
    <col min="5923" max="5923" width="11.33203125" style="2" customWidth="1"/>
    <col min="5924" max="5924" width="11.83203125" style="2" customWidth="1"/>
    <col min="5925" max="5925" width="13.1640625" style="2" bestFit="1" customWidth="1"/>
    <col min="5926" max="5927" width="10.5" style="2" bestFit="1" customWidth="1"/>
    <col min="5928" max="5928" width="11.6640625" style="2" customWidth="1"/>
    <col min="5929" max="5930" width="10.5" style="2" bestFit="1" customWidth="1"/>
    <col min="5931" max="5931" width="12.5" style="2" customWidth="1"/>
    <col min="5932" max="5932" width="13.33203125" style="2" customWidth="1"/>
    <col min="5933" max="5933" width="13.5" style="2" customWidth="1"/>
    <col min="5934" max="5934" width="14.1640625" style="2" bestFit="1" customWidth="1"/>
    <col min="5935" max="5936" width="12.6640625" style="2" bestFit="1" customWidth="1"/>
    <col min="5937" max="5937" width="11.33203125" style="2" customWidth="1"/>
    <col min="5938" max="6144" width="12" style="2"/>
    <col min="6145" max="6145" width="19.1640625" style="2" customWidth="1"/>
    <col min="6146" max="6146" width="11.1640625" style="2" customWidth="1"/>
    <col min="6147" max="6147" width="11" style="2" customWidth="1"/>
    <col min="6148" max="6148" width="10.83203125" style="2" customWidth="1"/>
    <col min="6149" max="6155" width="9.83203125" style="2" customWidth="1"/>
    <col min="6156" max="6157" width="11.33203125" style="2" bestFit="1" customWidth="1"/>
    <col min="6158" max="6158" width="10.1640625" style="2" bestFit="1" customWidth="1"/>
    <col min="6159" max="6159" width="11.33203125" style="2" bestFit="1" customWidth="1"/>
    <col min="6160" max="6160" width="10.1640625" style="2" bestFit="1" customWidth="1"/>
    <col min="6161" max="6161" width="11.33203125" style="2" bestFit="1" customWidth="1"/>
    <col min="6162" max="6162" width="10.1640625" style="2" bestFit="1" customWidth="1"/>
    <col min="6163" max="6163" width="11.33203125" style="2" bestFit="1" customWidth="1"/>
    <col min="6164" max="6165" width="12" style="2"/>
    <col min="6166" max="6168" width="10.83203125" style="2" customWidth="1"/>
    <col min="6169" max="6177" width="11.1640625" style="2" customWidth="1"/>
    <col min="6178" max="6178" width="12.6640625" style="2" bestFit="1" customWidth="1"/>
    <col min="6179" max="6179" width="11.33203125" style="2" customWidth="1"/>
    <col min="6180" max="6180" width="11.83203125" style="2" customWidth="1"/>
    <col min="6181" max="6181" width="13.1640625" style="2" bestFit="1" customWidth="1"/>
    <col min="6182" max="6183" width="10.5" style="2" bestFit="1" customWidth="1"/>
    <col min="6184" max="6184" width="11.6640625" style="2" customWidth="1"/>
    <col min="6185" max="6186" width="10.5" style="2" bestFit="1" customWidth="1"/>
    <col min="6187" max="6187" width="12.5" style="2" customWidth="1"/>
    <col min="6188" max="6188" width="13.33203125" style="2" customWidth="1"/>
    <col min="6189" max="6189" width="13.5" style="2" customWidth="1"/>
    <col min="6190" max="6190" width="14.1640625" style="2" bestFit="1" customWidth="1"/>
    <col min="6191" max="6192" width="12.6640625" style="2" bestFit="1" customWidth="1"/>
    <col min="6193" max="6193" width="11.33203125" style="2" customWidth="1"/>
    <col min="6194" max="6400" width="12" style="2"/>
    <col min="6401" max="6401" width="19.1640625" style="2" customWidth="1"/>
    <col min="6402" max="6402" width="11.1640625" style="2" customWidth="1"/>
    <col min="6403" max="6403" width="11" style="2" customWidth="1"/>
    <col min="6404" max="6404" width="10.83203125" style="2" customWidth="1"/>
    <col min="6405" max="6411" width="9.83203125" style="2" customWidth="1"/>
    <col min="6412" max="6413" width="11.33203125" style="2" bestFit="1" customWidth="1"/>
    <col min="6414" max="6414" width="10.1640625" style="2" bestFit="1" customWidth="1"/>
    <col min="6415" max="6415" width="11.33203125" style="2" bestFit="1" customWidth="1"/>
    <col min="6416" max="6416" width="10.1640625" style="2" bestFit="1" customWidth="1"/>
    <col min="6417" max="6417" width="11.33203125" style="2" bestFit="1" customWidth="1"/>
    <col min="6418" max="6418" width="10.1640625" style="2" bestFit="1" customWidth="1"/>
    <col min="6419" max="6419" width="11.33203125" style="2" bestFit="1" customWidth="1"/>
    <col min="6420" max="6421" width="12" style="2"/>
    <col min="6422" max="6424" width="10.83203125" style="2" customWidth="1"/>
    <col min="6425" max="6433" width="11.1640625" style="2" customWidth="1"/>
    <col min="6434" max="6434" width="12.6640625" style="2" bestFit="1" customWidth="1"/>
    <col min="6435" max="6435" width="11.33203125" style="2" customWidth="1"/>
    <col min="6436" max="6436" width="11.83203125" style="2" customWidth="1"/>
    <col min="6437" max="6437" width="13.1640625" style="2" bestFit="1" customWidth="1"/>
    <col min="6438" max="6439" width="10.5" style="2" bestFit="1" customWidth="1"/>
    <col min="6440" max="6440" width="11.6640625" style="2" customWidth="1"/>
    <col min="6441" max="6442" width="10.5" style="2" bestFit="1" customWidth="1"/>
    <col min="6443" max="6443" width="12.5" style="2" customWidth="1"/>
    <col min="6444" max="6444" width="13.33203125" style="2" customWidth="1"/>
    <col min="6445" max="6445" width="13.5" style="2" customWidth="1"/>
    <col min="6446" max="6446" width="14.1640625" style="2" bestFit="1" customWidth="1"/>
    <col min="6447" max="6448" width="12.6640625" style="2" bestFit="1" customWidth="1"/>
    <col min="6449" max="6449" width="11.33203125" style="2" customWidth="1"/>
    <col min="6450" max="6656" width="12" style="2"/>
    <col min="6657" max="6657" width="19.1640625" style="2" customWidth="1"/>
    <col min="6658" max="6658" width="11.1640625" style="2" customWidth="1"/>
    <col min="6659" max="6659" width="11" style="2" customWidth="1"/>
    <col min="6660" max="6660" width="10.83203125" style="2" customWidth="1"/>
    <col min="6661" max="6667" width="9.83203125" style="2" customWidth="1"/>
    <col min="6668" max="6669" width="11.33203125" style="2" bestFit="1" customWidth="1"/>
    <col min="6670" max="6670" width="10.1640625" style="2" bestFit="1" customWidth="1"/>
    <col min="6671" max="6671" width="11.33203125" style="2" bestFit="1" customWidth="1"/>
    <col min="6672" max="6672" width="10.1640625" style="2" bestFit="1" customWidth="1"/>
    <col min="6673" max="6673" width="11.33203125" style="2" bestFit="1" customWidth="1"/>
    <col min="6674" max="6674" width="10.1640625" style="2" bestFit="1" customWidth="1"/>
    <col min="6675" max="6675" width="11.33203125" style="2" bestFit="1" customWidth="1"/>
    <col min="6676" max="6677" width="12" style="2"/>
    <col min="6678" max="6680" width="10.83203125" style="2" customWidth="1"/>
    <col min="6681" max="6689" width="11.1640625" style="2" customWidth="1"/>
    <col min="6690" max="6690" width="12.6640625" style="2" bestFit="1" customWidth="1"/>
    <col min="6691" max="6691" width="11.33203125" style="2" customWidth="1"/>
    <col min="6692" max="6692" width="11.83203125" style="2" customWidth="1"/>
    <col min="6693" max="6693" width="13.1640625" style="2" bestFit="1" customWidth="1"/>
    <col min="6694" max="6695" width="10.5" style="2" bestFit="1" customWidth="1"/>
    <col min="6696" max="6696" width="11.6640625" style="2" customWidth="1"/>
    <col min="6697" max="6698" width="10.5" style="2" bestFit="1" customWidth="1"/>
    <col min="6699" max="6699" width="12.5" style="2" customWidth="1"/>
    <col min="6700" max="6700" width="13.33203125" style="2" customWidth="1"/>
    <col min="6701" max="6701" width="13.5" style="2" customWidth="1"/>
    <col min="6702" max="6702" width="14.1640625" style="2" bestFit="1" customWidth="1"/>
    <col min="6703" max="6704" width="12.6640625" style="2" bestFit="1" customWidth="1"/>
    <col min="6705" max="6705" width="11.33203125" style="2" customWidth="1"/>
    <col min="6706" max="6912" width="12" style="2"/>
    <col min="6913" max="6913" width="19.1640625" style="2" customWidth="1"/>
    <col min="6914" max="6914" width="11.1640625" style="2" customWidth="1"/>
    <col min="6915" max="6915" width="11" style="2" customWidth="1"/>
    <col min="6916" max="6916" width="10.83203125" style="2" customWidth="1"/>
    <col min="6917" max="6923" width="9.83203125" style="2" customWidth="1"/>
    <col min="6924" max="6925" width="11.33203125" style="2" bestFit="1" customWidth="1"/>
    <col min="6926" max="6926" width="10.1640625" style="2" bestFit="1" customWidth="1"/>
    <col min="6927" max="6927" width="11.33203125" style="2" bestFit="1" customWidth="1"/>
    <col min="6928" max="6928" width="10.1640625" style="2" bestFit="1" customWidth="1"/>
    <col min="6929" max="6929" width="11.33203125" style="2" bestFit="1" customWidth="1"/>
    <col min="6930" max="6930" width="10.1640625" style="2" bestFit="1" customWidth="1"/>
    <col min="6931" max="6931" width="11.33203125" style="2" bestFit="1" customWidth="1"/>
    <col min="6932" max="6933" width="12" style="2"/>
    <col min="6934" max="6936" width="10.83203125" style="2" customWidth="1"/>
    <col min="6937" max="6945" width="11.1640625" style="2" customWidth="1"/>
    <col min="6946" max="6946" width="12.6640625" style="2" bestFit="1" customWidth="1"/>
    <col min="6947" max="6947" width="11.33203125" style="2" customWidth="1"/>
    <col min="6948" max="6948" width="11.83203125" style="2" customWidth="1"/>
    <col min="6949" max="6949" width="13.1640625" style="2" bestFit="1" customWidth="1"/>
    <col min="6950" max="6951" width="10.5" style="2" bestFit="1" customWidth="1"/>
    <col min="6952" max="6952" width="11.6640625" style="2" customWidth="1"/>
    <col min="6953" max="6954" width="10.5" style="2" bestFit="1" customWidth="1"/>
    <col min="6955" max="6955" width="12.5" style="2" customWidth="1"/>
    <col min="6956" max="6956" width="13.33203125" style="2" customWidth="1"/>
    <col min="6957" max="6957" width="13.5" style="2" customWidth="1"/>
    <col min="6958" max="6958" width="14.1640625" style="2" bestFit="1" customWidth="1"/>
    <col min="6959" max="6960" width="12.6640625" style="2" bestFit="1" customWidth="1"/>
    <col min="6961" max="6961" width="11.33203125" style="2" customWidth="1"/>
    <col min="6962" max="7168" width="12" style="2"/>
    <col min="7169" max="7169" width="19.1640625" style="2" customWidth="1"/>
    <col min="7170" max="7170" width="11.1640625" style="2" customWidth="1"/>
    <col min="7171" max="7171" width="11" style="2" customWidth="1"/>
    <col min="7172" max="7172" width="10.83203125" style="2" customWidth="1"/>
    <col min="7173" max="7179" width="9.83203125" style="2" customWidth="1"/>
    <col min="7180" max="7181" width="11.33203125" style="2" bestFit="1" customWidth="1"/>
    <col min="7182" max="7182" width="10.1640625" style="2" bestFit="1" customWidth="1"/>
    <col min="7183" max="7183" width="11.33203125" style="2" bestFit="1" customWidth="1"/>
    <col min="7184" max="7184" width="10.1640625" style="2" bestFit="1" customWidth="1"/>
    <col min="7185" max="7185" width="11.33203125" style="2" bestFit="1" customWidth="1"/>
    <col min="7186" max="7186" width="10.1640625" style="2" bestFit="1" customWidth="1"/>
    <col min="7187" max="7187" width="11.33203125" style="2" bestFit="1" customWidth="1"/>
    <col min="7188" max="7189" width="12" style="2"/>
    <col min="7190" max="7192" width="10.83203125" style="2" customWidth="1"/>
    <col min="7193" max="7201" width="11.1640625" style="2" customWidth="1"/>
    <col min="7202" max="7202" width="12.6640625" style="2" bestFit="1" customWidth="1"/>
    <col min="7203" max="7203" width="11.33203125" style="2" customWidth="1"/>
    <col min="7204" max="7204" width="11.83203125" style="2" customWidth="1"/>
    <col min="7205" max="7205" width="13.1640625" style="2" bestFit="1" customWidth="1"/>
    <col min="7206" max="7207" width="10.5" style="2" bestFit="1" customWidth="1"/>
    <col min="7208" max="7208" width="11.6640625" style="2" customWidth="1"/>
    <col min="7209" max="7210" width="10.5" style="2" bestFit="1" customWidth="1"/>
    <col min="7211" max="7211" width="12.5" style="2" customWidth="1"/>
    <col min="7212" max="7212" width="13.33203125" style="2" customWidth="1"/>
    <col min="7213" max="7213" width="13.5" style="2" customWidth="1"/>
    <col min="7214" max="7214" width="14.1640625" style="2" bestFit="1" customWidth="1"/>
    <col min="7215" max="7216" width="12.6640625" style="2" bestFit="1" customWidth="1"/>
    <col min="7217" max="7217" width="11.33203125" style="2" customWidth="1"/>
    <col min="7218" max="7424" width="12" style="2"/>
    <col min="7425" max="7425" width="19.1640625" style="2" customWidth="1"/>
    <col min="7426" max="7426" width="11.1640625" style="2" customWidth="1"/>
    <col min="7427" max="7427" width="11" style="2" customWidth="1"/>
    <col min="7428" max="7428" width="10.83203125" style="2" customWidth="1"/>
    <col min="7429" max="7435" width="9.83203125" style="2" customWidth="1"/>
    <col min="7436" max="7437" width="11.33203125" style="2" bestFit="1" customWidth="1"/>
    <col min="7438" max="7438" width="10.1640625" style="2" bestFit="1" customWidth="1"/>
    <col min="7439" max="7439" width="11.33203125" style="2" bestFit="1" customWidth="1"/>
    <col min="7440" max="7440" width="10.1640625" style="2" bestFit="1" customWidth="1"/>
    <col min="7441" max="7441" width="11.33203125" style="2" bestFit="1" customWidth="1"/>
    <col min="7442" max="7442" width="10.1640625" style="2" bestFit="1" customWidth="1"/>
    <col min="7443" max="7443" width="11.33203125" style="2" bestFit="1" customWidth="1"/>
    <col min="7444" max="7445" width="12" style="2"/>
    <col min="7446" max="7448" width="10.83203125" style="2" customWidth="1"/>
    <col min="7449" max="7457" width="11.1640625" style="2" customWidth="1"/>
    <col min="7458" max="7458" width="12.6640625" style="2" bestFit="1" customWidth="1"/>
    <col min="7459" max="7459" width="11.33203125" style="2" customWidth="1"/>
    <col min="7460" max="7460" width="11.83203125" style="2" customWidth="1"/>
    <col min="7461" max="7461" width="13.1640625" style="2" bestFit="1" customWidth="1"/>
    <col min="7462" max="7463" width="10.5" style="2" bestFit="1" customWidth="1"/>
    <col min="7464" max="7464" width="11.6640625" style="2" customWidth="1"/>
    <col min="7465" max="7466" width="10.5" style="2" bestFit="1" customWidth="1"/>
    <col min="7467" max="7467" width="12.5" style="2" customWidth="1"/>
    <col min="7468" max="7468" width="13.33203125" style="2" customWidth="1"/>
    <col min="7469" max="7469" width="13.5" style="2" customWidth="1"/>
    <col min="7470" max="7470" width="14.1640625" style="2" bestFit="1" customWidth="1"/>
    <col min="7471" max="7472" width="12.6640625" style="2" bestFit="1" customWidth="1"/>
    <col min="7473" max="7473" width="11.33203125" style="2" customWidth="1"/>
    <col min="7474" max="7680" width="12" style="2"/>
    <col min="7681" max="7681" width="19.1640625" style="2" customWidth="1"/>
    <col min="7682" max="7682" width="11.1640625" style="2" customWidth="1"/>
    <col min="7683" max="7683" width="11" style="2" customWidth="1"/>
    <col min="7684" max="7684" width="10.83203125" style="2" customWidth="1"/>
    <col min="7685" max="7691" width="9.83203125" style="2" customWidth="1"/>
    <col min="7692" max="7693" width="11.33203125" style="2" bestFit="1" customWidth="1"/>
    <col min="7694" max="7694" width="10.1640625" style="2" bestFit="1" customWidth="1"/>
    <col min="7695" max="7695" width="11.33203125" style="2" bestFit="1" customWidth="1"/>
    <col min="7696" max="7696" width="10.1640625" style="2" bestFit="1" customWidth="1"/>
    <col min="7697" max="7697" width="11.33203125" style="2" bestFit="1" customWidth="1"/>
    <col min="7698" max="7698" width="10.1640625" style="2" bestFit="1" customWidth="1"/>
    <col min="7699" max="7699" width="11.33203125" style="2" bestFit="1" customWidth="1"/>
    <col min="7700" max="7701" width="12" style="2"/>
    <col min="7702" max="7704" width="10.83203125" style="2" customWidth="1"/>
    <col min="7705" max="7713" width="11.1640625" style="2" customWidth="1"/>
    <col min="7714" max="7714" width="12.6640625" style="2" bestFit="1" customWidth="1"/>
    <col min="7715" max="7715" width="11.33203125" style="2" customWidth="1"/>
    <col min="7716" max="7716" width="11.83203125" style="2" customWidth="1"/>
    <col min="7717" max="7717" width="13.1640625" style="2" bestFit="1" customWidth="1"/>
    <col min="7718" max="7719" width="10.5" style="2" bestFit="1" customWidth="1"/>
    <col min="7720" max="7720" width="11.6640625" style="2" customWidth="1"/>
    <col min="7721" max="7722" width="10.5" style="2" bestFit="1" customWidth="1"/>
    <col min="7723" max="7723" width="12.5" style="2" customWidth="1"/>
    <col min="7724" max="7724" width="13.33203125" style="2" customWidth="1"/>
    <col min="7725" max="7725" width="13.5" style="2" customWidth="1"/>
    <col min="7726" max="7726" width="14.1640625" style="2" bestFit="1" customWidth="1"/>
    <col min="7727" max="7728" width="12.6640625" style="2" bestFit="1" customWidth="1"/>
    <col min="7729" max="7729" width="11.33203125" style="2" customWidth="1"/>
    <col min="7730" max="7936" width="12" style="2"/>
    <col min="7937" max="7937" width="19.1640625" style="2" customWidth="1"/>
    <col min="7938" max="7938" width="11.1640625" style="2" customWidth="1"/>
    <col min="7939" max="7939" width="11" style="2" customWidth="1"/>
    <col min="7940" max="7940" width="10.83203125" style="2" customWidth="1"/>
    <col min="7941" max="7947" width="9.83203125" style="2" customWidth="1"/>
    <col min="7948" max="7949" width="11.33203125" style="2" bestFit="1" customWidth="1"/>
    <col min="7950" max="7950" width="10.1640625" style="2" bestFit="1" customWidth="1"/>
    <col min="7951" max="7951" width="11.33203125" style="2" bestFit="1" customWidth="1"/>
    <col min="7952" max="7952" width="10.1640625" style="2" bestFit="1" customWidth="1"/>
    <col min="7953" max="7953" width="11.33203125" style="2" bestFit="1" customWidth="1"/>
    <col min="7954" max="7954" width="10.1640625" style="2" bestFit="1" customWidth="1"/>
    <col min="7955" max="7955" width="11.33203125" style="2" bestFit="1" customWidth="1"/>
    <col min="7956" max="7957" width="12" style="2"/>
    <col min="7958" max="7960" width="10.83203125" style="2" customWidth="1"/>
    <col min="7961" max="7969" width="11.1640625" style="2" customWidth="1"/>
    <col min="7970" max="7970" width="12.6640625" style="2" bestFit="1" customWidth="1"/>
    <col min="7971" max="7971" width="11.33203125" style="2" customWidth="1"/>
    <col min="7972" max="7972" width="11.83203125" style="2" customWidth="1"/>
    <col min="7973" max="7973" width="13.1640625" style="2" bestFit="1" customWidth="1"/>
    <col min="7974" max="7975" width="10.5" style="2" bestFit="1" customWidth="1"/>
    <col min="7976" max="7976" width="11.6640625" style="2" customWidth="1"/>
    <col min="7977" max="7978" width="10.5" style="2" bestFit="1" customWidth="1"/>
    <col min="7979" max="7979" width="12.5" style="2" customWidth="1"/>
    <col min="7980" max="7980" width="13.33203125" style="2" customWidth="1"/>
    <col min="7981" max="7981" width="13.5" style="2" customWidth="1"/>
    <col min="7982" max="7982" width="14.1640625" style="2" bestFit="1" customWidth="1"/>
    <col min="7983" max="7984" width="12.6640625" style="2" bestFit="1" customWidth="1"/>
    <col min="7985" max="7985" width="11.33203125" style="2" customWidth="1"/>
    <col min="7986" max="8192" width="12" style="2"/>
    <col min="8193" max="8193" width="19.1640625" style="2" customWidth="1"/>
    <col min="8194" max="8194" width="11.1640625" style="2" customWidth="1"/>
    <col min="8195" max="8195" width="11" style="2" customWidth="1"/>
    <col min="8196" max="8196" width="10.83203125" style="2" customWidth="1"/>
    <col min="8197" max="8203" width="9.83203125" style="2" customWidth="1"/>
    <col min="8204" max="8205" width="11.33203125" style="2" bestFit="1" customWidth="1"/>
    <col min="8206" max="8206" width="10.1640625" style="2" bestFit="1" customWidth="1"/>
    <col min="8207" max="8207" width="11.33203125" style="2" bestFit="1" customWidth="1"/>
    <col min="8208" max="8208" width="10.1640625" style="2" bestFit="1" customWidth="1"/>
    <col min="8209" max="8209" width="11.33203125" style="2" bestFit="1" customWidth="1"/>
    <col min="8210" max="8210" width="10.1640625" style="2" bestFit="1" customWidth="1"/>
    <col min="8211" max="8211" width="11.33203125" style="2" bestFit="1" customWidth="1"/>
    <col min="8212" max="8213" width="12" style="2"/>
    <col min="8214" max="8216" width="10.83203125" style="2" customWidth="1"/>
    <col min="8217" max="8225" width="11.1640625" style="2" customWidth="1"/>
    <col min="8226" max="8226" width="12.6640625" style="2" bestFit="1" customWidth="1"/>
    <col min="8227" max="8227" width="11.33203125" style="2" customWidth="1"/>
    <col min="8228" max="8228" width="11.83203125" style="2" customWidth="1"/>
    <col min="8229" max="8229" width="13.1640625" style="2" bestFit="1" customWidth="1"/>
    <col min="8230" max="8231" width="10.5" style="2" bestFit="1" customWidth="1"/>
    <col min="8232" max="8232" width="11.6640625" style="2" customWidth="1"/>
    <col min="8233" max="8234" width="10.5" style="2" bestFit="1" customWidth="1"/>
    <col min="8235" max="8235" width="12.5" style="2" customWidth="1"/>
    <col min="8236" max="8236" width="13.33203125" style="2" customWidth="1"/>
    <col min="8237" max="8237" width="13.5" style="2" customWidth="1"/>
    <col min="8238" max="8238" width="14.1640625" style="2" bestFit="1" customWidth="1"/>
    <col min="8239" max="8240" width="12.6640625" style="2" bestFit="1" customWidth="1"/>
    <col min="8241" max="8241" width="11.33203125" style="2" customWidth="1"/>
    <col min="8242" max="8448" width="12" style="2"/>
    <col min="8449" max="8449" width="19.1640625" style="2" customWidth="1"/>
    <col min="8450" max="8450" width="11.1640625" style="2" customWidth="1"/>
    <col min="8451" max="8451" width="11" style="2" customWidth="1"/>
    <col min="8452" max="8452" width="10.83203125" style="2" customWidth="1"/>
    <col min="8453" max="8459" width="9.83203125" style="2" customWidth="1"/>
    <col min="8460" max="8461" width="11.33203125" style="2" bestFit="1" customWidth="1"/>
    <col min="8462" max="8462" width="10.1640625" style="2" bestFit="1" customWidth="1"/>
    <col min="8463" max="8463" width="11.33203125" style="2" bestFit="1" customWidth="1"/>
    <col min="8464" max="8464" width="10.1640625" style="2" bestFit="1" customWidth="1"/>
    <col min="8465" max="8465" width="11.33203125" style="2" bestFit="1" customWidth="1"/>
    <col min="8466" max="8466" width="10.1640625" style="2" bestFit="1" customWidth="1"/>
    <col min="8467" max="8467" width="11.33203125" style="2" bestFit="1" customWidth="1"/>
    <col min="8468" max="8469" width="12" style="2"/>
    <col min="8470" max="8472" width="10.83203125" style="2" customWidth="1"/>
    <col min="8473" max="8481" width="11.1640625" style="2" customWidth="1"/>
    <col min="8482" max="8482" width="12.6640625" style="2" bestFit="1" customWidth="1"/>
    <col min="8483" max="8483" width="11.33203125" style="2" customWidth="1"/>
    <col min="8484" max="8484" width="11.83203125" style="2" customWidth="1"/>
    <col min="8485" max="8485" width="13.1640625" style="2" bestFit="1" customWidth="1"/>
    <col min="8486" max="8487" width="10.5" style="2" bestFit="1" customWidth="1"/>
    <col min="8488" max="8488" width="11.6640625" style="2" customWidth="1"/>
    <col min="8489" max="8490" width="10.5" style="2" bestFit="1" customWidth="1"/>
    <col min="8491" max="8491" width="12.5" style="2" customWidth="1"/>
    <col min="8492" max="8492" width="13.33203125" style="2" customWidth="1"/>
    <col min="8493" max="8493" width="13.5" style="2" customWidth="1"/>
    <col min="8494" max="8494" width="14.1640625" style="2" bestFit="1" customWidth="1"/>
    <col min="8495" max="8496" width="12.6640625" style="2" bestFit="1" customWidth="1"/>
    <col min="8497" max="8497" width="11.33203125" style="2" customWidth="1"/>
    <col min="8498" max="8704" width="12" style="2"/>
    <col min="8705" max="8705" width="19.1640625" style="2" customWidth="1"/>
    <col min="8706" max="8706" width="11.1640625" style="2" customWidth="1"/>
    <col min="8707" max="8707" width="11" style="2" customWidth="1"/>
    <col min="8708" max="8708" width="10.83203125" style="2" customWidth="1"/>
    <col min="8709" max="8715" width="9.83203125" style="2" customWidth="1"/>
    <col min="8716" max="8717" width="11.33203125" style="2" bestFit="1" customWidth="1"/>
    <col min="8718" max="8718" width="10.1640625" style="2" bestFit="1" customWidth="1"/>
    <col min="8719" max="8719" width="11.33203125" style="2" bestFit="1" customWidth="1"/>
    <col min="8720" max="8720" width="10.1640625" style="2" bestFit="1" customWidth="1"/>
    <col min="8721" max="8721" width="11.33203125" style="2" bestFit="1" customWidth="1"/>
    <col min="8722" max="8722" width="10.1640625" style="2" bestFit="1" customWidth="1"/>
    <col min="8723" max="8723" width="11.33203125" style="2" bestFit="1" customWidth="1"/>
    <col min="8724" max="8725" width="12" style="2"/>
    <col min="8726" max="8728" width="10.83203125" style="2" customWidth="1"/>
    <col min="8729" max="8737" width="11.1640625" style="2" customWidth="1"/>
    <col min="8738" max="8738" width="12.6640625" style="2" bestFit="1" customWidth="1"/>
    <col min="8739" max="8739" width="11.33203125" style="2" customWidth="1"/>
    <col min="8740" max="8740" width="11.83203125" style="2" customWidth="1"/>
    <col min="8741" max="8741" width="13.1640625" style="2" bestFit="1" customWidth="1"/>
    <col min="8742" max="8743" width="10.5" style="2" bestFit="1" customWidth="1"/>
    <col min="8744" max="8744" width="11.6640625" style="2" customWidth="1"/>
    <col min="8745" max="8746" width="10.5" style="2" bestFit="1" customWidth="1"/>
    <col min="8747" max="8747" width="12.5" style="2" customWidth="1"/>
    <col min="8748" max="8748" width="13.33203125" style="2" customWidth="1"/>
    <col min="8749" max="8749" width="13.5" style="2" customWidth="1"/>
    <col min="8750" max="8750" width="14.1640625" style="2" bestFit="1" customWidth="1"/>
    <col min="8751" max="8752" width="12.6640625" style="2" bestFit="1" customWidth="1"/>
    <col min="8753" max="8753" width="11.33203125" style="2" customWidth="1"/>
    <col min="8754" max="8960" width="12" style="2"/>
    <col min="8961" max="8961" width="19.1640625" style="2" customWidth="1"/>
    <col min="8962" max="8962" width="11.1640625" style="2" customWidth="1"/>
    <col min="8963" max="8963" width="11" style="2" customWidth="1"/>
    <col min="8964" max="8964" width="10.83203125" style="2" customWidth="1"/>
    <col min="8965" max="8971" width="9.83203125" style="2" customWidth="1"/>
    <col min="8972" max="8973" width="11.33203125" style="2" bestFit="1" customWidth="1"/>
    <col min="8974" max="8974" width="10.1640625" style="2" bestFit="1" customWidth="1"/>
    <col min="8975" max="8975" width="11.33203125" style="2" bestFit="1" customWidth="1"/>
    <col min="8976" max="8976" width="10.1640625" style="2" bestFit="1" customWidth="1"/>
    <col min="8977" max="8977" width="11.33203125" style="2" bestFit="1" customWidth="1"/>
    <col min="8978" max="8978" width="10.1640625" style="2" bestFit="1" customWidth="1"/>
    <col min="8979" max="8979" width="11.33203125" style="2" bestFit="1" customWidth="1"/>
    <col min="8980" max="8981" width="12" style="2"/>
    <col min="8982" max="8984" width="10.83203125" style="2" customWidth="1"/>
    <col min="8985" max="8993" width="11.1640625" style="2" customWidth="1"/>
    <col min="8994" max="8994" width="12.6640625" style="2" bestFit="1" customWidth="1"/>
    <col min="8995" max="8995" width="11.33203125" style="2" customWidth="1"/>
    <col min="8996" max="8996" width="11.83203125" style="2" customWidth="1"/>
    <col min="8997" max="8997" width="13.1640625" style="2" bestFit="1" customWidth="1"/>
    <col min="8998" max="8999" width="10.5" style="2" bestFit="1" customWidth="1"/>
    <col min="9000" max="9000" width="11.6640625" style="2" customWidth="1"/>
    <col min="9001" max="9002" width="10.5" style="2" bestFit="1" customWidth="1"/>
    <col min="9003" max="9003" width="12.5" style="2" customWidth="1"/>
    <col min="9004" max="9004" width="13.33203125" style="2" customWidth="1"/>
    <col min="9005" max="9005" width="13.5" style="2" customWidth="1"/>
    <col min="9006" max="9006" width="14.1640625" style="2" bestFit="1" customWidth="1"/>
    <col min="9007" max="9008" width="12.6640625" style="2" bestFit="1" customWidth="1"/>
    <col min="9009" max="9009" width="11.33203125" style="2" customWidth="1"/>
    <col min="9010" max="9216" width="12" style="2"/>
    <col min="9217" max="9217" width="19.1640625" style="2" customWidth="1"/>
    <col min="9218" max="9218" width="11.1640625" style="2" customWidth="1"/>
    <col min="9219" max="9219" width="11" style="2" customWidth="1"/>
    <col min="9220" max="9220" width="10.83203125" style="2" customWidth="1"/>
    <col min="9221" max="9227" width="9.83203125" style="2" customWidth="1"/>
    <col min="9228" max="9229" width="11.33203125" style="2" bestFit="1" customWidth="1"/>
    <col min="9230" max="9230" width="10.1640625" style="2" bestFit="1" customWidth="1"/>
    <col min="9231" max="9231" width="11.33203125" style="2" bestFit="1" customWidth="1"/>
    <col min="9232" max="9232" width="10.1640625" style="2" bestFit="1" customWidth="1"/>
    <col min="9233" max="9233" width="11.33203125" style="2" bestFit="1" customWidth="1"/>
    <col min="9234" max="9234" width="10.1640625" style="2" bestFit="1" customWidth="1"/>
    <col min="9235" max="9235" width="11.33203125" style="2" bestFit="1" customWidth="1"/>
    <col min="9236" max="9237" width="12" style="2"/>
    <col min="9238" max="9240" width="10.83203125" style="2" customWidth="1"/>
    <col min="9241" max="9249" width="11.1640625" style="2" customWidth="1"/>
    <col min="9250" max="9250" width="12.6640625" style="2" bestFit="1" customWidth="1"/>
    <col min="9251" max="9251" width="11.33203125" style="2" customWidth="1"/>
    <col min="9252" max="9252" width="11.83203125" style="2" customWidth="1"/>
    <col min="9253" max="9253" width="13.1640625" style="2" bestFit="1" customWidth="1"/>
    <col min="9254" max="9255" width="10.5" style="2" bestFit="1" customWidth="1"/>
    <col min="9256" max="9256" width="11.6640625" style="2" customWidth="1"/>
    <col min="9257" max="9258" width="10.5" style="2" bestFit="1" customWidth="1"/>
    <col min="9259" max="9259" width="12.5" style="2" customWidth="1"/>
    <col min="9260" max="9260" width="13.33203125" style="2" customWidth="1"/>
    <col min="9261" max="9261" width="13.5" style="2" customWidth="1"/>
    <col min="9262" max="9262" width="14.1640625" style="2" bestFit="1" customWidth="1"/>
    <col min="9263" max="9264" width="12.6640625" style="2" bestFit="1" customWidth="1"/>
    <col min="9265" max="9265" width="11.33203125" style="2" customWidth="1"/>
    <col min="9266" max="9472" width="12" style="2"/>
    <col min="9473" max="9473" width="19.1640625" style="2" customWidth="1"/>
    <col min="9474" max="9474" width="11.1640625" style="2" customWidth="1"/>
    <col min="9475" max="9475" width="11" style="2" customWidth="1"/>
    <col min="9476" max="9476" width="10.83203125" style="2" customWidth="1"/>
    <col min="9477" max="9483" width="9.83203125" style="2" customWidth="1"/>
    <col min="9484" max="9485" width="11.33203125" style="2" bestFit="1" customWidth="1"/>
    <col min="9486" max="9486" width="10.1640625" style="2" bestFit="1" customWidth="1"/>
    <col min="9487" max="9487" width="11.33203125" style="2" bestFit="1" customWidth="1"/>
    <col min="9488" max="9488" width="10.1640625" style="2" bestFit="1" customWidth="1"/>
    <col min="9489" max="9489" width="11.33203125" style="2" bestFit="1" customWidth="1"/>
    <col min="9490" max="9490" width="10.1640625" style="2" bestFit="1" customWidth="1"/>
    <col min="9491" max="9491" width="11.33203125" style="2" bestFit="1" customWidth="1"/>
    <col min="9492" max="9493" width="12" style="2"/>
    <col min="9494" max="9496" width="10.83203125" style="2" customWidth="1"/>
    <col min="9497" max="9505" width="11.1640625" style="2" customWidth="1"/>
    <col min="9506" max="9506" width="12.6640625" style="2" bestFit="1" customWidth="1"/>
    <col min="9507" max="9507" width="11.33203125" style="2" customWidth="1"/>
    <col min="9508" max="9508" width="11.83203125" style="2" customWidth="1"/>
    <col min="9509" max="9509" width="13.1640625" style="2" bestFit="1" customWidth="1"/>
    <col min="9510" max="9511" width="10.5" style="2" bestFit="1" customWidth="1"/>
    <col min="9512" max="9512" width="11.6640625" style="2" customWidth="1"/>
    <col min="9513" max="9514" width="10.5" style="2" bestFit="1" customWidth="1"/>
    <col min="9515" max="9515" width="12.5" style="2" customWidth="1"/>
    <col min="9516" max="9516" width="13.33203125" style="2" customWidth="1"/>
    <col min="9517" max="9517" width="13.5" style="2" customWidth="1"/>
    <col min="9518" max="9518" width="14.1640625" style="2" bestFit="1" customWidth="1"/>
    <col min="9519" max="9520" width="12.6640625" style="2" bestFit="1" customWidth="1"/>
    <col min="9521" max="9521" width="11.33203125" style="2" customWidth="1"/>
    <col min="9522" max="9728" width="12" style="2"/>
    <col min="9729" max="9729" width="19.1640625" style="2" customWidth="1"/>
    <col min="9730" max="9730" width="11.1640625" style="2" customWidth="1"/>
    <col min="9731" max="9731" width="11" style="2" customWidth="1"/>
    <col min="9732" max="9732" width="10.83203125" style="2" customWidth="1"/>
    <col min="9733" max="9739" width="9.83203125" style="2" customWidth="1"/>
    <col min="9740" max="9741" width="11.33203125" style="2" bestFit="1" customWidth="1"/>
    <col min="9742" max="9742" width="10.1640625" style="2" bestFit="1" customWidth="1"/>
    <col min="9743" max="9743" width="11.33203125" style="2" bestFit="1" customWidth="1"/>
    <col min="9744" max="9744" width="10.1640625" style="2" bestFit="1" customWidth="1"/>
    <col min="9745" max="9745" width="11.33203125" style="2" bestFit="1" customWidth="1"/>
    <col min="9746" max="9746" width="10.1640625" style="2" bestFit="1" customWidth="1"/>
    <col min="9747" max="9747" width="11.33203125" style="2" bestFit="1" customWidth="1"/>
    <col min="9748" max="9749" width="12" style="2"/>
    <col min="9750" max="9752" width="10.83203125" style="2" customWidth="1"/>
    <col min="9753" max="9761" width="11.1640625" style="2" customWidth="1"/>
    <col min="9762" max="9762" width="12.6640625" style="2" bestFit="1" customWidth="1"/>
    <col min="9763" max="9763" width="11.33203125" style="2" customWidth="1"/>
    <col min="9764" max="9764" width="11.83203125" style="2" customWidth="1"/>
    <col min="9765" max="9765" width="13.1640625" style="2" bestFit="1" customWidth="1"/>
    <col min="9766" max="9767" width="10.5" style="2" bestFit="1" customWidth="1"/>
    <col min="9768" max="9768" width="11.6640625" style="2" customWidth="1"/>
    <col min="9769" max="9770" width="10.5" style="2" bestFit="1" customWidth="1"/>
    <col min="9771" max="9771" width="12.5" style="2" customWidth="1"/>
    <col min="9772" max="9772" width="13.33203125" style="2" customWidth="1"/>
    <col min="9773" max="9773" width="13.5" style="2" customWidth="1"/>
    <col min="9774" max="9774" width="14.1640625" style="2" bestFit="1" customWidth="1"/>
    <col min="9775" max="9776" width="12.6640625" style="2" bestFit="1" customWidth="1"/>
    <col min="9777" max="9777" width="11.33203125" style="2" customWidth="1"/>
    <col min="9778" max="9984" width="12" style="2"/>
    <col min="9985" max="9985" width="19.1640625" style="2" customWidth="1"/>
    <col min="9986" max="9986" width="11.1640625" style="2" customWidth="1"/>
    <col min="9987" max="9987" width="11" style="2" customWidth="1"/>
    <col min="9988" max="9988" width="10.83203125" style="2" customWidth="1"/>
    <col min="9989" max="9995" width="9.83203125" style="2" customWidth="1"/>
    <col min="9996" max="9997" width="11.33203125" style="2" bestFit="1" customWidth="1"/>
    <col min="9998" max="9998" width="10.1640625" style="2" bestFit="1" customWidth="1"/>
    <col min="9999" max="9999" width="11.33203125" style="2" bestFit="1" customWidth="1"/>
    <col min="10000" max="10000" width="10.1640625" style="2" bestFit="1" customWidth="1"/>
    <col min="10001" max="10001" width="11.33203125" style="2" bestFit="1" customWidth="1"/>
    <col min="10002" max="10002" width="10.1640625" style="2" bestFit="1" customWidth="1"/>
    <col min="10003" max="10003" width="11.33203125" style="2" bestFit="1" customWidth="1"/>
    <col min="10004" max="10005" width="12" style="2"/>
    <col min="10006" max="10008" width="10.83203125" style="2" customWidth="1"/>
    <col min="10009" max="10017" width="11.1640625" style="2" customWidth="1"/>
    <col min="10018" max="10018" width="12.6640625" style="2" bestFit="1" customWidth="1"/>
    <col min="10019" max="10019" width="11.33203125" style="2" customWidth="1"/>
    <col min="10020" max="10020" width="11.83203125" style="2" customWidth="1"/>
    <col min="10021" max="10021" width="13.1640625" style="2" bestFit="1" customWidth="1"/>
    <col min="10022" max="10023" width="10.5" style="2" bestFit="1" customWidth="1"/>
    <col min="10024" max="10024" width="11.6640625" style="2" customWidth="1"/>
    <col min="10025" max="10026" width="10.5" style="2" bestFit="1" customWidth="1"/>
    <col min="10027" max="10027" width="12.5" style="2" customWidth="1"/>
    <col min="10028" max="10028" width="13.33203125" style="2" customWidth="1"/>
    <col min="10029" max="10029" width="13.5" style="2" customWidth="1"/>
    <col min="10030" max="10030" width="14.1640625" style="2" bestFit="1" customWidth="1"/>
    <col min="10031" max="10032" width="12.6640625" style="2" bestFit="1" customWidth="1"/>
    <col min="10033" max="10033" width="11.33203125" style="2" customWidth="1"/>
    <col min="10034" max="10240" width="12" style="2"/>
    <col min="10241" max="10241" width="19.1640625" style="2" customWidth="1"/>
    <col min="10242" max="10242" width="11.1640625" style="2" customWidth="1"/>
    <col min="10243" max="10243" width="11" style="2" customWidth="1"/>
    <col min="10244" max="10244" width="10.83203125" style="2" customWidth="1"/>
    <col min="10245" max="10251" width="9.83203125" style="2" customWidth="1"/>
    <col min="10252" max="10253" width="11.33203125" style="2" bestFit="1" customWidth="1"/>
    <col min="10254" max="10254" width="10.1640625" style="2" bestFit="1" customWidth="1"/>
    <col min="10255" max="10255" width="11.33203125" style="2" bestFit="1" customWidth="1"/>
    <col min="10256" max="10256" width="10.1640625" style="2" bestFit="1" customWidth="1"/>
    <col min="10257" max="10257" width="11.33203125" style="2" bestFit="1" customWidth="1"/>
    <col min="10258" max="10258" width="10.1640625" style="2" bestFit="1" customWidth="1"/>
    <col min="10259" max="10259" width="11.33203125" style="2" bestFit="1" customWidth="1"/>
    <col min="10260" max="10261" width="12" style="2"/>
    <col min="10262" max="10264" width="10.83203125" style="2" customWidth="1"/>
    <col min="10265" max="10273" width="11.1640625" style="2" customWidth="1"/>
    <col min="10274" max="10274" width="12.6640625" style="2" bestFit="1" customWidth="1"/>
    <col min="10275" max="10275" width="11.33203125" style="2" customWidth="1"/>
    <col min="10276" max="10276" width="11.83203125" style="2" customWidth="1"/>
    <col min="10277" max="10277" width="13.1640625" style="2" bestFit="1" customWidth="1"/>
    <col min="10278" max="10279" width="10.5" style="2" bestFit="1" customWidth="1"/>
    <col min="10280" max="10280" width="11.6640625" style="2" customWidth="1"/>
    <col min="10281" max="10282" width="10.5" style="2" bestFit="1" customWidth="1"/>
    <col min="10283" max="10283" width="12.5" style="2" customWidth="1"/>
    <col min="10284" max="10284" width="13.33203125" style="2" customWidth="1"/>
    <col min="10285" max="10285" width="13.5" style="2" customWidth="1"/>
    <col min="10286" max="10286" width="14.1640625" style="2" bestFit="1" customWidth="1"/>
    <col min="10287" max="10288" width="12.6640625" style="2" bestFit="1" customWidth="1"/>
    <col min="10289" max="10289" width="11.33203125" style="2" customWidth="1"/>
    <col min="10290" max="10496" width="12" style="2"/>
    <col min="10497" max="10497" width="19.1640625" style="2" customWidth="1"/>
    <col min="10498" max="10498" width="11.1640625" style="2" customWidth="1"/>
    <col min="10499" max="10499" width="11" style="2" customWidth="1"/>
    <col min="10500" max="10500" width="10.83203125" style="2" customWidth="1"/>
    <col min="10501" max="10507" width="9.83203125" style="2" customWidth="1"/>
    <col min="10508" max="10509" width="11.33203125" style="2" bestFit="1" customWidth="1"/>
    <col min="10510" max="10510" width="10.1640625" style="2" bestFit="1" customWidth="1"/>
    <col min="10511" max="10511" width="11.33203125" style="2" bestFit="1" customWidth="1"/>
    <col min="10512" max="10512" width="10.1640625" style="2" bestFit="1" customWidth="1"/>
    <col min="10513" max="10513" width="11.33203125" style="2" bestFit="1" customWidth="1"/>
    <col min="10514" max="10514" width="10.1640625" style="2" bestFit="1" customWidth="1"/>
    <col min="10515" max="10515" width="11.33203125" style="2" bestFit="1" customWidth="1"/>
    <col min="10516" max="10517" width="12" style="2"/>
    <col min="10518" max="10520" width="10.83203125" style="2" customWidth="1"/>
    <col min="10521" max="10529" width="11.1640625" style="2" customWidth="1"/>
    <col min="10530" max="10530" width="12.6640625" style="2" bestFit="1" customWidth="1"/>
    <col min="10531" max="10531" width="11.33203125" style="2" customWidth="1"/>
    <col min="10532" max="10532" width="11.83203125" style="2" customWidth="1"/>
    <col min="10533" max="10533" width="13.1640625" style="2" bestFit="1" customWidth="1"/>
    <col min="10534" max="10535" width="10.5" style="2" bestFit="1" customWidth="1"/>
    <col min="10536" max="10536" width="11.6640625" style="2" customWidth="1"/>
    <col min="10537" max="10538" width="10.5" style="2" bestFit="1" customWidth="1"/>
    <col min="10539" max="10539" width="12.5" style="2" customWidth="1"/>
    <col min="10540" max="10540" width="13.33203125" style="2" customWidth="1"/>
    <col min="10541" max="10541" width="13.5" style="2" customWidth="1"/>
    <col min="10542" max="10542" width="14.1640625" style="2" bestFit="1" customWidth="1"/>
    <col min="10543" max="10544" width="12.6640625" style="2" bestFit="1" customWidth="1"/>
    <col min="10545" max="10545" width="11.33203125" style="2" customWidth="1"/>
    <col min="10546" max="10752" width="12" style="2"/>
    <col min="10753" max="10753" width="19.1640625" style="2" customWidth="1"/>
    <col min="10754" max="10754" width="11.1640625" style="2" customWidth="1"/>
    <col min="10755" max="10755" width="11" style="2" customWidth="1"/>
    <col min="10756" max="10756" width="10.83203125" style="2" customWidth="1"/>
    <col min="10757" max="10763" width="9.83203125" style="2" customWidth="1"/>
    <col min="10764" max="10765" width="11.33203125" style="2" bestFit="1" customWidth="1"/>
    <col min="10766" max="10766" width="10.1640625" style="2" bestFit="1" customWidth="1"/>
    <col min="10767" max="10767" width="11.33203125" style="2" bestFit="1" customWidth="1"/>
    <col min="10768" max="10768" width="10.1640625" style="2" bestFit="1" customWidth="1"/>
    <col min="10769" max="10769" width="11.33203125" style="2" bestFit="1" customWidth="1"/>
    <col min="10770" max="10770" width="10.1640625" style="2" bestFit="1" customWidth="1"/>
    <col min="10771" max="10771" width="11.33203125" style="2" bestFit="1" customWidth="1"/>
    <col min="10772" max="10773" width="12" style="2"/>
    <col min="10774" max="10776" width="10.83203125" style="2" customWidth="1"/>
    <col min="10777" max="10785" width="11.1640625" style="2" customWidth="1"/>
    <col min="10786" max="10786" width="12.6640625" style="2" bestFit="1" customWidth="1"/>
    <col min="10787" max="10787" width="11.33203125" style="2" customWidth="1"/>
    <col min="10788" max="10788" width="11.83203125" style="2" customWidth="1"/>
    <col min="10789" max="10789" width="13.1640625" style="2" bestFit="1" customWidth="1"/>
    <col min="10790" max="10791" width="10.5" style="2" bestFit="1" customWidth="1"/>
    <col min="10792" max="10792" width="11.6640625" style="2" customWidth="1"/>
    <col min="10793" max="10794" width="10.5" style="2" bestFit="1" customWidth="1"/>
    <col min="10795" max="10795" width="12.5" style="2" customWidth="1"/>
    <col min="10796" max="10796" width="13.33203125" style="2" customWidth="1"/>
    <col min="10797" max="10797" width="13.5" style="2" customWidth="1"/>
    <col min="10798" max="10798" width="14.1640625" style="2" bestFit="1" customWidth="1"/>
    <col min="10799" max="10800" width="12.6640625" style="2" bestFit="1" customWidth="1"/>
    <col min="10801" max="10801" width="11.33203125" style="2" customWidth="1"/>
    <col min="10802" max="11008" width="12" style="2"/>
    <col min="11009" max="11009" width="19.1640625" style="2" customWidth="1"/>
    <col min="11010" max="11010" width="11.1640625" style="2" customWidth="1"/>
    <col min="11011" max="11011" width="11" style="2" customWidth="1"/>
    <col min="11012" max="11012" width="10.83203125" style="2" customWidth="1"/>
    <col min="11013" max="11019" width="9.83203125" style="2" customWidth="1"/>
    <col min="11020" max="11021" width="11.33203125" style="2" bestFit="1" customWidth="1"/>
    <col min="11022" max="11022" width="10.1640625" style="2" bestFit="1" customWidth="1"/>
    <col min="11023" max="11023" width="11.33203125" style="2" bestFit="1" customWidth="1"/>
    <col min="11024" max="11024" width="10.1640625" style="2" bestFit="1" customWidth="1"/>
    <col min="11025" max="11025" width="11.33203125" style="2" bestFit="1" customWidth="1"/>
    <col min="11026" max="11026" width="10.1640625" style="2" bestFit="1" customWidth="1"/>
    <col min="11027" max="11027" width="11.33203125" style="2" bestFit="1" customWidth="1"/>
    <col min="11028" max="11029" width="12" style="2"/>
    <col min="11030" max="11032" width="10.83203125" style="2" customWidth="1"/>
    <col min="11033" max="11041" width="11.1640625" style="2" customWidth="1"/>
    <col min="11042" max="11042" width="12.6640625" style="2" bestFit="1" customWidth="1"/>
    <col min="11043" max="11043" width="11.33203125" style="2" customWidth="1"/>
    <col min="11044" max="11044" width="11.83203125" style="2" customWidth="1"/>
    <col min="11045" max="11045" width="13.1640625" style="2" bestFit="1" customWidth="1"/>
    <col min="11046" max="11047" width="10.5" style="2" bestFit="1" customWidth="1"/>
    <col min="11048" max="11048" width="11.6640625" style="2" customWidth="1"/>
    <col min="11049" max="11050" width="10.5" style="2" bestFit="1" customWidth="1"/>
    <col min="11051" max="11051" width="12.5" style="2" customWidth="1"/>
    <col min="11052" max="11052" width="13.33203125" style="2" customWidth="1"/>
    <col min="11053" max="11053" width="13.5" style="2" customWidth="1"/>
    <col min="11054" max="11054" width="14.1640625" style="2" bestFit="1" customWidth="1"/>
    <col min="11055" max="11056" width="12.6640625" style="2" bestFit="1" customWidth="1"/>
    <col min="11057" max="11057" width="11.33203125" style="2" customWidth="1"/>
    <col min="11058" max="11264" width="12" style="2"/>
    <col min="11265" max="11265" width="19.1640625" style="2" customWidth="1"/>
    <col min="11266" max="11266" width="11.1640625" style="2" customWidth="1"/>
    <col min="11267" max="11267" width="11" style="2" customWidth="1"/>
    <col min="11268" max="11268" width="10.83203125" style="2" customWidth="1"/>
    <col min="11269" max="11275" width="9.83203125" style="2" customWidth="1"/>
    <col min="11276" max="11277" width="11.33203125" style="2" bestFit="1" customWidth="1"/>
    <col min="11278" max="11278" width="10.1640625" style="2" bestFit="1" customWidth="1"/>
    <col min="11279" max="11279" width="11.33203125" style="2" bestFit="1" customWidth="1"/>
    <col min="11280" max="11280" width="10.1640625" style="2" bestFit="1" customWidth="1"/>
    <col min="11281" max="11281" width="11.33203125" style="2" bestFit="1" customWidth="1"/>
    <col min="11282" max="11282" width="10.1640625" style="2" bestFit="1" customWidth="1"/>
    <col min="11283" max="11283" width="11.33203125" style="2" bestFit="1" customWidth="1"/>
    <col min="11284" max="11285" width="12" style="2"/>
    <col min="11286" max="11288" width="10.83203125" style="2" customWidth="1"/>
    <col min="11289" max="11297" width="11.1640625" style="2" customWidth="1"/>
    <col min="11298" max="11298" width="12.6640625" style="2" bestFit="1" customWidth="1"/>
    <col min="11299" max="11299" width="11.33203125" style="2" customWidth="1"/>
    <col min="11300" max="11300" width="11.83203125" style="2" customWidth="1"/>
    <col min="11301" max="11301" width="13.1640625" style="2" bestFit="1" customWidth="1"/>
    <col min="11302" max="11303" width="10.5" style="2" bestFit="1" customWidth="1"/>
    <col min="11304" max="11304" width="11.6640625" style="2" customWidth="1"/>
    <col min="11305" max="11306" width="10.5" style="2" bestFit="1" customWidth="1"/>
    <col min="11307" max="11307" width="12.5" style="2" customWidth="1"/>
    <col min="11308" max="11308" width="13.33203125" style="2" customWidth="1"/>
    <col min="11309" max="11309" width="13.5" style="2" customWidth="1"/>
    <col min="11310" max="11310" width="14.1640625" style="2" bestFit="1" customWidth="1"/>
    <col min="11311" max="11312" width="12.6640625" style="2" bestFit="1" customWidth="1"/>
    <col min="11313" max="11313" width="11.33203125" style="2" customWidth="1"/>
    <col min="11314" max="11520" width="12" style="2"/>
    <col min="11521" max="11521" width="19.1640625" style="2" customWidth="1"/>
    <col min="11522" max="11522" width="11.1640625" style="2" customWidth="1"/>
    <col min="11523" max="11523" width="11" style="2" customWidth="1"/>
    <col min="11524" max="11524" width="10.83203125" style="2" customWidth="1"/>
    <col min="11525" max="11531" width="9.83203125" style="2" customWidth="1"/>
    <col min="11532" max="11533" width="11.33203125" style="2" bestFit="1" customWidth="1"/>
    <col min="11534" max="11534" width="10.1640625" style="2" bestFit="1" customWidth="1"/>
    <col min="11535" max="11535" width="11.33203125" style="2" bestFit="1" customWidth="1"/>
    <col min="11536" max="11536" width="10.1640625" style="2" bestFit="1" customWidth="1"/>
    <col min="11537" max="11537" width="11.33203125" style="2" bestFit="1" customWidth="1"/>
    <col min="11538" max="11538" width="10.1640625" style="2" bestFit="1" customWidth="1"/>
    <col min="11539" max="11539" width="11.33203125" style="2" bestFit="1" customWidth="1"/>
    <col min="11540" max="11541" width="12" style="2"/>
    <col min="11542" max="11544" width="10.83203125" style="2" customWidth="1"/>
    <col min="11545" max="11553" width="11.1640625" style="2" customWidth="1"/>
    <col min="11554" max="11554" width="12.6640625" style="2" bestFit="1" customWidth="1"/>
    <col min="11555" max="11555" width="11.33203125" style="2" customWidth="1"/>
    <col min="11556" max="11556" width="11.83203125" style="2" customWidth="1"/>
    <col min="11557" max="11557" width="13.1640625" style="2" bestFit="1" customWidth="1"/>
    <col min="11558" max="11559" width="10.5" style="2" bestFit="1" customWidth="1"/>
    <col min="11560" max="11560" width="11.6640625" style="2" customWidth="1"/>
    <col min="11561" max="11562" width="10.5" style="2" bestFit="1" customWidth="1"/>
    <col min="11563" max="11563" width="12.5" style="2" customWidth="1"/>
    <col min="11564" max="11564" width="13.33203125" style="2" customWidth="1"/>
    <col min="11565" max="11565" width="13.5" style="2" customWidth="1"/>
    <col min="11566" max="11566" width="14.1640625" style="2" bestFit="1" customWidth="1"/>
    <col min="11567" max="11568" width="12.6640625" style="2" bestFit="1" customWidth="1"/>
    <col min="11569" max="11569" width="11.33203125" style="2" customWidth="1"/>
    <col min="11570" max="11776" width="12" style="2"/>
    <col min="11777" max="11777" width="19.1640625" style="2" customWidth="1"/>
    <col min="11778" max="11778" width="11.1640625" style="2" customWidth="1"/>
    <col min="11779" max="11779" width="11" style="2" customWidth="1"/>
    <col min="11780" max="11780" width="10.83203125" style="2" customWidth="1"/>
    <col min="11781" max="11787" width="9.83203125" style="2" customWidth="1"/>
    <col min="11788" max="11789" width="11.33203125" style="2" bestFit="1" customWidth="1"/>
    <col min="11790" max="11790" width="10.1640625" style="2" bestFit="1" customWidth="1"/>
    <col min="11791" max="11791" width="11.33203125" style="2" bestFit="1" customWidth="1"/>
    <col min="11792" max="11792" width="10.1640625" style="2" bestFit="1" customWidth="1"/>
    <col min="11793" max="11793" width="11.33203125" style="2" bestFit="1" customWidth="1"/>
    <col min="11794" max="11794" width="10.1640625" style="2" bestFit="1" customWidth="1"/>
    <col min="11795" max="11795" width="11.33203125" style="2" bestFit="1" customWidth="1"/>
    <col min="11796" max="11797" width="12" style="2"/>
    <col min="11798" max="11800" width="10.83203125" style="2" customWidth="1"/>
    <col min="11801" max="11809" width="11.1640625" style="2" customWidth="1"/>
    <col min="11810" max="11810" width="12.6640625" style="2" bestFit="1" customWidth="1"/>
    <col min="11811" max="11811" width="11.33203125" style="2" customWidth="1"/>
    <col min="11812" max="11812" width="11.83203125" style="2" customWidth="1"/>
    <col min="11813" max="11813" width="13.1640625" style="2" bestFit="1" customWidth="1"/>
    <col min="11814" max="11815" width="10.5" style="2" bestFit="1" customWidth="1"/>
    <col min="11816" max="11816" width="11.6640625" style="2" customWidth="1"/>
    <col min="11817" max="11818" width="10.5" style="2" bestFit="1" customWidth="1"/>
    <col min="11819" max="11819" width="12.5" style="2" customWidth="1"/>
    <col min="11820" max="11820" width="13.33203125" style="2" customWidth="1"/>
    <col min="11821" max="11821" width="13.5" style="2" customWidth="1"/>
    <col min="11822" max="11822" width="14.1640625" style="2" bestFit="1" customWidth="1"/>
    <col min="11823" max="11824" width="12.6640625" style="2" bestFit="1" customWidth="1"/>
    <col min="11825" max="11825" width="11.33203125" style="2" customWidth="1"/>
    <col min="11826" max="12032" width="12" style="2"/>
    <col min="12033" max="12033" width="19.1640625" style="2" customWidth="1"/>
    <col min="12034" max="12034" width="11.1640625" style="2" customWidth="1"/>
    <col min="12035" max="12035" width="11" style="2" customWidth="1"/>
    <col min="12036" max="12036" width="10.83203125" style="2" customWidth="1"/>
    <col min="12037" max="12043" width="9.83203125" style="2" customWidth="1"/>
    <col min="12044" max="12045" width="11.33203125" style="2" bestFit="1" customWidth="1"/>
    <col min="12046" max="12046" width="10.1640625" style="2" bestFit="1" customWidth="1"/>
    <col min="12047" max="12047" width="11.33203125" style="2" bestFit="1" customWidth="1"/>
    <col min="12048" max="12048" width="10.1640625" style="2" bestFit="1" customWidth="1"/>
    <col min="12049" max="12049" width="11.33203125" style="2" bestFit="1" customWidth="1"/>
    <col min="12050" max="12050" width="10.1640625" style="2" bestFit="1" customWidth="1"/>
    <col min="12051" max="12051" width="11.33203125" style="2" bestFit="1" customWidth="1"/>
    <col min="12052" max="12053" width="12" style="2"/>
    <col min="12054" max="12056" width="10.83203125" style="2" customWidth="1"/>
    <col min="12057" max="12065" width="11.1640625" style="2" customWidth="1"/>
    <col min="12066" max="12066" width="12.6640625" style="2" bestFit="1" customWidth="1"/>
    <col min="12067" max="12067" width="11.33203125" style="2" customWidth="1"/>
    <col min="12068" max="12068" width="11.83203125" style="2" customWidth="1"/>
    <col min="12069" max="12069" width="13.1640625" style="2" bestFit="1" customWidth="1"/>
    <col min="12070" max="12071" width="10.5" style="2" bestFit="1" customWidth="1"/>
    <col min="12072" max="12072" width="11.6640625" style="2" customWidth="1"/>
    <col min="12073" max="12074" width="10.5" style="2" bestFit="1" customWidth="1"/>
    <col min="12075" max="12075" width="12.5" style="2" customWidth="1"/>
    <col min="12076" max="12076" width="13.33203125" style="2" customWidth="1"/>
    <col min="12077" max="12077" width="13.5" style="2" customWidth="1"/>
    <col min="12078" max="12078" width="14.1640625" style="2" bestFit="1" customWidth="1"/>
    <col min="12079" max="12080" width="12.6640625" style="2" bestFit="1" customWidth="1"/>
    <col min="12081" max="12081" width="11.33203125" style="2" customWidth="1"/>
    <col min="12082" max="12288" width="12" style="2"/>
    <col min="12289" max="12289" width="19.1640625" style="2" customWidth="1"/>
    <col min="12290" max="12290" width="11.1640625" style="2" customWidth="1"/>
    <col min="12291" max="12291" width="11" style="2" customWidth="1"/>
    <col min="12292" max="12292" width="10.83203125" style="2" customWidth="1"/>
    <col min="12293" max="12299" width="9.83203125" style="2" customWidth="1"/>
    <col min="12300" max="12301" width="11.33203125" style="2" bestFit="1" customWidth="1"/>
    <col min="12302" max="12302" width="10.1640625" style="2" bestFit="1" customWidth="1"/>
    <col min="12303" max="12303" width="11.33203125" style="2" bestFit="1" customWidth="1"/>
    <col min="12304" max="12304" width="10.1640625" style="2" bestFit="1" customWidth="1"/>
    <col min="12305" max="12305" width="11.33203125" style="2" bestFit="1" customWidth="1"/>
    <col min="12306" max="12306" width="10.1640625" style="2" bestFit="1" customWidth="1"/>
    <col min="12307" max="12307" width="11.33203125" style="2" bestFit="1" customWidth="1"/>
    <col min="12308" max="12309" width="12" style="2"/>
    <col min="12310" max="12312" width="10.83203125" style="2" customWidth="1"/>
    <col min="12313" max="12321" width="11.1640625" style="2" customWidth="1"/>
    <col min="12322" max="12322" width="12.6640625" style="2" bestFit="1" customWidth="1"/>
    <col min="12323" max="12323" width="11.33203125" style="2" customWidth="1"/>
    <col min="12324" max="12324" width="11.83203125" style="2" customWidth="1"/>
    <col min="12325" max="12325" width="13.1640625" style="2" bestFit="1" customWidth="1"/>
    <col min="12326" max="12327" width="10.5" style="2" bestFit="1" customWidth="1"/>
    <col min="12328" max="12328" width="11.6640625" style="2" customWidth="1"/>
    <col min="12329" max="12330" width="10.5" style="2" bestFit="1" customWidth="1"/>
    <col min="12331" max="12331" width="12.5" style="2" customWidth="1"/>
    <col min="12332" max="12332" width="13.33203125" style="2" customWidth="1"/>
    <col min="12333" max="12333" width="13.5" style="2" customWidth="1"/>
    <col min="12334" max="12334" width="14.1640625" style="2" bestFit="1" customWidth="1"/>
    <col min="12335" max="12336" width="12.6640625" style="2" bestFit="1" customWidth="1"/>
    <col min="12337" max="12337" width="11.33203125" style="2" customWidth="1"/>
    <col min="12338" max="12544" width="12" style="2"/>
    <col min="12545" max="12545" width="19.1640625" style="2" customWidth="1"/>
    <col min="12546" max="12546" width="11.1640625" style="2" customWidth="1"/>
    <col min="12547" max="12547" width="11" style="2" customWidth="1"/>
    <col min="12548" max="12548" width="10.83203125" style="2" customWidth="1"/>
    <col min="12549" max="12555" width="9.83203125" style="2" customWidth="1"/>
    <col min="12556" max="12557" width="11.33203125" style="2" bestFit="1" customWidth="1"/>
    <col min="12558" max="12558" width="10.1640625" style="2" bestFit="1" customWidth="1"/>
    <col min="12559" max="12559" width="11.33203125" style="2" bestFit="1" customWidth="1"/>
    <col min="12560" max="12560" width="10.1640625" style="2" bestFit="1" customWidth="1"/>
    <col min="12561" max="12561" width="11.33203125" style="2" bestFit="1" customWidth="1"/>
    <col min="12562" max="12562" width="10.1640625" style="2" bestFit="1" customWidth="1"/>
    <col min="12563" max="12563" width="11.33203125" style="2" bestFit="1" customWidth="1"/>
    <col min="12564" max="12565" width="12" style="2"/>
    <col min="12566" max="12568" width="10.83203125" style="2" customWidth="1"/>
    <col min="12569" max="12577" width="11.1640625" style="2" customWidth="1"/>
    <col min="12578" max="12578" width="12.6640625" style="2" bestFit="1" customWidth="1"/>
    <col min="12579" max="12579" width="11.33203125" style="2" customWidth="1"/>
    <col min="12580" max="12580" width="11.83203125" style="2" customWidth="1"/>
    <col min="12581" max="12581" width="13.1640625" style="2" bestFit="1" customWidth="1"/>
    <col min="12582" max="12583" width="10.5" style="2" bestFit="1" customWidth="1"/>
    <col min="12584" max="12584" width="11.6640625" style="2" customWidth="1"/>
    <col min="12585" max="12586" width="10.5" style="2" bestFit="1" customWidth="1"/>
    <col min="12587" max="12587" width="12.5" style="2" customWidth="1"/>
    <col min="12588" max="12588" width="13.33203125" style="2" customWidth="1"/>
    <col min="12589" max="12589" width="13.5" style="2" customWidth="1"/>
    <col min="12590" max="12590" width="14.1640625" style="2" bestFit="1" customWidth="1"/>
    <col min="12591" max="12592" width="12.6640625" style="2" bestFit="1" customWidth="1"/>
    <col min="12593" max="12593" width="11.33203125" style="2" customWidth="1"/>
    <col min="12594" max="12800" width="12" style="2"/>
    <col min="12801" max="12801" width="19.1640625" style="2" customWidth="1"/>
    <col min="12802" max="12802" width="11.1640625" style="2" customWidth="1"/>
    <col min="12803" max="12803" width="11" style="2" customWidth="1"/>
    <col min="12804" max="12804" width="10.83203125" style="2" customWidth="1"/>
    <col min="12805" max="12811" width="9.83203125" style="2" customWidth="1"/>
    <col min="12812" max="12813" width="11.33203125" style="2" bestFit="1" customWidth="1"/>
    <col min="12814" max="12814" width="10.1640625" style="2" bestFit="1" customWidth="1"/>
    <col min="12815" max="12815" width="11.33203125" style="2" bestFit="1" customWidth="1"/>
    <col min="12816" max="12816" width="10.1640625" style="2" bestFit="1" customWidth="1"/>
    <col min="12817" max="12817" width="11.33203125" style="2" bestFit="1" customWidth="1"/>
    <col min="12818" max="12818" width="10.1640625" style="2" bestFit="1" customWidth="1"/>
    <col min="12819" max="12819" width="11.33203125" style="2" bestFit="1" customWidth="1"/>
    <col min="12820" max="12821" width="12" style="2"/>
    <col min="12822" max="12824" width="10.83203125" style="2" customWidth="1"/>
    <col min="12825" max="12833" width="11.1640625" style="2" customWidth="1"/>
    <col min="12834" max="12834" width="12.6640625" style="2" bestFit="1" customWidth="1"/>
    <col min="12835" max="12835" width="11.33203125" style="2" customWidth="1"/>
    <col min="12836" max="12836" width="11.83203125" style="2" customWidth="1"/>
    <col min="12837" max="12837" width="13.1640625" style="2" bestFit="1" customWidth="1"/>
    <col min="12838" max="12839" width="10.5" style="2" bestFit="1" customWidth="1"/>
    <col min="12840" max="12840" width="11.6640625" style="2" customWidth="1"/>
    <col min="12841" max="12842" width="10.5" style="2" bestFit="1" customWidth="1"/>
    <col min="12843" max="12843" width="12.5" style="2" customWidth="1"/>
    <col min="12844" max="12844" width="13.33203125" style="2" customWidth="1"/>
    <col min="12845" max="12845" width="13.5" style="2" customWidth="1"/>
    <col min="12846" max="12846" width="14.1640625" style="2" bestFit="1" customWidth="1"/>
    <col min="12847" max="12848" width="12.6640625" style="2" bestFit="1" customWidth="1"/>
    <col min="12849" max="12849" width="11.33203125" style="2" customWidth="1"/>
    <col min="12850" max="13056" width="12" style="2"/>
    <col min="13057" max="13057" width="19.1640625" style="2" customWidth="1"/>
    <col min="13058" max="13058" width="11.1640625" style="2" customWidth="1"/>
    <col min="13059" max="13059" width="11" style="2" customWidth="1"/>
    <col min="13060" max="13060" width="10.83203125" style="2" customWidth="1"/>
    <col min="13061" max="13067" width="9.83203125" style="2" customWidth="1"/>
    <col min="13068" max="13069" width="11.33203125" style="2" bestFit="1" customWidth="1"/>
    <col min="13070" max="13070" width="10.1640625" style="2" bestFit="1" customWidth="1"/>
    <col min="13071" max="13071" width="11.33203125" style="2" bestFit="1" customWidth="1"/>
    <col min="13072" max="13072" width="10.1640625" style="2" bestFit="1" customWidth="1"/>
    <col min="13073" max="13073" width="11.33203125" style="2" bestFit="1" customWidth="1"/>
    <col min="13074" max="13074" width="10.1640625" style="2" bestFit="1" customWidth="1"/>
    <col min="13075" max="13075" width="11.33203125" style="2" bestFit="1" customWidth="1"/>
    <col min="13076" max="13077" width="12" style="2"/>
    <col min="13078" max="13080" width="10.83203125" style="2" customWidth="1"/>
    <col min="13081" max="13089" width="11.1640625" style="2" customWidth="1"/>
    <col min="13090" max="13090" width="12.6640625" style="2" bestFit="1" customWidth="1"/>
    <col min="13091" max="13091" width="11.33203125" style="2" customWidth="1"/>
    <col min="13092" max="13092" width="11.83203125" style="2" customWidth="1"/>
    <col min="13093" max="13093" width="13.1640625" style="2" bestFit="1" customWidth="1"/>
    <col min="13094" max="13095" width="10.5" style="2" bestFit="1" customWidth="1"/>
    <col min="13096" max="13096" width="11.6640625" style="2" customWidth="1"/>
    <col min="13097" max="13098" width="10.5" style="2" bestFit="1" customWidth="1"/>
    <col min="13099" max="13099" width="12.5" style="2" customWidth="1"/>
    <col min="13100" max="13100" width="13.33203125" style="2" customWidth="1"/>
    <col min="13101" max="13101" width="13.5" style="2" customWidth="1"/>
    <col min="13102" max="13102" width="14.1640625" style="2" bestFit="1" customWidth="1"/>
    <col min="13103" max="13104" width="12.6640625" style="2" bestFit="1" customWidth="1"/>
    <col min="13105" max="13105" width="11.33203125" style="2" customWidth="1"/>
    <col min="13106" max="13312" width="12" style="2"/>
    <col min="13313" max="13313" width="19.1640625" style="2" customWidth="1"/>
    <col min="13314" max="13314" width="11.1640625" style="2" customWidth="1"/>
    <col min="13315" max="13315" width="11" style="2" customWidth="1"/>
    <col min="13316" max="13316" width="10.83203125" style="2" customWidth="1"/>
    <col min="13317" max="13323" width="9.83203125" style="2" customWidth="1"/>
    <col min="13324" max="13325" width="11.33203125" style="2" bestFit="1" customWidth="1"/>
    <col min="13326" max="13326" width="10.1640625" style="2" bestFit="1" customWidth="1"/>
    <col min="13327" max="13327" width="11.33203125" style="2" bestFit="1" customWidth="1"/>
    <col min="13328" max="13328" width="10.1640625" style="2" bestFit="1" customWidth="1"/>
    <col min="13329" max="13329" width="11.33203125" style="2" bestFit="1" customWidth="1"/>
    <col min="13330" max="13330" width="10.1640625" style="2" bestFit="1" customWidth="1"/>
    <col min="13331" max="13331" width="11.33203125" style="2" bestFit="1" customWidth="1"/>
    <col min="13332" max="13333" width="12" style="2"/>
    <col min="13334" max="13336" width="10.83203125" style="2" customWidth="1"/>
    <col min="13337" max="13345" width="11.1640625" style="2" customWidth="1"/>
    <col min="13346" max="13346" width="12.6640625" style="2" bestFit="1" customWidth="1"/>
    <col min="13347" max="13347" width="11.33203125" style="2" customWidth="1"/>
    <col min="13348" max="13348" width="11.83203125" style="2" customWidth="1"/>
    <col min="13349" max="13349" width="13.1640625" style="2" bestFit="1" customWidth="1"/>
    <col min="13350" max="13351" width="10.5" style="2" bestFit="1" customWidth="1"/>
    <col min="13352" max="13352" width="11.6640625" style="2" customWidth="1"/>
    <col min="13353" max="13354" width="10.5" style="2" bestFit="1" customWidth="1"/>
    <col min="13355" max="13355" width="12.5" style="2" customWidth="1"/>
    <col min="13356" max="13356" width="13.33203125" style="2" customWidth="1"/>
    <col min="13357" max="13357" width="13.5" style="2" customWidth="1"/>
    <col min="13358" max="13358" width="14.1640625" style="2" bestFit="1" customWidth="1"/>
    <col min="13359" max="13360" width="12.6640625" style="2" bestFit="1" customWidth="1"/>
    <col min="13361" max="13361" width="11.33203125" style="2" customWidth="1"/>
    <col min="13362" max="13568" width="12" style="2"/>
    <col min="13569" max="13569" width="19.1640625" style="2" customWidth="1"/>
    <col min="13570" max="13570" width="11.1640625" style="2" customWidth="1"/>
    <col min="13571" max="13571" width="11" style="2" customWidth="1"/>
    <col min="13572" max="13572" width="10.83203125" style="2" customWidth="1"/>
    <col min="13573" max="13579" width="9.83203125" style="2" customWidth="1"/>
    <col min="13580" max="13581" width="11.33203125" style="2" bestFit="1" customWidth="1"/>
    <col min="13582" max="13582" width="10.1640625" style="2" bestFit="1" customWidth="1"/>
    <col min="13583" max="13583" width="11.33203125" style="2" bestFit="1" customWidth="1"/>
    <col min="13584" max="13584" width="10.1640625" style="2" bestFit="1" customWidth="1"/>
    <col min="13585" max="13585" width="11.33203125" style="2" bestFit="1" customWidth="1"/>
    <col min="13586" max="13586" width="10.1640625" style="2" bestFit="1" customWidth="1"/>
    <col min="13587" max="13587" width="11.33203125" style="2" bestFit="1" customWidth="1"/>
    <col min="13588" max="13589" width="12" style="2"/>
    <col min="13590" max="13592" width="10.83203125" style="2" customWidth="1"/>
    <col min="13593" max="13601" width="11.1640625" style="2" customWidth="1"/>
    <col min="13602" max="13602" width="12.6640625" style="2" bestFit="1" customWidth="1"/>
    <col min="13603" max="13603" width="11.33203125" style="2" customWidth="1"/>
    <col min="13604" max="13604" width="11.83203125" style="2" customWidth="1"/>
    <col min="13605" max="13605" width="13.1640625" style="2" bestFit="1" customWidth="1"/>
    <col min="13606" max="13607" width="10.5" style="2" bestFit="1" customWidth="1"/>
    <col min="13608" max="13608" width="11.6640625" style="2" customWidth="1"/>
    <col min="13609" max="13610" width="10.5" style="2" bestFit="1" customWidth="1"/>
    <col min="13611" max="13611" width="12.5" style="2" customWidth="1"/>
    <col min="13612" max="13612" width="13.33203125" style="2" customWidth="1"/>
    <col min="13613" max="13613" width="13.5" style="2" customWidth="1"/>
    <col min="13614" max="13614" width="14.1640625" style="2" bestFit="1" customWidth="1"/>
    <col min="13615" max="13616" width="12.6640625" style="2" bestFit="1" customWidth="1"/>
    <col min="13617" max="13617" width="11.33203125" style="2" customWidth="1"/>
    <col min="13618" max="13824" width="12" style="2"/>
    <col min="13825" max="13825" width="19.1640625" style="2" customWidth="1"/>
    <col min="13826" max="13826" width="11.1640625" style="2" customWidth="1"/>
    <col min="13827" max="13827" width="11" style="2" customWidth="1"/>
    <col min="13828" max="13828" width="10.83203125" style="2" customWidth="1"/>
    <col min="13829" max="13835" width="9.83203125" style="2" customWidth="1"/>
    <col min="13836" max="13837" width="11.33203125" style="2" bestFit="1" customWidth="1"/>
    <col min="13838" max="13838" width="10.1640625" style="2" bestFit="1" customWidth="1"/>
    <col min="13839" max="13839" width="11.33203125" style="2" bestFit="1" customWidth="1"/>
    <col min="13840" max="13840" width="10.1640625" style="2" bestFit="1" customWidth="1"/>
    <col min="13841" max="13841" width="11.33203125" style="2" bestFit="1" customWidth="1"/>
    <col min="13842" max="13842" width="10.1640625" style="2" bestFit="1" customWidth="1"/>
    <col min="13843" max="13843" width="11.33203125" style="2" bestFit="1" customWidth="1"/>
    <col min="13844" max="13845" width="12" style="2"/>
    <col min="13846" max="13848" width="10.83203125" style="2" customWidth="1"/>
    <col min="13849" max="13857" width="11.1640625" style="2" customWidth="1"/>
    <col min="13858" max="13858" width="12.6640625" style="2" bestFit="1" customWidth="1"/>
    <col min="13859" max="13859" width="11.33203125" style="2" customWidth="1"/>
    <col min="13860" max="13860" width="11.83203125" style="2" customWidth="1"/>
    <col min="13861" max="13861" width="13.1640625" style="2" bestFit="1" customWidth="1"/>
    <col min="13862" max="13863" width="10.5" style="2" bestFit="1" customWidth="1"/>
    <col min="13864" max="13864" width="11.6640625" style="2" customWidth="1"/>
    <col min="13865" max="13866" width="10.5" style="2" bestFit="1" customWidth="1"/>
    <col min="13867" max="13867" width="12.5" style="2" customWidth="1"/>
    <col min="13868" max="13868" width="13.33203125" style="2" customWidth="1"/>
    <col min="13869" max="13869" width="13.5" style="2" customWidth="1"/>
    <col min="13870" max="13870" width="14.1640625" style="2" bestFit="1" customWidth="1"/>
    <col min="13871" max="13872" width="12.6640625" style="2" bestFit="1" customWidth="1"/>
    <col min="13873" max="13873" width="11.33203125" style="2" customWidth="1"/>
    <col min="13874" max="14080" width="12" style="2"/>
    <col min="14081" max="14081" width="19.1640625" style="2" customWidth="1"/>
    <col min="14082" max="14082" width="11.1640625" style="2" customWidth="1"/>
    <col min="14083" max="14083" width="11" style="2" customWidth="1"/>
    <col min="14084" max="14084" width="10.83203125" style="2" customWidth="1"/>
    <col min="14085" max="14091" width="9.83203125" style="2" customWidth="1"/>
    <col min="14092" max="14093" width="11.33203125" style="2" bestFit="1" customWidth="1"/>
    <col min="14094" max="14094" width="10.1640625" style="2" bestFit="1" customWidth="1"/>
    <col min="14095" max="14095" width="11.33203125" style="2" bestFit="1" customWidth="1"/>
    <col min="14096" max="14096" width="10.1640625" style="2" bestFit="1" customWidth="1"/>
    <col min="14097" max="14097" width="11.33203125" style="2" bestFit="1" customWidth="1"/>
    <col min="14098" max="14098" width="10.1640625" style="2" bestFit="1" customWidth="1"/>
    <col min="14099" max="14099" width="11.33203125" style="2" bestFit="1" customWidth="1"/>
    <col min="14100" max="14101" width="12" style="2"/>
    <col min="14102" max="14104" width="10.83203125" style="2" customWidth="1"/>
    <col min="14105" max="14113" width="11.1640625" style="2" customWidth="1"/>
    <col min="14114" max="14114" width="12.6640625" style="2" bestFit="1" customWidth="1"/>
    <col min="14115" max="14115" width="11.33203125" style="2" customWidth="1"/>
    <col min="14116" max="14116" width="11.83203125" style="2" customWidth="1"/>
    <col min="14117" max="14117" width="13.1640625" style="2" bestFit="1" customWidth="1"/>
    <col min="14118" max="14119" width="10.5" style="2" bestFit="1" customWidth="1"/>
    <col min="14120" max="14120" width="11.6640625" style="2" customWidth="1"/>
    <col min="14121" max="14122" width="10.5" style="2" bestFit="1" customWidth="1"/>
    <col min="14123" max="14123" width="12.5" style="2" customWidth="1"/>
    <col min="14124" max="14124" width="13.33203125" style="2" customWidth="1"/>
    <col min="14125" max="14125" width="13.5" style="2" customWidth="1"/>
    <col min="14126" max="14126" width="14.1640625" style="2" bestFit="1" customWidth="1"/>
    <col min="14127" max="14128" width="12.6640625" style="2" bestFit="1" customWidth="1"/>
    <col min="14129" max="14129" width="11.33203125" style="2" customWidth="1"/>
    <col min="14130" max="14336" width="12" style="2"/>
    <col min="14337" max="14337" width="19.1640625" style="2" customWidth="1"/>
    <col min="14338" max="14338" width="11.1640625" style="2" customWidth="1"/>
    <col min="14339" max="14339" width="11" style="2" customWidth="1"/>
    <col min="14340" max="14340" width="10.83203125" style="2" customWidth="1"/>
    <col min="14341" max="14347" width="9.83203125" style="2" customWidth="1"/>
    <col min="14348" max="14349" width="11.33203125" style="2" bestFit="1" customWidth="1"/>
    <col min="14350" max="14350" width="10.1640625" style="2" bestFit="1" customWidth="1"/>
    <col min="14351" max="14351" width="11.33203125" style="2" bestFit="1" customWidth="1"/>
    <col min="14352" max="14352" width="10.1640625" style="2" bestFit="1" customWidth="1"/>
    <col min="14353" max="14353" width="11.33203125" style="2" bestFit="1" customWidth="1"/>
    <col min="14354" max="14354" width="10.1640625" style="2" bestFit="1" customWidth="1"/>
    <col min="14355" max="14355" width="11.33203125" style="2" bestFit="1" customWidth="1"/>
    <col min="14356" max="14357" width="12" style="2"/>
    <col min="14358" max="14360" width="10.83203125" style="2" customWidth="1"/>
    <col min="14361" max="14369" width="11.1640625" style="2" customWidth="1"/>
    <col min="14370" max="14370" width="12.6640625" style="2" bestFit="1" customWidth="1"/>
    <col min="14371" max="14371" width="11.33203125" style="2" customWidth="1"/>
    <col min="14372" max="14372" width="11.83203125" style="2" customWidth="1"/>
    <col min="14373" max="14373" width="13.1640625" style="2" bestFit="1" customWidth="1"/>
    <col min="14374" max="14375" width="10.5" style="2" bestFit="1" customWidth="1"/>
    <col min="14376" max="14376" width="11.6640625" style="2" customWidth="1"/>
    <col min="14377" max="14378" width="10.5" style="2" bestFit="1" customWidth="1"/>
    <col min="14379" max="14379" width="12.5" style="2" customWidth="1"/>
    <col min="14380" max="14380" width="13.33203125" style="2" customWidth="1"/>
    <col min="14381" max="14381" width="13.5" style="2" customWidth="1"/>
    <col min="14382" max="14382" width="14.1640625" style="2" bestFit="1" customWidth="1"/>
    <col min="14383" max="14384" width="12.6640625" style="2" bestFit="1" customWidth="1"/>
    <col min="14385" max="14385" width="11.33203125" style="2" customWidth="1"/>
    <col min="14386" max="14592" width="12" style="2"/>
    <col min="14593" max="14593" width="19.1640625" style="2" customWidth="1"/>
    <col min="14594" max="14594" width="11.1640625" style="2" customWidth="1"/>
    <col min="14595" max="14595" width="11" style="2" customWidth="1"/>
    <col min="14596" max="14596" width="10.83203125" style="2" customWidth="1"/>
    <col min="14597" max="14603" width="9.83203125" style="2" customWidth="1"/>
    <col min="14604" max="14605" width="11.33203125" style="2" bestFit="1" customWidth="1"/>
    <col min="14606" max="14606" width="10.1640625" style="2" bestFit="1" customWidth="1"/>
    <col min="14607" max="14607" width="11.33203125" style="2" bestFit="1" customWidth="1"/>
    <col min="14608" max="14608" width="10.1640625" style="2" bestFit="1" customWidth="1"/>
    <col min="14609" max="14609" width="11.33203125" style="2" bestFit="1" customWidth="1"/>
    <col min="14610" max="14610" width="10.1640625" style="2" bestFit="1" customWidth="1"/>
    <col min="14611" max="14611" width="11.33203125" style="2" bestFit="1" customWidth="1"/>
    <col min="14612" max="14613" width="12" style="2"/>
    <col min="14614" max="14616" width="10.83203125" style="2" customWidth="1"/>
    <col min="14617" max="14625" width="11.1640625" style="2" customWidth="1"/>
    <col min="14626" max="14626" width="12.6640625" style="2" bestFit="1" customWidth="1"/>
    <col min="14627" max="14627" width="11.33203125" style="2" customWidth="1"/>
    <col min="14628" max="14628" width="11.83203125" style="2" customWidth="1"/>
    <col min="14629" max="14629" width="13.1640625" style="2" bestFit="1" customWidth="1"/>
    <col min="14630" max="14631" width="10.5" style="2" bestFit="1" customWidth="1"/>
    <col min="14632" max="14632" width="11.6640625" style="2" customWidth="1"/>
    <col min="14633" max="14634" width="10.5" style="2" bestFit="1" customWidth="1"/>
    <col min="14635" max="14635" width="12.5" style="2" customWidth="1"/>
    <col min="14636" max="14636" width="13.33203125" style="2" customWidth="1"/>
    <col min="14637" max="14637" width="13.5" style="2" customWidth="1"/>
    <col min="14638" max="14638" width="14.1640625" style="2" bestFit="1" customWidth="1"/>
    <col min="14639" max="14640" width="12.6640625" style="2" bestFit="1" customWidth="1"/>
    <col min="14641" max="14641" width="11.33203125" style="2" customWidth="1"/>
    <col min="14642" max="14848" width="12" style="2"/>
    <col min="14849" max="14849" width="19.1640625" style="2" customWidth="1"/>
    <col min="14850" max="14850" width="11.1640625" style="2" customWidth="1"/>
    <col min="14851" max="14851" width="11" style="2" customWidth="1"/>
    <col min="14852" max="14852" width="10.83203125" style="2" customWidth="1"/>
    <col min="14853" max="14859" width="9.83203125" style="2" customWidth="1"/>
    <col min="14860" max="14861" width="11.33203125" style="2" bestFit="1" customWidth="1"/>
    <col min="14862" max="14862" width="10.1640625" style="2" bestFit="1" customWidth="1"/>
    <col min="14863" max="14863" width="11.33203125" style="2" bestFit="1" customWidth="1"/>
    <col min="14864" max="14864" width="10.1640625" style="2" bestFit="1" customWidth="1"/>
    <col min="14865" max="14865" width="11.33203125" style="2" bestFit="1" customWidth="1"/>
    <col min="14866" max="14866" width="10.1640625" style="2" bestFit="1" customWidth="1"/>
    <col min="14867" max="14867" width="11.33203125" style="2" bestFit="1" customWidth="1"/>
    <col min="14868" max="14869" width="12" style="2"/>
    <col min="14870" max="14872" width="10.83203125" style="2" customWidth="1"/>
    <col min="14873" max="14881" width="11.1640625" style="2" customWidth="1"/>
    <col min="14882" max="14882" width="12.6640625" style="2" bestFit="1" customWidth="1"/>
    <col min="14883" max="14883" width="11.33203125" style="2" customWidth="1"/>
    <col min="14884" max="14884" width="11.83203125" style="2" customWidth="1"/>
    <col min="14885" max="14885" width="13.1640625" style="2" bestFit="1" customWidth="1"/>
    <col min="14886" max="14887" width="10.5" style="2" bestFit="1" customWidth="1"/>
    <col min="14888" max="14888" width="11.6640625" style="2" customWidth="1"/>
    <col min="14889" max="14890" width="10.5" style="2" bestFit="1" customWidth="1"/>
    <col min="14891" max="14891" width="12.5" style="2" customWidth="1"/>
    <col min="14892" max="14892" width="13.33203125" style="2" customWidth="1"/>
    <col min="14893" max="14893" width="13.5" style="2" customWidth="1"/>
    <col min="14894" max="14894" width="14.1640625" style="2" bestFit="1" customWidth="1"/>
    <col min="14895" max="14896" width="12.6640625" style="2" bestFit="1" customWidth="1"/>
    <col min="14897" max="14897" width="11.33203125" style="2" customWidth="1"/>
    <col min="14898" max="15104" width="12" style="2"/>
    <col min="15105" max="15105" width="19.1640625" style="2" customWidth="1"/>
    <col min="15106" max="15106" width="11.1640625" style="2" customWidth="1"/>
    <col min="15107" max="15107" width="11" style="2" customWidth="1"/>
    <col min="15108" max="15108" width="10.83203125" style="2" customWidth="1"/>
    <col min="15109" max="15115" width="9.83203125" style="2" customWidth="1"/>
    <col min="15116" max="15117" width="11.33203125" style="2" bestFit="1" customWidth="1"/>
    <col min="15118" max="15118" width="10.1640625" style="2" bestFit="1" customWidth="1"/>
    <col min="15119" max="15119" width="11.33203125" style="2" bestFit="1" customWidth="1"/>
    <col min="15120" max="15120" width="10.1640625" style="2" bestFit="1" customWidth="1"/>
    <col min="15121" max="15121" width="11.33203125" style="2" bestFit="1" customWidth="1"/>
    <col min="15122" max="15122" width="10.1640625" style="2" bestFit="1" customWidth="1"/>
    <col min="15123" max="15123" width="11.33203125" style="2" bestFit="1" customWidth="1"/>
    <col min="15124" max="15125" width="12" style="2"/>
    <col min="15126" max="15128" width="10.83203125" style="2" customWidth="1"/>
    <col min="15129" max="15137" width="11.1640625" style="2" customWidth="1"/>
    <col min="15138" max="15138" width="12.6640625" style="2" bestFit="1" customWidth="1"/>
    <col min="15139" max="15139" width="11.33203125" style="2" customWidth="1"/>
    <col min="15140" max="15140" width="11.83203125" style="2" customWidth="1"/>
    <col min="15141" max="15141" width="13.1640625" style="2" bestFit="1" customWidth="1"/>
    <col min="15142" max="15143" width="10.5" style="2" bestFit="1" customWidth="1"/>
    <col min="15144" max="15144" width="11.6640625" style="2" customWidth="1"/>
    <col min="15145" max="15146" width="10.5" style="2" bestFit="1" customWidth="1"/>
    <col min="15147" max="15147" width="12.5" style="2" customWidth="1"/>
    <col min="15148" max="15148" width="13.33203125" style="2" customWidth="1"/>
    <col min="15149" max="15149" width="13.5" style="2" customWidth="1"/>
    <col min="15150" max="15150" width="14.1640625" style="2" bestFit="1" customWidth="1"/>
    <col min="15151" max="15152" width="12.6640625" style="2" bestFit="1" customWidth="1"/>
    <col min="15153" max="15153" width="11.33203125" style="2" customWidth="1"/>
    <col min="15154" max="15360" width="12" style="2"/>
    <col min="15361" max="15361" width="19.1640625" style="2" customWidth="1"/>
    <col min="15362" max="15362" width="11.1640625" style="2" customWidth="1"/>
    <col min="15363" max="15363" width="11" style="2" customWidth="1"/>
    <col min="15364" max="15364" width="10.83203125" style="2" customWidth="1"/>
    <col min="15365" max="15371" width="9.83203125" style="2" customWidth="1"/>
    <col min="15372" max="15373" width="11.33203125" style="2" bestFit="1" customWidth="1"/>
    <col min="15374" max="15374" width="10.1640625" style="2" bestFit="1" customWidth="1"/>
    <col min="15375" max="15375" width="11.33203125" style="2" bestFit="1" customWidth="1"/>
    <col min="15376" max="15376" width="10.1640625" style="2" bestFit="1" customWidth="1"/>
    <col min="15377" max="15377" width="11.33203125" style="2" bestFit="1" customWidth="1"/>
    <col min="15378" max="15378" width="10.1640625" style="2" bestFit="1" customWidth="1"/>
    <col min="15379" max="15379" width="11.33203125" style="2" bestFit="1" customWidth="1"/>
    <col min="15380" max="15381" width="12" style="2"/>
    <col min="15382" max="15384" width="10.83203125" style="2" customWidth="1"/>
    <col min="15385" max="15393" width="11.1640625" style="2" customWidth="1"/>
    <col min="15394" max="15394" width="12.6640625" style="2" bestFit="1" customWidth="1"/>
    <col min="15395" max="15395" width="11.33203125" style="2" customWidth="1"/>
    <col min="15396" max="15396" width="11.83203125" style="2" customWidth="1"/>
    <col min="15397" max="15397" width="13.1640625" style="2" bestFit="1" customWidth="1"/>
    <col min="15398" max="15399" width="10.5" style="2" bestFit="1" customWidth="1"/>
    <col min="15400" max="15400" width="11.6640625" style="2" customWidth="1"/>
    <col min="15401" max="15402" width="10.5" style="2" bestFit="1" customWidth="1"/>
    <col min="15403" max="15403" width="12.5" style="2" customWidth="1"/>
    <col min="15404" max="15404" width="13.33203125" style="2" customWidth="1"/>
    <col min="15405" max="15405" width="13.5" style="2" customWidth="1"/>
    <col min="15406" max="15406" width="14.1640625" style="2" bestFit="1" customWidth="1"/>
    <col min="15407" max="15408" width="12.6640625" style="2" bestFit="1" customWidth="1"/>
    <col min="15409" max="15409" width="11.33203125" style="2" customWidth="1"/>
    <col min="15410" max="15616" width="12" style="2"/>
    <col min="15617" max="15617" width="19.1640625" style="2" customWidth="1"/>
    <col min="15618" max="15618" width="11.1640625" style="2" customWidth="1"/>
    <col min="15619" max="15619" width="11" style="2" customWidth="1"/>
    <col min="15620" max="15620" width="10.83203125" style="2" customWidth="1"/>
    <col min="15621" max="15627" width="9.83203125" style="2" customWidth="1"/>
    <col min="15628" max="15629" width="11.33203125" style="2" bestFit="1" customWidth="1"/>
    <col min="15630" max="15630" width="10.1640625" style="2" bestFit="1" customWidth="1"/>
    <col min="15631" max="15631" width="11.33203125" style="2" bestFit="1" customWidth="1"/>
    <col min="15632" max="15632" width="10.1640625" style="2" bestFit="1" customWidth="1"/>
    <col min="15633" max="15633" width="11.33203125" style="2" bestFit="1" customWidth="1"/>
    <col min="15634" max="15634" width="10.1640625" style="2" bestFit="1" customWidth="1"/>
    <col min="15635" max="15635" width="11.33203125" style="2" bestFit="1" customWidth="1"/>
    <col min="15636" max="15637" width="12" style="2"/>
    <col min="15638" max="15640" width="10.83203125" style="2" customWidth="1"/>
    <col min="15641" max="15649" width="11.1640625" style="2" customWidth="1"/>
    <col min="15650" max="15650" width="12.6640625" style="2" bestFit="1" customWidth="1"/>
    <col min="15651" max="15651" width="11.33203125" style="2" customWidth="1"/>
    <col min="15652" max="15652" width="11.83203125" style="2" customWidth="1"/>
    <col min="15653" max="15653" width="13.1640625" style="2" bestFit="1" customWidth="1"/>
    <col min="15654" max="15655" width="10.5" style="2" bestFit="1" customWidth="1"/>
    <col min="15656" max="15656" width="11.6640625" style="2" customWidth="1"/>
    <col min="15657" max="15658" width="10.5" style="2" bestFit="1" customWidth="1"/>
    <col min="15659" max="15659" width="12.5" style="2" customWidth="1"/>
    <col min="15660" max="15660" width="13.33203125" style="2" customWidth="1"/>
    <col min="15661" max="15661" width="13.5" style="2" customWidth="1"/>
    <col min="15662" max="15662" width="14.1640625" style="2" bestFit="1" customWidth="1"/>
    <col min="15663" max="15664" width="12.6640625" style="2" bestFit="1" customWidth="1"/>
    <col min="15665" max="15665" width="11.33203125" style="2" customWidth="1"/>
    <col min="15666" max="15872" width="12" style="2"/>
    <col min="15873" max="15873" width="19.1640625" style="2" customWidth="1"/>
    <col min="15874" max="15874" width="11.1640625" style="2" customWidth="1"/>
    <col min="15875" max="15875" width="11" style="2" customWidth="1"/>
    <col min="15876" max="15876" width="10.83203125" style="2" customWidth="1"/>
    <col min="15877" max="15883" width="9.83203125" style="2" customWidth="1"/>
    <col min="15884" max="15885" width="11.33203125" style="2" bestFit="1" customWidth="1"/>
    <col min="15886" max="15886" width="10.1640625" style="2" bestFit="1" customWidth="1"/>
    <col min="15887" max="15887" width="11.33203125" style="2" bestFit="1" customWidth="1"/>
    <col min="15888" max="15888" width="10.1640625" style="2" bestFit="1" customWidth="1"/>
    <col min="15889" max="15889" width="11.33203125" style="2" bestFit="1" customWidth="1"/>
    <col min="15890" max="15890" width="10.1640625" style="2" bestFit="1" customWidth="1"/>
    <col min="15891" max="15891" width="11.33203125" style="2" bestFit="1" customWidth="1"/>
    <col min="15892" max="15893" width="12" style="2"/>
    <col min="15894" max="15896" width="10.83203125" style="2" customWidth="1"/>
    <col min="15897" max="15905" width="11.1640625" style="2" customWidth="1"/>
    <col min="15906" max="15906" width="12.6640625" style="2" bestFit="1" customWidth="1"/>
    <col min="15907" max="15907" width="11.33203125" style="2" customWidth="1"/>
    <col min="15908" max="15908" width="11.83203125" style="2" customWidth="1"/>
    <col min="15909" max="15909" width="13.1640625" style="2" bestFit="1" customWidth="1"/>
    <col min="15910" max="15911" width="10.5" style="2" bestFit="1" customWidth="1"/>
    <col min="15912" max="15912" width="11.6640625" style="2" customWidth="1"/>
    <col min="15913" max="15914" width="10.5" style="2" bestFit="1" customWidth="1"/>
    <col min="15915" max="15915" width="12.5" style="2" customWidth="1"/>
    <col min="15916" max="15916" width="13.33203125" style="2" customWidth="1"/>
    <col min="15917" max="15917" width="13.5" style="2" customWidth="1"/>
    <col min="15918" max="15918" width="14.1640625" style="2" bestFit="1" customWidth="1"/>
    <col min="15919" max="15920" width="12.6640625" style="2" bestFit="1" customWidth="1"/>
    <col min="15921" max="15921" width="11.33203125" style="2" customWidth="1"/>
    <col min="15922" max="16128" width="12" style="2"/>
    <col min="16129" max="16129" width="19.1640625" style="2" customWidth="1"/>
    <col min="16130" max="16130" width="11.1640625" style="2" customWidth="1"/>
    <col min="16131" max="16131" width="11" style="2" customWidth="1"/>
    <col min="16132" max="16132" width="10.83203125" style="2" customWidth="1"/>
    <col min="16133" max="16139" width="9.83203125" style="2" customWidth="1"/>
    <col min="16140" max="16141" width="11.33203125" style="2" bestFit="1" customWidth="1"/>
    <col min="16142" max="16142" width="10.1640625" style="2" bestFit="1" customWidth="1"/>
    <col min="16143" max="16143" width="11.33203125" style="2" bestFit="1" customWidth="1"/>
    <col min="16144" max="16144" width="10.1640625" style="2" bestFit="1" customWidth="1"/>
    <col min="16145" max="16145" width="11.33203125" style="2" bestFit="1" customWidth="1"/>
    <col min="16146" max="16146" width="10.1640625" style="2" bestFit="1" customWidth="1"/>
    <col min="16147" max="16147" width="11.33203125" style="2" bestFit="1" customWidth="1"/>
    <col min="16148" max="16149" width="12" style="2"/>
    <col min="16150" max="16152" width="10.83203125" style="2" customWidth="1"/>
    <col min="16153" max="16161" width="11.1640625" style="2" customWidth="1"/>
    <col min="16162" max="16162" width="12.6640625" style="2" bestFit="1" customWidth="1"/>
    <col min="16163" max="16163" width="11.33203125" style="2" customWidth="1"/>
    <col min="16164" max="16164" width="11.83203125" style="2" customWidth="1"/>
    <col min="16165" max="16165" width="13.1640625" style="2" bestFit="1" customWidth="1"/>
    <col min="16166" max="16167" width="10.5" style="2" bestFit="1" customWidth="1"/>
    <col min="16168" max="16168" width="11.6640625" style="2" customWidth="1"/>
    <col min="16169" max="16170" width="10.5" style="2" bestFit="1" customWidth="1"/>
    <col min="16171" max="16171" width="12.5" style="2" customWidth="1"/>
    <col min="16172" max="16172" width="13.33203125" style="2" customWidth="1"/>
    <col min="16173" max="16173" width="13.5" style="2" customWidth="1"/>
    <col min="16174" max="16174" width="14.1640625" style="2" bestFit="1" customWidth="1"/>
    <col min="16175" max="16176" width="12.6640625" style="2" bestFit="1" customWidth="1"/>
    <col min="16177" max="16177" width="11.33203125" style="2" customWidth="1"/>
    <col min="16178" max="16384" width="12" style="2"/>
  </cols>
  <sheetData>
    <row r="1" spans="1:49" ht="21">
      <c r="A1" s="1" t="s">
        <v>50</v>
      </c>
    </row>
    <row r="2" spans="1:49" ht="23.25" customHeight="1"/>
    <row r="3" spans="1:49" s="3" customFormat="1" ht="16.5" customHeight="1">
      <c r="A3" s="301" t="s">
        <v>384</v>
      </c>
      <c r="B3" s="301" t="s">
        <v>51</v>
      </c>
      <c r="C3" s="324" t="s">
        <v>385</v>
      </c>
      <c r="D3" s="325"/>
      <c r="E3" s="325"/>
      <c r="F3" s="325"/>
      <c r="G3" s="325"/>
      <c r="H3" s="325"/>
      <c r="I3" s="325"/>
      <c r="J3" s="325"/>
      <c r="K3" s="315"/>
      <c r="L3" s="332" t="s">
        <v>52</v>
      </c>
      <c r="M3" s="304"/>
      <c r="N3" s="304"/>
      <c r="O3" s="304"/>
      <c r="P3" s="304"/>
      <c r="Q3" s="304"/>
      <c r="R3" s="304"/>
      <c r="S3" s="304"/>
      <c r="T3" s="304"/>
      <c r="U3" s="340"/>
      <c r="V3" s="344" t="s">
        <v>53</v>
      </c>
      <c r="W3" s="344"/>
      <c r="X3" s="344"/>
      <c r="Y3" s="344"/>
      <c r="Z3" s="344"/>
      <c r="AA3" s="344"/>
      <c r="AB3" s="344"/>
      <c r="AC3" s="344"/>
      <c r="AD3" s="344"/>
      <c r="AE3" s="344"/>
      <c r="AF3" s="344"/>
      <c r="AG3" s="344"/>
      <c r="AH3" s="344"/>
      <c r="AI3" s="344"/>
      <c r="AJ3" s="344"/>
      <c r="AK3" s="344"/>
      <c r="AL3" s="344"/>
      <c r="AM3" s="344"/>
      <c r="AN3" s="344"/>
      <c r="AO3" s="344"/>
      <c r="AP3" s="344"/>
      <c r="AQ3" s="344"/>
      <c r="AR3" s="344"/>
      <c r="AS3" s="344"/>
      <c r="AT3" s="344"/>
      <c r="AU3" s="344"/>
      <c r="AV3" s="344"/>
      <c r="AW3" s="344"/>
    </row>
    <row r="4" spans="1:49" s="4" customFormat="1" ht="16.5" customHeight="1">
      <c r="A4" s="341"/>
      <c r="B4" s="342"/>
      <c r="C4" s="326"/>
      <c r="D4" s="327"/>
      <c r="E4" s="327"/>
      <c r="F4" s="327"/>
      <c r="G4" s="327"/>
      <c r="H4" s="327"/>
      <c r="I4" s="327"/>
      <c r="J4" s="327"/>
      <c r="K4" s="328"/>
      <c r="L4" s="332" t="s">
        <v>54</v>
      </c>
      <c r="M4" s="304"/>
      <c r="N4" s="304"/>
      <c r="O4" s="304"/>
      <c r="P4" s="304"/>
      <c r="Q4" s="304"/>
      <c r="R4" s="304"/>
      <c r="S4" s="340"/>
      <c r="T4" s="324" t="s">
        <v>55</v>
      </c>
      <c r="U4" s="315"/>
      <c r="V4" s="344" t="s">
        <v>56</v>
      </c>
      <c r="W4" s="344"/>
      <c r="X4" s="344"/>
      <c r="Y4" s="344"/>
      <c r="Z4" s="344"/>
      <c r="AA4" s="344"/>
      <c r="AB4" s="344"/>
      <c r="AC4" s="344"/>
      <c r="AD4" s="344"/>
      <c r="AE4" s="344"/>
      <c r="AF4" s="344"/>
      <c r="AG4" s="344"/>
      <c r="AH4" s="344" t="s">
        <v>57</v>
      </c>
      <c r="AI4" s="344"/>
      <c r="AJ4" s="344"/>
      <c r="AK4" s="344"/>
      <c r="AL4" s="344"/>
      <c r="AM4" s="344"/>
      <c r="AN4" s="344"/>
      <c r="AO4" s="344"/>
      <c r="AP4" s="344"/>
      <c r="AQ4" s="344"/>
      <c r="AR4" s="344"/>
      <c r="AS4" s="344"/>
      <c r="AT4" s="344" t="s">
        <v>58</v>
      </c>
      <c r="AU4" s="344"/>
      <c r="AV4" s="344"/>
      <c r="AW4" s="344"/>
    </row>
    <row r="5" spans="1:49" s="9" customFormat="1" ht="39.75">
      <c r="A5" s="341"/>
      <c r="B5" s="342"/>
      <c r="C5" s="311" t="s">
        <v>59</v>
      </c>
      <c r="D5" s="312"/>
      <c r="E5" s="313"/>
      <c r="F5" s="330" t="s">
        <v>60</v>
      </c>
      <c r="G5" s="328"/>
      <c r="H5" s="330" t="s">
        <v>61</v>
      </c>
      <c r="I5" s="328"/>
      <c r="J5" s="330" t="s">
        <v>62</v>
      </c>
      <c r="K5" s="328"/>
      <c r="L5" s="311" t="s">
        <v>63</v>
      </c>
      <c r="M5" s="340"/>
      <c r="N5" s="311" t="s">
        <v>64</v>
      </c>
      <c r="O5" s="313"/>
      <c r="P5" s="311" t="s">
        <v>65</v>
      </c>
      <c r="Q5" s="313"/>
      <c r="R5" s="311" t="s">
        <v>66</v>
      </c>
      <c r="S5" s="313"/>
      <c r="T5" s="322" t="s">
        <v>67</v>
      </c>
      <c r="U5" s="322" t="s">
        <v>68</v>
      </c>
      <c r="V5" s="311" t="s">
        <v>59</v>
      </c>
      <c r="W5" s="312"/>
      <c r="X5" s="313"/>
      <c r="Y5" s="339" t="s">
        <v>69</v>
      </c>
      <c r="Z5" s="339"/>
      <c r="AA5" s="339"/>
      <c r="AB5" s="339" t="s">
        <v>70</v>
      </c>
      <c r="AC5" s="339"/>
      <c r="AD5" s="339"/>
      <c r="AE5" s="339" t="s">
        <v>71</v>
      </c>
      <c r="AF5" s="339"/>
      <c r="AG5" s="339"/>
      <c r="AH5" s="5" t="s">
        <v>59</v>
      </c>
      <c r="AI5" s="6"/>
      <c r="AJ5" s="7"/>
      <c r="AK5" s="339" t="s">
        <v>69</v>
      </c>
      <c r="AL5" s="339"/>
      <c r="AM5" s="339"/>
      <c r="AN5" s="339" t="s">
        <v>70</v>
      </c>
      <c r="AO5" s="339"/>
      <c r="AP5" s="339"/>
      <c r="AQ5" s="339" t="s">
        <v>71</v>
      </c>
      <c r="AR5" s="339"/>
      <c r="AS5" s="339"/>
      <c r="AT5" s="5" t="s">
        <v>59</v>
      </c>
      <c r="AU5" s="8"/>
      <c r="AV5" s="7"/>
      <c r="AW5" s="199" t="s">
        <v>69</v>
      </c>
    </row>
    <row r="6" spans="1:49" s="3" customFormat="1" ht="16.5" customHeight="1">
      <c r="A6" s="341"/>
      <c r="B6" s="342"/>
      <c r="C6" s="322" t="s">
        <v>72</v>
      </c>
      <c r="D6" s="322" t="s">
        <v>73</v>
      </c>
      <c r="E6" s="322" t="s">
        <v>74</v>
      </c>
      <c r="F6" s="322" t="s">
        <v>73</v>
      </c>
      <c r="G6" s="322" t="s">
        <v>74</v>
      </c>
      <c r="H6" s="322" t="s">
        <v>73</v>
      </c>
      <c r="I6" s="322" t="s">
        <v>74</v>
      </c>
      <c r="J6" s="322" t="s">
        <v>73</v>
      </c>
      <c r="K6" s="322" t="s">
        <v>74</v>
      </c>
      <c r="L6" s="10" t="s">
        <v>75</v>
      </c>
      <c r="M6" s="10" t="s">
        <v>76</v>
      </c>
      <c r="N6" s="10" t="s">
        <v>75</v>
      </c>
      <c r="O6" s="10" t="s">
        <v>76</v>
      </c>
      <c r="P6" s="10" t="s">
        <v>75</v>
      </c>
      <c r="Q6" s="10" t="s">
        <v>76</v>
      </c>
      <c r="R6" s="10" t="s">
        <v>75</v>
      </c>
      <c r="S6" s="10" t="s">
        <v>76</v>
      </c>
      <c r="T6" s="338"/>
      <c r="U6" s="338"/>
      <c r="V6" s="322" t="s">
        <v>72</v>
      </c>
      <c r="W6" s="322" t="s">
        <v>73</v>
      </c>
      <c r="X6" s="322" t="s">
        <v>74</v>
      </c>
      <c r="Y6" s="322" t="s">
        <v>72</v>
      </c>
      <c r="Z6" s="322" t="s">
        <v>73</v>
      </c>
      <c r="AA6" s="322" t="s">
        <v>74</v>
      </c>
      <c r="AB6" s="322" t="s">
        <v>72</v>
      </c>
      <c r="AC6" s="322" t="s">
        <v>73</v>
      </c>
      <c r="AD6" s="322" t="s">
        <v>74</v>
      </c>
      <c r="AE6" s="322" t="s">
        <v>72</v>
      </c>
      <c r="AF6" s="322" t="s">
        <v>73</v>
      </c>
      <c r="AG6" s="322" t="s">
        <v>74</v>
      </c>
      <c r="AH6" s="322" t="s">
        <v>72</v>
      </c>
      <c r="AI6" s="322" t="s">
        <v>73</v>
      </c>
      <c r="AJ6" s="322" t="s">
        <v>74</v>
      </c>
      <c r="AK6" s="322" t="s">
        <v>72</v>
      </c>
      <c r="AL6" s="322" t="s">
        <v>73</v>
      </c>
      <c r="AM6" s="322" t="s">
        <v>74</v>
      </c>
      <c r="AN6" s="322" t="s">
        <v>72</v>
      </c>
      <c r="AO6" s="322" t="s">
        <v>73</v>
      </c>
      <c r="AP6" s="322" t="s">
        <v>74</v>
      </c>
      <c r="AQ6" s="322" t="s">
        <v>72</v>
      </c>
      <c r="AR6" s="322" t="s">
        <v>73</v>
      </c>
      <c r="AS6" s="322" t="s">
        <v>74</v>
      </c>
      <c r="AT6" s="322" t="s">
        <v>72</v>
      </c>
      <c r="AU6" s="322" t="s">
        <v>73</v>
      </c>
      <c r="AV6" s="322" t="s">
        <v>74</v>
      </c>
      <c r="AW6" s="322" t="s">
        <v>72</v>
      </c>
    </row>
    <row r="7" spans="1:49" s="3" customFormat="1" ht="12.75">
      <c r="A7" s="328"/>
      <c r="B7" s="343"/>
      <c r="C7" s="337"/>
      <c r="D7" s="337"/>
      <c r="E7" s="337"/>
      <c r="F7" s="337"/>
      <c r="G7" s="337"/>
      <c r="H7" s="337"/>
      <c r="I7" s="337"/>
      <c r="J7" s="337"/>
      <c r="K7" s="337"/>
      <c r="L7" s="198" t="s">
        <v>0</v>
      </c>
      <c r="M7" s="198" t="s">
        <v>1</v>
      </c>
      <c r="N7" s="198" t="s">
        <v>0</v>
      </c>
      <c r="O7" s="198" t="s">
        <v>1</v>
      </c>
      <c r="P7" s="198" t="s">
        <v>0</v>
      </c>
      <c r="Q7" s="198" t="s">
        <v>1</v>
      </c>
      <c r="R7" s="198" t="s">
        <v>0</v>
      </c>
      <c r="S7" s="198" t="s">
        <v>1</v>
      </c>
      <c r="T7" s="323"/>
      <c r="U7" s="323"/>
      <c r="V7" s="323"/>
      <c r="W7" s="323"/>
      <c r="X7" s="323"/>
      <c r="Y7" s="323"/>
      <c r="Z7" s="323"/>
      <c r="AA7" s="323"/>
      <c r="AB7" s="323"/>
      <c r="AC7" s="323"/>
      <c r="AD7" s="323"/>
      <c r="AE7" s="323"/>
      <c r="AF7" s="323"/>
      <c r="AG7" s="323"/>
      <c r="AH7" s="323"/>
      <c r="AI7" s="323"/>
      <c r="AJ7" s="323"/>
      <c r="AK7" s="323"/>
      <c r="AL7" s="323"/>
      <c r="AM7" s="323"/>
      <c r="AN7" s="323"/>
      <c r="AO7" s="323"/>
      <c r="AP7" s="323"/>
      <c r="AQ7" s="323"/>
      <c r="AR7" s="323"/>
      <c r="AS7" s="323"/>
      <c r="AT7" s="323"/>
      <c r="AU7" s="323"/>
      <c r="AV7" s="323"/>
      <c r="AW7" s="323"/>
    </row>
    <row r="8" spans="1:49" s="13" customFormat="1" ht="14.45" customHeight="1">
      <c r="A8" s="192" t="s">
        <v>386</v>
      </c>
      <c r="B8" s="12">
        <v>127</v>
      </c>
      <c r="C8" s="12">
        <v>4794</v>
      </c>
      <c r="D8" s="12">
        <v>333</v>
      </c>
      <c r="E8" s="12">
        <v>4461</v>
      </c>
      <c r="F8" s="12">
        <v>154</v>
      </c>
      <c r="G8" s="12">
        <v>2250</v>
      </c>
      <c r="H8" s="12">
        <v>172</v>
      </c>
      <c r="I8" s="12">
        <v>2137</v>
      </c>
      <c r="J8" s="12">
        <v>7</v>
      </c>
      <c r="K8" s="12">
        <v>74</v>
      </c>
      <c r="L8" s="12">
        <v>157</v>
      </c>
      <c r="M8" s="12">
        <v>672</v>
      </c>
      <c r="N8" s="12">
        <v>30</v>
      </c>
      <c r="O8" s="12">
        <v>318</v>
      </c>
      <c r="P8" s="12">
        <v>82</v>
      </c>
      <c r="Q8" s="12">
        <v>136</v>
      </c>
      <c r="R8" s="12">
        <v>45</v>
      </c>
      <c r="S8" s="12">
        <v>218</v>
      </c>
      <c r="T8" s="12">
        <v>610</v>
      </c>
      <c r="U8" s="12">
        <v>10625</v>
      </c>
      <c r="V8" s="12">
        <v>22392</v>
      </c>
      <c r="W8" s="12">
        <v>9556</v>
      </c>
      <c r="X8" s="12">
        <v>12836</v>
      </c>
      <c r="Y8" s="12">
        <v>4983</v>
      </c>
      <c r="Z8" s="12">
        <v>2589</v>
      </c>
      <c r="AA8" s="12">
        <v>2394</v>
      </c>
      <c r="AB8" s="12">
        <v>4567</v>
      </c>
      <c r="AC8" s="12">
        <v>2058</v>
      </c>
      <c r="AD8" s="12">
        <v>2509</v>
      </c>
      <c r="AE8" s="12">
        <v>12842</v>
      </c>
      <c r="AF8" s="12">
        <v>4909</v>
      </c>
      <c r="AG8" s="12">
        <v>7933</v>
      </c>
      <c r="AH8" s="12">
        <v>2977808</v>
      </c>
      <c r="AI8" s="12">
        <v>1311436</v>
      </c>
      <c r="AJ8" s="12">
        <v>1666372</v>
      </c>
      <c r="AK8" s="12">
        <v>672571</v>
      </c>
      <c r="AL8" s="12">
        <v>346280</v>
      </c>
      <c r="AM8" s="12">
        <v>326291</v>
      </c>
      <c r="AN8" s="12">
        <v>655886</v>
      </c>
      <c r="AO8" s="12">
        <v>306452</v>
      </c>
      <c r="AP8" s="12">
        <v>349434</v>
      </c>
      <c r="AQ8" s="12">
        <v>1649351</v>
      </c>
      <c r="AR8" s="12">
        <v>658704</v>
      </c>
      <c r="AS8" s="12">
        <v>990647</v>
      </c>
      <c r="AT8" s="12">
        <v>5233455.5999999996</v>
      </c>
      <c r="AU8" s="12">
        <v>2318292.2999999998</v>
      </c>
      <c r="AV8" s="12">
        <v>2915163.3</v>
      </c>
      <c r="AW8" s="12">
        <v>1287881.5</v>
      </c>
    </row>
    <row r="9" spans="1:49" s="13" customFormat="1" ht="14.45" customHeight="1">
      <c r="A9" s="192" t="s">
        <v>387</v>
      </c>
      <c r="B9" s="12">
        <v>132</v>
      </c>
      <c r="C9" s="12">
        <v>5591</v>
      </c>
      <c r="D9" s="12">
        <v>400</v>
      </c>
      <c r="E9" s="12">
        <v>5191</v>
      </c>
      <c r="F9" s="12">
        <v>260</v>
      </c>
      <c r="G9" s="12">
        <v>3391</v>
      </c>
      <c r="H9" s="12">
        <v>135</v>
      </c>
      <c r="I9" s="12">
        <v>1731</v>
      </c>
      <c r="J9" s="12">
        <v>5</v>
      </c>
      <c r="K9" s="12">
        <v>69</v>
      </c>
      <c r="L9" s="12">
        <v>240</v>
      </c>
      <c r="M9" s="12">
        <v>1036</v>
      </c>
      <c r="N9" s="12">
        <v>46</v>
      </c>
      <c r="O9" s="12">
        <v>529</v>
      </c>
      <c r="P9" s="12">
        <v>181</v>
      </c>
      <c r="Q9" s="12">
        <v>331</v>
      </c>
      <c r="R9" s="12">
        <v>13</v>
      </c>
      <c r="S9" s="12">
        <v>176</v>
      </c>
      <c r="T9" s="12">
        <v>902</v>
      </c>
      <c r="U9" s="12">
        <v>14703</v>
      </c>
      <c r="V9" s="12">
        <v>28398</v>
      </c>
      <c r="W9" s="12">
        <v>12084</v>
      </c>
      <c r="X9" s="12">
        <v>16314</v>
      </c>
      <c r="Y9" s="12">
        <v>5491</v>
      </c>
      <c r="Z9" s="12">
        <v>2878</v>
      </c>
      <c r="AA9" s="12">
        <v>2613</v>
      </c>
      <c r="AB9" s="12">
        <v>5249</v>
      </c>
      <c r="AC9" s="12">
        <v>2469</v>
      </c>
      <c r="AD9" s="12">
        <v>2780</v>
      </c>
      <c r="AE9" s="12">
        <v>17658</v>
      </c>
      <c r="AF9" s="12">
        <v>6737</v>
      </c>
      <c r="AG9" s="12">
        <v>10921</v>
      </c>
      <c r="AH9" s="12">
        <v>4076860</v>
      </c>
      <c r="AI9" s="12">
        <v>1764012</v>
      </c>
      <c r="AJ9" s="12">
        <v>2312848</v>
      </c>
      <c r="AK9" s="12">
        <v>864711</v>
      </c>
      <c r="AL9" s="12">
        <v>440249</v>
      </c>
      <c r="AM9" s="12">
        <v>424462</v>
      </c>
      <c r="AN9" s="12">
        <v>875942</v>
      </c>
      <c r="AO9" s="12">
        <v>414557</v>
      </c>
      <c r="AP9" s="12">
        <v>461385</v>
      </c>
      <c r="AQ9" s="12">
        <v>2336207</v>
      </c>
      <c r="AR9" s="12">
        <v>909206</v>
      </c>
      <c r="AS9" s="12">
        <v>1427001</v>
      </c>
      <c r="AT9" s="12">
        <v>7371916.5</v>
      </c>
      <c r="AU9" s="12">
        <v>3207475</v>
      </c>
      <c r="AV9" s="12">
        <v>4164441.5</v>
      </c>
      <c r="AW9" s="12">
        <v>1669729.1</v>
      </c>
    </row>
    <row r="10" spans="1:49" s="13" customFormat="1" ht="14.45" customHeight="1">
      <c r="A10" s="192" t="s">
        <v>388</v>
      </c>
      <c r="B10" s="12">
        <v>144</v>
      </c>
      <c r="C10" s="12">
        <v>6353</v>
      </c>
      <c r="D10" s="12">
        <v>479</v>
      </c>
      <c r="E10" s="12">
        <v>5874</v>
      </c>
      <c r="F10" s="12">
        <v>314</v>
      </c>
      <c r="G10" s="12">
        <v>4092</v>
      </c>
      <c r="H10" s="12">
        <v>162</v>
      </c>
      <c r="I10" s="12">
        <v>1768</v>
      </c>
      <c r="J10" s="12">
        <v>3</v>
      </c>
      <c r="K10" s="12">
        <v>14</v>
      </c>
      <c r="L10" s="12">
        <v>269</v>
      </c>
      <c r="M10" s="12">
        <v>1875</v>
      </c>
      <c r="N10" s="12">
        <v>50</v>
      </c>
      <c r="O10" s="12">
        <v>824</v>
      </c>
      <c r="P10" s="12">
        <v>190</v>
      </c>
      <c r="Q10" s="12">
        <v>895</v>
      </c>
      <c r="R10" s="12">
        <v>29</v>
      </c>
      <c r="S10" s="12">
        <v>156</v>
      </c>
      <c r="T10" s="12">
        <v>932</v>
      </c>
      <c r="U10" s="12">
        <v>15985</v>
      </c>
      <c r="V10" s="12">
        <v>33193</v>
      </c>
      <c r="W10" s="12">
        <v>13947</v>
      </c>
      <c r="X10" s="12">
        <v>19246</v>
      </c>
      <c r="Y10" s="12">
        <v>7028</v>
      </c>
      <c r="Z10" s="12">
        <v>3621</v>
      </c>
      <c r="AA10" s="12">
        <v>3407</v>
      </c>
      <c r="AB10" s="12">
        <v>4984</v>
      </c>
      <c r="AC10" s="12">
        <v>2355</v>
      </c>
      <c r="AD10" s="12">
        <v>2629</v>
      </c>
      <c r="AE10" s="12">
        <v>21181</v>
      </c>
      <c r="AF10" s="12">
        <v>7971</v>
      </c>
      <c r="AG10" s="12">
        <v>13210</v>
      </c>
      <c r="AH10" s="12">
        <v>4749949</v>
      </c>
      <c r="AI10" s="12">
        <v>2055982</v>
      </c>
      <c r="AJ10" s="12">
        <v>2693967</v>
      </c>
      <c r="AK10" s="12">
        <v>1077860</v>
      </c>
      <c r="AL10" s="12">
        <v>550029</v>
      </c>
      <c r="AM10" s="12">
        <v>527831</v>
      </c>
      <c r="AN10" s="12">
        <v>823694</v>
      </c>
      <c r="AO10" s="12">
        <v>400600</v>
      </c>
      <c r="AP10" s="12">
        <v>423094</v>
      </c>
      <c r="AQ10" s="12">
        <v>2848395</v>
      </c>
      <c r="AR10" s="12">
        <v>1105353</v>
      </c>
      <c r="AS10" s="12">
        <v>1743042</v>
      </c>
      <c r="AT10" s="12">
        <v>9002334.6999999993</v>
      </c>
      <c r="AU10" s="12">
        <v>3917101.4</v>
      </c>
      <c r="AV10" s="12">
        <v>5085233.3</v>
      </c>
      <c r="AW10" s="12">
        <v>2106391.9</v>
      </c>
    </row>
    <row r="11" spans="1:49" s="13" customFormat="1" ht="14.45" customHeight="1">
      <c r="A11" s="192" t="s">
        <v>389</v>
      </c>
      <c r="B11" s="12">
        <v>149</v>
      </c>
      <c r="C11" s="12">
        <v>7118</v>
      </c>
      <c r="D11" s="12">
        <v>552</v>
      </c>
      <c r="E11" s="12">
        <v>6566</v>
      </c>
      <c r="F11" s="12">
        <v>350</v>
      </c>
      <c r="G11" s="12">
        <v>4476</v>
      </c>
      <c r="H11" s="12">
        <v>198</v>
      </c>
      <c r="I11" s="12">
        <v>2061</v>
      </c>
      <c r="J11" s="12">
        <v>4</v>
      </c>
      <c r="K11" s="12">
        <v>29</v>
      </c>
      <c r="L11" s="12">
        <v>75</v>
      </c>
      <c r="M11" s="12">
        <v>1121</v>
      </c>
      <c r="N11" s="12">
        <v>19</v>
      </c>
      <c r="O11" s="12">
        <v>414</v>
      </c>
      <c r="P11" s="12">
        <v>35</v>
      </c>
      <c r="Q11" s="12">
        <v>407</v>
      </c>
      <c r="R11" s="12">
        <v>21</v>
      </c>
      <c r="S11" s="12">
        <v>300</v>
      </c>
      <c r="T11" s="12">
        <v>319</v>
      </c>
      <c r="U11" s="12">
        <v>12155</v>
      </c>
      <c r="V11" s="12">
        <v>37994</v>
      </c>
      <c r="W11" s="12">
        <v>15753</v>
      </c>
      <c r="X11" s="12">
        <v>22241</v>
      </c>
      <c r="Y11" s="12">
        <v>8140</v>
      </c>
      <c r="Z11" s="12">
        <v>4075</v>
      </c>
      <c r="AA11" s="12">
        <v>4065</v>
      </c>
      <c r="AB11" s="12">
        <v>5102</v>
      </c>
      <c r="AC11" s="12">
        <v>2456</v>
      </c>
      <c r="AD11" s="12">
        <v>2646</v>
      </c>
      <c r="AE11" s="12">
        <v>24752</v>
      </c>
      <c r="AF11" s="12">
        <v>9222</v>
      </c>
      <c r="AG11" s="12">
        <v>15530</v>
      </c>
      <c r="AH11" s="12">
        <v>5595740</v>
      </c>
      <c r="AI11" s="12">
        <v>2404270</v>
      </c>
      <c r="AJ11" s="12">
        <v>3191470</v>
      </c>
      <c r="AK11" s="12">
        <v>1343844</v>
      </c>
      <c r="AL11" s="12">
        <v>666848</v>
      </c>
      <c r="AM11" s="12">
        <v>676996</v>
      </c>
      <c r="AN11" s="12">
        <v>810594</v>
      </c>
      <c r="AO11" s="12">
        <v>401490</v>
      </c>
      <c r="AP11" s="12">
        <v>409104</v>
      </c>
      <c r="AQ11" s="12">
        <v>3441302</v>
      </c>
      <c r="AR11" s="12">
        <v>1335932</v>
      </c>
      <c r="AS11" s="12">
        <v>2105370</v>
      </c>
      <c r="AT11" s="12">
        <v>10366734.199999999</v>
      </c>
      <c r="AU11" s="12">
        <v>4470667.9000000004</v>
      </c>
      <c r="AV11" s="12">
        <v>5896066.2999999998</v>
      </c>
      <c r="AW11" s="12">
        <v>2554583.4</v>
      </c>
    </row>
    <row r="12" spans="1:49" s="13" customFormat="1" ht="14.45" customHeight="1">
      <c r="A12" s="192" t="s">
        <v>390</v>
      </c>
      <c r="B12" s="12">
        <v>162</v>
      </c>
      <c r="C12" s="12">
        <v>7463</v>
      </c>
      <c r="D12" s="12">
        <v>659</v>
      </c>
      <c r="E12" s="12">
        <v>6804</v>
      </c>
      <c r="F12" s="12">
        <v>462</v>
      </c>
      <c r="G12" s="12">
        <v>4652</v>
      </c>
      <c r="H12" s="12">
        <v>196</v>
      </c>
      <c r="I12" s="12">
        <v>2148</v>
      </c>
      <c r="J12" s="12">
        <v>1</v>
      </c>
      <c r="K12" s="12">
        <v>4</v>
      </c>
      <c r="L12" s="12">
        <v>67</v>
      </c>
      <c r="M12" s="12">
        <v>684</v>
      </c>
      <c r="N12" s="12">
        <v>17</v>
      </c>
      <c r="O12" s="12">
        <v>235</v>
      </c>
      <c r="P12" s="12">
        <v>30</v>
      </c>
      <c r="Q12" s="12">
        <v>274</v>
      </c>
      <c r="R12" s="12">
        <v>20</v>
      </c>
      <c r="S12" s="12">
        <v>175</v>
      </c>
      <c r="T12" s="12">
        <v>431</v>
      </c>
      <c r="U12" s="12">
        <v>13570</v>
      </c>
      <c r="V12" s="12">
        <v>41486</v>
      </c>
      <c r="W12" s="12">
        <v>17224</v>
      </c>
      <c r="X12" s="12">
        <v>24262</v>
      </c>
      <c r="Y12" s="12">
        <v>9005</v>
      </c>
      <c r="Z12" s="12">
        <v>4558</v>
      </c>
      <c r="AA12" s="12">
        <v>4447</v>
      </c>
      <c r="AB12" s="12">
        <v>5256</v>
      </c>
      <c r="AC12" s="12">
        <v>2560</v>
      </c>
      <c r="AD12" s="12">
        <v>2696</v>
      </c>
      <c r="AE12" s="12">
        <v>27225</v>
      </c>
      <c r="AF12" s="12">
        <v>10106</v>
      </c>
      <c r="AG12" s="12">
        <v>17119</v>
      </c>
      <c r="AH12" s="12">
        <v>6498195</v>
      </c>
      <c r="AI12" s="12">
        <v>2759773</v>
      </c>
      <c r="AJ12" s="12">
        <v>3738422</v>
      </c>
      <c r="AK12" s="12">
        <v>1562564</v>
      </c>
      <c r="AL12" s="12">
        <v>765413</v>
      </c>
      <c r="AM12" s="12">
        <v>797151</v>
      </c>
      <c r="AN12" s="12">
        <v>908773</v>
      </c>
      <c r="AO12" s="12">
        <v>450239</v>
      </c>
      <c r="AP12" s="12">
        <v>458534</v>
      </c>
      <c r="AQ12" s="12">
        <v>4026858</v>
      </c>
      <c r="AR12" s="12">
        <v>1544121</v>
      </c>
      <c r="AS12" s="12">
        <v>2482737</v>
      </c>
      <c r="AT12" s="12">
        <v>11553091.300000001</v>
      </c>
      <c r="AU12" s="12">
        <v>4964716.2</v>
      </c>
      <c r="AV12" s="12">
        <v>6588375.0999999996</v>
      </c>
      <c r="AW12" s="12">
        <v>2877119.4</v>
      </c>
    </row>
    <row r="13" spans="1:49" s="13" customFormat="1" ht="14.45" customHeight="1">
      <c r="A13" s="192" t="s">
        <v>391</v>
      </c>
      <c r="B13" s="204">
        <v>168</v>
      </c>
      <c r="C13" s="204">
        <v>7668</v>
      </c>
      <c r="D13" s="204">
        <v>579</v>
      </c>
      <c r="E13" s="204">
        <v>7089</v>
      </c>
      <c r="F13" s="204">
        <v>394</v>
      </c>
      <c r="G13" s="204">
        <v>4896</v>
      </c>
      <c r="H13" s="204">
        <v>184</v>
      </c>
      <c r="I13" s="204">
        <v>2184</v>
      </c>
      <c r="J13" s="204">
        <v>1</v>
      </c>
      <c r="K13" s="204">
        <v>9</v>
      </c>
      <c r="L13" s="204">
        <v>144</v>
      </c>
      <c r="M13" s="204">
        <v>986</v>
      </c>
      <c r="N13" s="204">
        <v>49</v>
      </c>
      <c r="O13" s="204">
        <v>494</v>
      </c>
      <c r="P13" s="204">
        <v>53</v>
      </c>
      <c r="Q13" s="204">
        <v>194</v>
      </c>
      <c r="R13" s="204">
        <v>42</v>
      </c>
      <c r="S13" s="204">
        <v>298</v>
      </c>
      <c r="T13" s="204">
        <v>724</v>
      </c>
      <c r="U13" s="204">
        <v>19365</v>
      </c>
      <c r="V13" s="204">
        <v>43584</v>
      </c>
      <c r="W13" s="204">
        <v>17969</v>
      </c>
      <c r="X13" s="204">
        <v>25615</v>
      </c>
      <c r="Y13" s="204">
        <v>9458</v>
      </c>
      <c r="Z13" s="204">
        <v>4768</v>
      </c>
      <c r="AA13" s="204">
        <v>4690</v>
      </c>
      <c r="AB13" s="204">
        <v>5509</v>
      </c>
      <c r="AC13" s="204">
        <v>2701</v>
      </c>
      <c r="AD13" s="204">
        <v>2808</v>
      </c>
      <c r="AE13" s="204">
        <v>28617</v>
      </c>
      <c r="AF13" s="204">
        <v>10500</v>
      </c>
      <c r="AG13" s="204">
        <v>18117</v>
      </c>
      <c r="AH13" s="204">
        <v>6904203</v>
      </c>
      <c r="AI13" s="204">
        <v>2892383</v>
      </c>
      <c r="AJ13" s="204">
        <v>4011820</v>
      </c>
      <c r="AK13" s="204">
        <v>1670324</v>
      </c>
      <c r="AL13" s="204">
        <v>818242</v>
      </c>
      <c r="AM13" s="204">
        <v>852082</v>
      </c>
      <c r="AN13" s="204">
        <v>903247</v>
      </c>
      <c r="AO13" s="204">
        <v>449419</v>
      </c>
      <c r="AP13" s="204">
        <v>453828</v>
      </c>
      <c r="AQ13" s="204">
        <v>4330632</v>
      </c>
      <c r="AR13" s="204">
        <v>1624722</v>
      </c>
      <c r="AS13" s="204">
        <v>2705910</v>
      </c>
      <c r="AT13" s="204">
        <v>11707321.199999999</v>
      </c>
      <c r="AU13" s="204">
        <v>4966056.2</v>
      </c>
      <c r="AV13" s="204">
        <v>6741265</v>
      </c>
      <c r="AW13" s="204">
        <v>2938230.6</v>
      </c>
    </row>
    <row r="14" spans="1:49" s="205" customFormat="1" ht="14.45" customHeight="1">
      <c r="A14" s="192" t="s">
        <v>392</v>
      </c>
      <c r="B14" s="204">
        <v>181</v>
      </c>
      <c r="C14" s="204">
        <v>8368</v>
      </c>
      <c r="D14" s="204">
        <v>635</v>
      </c>
      <c r="E14" s="204">
        <v>7733</v>
      </c>
      <c r="F14" s="204">
        <v>422</v>
      </c>
      <c r="G14" s="204">
        <v>5337</v>
      </c>
      <c r="H14" s="204">
        <v>206</v>
      </c>
      <c r="I14" s="204">
        <v>2365</v>
      </c>
      <c r="J14" s="204">
        <v>7</v>
      </c>
      <c r="K14" s="204">
        <v>31</v>
      </c>
      <c r="L14" s="204">
        <v>138</v>
      </c>
      <c r="M14" s="204">
        <v>580</v>
      </c>
      <c r="N14" s="204">
        <v>70</v>
      </c>
      <c r="O14" s="204">
        <v>247</v>
      </c>
      <c r="P14" s="204">
        <v>51</v>
      </c>
      <c r="Q14" s="204">
        <v>159</v>
      </c>
      <c r="R14" s="204">
        <v>17</v>
      </c>
      <c r="S14" s="204">
        <v>174</v>
      </c>
      <c r="T14" s="204">
        <v>472</v>
      </c>
      <c r="U14" s="204">
        <v>12059</v>
      </c>
      <c r="V14" s="204">
        <v>46428</v>
      </c>
      <c r="W14" s="204">
        <v>18630</v>
      </c>
      <c r="X14" s="204">
        <v>27798</v>
      </c>
      <c r="Y14" s="204">
        <v>10128</v>
      </c>
      <c r="Z14" s="204">
        <v>5134</v>
      </c>
      <c r="AA14" s="204">
        <v>4994</v>
      </c>
      <c r="AB14" s="204">
        <v>5675</v>
      </c>
      <c r="AC14" s="204">
        <v>2720</v>
      </c>
      <c r="AD14" s="204">
        <v>2955</v>
      </c>
      <c r="AE14" s="204">
        <v>30625</v>
      </c>
      <c r="AF14" s="204">
        <v>10776</v>
      </c>
      <c r="AG14" s="204">
        <v>19849</v>
      </c>
      <c r="AH14" s="204">
        <v>7174484</v>
      </c>
      <c r="AI14" s="204">
        <v>2983757</v>
      </c>
      <c r="AJ14" s="204">
        <v>4190727</v>
      </c>
      <c r="AK14" s="204">
        <v>1762029</v>
      </c>
      <c r="AL14" s="204">
        <v>862706</v>
      </c>
      <c r="AM14" s="204">
        <v>899323</v>
      </c>
      <c r="AN14" s="204">
        <v>912105</v>
      </c>
      <c r="AO14" s="204">
        <v>451946</v>
      </c>
      <c r="AP14" s="204">
        <v>460159</v>
      </c>
      <c r="AQ14" s="204">
        <v>4500350</v>
      </c>
      <c r="AR14" s="204">
        <v>1669105</v>
      </c>
      <c r="AS14" s="204">
        <v>2831245</v>
      </c>
      <c r="AT14" s="204">
        <v>11851477.6</v>
      </c>
      <c r="AU14" s="204">
        <v>5069287.8</v>
      </c>
      <c r="AV14" s="204">
        <v>6782189.7999999998</v>
      </c>
      <c r="AW14" s="204">
        <v>3073158.4</v>
      </c>
    </row>
    <row r="15" spans="1:49" s="205" customFormat="1" ht="14.45" customHeight="1">
      <c r="A15" s="192" t="s">
        <v>393</v>
      </c>
      <c r="B15" s="204">
        <v>186</v>
      </c>
      <c r="C15" s="204">
        <v>8988</v>
      </c>
      <c r="D15" s="204">
        <v>738</v>
      </c>
      <c r="E15" s="204">
        <v>8250</v>
      </c>
      <c r="F15" s="204">
        <v>534</v>
      </c>
      <c r="G15" s="204">
        <v>5832</v>
      </c>
      <c r="H15" s="204">
        <v>199</v>
      </c>
      <c r="I15" s="204">
        <v>2350</v>
      </c>
      <c r="J15" s="204">
        <v>5</v>
      </c>
      <c r="K15" s="204">
        <v>68</v>
      </c>
      <c r="L15" s="204">
        <v>86</v>
      </c>
      <c r="M15" s="204">
        <v>650</v>
      </c>
      <c r="N15" s="204">
        <v>40</v>
      </c>
      <c r="O15" s="204">
        <v>295</v>
      </c>
      <c r="P15" s="204">
        <v>31</v>
      </c>
      <c r="Q15" s="204">
        <v>209</v>
      </c>
      <c r="R15" s="204">
        <v>15</v>
      </c>
      <c r="S15" s="204">
        <v>146</v>
      </c>
      <c r="T15" s="204">
        <v>428</v>
      </c>
      <c r="U15" s="204">
        <v>10899</v>
      </c>
      <c r="V15" s="204">
        <v>48962</v>
      </c>
      <c r="W15" s="204">
        <v>20157</v>
      </c>
      <c r="X15" s="204">
        <v>28805</v>
      </c>
      <c r="Y15" s="204">
        <v>10841</v>
      </c>
      <c r="Z15" s="204">
        <v>5496</v>
      </c>
      <c r="AA15" s="204">
        <v>5345</v>
      </c>
      <c r="AB15" s="204">
        <v>6022</v>
      </c>
      <c r="AC15" s="204">
        <v>2976</v>
      </c>
      <c r="AD15" s="204">
        <v>3046</v>
      </c>
      <c r="AE15" s="204">
        <v>32099</v>
      </c>
      <c r="AF15" s="204">
        <v>11685</v>
      </c>
      <c r="AG15" s="204">
        <v>20414</v>
      </c>
      <c r="AH15" s="204">
        <v>7859184</v>
      </c>
      <c r="AI15" s="204">
        <v>3253550</v>
      </c>
      <c r="AJ15" s="204">
        <v>4605634</v>
      </c>
      <c r="AK15" s="204">
        <v>1919593</v>
      </c>
      <c r="AL15" s="204">
        <v>947930</v>
      </c>
      <c r="AM15" s="204">
        <v>971663</v>
      </c>
      <c r="AN15" s="204">
        <v>1006104</v>
      </c>
      <c r="AO15" s="204">
        <v>496663</v>
      </c>
      <c r="AP15" s="204">
        <v>509441</v>
      </c>
      <c r="AQ15" s="204">
        <v>4933487</v>
      </c>
      <c r="AR15" s="204">
        <v>1808957</v>
      </c>
      <c r="AS15" s="204">
        <v>3124530</v>
      </c>
      <c r="AT15" s="204">
        <v>12617913</v>
      </c>
      <c r="AU15" s="204">
        <v>5307141.4000000004</v>
      </c>
      <c r="AV15" s="204">
        <v>7310771.5999999996</v>
      </c>
      <c r="AW15" s="204">
        <v>3233159.8</v>
      </c>
    </row>
    <row r="16" spans="1:49" s="205" customFormat="1" ht="14.45" customHeight="1">
      <c r="A16" s="193" t="s">
        <v>401</v>
      </c>
      <c r="B16" s="206">
        <v>238</v>
      </c>
      <c r="C16" s="206">
        <v>9801</v>
      </c>
      <c r="D16" s="206">
        <v>847</v>
      </c>
      <c r="E16" s="206">
        <v>8954</v>
      </c>
      <c r="F16" s="206">
        <v>653</v>
      </c>
      <c r="G16" s="206">
        <v>6624</v>
      </c>
      <c r="H16" s="206">
        <v>181</v>
      </c>
      <c r="I16" s="206">
        <v>2246</v>
      </c>
      <c r="J16" s="206">
        <v>13</v>
      </c>
      <c r="K16" s="206">
        <v>84</v>
      </c>
      <c r="L16" s="206">
        <v>252</v>
      </c>
      <c r="M16" s="206">
        <v>1148</v>
      </c>
      <c r="N16" s="206">
        <v>194</v>
      </c>
      <c r="O16" s="206">
        <v>942</v>
      </c>
      <c r="P16" s="206">
        <v>28</v>
      </c>
      <c r="Q16" s="206">
        <v>160</v>
      </c>
      <c r="R16" s="206">
        <v>30</v>
      </c>
      <c r="S16" s="206">
        <v>46</v>
      </c>
      <c r="T16" s="206">
        <v>712</v>
      </c>
      <c r="U16" s="206">
        <v>14944</v>
      </c>
      <c r="V16" s="206">
        <v>56056</v>
      </c>
      <c r="W16" s="206">
        <v>23389</v>
      </c>
      <c r="X16" s="206">
        <v>32667</v>
      </c>
      <c r="Y16" s="206">
        <v>12235</v>
      </c>
      <c r="Z16" s="206">
        <v>6285</v>
      </c>
      <c r="AA16" s="206">
        <v>5950</v>
      </c>
      <c r="AB16" s="206">
        <v>7192</v>
      </c>
      <c r="AC16" s="206">
        <v>3539</v>
      </c>
      <c r="AD16" s="206">
        <v>3653</v>
      </c>
      <c r="AE16" s="206">
        <v>36629</v>
      </c>
      <c r="AF16" s="206">
        <v>13565</v>
      </c>
      <c r="AG16" s="206">
        <v>23064</v>
      </c>
      <c r="AH16" s="206">
        <v>8452801</v>
      </c>
      <c r="AI16" s="206">
        <v>3415406</v>
      </c>
      <c r="AJ16" s="206">
        <v>5037395</v>
      </c>
      <c r="AK16" s="206">
        <v>2010010</v>
      </c>
      <c r="AL16" s="206">
        <v>980120</v>
      </c>
      <c r="AM16" s="206">
        <v>1029890</v>
      </c>
      <c r="AN16" s="206">
        <v>1059086</v>
      </c>
      <c r="AO16" s="206">
        <v>514075</v>
      </c>
      <c r="AP16" s="206">
        <v>545011</v>
      </c>
      <c r="AQ16" s="206">
        <v>5383705</v>
      </c>
      <c r="AR16" s="206">
        <v>1921211</v>
      </c>
      <c r="AS16" s="206">
        <v>3462494</v>
      </c>
      <c r="AT16" s="206">
        <v>14115572.1</v>
      </c>
      <c r="AU16" s="206">
        <v>6345628.5999999996</v>
      </c>
      <c r="AV16" s="206">
        <v>7769943.5</v>
      </c>
      <c r="AW16" s="206">
        <v>3267992.3</v>
      </c>
    </row>
    <row r="17" spans="1:62" s="205" customFormat="1" ht="14.45" customHeight="1">
      <c r="A17" s="201"/>
      <c r="B17" s="204"/>
      <c r="C17" s="204"/>
      <c r="D17" s="204"/>
      <c r="E17" s="204"/>
      <c r="F17" s="204"/>
      <c r="G17" s="204"/>
      <c r="H17" s="204"/>
      <c r="I17" s="204"/>
      <c r="J17" s="204"/>
      <c r="K17" s="204"/>
      <c r="L17" s="204"/>
      <c r="M17" s="204"/>
      <c r="N17" s="204"/>
      <c r="O17" s="204"/>
      <c r="P17" s="204"/>
      <c r="Q17" s="204"/>
      <c r="R17" s="204"/>
      <c r="S17" s="204"/>
      <c r="T17" s="204"/>
      <c r="U17" s="204"/>
      <c r="V17" s="204"/>
      <c r="W17" s="204"/>
      <c r="X17" s="204"/>
      <c r="Y17" s="204"/>
      <c r="Z17" s="204"/>
      <c r="AA17" s="204"/>
      <c r="AB17" s="204"/>
      <c r="AC17" s="204"/>
      <c r="AD17" s="204"/>
      <c r="AE17" s="204"/>
      <c r="AF17" s="204"/>
      <c r="AG17" s="204"/>
      <c r="AH17" s="204"/>
      <c r="AI17" s="204"/>
      <c r="AJ17" s="204"/>
      <c r="AK17" s="204"/>
      <c r="AL17" s="204"/>
      <c r="AM17" s="204"/>
      <c r="AN17" s="204"/>
      <c r="AO17" s="204"/>
      <c r="AP17" s="204"/>
      <c r="AQ17" s="204"/>
      <c r="AR17" s="204"/>
      <c r="AS17" s="204"/>
      <c r="AT17" s="204"/>
      <c r="AU17" s="204"/>
      <c r="AV17" s="204"/>
      <c r="AW17" s="204"/>
    </row>
    <row r="18" spans="1:62" s="3" customFormat="1" ht="20.25" customHeight="1">
      <c r="A18" s="301" t="s">
        <v>394</v>
      </c>
      <c r="B18" s="324" t="s">
        <v>175</v>
      </c>
      <c r="C18" s="325"/>
      <c r="D18" s="325"/>
      <c r="E18" s="325"/>
      <c r="F18" s="325"/>
      <c r="G18" s="325"/>
      <c r="H18" s="325"/>
      <c r="I18" s="325"/>
      <c r="J18" s="315"/>
      <c r="K18" s="314" t="s">
        <v>395</v>
      </c>
      <c r="L18" s="329"/>
      <c r="M18" s="329"/>
      <c r="N18" s="329"/>
      <c r="O18" s="329"/>
      <c r="P18" s="301"/>
      <c r="Q18" s="332" t="s">
        <v>56</v>
      </c>
      <c r="R18" s="304"/>
      <c r="S18" s="304"/>
      <c r="T18" s="304"/>
      <c r="U18" s="304"/>
      <c r="V18" s="304"/>
      <c r="W18" s="304"/>
      <c r="X18" s="304"/>
      <c r="Y18" s="304"/>
      <c r="Z18" s="304"/>
      <c r="AA18" s="304"/>
      <c r="AB18" s="304"/>
      <c r="AC18" s="304"/>
      <c r="AD18" s="304"/>
      <c r="AE18" s="304"/>
      <c r="AF18" s="304"/>
      <c r="AG18" s="304"/>
      <c r="AH18" s="304"/>
      <c r="AI18" s="304"/>
      <c r="AJ18" s="304"/>
      <c r="AK18" s="304"/>
      <c r="AL18" s="304"/>
      <c r="AM18" s="304"/>
      <c r="AN18" s="304"/>
      <c r="AO18" s="304"/>
      <c r="AP18" s="304"/>
      <c r="AQ18" s="304"/>
      <c r="AR18" s="304"/>
      <c r="AS18" s="304"/>
      <c r="AT18" s="304"/>
      <c r="AU18" s="304"/>
      <c r="AV18" s="304"/>
      <c r="AW18" s="304"/>
      <c r="AX18" s="304"/>
      <c r="AY18" s="304"/>
      <c r="AZ18" s="304"/>
      <c r="BA18" s="304"/>
      <c r="BB18" s="304"/>
      <c r="BC18" s="304"/>
      <c r="BD18" s="304"/>
      <c r="BE18" s="304"/>
      <c r="BF18" s="304"/>
      <c r="BG18" s="304"/>
      <c r="BH18" s="304"/>
      <c r="BI18" s="304"/>
      <c r="BJ18" s="304"/>
    </row>
    <row r="19" spans="1:62" s="3" customFormat="1" ht="20.25" customHeight="1">
      <c r="A19" s="302"/>
      <c r="B19" s="326"/>
      <c r="C19" s="327"/>
      <c r="D19" s="327"/>
      <c r="E19" s="327"/>
      <c r="F19" s="327"/>
      <c r="G19" s="327"/>
      <c r="H19" s="327"/>
      <c r="I19" s="327"/>
      <c r="J19" s="328"/>
      <c r="K19" s="330"/>
      <c r="L19" s="331"/>
      <c r="M19" s="331"/>
      <c r="N19" s="331"/>
      <c r="O19" s="331"/>
      <c r="P19" s="303"/>
      <c r="Q19" s="333" t="s">
        <v>182</v>
      </c>
      <c r="R19" s="334"/>
      <c r="S19" s="334"/>
      <c r="T19" s="334"/>
      <c r="U19" s="334"/>
      <c r="V19" s="334"/>
      <c r="W19" s="334"/>
      <c r="X19" s="334"/>
      <c r="Y19" s="334"/>
      <c r="Z19" s="334"/>
      <c r="AA19" s="334"/>
      <c r="AB19" s="335"/>
      <c r="AC19" s="309" t="s">
        <v>183</v>
      </c>
      <c r="AD19" s="310"/>
      <c r="AE19" s="310"/>
      <c r="AF19" s="310"/>
      <c r="AG19" s="310"/>
      <c r="AH19" s="310"/>
      <c r="AI19" s="310"/>
      <c r="AJ19" s="310"/>
      <c r="AK19" s="310"/>
      <c r="AL19" s="310"/>
      <c r="AM19" s="310"/>
      <c r="AN19" s="336"/>
      <c r="AO19" s="309" t="s">
        <v>184</v>
      </c>
      <c r="AP19" s="310"/>
      <c r="AQ19" s="310"/>
      <c r="AR19" s="310"/>
      <c r="AS19" s="310"/>
      <c r="AT19" s="310"/>
      <c r="AU19" s="310"/>
      <c r="AV19" s="310"/>
      <c r="AW19" s="310"/>
      <c r="AX19" s="196"/>
      <c r="AY19" s="309" t="s">
        <v>186</v>
      </c>
      <c r="AZ19" s="310"/>
      <c r="BA19" s="310"/>
      <c r="BB19" s="310"/>
      <c r="BC19" s="310"/>
      <c r="BD19" s="310"/>
      <c r="BE19" s="310"/>
      <c r="BF19" s="310"/>
      <c r="BG19" s="310"/>
      <c r="BH19" s="310"/>
      <c r="BI19" s="310"/>
      <c r="BJ19" s="310"/>
    </row>
    <row r="20" spans="1:62" s="9" customFormat="1" ht="31.5" customHeight="1">
      <c r="A20" s="302"/>
      <c r="B20" s="56" t="s">
        <v>59</v>
      </c>
      <c r="C20" s="6"/>
      <c r="D20" s="57"/>
      <c r="E20" s="311" t="s">
        <v>187</v>
      </c>
      <c r="F20" s="312"/>
      <c r="G20" s="313"/>
      <c r="H20" s="312" t="s">
        <v>188</v>
      </c>
      <c r="I20" s="312"/>
      <c r="J20" s="313"/>
      <c r="K20" s="311" t="s">
        <v>59</v>
      </c>
      <c r="L20" s="313"/>
      <c r="M20" s="311" t="s">
        <v>187</v>
      </c>
      <c r="N20" s="304"/>
      <c r="O20" s="314" t="s">
        <v>188</v>
      </c>
      <c r="P20" s="315"/>
      <c r="Q20" s="316" t="s">
        <v>189</v>
      </c>
      <c r="R20" s="317"/>
      <c r="S20" s="318"/>
      <c r="T20" s="319" t="s">
        <v>396</v>
      </c>
      <c r="U20" s="320"/>
      <c r="V20" s="321"/>
      <c r="W20" s="319" t="s">
        <v>397</v>
      </c>
      <c r="X20" s="320"/>
      <c r="Y20" s="321"/>
      <c r="Z20" s="319" t="s">
        <v>398</v>
      </c>
      <c r="AA20" s="320"/>
      <c r="AB20" s="321"/>
      <c r="AC20" s="316" t="s">
        <v>189</v>
      </c>
      <c r="AD20" s="317"/>
      <c r="AE20" s="318"/>
      <c r="AF20" s="319" t="s">
        <v>396</v>
      </c>
      <c r="AG20" s="320"/>
      <c r="AH20" s="321"/>
      <c r="AI20" s="319" t="s">
        <v>397</v>
      </c>
      <c r="AJ20" s="320"/>
      <c r="AK20" s="321"/>
      <c r="AL20" s="319" t="s">
        <v>398</v>
      </c>
      <c r="AM20" s="320"/>
      <c r="AN20" s="321"/>
      <c r="AO20" s="316" t="s">
        <v>189</v>
      </c>
      <c r="AP20" s="317"/>
      <c r="AQ20" s="318"/>
      <c r="AR20" s="319" t="s">
        <v>396</v>
      </c>
      <c r="AS20" s="320"/>
      <c r="AT20" s="321"/>
      <c r="AU20" s="319" t="s">
        <v>397</v>
      </c>
      <c r="AV20" s="320"/>
      <c r="AW20" s="321"/>
      <c r="AX20" s="202"/>
      <c r="AY20" s="316" t="s">
        <v>189</v>
      </c>
      <c r="AZ20" s="317"/>
      <c r="BA20" s="318"/>
      <c r="BB20" s="319" t="s">
        <v>396</v>
      </c>
      <c r="BC20" s="320"/>
      <c r="BD20" s="321"/>
      <c r="BE20" s="319" t="s">
        <v>397</v>
      </c>
      <c r="BF20" s="320"/>
      <c r="BG20" s="321"/>
      <c r="BH20" s="319" t="s">
        <v>398</v>
      </c>
      <c r="BI20" s="320"/>
      <c r="BJ20" s="320"/>
    </row>
    <row r="21" spans="1:62" s="3" customFormat="1" ht="31.5" customHeight="1">
      <c r="A21" s="303"/>
      <c r="B21" s="199" t="s">
        <v>72</v>
      </c>
      <c r="C21" s="199" t="s">
        <v>73</v>
      </c>
      <c r="D21" s="199" t="s">
        <v>74</v>
      </c>
      <c r="E21" s="199" t="s">
        <v>72</v>
      </c>
      <c r="F21" s="199" t="s">
        <v>73</v>
      </c>
      <c r="G21" s="199" t="s">
        <v>74</v>
      </c>
      <c r="H21" s="199" t="s">
        <v>72</v>
      </c>
      <c r="I21" s="199" t="s">
        <v>73</v>
      </c>
      <c r="J21" s="199" t="s">
        <v>74</v>
      </c>
      <c r="K21" s="199" t="s">
        <v>67</v>
      </c>
      <c r="L21" s="199" t="s">
        <v>68</v>
      </c>
      <c r="M21" s="199" t="s">
        <v>67</v>
      </c>
      <c r="N21" s="199" t="s">
        <v>68</v>
      </c>
      <c r="O21" s="199" t="s">
        <v>67</v>
      </c>
      <c r="P21" s="199" t="s">
        <v>68</v>
      </c>
      <c r="Q21" s="194" t="s">
        <v>72</v>
      </c>
      <c r="R21" s="194" t="s">
        <v>73</v>
      </c>
      <c r="S21" s="194" t="s">
        <v>74</v>
      </c>
      <c r="T21" s="193" t="s">
        <v>72</v>
      </c>
      <c r="U21" s="194" t="s">
        <v>73</v>
      </c>
      <c r="V21" s="194" t="s">
        <v>74</v>
      </c>
      <c r="W21" s="193" t="s">
        <v>72</v>
      </c>
      <c r="X21" s="194" t="s">
        <v>73</v>
      </c>
      <c r="Y21" s="194" t="s">
        <v>74</v>
      </c>
      <c r="Z21" s="193" t="s">
        <v>72</v>
      </c>
      <c r="AA21" s="194" t="s">
        <v>73</v>
      </c>
      <c r="AB21" s="194" t="s">
        <v>74</v>
      </c>
      <c r="AC21" s="193" t="s">
        <v>72</v>
      </c>
      <c r="AD21" s="194" t="s">
        <v>73</v>
      </c>
      <c r="AE21" s="194" t="s">
        <v>74</v>
      </c>
      <c r="AF21" s="193" t="s">
        <v>72</v>
      </c>
      <c r="AG21" s="194" t="s">
        <v>73</v>
      </c>
      <c r="AH21" s="194" t="s">
        <v>74</v>
      </c>
      <c r="AI21" s="193" t="s">
        <v>72</v>
      </c>
      <c r="AJ21" s="194" t="s">
        <v>73</v>
      </c>
      <c r="AK21" s="194" t="s">
        <v>74</v>
      </c>
      <c r="AL21" s="193" t="s">
        <v>72</v>
      </c>
      <c r="AM21" s="194" t="s">
        <v>73</v>
      </c>
      <c r="AN21" s="194" t="s">
        <v>74</v>
      </c>
      <c r="AO21" s="193" t="s">
        <v>72</v>
      </c>
      <c r="AP21" s="194" t="s">
        <v>73</v>
      </c>
      <c r="AQ21" s="194" t="s">
        <v>74</v>
      </c>
      <c r="AR21" s="193" t="s">
        <v>72</v>
      </c>
      <c r="AS21" s="194" t="s">
        <v>73</v>
      </c>
      <c r="AT21" s="194" t="s">
        <v>74</v>
      </c>
      <c r="AU21" s="193" t="s">
        <v>72</v>
      </c>
      <c r="AV21" s="194" t="s">
        <v>73</v>
      </c>
      <c r="AW21" s="194" t="s">
        <v>74</v>
      </c>
      <c r="AX21" s="194" t="s">
        <v>74</v>
      </c>
      <c r="AY21" s="193" t="s">
        <v>72</v>
      </c>
      <c r="AZ21" s="194" t="s">
        <v>73</v>
      </c>
      <c r="BA21" s="194" t="s">
        <v>74</v>
      </c>
      <c r="BB21" s="193" t="s">
        <v>72</v>
      </c>
      <c r="BC21" s="194" t="s">
        <v>73</v>
      </c>
      <c r="BD21" s="194" t="s">
        <v>74</v>
      </c>
      <c r="BE21" s="193" t="s">
        <v>72</v>
      </c>
      <c r="BF21" s="194" t="s">
        <v>73</v>
      </c>
      <c r="BG21" s="194" t="s">
        <v>74</v>
      </c>
      <c r="BH21" s="193" t="s">
        <v>72</v>
      </c>
      <c r="BI21" s="194" t="s">
        <v>73</v>
      </c>
      <c r="BJ21" s="195" t="s">
        <v>74</v>
      </c>
    </row>
    <row r="22" spans="1:62" s="208" customFormat="1" ht="14.45" customHeight="1">
      <c r="A22" s="197" t="s">
        <v>402</v>
      </c>
      <c r="B22" s="207">
        <v>15007</v>
      </c>
      <c r="C22" s="207">
        <v>1610</v>
      </c>
      <c r="D22" s="207">
        <v>13397</v>
      </c>
      <c r="E22" s="207">
        <v>1469</v>
      </c>
      <c r="F22" s="207">
        <v>198</v>
      </c>
      <c r="G22" s="207">
        <v>1271</v>
      </c>
      <c r="H22" s="207">
        <v>13538</v>
      </c>
      <c r="I22" s="207">
        <v>1412</v>
      </c>
      <c r="J22" s="207">
        <v>12126</v>
      </c>
      <c r="K22" s="207">
        <v>2226</v>
      </c>
      <c r="L22" s="207">
        <v>58007</v>
      </c>
      <c r="M22" s="207">
        <v>784</v>
      </c>
      <c r="N22" s="207">
        <v>6983</v>
      </c>
      <c r="O22" s="207">
        <v>1442</v>
      </c>
      <c r="P22" s="207">
        <v>51024</v>
      </c>
      <c r="Q22" s="207">
        <v>96522</v>
      </c>
      <c r="R22" s="207">
        <v>40484</v>
      </c>
      <c r="S22" s="207">
        <v>56038</v>
      </c>
      <c r="T22" s="207">
        <v>23492</v>
      </c>
      <c r="U22" s="207">
        <v>11755</v>
      </c>
      <c r="V22" s="207">
        <v>11737</v>
      </c>
      <c r="W22" s="207">
        <v>11292</v>
      </c>
      <c r="X22" s="207">
        <v>5673</v>
      </c>
      <c r="Y22" s="207">
        <v>5619</v>
      </c>
      <c r="Z22" s="207">
        <v>61738</v>
      </c>
      <c r="AA22" s="207">
        <v>23056</v>
      </c>
      <c r="AB22" s="207">
        <v>38682</v>
      </c>
      <c r="AC22" s="207">
        <v>69823</v>
      </c>
      <c r="AD22" s="207">
        <v>26887</v>
      </c>
      <c r="AE22" s="207">
        <v>42936</v>
      </c>
      <c r="AF22" s="207">
        <v>14195</v>
      </c>
      <c r="AG22" s="207">
        <v>6499</v>
      </c>
      <c r="AH22" s="207">
        <v>7696</v>
      </c>
      <c r="AI22" s="207">
        <v>4859</v>
      </c>
      <c r="AJ22" s="207">
        <v>2320</v>
      </c>
      <c r="AK22" s="207">
        <v>2539</v>
      </c>
      <c r="AL22" s="207">
        <v>50769</v>
      </c>
      <c r="AM22" s="207">
        <v>18068</v>
      </c>
      <c r="AN22" s="207">
        <v>32701</v>
      </c>
      <c r="AO22" s="207">
        <v>2875</v>
      </c>
      <c r="AP22" s="207">
        <v>1486</v>
      </c>
      <c r="AQ22" s="207">
        <v>1389</v>
      </c>
      <c r="AR22" s="207">
        <v>1049</v>
      </c>
      <c r="AS22" s="207">
        <v>637</v>
      </c>
      <c r="AT22" s="207">
        <v>412</v>
      </c>
      <c r="AU22" s="207">
        <v>875</v>
      </c>
      <c r="AV22" s="207">
        <v>422</v>
      </c>
      <c r="AW22" s="207">
        <v>453</v>
      </c>
      <c r="AX22" s="207">
        <v>2653</v>
      </c>
      <c r="AY22" s="207">
        <v>6289</v>
      </c>
      <c r="AZ22" s="207">
        <v>2501</v>
      </c>
      <c r="BA22" s="207">
        <v>3788</v>
      </c>
      <c r="BB22" s="207">
        <v>1069</v>
      </c>
      <c r="BC22" s="207">
        <v>441</v>
      </c>
      <c r="BD22" s="207">
        <v>628</v>
      </c>
      <c r="BE22" s="207">
        <v>638</v>
      </c>
      <c r="BF22" s="207">
        <v>282</v>
      </c>
      <c r="BG22" s="207">
        <v>356</v>
      </c>
      <c r="BH22" s="207">
        <v>4582</v>
      </c>
      <c r="BI22" s="207">
        <v>1778</v>
      </c>
      <c r="BJ22" s="207">
        <v>2804</v>
      </c>
    </row>
    <row r="23" spans="1:62" s="208" customFormat="1" ht="14.45" customHeight="1">
      <c r="A23" s="209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210"/>
      <c r="AA23" s="210"/>
      <c r="AB23" s="210"/>
      <c r="AC23" s="210"/>
      <c r="AD23" s="210"/>
      <c r="AE23" s="210"/>
      <c r="AF23" s="210"/>
      <c r="AG23" s="210"/>
      <c r="AH23" s="210"/>
      <c r="AI23" s="210"/>
      <c r="AJ23" s="210"/>
      <c r="AK23" s="210"/>
      <c r="AL23" s="210"/>
      <c r="AM23" s="210"/>
      <c r="AN23" s="210"/>
      <c r="AO23" s="210"/>
      <c r="AP23" s="210"/>
      <c r="AQ23" s="210"/>
      <c r="AR23" s="210"/>
      <c r="AS23" s="210"/>
      <c r="AT23" s="210"/>
      <c r="AU23" s="210"/>
      <c r="AV23" s="210"/>
      <c r="AW23" s="210"/>
      <c r="AX23" s="210"/>
      <c r="AY23" s="210"/>
      <c r="AZ23" s="210"/>
      <c r="BA23" s="210"/>
      <c r="BB23" s="210"/>
      <c r="BC23" s="210"/>
      <c r="BD23" s="210"/>
      <c r="BE23" s="210"/>
      <c r="BF23" s="210"/>
      <c r="BG23" s="210"/>
      <c r="BH23" s="210"/>
      <c r="BI23" s="210"/>
    </row>
    <row r="24" spans="1:62" s="3" customFormat="1" ht="31.5" customHeight="1">
      <c r="A24" s="301" t="s">
        <v>394</v>
      </c>
      <c r="B24" s="304" t="s">
        <v>56</v>
      </c>
      <c r="C24" s="304"/>
      <c r="D24" s="304"/>
      <c r="E24" s="304"/>
      <c r="F24" s="304"/>
      <c r="G24" s="304"/>
      <c r="H24" s="304"/>
      <c r="I24" s="304"/>
      <c r="J24" s="304"/>
      <c r="K24" s="304"/>
      <c r="L24" s="304"/>
      <c r="M24" s="304"/>
      <c r="N24" s="304"/>
      <c r="O24" s="304"/>
      <c r="P24" s="304"/>
      <c r="Q24" s="304"/>
      <c r="R24" s="304"/>
      <c r="S24" s="304"/>
      <c r="T24" s="304"/>
      <c r="U24" s="304"/>
      <c r="V24" s="304"/>
      <c r="W24" s="304"/>
      <c r="X24" s="304"/>
      <c r="Y24" s="305"/>
      <c r="Z24" s="304" t="s">
        <v>196</v>
      </c>
      <c r="AA24" s="304"/>
      <c r="AB24" s="304"/>
      <c r="AC24" s="304"/>
      <c r="AD24" s="304"/>
      <c r="AE24" s="304"/>
      <c r="AF24" s="304"/>
      <c r="AG24" s="304"/>
      <c r="AH24" s="304"/>
      <c r="AI24" s="304"/>
      <c r="AJ24" s="304"/>
      <c r="AK24" s="304"/>
      <c r="AL24" s="304"/>
      <c r="AM24" s="304"/>
      <c r="AN24" s="304"/>
      <c r="AO24" s="304"/>
      <c r="AP24" s="304"/>
      <c r="AQ24" s="304"/>
      <c r="AR24" s="304"/>
      <c r="AS24" s="304"/>
      <c r="AT24" s="304"/>
      <c r="AU24" s="304"/>
      <c r="AV24" s="304"/>
      <c r="AW24" s="304"/>
    </row>
    <row r="25" spans="1:62" s="3" customFormat="1" ht="31.5" customHeight="1">
      <c r="A25" s="302"/>
      <c r="B25" s="306" t="s">
        <v>226</v>
      </c>
      <c r="C25" s="306"/>
      <c r="D25" s="306"/>
      <c r="E25" s="307"/>
      <c r="F25" s="296" t="s">
        <v>227</v>
      </c>
      <c r="G25" s="297"/>
      <c r="H25" s="297"/>
      <c r="I25" s="298"/>
      <c r="J25" s="296" t="s">
        <v>232</v>
      </c>
      <c r="K25" s="297"/>
      <c r="L25" s="297"/>
      <c r="M25" s="298"/>
      <c r="N25" s="296" t="s">
        <v>233</v>
      </c>
      <c r="O25" s="297"/>
      <c r="P25" s="297"/>
      <c r="Q25" s="298"/>
      <c r="R25" s="296" t="s">
        <v>228</v>
      </c>
      <c r="S25" s="297"/>
      <c r="T25" s="297"/>
      <c r="U25" s="298"/>
      <c r="V25" s="296" t="s">
        <v>229</v>
      </c>
      <c r="W25" s="297"/>
      <c r="X25" s="297"/>
      <c r="Y25" s="308"/>
      <c r="Z25" s="306" t="s">
        <v>226</v>
      </c>
      <c r="AA25" s="306"/>
      <c r="AB25" s="306"/>
      <c r="AC25" s="307"/>
      <c r="AD25" s="296" t="s">
        <v>227</v>
      </c>
      <c r="AE25" s="297"/>
      <c r="AF25" s="297"/>
      <c r="AG25" s="298"/>
      <c r="AH25" s="296" t="s">
        <v>232</v>
      </c>
      <c r="AI25" s="297"/>
      <c r="AJ25" s="297"/>
      <c r="AK25" s="298"/>
      <c r="AL25" s="296" t="s">
        <v>233</v>
      </c>
      <c r="AM25" s="297"/>
      <c r="AN25" s="297"/>
      <c r="AO25" s="298"/>
      <c r="AP25" s="296" t="s">
        <v>228</v>
      </c>
      <c r="AQ25" s="297"/>
      <c r="AR25" s="297"/>
      <c r="AS25" s="298"/>
      <c r="AT25" s="296" t="s">
        <v>229</v>
      </c>
      <c r="AU25" s="297"/>
      <c r="AV25" s="297"/>
      <c r="AW25" s="297"/>
    </row>
    <row r="26" spans="1:62" s="9" customFormat="1" ht="31.5" customHeight="1">
      <c r="A26" s="302"/>
      <c r="B26" s="289" t="s">
        <v>189</v>
      </c>
      <c r="C26" s="291" t="s">
        <v>178</v>
      </c>
      <c r="D26" s="291" t="s">
        <v>231</v>
      </c>
      <c r="E26" s="291" t="s">
        <v>180</v>
      </c>
      <c r="F26" s="289" t="s">
        <v>189</v>
      </c>
      <c r="G26" s="291" t="s">
        <v>178</v>
      </c>
      <c r="H26" s="291" t="s">
        <v>231</v>
      </c>
      <c r="I26" s="287" t="s">
        <v>180</v>
      </c>
      <c r="J26" s="289" t="s">
        <v>189</v>
      </c>
      <c r="K26" s="291" t="s">
        <v>178</v>
      </c>
      <c r="L26" s="291" t="s">
        <v>231</v>
      </c>
      <c r="M26" s="287" t="s">
        <v>180</v>
      </c>
      <c r="N26" s="289" t="s">
        <v>189</v>
      </c>
      <c r="O26" s="291" t="s">
        <v>178</v>
      </c>
      <c r="P26" s="291" t="s">
        <v>231</v>
      </c>
      <c r="Q26" s="287" t="s">
        <v>180</v>
      </c>
      <c r="R26" s="289" t="s">
        <v>189</v>
      </c>
      <c r="S26" s="291" t="s">
        <v>178</v>
      </c>
      <c r="T26" s="291" t="s">
        <v>231</v>
      </c>
      <c r="U26" s="287" t="s">
        <v>180</v>
      </c>
      <c r="V26" s="289" t="s">
        <v>189</v>
      </c>
      <c r="W26" s="291" t="s">
        <v>178</v>
      </c>
      <c r="X26" s="291" t="s">
        <v>231</v>
      </c>
      <c r="Y26" s="299" t="s">
        <v>180</v>
      </c>
      <c r="Z26" s="289" t="s">
        <v>189</v>
      </c>
      <c r="AA26" s="291" t="s">
        <v>178</v>
      </c>
      <c r="AB26" s="291" t="s">
        <v>231</v>
      </c>
      <c r="AC26" s="291" t="s">
        <v>180</v>
      </c>
      <c r="AD26" s="289" t="s">
        <v>189</v>
      </c>
      <c r="AE26" s="291" t="s">
        <v>178</v>
      </c>
      <c r="AF26" s="291" t="s">
        <v>231</v>
      </c>
      <c r="AG26" s="287" t="s">
        <v>180</v>
      </c>
      <c r="AH26" s="289" t="s">
        <v>189</v>
      </c>
      <c r="AI26" s="291" t="s">
        <v>178</v>
      </c>
      <c r="AJ26" s="291" t="s">
        <v>231</v>
      </c>
      <c r="AK26" s="287" t="s">
        <v>180</v>
      </c>
      <c r="AL26" s="289" t="s">
        <v>189</v>
      </c>
      <c r="AM26" s="291" t="s">
        <v>178</v>
      </c>
      <c r="AN26" s="291" t="s">
        <v>231</v>
      </c>
      <c r="AO26" s="287" t="s">
        <v>180</v>
      </c>
      <c r="AP26" s="289" t="s">
        <v>189</v>
      </c>
      <c r="AQ26" s="291" t="s">
        <v>178</v>
      </c>
      <c r="AR26" s="291" t="s">
        <v>231</v>
      </c>
      <c r="AS26" s="287" t="s">
        <v>180</v>
      </c>
      <c r="AT26" s="289" t="s">
        <v>189</v>
      </c>
      <c r="AU26" s="291" t="s">
        <v>178</v>
      </c>
      <c r="AV26" s="291" t="s">
        <v>231</v>
      </c>
      <c r="AW26" s="293" t="s">
        <v>180</v>
      </c>
    </row>
    <row r="27" spans="1:62" s="3" customFormat="1" ht="31.5" customHeight="1">
      <c r="A27" s="303"/>
      <c r="B27" s="290"/>
      <c r="C27" s="292"/>
      <c r="D27" s="292"/>
      <c r="E27" s="292"/>
      <c r="F27" s="290"/>
      <c r="G27" s="292"/>
      <c r="H27" s="292"/>
      <c r="I27" s="288"/>
      <c r="J27" s="290"/>
      <c r="K27" s="292"/>
      <c r="L27" s="292"/>
      <c r="M27" s="288"/>
      <c r="N27" s="290"/>
      <c r="O27" s="292"/>
      <c r="P27" s="292"/>
      <c r="Q27" s="288"/>
      <c r="R27" s="290"/>
      <c r="S27" s="292"/>
      <c r="T27" s="292"/>
      <c r="U27" s="288"/>
      <c r="V27" s="290"/>
      <c r="W27" s="292"/>
      <c r="X27" s="292"/>
      <c r="Y27" s="300"/>
      <c r="Z27" s="290"/>
      <c r="AA27" s="292"/>
      <c r="AB27" s="292"/>
      <c r="AC27" s="292"/>
      <c r="AD27" s="290"/>
      <c r="AE27" s="292"/>
      <c r="AF27" s="292"/>
      <c r="AG27" s="288"/>
      <c r="AH27" s="290"/>
      <c r="AI27" s="292"/>
      <c r="AJ27" s="292"/>
      <c r="AK27" s="288"/>
      <c r="AL27" s="290"/>
      <c r="AM27" s="292"/>
      <c r="AN27" s="292"/>
      <c r="AO27" s="288"/>
      <c r="AP27" s="290"/>
      <c r="AQ27" s="292"/>
      <c r="AR27" s="292"/>
      <c r="AS27" s="288"/>
      <c r="AT27" s="290"/>
      <c r="AU27" s="292"/>
      <c r="AV27" s="292"/>
      <c r="AW27" s="294"/>
    </row>
    <row r="28" spans="1:62" s="208" customFormat="1" ht="14.25">
      <c r="A28" s="190" t="s">
        <v>403</v>
      </c>
      <c r="B28" s="211">
        <v>105470</v>
      </c>
      <c r="C28" s="211">
        <v>22103</v>
      </c>
      <c r="D28" s="211">
        <v>11989</v>
      </c>
      <c r="E28" s="211">
        <v>71378</v>
      </c>
      <c r="F28" s="211">
        <v>42599</v>
      </c>
      <c r="G28" s="211">
        <v>5968</v>
      </c>
      <c r="H28" s="211">
        <v>1107</v>
      </c>
      <c r="I28" s="211">
        <v>35524</v>
      </c>
      <c r="J28" s="211">
        <v>30299</v>
      </c>
      <c r="K28" s="211">
        <v>5880</v>
      </c>
      <c r="L28" s="211">
        <v>3058</v>
      </c>
      <c r="M28" s="211">
        <v>21361</v>
      </c>
      <c r="N28" s="211">
        <v>18434</v>
      </c>
      <c r="O28" s="211">
        <v>6799</v>
      </c>
      <c r="P28" s="211">
        <v>6052</v>
      </c>
      <c r="Q28" s="211">
        <v>5583</v>
      </c>
      <c r="R28" s="211">
        <v>956</v>
      </c>
      <c r="S28" s="211">
        <v>372</v>
      </c>
      <c r="T28" s="211">
        <v>264</v>
      </c>
      <c r="U28" s="211">
        <v>320</v>
      </c>
      <c r="V28" s="211">
        <v>13182</v>
      </c>
      <c r="W28" s="211">
        <v>3084</v>
      </c>
      <c r="X28" s="211">
        <v>1508</v>
      </c>
      <c r="Y28" s="211">
        <v>8590</v>
      </c>
      <c r="Z28" s="211">
        <v>193403</v>
      </c>
      <c r="AA28" s="211">
        <v>37067</v>
      </c>
      <c r="AB28" s="211">
        <v>19513</v>
      </c>
      <c r="AC28" s="211">
        <v>136823</v>
      </c>
      <c r="AD28" s="211">
        <v>82889</v>
      </c>
      <c r="AE28" s="211">
        <v>11047</v>
      </c>
      <c r="AF28" s="211">
        <v>2811</v>
      </c>
      <c r="AG28" s="211">
        <v>69031</v>
      </c>
      <c r="AH28" s="211">
        <v>56034</v>
      </c>
      <c r="AI28" s="211">
        <v>10308</v>
      </c>
      <c r="AJ28" s="211">
        <v>5232</v>
      </c>
      <c r="AK28" s="211">
        <v>40494</v>
      </c>
      <c r="AL28" s="211">
        <v>27983</v>
      </c>
      <c r="AM28" s="211">
        <v>10221</v>
      </c>
      <c r="AN28" s="211">
        <v>8805</v>
      </c>
      <c r="AO28" s="211">
        <v>8957</v>
      </c>
      <c r="AP28" s="211">
        <v>2680</v>
      </c>
      <c r="AQ28" s="211">
        <v>778</v>
      </c>
      <c r="AR28" s="211">
        <v>502</v>
      </c>
      <c r="AS28" s="211">
        <v>1400</v>
      </c>
      <c r="AT28" s="211">
        <v>23817</v>
      </c>
      <c r="AU28" s="211">
        <v>4713</v>
      </c>
      <c r="AV28" s="211">
        <v>2163</v>
      </c>
      <c r="AW28" s="211">
        <v>16941</v>
      </c>
    </row>
    <row r="29" spans="1:62" s="208" customFormat="1" ht="14.25">
      <c r="A29" s="192" t="s">
        <v>404</v>
      </c>
      <c r="B29" s="204">
        <v>158553</v>
      </c>
      <c r="C29" s="204">
        <v>30739</v>
      </c>
      <c r="D29" s="204">
        <v>17257</v>
      </c>
      <c r="E29" s="204">
        <v>110557</v>
      </c>
      <c r="F29" s="204">
        <v>73367</v>
      </c>
      <c r="G29" s="204">
        <v>10527</v>
      </c>
      <c r="H29" s="204">
        <v>3923</v>
      </c>
      <c r="I29" s="204">
        <v>58917</v>
      </c>
      <c r="J29" s="204">
        <v>40057</v>
      </c>
      <c r="K29" s="204">
        <v>7049</v>
      </c>
      <c r="L29" s="204">
        <v>3391</v>
      </c>
      <c r="M29" s="204">
        <v>29617</v>
      </c>
      <c r="N29" s="204">
        <v>24298</v>
      </c>
      <c r="O29" s="204">
        <v>7941</v>
      </c>
      <c r="P29" s="204">
        <v>6360</v>
      </c>
      <c r="Q29" s="204">
        <v>9997</v>
      </c>
      <c r="R29" s="204">
        <v>4240</v>
      </c>
      <c r="S29" s="204">
        <v>1374</v>
      </c>
      <c r="T29" s="204">
        <v>1565</v>
      </c>
      <c r="U29" s="204">
        <v>1301</v>
      </c>
      <c r="V29" s="204">
        <v>16591</v>
      </c>
      <c r="W29" s="204">
        <v>3848</v>
      </c>
      <c r="X29" s="204">
        <v>2018</v>
      </c>
      <c r="Y29" s="204">
        <v>10725</v>
      </c>
      <c r="Z29" s="204">
        <v>248565</v>
      </c>
      <c r="AA29" s="204">
        <v>46247</v>
      </c>
      <c r="AB29" s="204">
        <v>24267</v>
      </c>
      <c r="AC29" s="204">
        <v>178051</v>
      </c>
      <c r="AD29" s="204">
        <v>111049</v>
      </c>
      <c r="AE29" s="204">
        <v>15159</v>
      </c>
      <c r="AF29" s="204">
        <v>5382</v>
      </c>
      <c r="AG29" s="204">
        <v>90508</v>
      </c>
      <c r="AH29" s="204">
        <v>68249</v>
      </c>
      <c r="AI29" s="204">
        <v>11615</v>
      </c>
      <c r="AJ29" s="204">
        <v>5392</v>
      </c>
      <c r="AK29" s="204">
        <v>51242</v>
      </c>
      <c r="AL29" s="204">
        <v>37515</v>
      </c>
      <c r="AM29" s="204">
        <v>12465</v>
      </c>
      <c r="AN29" s="204">
        <v>9209</v>
      </c>
      <c r="AO29" s="204">
        <v>15841</v>
      </c>
      <c r="AP29" s="204">
        <v>5605</v>
      </c>
      <c r="AQ29" s="204">
        <v>1734</v>
      </c>
      <c r="AR29" s="204">
        <v>1960</v>
      </c>
      <c r="AS29" s="204">
        <v>1911</v>
      </c>
      <c r="AT29" s="204">
        <v>26147</v>
      </c>
      <c r="AU29" s="204">
        <v>5274</v>
      </c>
      <c r="AV29" s="204">
        <v>2324</v>
      </c>
      <c r="AW29" s="204">
        <v>18549</v>
      </c>
    </row>
    <row r="30" spans="1:62">
      <c r="A30" s="85" t="s">
        <v>399</v>
      </c>
      <c r="B30" s="212"/>
      <c r="C30" s="212"/>
      <c r="D30" s="212"/>
      <c r="E30" s="212"/>
      <c r="F30" s="212"/>
      <c r="G30" s="212"/>
      <c r="H30" s="212"/>
      <c r="I30" s="212"/>
      <c r="J30" s="212"/>
      <c r="K30" s="212"/>
      <c r="L30" s="212"/>
      <c r="M30" s="212"/>
      <c r="N30" s="212"/>
      <c r="O30" s="212"/>
      <c r="P30" s="212"/>
      <c r="Q30" s="212"/>
      <c r="R30" s="212"/>
      <c r="S30" s="212"/>
      <c r="T30" s="212"/>
      <c r="U30" s="212"/>
      <c r="V30" s="212"/>
      <c r="W30" s="212"/>
      <c r="X30" s="212"/>
      <c r="Y30" s="212"/>
      <c r="Z30" s="212"/>
      <c r="AA30" s="212"/>
      <c r="AB30" s="212"/>
      <c r="AC30" s="212"/>
      <c r="AD30" s="212"/>
      <c r="AE30" s="212"/>
      <c r="AF30" s="212"/>
      <c r="AG30" s="212"/>
      <c r="AH30" s="212"/>
      <c r="AI30" s="212"/>
      <c r="AJ30" s="212"/>
      <c r="AK30" s="212"/>
      <c r="AL30" s="212"/>
      <c r="AM30" s="212"/>
      <c r="AN30" s="212"/>
      <c r="AO30" s="212"/>
      <c r="AP30" s="212"/>
      <c r="AQ30" s="212"/>
      <c r="AR30" s="212"/>
      <c r="AS30" s="212"/>
      <c r="AT30" s="212"/>
      <c r="AU30" s="212"/>
      <c r="AV30" s="212"/>
      <c r="AW30" s="212"/>
    </row>
    <row r="31" spans="1:62">
      <c r="A31" s="15" t="s">
        <v>2</v>
      </c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</row>
    <row r="32" spans="1:62" s="3" customFormat="1" ht="49.9" customHeight="1">
      <c r="A32" s="295" t="s">
        <v>400</v>
      </c>
      <c r="B32" s="295"/>
      <c r="C32" s="295"/>
      <c r="D32" s="295"/>
      <c r="E32" s="295"/>
      <c r="F32" s="295"/>
      <c r="G32" s="295"/>
      <c r="H32" s="295"/>
      <c r="I32" s="295"/>
      <c r="J32" s="295"/>
      <c r="K32" s="295"/>
      <c r="L32" s="295"/>
      <c r="M32" s="295"/>
      <c r="N32" s="295"/>
      <c r="O32" s="295"/>
      <c r="P32" s="295"/>
      <c r="Q32" s="295"/>
      <c r="R32" s="295"/>
      <c r="S32" s="295"/>
    </row>
    <row r="33" spans="1:49">
      <c r="A33" s="31" t="s">
        <v>243</v>
      </c>
      <c r="L33" s="213"/>
      <c r="M33" s="213"/>
      <c r="N33" s="213"/>
      <c r="O33" s="213"/>
      <c r="P33" s="213"/>
      <c r="Q33" s="213"/>
      <c r="R33" s="213"/>
      <c r="S33" s="213"/>
      <c r="T33" s="213"/>
      <c r="U33" s="213"/>
      <c r="AH33" s="213"/>
      <c r="AI33" s="213"/>
      <c r="AJ33" s="213"/>
      <c r="AK33" s="213"/>
      <c r="AL33" s="213"/>
      <c r="AM33" s="213"/>
      <c r="AN33" s="213"/>
      <c r="AO33" s="213"/>
      <c r="AP33" s="213"/>
      <c r="AQ33" s="213"/>
      <c r="AR33" s="213"/>
      <c r="AS33" s="213"/>
      <c r="AT33" s="213"/>
      <c r="AU33" s="213"/>
      <c r="AV33" s="213"/>
      <c r="AW33" s="213"/>
    </row>
  </sheetData>
  <mergeCells count="156">
    <mergeCell ref="V3:AW3"/>
    <mergeCell ref="L4:S4"/>
    <mergeCell ref="T4:U4"/>
    <mergeCell ref="V4:AG4"/>
    <mergeCell ref="AH4:AS4"/>
    <mergeCell ref="AT4:AW4"/>
    <mergeCell ref="AB5:AD5"/>
    <mergeCell ref="AE5:AG5"/>
    <mergeCell ref="AK5:AM5"/>
    <mergeCell ref="AN5:AP5"/>
    <mergeCell ref="AQ5:AS5"/>
    <mergeCell ref="P5:Q5"/>
    <mergeCell ref="R5:S5"/>
    <mergeCell ref="C5:E5"/>
    <mergeCell ref="F5:G5"/>
    <mergeCell ref="H5:I5"/>
    <mergeCell ref="J5:K5"/>
    <mergeCell ref="L5:M5"/>
    <mergeCell ref="N5:O5"/>
    <mergeCell ref="A3:A7"/>
    <mergeCell ref="B3:B7"/>
    <mergeCell ref="C3:K4"/>
    <mergeCell ref="L3:U3"/>
    <mergeCell ref="C6:C7"/>
    <mergeCell ref="D6:D7"/>
    <mergeCell ref="E6:E7"/>
    <mergeCell ref="F6:F7"/>
    <mergeCell ref="G6:G7"/>
    <mergeCell ref="AD6:AD7"/>
    <mergeCell ref="AE6:AE7"/>
    <mergeCell ref="AF6:AF7"/>
    <mergeCell ref="AG6:AG7"/>
    <mergeCell ref="H6:H7"/>
    <mergeCell ref="I6:I7"/>
    <mergeCell ref="J6:J7"/>
    <mergeCell ref="K6:K7"/>
    <mergeCell ref="V6:V7"/>
    <mergeCell ref="W6:W7"/>
    <mergeCell ref="T5:T7"/>
    <mergeCell ref="U5:U7"/>
    <mergeCell ref="V5:X5"/>
    <mergeCell ref="Y5:AA5"/>
    <mergeCell ref="X6:X7"/>
    <mergeCell ref="Y6:Y7"/>
    <mergeCell ref="Z6:Z7"/>
    <mergeCell ref="AA6:AA7"/>
    <mergeCell ref="AT6:AT7"/>
    <mergeCell ref="AU6:AU7"/>
    <mergeCell ref="AV6:AV7"/>
    <mergeCell ref="AW6:AW7"/>
    <mergeCell ref="A18:A21"/>
    <mergeCell ref="B18:J19"/>
    <mergeCell ref="K18:P19"/>
    <mergeCell ref="Q18:BJ18"/>
    <mergeCell ref="Q19:AB19"/>
    <mergeCell ref="AC19:AN19"/>
    <mergeCell ref="AN6:AN7"/>
    <mergeCell ref="AO6:AO7"/>
    <mergeCell ref="AP6:AP7"/>
    <mergeCell ref="AQ6:AQ7"/>
    <mergeCell ref="AR6:AR7"/>
    <mergeCell ref="AS6:AS7"/>
    <mergeCell ref="AH6:AH7"/>
    <mergeCell ref="AI6:AI7"/>
    <mergeCell ref="AJ6:AJ7"/>
    <mergeCell ref="AK6:AK7"/>
    <mergeCell ref="AL6:AL7"/>
    <mergeCell ref="AM6:AM7"/>
    <mergeCell ref="AB6:AB7"/>
    <mergeCell ref="AC6:AC7"/>
    <mergeCell ref="AO19:AW19"/>
    <mergeCell ref="AY19:BJ19"/>
    <mergeCell ref="E20:G20"/>
    <mergeCell ref="H20:J20"/>
    <mergeCell ref="K20:L20"/>
    <mergeCell ref="M20:N20"/>
    <mergeCell ref="O20:P20"/>
    <mergeCell ref="Q20:S20"/>
    <mergeCell ref="T20:V20"/>
    <mergeCell ref="W20:Y20"/>
    <mergeCell ref="AR20:AT20"/>
    <mergeCell ref="AU20:AW20"/>
    <mergeCell ref="AY20:BA20"/>
    <mergeCell ref="BB20:BD20"/>
    <mergeCell ref="BE20:BG20"/>
    <mergeCell ref="BH20:BJ20"/>
    <mergeCell ref="Z20:AB20"/>
    <mergeCell ref="AC20:AE20"/>
    <mergeCell ref="AF20:AH20"/>
    <mergeCell ref="AI20:AK20"/>
    <mergeCell ref="AL20:AN20"/>
    <mergeCell ref="AO20:AQ20"/>
    <mergeCell ref="AP25:AS25"/>
    <mergeCell ref="AT25:AW25"/>
    <mergeCell ref="B26:B27"/>
    <mergeCell ref="C26:C27"/>
    <mergeCell ref="D26:D27"/>
    <mergeCell ref="E26:E27"/>
    <mergeCell ref="F26:F27"/>
    <mergeCell ref="A24:A27"/>
    <mergeCell ref="B24:Y24"/>
    <mergeCell ref="Z24:AW24"/>
    <mergeCell ref="B25:E25"/>
    <mergeCell ref="F25:I25"/>
    <mergeCell ref="J25:M25"/>
    <mergeCell ref="N25:Q25"/>
    <mergeCell ref="R25:U25"/>
    <mergeCell ref="V25:Y25"/>
    <mergeCell ref="Z25:AC25"/>
    <mergeCell ref="G26:G27"/>
    <mergeCell ref="H26:H27"/>
    <mergeCell ref="I26:I27"/>
    <mergeCell ref="J26:J27"/>
    <mergeCell ref="K26:K27"/>
    <mergeCell ref="L26:L27"/>
    <mergeCell ref="AD25:AG25"/>
    <mergeCell ref="AH25:AK25"/>
    <mergeCell ref="AL25:AO25"/>
    <mergeCell ref="AC26:AC27"/>
    <mergeCell ref="AD26:AD27"/>
    <mergeCell ref="S26:S27"/>
    <mergeCell ref="T26:T27"/>
    <mergeCell ref="U26:U27"/>
    <mergeCell ref="V26:V27"/>
    <mergeCell ref="W26:W27"/>
    <mergeCell ref="X26:X27"/>
    <mergeCell ref="AI26:AI27"/>
    <mergeCell ref="AJ26:AJ27"/>
    <mergeCell ref="Y26:Y27"/>
    <mergeCell ref="Z26:Z27"/>
    <mergeCell ref="AA26:AA27"/>
    <mergeCell ref="AB26:AB27"/>
    <mergeCell ref="M26:M27"/>
    <mergeCell ref="N26:N27"/>
    <mergeCell ref="O26:O27"/>
    <mergeCell ref="P26:P27"/>
    <mergeCell ref="Q26:Q27"/>
    <mergeCell ref="R26:R27"/>
    <mergeCell ref="AW26:AW27"/>
    <mergeCell ref="A32:S32"/>
    <mergeCell ref="AQ26:AQ27"/>
    <mergeCell ref="AR26:AR27"/>
    <mergeCell ref="AS26:AS27"/>
    <mergeCell ref="AT26:AT27"/>
    <mergeCell ref="AU26:AU27"/>
    <mergeCell ref="AV26:AV27"/>
    <mergeCell ref="AK26:AK27"/>
    <mergeCell ref="AL26:AL27"/>
    <mergeCell ref="AM26:AM27"/>
    <mergeCell ref="AN26:AN27"/>
    <mergeCell ref="AO26:AO27"/>
    <mergeCell ref="AP26:AP27"/>
    <mergeCell ref="AE26:AE27"/>
    <mergeCell ref="AF26:AF27"/>
    <mergeCell ref="AG26:AG27"/>
    <mergeCell ref="AH26:AH27"/>
  </mergeCells>
  <phoneticPr fontId="6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  <pageSetUpPr fitToPage="1"/>
  </sheetPr>
  <dimension ref="A1:AX220"/>
  <sheetViews>
    <sheetView zoomScaleNormal="100" zoomScaleSheetLayoutView="75" workbookViewId="0">
      <pane xSplit="2" ySplit="6" topLeftCell="C67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9.33203125" style="3" customWidth="1"/>
    <col min="2" max="2" width="20" style="3" customWidth="1"/>
    <col min="3" max="26" width="10.6640625" style="3" customWidth="1"/>
    <col min="27" max="50" width="10" style="3" customWidth="1"/>
    <col min="51" max="16384" width="12" style="3"/>
  </cols>
  <sheetData>
    <row r="1" spans="1:50" ht="21">
      <c r="A1" s="136" t="s">
        <v>50</v>
      </c>
      <c r="B1" s="25"/>
    </row>
    <row r="2" spans="1:50" ht="25.5" customHeight="1">
      <c r="A2" s="70" t="s">
        <v>242</v>
      </c>
      <c r="B2" s="72">
        <f>SUM(G7,K7,O7,S7,W7)</f>
        <v>158553</v>
      </c>
      <c r="C2" s="60" t="str">
        <f>IF(C7=SUM(C10,C13,C16,C19,C22,C25,C28,C31,C34,C37,C40,C43,C46,C49,C52,C55,C58,C61,C64,C67,C70,C73),"","*")</f>
        <v/>
      </c>
      <c r="D2" s="60" t="str">
        <f t="shared" ref="D2:AX2" si="0">IF(D7=SUM(D10,D13,D16,D19,D22,D25,D28,D31,D34,D37,D40,D43,D46,D49,D52,D55,D58,D61,D64,D67,D70,D73),"","*")</f>
        <v/>
      </c>
      <c r="E2" s="60" t="str">
        <f t="shared" si="0"/>
        <v/>
      </c>
      <c r="F2" s="60" t="str">
        <f t="shared" si="0"/>
        <v/>
      </c>
      <c r="G2" s="60" t="str">
        <f t="shared" si="0"/>
        <v/>
      </c>
      <c r="H2" s="60" t="str">
        <f t="shared" si="0"/>
        <v/>
      </c>
      <c r="I2" s="60" t="str">
        <f t="shared" si="0"/>
        <v/>
      </c>
      <c r="J2" s="60" t="str">
        <f t="shared" si="0"/>
        <v/>
      </c>
      <c r="K2" s="60" t="str">
        <f t="shared" si="0"/>
        <v/>
      </c>
      <c r="L2" s="60" t="str">
        <f t="shared" si="0"/>
        <v/>
      </c>
      <c r="M2" s="60" t="str">
        <f t="shared" si="0"/>
        <v/>
      </c>
      <c r="N2" s="60" t="str">
        <f t="shared" si="0"/>
        <v/>
      </c>
      <c r="O2" s="60" t="str">
        <f t="shared" si="0"/>
        <v/>
      </c>
      <c r="P2" s="60" t="str">
        <f t="shared" si="0"/>
        <v/>
      </c>
      <c r="Q2" s="60" t="str">
        <f t="shared" si="0"/>
        <v/>
      </c>
      <c r="R2" s="60" t="str">
        <f t="shared" si="0"/>
        <v/>
      </c>
      <c r="S2" s="60" t="str">
        <f t="shared" si="0"/>
        <v/>
      </c>
      <c r="T2" s="60" t="str">
        <f t="shared" si="0"/>
        <v/>
      </c>
      <c r="U2" s="60" t="str">
        <f t="shared" si="0"/>
        <v/>
      </c>
      <c r="V2" s="60" t="str">
        <f t="shared" si="0"/>
        <v/>
      </c>
      <c r="W2" s="60" t="str">
        <f t="shared" si="0"/>
        <v/>
      </c>
      <c r="X2" s="60" t="str">
        <f t="shared" si="0"/>
        <v/>
      </c>
      <c r="Y2" s="60" t="str">
        <f t="shared" si="0"/>
        <v/>
      </c>
      <c r="Z2" s="60" t="str">
        <f t="shared" si="0"/>
        <v/>
      </c>
      <c r="AA2" s="60" t="str">
        <f t="shared" si="0"/>
        <v/>
      </c>
      <c r="AB2" s="60" t="str">
        <f t="shared" si="0"/>
        <v/>
      </c>
      <c r="AC2" s="60" t="str">
        <f t="shared" si="0"/>
        <v/>
      </c>
      <c r="AD2" s="60" t="str">
        <f t="shared" si="0"/>
        <v/>
      </c>
      <c r="AE2" s="60" t="str">
        <f t="shared" si="0"/>
        <v/>
      </c>
      <c r="AF2" s="60" t="str">
        <f t="shared" si="0"/>
        <v/>
      </c>
      <c r="AG2" s="60" t="str">
        <f t="shared" si="0"/>
        <v/>
      </c>
      <c r="AH2" s="60" t="str">
        <f t="shared" si="0"/>
        <v/>
      </c>
      <c r="AI2" s="60" t="str">
        <f t="shared" si="0"/>
        <v/>
      </c>
      <c r="AJ2" s="60" t="str">
        <f t="shared" si="0"/>
        <v/>
      </c>
      <c r="AK2" s="60" t="str">
        <f t="shared" si="0"/>
        <v/>
      </c>
      <c r="AL2" s="60" t="str">
        <f t="shared" si="0"/>
        <v/>
      </c>
      <c r="AM2" s="60" t="str">
        <f t="shared" si="0"/>
        <v/>
      </c>
      <c r="AN2" s="60" t="str">
        <f t="shared" si="0"/>
        <v/>
      </c>
      <c r="AO2" s="60" t="str">
        <f t="shared" si="0"/>
        <v/>
      </c>
      <c r="AP2" s="60" t="str">
        <f t="shared" si="0"/>
        <v/>
      </c>
      <c r="AQ2" s="60" t="str">
        <f t="shared" si="0"/>
        <v/>
      </c>
      <c r="AR2" s="60" t="str">
        <f t="shared" si="0"/>
        <v/>
      </c>
      <c r="AS2" s="60" t="str">
        <f t="shared" si="0"/>
        <v/>
      </c>
      <c r="AT2" s="60" t="str">
        <f t="shared" si="0"/>
        <v/>
      </c>
      <c r="AU2" s="60" t="str">
        <f t="shared" si="0"/>
        <v/>
      </c>
      <c r="AV2" s="60" t="str">
        <f t="shared" si="0"/>
        <v/>
      </c>
      <c r="AW2" s="60" t="str">
        <f t="shared" si="0"/>
        <v/>
      </c>
      <c r="AX2" s="60" t="str">
        <f t="shared" si="0"/>
        <v/>
      </c>
    </row>
    <row r="3" spans="1:50" ht="20.25" customHeight="1">
      <c r="A3" s="329" t="s">
        <v>78</v>
      </c>
      <c r="B3" s="301"/>
      <c r="C3" s="304" t="s">
        <v>56</v>
      </c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  <c r="X3" s="304"/>
      <c r="Y3" s="304"/>
      <c r="Z3" s="305"/>
      <c r="AA3" s="304" t="s">
        <v>196</v>
      </c>
      <c r="AB3" s="304"/>
      <c r="AC3" s="304"/>
      <c r="AD3" s="304"/>
      <c r="AE3" s="304"/>
      <c r="AF3" s="304"/>
      <c r="AG3" s="304"/>
      <c r="AH3" s="304"/>
      <c r="AI3" s="304"/>
      <c r="AJ3" s="304"/>
      <c r="AK3" s="304"/>
      <c r="AL3" s="304"/>
      <c r="AM3" s="304"/>
      <c r="AN3" s="304"/>
      <c r="AO3" s="304"/>
      <c r="AP3" s="304"/>
      <c r="AQ3" s="304"/>
      <c r="AR3" s="304"/>
      <c r="AS3" s="304"/>
      <c r="AT3" s="304"/>
      <c r="AU3" s="304"/>
      <c r="AV3" s="304"/>
      <c r="AW3" s="304"/>
      <c r="AX3" s="304"/>
    </row>
    <row r="4" spans="1:50" ht="33.75" customHeight="1">
      <c r="A4" s="364"/>
      <c r="B4" s="302"/>
      <c r="C4" s="362" t="s">
        <v>226</v>
      </c>
      <c r="D4" s="362"/>
      <c r="E4" s="362"/>
      <c r="F4" s="363"/>
      <c r="G4" s="359" t="s">
        <v>227</v>
      </c>
      <c r="H4" s="360"/>
      <c r="I4" s="360"/>
      <c r="J4" s="361"/>
      <c r="K4" s="359" t="s">
        <v>232</v>
      </c>
      <c r="L4" s="360"/>
      <c r="M4" s="360"/>
      <c r="N4" s="361"/>
      <c r="O4" s="359" t="s">
        <v>233</v>
      </c>
      <c r="P4" s="360"/>
      <c r="Q4" s="360"/>
      <c r="R4" s="361"/>
      <c r="S4" s="359" t="s">
        <v>228</v>
      </c>
      <c r="T4" s="360"/>
      <c r="U4" s="360"/>
      <c r="V4" s="361"/>
      <c r="W4" s="359" t="s">
        <v>229</v>
      </c>
      <c r="X4" s="360"/>
      <c r="Y4" s="360"/>
      <c r="Z4" s="365"/>
      <c r="AA4" s="362" t="s">
        <v>226</v>
      </c>
      <c r="AB4" s="362"/>
      <c r="AC4" s="362"/>
      <c r="AD4" s="363"/>
      <c r="AE4" s="359" t="s">
        <v>227</v>
      </c>
      <c r="AF4" s="360"/>
      <c r="AG4" s="360"/>
      <c r="AH4" s="361"/>
      <c r="AI4" s="359" t="s">
        <v>232</v>
      </c>
      <c r="AJ4" s="360"/>
      <c r="AK4" s="360"/>
      <c r="AL4" s="361"/>
      <c r="AM4" s="359" t="s">
        <v>233</v>
      </c>
      <c r="AN4" s="360"/>
      <c r="AO4" s="360"/>
      <c r="AP4" s="361"/>
      <c r="AQ4" s="359" t="s">
        <v>228</v>
      </c>
      <c r="AR4" s="360"/>
      <c r="AS4" s="360"/>
      <c r="AT4" s="361"/>
      <c r="AU4" s="359" t="s">
        <v>229</v>
      </c>
      <c r="AV4" s="360"/>
      <c r="AW4" s="360"/>
      <c r="AX4" s="360"/>
    </row>
    <row r="5" spans="1:50" s="9" customFormat="1" ht="31.5" customHeight="1">
      <c r="A5" s="364"/>
      <c r="B5" s="302"/>
      <c r="C5" s="351" t="s">
        <v>230</v>
      </c>
      <c r="D5" s="353" t="s">
        <v>178</v>
      </c>
      <c r="E5" s="353" t="s">
        <v>231</v>
      </c>
      <c r="F5" s="353" t="s">
        <v>180</v>
      </c>
      <c r="G5" s="351" t="s">
        <v>230</v>
      </c>
      <c r="H5" s="353" t="s">
        <v>178</v>
      </c>
      <c r="I5" s="353" t="s">
        <v>231</v>
      </c>
      <c r="J5" s="349" t="s">
        <v>180</v>
      </c>
      <c r="K5" s="351" t="s">
        <v>230</v>
      </c>
      <c r="L5" s="353" t="s">
        <v>178</v>
      </c>
      <c r="M5" s="353" t="s">
        <v>231</v>
      </c>
      <c r="N5" s="349" t="s">
        <v>180</v>
      </c>
      <c r="O5" s="351" t="s">
        <v>230</v>
      </c>
      <c r="P5" s="353" t="s">
        <v>178</v>
      </c>
      <c r="Q5" s="353" t="s">
        <v>231</v>
      </c>
      <c r="R5" s="349" t="s">
        <v>180</v>
      </c>
      <c r="S5" s="351" t="s">
        <v>230</v>
      </c>
      <c r="T5" s="353" t="s">
        <v>178</v>
      </c>
      <c r="U5" s="353" t="s">
        <v>231</v>
      </c>
      <c r="V5" s="349" t="s">
        <v>180</v>
      </c>
      <c r="W5" s="351" t="s">
        <v>230</v>
      </c>
      <c r="X5" s="353" t="s">
        <v>178</v>
      </c>
      <c r="Y5" s="353" t="s">
        <v>231</v>
      </c>
      <c r="Z5" s="355" t="s">
        <v>180</v>
      </c>
      <c r="AA5" s="351" t="s">
        <v>230</v>
      </c>
      <c r="AB5" s="353" t="s">
        <v>178</v>
      </c>
      <c r="AC5" s="353" t="s">
        <v>231</v>
      </c>
      <c r="AD5" s="353" t="s">
        <v>180</v>
      </c>
      <c r="AE5" s="351" t="s">
        <v>230</v>
      </c>
      <c r="AF5" s="353" t="s">
        <v>178</v>
      </c>
      <c r="AG5" s="353" t="s">
        <v>231</v>
      </c>
      <c r="AH5" s="349" t="s">
        <v>180</v>
      </c>
      <c r="AI5" s="351" t="s">
        <v>230</v>
      </c>
      <c r="AJ5" s="353" t="s">
        <v>178</v>
      </c>
      <c r="AK5" s="353" t="s">
        <v>231</v>
      </c>
      <c r="AL5" s="349" t="s">
        <v>180</v>
      </c>
      <c r="AM5" s="351" t="s">
        <v>230</v>
      </c>
      <c r="AN5" s="353" t="s">
        <v>178</v>
      </c>
      <c r="AO5" s="353" t="s">
        <v>231</v>
      </c>
      <c r="AP5" s="349" t="s">
        <v>180</v>
      </c>
      <c r="AQ5" s="351" t="s">
        <v>230</v>
      </c>
      <c r="AR5" s="353" t="s">
        <v>178</v>
      </c>
      <c r="AS5" s="353" t="s">
        <v>231</v>
      </c>
      <c r="AT5" s="349" t="s">
        <v>180</v>
      </c>
      <c r="AU5" s="351" t="s">
        <v>230</v>
      </c>
      <c r="AV5" s="353" t="s">
        <v>178</v>
      </c>
      <c r="AW5" s="353" t="s">
        <v>231</v>
      </c>
      <c r="AX5" s="366" t="s">
        <v>180</v>
      </c>
    </row>
    <row r="6" spans="1:50" ht="31.5" customHeight="1">
      <c r="A6" s="331"/>
      <c r="B6" s="303"/>
      <c r="C6" s="352"/>
      <c r="D6" s="354"/>
      <c r="E6" s="354"/>
      <c r="F6" s="354"/>
      <c r="G6" s="352"/>
      <c r="H6" s="354"/>
      <c r="I6" s="354"/>
      <c r="J6" s="350"/>
      <c r="K6" s="352"/>
      <c r="L6" s="354"/>
      <c r="M6" s="354"/>
      <c r="N6" s="350"/>
      <c r="O6" s="352"/>
      <c r="P6" s="354"/>
      <c r="Q6" s="354"/>
      <c r="R6" s="350"/>
      <c r="S6" s="352"/>
      <c r="T6" s="354"/>
      <c r="U6" s="354"/>
      <c r="V6" s="350"/>
      <c r="W6" s="352"/>
      <c r="X6" s="354"/>
      <c r="Y6" s="354"/>
      <c r="Z6" s="356"/>
      <c r="AA6" s="352"/>
      <c r="AB6" s="354"/>
      <c r="AC6" s="354"/>
      <c r="AD6" s="354"/>
      <c r="AE6" s="352"/>
      <c r="AF6" s="354"/>
      <c r="AG6" s="354"/>
      <c r="AH6" s="350"/>
      <c r="AI6" s="352"/>
      <c r="AJ6" s="354"/>
      <c r="AK6" s="354"/>
      <c r="AL6" s="350"/>
      <c r="AM6" s="352"/>
      <c r="AN6" s="354"/>
      <c r="AO6" s="354"/>
      <c r="AP6" s="350"/>
      <c r="AQ6" s="352"/>
      <c r="AR6" s="354"/>
      <c r="AS6" s="354"/>
      <c r="AT6" s="350"/>
      <c r="AU6" s="352"/>
      <c r="AV6" s="354"/>
      <c r="AW6" s="354"/>
      <c r="AX6" s="367"/>
    </row>
    <row r="7" spans="1:50" s="146" customFormat="1" ht="15.75" customHeight="1">
      <c r="A7" s="143" t="s">
        <v>331</v>
      </c>
      <c r="B7" s="144" t="s">
        <v>332</v>
      </c>
      <c r="C7" s="145">
        <v>158553</v>
      </c>
      <c r="D7" s="145">
        <v>30739</v>
      </c>
      <c r="E7" s="145">
        <v>17257</v>
      </c>
      <c r="F7" s="145">
        <v>110557</v>
      </c>
      <c r="G7" s="145">
        <v>73367</v>
      </c>
      <c r="H7" s="145">
        <v>10527</v>
      </c>
      <c r="I7" s="145">
        <v>3923</v>
      </c>
      <c r="J7" s="145">
        <v>58917</v>
      </c>
      <c r="K7" s="145">
        <v>40057</v>
      </c>
      <c r="L7" s="145">
        <v>7049</v>
      </c>
      <c r="M7" s="145">
        <v>3391</v>
      </c>
      <c r="N7" s="145">
        <v>29617</v>
      </c>
      <c r="O7" s="145">
        <v>24298</v>
      </c>
      <c r="P7" s="145">
        <v>7941</v>
      </c>
      <c r="Q7" s="145">
        <v>6360</v>
      </c>
      <c r="R7" s="145">
        <v>9997</v>
      </c>
      <c r="S7" s="145">
        <v>4240</v>
      </c>
      <c r="T7" s="145">
        <v>1374</v>
      </c>
      <c r="U7" s="145">
        <v>1565</v>
      </c>
      <c r="V7" s="145">
        <v>1301</v>
      </c>
      <c r="W7" s="145">
        <v>16591</v>
      </c>
      <c r="X7" s="145">
        <v>3848</v>
      </c>
      <c r="Y7" s="145">
        <v>2018</v>
      </c>
      <c r="Z7" s="145">
        <v>10725</v>
      </c>
      <c r="AA7" s="145">
        <v>248565</v>
      </c>
      <c r="AB7" s="145">
        <v>46247</v>
      </c>
      <c r="AC7" s="145">
        <v>24267</v>
      </c>
      <c r="AD7" s="145">
        <v>178051</v>
      </c>
      <c r="AE7" s="145">
        <v>111049</v>
      </c>
      <c r="AF7" s="145">
        <v>15159</v>
      </c>
      <c r="AG7" s="145">
        <v>5382</v>
      </c>
      <c r="AH7" s="145">
        <v>90508</v>
      </c>
      <c r="AI7" s="145">
        <v>68249</v>
      </c>
      <c r="AJ7" s="145">
        <v>11615</v>
      </c>
      <c r="AK7" s="145">
        <v>5392</v>
      </c>
      <c r="AL7" s="145">
        <v>51242</v>
      </c>
      <c r="AM7" s="145">
        <v>37515</v>
      </c>
      <c r="AN7" s="145">
        <v>12465</v>
      </c>
      <c r="AO7" s="145">
        <v>9209</v>
      </c>
      <c r="AP7" s="145">
        <v>15841</v>
      </c>
      <c r="AQ7" s="145">
        <v>5605</v>
      </c>
      <c r="AR7" s="145">
        <v>1734</v>
      </c>
      <c r="AS7" s="145">
        <v>1960</v>
      </c>
      <c r="AT7" s="145">
        <v>1911</v>
      </c>
      <c r="AU7" s="145">
        <v>26147</v>
      </c>
      <c r="AV7" s="145">
        <v>5274</v>
      </c>
      <c r="AW7" s="145">
        <v>2324</v>
      </c>
      <c r="AX7" s="145">
        <v>18549</v>
      </c>
    </row>
    <row r="8" spans="1:50" s="146" customFormat="1" ht="15.75" customHeight="1">
      <c r="A8" s="357" t="s">
        <v>199</v>
      </c>
      <c r="B8" s="147" t="s">
        <v>333</v>
      </c>
      <c r="C8" s="148">
        <v>66520</v>
      </c>
      <c r="D8" s="148">
        <v>16182</v>
      </c>
      <c r="E8" s="148">
        <v>8777</v>
      </c>
      <c r="F8" s="148">
        <v>41561</v>
      </c>
      <c r="G8" s="148">
        <v>26063</v>
      </c>
      <c r="H8" s="148">
        <v>4640</v>
      </c>
      <c r="I8" s="148">
        <v>1809</v>
      </c>
      <c r="J8" s="148">
        <v>19614</v>
      </c>
      <c r="K8" s="148">
        <v>17568</v>
      </c>
      <c r="L8" s="148">
        <v>3537</v>
      </c>
      <c r="M8" s="148">
        <v>1652</v>
      </c>
      <c r="N8" s="148">
        <v>12379</v>
      </c>
      <c r="O8" s="148">
        <v>13636</v>
      </c>
      <c r="P8" s="148">
        <v>5098</v>
      </c>
      <c r="Q8" s="148">
        <v>3541</v>
      </c>
      <c r="R8" s="148">
        <v>4997</v>
      </c>
      <c r="S8" s="148">
        <v>2545</v>
      </c>
      <c r="T8" s="148">
        <v>961</v>
      </c>
      <c r="U8" s="148">
        <v>908</v>
      </c>
      <c r="V8" s="148">
        <v>676</v>
      </c>
      <c r="W8" s="148">
        <v>6708</v>
      </c>
      <c r="X8" s="148">
        <v>1946</v>
      </c>
      <c r="Y8" s="148">
        <v>867</v>
      </c>
      <c r="Z8" s="148">
        <v>3895</v>
      </c>
      <c r="AA8" s="148">
        <v>105461</v>
      </c>
      <c r="AB8" s="148">
        <v>24296</v>
      </c>
      <c r="AC8" s="148">
        <v>12280</v>
      </c>
      <c r="AD8" s="148">
        <v>68885</v>
      </c>
      <c r="AE8" s="148">
        <v>40548</v>
      </c>
      <c r="AF8" s="148">
        <v>6814</v>
      </c>
      <c r="AG8" s="148">
        <v>2484</v>
      </c>
      <c r="AH8" s="148">
        <v>31250</v>
      </c>
      <c r="AI8" s="148">
        <v>30338</v>
      </c>
      <c r="AJ8" s="148">
        <v>5868</v>
      </c>
      <c r="AK8" s="148">
        <v>2624</v>
      </c>
      <c r="AL8" s="148">
        <v>21846</v>
      </c>
      <c r="AM8" s="148">
        <v>20986</v>
      </c>
      <c r="AN8" s="148">
        <v>7927</v>
      </c>
      <c r="AO8" s="148">
        <v>5054</v>
      </c>
      <c r="AP8" s="148">
        <v>8005</v>
      </c>
      <c r="AQ8" s="148">
        <v>3276</v>
      </c>
      <c r="AR8" s="148">
        <v>1194</v>
      </c>
      <c r="AS8" s="148">
        <v>1124</v>
      </c>
      <c r="AT8" s="148">
        <v>958</v>
      </c>
      <c r="AU8" s="148">
        <v>10313</v>
      </c>
      <c r="AV8" s="148">
        <v>2493</v>
      </c>
      <c r="AW8" s="148">
        <v>994</v>
      </c>
      <c r="AX8" s="148">
        <v>6826</v>
      </c>
    </row>
    <row r="9" spans="1:50" s="146" customFormat="1" ht="15.75" customHeight="1">
      <c r="A9" s="358"/>
      <c r="B9" s="147" t="s">
        <v>334</v>
      </c>
      <c r="C9" s="148">
        <v>92033</v>
      </c>
      <c r="D9" s="148">
        <v>14557</v>
      </c>
      <c r="E9" s="148">
        <v>8480</v>
      </c>
      <c r="F9" s="148">
        <v>68996</v>
      </c>
      <c r="G9" s="148">
        <v>47304</v>
      </c>
      <c r="H9" s="148">
        <v>5887</v>
      </c>
      <c r="I9" s="148">
        <v>2114</v>
      </c>
      <c r="J9" s="148">
        <v>39303</v>
      </c>
      <c r="K9" s="148">
        <v>22489</v>
      </c>
      <c r="L9" s="148">
        <v>3512</v>
      </c>
      <c r="M9" s="148">
        <v>1739</v>
      </c>
      <c r="N9" s="148">
        <v>17238</v>
      </c>
      <c r="O9" s="148">
        <v>10662</v>
      </c>
      <c r="P9" s="148">
        <v>2843</v>
      </c>
      <c r="Q9" s="148">
        <v>2819</v>
      </c>
      <c r="R9" s="148">
        <v>5000</v>
      </c>
      <c r="S9" s="148">
        <v>1695</v>
      </c>
      <c r="T9" s="148">
        <v>413</v>
      </c>
      <c r="U9" s="148">
        <v>657</v>
      </c>
      <c r="V9" s="148">
        <v>625</v>
      </c>
      <c r="W9" s="148">
        <v>9883</v>
      </c>
      <c r="X9" s="148">
        <v>1902</v>
      </c>
      <c r="Y9" s="148">
        <v>1151</v>
      </c>
      <c r="Z9" s="148">
        <v>6830</v>
      </c>
      <c r="AA9" s="148">
        <v>143104</v>
      </c>
      <c r="AB9" s="148">
        <v>21951</v>
      </c>
      <c r="AC9" s="148">
        <v>11987</v>
      </c>
      <c r="AD9" s="148">
        <v>109166</v>
      </c>
      <c r="AE9" s="148">
        <v>70501</v>
      </c>
      <c r="AF9" s="148">
        <v>8345</v>
      </c>
      <c r="AG9" s="148">
        <v>2898</v>
      </c>
      <c r="AH9" s="148">
        <v>59258</v>
      </c>
      <c r="AI9" s="148">
        <v>37911</v>
      </c>
      <c r="AJ9" s="148">
        <v>5747</v>
      </c>
      <c r="AK9" s="148">
        <v>2768</v>
      </c>
      <c r="AL9" s="148">
        <v>29396</v>
      </c>
      <c r="AM9" s="148">
        <v>16529</v>
      </c>
      <c r="AN9" s="148">
        <v>4538</v>
      </c>
      <c r="AO9" s="148">
        <v>4155</v>
      </c>
      <c r="AP9" s="148">
        <v>7836</v>
      </c>
      <c r="AQ9" s="148">
        <v>2329</v>
      </c>
      <c r="AR9" s="148">
        <v>540</v>
      </c>
      <c r="AS9" s="148">
        <v>836</v>
      </c>
      <c r="AT9" s="148">
        <v>953</v>
      </c>
      <c r="AU9" s="148">
        <v>15834</v>
      </c>
      <c r="AV9" s="148">
        <v>2781</v>
      </c>
      <c r="AW9" s="148">
        <v>1330</v>
      </c>
      <c r="AX9" s="148">
        <v>11723</v>
      </c>
    </row>
    <row r="10" spans="1:50" s="18" customFormat="1" ht="15.75" customHeight="1">
      <c r="A10" s="63" t="s">
        <v>201</v>
      </c>
      <c r="B10" s="64" t="s">
        <v>223</v>
      </c>
      <c r="C10" s="67">
        <v>14571</v>
      </c>
      <c r="D10" s="67">
        <v>2047</v>
      </c>
      <c r="E10" s="67">
        <v>1721</v>
      </c>
      <c r="F10" s="67">
        <v>10803</v>
      </c>
      <c r="G10" s="67">
        <v>5921</v>
      </c>
      <c r="H10" s="67">
        <v>525</v>
      </c>
      <c r="I10" s="67">
        <v>48</v>
      </c>
      <c r="J10" s="67">
        <v>5348</v>
      </c>
      <c r="K10" s="67">
        <v>3694</v>
      </c>
      <c r="L10" s="67">
        <v>507</v>
      </c>
      <c r="M10" s="67">
        <v>378</v>
      </c>
      <c r="N10" s="67">
        <v>2809</v>
      </c>
      <c r="O10" s="67">
        <v>2759</v>
      </c>
      <c r="P10" s="67">
        <v>631</v>
      </c>
      <c r="Q10" s="67">
        <v>1038</v>
      </c>
      <c r="R10" s="67">
        <v>1090</v>
      </c>
      <c r="S10" s="67">
        <v>31</v>
      </c>
      <c r="T10" s="67">
        <v>8</v>
      </c>
      <c r="U10" s="67">
        <v>9</v>
      </c>
      <c r="V10" s="67">
        <v>14</v>
      </c>
      <c r="W10" s="67">
        <v>2166</v>
      </c>
      <c r="X10" s="67">
        <v>376</v>
      </c>
      <c r="Y10" s="67">
        <v>248</v>
      </c>
      <c r="Z10" s="67">
        <v>1542</v>
      </c>
      <c r="AA10" s="67">
        <v>28329</v>
      </c>
      <c r="AB10" s="67">
        <v>3881</v>
      </c>
      <c r="AC10" s="67">
        <v>3087</v>
      </c>
      <c r="AD10" s="67">
        <v>21361</v>
      </c>
      <c r="AE10" s="67">
        <v>9561</v>
      </c>
      <c r="AF10" s="67">
        <v>804</v>
      </c>
      <c r="AG10" s="67">
        <v>82</v>
      </c>
      <c r="AH10" s="67">
        <v>8675</v>
      </c>
      <c r="AI10" s="67">
        <v>9116</v>
      </c>
      <c r="AJ10" s="67">
        <v>1211</v>
      </c>
      <c r="AK10" s="67">
        <v>816</v>
      </c>
      <c r="AL10" s="67">
        <v>7089</v>
      </c>
      <c r="AM10" s="67">
        <v>4867</v>
      </c>
      <c r="AN10" s="67">
        <v>1148</v>
      </c>
      <c r="AO10" s="67">
        <v>1722</v>
      </c>
      <c r="AP10" s="67">
        <v>1997</v>
      </c>
      <c r="AQ10" s="67">
        <v>55</v>
      </c>
      <c r="AR10" s="67">
        <v>14</v>
      </c>
      <c r="AS10" s="67">
        <v>16</v>
      </c>
      <c r="AT10" s="67">
        <v>25</v>
      </c>
      <c r="AU10" s="67">
        <v>4730</v>
      </c>
      <c r="AV10" s="67">
        <v>704</v>
      </c>
      <c r="AW10" s="67">
        <v>451</v>
      </c>
      <c r="AX10" s="67">
        <v>3575</v>
      </c>
    </row>
    <row r="11" spans="1:50" s="18" customFormat="1" ht="15.75" customHeight="1">
      <c r="A11" s="345" t="s">
        <v>24</v>
      </c>
      <c r="B11" s="65" t="s">
        <v>224</v>
      </c>
      <c r="C11" s="68">
        <v>6245</v>
      </c>
      <c r="D11" s="68">
        <v>1028</v>
      </c>
      <c r="E11" s="68">
        <v>902</v>
      </c>
      <c r="F11" s="68">
        <v>4315</v>
      </c>
      <c r="G11" s="68">
        <v>1933</v>
      </c>
      <c r="H11" s="68">
        <v>189</v>
      </c>
      <c r="I11" s="68">
        <v>19</v>
      </c>
      <c r="J11" s="68">
        <v>1725</v>
      </c>
      <c r="K11" s="68">
        <v>1808</v>
      </c>
      <c r="L11" s="68">
        <v>262</v>
      </c>
      <c r="M11" s="68">
        <v>204</v>
      </c>
      <c r="N11" s="68">
        <v>1342</v>
      </c>
      <c r="O11" s="68">
        <v>1623</v>
      </c>
      <c r="P11" s="68">
        <v>428</v>
      </c>
      <c r="Q11" s="68">
        <v>573</v>
      </c>
      <c r="R11" s="68">
        <v>622</v>
      </c>
      <c r="S11" s="68">
        <v>13</v>
      </c>
      <c r="T11" s="68">
        <v>2</v>
      </c>
      <c r="U11" s="68">
        <v>4</v>
      </c>
      <c r="V11" s="68">
        <v>7</v>
      </c>
      <c r="W11" s="68">
        <v>868</v>
      </c>
      <c r="X11" s="68">
        <v>147</v>
      </c>
      <c r="Y11" s="68">
        <v>102</v>
      </c>
      <c r="Z11" s="68">
        <v>619</v>
      </c>
      <c r="AA11" s="68">
        <v>12182</v>
      </c>
      <c r="AB11" s="68">
        <v>1911</v>
      </c>
      <c r="AC11" s="68">
        <v>1577</v>
      </c>
      <c r="AD11" s="68">
        <v>8694</v>
      </c>
      <c r="AE11" s="68">
        <v>3363</v>
      </c>
      <c r="AF11" s="68">
        <v>304</v>
      </c>
      <c r="AG11" s="68">
        <v>32</v>
      </c>
      <c r="AH11" s="68">
        <v>3027</v>
      </c>
      <c r="AI11" s="68">
        <v>4258</v>
      </c>
      <c r="AJ11" s="68">
        <v>577</v>
      </c>
      <c r="AK11" s="68">
        <v>423</v>
      </c>
      <c r="AL11" s="68">
        <v>3258</v>
      </c>
      <c r="AM11" s="68">
        <v>2777</v>
      </c>
      <c r="AN11" s="68">
        <v>741</v>
      </c>
      <c r="AO11" s="68">
        <v>929</v>
      </c>
      <c r="AP11" s="68">
        <v>1107</v>
      </c>
      <c r="AQ11" s="68">
        <v>23</v>
      </c>
      <c r="AR11" s="68">
        <v>6</v>
      </c>
      <c r="AS11" s="68">
        <v>5</v>
      </c>
      <c r="AT11" s="68">
        <v>12</v>
      </c>
      <c r="AU11" s="68">
        <v>1761</v>
      </c>
      <c r="AV11" s="68">
        <v>283</v>
      </c>
      <c r="AW11" s="68">
        <v>188</v>
      </c>
      <c r="AX11" s="68">
        <v>1290</v>
      </c>
    </row>
    <row r="12" spans="1:50" s="18" customFormat="1" ht="15.75" customHeight="1">
      <c r="A12" s="346"/>
      <c r="B12" s="65" t="s">
        <v>225</v>
      </c>
      <c r="C12" s="68">
        <v>8326</v>
      </c>
      <c r="D12" s="68">
        <v>1019</v>
      </c>
      <c r="E12" s="68">
        <v>819</v>
      </c>
      <c r="F12" s="68">
        <v>6488</v>
      </c>
      <c r="G12" s="68">
        <v>3988</v>
      </c>
      <c r="H12" s="68">
        <v>336</v>
      </c>
      <c r="I12" s="68">
        <v>29</v>
      </c>
      <c r="J12" s="68">
        <v>3623</v>
      </c>
      <c r="K12" s="68">
        <v>1886</v>
      </c>
      <c r="L12" s="68">
        <v>245</v>
      </c>
      <c r="M12" s="68">
        <v>174</v>
      </c>
      <c r="N12" s="68">
        <v>1467</v>
      </c>
      <c r="O12" s="68">
        <v>1136</v>
      </c>
      <c r="P12" s="68">
        <v>203</v>
      </c>
      <c r="Q12" s="68">
        <v>465</v>
      </c>
      <c r="R12" s="68">
        <v>468</v>
      </c>
      <c r="S12" s="68">
        <v>18</v>
      </c>
      <c r="T12" s="68">
        <v>6</v>
      </c>
      <c r="U12" s="68">
        <v>5</v>
      </c>
      <c r="V12" s="68">
        <v>7</v>
      </c>
      <c r="W12" s="68">
        <v>1298</v>
      </c>
      <c r="X12" s="68">
        <v>229</v>
      </c>
      <c r="Y12" s="68">
        <v>146</v>
      </c>
      <c r="Z12" s="68">
        <v>923</v>
      </c>
      <c r="AA12" s="68">
        <v>16147</v>
      </c>
      <c r="AB12" s="68">
        <v>1970</v>
      </c>
      <c r="AC12" s="68">
        <v>1510</v>
      </c>
      <c r="AD12" s="68">
        <v>12667</v>
      </c>
      <c r="AE12" s="68">
        <v>6198</v>
      </c>
      <c r="AF12" s="68">
        <v>500</v>
      </c>
      <c r="AG12" s="68">
        <v>50</v>
      </c>
      <c r="AH12" s="68">
        <v>5648</v>
      </c>
      <c r="AI12" s="68">
        <v>4858</v>
      </c>
      <c r="AJ12" s="68">
        <v>634</v>
      </c>
      <c r="AK12" s="68">
        <v>393</v>
      </c>
      <c r="AL12" s="68">
        <v>3831</v>
      </c>
      <c r="AM12" s="68">
        <v>2090</v>
      </c>
      <c r="AN12" s="68">
        <v>407</v>
      </c>
      <c r="AO12" s="68">
        <v>793</v>
      </c>
      <c r="AP12" s="68">
        <v>890</v>
      </c>
      <c r="AQ12" s="68">
        <v>32</v>
      </c>
      <c r="AR12" s="68">
        <v>8</v>
      </c>
      <c r="AS12" s="68">
        <v>11</v>
      </c>
      <c r="AT12" s="68">
        <v>13</v>
      </c>
      <c r="AU12" s="68">
        <v>2969</v>
      </c>
      <c r="AV12" s="68">
        <v>421</v>
      </c>
      <c r="AW12" s="68">
        <v>263</v>
      </c>
      <c r="AX12" s="68">
        <v>2285</v>
      </c>
    </row>
    <row r="13" spans="1:50" s="18" customFormat="1" ht="15.75" customHeight="1">
      <c r="A13" s="63" t="s">
        <v>202</v>
      </c>
      <c r="B13" s="64" t="s">
        <v>223</v>
      </c>
      <c r="C13" s="67">
        <v>8626</v>
      </c>
      <c r="D13" s="67">
        <v>1593</v>
      </c>
      <c r="E13" s="67">
        <v>281</v>
      </c>
      <c r="F13" s="67">
        <v>6752</v>
      </c>
      <c r="G13" s="67">
        <v>3776</v>
      </c>
      <c r="H13" s="67">
        <v>466</v>
      </c>
      <c r="I13" s="67">
        <v>23</v>
      </c>
      <c r="J13" s="67">
        <v>3287</v>
      </c>
      <c r="K13" s="67">
        <v>2137</v>
      </c>
      <c r="L13" s="67">
        <v>388</v>
      </c>
      <c r="M13" s="67">
        <v>74</v>
      </c>
      <c r="N13" s="67">
        <v>1675</v>
      </c>
      <c r="O13" s="67">
        <v>1107</v>
      </c>
      <c r="P13" s="67">
        <v>436</v>
      </c>
      <c r="Q13" s="67">
        <v>110</v>
      </c>
      <c r="R13" s="67">
        <v>561</v>
      </c>
      <c r="S13" s="67">
        <v>6</v>
      </c>
      <c r="T13" s="67">
        <v>2</v>
      </c>
      <c r="U13" s="67">
        <v>1</v>
      </c>
      <c r="V13" s="67">
        <v>3</v>
      </c>
      <c r="W13" s="67">
        <v>1600</v>
      </c>
      <c r="X13" s="67">
        <v>301</v>
      </c>
      <c r="Y13" s="67">
        <v>73</v>
      </c>
      <c r="Z13" s="67">
        <v>1226</v>
      </c>
      <c r="AA13" s="67">
        <v>19572</v>
      </c>
      <c r="AB13" s="67">
        <v>3499</v>
      </c>
      <c r="AC13" s="67">
        <v>592</v>
      </c>
      <c r="AD13" s="67">
        <v>15481</v>
      </c>
      <c r="AE13" s="67">
        <v>8572</v>
      </c>
      <c r="AF13" s="67">
        <v>1047</v>
      </c>
      <c r="AG13" s="67">
        <v>51</v>
      </c>
      <c r="AH13" s="67">
        <v>7474</v>
      </c>
      <c r="AI13" s="67">
        <v>4939</v>
      </c>
      <c r="AJ13" s="67">
        <v>866</v>
      </c>
      <c r="AK13" s="67">
        <v>166</v>
      </c>
      <c r="AL13" s="67">
        <v>3907</v>
      </c>
      <c r="AM13" s="67">
        <v>2376</v>
      </c>
      <c r="AN13" s="67">
        <v>915</v>
      </c>
      <c r="AO13" s="67">
        <v>234</v>
      </c>
      <c r="AP13" s="67">
        <v>1227</v>
      </c>
      <c r="AQ13" s="67">
        <v>12</v>
      </c>
      <c r="AR13" s="67">
        <v>4</v>
      </c>
      <c r="AS13" s="67">
        <v>2</v>
      </c>
      <c r="AT13" s="67">
        <v>6</v>
      </c>
      <c r="AU13" s="67">
        <v>3673</v>
      </c>
      <c r="AV13" s="67">
        <v>667</v>
      </c>
      <c r="AW13" s="67">
        <v>139</v>
      </c>
      <c r="AX13" s="67">
        <v>2867</v>
      </c>
    </row>
    <row r="14" spans="1:50" s="18" customFormat="1" ht="15.75" customHeight="1">
      <c r="A14" s="345" t="s">
        <v>25</v>
      </c>
      <c r="B14" s="65" t="s">
        <v>224</v>
      </c>
      <c r="C14" s="68">
        <v>3549</v>
      </c>
      <c r="D14" s="68">
        <v>807</v>
      </c>
      <c r="E14" s="68">
        <v>148</v>
      </c>
      <c r="F14" s="68">
        <v>2594</v>
      </c>
      <c r="G14" s="68">
        <v>1249</v>
      </c>
      <c r="H14" s="68">
        <v>196</v>
      </c>
      <c r="I14" s="68">
        <v>10</v>
      </c>
      <c r="J14" s="68">
        <v>1043</v>
      </c>
      <c r="K14" s="68">
        <v>1050</v>
      </c>
      <c r="L14" s="68">
        <v>216</v>
      </c>
      <c r="M14" s="68">
        <v>37</v>
      </c>
      <c r="N14" s="68">
        <v>797</v>
      </c>
      <c r="O14" s="68">
        <v>653</v>
      </c>
      <c r="P14" s="68">
        <v>277</v>
      </c>
      <c r="Q14" s="68">
        <v>65</v>
      </c>
      <c r="R14" s="68">
        <v>311</v>
      </c>
      <c r="S14" s="68">
        <v>1</v>
      </c>
      <c r="T14" s="68">
        <v>0</v>
      </c>
      <c r="U14" s="68">
        <v>0</v>
      </c>
      <c r="V14" s="68">
        <v>1</v>
      </c>
      <c r="W14" s="68">
        <v>596</v>
      </c>
      <c r="X14" s="68">
        <v>118</v>
      </c>
      <c r="Y14" s="68">
        <v>36</v>
      </c>
      <c r="Z14" s="68">
        <v>442</v>
      </c>
      <c r="AA14" s="68">
        <v>8254</v>
      </c>
      <c r="AB14" s="68">
        <v>1818</v>
      </c>
      <c r="AC14" s="68">
        <v>292</v>
      </c>
      <c r="AD14" s="68">
        <v>6144</v>
      </c>
      <c r="AE14" s="68">
        <v>2983</v>
      </c>
      <c r="AF14" s="68">
        <v>479</v>
      </c>
      <c r="AG14" s="68">
        <v>18</v>
      </c>
      <c r="AH14" s="68">
        <v>2486</v>
      </c>
      <c r="AI14" s="68">
        <v>2443</v>
      </c>
      <c r="AJ14" s="68">
        <v>479</v>
      </c>
      <c r="AK14" s="68">
        <v>77</v>
      </c>
      <c r="AL14" s="68">
        <v>1887</v>
      </c>
      <c r="AM14" s="68">
        <v>1383</v>
      </c>
      <c r="AN14" s="68">
        <v>573</v>
      </c>
      <c r="AO14" s="68">
        <v>132</v>
      </c>
      <c r="AP14" s="68">
        <v>678</v>
      </c>
      <c r="AQ14" s="68">
        <v>2</v>
      </c>
      <c r="AR14" s="68">
        <v>1</v>
      </c>
      <c r="AS14" s="68">
        <v>0</v>
      </c>
      <c r="AT14" s="68">
        <v>1</v>
      </c>
      <c r="AU14" s="68">
        <v>1443</v>
      </c>
      <c r="AV14" s="68">
        <v>286</v>
      </c>
      <c r="AW14" s="68">
        <v>65</v>
      </c>
      <c r="AX14" s="68">
        <v>1092</v>
      </c>
    </row>
    <row r="15" spans="1:50" s="18" customFormat="1" ht="15.75" customHeight="1">
      <c r="A15" s="346"/>
      <c r="B15" s="65" t="s">
        <v>225</v>
      </c>
      <c r="C15" s="68">
        <v>5077</v>
      </c>
      <c r="D15" s="68">
        <v>786</v>
      </c>
      <c r="E15" s="68">
        <v>133</v>
      </c>
      <c r="F15" s="68">
        <v>4158</v>
      </c>
      <c r="G15" s="68">
        <v>2527</v>
      </c>
      <c r="H15" s="68">
        <v>270</v>
      </c>
      <c r="I15" s="68">
        <v>13</v>
      </c>
      <c r="J15" s="68">
        <v>2244</v>
      </c>
      <c r="K15" s="68">
        <v>1087</v>
      </c>
      <c r="L15" s="68">
        <v>172</v>
      </c>
      <c r="M15" s="68">
        <v>37</v>
      </c>
      <c r="N15" s="68">
        <v>878</v>
      </c>
      <c r="O15" s="68">
        <v>454</v>
      </c>
      <c r="P15" s="68">
        <v>159</v>
      </c>
      <c r="Q15" s="68">
        <v>45</v>
      </c>
      <c r="R15" s="68">
        <v>250</v>
      </c>
      <c r="S15" s="68">
        <v>5</v>
      </c>
      <c r="T15" s="68">
        <v>2</v>
      </c>
      <c r="U15" s="68">
        <v>1</v>
      </c>
      <c r="V15" s="68">
        <v>2</v>
      </c>
      <c r="W15" s="68">
        <v>1004</v>
      </c>
      <c r="X15" s="68">
        <v>183</v>
      </c>
      <c r="Y15" s="68">
        <v>37</v>
      </c>
      <c r="Z15" s="68">
        <v>784</v>
      </c>
      <c r="AA15" s="68">
        <v>11318</v>
      </c>
      <c r="AB15" s="68">
        <v>1681</v>
      </c>
      <c r="AC15" s="68">
        <v>300</v>
      </c>
      <c r="AD15" s="68">
        <v>9337</v>
      </c>
      <c r="AE15" s="68">
        <v>5589</v>
      </c>
      <c r="AF15" s="68">
        <v>568</v>
      </c>
      <c r="AG15" s="68">
        <v>33</v>
      </c>
      <c r="AH15" s="68">
        <v>4988</v>
      </c>
      <c r="AI15" s="68">
        <v>2496</v>
      </c>
      <c r="AJ15" s="68">
        <v>387</v>
      </c>
      <c r="AK15" s="68">
        <v>89</v>
      </c>
      <c r="AL15" s="68">
        <v>2020</v>
      </c>
      <c r="AM15" s="68">
        <v>993</v>
      </c>
      <c r="AN15" s="68">
        <v>342</v>
      </c>
      <c r="AO15" s="68">
        <v>102</v>
      </c>
      <c r="AP15" s="68">
        <v>549</v>
      </c>
      <c r="AQ15" s="68">
        <v>10</v>
      </c>
      <c r="AR15" s="68">
        <v>3</v>
      </c>
      <c r="AS15" s="68">
        <v>2</v>
      </c>
      <c r="AT15" s="68">
        <v>5</v>
      </c>
      <c r="AU15" s="68">
        <v>2230</v>
      </c>
      <c r="AV15" s="68">
        <v>381</v>
      </c>
      <c r="AW15" s="68">
        <v>74</v>
      </c>
      <c r="AX15" s="68">
        <v>1775</v>
      </c>
    </row>
    <row r="16" spans="1:50" s="18" customFormat="1" ht="15.75" customHeight="1">
      <c r="A16" s="63" t="s">
        <v>203</v>
      </c>
      <c r="B16" s="64" t="s">
        <v>223</v>
      </c>
      <c r="C16" s="67">
        <v>9126</v>
      </c>
      <c r="D16" s="67">
        <v>1662</v>
      </c>
      <c r="E16" s="67">
        <v>1231</v>
      </c>
      <c r="F16" s="67">
        <v>6233</v>
      </c>
      <c r="G16" s="67">
        <v>3932</v>
      </c>
      <c r="H16" s="67">
        <v>516</v>
      </c>
      <c r="I16" s="67">
        <v>99</v>
      </c>
      <c r="J16" s="67">
        <v>3317</v>
      </c>
      <c r="K16" s="67">
        <v>2165</v>
      </c>
      <c r="L16" s="67">
        <v>374</v>
      </c>
      <c r="M16" s="67">
        <v>252</v>
      </c>
      <c r="N16" s="67">
        <v>1539</v>
      </c>
      <c r="O16" s="67">
        <v>1723</v>
      </c>
      <c r="P16" s="67">
        <v>500</v>
      </c>
      <c r="Q16" s="67">
        <v>663</v>
      </c>
      <c r="R16" s="67">
        <v>560</v>
      </c>
      <c r="S16" s="67">
        <v>96</v>
      </c>
      <c r="T16" s="67">
        <v>28</v>
      </c>
      <c r="U16" s="67">
        <v>27</v>
      </c>
      <c r="V16" s="67">
        <v>41</v>
      </c>
      <c r="W16" s="67">
        <v>1210</v>
      </c>
      <c r="X16" s="67">
        <v>244</v>
      </c>
      <c r="Y16" s="67">
        <v>190</v>
      </c>
      <c r="Z16" s="67">
        <v>776</v>
      </c>
      <c r="AA16" s="67">
        <v>10849</v>
      </c>
      <c r="AB16" s="67">
        <v>1851</v>
      </c>
      <c r="AC16" s="67">
        <v>1364</v>
      </c>
      <c r="AD16" s="67">
        <v>7634</v>
      </c>
      <c r="AE16" s="67">
        <v>4818</v>
      </c>
      <c r="AF16" s="67">
        <v>595</v>
      </c>
      <c r="AG16" s="67">
        <v>117</v>
      </c>
      <c r="AH16" s="67">
        <v>4106</v>
      </c>
      <c r="AI16" s="67">
        <v>2581</v>
      </c>
      <c r="AJ16" s="67">
        <v>417</v>
      </c>
      <c r="AK16" s="67">
        <v>278</v>
      </c>
      <c r="AL16" s="67">
        <v>1886</v>
      </c>
      <c r="AM16" s="67">
        <v>1911</v>
      </c>
      <c r="AN16" s="67">
        <v>532</v>
      </c>
      <c r="AO16" s="67">
        <v>725</v>
      </c>
      <c r="AP16" s="67">
        <v>654</v>
      </c>
      <c r="AQ16" s="67">
        <v>105</v>
      </c>
      <c r="AR16" s="67">
        <v>28</v>
      </c>
      <c r="AS16" s="67">
        <v>31</v>
      </c>
      <c r="AT16" s="67">
        <v>46</v>
      </c>
      <c r="AU16" s="67">
        <v>1434</v>
      </c>
      <c r="AV16" s="67">
        <v>279</v>
      </c>
      <c r="AW16" s="67">
        <v>213</v>
      </c>
      <c r="AX16" s="67">
        <v>942</v>
      </c>
    </row>
    <row r="17" spans="1:50" s="18" customFormat="1" ht="15.75" customHeight="1">
      <c r="A17" s="345" t="s">
        <v>49</v>
      </c>
      <c r="B17" s="65" t="s">
        <v>224</v>
      </c>
      <c r="C17" s="68">
        <v>4048</v>
      </c>
      <c r="D17" s="68">
        <v>863</v>
      </c>
      <c r="E17" s="68">
        <v>645</v>
      </c>
      <c r="F17" s="68">
        <v>2540</v>
      </c>
      <c r="G17" s="68">
        <v>1471</v>
      </c>
      <c r="H17" s="68">
        <v>214</v>
      </c>
      <c r="I17" s="68">
        <v>49</v>
      </c>
      <c r="J17" s="68">
        <v>1208</v>
      </c>
      <c r="K17" s="68">
        <v>1037</v>
      </c>
      <c r="L17" s="68">
        <v>187</v>
      </c>
      <c r="M17" s="68">
        <v>132</v>
      </c>
      <c r="N17" s="68">
        <v>718</v>
      </c>
      <c r="O17" s="68">
        <v>1004</v>
      </c>
      <c r="P17" s="68">
        <v>324</v>
      </c>
      <c r="Q17" s="68">
        <v>376</v>
      </c>
      <c r="R17" s="68">
        <v>304</v>
      </c>
      <c r="S17" s="68">
        <v>46</v>
      </c>
      <c r="T17" s="68">
        <v>22</v>
      </c>
      <c r="U17" s="68">
        <v>11</v>
      </c>
      <c r="V17" s="68">
        <v>13</v>
      </c>
      <c r="W17" s="68">
        <v>490</v>
      </c>
      <c r="X17" s="68">
        <v>116</v>
      </c>
      <c r="Y17" s="68">
        <v>77</v>
      </c>
      <c r="Z17" s="68">
        <v>297</v>
      </c>
      <c r="AA17" s="68">
        <v>4875</v>
      </c>
      <c r="AB17" s="68">
        <v>974</v>
      </c>
      <c r="AC17" s="68">
        <v>719</v>
      </c>
      <c r="AD17" s="68">
        <v>3182</v>
      </c>
      <c r="AE17" s="68">
        <v>1842</v>
      </c>
      <c r="AF17" s="68">
        <v>246</v>
      </c>
      <c r="AG17" s="68">
        <v>57</v>
      </c>
      <c r="AH17" s="68">
        <v>1539</v>
      </c>
      <c r="AI17" s="68">
        <v>1254</v>
      </c>
      <c r="AJ17" s="68">
        <v>220</v>
      </c>
      <c r="AK17" s="68">
        <v>150</v>
      </c>
      <c r="AL17" s="68">
        <v>884</v>
      </c>
      <c r="AM17" s="68">
        <v>1126</v>
      </c>
      <c r="AN17" s="68">
        <v>350</v>
      </c>
      <c r="AO17" s="68">
        <v>408</v>
      </c>
      <c r="AP17" s="68">
        <v>368</v>
      </c>
      <c r="AQ17" s="68">
        <v>49</v>
      </c>
      <c r="AR17" s="68">
        <v>22</v>
      </c>
      <c r="AS17" s="68">
        <v>12</v>
      </c>
      <c r="AT17" s="68">
        <v>15</v>
      </c>
      <c r="AU17" s="68">
        <v>604</v>
      </c>
      <c r="AV17" s="68">
        <v>136</v>
      </c>
      <c r="AW17" s="68">
        <v>92</v>
      </c>
      <c r="AX17" s="68">
        <v>376</v>
      </c>
    </row>
    <row r="18" spans="1:50" s="18" customFormat="1" ht="15.75" customHeight="1">
      <c r="A18" s="346"/>
      <c r="B18" s="65" t="s">
        <v>225</v>
      </c>
      <c r="C18" s="68">
        <v>5078</v>
      </c>
      <c r="D18" s="68">
        <v>799</v>
      </c>
      <c r="E18" s="68">
        <v>586</v>
      </c>
      <c r="F18" s="68">
        <v>3693</v>
      </c>
      <c r="G18" s="68">
        <v>2461</v>
      </c>
      <c r="H18" s="68">
        <v>302</v>
      </c>
      <c r="I18" s="68">
        <v>50</v>
      </c>
      <c r="J18" s="68">
        <v>2109</v>
      </c>
      <c r="K18" s="68">
        <v>1128</v>
      </c>
      <c r="L18" s="68">
        <v>187</v>
      </c>
      <c r="M18" s="68">
        <v>120</v>
      </c>
      <c r="N18" s="68">
        <v>821</v>
      </c>
      <c r="O18" s="68">
        <v>719</v>
      </c>
      <c r="P18" s="68">
        <v>176</v>
      </c>
      <c r="Q18" s="68">
        <v>287</v>
      </c>
      <c r="R18" s="68">
        <v>256</v>
      </c>
      <c r="S18" s="68">
        <v>50</v>
      </c>
      <c r="T18" s="68">
        <v>6</v>
      </c>
      <c r="U18" s="68">
        <v>16</v>
      </c>
      <c r="V18" s="68">
        <v>28</v>
      </c>
      <c r="W18" s="68">
        <v>720</v>
      </c>
      <c r="X18" s="68">
        <v>128</v>
      </c>
      <c r="Y18" s="68">
        <v>113</v>
      </c>
      <c r="Z18" s="68">
        <v>479</v>
      </c>
      <c r="AA18" s="68">
        <v>5974</v>
      </c>
      <c r="AB18" s="68">
        <v>877</v>
      </c>
      <c r="AC18" s="68">
        <v>645</v>
      </c>
      <c r="AD18" s="68">
        <v>4452</v>
      </c>
      <c r="AE18" s="68">
        <v>2976</v>
      </c>
      <c r="AF18" s="68">
        <v>349</v>
      </c>
      <c r="AG18" s="68">
        <v>60</v>
      </c>
      <c r="AH18" s="68">
        <v>2567</v>
      </c>
      <c r="AI18" s="68">
        <v>1327</v>
      </c>
      <c r="AJ18" s="68">
        <v>197</v>
      </c>
      <c r="AK18" s="68">
        <v>128</v>
      </c>
      <c r="AL18" s="68">
        <v>1002</v>
      </c>
      <c r="AM18" s="68">
        <v>785</v>
      </c>
      <c r="AN18" s="68">
        <v>182</v>
      </c>
      <c r="AO18" s="68">
        <v>317</v>
      </c>
      <c r="AP18" s="68">
        <v>286</v>
      </c>
      <c r="AQ18" s="68">
        <v>56</v>
      </c>
      <c r="AR18" s="68">
        <v>6</v>
      </c>
      <c r="AS18" s="68">
        <v>19</v>
      </c>
      <c r="AT18" s="68">
        <v>31</v>
      </c>
      <c r="AU18" s="68">
        <v>830</v>
      </c>
      <c r="AV18" s="68">
        <v>143</v>
      </c>
      <c r="AW18" s="68">
        <v>121</v>
      </c>
      <c r="AX18" s="68">
        <v>566</v>
      </c>
    </row>
    <row r="19" spans="1:50" s="18" customFormat="1" ht="15.75" customHeight="1">
      <c r="A19" s="63" t="s">
        <v>204</v>
      </c>
      <c r="B19" s="64" t="s">
        <v>223</v>
      </c>
      <c r="C19" s="67">
        <v>19564</v>
      </c>
      <c r="D19" s="67">
        <v>5415</v>
      </c>
      <c r="E19" s="67">
        <v>1174</v>
      </c>
      <c r="F19" s="67">
        <v>12975</v>
      </c>
      <c r="G19" s="67">
        <v>8129</v>
      </c>
      <c r="H19" s="67">
        <v>1155</v>
      </c>
      <c r="I19" s="67">
        <v>175</v>
      </c>
      <c r="J19" s="67">
        <v>6799</v>
      </c>
      <c r="K19" s="67">
        <v>5145</v>
      </c>
      <c r="L19" s="67">
        <v>1363</v>
      </c>
      <c r="M19" s="67">
        <v>387</v>
      </c>
      <c r="N19" s="67">
        <v>3395</v>
      </c>
      <c r="O19" s="67">
        <v>3568</v>
      </c>
      <c r="P19" s="67">
        <v>2020</v>
      </c>
      <c r="Q19" s="67">
        <v>424</v>
      </c>
      <c r="R19" s="67">
        <v>1124</v>
      </c>
      <c r="S19" s="67">
        <v>73</v>
      </c>
      <c r="T19" s="67">
        <v>35</v>
      </c>
      <c r="U19" s="67">
        <v>15</v>
      </c>
      <c r="V19" s="67">
        <v>23</v>
      </c>
      <c r="W19" s="67">
        <v>2649</v>
      </c>
      <c r="X19" s="67">
        <v>842</v>
      </c>
      <c r="Y19" s="67">
        <v>173</v>
      </c>
      <c r="Z19" s="67">
        <v>1634</v>
      </c>
      <c r="AA19" s="67">
        <v>42645</v>
      </c>
      <c r="AB19" s="67">
        <v>11324</v>
      </c>
      <c r="AC19" s="67">
        <v>2409</v>
      </c>
      <c r="AD19" s="67">
        <v>28912</v>
      </c>
      <c r="AE19" s="67">
        <v>17883</v>
      </c>
      <c r="AF19" s="67">
        <v>2450</v>
      </c>
      <c r="AG19" s="67">
        <v>359</v>
      </c>
      <c r="AH19" s="67">
        <v>15074</v>
      </c>
      <c r="AI19" s="67">
        <v>11410</v>
      </c>
      <c r="AJ19" s="67">
        <v>2895</v>
      </c>
      <c r="AK19" s="67">
        <v>799</v>
      </c>
      <c r="AL19" s="67">
        <v>7716</v>
      </c>
      <c r="AM19" s="67">
        <v>7395</v>
      </c>
      <c r="AN19" s="67">
        <v>4126</v>
      </c>
      <c r="AO19" s="67">
        <v>852</v>
      </c>
      <c r="AP19" s="67">
        <v>2417</v>
      </c>
      <c r="AQ19" s="67">
        <v>149</v>
      </c>
      <c r="AR19" s="67">
        <v>67</v>
      </c>
      <c r="AS19" s="67">
        <v>26</v>
      </c>
      <c r="AT19" s="67">
        <v>56</v>
      </c>
      <c r="AU19" s="67">
        <v>5808</v>
      </c>
      <c r="AV19" s="67">
        <v>1786</v>
      </c>
      <c r="AW19" s="67">
        <v>373</v>
      </c>
      <c r="AX19" s="67">
        <v>3649</v>
      </c>
    </row>
    <row r="20" spans="1:50" s="18" customFormat="1" ht="15.75" customHeight="1">
      <c r="A20" s="345" t="s">
        <v>26</v>
      </c>
      <c r="B20" s="65" t="s">
        <v>224</v>
      </c>
      <c r="C20" s="68">
        <v>8341</v>
      </c>
      <c r="D20" s="68">
        <v>2771</v>
      </c>
      <c r="E20" s="68">
        <v>566</v>
      </c>
      <c r="F20" s="68">
        <v>5004</v>
      </c>
      <c r="G20" s="68">
        <v>2674</v>
      </c>
      <c r="H20" s="68">
        <v>439</v>
      </c>
      <c r="I20" s="68">
        <v>54</v>
      </c>
      <c r="J20" s="68">
        <v>2181</v>
      </c>
      <c r="K20" s="68">
        <v>2504</v>
      </c>
      <c r="L20" s="68">
        <v>697</v>
      </c>
      <c r="M20" s="68">
        <v>196</v>
      </c>
      <c r="N20" s="68">
        <v>1611</v>
      </c>
      <c r="O20" s="68">
        <v>2057</v>
      </c>
      <c r="P20" s="68">
        <v>1232</v>
      </c>
      <c r="Q20" s="68">
        <v>235</v>
      </c>
      <c r="R20" s="68">
        <v>590</v>
      </c>
      <c r="S20" s="68">
        <v>39</v>
      </c>
      <c r="T20" s="68">
        <v>20</v>
      </c>
      <c r="U20" s="68">
        <v>9</v>
      </c>
      <c r="V20" s="68">
        <v>10</v>
      </c>
      <c r="W20" s="68">
        <v>1067</v>
      </c>
      <c r="X20" s="68">
        <v>383</v>
      </c>
      <c r="Y20" s="68">
        <v>72</v>
      </c>
      <c r="Z20" s="68">
        <v>612</v>
      </c>
      <c r="AA20" s="68">
        <v>18379</v>
      </c>
      <c r="AB20" s="68">
        <v>5812</v>
      </c>
      <c r="AC20" s="68">
        <v>1169</v>
      </c>
      <c r="AD20" s="68">
        <v>11398</v>
      </c>
      <c r="AE20" s="68">
        <v>6035</v>
      </c>
      <c r="AF20" s="68">
        <v>936</v>
      </c>
      <c r="AG20" s="68">
        <v>111</v>
      </c>
      <c r="AH20" s="68">
        <v>4988</v>
      </c>
      <c r="AI20" s="68">
        <v>5625</v>
      </c>
      <c r="AJ20" s="68">
        <v>1504</v>
      </c>
      <c r="AK20" s="68">
        <v>410</v>
      </c>
      <c r="AL20" s="68">
        <v>3711</v>
      </c>
      <c r="AM20" s="68">
        <v>4267</v>
      </c>
      <c r="AN20" s="68">
        <v>2505</v>
      </c>
      <c r="AO20" s="68">
        <v>470</v>
      </c>
      <c r="AP20" s="68">
        <v>1292</v>
      </c>
      <c r="AQ20" s="68">
        <v>79</v>
      </c>
      <c r="AR20" s="68">
        <v>37</v>
      </c>
      <c r="AS20" s="68">
        <v>15</v>
      </c>
      <c r="AT20" s="68">
        <v>27</v>
      </c>
      <c r="AU20" s="68">
        <v>2373</v>
      </c>
      <c r="AV20" s="68">
        <v>830</v>
      </c>
      <c r="AW20" s="68">
        <v>163</v>
      </c>
      <c r="AX20" s="68">
        <v>1380</v>
      </c>
    </row>
    <row r="21" spans="1:50" s="18" customFormat="1" ht="15.75" customHeight="1">
      <c r="A21" s="346"/>
      <c r="B21" s="65" t="s">
        <v>225</v>
      </c>
      <c r="C21" s="68">
        <v>11223</v>
      </c>
      <c r="D21" s="68">
        <v>2644</v>
      </c>
      <c r="E21" s="68">
        <v>608</v>
      </c>
      <c r="F21" s="68">
        <v>7971</v>
      </c>
      <c r="G21" s="68">
        <v>5455</v>
      </c>
      <c r="H21" s="68">
        <v>716</v>
      </c>
      <c r="I21" s="68">
        <v>121</v>
      </c>
      <c r="J21" s="68">
        <v>4618</v>
      </c>
      <c r="K21" s="68">
        <v>2641</v>
      </c>
      <c r="L21" s="68">
        <v>666</v>
      </c>
      <c r="M21" s="68">
        <v>191</v>
      </c>
      <c r="N21" s="68">
        <v>1784</v>
      </c>
      <c r="O21" s="68">
        <v>1511</v>
      </c>
      <c r="P21" s="68">
        <v>788</v>
      </c>
      <c r="Q21" s="68">
        <v>189</v>
      </c>
      <c r="R21" s="68">
        <v>534</v>
      </c>
      <c r="S21" s="68">
        <v>34</v>
      </c>
      <c r="T21" s="68">
        <v>15</v>
      </c>
      <c r="U21" s="68">
        <v>6</v>
      </c>
      <c r="V21" s="68">
        <v>13</v>
      </c>
      <c r="W21" s="68">
        <v>1582</v>
      </c>
      <c r="X21" s="68">
        <v>459</v>
      </c>
      <c r="Y21" s="68">
        <v>101</v>
      </c>
      <c r="Z21" s="68">
        <v>1022</v>
      </c>
      <c r="AA21" s="68">
        <v>24266</v>
      </c>
      <c r="AB21" s="68">
        <v>5512</v>
      </c>
      <c r="AC21" s="68">
        <v>1240</v>
      </c>
      <c r="AD21" s="68">
        <v>17514</v>
      </c>
      <c r="AE21" s="68">
        <v>11848</v>
      </c>
      <c r="AF21" s="68">
        <v>1514</v>
      </c>
      <c r="AG21" s="68">
        <v>248</v>
      </c>
      <c r="AH21" s="68">
        <v>10086</v>
      </c>
      <c r="AI21" s="68">
        <v>5785</v>
      </c>
      <c r="AJ21" s="68">
        <v>1391</v>
      </c>
      <c r="AK21" s="68">
        <v>389</v>
      </c>
      <c r="AL21" s="68">
        <v>4005</v>
      </c>
      <c r="AM21" s="68">
        <v>3128</v>
      </c>
      <c r="AN21" s="68">
        <v>1621</v>
      </c>
      <c r="AO21" s="68">
        <v>382</v>
      </c>
      <c r="AP21" s="68">
        <v>1125</v>
      </c>
      <c r="AQ21" s="68">
        <v>70</v>
      </c>
      <c r="AR21" s="68">
        <v>30</v>
      </c>
      <c r="AS21" s="68">
        <v>11</v>
      </c>
      <c r="AT21" s="68">
        <v>29</v>
      </c>
      <c r="AU21" s="68">
        <v>3435</v>
      </c>
      <c r="AV21" s="68">
        <v>956</v>
      </c>
      <c r="AW21" s="68">
        <v>210</v>
      </c>
      <c r="AX21" s="68">
        <v>2269</v>
      </c>
    </row>
    <row r="22" spans="1:50" s="18" customFormat="1" ht="15.75" customHeight="1">
      <c r="A22" s="63" t="s">
        <v>205</v>
      </c>
      <c r="B22" s="64" t="s">
        <v>223</v>
      </c>
      <c r="C22" s="67">
        <v>13615</v>
      </c>
      <c r="D22" s="67">
        <v>2002</v>
      </c>
      <c r="E22" s="67">
        <v>1701</v>
      </c>
      <c r="F22" s="67">
        <v>9912</v>
      </c>
      <c r="G22" s="67">
        <v>6261</v>
      </c>
      <c r="H22" s="67">
        <v>639</v>
      </c>
      <c r="I22" s="67">
        <v>112</v>
      </c>
      <c r="J22" s="67">
        <v>5510</v>
      </c>
      <c r="K22" s="67">
        <v>3589</v>
      </c>
      <c r="L22" s="67">
        <v>491</v>
      </c>
      <c r="M22" s="67">
        <v>495</v>
      </c>
      <c r="N22" s="67">
        <v>2603</v>
      </c>
      <c r="O22" s="67">
        <v>1835</v>
      </c>
      <c r="P22" s="67">
        <v>498</v>
      </c>
      <c r="Q22" s="67">
        <v>812</v>
      </c>
      <c r="R22" s="67">
        <v>525</v>
      </c>
      <c r="S22" s="67">
        <v>10</v>
      </c>
      <c r="T22" s="67">
        <v>3</v>
      </c>
      <c r="U22" s="67">
        <v>2</v>
      </c>
      <c r="V22" s="67">
        <v>5</v>
      </c>
      <c r="W22" s="67">
        <v>1920</v>
      </c>
      <c r="X22" s="67">
        <v>371</v>
      </c>
      <c r="Y22" s="67">
        <v>280</v>
      </c>
      <c r="Z22" s="67">
        <v>1269</v>
      </c>
      <c r="AA22" s="67">
        <v>22906</v>
      </c>
      <c r="AB22" s="67">
        <v>3205</v>
      </c>
      <c r="AC22" s="67">
        <v>2642</v>
      </c>
      <c r="AD22" s="67">
        <v>17059</v>
      </c>
      <c r="AE22" s="67">
        <v>9339</v>
      </c>
      <c r="AF22" s="67">
        <v>946</v>
      </c>
      <c r="AG22" s="67">
        <v>168</v>
      </c>
      <c r="AH22" s="67">
        <v>8225</v>
      </c>
      <c r="AI22" s="67">
        <v>7807</v>
      </c>
      <c r="AJ22" s="67">
        <v>1090</v>
      </c>
      <c r="AK22" s="67">
        <v>961</v>
      </c>
      <c r="AL22" s="67">
        <v>5756</v>
      </c>
      <c r="AM22" s="67">
        <v>2997</v>
      </c>
      <c r="AN22" s="67">
        <v>877</v>
      </c>
      <c r="AO22" s="67">
        <v>1290</v>
      </c>
      <c r="AP22" s="67">
        <v>830</v>
      </c>
      <c r="AQ22" s="67">
        <v>16</v>
      </c>
      <c r="AR22" s="67">
        <v>5</v>
      </c>
      <c r="AS22" s="67">
        <v>4</v>
      </c>
      <c r="AT22" s="67">
        <v>7</v>
      </c>
      <c r="AU22" s="67">
        <v>2747</v>
      </c>
      <c r="AV22" s="67">
        <v>287</v>
      </c>
      <c r="AW22" s="67">
        <v>219</v>
      </c>
      <c r="AX22" s="67">
        <v>2241</v>
      </c>
    </row>
    <row r="23" spans="1:50" s="18" customFormat="1" ht="15.75" customHeight="1">
      <c r="A23" s="345" t="s">
        <v>27</v>
      </c>
      <c r="B23" s="65" t="s">
        <v>224</v>
      </c>
      <c r="C23" s="68">
        <v>5439</v>
      </c>
      <c r="D23" s="68">
        <v>1023</v>
      </c>
      <c r="E23" s="68">
        <v>835</v>
      </c>
      <c r="F23" s="68">
        <v>3581</v>
      </c>
      <c r="G23" s="68">
        <v>2064</v>
      </c>
      <c r="H23" s="68">
        <v>240</v>
      </c>
      <c r="I23" s="68">
        <v>29</v>
      </c>
      <c r="J23" s="68">
        <v>1795</v>
      </c>
      <c r="K23" s="68">
        <v>1564</v>
      </c>
      <c r="L23" s="68">
        <v>249</v>
      </c>
      <c r="M23" s="68">
        <v>238</v>
      </c>
      <c r="N23" s="68">
        <v>1077</v>
      </c>
      <c r="O23" s="68">
        <v>1099</v>
      </c>
      <c r="P23" s="68">
        <v>347</v>
      </c>
      <c r="Q23" s="68">
        <v>457</v>
      </c>
      <c r="R23" s="68">
        <v>295</v>
      </c>
      <c r="S23" s="68">
        <v>2</v>
      </c>
      <c r="T23" s="68">
        <v>0</v>
      </c>
      <c r="U23" s="68">
        <v>1</v>
      </c>
      <c r="V23" s="68">
        <v>1</v>
      </c>
      <c r="W23" s="68">
        <v>710</v>
      </c>
      <c r="X23" s="68">
        <v>187</v>
      </c>
      <c r="Y23" s="68">
        <v>110</v>
      </c>
      <c r="Z23" s="68">
        <v>413</v>
      </c>
      <c r="AA23" s="68">
        <v>9242</v>
      </c>
      <c r="AB23" s="68">
        <v>1641</v>
      </c>
      <c r="AC23" s="68">
        <v>1279</v>
      </c>
      <c r="AD23" s="68">
        <v>6322</v>
      </c>
      <c r="AE23" s="68">
        <v>3200</v>
      </c>
      <c r="AF23" s="68">
        <v>398</v>
      </c>
      <c r="AG23" s="68">
        <v>42</v>
      </c>
      <c r="AH23" s="68">
        <v>2760</v>
      </c>
      <c r="AI23" s="68">
        <v>3291</v>
      </c>
      <c r="AJ23" s="68">
        <v>524</v>
      </c>
      <c r="AK23" s="68">
        <v>448</v>
      </c>
      <c r="AL23" s="68">
        <v>2319</v>
      </c>
      <c r="AM23" s="68">
        <v>1764</v>
      </c>
      <c r="AN23" s="68">
        <v>603</v>
      </c>
      <c r="AO23" s="68">
        <v>702</v>
      </c>
      <c r="AP23" s="68">
        <v>459</v>
      </c>
      <c r="AQ23" s="68">
        <v>5</v>
      </c>
      <c r="AR23" s="68">
        <v>0</v>
      </c>
      <c r="AS23" s="68">
        <v>3</v>
      </c>
      <c r="AT23" s="68">
        <v>2</v>
      </c>
      <c r="AU23" s="68">
        <v>982</v>
      </c>
      <c r="AV23" s="68">
        <v>116</v>
      </c>
      <c r="AW23" s="68">
        <v>84</v>
      </c>
      <c r="AX23" s="68">
        <v>782</v>
      </c>
    </row>
    <row r="24" spans="1:50" s="18" customFormat="1" ht="15.75" customHeight="1">
      <c r="A24" s="346"/>
      <c r="B24" s="65" t="s">
        <v>225</v>
      </c>
      <c r="C24" s="68">
        <v>8176</v>
      </c>
      <c r="D24" s="68">
        <v>979</v>
      </c>
      <c r="E24" s="68">
        <v>866</v>
      </c>
      <c r="F24" s="68">
        <v>6331</v>
      </c>
      <c r="G24" s="68">
        <v>4197</v>
      </c>
      <c r="H24" s="68">
        <v>399</v>
      </c>
      <c r="I24" s="68">
        <v>83</v>
      </c>
      <c r="J24" s="68">
        <v>3715</v>
      </c>
      <c r="K24" s="68">
        <v>2025</v>
      </c>
      <c r="L24" s="68">
        <v>242</v>
      </c>
      <c r="M24" s="68">
        <v>257</v>
      </c>
      <c r="N24" s="68">
        <v>1526</v>
      </c>
      <c r="O24" s="68">
        <v>736</v>
      </c>
      <c r="P24" s="68">
        <v>151</v>
      </c>
      <c r="Q24" s="68">
        <v>355</v>
      </c>
      <c r="R24" s="68">
        <v>230</v>
      </c>
      <c r="S24" s="68">
        <v>8</v>
      </c>
      <c r="T24" s="68">
        <v>3</v>
      </c>
      <c r="U24" s="68">
        <v>1</v>
      </c>
      <c r="V24" s="68">
        <v>4</v>
      </c>
      <c r="W24" s="68">
        <v>1210</v>
      </c>
      <c r="X24" s="68">
        <v>184</v>
      </c>
      <c r="Y24" s="68">
        <v>170</v>
      </c>
      <c r="Z24" s="68">
        <v>856</v>
      </c>
      <c r="AA24" s="68">
        <v>13664</v>
      </c>
      <c r="AB24" s="68">
        <v>1564</v>
      </c>
      <c r="AC24" s="68">
        <v>1363</v>
      </c>
      <c r="AD24" s="68">
        <v>10737</v>
      </c>
      <c r="AE24" s="68">
        <v>6139</v>
      </c>
      <c r="AF24" s="68">
        <v>548</v>
      </c>
      <c r="AG24" s="68">
        <v>126</v>
      </c>
      <c r="AH24" s="68">
        <v>5465</v>
      </c>
      <c r="AI24" s="68">
        <v>4516</v>
      </c>
      <c r="AJ24" s="68">
        <v>566</v>
      </c>
      <c r="AK24" s="68">
        <v>513</v>
      </c>
      <c r="AL24" s="68">
        <v>3437</v>
      </c>
      <c r="AM24" s="68">
        <v>1233</v>
      </c>
      <c r="AN24" s="68">
        <v>274</v>
      </c>
      <c r="AO24" s="68">
        <v>588</v>
      </c>
      <c r="AP24" s="68">
        <v>371</v>
      </c>
      <c r="AQ24" s="68">
        <v>11</v>
      </c>
      <c r="AR24" s="68">
        <v>5</v>
      </c>
      <c r="AS24" s="68">
        <v>1</v>
      </c>
      <c r="AT24" s="68">
        <v>5</v>
      </c>
      <c r="AU24" s="68">
        <v>1765</v>
      </c>
      <c r="AV24" s="68">
        <v>171</v>
      </c>
      <c r="AW24" s="68">
        <v>135</v>
      </c>
      <c r="AX24" s="68">
        <v>1459</v>
      </c>
    </row>
    <row r="25" spans="1:50" s="18" customFormat="1" ht="15.75" customHeight="1">
      <c r="A25" s="63" t="s">
        <v>206</v>
      </c>
      <c r="B25" s="64" t="s">
        <v>223</v>
      </c>
      <c r="C25" s="67">
        <v>36108</v>
      </c>
      <c r="D25" s="67">
        <v>7374</v>
      </c>
      <c r="E25" s="67">
        <v>4447</v>
      </c>
      <c r="F25" s="67">
        <v>24287</v>
      </c>
      <c r="G25" s="67">
        <v>19532</v>
      </c>
      <c r="H25" s="67">
        <v>4061</v>
      </c>
      <c r="I25" s="67">
        <v>2424</v>
      </c>
      <c r="J25" s="67">
        <v>13047</v>
      </c>
      <c r="K25" s="67">
        <v>8346</v>
      </c>
      <c r="L25" s="67">
        <v>1411</v>
      </c>
      <c r="M25" s="67">
        <v>273</v>
      </c>
      <c r="N25" s="67">
        <v>6662</v>
      </c>
      <c r="O25" s="67">
        <v>5297</v>
      </c>
      <c r="P25" s="67">
        <v>1061</v>
      </c>
      <c r="Q25" s="67">
        <v>601</v>
      </c>
      <c r="R25" s="67">
        <v>3635</v>
      </c>
      <c r="S25" s="67">
        <v>2855</v>
      </c>
      <c r="T25" s="67">
        <v>822</v>
      </c>
      <c r="U25" s="67">
        <v>1135</v>
      </c>
      <c r="V25" s="67">
        <v>898</v>
      </c>
      <c r="W25" s="67">
        <v>78</v>
      </c>
      <c r="X25" s="67">
        <v>19</v>
      </c>
      <c r="Y25" s="67">
        <v>14</v>
      </c>
      <c r="Z25" s="67">
        <v>45</v>
      </c>
      <c r="AA25" s="67">
        <v>49437</v>
      </c>
      <c r="AB25" s="67">
        <v>9162</v>
      </c>
      <c r="AC25" s="67">
        <v>5633</v>
      </c>
      <c r="AD25" s="67">
        <v>34642</v>
      </c>
      <c r="AE25" s="67">
        <v>26730</v>
      </c>
      <c r="AF25" s="67">
        <v>5050</v>
      </c>
      <c r="AG25" s="67">
        <v>3079</v>
      </c>
      <c r="AH25" s="67">
        <v>18601</v>
      </c>
      <c r="AI25" s="67">
        <v>11831</v>
      </c>
      <c r="AJ25" s="67">
        <v>1806</v>
      </c>
      <c r="AK25" s="67">
        <v>358</v>
      </c>
      <c r="AL25" s="67">
        <v>9667</v>
      </c>
      <c r="AM25" s="67">
        <v>7234</v>
      </c>
      <c r="AN25" s="67">
        <v>1302</v>
      </c>
      <c r="AO25" s="67">
        <v>785</v>
      </c>
      <c r="AP25" s="67">
        <v>5147</v>
      </c>
      <c r="AQ25" s="67">
        <v>3541</v>
      </c>
      <c r="AR25" s="67">
        <v>982</v>
      </c>
      <c r="AS25" s="67">
        <v>1391</v>
      </c>
      <c r="AT25" s="67">
        <v>1168</v>
      </c>
      <c r="AU25" s="67">
        <v>101</v>
      </c>
      <c r="AV25" s="67">
        <v>22</v>
      </c>
      <c r="AW25" s="67">
        <v>20</v>
      </c>
      <c r="AX25" s="67">
        <v>59</v>
      </c>
    </row>
    <row r="26" spans="1:50" s="18" customFormat="1" ht="15.75" customHeight="1">
      <c r="A26" s="345" t="s">
        <v>28</v>
      </c>
      <c r="B26" s="65" t="s">
        <v>224</v>
      </c>
      <c r="C26" s="68">
        <v>14973</v>
      </c>
      <c r="D26" s="68">
        <v>3523</v>
      </c>
      <c r="E26" s="68">
        <v>2299</v>
      </c>
      <c r="F26" s="68">
        <v>9151</v>
      </c>
      <c r="G26" s="68">
        <v>8052</v>
      </c>
      <c r="H26" s="68">
        <v>1927</v>
      </c>
      <c r="I26" s="68">
        <v>1228</v>
      </c>
      <c r="J26" s="68">
        <v>4897</v>
      </c>
      <c r="K26" s="68">
        <v>2763</v>
      </c>
      <c r="L26" s="68">
        <v>501</v>
      </c>
      <c r="M26" s="68">
        <v>92</v>
      </c>
      <c r="N26" s="68">
        <v>2170</v>
      </c>
      <c r="O26" s="68">
        <v>2413</v>
      </c>
      <c r="P26" s="68">
        <v>527</v>
      </c>
      <c r="Q26" s="68">
        <v>304</v>
      </c>
      <c r="R26" s="68">
        <v>1582</v>
      </c>
      <c r="S26" s="68">
        <v>1706</v>
      </c>
      <c r="T26" s="68">
        <v>554</v>
      </c>
      <c r="U26" s="68">
        <v>669</v>
      </c>
      <c r="V26" s="68">
        <v>483</v>
      </c>
      <c r="W26" s="68">
        <v>39</v>
      </c>
      <c r="X26" s="68">
        <v>14</v>
      </c>
      <c r="Y26" s="68">
        <v>6</v>
      </c>
      <c r="Z26" s="68">
        <v>19</v>
      </c>
      <c r="AA26" s="68">
        <v>20894</v>
      </c>
      <c r="AB26" s="68">
        <v>4417</v>
      </c>
      <c r="AC26" s="68">
        <v>2918</v>
      </c>
      <c r="AD26" s="68">
        <v>13559</v>
      </c>
      <c r="AE26" s="68">
        <v>11240</v>
      </c>
      <c r="AF26" s="68">
        <v>2420</v>
      </c>
      <c r="AG26" s="68">
        <v>1570</v>
      </c>
      <c r="AH26" s="68">
        <v>7250</v>
      </c>
      <c r="AI26" s="68">
        <v>4125</v>
      </c>
      <c r="AJ26" s="68">
        <v>666</v>
      </c>
      <c r="AK26" s="68">
        <v>129</v>
      </c>
      <c r="AL26" s="68">
        <v>3330</v>
      </c>
      <c r="AM26" s="68">
        <v>3361</v>
      </c>
      <c r="AN26" s="68">
        <v>656</v>
      </c>
      <c r="AO26" s="68">
        <v>398</v>
      </c>
      <c r="AP26" s="68">
        <v>2307</v>
      </c>
      <c r="AQ26" s="68">
        <v>2122</v>
      </c>
      <c r="AR26" s="68">
        <v>660</v>
      </c>
      <c r="AS26" s="68">
        <v>814</v>
      </c>
      <c r="AT26" s="68">
        <v>648</v>
      </c>
      <c r="AU26" s="68">
        <v>46</v>
      </c>
      <c r="AV26" s="68">
        <v>15</v>
      </c>
      <c r="AW26" s="68">
        <v>7</v>
      </c>
      <c r="AX26" s="68">
        <v>24</v>
      </c>
    </row>
    <row r="27" spans="1:50" s="18" customFormat="1" ht="15.75" customHeight="1">
      <c r="A27" s="346"/>
      <c r="B27" s="65" t="s">
        <v>225</v>
      </c>
      <c r="C27" s="68">
        <v>21135</v>
      </c>
      <c r="D27" s="68">
        <v>3851</v>
      </c>
      <c r="E27" s="68">
        <v>2148</v>
      </c>
      <c r="F27" s="68">
        <v>15136</v>
      </c>
      <c r="G27" s="68">
        <v>11480</v>
      </c>
      <c r="H27" s="68">
        <v>2134</v>
      </c>
      <c r="I27" s="68">
        <v>1196</v>
      </c>
      <c r="J27" s="68">
        <v>8150</v>
      </c>
      <c r="K27" s="68">
        <v>5583</v>
      </c>
      <c r="L27" s="68">
        <v>910</v>
      </c>
      <c r="M27" s="68">
        <v>181</v>
      </c>
      <c r="N27" s="68">
        <v>4492</v>
      </c>
      <c r="O27" s="68">
        <v>2884</v>
      </c>
      <c r="P27" s="68">
        <v>534</v>
      </c>
      <c r="Q27" s="68">
        <v>297</v>
      </c>
      <c r="R27" s="68">
        <v>2053</v>
      </c>
      <c r="S27" s="68">
        <v>1149</v>
      </c>
      <c r="T27" s="68">
        <v>268</v>
      </c>
      <c r="U27" s="68">
        <v>466</v>
      </c>
      <c r="V27" s="68">
        <v>415</v>
      </c>
      <c r="W27" s="68">
        <v>39</v>
      </c>
      <c r="X27" s="68">
        <v>5</v>
      </c>
      <c r="Y27" s="68">
        <v>8</v>
      </c>
      <c r="Z27" s="68">
        <v>26</v>
      </c>
      <c r="AA27" s="68">
        <v>28543</v>
      </c>
      <c r="AB27" s="68">
        <v>4745</v>
      </c>
      <c r="AC27" s="68">
        <v>2715</v>
      </c>
      <c r="AD27" s="68">
        <v>21083</v>
      </c>
      <c r="AE27" s="68">
        <v>15490</v>
      </c>
      <c r="AF27" s="68">
        <v>2630</v>
      </c>
      <c r="AG27" s="68">
        <v>1509</v>
      </c>
      <c r="AH27" s="68">
        <v>11351</v>
      </c>
      <c r="AI27" s="68">
        <v>7706</v>
      </c>
      <c r="AJ27" s="68">
        <v>1140</v>
      </c>
      <c r="AK27" s="68">
        <v>229</v>
      </c>
      <c r="AL27" s="68">
        <v>6337</v>
      </c>
      <c r="AM27" s="68">
        <v>3873</v>
      </c>
      <c r="AN27" s="68">
        <v>646</v>
      </c>
      <c r="AO27" s="68">
        <v>387</v>
      </c>
      <c r="AP27" s="68">
        <v>2840</v>
      </c>
      <c r="AQ27" s="68">
        <v>1419</v>
      </c>
      <c r="AR27" s="68">
        <v>322</v>
      </c>
      <c r="AS27" s="68">
        <v>577</v>
      </c>
      <c r="AT27" s="68">
        <v>520</v>
      </c>
      <c r="AU27" s="68">
        <v>55</v>
      </c>
      <c r="AV27" s="68">
        <v>7</v>
      </c>
      <c r="AW27" s="68">
        <v>13</v>
      </c>
      <c r="AX27" s="68">
        <v>35</v>
      </c>
    </row>
    <row r="28" spans="1:50" ht="15.75" customHeight="1">
      <c r="A28" s="63" t="s">
        <v>207</v>
      </c>
      <c r="B28" s="64" t="s">
        <v>223</v>
      </c>
      <c r="C28" s="67">
        <v>2373</v>
      </c>
      <c r="D28" s="67">
        <v>455</v>
      </c>
      <c r="E28" s="67">
        <v>262</v>
      </c>
      <c r="F28" s="67">
        <v>1656</v>
      </c>
      <c r="G28" s="67">
        <v>859</v>
      </c>
      <c r="H28" s="67">
        <v>114</v>
      </c>
      <c r="I28" s="67">
        <v>14</v>
      </c>
      <c r="J28" s="67">
        <v>731</v>
      </c>
      <c r="K28" s="67">
        <v>806</v>
      </c>
      <c r="L28" s="67">
        <v>138</v>
      </c>
      <c r="M28" s="67">
        <v>73</v>
      </c>
      <c r="N28" s="67">
        <v>595</v>
      </c>
      <c r="O28" s="67">
        <v>351</v>
      </c>
      <c r="P28" s="67">
        <v>116</v>
      </c>
      <c r="Q28" s="67">
        <v>121</v>
      </c>
      <c r="R28" s="67">
        <v>114</v>
      </c>
      <c r="S28" s="67">
        <v>28</v>
      </c>
      <c r="T28" s="67">
        <v>14</v>
      </c>
      <c r="U28" s="67">
        <v>7</v>
      </c>
      <c r="V28" s="67">
        <v>7</v>
      </c>
      <c r="W28" s="67">
        <v>329</v>
      </c>
      <c r="X28" s="67">
        <v>73</v>
      </c>
      <c r="Y28" s="67">
        <v>47</v>
      </c>
      <c r="Z28" s="67">
        <v>209</v>
      </c>
      <c r="AA28" s="67">
        <v>4472</v>
      </c>
      <c r="AB28" s="67">
        <v>878</v>
      </c>
      <c r="AC28" s="67">
        <v>485</v>
      </c>
      <c r="AD28" s="67">
        <v>3109</v>
      </c>
      <c r="AE28" s="67">
        <v>1567</v>
      </c>
      <c r="AF28" s="67">
        <v>212</v>
      </c>
      <c r="AG28" s="67">
        <v>21</v>
      </c>
      <c r="AH28" s="67">
        <v>1334</v>
      </c>
      <c r="AI28" s="67">
        <v>1539</v>
      </c>
      <c r="AJ28" s="67">
        <v>277</v>
      </c>
      <c r="AK28" s="67">
        <v>138</v>
      </c>
      <c r="AL28" s="67">
        <v>1124</v>
      </c>
      <c r="AM28" s="67">
        <v>671</v>
      </c>
      <c r="AN28" s="67">
        <v>216</v>
      </c>
      <c r="AO28" s="67">
        <v>225</v>
      </c>
      <c r="AP28" s="67">
        <v>230</v>
      </c>
      <c r="AQ28" s="67">
        <v>51</v>
      </c>
      <c r="AR28" s="67">
        <v>27</v>
      </c>
      <c r="AS28" s="67">
        <v>12</v>
      </c>
      <c r="AT28" s="67">
        <v>12</v>
      </c>
      <c r="AU28" s="67">
        <v>644</v>
      </c>
      <c r="AV28" s="67">
        <v>146</v>
      </c>
      <c r="AW28" s="67">
        <v>89</v>
      </c>
      <c r="AX28" s="67">
        <v>409</v>
      </c>
    </row>
    <row r="29" spans="1:50" ht="15.75" customHeight="1">
      <c r="A29" s="345" t="s">
        <v>7</v>
      </c>
      <c r="B29" s="65" t="s">
        <v>224</v>
      </c>
      <c r="C29" s="68">
        <v>1035</v>
      </c>
      <c r="D29" s="68">
        <v>255</v>
      </c>
      <c r="E29" s="68">
        <v>133</v>
      </c>
      <c r="F29" s="68">
        <v>647</v>
      </c>
      <c r="G29" s="68">
        <v>288</v>
      </c>
      <c r="H29" s="68">
        <v>52</v>
      </c>
      <c r="I29" s="68">
        <v>5</v>
      </c>
      <c r="J29" s="68">
        <v>231</v>
      </c>
      <c r="K29" s="68">
        <v>390</v>
      </c>
      <c r="L29" s="68">
        <v>75</v>
      </c>
      <c r="M29" s="68">
        <v>36</v>
      </c>
      <c r="N29" s="68">
        <v>279</v>
      </c>
      <c r="O29" s="68">
        <v>214</v>
      </c>
      <c r="P29" s="68">
        <v>84</v>
      </c>
      <c r="Q29" s="68">
        <v>72</v>
      </c>
      <c r="R29" s="68">
        <v>58</v>
      </c>
      <c r="S29" s="68">
        <v>19</v>
      </c>
      <c r="T29" s="68">
        <v>13</v>
      </c>
      <c r="U29" s="68">
        <v>4</v>
      </c>
      <c r="V29" s="68">
        <v>2</v>
      </c>
      <c r="W29" s="68">
        <v>124</v>
      </c>
      <c r="X29" s="68">
        <v>31</v>
      </c>
      <c r="Y29" s="68">
        <v>16</v>
      </c>
      <c r="Z29" s="68">
        <v>77</v>
      </c>
      <c r="AA29" s="68">
        <v>1952</v>
      </c>
      <c r="AB29" s="68">
        <v>491</v>
      </c>
      <c r="AC29" s="68">
        <v>254</v>
      </c>
      <c r="AD29" s="68">
        <v>1207</v>
      </c>
      <c r="AE29" s="68">
        <v>534</v>
      </c>
      <c r="AF29" s="68">
        <v>96</v>
      </c>
      <c r="AG29" s="68">
        <v>8</v>
      </c>
      <c r="AH29" s="68">
        <v>430</v>
      </c>
      <c r="AI29" s="68">
        <v>734</v>
      </c>
      <c r="AJ29" s="68">
        <v>155</v>
      </c>
      <c r="AK29" s="68">
        <v>74</v>
      </c>
      <c r="AL29" s="68">
        <v>505</v>
      </c>
      <c r="AM29" s="68">
        <v>403</v>
      </c>
      <c r="AN29" s="68">
        <v>153</v>
      </c>
      <c r="AO29" s="68">
        <v>136</v>
      </c>
      <c r="AP29" s="68">
        <v>114</v>
      </c>
      <c r="AQ29" s="68">
        <v>34</v>
      </c>
      <c r="AR29" s="68">
        <v>25</v>
      </c>
      <c r="AS29" s="68">
        <v>7</v>
      </c>
      <c r="AT29" s="68">
        <v>2</v>
      </c>
      <c r="AU29" s="68">
        <v>247</v>
      </c>
      <c r="AV29" s="68">
        <v>62</v>
      </c>
      <c r="AW29" s="68">
        <v>29</v>
      </c>
      <c r="AX29" s="68">
        <v>156</v>
      </c>
    </row>
    <row r="30" spans="1:50" ht="15.75" customHeight="1">
      <c r="A30" s="346"/>
      <c r="B30" s="65" t="s">
        <v>225</v>
      </c>
      <c r="C30" s="68">
        <v>1338</v>
      </c>
      <c r="D30" s="68">
        <v>200</v>
      </c>
      <c r="E30" s="68">
        <v>129</v>
      </c>
      <c r="F30" s="68">
        <v>1009</v>
      </c>
      <c r="G30" s="68">
        <v>571</v>
      </c>
      <c r="H30" s="68">
        <v>62</v>
      </c>
      <c r="I30" s="68">
        <v>9</v>
      </c>
      <c r="J30" s="68">
        <v>500</v>
      </c>
      <c r="K30" s="68">
        <v>416</v>
      </c>
      <c r="L30" s="68">
        <v>63</v>
      </c>
      <c r="M30" s="68">
        <v>37</v>
      </c>
      <c r="N30" s="68">
        <v>316</v>
      </c>
      <c r="O30" s="68">
        <v>137</v>
      </c>
      <c r="P30" s="68">
        <v>32</v>
      </c>
      <c r="Q30" s="68">
        <v>49</v>
      </c>
      <c r="R30" s="68">
        <v>56</v>
      </c>
      <c r="S30" s="68">
        <v>9</v>
      </c>
      <c r="T30" s="68">
        <v>1</v>
      </c>
      <c r="U30" s="68">
        <v>3</v>
      </c>
      <c r="V30" s="68">
        <v>5</v>
      </c>
      <c r="W30" s="68">
        <v>205</v>
      </c>
      <c r="X30" s="68">
        <v>42</v>
      </c>
      <c r="Y30" s="68">
        <v>31</v>
      </c>
      <c r="Z30" s="68">
        <v>132</v>
      </c>
      <c r="AA30" s="68">
        <v>2520</v>
      </c>
      <c r="AB30" s="68">
        <v>387</v>
      </c>
      <c r="AC30" s="68">
        <v>231</v>
      </c>
      <c r="AD30" s="68">
        <v>1902</v>
      </c>
      <c r="AE30" s="68">
        <v>1033</v>
      </c>
      <c r="AF30" s="68">
        <v>116</v>
      </c>
      <c r="AG30" s="68">
        <v>13</v>
      </c>
      <c r="AH30" s="68">
        <v>904</v>
      </c>
      <c r="AI30" s="68">
        <v>805</v>
      </c>
      <c r="AJ30" s="68">
        <v>122</v>
      </c>
      <c r="AK30" s="68">
        <v>64</v>
      </c>
      <c r="AL30" s="68">
        <v>619</v>
      </c>
      <c r="AM30" s="68">
        <v>268</v>
      </c>
      <c r="AN30" s="68">
        <v>63</v>
      </c>
      <c r="AO30" s="68">
        <v>89</v>
      </c>
      <c r="AP30" s="68">
        <v>116</v>
      </c>
      <c r="AQ30" s="68">
        <v>17</v>
      </c>
      <c r="AR30" s="68">
        <v>2</v>
      </c>
      <c r="AS30" s="68">
        <v>5</v>
      </c>
      <c r="AT30" s="68">
        <v>10</v>
      </c>
      <c r="AU30" s="68">
        <v>397</v>
      </c>
      <c r="AV30" s="68">
        <v>84</v>
      </c>
      <c r="AW30" s="68">
        <v>60</v>
      </c>
      <c r="AX30" s="68">
        <v>253</v>
      </c>
    </row>
    <row r="31" spans="1:50" ht="15.75" customHeight="1">
      <c r="A31" s="63" t="s">
        <v>208</v>
      </c>
      <c r="B31" s="64" t="s">
        <v>223</v>
      </c>
      <c r="C31" s="67">
        <v>1836</v>
      </c>
      <c r="D31" s="67">
        <v>287</v>
      </c>
      <c r="E31" s="67">
        <v>211</v>
      </c>
      <c r="F31" s="67">
        <v>1338</v>
      </c>
      <c r="G31" s="67">
        <v>818</v>
      </c>
      <c r="H31" s="67">
        <v>83</v>
      </c>
      <c r="I31" s="67">
        <v>11</v>
      </c>
      <c r="J31" s="67">
        <v>724</v>
      </c>
      <c r="K31" s="67">
        <v>458</v>
      </c>
      <c r="L31" s="67">
        <v>72</v>
      </c>
      <c r="M31" s="67">
        <v>43</v>
      </c>
      <c r="N31" s="67">
        <v>343</v>
      </c>
      <c r="O31" s="67">
        <v>293</v>
      </c>
      <c r="P31" s="67">
        <v>67</v>
      </c>
      <c r="Q31" s="67">
        <v>114</v>
      </c>
      <c r="R31" s="67">
        <v>112</v>
      </c>
      <c r="S31" s="67">
        <v>32</v>
      </c>
      <c r="T31" s="67">
        <v>11</v>
      </c>
      <c r="U31" s="67">
        <v>11</v>
      </c>
      <c r="V31" s="67">
        <v>10</v>
      </c>
      <c r="W31" s="67">
        <v>235</v>
      </c>
      <c r="X31" s="67">
        <v>54</v>
      </c>
      <c r="Y31" s="67">
        <v>32</v>
      </c>
      <c r="Z31" s="67">
        <v>149</v>
      </c>
      <c r="AA31" s="67">
        <v>3137</v>
      </c>
      <c r="AB31" s="67">
        <v>464</v>
      </c>
      <c r="AC31" s="67">
        <v>332</v>
      </c>
      <c r="AD31" s="67">
        <v>2341</v>
      </c>
      <c r="AE31" s="67">
        <v>1383</v>
      </c>
      <c r="AF31" s="67">
        <v>137</v>
      </c>
      <c r="AG31" s="67">
        <v>27</v>
      </c>
      <c r="AH31" s="67">
        <v>1219</v>
      </c>
      <c r="AI31" s="67">
        <v>848</v>
      </c>
      <c r="AJ31" s="67">
        <v>139</v>
      </c>
      <c r="AK31" s="67">
        <v>83</v>
      </c>
      <c r="AL31" s="67">
        <v>626</v>
      </c>
      <c r="AM31" s="67">
        <v>530</v>
      </c>
      <c r="AN31" s="67">
        <v>136</v>
      </c>
      <c r="AO31" s="67">
        <v>187</v>
      </c>
      <c r="AP31" s="67">
        <v>207</v>
      </c>
      <c r="AQ31" s="67">
        <v>61</v>
      </c>
      <c r="AR31" s="67">
        <v>22</v>
      </c>
      <c r="AS31" s="67">
        <v>19</v>
      </c>
      <c r="AT31" s="67">
        <v>20</v>
      </c>
      <c r="AU31" s="67">
        <v>315</v>
      </c>
      <c r="AV31" s="67">
        <v>30</v>
      </c>
      <c r="AW31" s="67">
        <v>16</v>
      </c>
      <c r="AX31" s="67">
        <v>269</v>
      </c>
    </row>
    <row r="32" spans="1:50" ht="15.75" customHeight="1">
      <c r="A32" s="345" t="s">
        <v>9</v>
      </c>
      <c r="B32" s="65" t="s">
        <v>224</v>
      </c>
      <c r="C32" s="68">
        <v>805</v>
      </c>
      <c r="D32" s="68">
        <v>171</v>
      </c>
      <c r="E32" s="68">
        <v>110</v>
      </c>
      <c r="F32" s="68">
        <v>524</v>
      </c>
      <c r="G32" s="68">
        <v>280</v>
      </c>
      <c r="H32" s="68">
        <v>37</v>
      </c>
      <c r="I32" s="68">
        <v>8</v>
      </c>
      <c r="J32" s="68">
        <v>235</v>
      </c>
      <c r="K32" s="68">
        <v>227</v>
      </c>
      <c r="L32" s="68">
        <v>42</v>
      </c>
      <c r="M32" s="68">
        <v>18</v>
      </c>
      <c r="N32" s="68">
        <v>167</v>
      </c>
      <c r="O32" s="68">
        <v>177</v>
      </c>
      <c r="P32" s="68">
        <v>49</v>
      </c>
      <c r="Q32" s="68">
        <v>66</v>
      </c>
      <c r="R32" s="68">
        <v>62</v>
      </c>
      <c r="S32" s="68">
        <v>15</v>
      </c>
      <c r="T32" s="68">
        <v>10</v>
      </c>
      <c r="U32" s="68">
        <v>3</v>
      </c>
      <c r="V32" s="68">
        <v>2</v>
      </c>
      <c r="W32" s="68">
        <v>106</v>
      </c>
      <c r="X32" s="68">
        <v>33</v>
      </c>
      <c r="Y32" s="68">
        <v>15</v>
      </c>
      <c r="Z32" s="68">
        <v>58</v>
      </c>
      <c r="AA32" s="68">
        <v>1392</v>
      </c>
      <c r="AB32" s="68">
        <v>265</v>
      </c>
      <c r="AC32" s="68">
        <v>174</v>
      </c>
      <c r="AD32" s="68">
        <v>953</v>
      </c>
      <c r="AE32" s="68">
        <v>490</v>
      </c>
      <c r="AF32" s="68">
        <v>58</v>
      </c>
      <c r="AG32" s="68">
        <v>18</v>
      </c>
      <c r="AH32" s="68">
        <v>414</v>
      </c>
      <c r="AI32" s="68">
        <v>442</v>
      </c>
      <c r="AJ32" s="68">
        <v>82</v>
      </c>
      <c r="AK32" s="68">
        <v>38</v>
      </c>
      <c r="AL32" s="68">
        <v>322</v>
      </c>
      <c r="AM32" s="68">
        <v>306</v>
      </c>
      <c r="AN32" s="68">
        <v>93</v>
      </c>
      <c r="AO32" s="68">
        <v>102</v>
      </c>
      <c r="AP32" s="68">
        <v>111</v>
      </c>
      <c r="AQ32" s="68">
        <v>28</v>
      </c>
      <c r="AR32" s="68">
        <v>19</v>
      </c>
      <c r="AS32" s="68">
        <v>5</v>
      </c>
      <c r="AT32" s="68">
        <v>4</v>
      </c>
      <c r="AU32" s="68">
        <v>126</v>
      </c>
      <c r="AV32" s="68">
        <v>13</v>
      </c>
      <c r="AW32" s="68">
        <v>11</v>
      </c>
      <c r="AX32" s="68">
        <v>102</v>
      </c>
    </row>
    <row r="33" spans="1:50" ht="15.75" customHeight="1">
      <c r="A33" s="346"/>
      <c r="B33" s="65" t="s">
        <v>225</v>
      </c>
      <c r="C33" s="68">
        <v>1031</v>
      </c>
      <c r="D33" s="68">
        <v>116</v>
      </c>
      <c r="E33" s="68">
        <v>101</v>
      </c>
      <c r="F33" s="68">
        <v>814</v>
      </c>
      <c r="G33" s="68">
        <v>538</v>
      </c>
      <c r="H33" s="68">
        <v>46</v>
      </c>
      <c r="I33" s="68">
        <v>3</v>
      </c>
      <c r="J33" s="68">
        <v>489</v>
      </c>
      <c r="K33" s="68">
        <v>231</v>
      </c>
      <c r="L33" s="68">
        <v>30</v>
      </c>
      <c r="M33" s="68">
        <v>25</v>
      </c>
      <c r="N33" s="68">
        <v>176</v>
      </c>
      <c r="O33" s="68">
        <v>116</v>
      </c>
      <c r="P33" s="68">
        <v>18</v>
      </c>
      <c r="Q33" s="68">
        <v>48</v>
      </c>
      <c r="R33" s="68">
        <v>50</v>
      </c>
      <c r="S33" s="68">
        <v>17</v>
      </c>
      <c r="T33" s="68">
        <v>1</v>
      </c>
      <c r="U33" s="68">
        <v>8</v>
      </c>
      <c r="V33" s="68">
        <v>8</v>
      </c>
      <c r="W33" s="68">
        <v>129</v>
      </c>
      <c r="X33" s="68">
        <v>21</v>
      </c>
      <c r="Y33" s="68">
        <v>17</v>
      </c>
      <c r="Z33" s="68">
        <v>91</v>
      </c>
      <c r="AA33" s="68">
        <v>1745</v>
      </c>
      <c r="AB33" s="68">
        <v>199</v>
      </c>
      <c r="AC33" s="68">
        <v>158</v>
      </c>
      <c r="AD33" s="68">
        <v>1388</v>
      </c>
      <c r="AE33" s="68">
        <v>893</v>
      </c>
      <c r="AF33" s="68">
        <v>79</v>
      </c>
      <c r="AG33" s="68">
        <v>9</v>
      </c>
      <c r="AH33" s="68">
        <v>805</v>
      </c>
      <c r="AI33" s="68">
        <v>406</v>
      </c>
      <c r="AJ33" s="68">
        <v>57</v>
      </c>
      <c r="AK33" s="68">
        <v>45</v>
      </c>
      <c r="AL33" s="68">
        <v>304</v>
      </c>
      <c r="AM33" s="68">
        <v>224</v>
      </c>
      <c r="AN33" s="68">
        <v>43</v>
      </c>
      <c r="AO33" s="68">
        <v>85</v>
      </c>
      <c r="AP33" s="68">
        <v>96</v>
      </c>
      <c r="AQ33" s="68">
        <v>33</v>
      </c>
      <c r="AR33" s="68">
        <v>3</v>
      </c>
      <c r="AS33" s="68">
        <v>14</v>
      </c>
      <c r="AT33" s="68">
        <v>16</v>
      </c>
      <c r="AU33" s="68">
        <v>189</v>
      </c>
      <c r="AV33" s="68">
        <v>17</v>
      </c>
      <c r="AW33" s="68">
        <v>5</v>
      </c>
      <c r="AX33" s="68">
        <v>167</v>
      </c>
    </row>
    <row r="34" spans="1:50" ht="15.75" customHeight="1">
      <c r="A34" s="63" t="s">
        <v>209</v>
      </c>
      <c r="B34" s="64" t="s">
        <v>223</v>
      </c>
      <c r="C34" s="67">
        <v>3366</v>
      </c>
      <c r="D34" s="67">
        <v>503</v>
      </c>
      <c r="E34" s="67">
        <v>445</v>
      </c>
      <c r="F34" s="67">
        <v>2418</v>
      </c>
      <c r="G34" s="67">
        <v>1329</v>
      </c>
      <c r="H34" s="67">
        <v>99</v>
      </c>
      <c r="I34" s="67">
        <v>26</v>
      </c>
      <c r="J34" s="67">
        <v>1204</v>
      </c>
      <c r="K34" s="67">
        <v>916</v>
      </c>
      <c r="L34" s="67">
        <v>119</v>
      </c>
      <c r="M34" s="67">
        <v>118</v>
      </c>
      <c r="N34" s="67">
        <v>679</v>
      </c>
      <c r="O34" s="67">
        <v>510</v>
      </c>
      <c r="P34" s="67">
        <v>169</v>
      </c>
      <c r="Q34" s="67">
        <v>198</v>
      </c>
      <c r="R34" s="67">
        <v>143</v>
      </c>
      <c r="S34" s="67">
        <v>15</v>
      </c>
      <c r="T34" s="67">
        <v>1</v>
      </c>
      <c r="U34" s="67">
        <v>8</v>
      </c>
      <c r="V34" s="67">
        <v>6</v>
      </c>
      <c r="W34" s="67">
        <v>596</v>
      </c>
      <c r="X34" s="67">
        <v>115</v>
      </c>
      <c r="Y34" s="67">
        <v>95</v>
      </c>
      <c r="Z34" s="67">
        <v>386</v>
      </c>
      <c r="AA34" s="67">
        <v>5627</v>
      </c>
      <c r="AB34" s="67">
        <v>774</v>
      </c>
      <c r="AC34" s="67">
        <v>680</v>
      </c>
      <c r="AD34" s="67">
        <v>4173</v>
      </c>
      <c r="AE34" s="67">
        <v>2083</v>
      </c>
      <c r="AF34" s="67">
        <v>140</v>
      </c>
      <c r="AG34" s="67">
        <v>40</v>
      </c>
      <c r="AH34" s="67">
        <v>1903</v>
      </c>
      <c r="AI34" s="67">
        <v>2036</v>
      </c>
      <c r="AJ34" s="67">
        <v>253</v>
      </c>
      <c r="AK34" s="67">
        <v>237</v>
      </c>
      <c r="AL34" s="67">
        <v>1546</v>
      </c>
      <c r="AM34" s="67">
        <v>959</v>
      </c>
      <c r="AN34" s="67">
        <v>332</v>
      </c>
      <c r="AO34" s="67">
        <v>352</v>
      </c>
      <c r="AP34" s="67">
        <v>275</v>
      </c>
      <c r="AQ34" s="67">
        <v>25</v>
      </c>
      <c r="AR34" s="67">
        <v>3</v>
      </c>
      <c r="AS34" s="67">
        <v>11</v>
      </c>
      <c r="AT34" s="67">
        <v>11</v>
      </c>
      <c r="AU34" s="67">
        <v>524</v>
      </c>
      <c r="AV34" s="67">
        <v>46</v>
      </c>
      <c r="AW34" s="67">
        <v>40</v>
      </c>
      <c r="AX34" s="67">
        <v>438</v>
      </c>
    </row>
    <row r="35" spans="1:50" ht="15.75" customHeight="1">
      <c r="A35" s="345" t="s">
        <v>10</v>
      </c>
      <c r="B35" s="65" t="s">
        <v>224</v>
      </c>
      <c r="C35" s="68">
        <v>1505</v>
      </c>
      <c r="D35" s="68">
        <v>314</v>
      </c>
      <c r="E35" s="68">
        <v>244</v>
      </c>
      <c r="F35" s="68">
        <v>947</v>
      </c>
      <c r="G35" s="68">
        <v>457</v>
      </c>
      <c r="H35" s="68">
        <v>41</v>
      </c>
      <c r="I35" s="68">
        <v>8</v>
      </c>
      <c r="J35" s="68">
        <v>408</v>
      </c>
      <c r="K35" s="68">
        <v>461</v>
      </c>
      <c r="L35" s="68">
        <v>78</v>
      </c>
      <c r="M35" s="68">
        <v>62</v>
      </c>
      <c r="N35" s="68">
        <v>321</v>
      </c>
      <c r="O35" s="68">
        <v>312</v>
      </c>
      <c r="P35" s="68">
        <v>125</v>
      </c>
      <c r="Q35" s="68">
        <v>119</v>
      </c>
      <c r="R35" s="68">
        <v>68</v>
      </c>
      <c r="S35" s="68">
        <v>9</v>
      </c>
      <c r="T35" s="68">
        <v>1</v>
      </c>
      <c r="U35" s="68">
        <v>6</v>
      </c>
      <c r="V35" s="68">
        <v>2</v>
      </c>
      <c r="W35" s="68">
        <v>266</v>
      </c>
      <c r="X35" s="68">
        <v>69</v>
      </c>
      <c r="Y35" s="68">
        <v>49</v>
      </c>
      <c r="Z35" s="68">
        <v>148</v>
      </c>
      <c r="AA35" s="68">
        <v>2525</v>
      </c>
      <c r="AB35" s="68">
        <v>488</v>
      </c>
      <c r="AC35" s="68">
        <v>361</v>
      </c>
      <c r="AD35" s="68">
        <v>1676</v>
      </c>
      <c r="AE35" s="68">
        <v>740</v>
      </c>
      <c r="AF35" s="68">
        <v>60</v>
      </c>
      <c r="AG35" s="68">
        <v>16</v>
      </c>
      <c r="AH35" s="68">
        <v>664</v>
      </c>
      <c r="AI35" s="68">
        <v>993</v>
      </c>
      <c r="AJ35" s="68">
        <v>166</v>
      </c>
      <c r="AK35" s="68">
        <v>120</v>
      </c>
      <c r="AL35" s="68">
        <v>707</v>
      </c>
      <c r="AM35" s="68">
        <v>564</v>
      </c>
      <c r="AN35" s="68">
        <v>240</v>
      </c>
      <c r="AO35" s="68">
        <v>194</v>
      </c>
      <c r="AP35" s="68">
        <v>130</v>
      </c>
      <c r="AQ35" s="68">
        <v>13</v>
      </c>
      <c r="AR35" s="68">
        <v>1</v>
      </c>
      <c r="AS35" s="68">
        <v>8</v>
      </c>
      <c r="AT35" s="68">
        <v>4</v>
      </c>
      <c r="AU35" s="68">
        <v>215</v>
      </c>
      <c r="AV35" s="68">
        <v>21</v>
      </c>
      <c r="AW35" s="68">
        <v>23</v>
      </c>
      <c r="AX35" s="68">
        <v>171</v>
      </c>
    </row>
    <row r="36" spans="1:50" ht="15.75" customHeight="1">
      <c r="A36" s="346"/>
      <c r="B36" s="65" t="s">
        <v>225</v>
      </c>
      <c r="C36" s="68">
        <v>1861</v>
      </c>
      <c r="D36" s="68">
        <v>189</v>
      </c>
      <c r="E36" s="68">
        <v>201</v>
      </c>
      <c r="F36" s="68">
        <v>1471</v>
      </c>
      <c r="G36" s="68">
        <v>872</v>
      </c>
      <c r="H36" s="68">
        <v>58</v>
      </c>
      <c r="I36" s="68">
        <v>18</v>
      </c>
      <c r="J36" s="68">
        <v>796</v>
      </c>
      <c r="K36" s="68">
        <v>455</v>
      </c>
      <c r="L36" s="68">
        <v>41</v>
      </c>
      <c r="M36" s="68">
        <v>56</v>
      </c>
      <c r="N36" s="68">
        <v>358</v>
      </c>
      <c r="O36" s="68">
        <v>198</v>
      </c>
      <c r="P36" s="68">
        <v>44</v>
      </c>
      <c r="Q36" s="68">
        <v>79</v>
      </c>
      <c r="R36" s="68">
        <v>75</v>
      </c>
      <c r="S36" s="68">
        <v>6</v>
      </c>
      <c r="T36" s="68">
        <v>0</v>
      </c>
      <c r="U36" s="68">
        <v>2</v>
      </c>
      <c r="V36" s="68">
        <v>4</v>
      </c>
      <c r="W36" s="68">
        <v>330</v>
      </c>
      <c r="X36" s="68">
        <v>46</v>
      </c>
      <c r="Y36" s="68">
        <v>46</v>
      </c>
      <c r="Z36" s="68">
        <v>238</v>
      </c>
      <c r="AA36" s="68">
        <v>3102</v>
      </c>
      <c r="AB36" s="68">
        <v>286</v>
      </c>
      <c r="AC36" s="68">
        <v>319</v>
      </c>
      <c r="AD36" s="68">
        <v>2497</v>
      </c>
      <c r="AE36" s="68">
        <v>1343</v>
      </c>
      <c r="AF36" s="68">
        <v>80</v>
      </c>
      <c r="AG36" s="68">
        <v>24</v>
      </c>
      <c r="AH36" s="68">
        <v>1239</v>
      </c>
      <c r="AI36" s="68">
        <v>1043</v>
      </c>
      <c r="AJ36" s="68">
        <v>87</v>
      </c>
      <c r="AK36" s="68">
        <v>117</v>
      </c>
      <c r="AL36" s="68">
        <v>839</v>
      </c>
      <c r="AM36" s="68">
        <v>395</v>
      </c>
      <c r="AN36" s="68">
        <v>92</v>
      </c>
      <c r="AO36" s="68">
        <v>158</v>
      </c>
      <c r="AP36" s="68">
        <v>145</v>
      </c>
      <c r="AQ36" s="68">
        <v>12</v>
      </c>
      <c r="AR36" s="68">
        <v>2</v>
      </c>
      <c r="AS36" s="68">
        <v>3</v>
      </c>
      <c r="AT36" s="68">
        <v>7</v>
      </c>
      <c r="AU36" s="68">
        <v>309</v>
      </c>
      <c r="AV36" s="68">
        <v>25</v>
      </c>
      <c r="AW36" s="68">
        <v>17</v>
      </c>
      <c r="AX36" s="68">
        <v>267</v>
      </c>
    </row>
    <row r="37" spans="1:50" ht="15.75" customHeight="1">
      <c r="A37" s="63" t="s">
        <v>210</v>
      </c>
      <c r="B37" s="64" t="s">
        <v>223</v>
      </c>
      <c r="C37" s="67">
        <v>9547</v>
      </c>
      <c r="D37" s="67">
        <v>1583</v>
      </c>
      <c r="E37" s="67">
        <v>1026</v>
      </c>
      <c r="F37" s="67">
        <v>6938</v>
      </c>
      <c r="G37" s="67">
        <v>4550</v>
      </c>
      <c r="H37" s="67">
        <v>425</v>
      </c>
      <c r="I37" s="67">
        <v>85</v>
      </c>
      <c r="J37" s="67">
        <v>4040</v>
      </c>
      <c r="K37" s="67">
        <v>2392</v>
      </c>
      <c r="L37" s="67">
        <v>330</v>
      </c>
      <c r="M37" s="67">
        <v>269</v>
      </c>
      <c r="N37" s="67">
        <v>1793</v>
      </c>
      <c r="O37" s="67">
        <v>1426</v>
      </c>
      <c r="P37" s="67">
        <v>544</v>
      </c>
      <c r="Q37" s="67">
        <v>500</v>
      </c>
      <c r="R37" s="67">
        <v>382</v>
      </c>
      <c r="S37" s="67">
        <v>4</v>
      </c>
      <c r="T37" s="67">
        <v>1</v>
      </c>
      <c r="U37" s="67">
        <v>0</v>
      </c>
      <c r="V37" s="67">
        <v>3</v>
      </c>
      <c r="W37" s="67">
        <v>1175</v>
      </c>
      <c r="X37" s="67">
        <v>283</v>
      </c>
      <c r="Y37" s="67">
        <v>172</v>
      </c>
      <c r="Z37" s="67">
        <v>720</v>
      </c>
      <c r="AA37" s="67">
        <v>9547</v>
      </c>
      <c r="AB37" s="67">
        <v>1583</v>
      </c>
      <c r="AC37" s="67">
        <v>1026</v>
      </c>
      <c r="AD37" s="67">
        <v>6938</v>
      </c>
      <c r="AE37" s="67">
        <v>4550</v>
      </c>
      <c r="AF37" s="67">
        <v>425</v>
      </c>
      <c r="AG37" s="67">
        <v>85</v>
      </c>
      <c r="AH37" s="67">
        <v>4040</v>
      </c>
      <c r="AI37" s="67">
        <v>2392</v>
      </c>
      <c r="AJ37" s="67">
        <v>330</v>
      </c>
      <c r="AK37" s="67">
        <v>269</v>
      </c>
      <c r="AL37" s="67">
        <v>1793</v>
      </c>
      <c r="AM37" s="67">
        <v>1426</v>
      </c>
      <c r="AN37" s="67">
        <v>544</v>
      </c>
      <c r="AO37" s="67">
        <v>500</v>
      </c>
      <c r="AP37" s="67">
        <v>382</v>
      </c>
      <c r="AQ37" s="67">
        <v>4</v>
      </c>
      <c r="AR37" s="67">
        <v>1</v>
      </c>
      <c r="AS37" s="67">
        <v>0</v>
      </c>
      <c r="AT37" s="67">
        <v>3</v>
      </c>
      <c r="AU37" s="67">
        <v>1175</v>
      </c>
      <c r="AV37" s="67">
        <v>283</v>
      </c>
      <c r="AW37" s="67">
        <v>172</v>
      </c>
      <c r="AX37" s="67">
        <v>720</v>
      </c>
    </row>
    <row r="38" spans="1:50" ht="15.75" customHeight="1">
      <c r="A38" s="345" t="s">
        <v>11</v>
      </c>
      <c r="B38" s="65" t="s">
        <v>224</v>
      </c>
      <c r="C38" s="68">
        <v>3789</v>
      </c>
      <c r="D38" s="68">
        <v>843</v>
      </c>
      <c r="E38" s="68">
        <v>492</v>
      </c>
      <c r="F38" s="68">
        <v>2454</v>
      </c>
      <c r="G38" s="68">
        <v>1371</v>
      </c>
      <c r="H38" s="68">
        <v>151</v>
      </c>
      <c r="I38" s="68">
        <v>26</v>
      </c>
      <c r="J38" s="68">
        <v>1194</v>
      </c>
      <c r="K38" s="68">
        <v>1100</v>
      </c>
      <c r="L38" s="68">
        <v>183</v>
      </c>
      <c r="M38" s="68">
        <v>132</v>
      </c>
      <c r="N38" s="68">
        <v>785</v>
      </c>
      <c r="O38" s="68">
        <v>829</v>
      </c>
      <c r="P38" s="68">
        <v>358</v>
      </c>
      <c r="Q38" s="68">
        <v>261</v>
      </c>
      <c r="R38" s="68">
        <v>210</v>
      </c>
      <c r="S38" s="68">
        <v>3</v>
      </c>
      <c r="T38" s="68">
        <v>0</v>
      </c>
      <c r="U38" s="68">
        <v>0</v>
      </c>
      <c r="V38" s="68">
        <v>3</v>
      </c>
      <c r="W38" s="68">
        <v>486</v>
      </c>
      <c r="X38" s="68">
        <v>151</v>
      </c>
      <c r="Y38" s="68">
        <v>73</v>
      </c>
      <c r="Z38" s="68">
        <v>262</v>
      </c>
      <c r="AA38" s="68">
        <v>3789</v>
      </c>
      <c r="AB38" s="68">
        <v>843</v>
      </c>
      <c r="AC38" s="68">
        <v>492</v>
      </c>
      <c r="AD38" s="68">
        <v>2454</v>
      </c>
      <c r="AE38" s="68">
        <v>1371</v>
      </c>
      <c r="AF38" s="68">
        <v>151</v>
      </c>
      <c r="AG38" s="68">
        <v>26</v>
      </c>
      <c r="AH38" s="68">
        <v>1194</v>
      </c>
      <c r="AI38" s="68">
        <v>1100</v>
      </c>
      <c r="AJ38" s="68">
        <v>183</v>
      </c>
      <c r="AK38" s="68">
        <v>132</v>
      </c>
      <c r="AL38" s="68">
        <v>785</v>
      </c>
      <c r="AM38" s="68">
        <v>829</v>
      </c>
      <c r="AN38" s="68">
        <v>358</v>
      </c>
      <c r="AO38" s="68">
        <v>261</v>
      </c>
      <c r="AP38" s="68">
        <v>210</v>
      </c>
      <c r="AQ38" s="68">
        <v>3</v>
      </c>
      <c r="AR38" s="68">
        <v>0</v>
      </c>
      <c r="AS38" s="68">
        <v>0</v>
      </c>
      <c r="AT38" s="68">
        <v>3</v>
      </c>
      <c r="AU38" s="68">
        <v>486</v>
      </c>
      <c r="AV38" s="68">
        <v>151</v>
      </c>
      <c r="AW38" s="68">
        <v>73</v>
      </c>
      <c r="AX38" s="68">
        <v>262</v>
      </c>
    </row>
    <row r="39" spans="1:50" ht="15.75" customHeight="1">
      <c r="A39" s="346"/>
      <c r="B39" s="65" t="s">
        <v>225</v>
      </c>
      <c r="C39" s="68">
        <v>5758</v>
      </c>
      <c r="D39" s="68">
        <v>740</v>
      </c>
      <c r="E39" s="68">
        <v>534</v>
      </c>
      <c r="F39" s="68">
        <v>4484</v>
      </c>
      <c r="G39" s="68">
        <v>3179</v>
      </c>
      <c r="H39" s="68">
        <v>274</v>
      </c>
      <c r="I39" s="68">
        <v>59</v>
      </c>
      <c r="J39" s="68">
        <v>2846</v>
      </c>
      <c r="K39" s="68">
        <v>1292</v>
      </c>
      <c r="L39" s="68">
        <v>147</v>
      </c>
      <c r="M39" s="68">
        <v>137</v>
      </c>
      <c r="N39" s="68">
        <v>1008</v>
      </c>
      <c r="O39" s="68">
        <v>597</v>
      </c>
      <c r="P39" s="68">
        <v>186</v>
      </c>
      <c r="Q39" s="68">
        <v>239</v>
      </c>
      <c r="R39" s="68">
        <v>172</v>
      </c>
      <c r="S39" s="68">
        <v>1</v>
      </c>
      <c r="T39" s="68">
        <v>1</v>
      </c>
      <c r="U39" s="68">
        <v>0</v>
      </c>
      <c r="V39" s="68">
        <v>0</v>
      </c>
      <c r="W39" s="68">
        <v>689</v>
      </c>
      <c r="X39" s="68">
        <v>132</v>
      </c>
      <c r="Y39" s="68">
        <v>99</v>
      </c>
      <c r="Z39" s="68">
        <v>458</v>
      </c>
      <c r="AA39" s="68">
        <v>5758</v>
      </c>
      <c r="AB39" s="68">
        <v>740</v>
      </c>
      <c r="AC39" s="68">
        <v>534</v>
      </c>
      <c r="AD39" s="68">
        <v>4484</v>
      </c>
      <c r="AE39" s="68">
        <v>3179</v>
      </c>
      <c r="AF39" s="68">
        <v>274</v>
      </c>
      <c r="AG39" s="68">
        <v>59</v>
      </c>
      <c r="AH39" s="68">
        <v>2846</v>
      </c>
      <c r="AI39" s="68">
        <v>1292</v>
      </c>
      <c r="AJ39" s="68">
        <v>147</v>
      </c>
      <c r="AK39" s="68">
        <v>137</v>
      </c>
      <c r="AL39" s="68">
        <v>1008</v>
      </c>
      <c r="AM39" s="68">
        <v>597</v>
      </c>
      <c r="AN39" s="68">
        <v>186</v>
      </c>
      <c r="AO39" s="68">
        <v>239</v>
      </c>
      <c r="AP39" s="68">
        <v>172</v>
      </c>
      <c r="AQ39" s="68">
        <v>1</v>
      </c>
      <c r="AR39" s="68">
        <v>1</v>
      </c>
      <c r="AS39" s="68">
        <v>0</v>
      </c>
      <c r="AT39" s="68">
        <v>0</v>
      </c>
      <c r="AU39" s="68">
        <v>689</v>
      </c>
      <c r="AV39" s="68">
        <v>132</v>
      </c>
      <c r="AW39" s="68">
        <v>99</v>
      </c>
      <c r="AX39" s="68">
        <v>458</v>
      </c>
    </row>
    <row r="40" spans="1:50" ht="15.75" customHeight="1">
      <c r="A40" s="63" t="s">
        <v>211</v>
      </c>
      <c r="B40" s="64" t="s">
        <v>223</v>
      </c>
      <c r="C40" s="67">
        <v>6196</v>
      </c>
      <c r="D40" s="67">
        <v>1043</v>
      </c>
      <c r="E40" s="67">
        <v>721</v>
      </c>
      <c r="F40" s="67">
        <v>4432</v>
      </c>
      <c r="G40" s="67">
        <v>2973</v>
      </c>
      <c r="H40" s="67">
        <v>315</v>
      </c>
      <c r="I40" s="67">
        <v>89</v>
      </c>
      <c r="J40" s="67">
        <v>2569</v>
      </c>
      <c r="K40" s="67">
        <v>1649</v>
      </c>
      <c r="L40" s="67">
        <v>293</v>
      </c>
      <c r="M40" s="67">
        <v>181</v>
      </c>
      <c r="N40" s="67">
        <v>1175</v>
      </c>
      <c r="O40" s="67">
        <v>783</v>
      </c>
      <c r="P40" s="67">
        <v>256</v>
      </c>
      <c r="Q40" s="67">
        <v>318</v>
      </c>
      <c r="R40" s="67">
        <v>209</v>
      </c>
      <c r="S40" s="67">
        <v>98</v>
      </c>
      <c r="T40" s="67">
        <v>21</v>
      </c>
      <c r="U40" s="67">
        <v>35</v>
      </c>
      <c r="V40" s="67">
        <v>42</v>
      </c>
      <c r="W40" s="67">
        <v>693</v>
      </c>
      <c r="X40" s="67">
        <v>158</v>
      </c>
      <c r="Y40" s="67">
        <v>98</v>
      </c>
      <c r="Z40" s="67">
        <v>437</v>
      </c>
      <c r="AA40" s="67">
        <v>6196</v>
      </c>
      <c r="AB40" s="67">
        <v>1043</v>
      </c>
      <c r="AC40" s="67">
        <v>721</v>
      </c>
      <c r="AD40" s="67">
        <v>4432</v>
      </c>
      <c r="AE40" s="67">
        <v>2973</v>
      </c>
      <c r="AF40" s="67">
        <v>315</v>
      </c>
      <c r="AG40" s="67">
        <v>89</v>
      </c>
      <c r="AH40" s="67">
        <v>2569</v>
      </c>
      <c r="AI40" s="67">
        <v>1649</v>
      </c>
      <c r="AJ40" s="67">
        <v>293</v>
      </c>
      <c r="AK40" s="67">
        <v>181</v>
      </c>
      <c r="AL40" s="67">
        <v>1175</v>
      </c>
      <c r="AM40" s="67">
        <v>783</v>
      </c>
      <c r="AN40" s="67">
        <v>256</v>
      </c>
      <c r="AO40" s="67">
        <v>318</v>
      </c>
      <c r="AP40" s="67">
        <v>209</v>
      </c>
      <c r="AQ40" s="67">
        <v>98</v>
      </c>
      <c r="AR40" s="67">
        <v>21</v>
      </c>
      <c r="AS40" s="67">
        <v>35</v>
      </c>
      <c r="AT40" s="67">
        <v>42</v>
      </c>
      <c r="AU40" s="67">
        <v>693</v>
      </c>
      <c r="AV40" s="67">
        <v>158</v>
      </c>
      <c r="AW40" s="67">
        <v>98</v>
      </c>
      <c r="AX40" s="67">
        <v>437</v>
      </c>
    </row>
    <row r="41" spans="1:50" ht="15.75" customHeight="1">
      <c r="A41" s="345" t="s">
        <v>12</v>
      </c>
      <c r="B41" s="65" t="s">
        <v>224</v>
      </c>
      <c r="C41" s="68">
        <v>2598</v>
      </c>
      <c r="D41" s="68">
        <v>583</v>
      </c>
      <c r="E41" s="68">
        <v>379</v>
      </c>
      <c r="F41" s="68">
        <v>1636</v>
      </c>
      <c r="G41" s="68">
        <v>972</v>
      </c>
      <c r="H41" s="68">
        <v>128</v>
      </c>
      <c r="I41" s="68">
        <v>32</v>
      </c>
      <c r="J41" s="68">
        <v>812</v>
      </c>
      <c r="K41" s="68">
        <v>782</v>
      </c>
      <c r="L41" s="68">
        <v>168</v>
      </c>
      <c r="M41" s="68">
        <v>88</v>
      </c>
      <c r="N41" s="68">
        <v>526</v>
      </c>
      <c r="O41" s="68">
        <v>493</v>
      </c>
      <c r="P41" s="68">
        <v>177</v>
      </c>
      <c r="Q41" s="68">
        <v>198</v>
      </c>
      <c r="R41" s="68">
        <v>118</v>
      </c>
      <c r="S41" s="68">
        <v>60</v>
      </c>
      <c r="T41" s="68">
        <v>19</v>
      </c>
      <c r="U41" s="68">
        <v>20</v>
      </c>
      <c r="V41" s="68">
        <v>21</v>
      </c>
      <c r="W41" s="68">
        <v>291</v>
      </c>
      <c r="X41" s="68">
        <v>91</v>
      </c>
      <c r="Y41" s="68">
        <v>41</v>
      </c>
      <c r="Z41" s="68">
        <v>159</v>
      </c>
      <c r="AA41" s="68">
        <v>2598</v>
      </c>
      <c r="AB41" s="68">
        <v>583</v>
      </c>
      <c r="AC41" s="68">
        <v>379</v>
      </c>
      <c r="AD41" s="68">
        <v>1636</v>
      </c>
      <c r="AE41" s="68">
        <v>972</v>
      </c>
      <c r="AF41" s="68">
        <v>128</v>
      </c>
      <c r="AG41" s="68">
        <v>32</v>
      </c>
      <c r="AH41" s="68">
        <v>812</v>
      </c>
      <c r="AI41" s="68">
        <v>782</v>
      </c>
      <c r="AJ41" s="68">
        <v>168</v>
      </c>
      <c r="AK41" s="68">
        <v>88</v>
      </c>
      <c r="AL41" s="68">
        <v>526</v>
      </c>
      <c r="AM41" s="68">
        <v>493</v>
      </c>
      <c r="AN41" s="68">
        <v>177</v>
      </c>
      <c r="AO41" s="68">
        <v>198</v>
      </c>
      <c r="AP41" s="68">
        <v>118</v>
      </c>
      <c r="AQ41" s="68">
        <v>60</v>
      </c>
      <c r="AR41" s="68">
        <v>19</v>
      </c>
      <c r="AS41" s="68">
        <v>20</v>
      </c>
      <c r="AT41" s="68">
        <v>21</v>
      </c>
      <c r="AU41" s="68">
        <v>291</v>
      </c>
      <c r="AV41" s="68">
        <v>91</v>
      </c>
      <c r="AW41" s="68">
        <v>41</v>
      </c>
      <c r="AX41" s="68">
        <v>159</v>
      </c>
    </row>
    <row r="42" spans="1:50" ht="15.75" customHeight="1">
      <c r="A42" s="346"/>
      <c r="B42" s="65" t="s">
        <v>225</v>
      </c>
      <c r="C42" s="68">
        <v>3598</v>
      </c>
      <c r="D42" s="68">
        <v>460</v>
      </c>
      <c r="E42" s="68">
        <v>342</v>
      </c>
      <c r="F42" s="68">
        <v>2796</v>
      </c>
      <c r="G42" s="68">
        <v>2001</v>
      </c>
      <c r="H42" s="68">
        <v>187</v>
      </c>
      <c r="I42" s="68">
        <v>57</v>
      </c>
      <c r="J42" s="68">
        <v>1757</v>
      </c>
      <c r="K42" s="68">
        <v>867</v>
      </c>
      <c r="L42" s="68">
        <v>125</v>
      </c>
      <c r="M42" s="68">
        <v>93</v>
      </c>
      <c r="N42" s="68">
        <v>649</v>
      </c>
      <c r="O42" s="68">
        <v>290</v>
      </c>
      <c r="P42" s="68">
        <v>79</v>
      </c>
      <c r="Q42" s="68">
        <v>120</v>
      </c>
      <c r="R42" s="68">
        <v>91</v>
      </c>
      <c r="S42" s="68">
        <v>38</v>
      </c>
      <c r="T42" s="68">
        <v>2</v>
      </c>
      <c r="U42" s="68">
        <v>15</v>
      </c>
      <c r="V42" s="68">
        <v>21</v>
      </c>
      <c r="W42" s="68">
        <v>402</v>
      </c>
      <c r="X42" s="68">
        <v>67</v>
      </c>
      <c r="Y42" s="68">
        <v>57</v>
      </c>
      <c r="Z42" s="68">
        <v>278</v>
      </c>
      <c r="AA42" s="68">
        <v>3598</v>
      </c>
      <c r="AB42" s="68">
        <v>460</v>
      </c>
      <c r="AC42" s="68">
        <v>342</v>
      </c>
      <c r="AD42" s="68">
        <v>2796</v>
      </c>
      <c r="AE42" s="68">
        <v>2001</v>
      </c>
      <c r="AF42" s="68">
        <v>187</v>
      </c>
      <c r="AG42" s="68">
        <v>57</v>
      </c>
      <c r="AH42" s="68">
        <v>1757</v>
      </c>
      <c r="AI42" s="68">
        <v>867</v>
      </c>
      <c r="AJ42" s="68">
        <v>125</v>
      </c>
      <c r="AK42" s="68">
        <v>93</v>
      </c>
      <c r="AL42" s="68">
        <v>649</v>
      </c>
      <c r="AM42" s="68">
        <v>290</v>
      </c>
      <c r="AN42" s="68">
        <v>79</v>
      </c>
      <c r="AO42" s="68">
        <v>120</v>
      </c>
      <c r="AP42" s="68">
        <v>91</v>
      </c>
      <c r="AQ42" s="68">
        <v>38</v>
      </c>
      <c r="AR42" s="68">
        <v>2</v>
      </c>
      <c r="AS42" s="68">
        <v>15</v>
      </c>
      <c r="AT42" s="68">
        <v>21</v>
      </c>
      <c r="AU42" s="68">
        <v>402</v>
      </c>
      <c r="AV42" s="68">
        <v>67</v>
      </c>
      <c r="AW42" s="68">
        <v>57</v>
      </c>
      <c r="AX42" s="68">
        <v>278</v>
      </c>
    </row>
    <row r="43" spans="1:50" ht="15.75" customHeight="1">
      <c r="A43" s="63" t="s">
        <v>212</v>
      </c>
      <c r="B43" s="64" t="s">
        <v>223</v>
      </c>
      <c r="C43" s="67">
        <v>3928</v>
      </c>
      <c r="D43" s="67">
        <v>683</v>
      </c>
      <c r="E43" s="67">
        <v>350</v>
      </c>
      <c r="F43" s="67">
        <v>2895</v>
      </c>
      <c r="G43" s="67">
        <v>1699</v>
      </c>
      <c r="H43" s="67">
        <v>170</v>
      </c>
      <c r="I43" s="67">
        <v>26</v>
      </c>
      <c r="J43" s="67">
        <v>1503</v>
      </c>
      <c r="K43" s="67">
        <v>1176</v>
      </c>
      <c r="L43" s="67">
        <v>199</v>
      </c>
      <c r="M43" s="67">
        <v>87</v>
      </c>
      <c r="N43" s="67">
        <v>890</v>
      </c>
      <c r="O43" s="67">
        <v>485</v>
      </c>
      <c r="P43" s="67">
        <v>190</v>
      </c>
      <c r="Q43" s="67">
        <v>179</v>
      </c>
      <c r="R43" s="67">
        <v>116</v>
      </c>
      <c r="S43" s="67">
        <v>1</v>
      </c>
      <c r="T43" s="67">
        <v>0</v>
      </c>
      <c r="U43" s="67">
        <v>1</v>
      </c>
      <c r="V43" s="67">
        <v>0</v>
      </c>
      <c r="W43" s="67">
        <v>567</v>
      </c>
      <c r="X43" s="67">
        <v>124</v>
      </c>
      <c r="Y43" s="67">
        <v>57</v>
      </c>
      <c r="Z43" s="67">
        <v>386</v>
      </c>
      <c r="AA43" s="67">
        <v>6167</v>
      </c>
      <c r="AB43" s="67">
        <v>1003</v>
      </c>
      <c r="AC43" s="67">
        <v>562</v>
      </c>
      <c r="AD43" s="67">
        <v>4602</v>
      </c>
      <c r="AE43" s="67">
        <v>2733</v>
      </c>
      <c r="AF43" s="67">
        <v>273</v>
      </c>
      <c r="AG43" s="67">
        <v>34</v>
      </c>
      <c r="AH43" s="67">
        <v>2426</v>
      </c>
      <c r="AI43" s="67">
        <v>1852</v>
      </c>
      <c r="AJ43" s="67">
        <v>293</v>
      </c>
      <c r="AK43" s="67">
        <v>139</v>
      </c>
      <c r="AL43" s="67">
        <v>1420</v>
      </c>
      <c r="AM43" s="67">
        <v>745</v>
      </c>
      <c r="AN43" s="67">
        <v>260</v>
      </c>
      <c r="AO43" s="67">
        <v>301</v>
      </c>
      <c r="AP43" s="67">
        <v>184</v>
      </c>
      <c r="AQ43" s="67">
        <v>3</v>
      </c>
      <c r="AR43" s="67">
        <v>0</v>
      </c>
      <c r="AS43" s="67">
        <v>1</v>
      </c>
      <c r="AT43" s="67">
        <v>2</v>
      </c>
      <c r="AU43" s="67">
        <v>834</v>
      </c>
      <c r="AV43" s="67">
        <v>177</v>
      </c>
      <c r="AW43" s="67">
        <v>87</v>
      </c>
      <c r="AX43" s="67">
        <v>570</v>
      </c>
    </row>
    <row r="44" spans="1:50" ht="15.75" customHeight="1">
      <c r="A44" s="345" t="s">
        <v>13</v>
      </c>
      <c r="B44" s="65" t="s">
        <v>224</v>
      </c>
      <c r="C44" s="68">
        <v>1587</v>
      </c>
      <c r="D44" s="68">
        <v>387</v>
      </c>
      <c r="E44" s="68">
        <v>189</v>
      </c>
      <c r="F44" s="68">
        <v>1011</v>
      </c>
      <c r="G44" s="68">
        <v>533</v>
      </c>
      <c r="H44" s="68">
        <v>72</v>
      </c>
      <c r="I44" s="68">
        <v>9</v>
      </c>
      <c r="J44" s="68">
        <v>452</v>
      </c>
      <c r="K44" s="68">
        <v>520</v>
      </c>
      <c r="L44" s="68">
        <v>109</v>
      </c>
      <c r="M44" s="68">
        <v>47</v>
      </c>
      <c r="N44" s="68">
        <v>364</v>
      </c>
      <c r="O44" s="68">
        <v>310</v>
      </c>
      <c r="P44" s="68">
        <v>133</v>
      </c>
      <c r="Q44" s="68">
        <v>108</v>
      </c>
      <c r="R44" s="68">
        <v>69</v>
      </c>
      <c r="S44" s="68">
        <v>0</v>
      </c>
      <c r="T44" s="68">
        <v>0</v>
      </c>
      <c r="U44" s="68">
        <v>0</v>
      </c>
      <c r="V44" s="68">
        <v>0</v>
      </c>
      <c r="W44" s="68">
        <v>224</v>
      </c>
      <c r="X44" s="68">
        <v>73</v>
      </c>
      <c r="Y44" s="68">
        <v>25</v>
      </c>
      <c r="Z44" s="68">
        <v>126</v>
      </c>
      <c r="AA44" s="68">
        <v>2454</v>
      </c>
      <c r="AB44" s="68">
        <v>559</v>
      </c>
      <c r="AC44" s="68">
        <v>291</v>
      </c>
      <c r="AD44" s="68">
        <v>1604</v>
      </c>
      <c r="AE44" s="68">
        <v>846</v>
      </c>
      <c r="AF44" s="68">
        <v>121</v>
      </c>
      <c r="AG44" s="68">
        <v>12</v>
      </c>
      <c r="AH44" s="68">
        <v>713</v>
      </c>
      <c r="AI44" s="68">
        <v>834</v>
      </c>
      <c r="AJ44" s="68">
        <v>161</v>
      </c>
      <c r="AK44" s="68">
        <v>76</v>
      </c>
      <c r="AL44" s="68">
        <v>597</v>
      </c>
      <c r="AM44" s="68">
        <v>457</v>
      </c>
      <c r="AN44" s="68">
        <v>181</v>
      </c>
      <c r="AO44" s="68">
        <v>169</v>
      </c>
      <c r="AP44" s="68">
        <v>107</v>
      </c>
      <c r="AQ44" s="68">
        <v>0</v>
      </c>
      <c r="AR44" s="68">
        <v>0</v>
      </c>
      <c r="AS44" s="68">
        <v>0</v>
      </c>
      <c r="AT44" s="68">
        <v>0</v>
      </c>
      <c r="AU44" s="68">
        <v>317</v>
      </c>
      <c r="AV44" s="68">
        <v>96</v>
      </c>
      <c r="AW44" s="68">
        <v>34</v>
      </c>
      <c r="AX44" s="68">
        <v>187</v>
      </c>
    </row>
    <row r="45" spans="1:50" ht="15.75" customHeight="1">
      <c r="A45" s="346"/>
      <c r="B45" s="65" t="s">
        <v>225</v>
      </c>
      <c r="C45" s="68">
        <v>2341</v>
      </c>
      <c r="D45" s="68">
        <v>296</v>
      </c>
      <c r="E45" s="68">
        <v>161</v>
      </c>
      <c r="F45" s="68">
        <v>1884</v>
      </c>
      <c r="G45" s="68">
        <v>1166</v>
      </c>
      <c r="H45" s="68">
        <v>98</v>
      </c>
      <c r="I45" s="68">
        <v>17</v>
      </c>
      <c r="J45" s="68">
        <v>1051</v>
      </c>
      <c r="K45" s="68">
        <v>656</v>
      </c>
      <c r="L45" s="68">
        <v>90</v>
      </c>
      <c r="M45" s="68">
        <v>40</v>
      </c>
      <c r="N45" s="68">
        <v>526</v>
      </c>
      <c r="O45" s="68">
        <v>175</v>
      </c>
      <c r="P45" s="68">
        <v>57</v>
      </c>
      <c r="Q45" s="68">
        <v>71</v>
      </c>
      <c r="R45" s="68">
        <v>47</v>
      </c>
      <c r="S45" s="68">
        <v>1</v>
      </c>
      <c r="T45" s="68">
        <v>0</v>
      </c>
      <c r="U45" s="68">
        <v>1</v>
      </c>
      <c r="V45" s="68">
        <v>0</v>
      </c>
      <c r="W45" s="68">
        <v>343</v>
      </c>
      <c r="X45" s="68">
        <v>51</v>
      </c>
      <c r="Y45" s="68">
        <v>32</v>
      </c>
      <c r="Z45" s="68">
        <v>260</v>
      </c>
      <c r="AA45" s="68">
        <v>3713</v>
      </c>
      <c r="AB45" s="68">
        <v>444</v>
      </c>
      <c r="AC45" s="68">
        <v>271</v>
      </c>
      <c r="AD45" s="68">
        <v>2998</v>
      </c>
      <c r="AE45" s="68">
        <v>1887</v>
      </c>
      <c r="AF45" s="68">
        <v>152</v>
      </c>
      <c r="AG45" s="68">
        <v>22</v>
      </c>
      <c r="AH45" s="68">
        <v>1713</v>
      </c>
      <c r="AI45" s="68">
        <v>1018</v>
      </c>
      <c r="AJ45" s="68">
        <v>132</v>
      </c>
      <c r="AK45" s="68">
        <v>63</v>
      </c>
      <c r="AL45" s="68">
        <v>823</v>
      </c>
      <c r="AM45" s="68">
        <v>288</v>
      </c>
      <c r="AN45" s="68">
        <v>79</v>
      </c>
      <c r="AO45" s="68">
        <v>132</v>
      </c>
      <c r="AP45" s="68">
        <v>77</v>
      </c>
      <c r="AQ45" s="68">
        <v>3</v>
      </c>
      <c r="AR45" s="68">
        <v>0</v>
      </c>
      <c r="AS45" s="68">
        <v>1</v>
      </c>
      <c r="AT45" s="68">
        <v>2</v>
      </c>
      <c r="AU45" s="68">
        <v>517</v>
      </c>
      <c r="AV45" s="68">
        <v>81</v>
      </c>
      <c r="AW45" s="68">
        <v>53</v>
      </c>
      <c r="AX45" s="68">
        <v>383</v>
      </c>
    </row>
    <row r="46" spans="1:50" ht="15.75" customHeight="1">
      <c r="A46" s="63" t="s">
        <v>213</v>
      </c>
      <c r="B46" s="64" t="s">
        <v>223</v>
      </c>
      <c r="C46" s="67">
        <v>4781</v>
      </c>
      <c r="D46" s="67">
        <v>799</v>
      </c>
      <c r="E46" s="67">
        <v>552</v>
      </c>
      <c r="F46" s="67">
        <v>3430</v>
      </c>
      <c r="G46" s="67">
        <v>2074</v>
      </c>
      <c r="H46" s="67">
        <v>220</v>
      </c>
      <c r="I46" s="67">
        <v>48</v>
      </c>
      <c r="J46" s="67">
        <v>1806</v>
      </c>
      <c r="K46" s="67">
        <v>1350</v>
      </c>
      <c r="L46" s="67">
        <v>267</v>
      </c>
      <c r="M46" s="67">
        <v>100</v>
      </c>
      <c r="N46" s="67">
        <v>983</v>
      </c>
      <c r="O46" s="67">
        <v>572</v>
      </c>
      <c r="P46" s="67">
        <v>168</v>
      </c>
      <c r="Q46" s="67">
        <v>270</v>
      </c>
      <c r="R46" s="67">
        <v>134</v>
      </c>
      <c r="S46" s="67">
        <v>8</v>
      </c>
      <c r="T46" s="67">
        <v>0</v>
      </c>
      <c r="U46" s="67">
        <v>6</v>
      </c>
      <c r="V46" s="67">
        <v>2</v>
      </c>
      <c r="W46" s="67">
        <v>777</v>
      </c>
      <c r="X46" s="67">
        <v>144</v>
      </c>
      <c r="Y46" s="67">
        <v>128</v>
      </c>
      <c r="Z46" s="67">
        <v>505</v>
      </c>
      <c r="AA46" s="67">
        <v>8194</v>
      </c>
      <c r="AB46" s="67">
        <v>1240</v>
      </c>
      <c r="AC46" s="67">
        <v>854</v>
      </c>
      <c r="AD46" s="67">
        <v>6100</v>
      </c>
      <c r="AE46" s="67">
        <v>3417</v>
      </c>
      <c r="AF46" s="67">
        <v>360</v>
      </c>
      <c r="AG46" s="67">
        <v>75</v>
      </c>
      <c r="AH46" s="67">
        <v>2982</v>
      </c>
      <c r="AI46" s="67">
        <v>2555</v>
      </c>
      <c r="AJ46" s="67">
        <v>450</v>
      </c>
      <c r="AK46" s="67">
        <v>198</v>
      </c>
      <c r="AL46" s="67">
        <v>1907</v>
      </c>
      <c r="AM46" s="67">
        <v>1071</v>
      </c>
      <c r="AN46" s="67">
        <v>321</v>
      </c>
      <c r="AO46" s="67">
        <v>505</v>
      </c>
      <c r="AP46" s="67">
        <v>245</v>
      </c>
      <c r="AQ46" s="67">
        <v>17</v>
      </c>
      <c r="AR46" s="67">
        <v>2</v>
      </c>
      <c r="AS46" s="67">
        <v>9</v>
      </c>
      <c r="AT46" s="67">
        <v>6</v>
      </c>
      <c r="AU46" s="67">
        <v>1134</v>
      </c>
      <c r="AV46" s="67">
        <v>107</v>
      </c>
      <c r="AW46" s="67">
        <v>67</v>
      </c>
      <c r="AX46" s="67">
        <v>960</v>
      </c>
    </row>
    <row r="47" spans="1:50" ht="15.75" customHeight="1">
      <c r="A47" s="345" t="s">
        <v>14</v>
      </c>
      <c r="B47" s="65" t="s">
        <v>224</v>
      </c>
      <c r="C47" s="68">
        <v>1972</v>
      </c>
      <c r="D47" s="68">
        <v>468</v>
      </c>
      <c r="E47" s="68">
        <v>282</v>
      </c>
      <c r="F47" s="68">
        <v>1222</v>
      </c>
      <c r="G47" s="68">
        <v>679</v>
      </c>
      <c r="H47" s="68">
        <v>94</v>
      </c>
      <c r="I47" s="68">
        <v>15</v>
      </c>
      <c r="J47" s="68">
        <v>570</v>
      </c>
      <c r="K47" s="68">
        <v>614</v>
      </c>
      <c r="L47" s="68">
        <v>151</v>
      </c>
      <c r="M47" s="68">
        <v>48</v>
      </c>
      <c r="N47" s="68">
        <v>415</v>
      </c>
      <c r="O47" s="68">
        <v>362</v>
      </c>
      <c r="P47" s="68">
        <v>137</v>
      </c>
      <c r="Q47" s="68">
        <v>159</v>
      </c>
      <c r="R47" s="68">
        <v>66</v>
      </c>
      <c r="S47" s="68">
        <v>3</v>
      </c>
      <c r="T47" s="68">
        <v>0</v>
      </c>
      <c r="U47" s="68">
        <v>2</v>
      </c>
      <c r="V47" s="68">
        <v>1</v>
      </c>
      <c r="W47" s="68">
        <v>314</v>
      </c>
      <c r="X47" s="68">
        <v>86</v>
      </c>
      <c r="Y47" s="68">
        <v>58</v>
      </c>
      <c r="Z47" s="68">
        <v>170</v>
      </c>
      <c r="AA47" s="68">
        <v>3367</v>
      </c>
      <c r="AB47" s="68">
        <v>710</v>
      </c>
      <c r="AC47" s="68">
        <v>444</v>
      </c>
      <c r="AD47" s="68">
        <v>2213</v>
      </c>
      <c r="AE47" s="68">
        <v>1155</v>
      </c>
      <c r="AF47" s="68">
        <v>159</v>
      </c>
      <c r="AG47" s="68">
        <v>25</v>
      </c>
      <c r="AH47" s="68">
        <v>971</v>
      </c>
      <c r="AI47" s="68">
        <v>1154</v>
      </c>
      <c r="AJ47" s="68">
        <v>258</v>
      </c>
      <c r="AK47" s="68">
        <v>89</v>
      </c>
      <c r="AL47" s="68">
        <v>807</v>
      </c>
      <c r="AM47" s="68">
        <v>667</v>
      </c>
      <c r="AN47" s="68">
        <v>251</v>
      </c>
      <c r="AO47" s="68">
        <v>297</v>
      </c>
      <c r="AP47" s="68">
        <v>119</v>
      </c>
      <c r="AQ47" s="68">
        <v>10</v>
      </c>
      <c r="AR47" s="68">
        <v>2</v>
      </c>
      <c r="AS47" s="68">
        <v>4</v>
      </c>
      <c r="AT47" s="68">
        <v>4</v>
      </c>
      <c r="AU47" s="68">
        <v>381</v>
      </c>
      <c r="AV47" s="68">
        <v>40</v>
      </c>
      <c r="AW47" s="68">
        <v>29</v>
      </c>
      <c r="AX47" s="68">
        <v>312</v>
      </c>
    </row>
    <row r="48" spans="1:50" ht="15.75" customHeight="1">
      <c r="A48" s="346"/>
      <c r="B48" s="65" t="s">
        <v>225</v>
      </c>
      <c r="C48" s="68">
        <v>2809</v>
      </c>
      <c r="D48" s="68">
        <v>331</v>
      </c>
      <c r="E48" s="68">
        <v>270</v>
      </c>
      <c r="F48" s="68">
        <v>2208</v>
      </c>
      <c r="G48" s="68">
        <v>1395</v>
      </c>
      <c r="H48" s="68">
        <v>126</v>
      </c>
      <c r="I48" s="68">
        <v>33</v>
      </c>
      <c r="J48" s="68">
        <v>1236</v>
      </c>
      <c r="K48" s="68">
        <v>736</v>
      </c>
      <c r="L48" s="68">
        <v>116</v>
      </c>
      <c r="M48" s="68">
        <v>52</v>
      </c>
      <c r="N48" s="68">
        <v>568</v>
      </c>
      <c r="O48" s="68">
        <v>210</v>
      </c>
      <c r="P48" s="68">
        <v>31</v>
      </c>
      <c r="Q48" s="68">
        <v>111</v>
      </c>
      <c r="R48" s="68">
        <v>68</v>
      </c>
      <c r="S48" s="68">
        <v>5</v>
      </c>
      <c r="T48" s="68">
        <v>0</v>
      </c>
      <c r="U48" s="68">
        <v>4</v>
      </c>
      <c r="V48" s="68">
        <v>1</v>
      </c>
      <c r="W48" s="68">
        <v>463</v>
      </c>
      <c r="X48" s="68">
        <v>58</v>
      </c>
      <c r="Y48" s="68">
        <v>70</v>
      </c>
      <c r="Z48" s="68">
        <v>335</v>
      </c>
      <c r="AA48" s="68">
        <v>4827</v>
      </c>
      <c r="AB48" s="68">
        <v>530</v>
      </c>
      <c r="AC48" s="68">
        <v>410</v>
      </c>
      <c r="AD48" s="68">
        <v>3887</v>
      </c>
      <c r="AE48" s="68">
        <v>2262</v>
      </c>
      <c r="AF48" s="68">
        <v>201</v>
      </c>
      <c r="AG48" s="68">
        <v>50</v>
      </c>
      <c r="AH48" s="68">
        <v>2011</v>
      </c>
      <c r="AI48" s="68">
        <v>1401</v>
      </c>
      <c r="AJ48" s="68">
        <v>192</v>
      </c>
      <c r="AK48" s="68">
        <v>109</v>
      </c>
      <c r="AL48" s="68">
        <v>1100</v>
      </c>
      <c r="AM48" s="68">
        <v>404</v>
      </c>
      <c r="AN48" s="68">
        <v>70</v>
      </c>
      <c r="AO48" s="68">
        <v>208</v>
      </c>
      <c r="AP48" s="68">
        <v>126</v>
      </c>
      <c r="AQ48" s="68">
        <v>7</v>
      </c>
      <c r="AR48" s="68">
        <v>0</v>
      </c>
      <c r="AS48" s="68">
        <v>5</v>
      </c>
      <c r="AT48" s="68">
        <v>2</v>
      </c>
      <c r="AU48" s="68">
        <v>753</v>
      </c>
      <c r="AV48" s="68">
        <v>67</v>
      </c>
      <c r="AW48" s="68">
        <v>38</v>
      </c>
      <c r="AX48" s="68">
        <v>648</v>
      </c>
    </row>
    <row r="49" spans="1:50" ht="15.75" customHeight="1">
      <c r="A49" s="63" t="s">
        <v>214</v>
      </c>
      <c r="B49" s="64" t="s">
        <v>223</v>
      </c>
      <c r="C49" s="67">
        <v>10001</v>
      </c>
      <c r="D49" s="67">
        <v>2074</v>
      </c>
      <c r="E49" s="67">
        <v>1201</v>
      </c>
      <c r="F49" s="67">
        <v>6726</v>
      </c>
      <c r="G49" s="67">
        <v>4485</v>
      </c>
      <c r="H49" s="67">
        <v>545</v>
      </c>
      <c r="I49" s="67">
        <v>122</v>
      </c>
      <c r="J49" s="67">
        <v>3818</v>
      </c>
      <c r="K49" s="67">
        <v>2632</v>
      </c>
      <c r="L49" s="67">
        <v>507</v>
      </c>
      <c r="M49" s="67">
        <v>339</v>
      </c>
      <c r="N49" s="67">
        <v>1786</v>
      </c>
      <c r="O49" s="67">
        <v>1424</v>
      </c>
      <c r="P49" s="67">
        <v>604</v>
      </c>
      <c r="Q49" s="67">
        <v>486</v>
      </c>
      <c r="R49" s="67">
        <v>334</v>
      </c>
      <c r="S49" s="67">
        <v>213</v>
      </c>
      <c r="T49" s="67">
        <v>71</v>
      </c>
      <c r="U49" s="67">
        <v>66</v>
      </c>
      <c r="V49" s="67">
        <v>76</v>
      </c>
      <c r="W49" s="67">
        <v>1247</v>
      </c>
      <c r="X49" s="67">
        <v>347</v>
      </c>
      <c r="Y49" s="67">
        <v>188</v>
      </c>
      <c r="Z49" s="67">
        <v>712</v>
      </c>
      <c r="AA49" s="67">
        <v>12017</v>
      </c>
      <c r="AB49" s="67">
        <v>2474</v>
      </c>
      <c r="AC49" s="67">
        <v>1462</v>
      </c>
      <c r="AD49" s="67">
        <v>8081</v>
      </c>
      <c r="AE49" s="67">
        <v>6058</v>
      </c>
      <c r="AF49" s="67">
        <v>902</v>
      </c>
      <c r="AG49" s="67">
        <v>335</v>
      </c>
      <c r="AH49" s="67">
        <v>4821</v>
      </c>
      <c r="AI49" s="67">
        <v>2965</v>
      </c>
      <c r="AJ49" s="67">
        <v>587</v>
      </c>
      <c r="AK49" s="67">
        <v>392</v>
      </c>
      <c r="AL49" s="67">
        <v>1986</v>
      </c>
      <c r="AM49" s="67">
        <v>1820</v>
      </c>
      <c r="AN49" s="67">
        <v>729</v>
      </c>
      <c r="AO49" s="67">
        <v>584</v>
      </c>
      <c r="AP49" s="67">
        <v>507</v>
      </c>
      <c r="AQ49" s="67">
        <v>528</v>
      </c>
      <c r="AR49" s="67">
        <v>142</v>
      </c>
      <c r="AS49" s="67">
        <v>94</v>
      </c>
      <c r="AT49" s="67">
        <v>292</v>
      </c>
      <c r="AU49" s="67">
        <v>646</v>
      </c>
      <c r="AV49" s="67">
        <v>114</v>
      </c>
      <c r="AW49" s="67">
        <v>57</v>
      </c>
      <c r="AX49" s="67">
        <v>475</v>
      </c>
    </row>
    <row r="50" spans="1:50" ht="15.75" customHeight="1">
      <c r="A50" s="345" t="s">
        <v>15</v>
      </c>
      <c r="B50" s="65" t="s">
        <v>224</v>
      </c>
      <c r="C50" s="68">
        <v>4111</v>
      </c>
      <c r="D50" s="68">
        <v>1185</v>
      </c>
      <c r="E50" s="68">
        <v>580</v>
      </c>
      <c r="F50" s="68">
        <v>2346</v>
      </c>
      <c r="G50" s="68">
        <v>1372</v>
      </c>
      <c r="H50" s="68">
        <v>206</v>
      </c>
      <c r="I50" s="68">
        <v>29</v>
      </c>
      <c r="J50" s="68">
        <v>1137</v>
      </c>
      <c r="K50" s="68">
        <v>1230</v>
      </c>
      <c r="L50" s="68">
        <v>291</v>
      </c>
      <c r="M50" s="68">
        <v>165</v>
      </c>
      <c r="N50" s="68">
        <v>774</v>
      </c>
      <c r="O50" s="68">
        <v>875</v>
      </c>
      <c r="P50" s="68">
        <v>436</v>
      </c>
      <c r="Q50" s="68">
        <v>265</v>
      </c>
      <c r="R50" s="68">
        <v>174</v>
      </c>
      <c r="S50" s="68">
        <v>130</v>
      </c>
      <c r="T50" s="68">
        <v>56</v>
      </c>
      <c r="U50" s="68">
        <v>39</v>
      </c>
      <c r="V50" s="68">
        <v>35</v>
      </c>
      <c r="W50" s="68">
        <v>504</v>
      </c>
      <c r="X50" s="68">
        <v>196</v>
      </c>
      <c r="Y50" s="68">
        <v>82</v>
      </c>
      <c r="Z50" s="68">
        <v>226</v>
      </c>
      <c r="AA50" s="68">
        <v>5139</v>
      </c>
      <c r="AB50" s="68">
        <v>1422</v>
      </c>
      <c r="AC50" s="68">
        <v>716</v>
      </c>
      <c r="AD50" s="68">
        <v>3001</v>
      </c>
      <c r="AE50" s="68">
        <v>2186</v>
      </c>
      <c r="AF50" s="68">
        <v>420</v>
      </c>
      <c r="AG50" s="68">
        <v>127</v>
      </c>
      <c r="AH50" s="68">
        <v>1639</v>
      </c>
      <c r="AI50" s="68">
        <v>1345</v>
      </c>
      <c r="AJ50" s="68">
        <v>331</v>
      </c>
      <c r="AK50" s="68">
        <v>192</v>
      </c>
      <c r="AL50" s="68">
        <v>822</v>
      </c>
      <c r="AM50" s="68">
        <v>1103</v>
      </c>
      <c r="AN50" s="68">
        <v>515</v>
      </c>
      <c r="AO50" s="68">
        <v>325</v>
      </c>
      <c r="AP50" s="68">
        <v>263</v>
      </c>
      <c r="AQ50" s="68">
        <v>241</v>
      </c>
      <c r="AR50" s="68">
        <v>96</v>
      </c>
      <c r="AS50" s="68">
        <v>52</v>
      </c>
      <c r="AT50" s="68">
        <v>93</v>
      </c>
      <c r="AU50" s="68">
        <v>264</v>
      </c>
      <c r="AV50" s="68">
        <v>60</v>
      </c>
      <c r="AW50" s="68">
        <v>20</v>
      </c>
      <c r="AX50" s="68">
        <v>184</v>
      </c>
    </row>
    <row r="51" spans="1:50" ht="15.75" customHeight="1">
      <c r="A51" s="346"/>
      <c r="B51" s="65" t="s">
        <v>225</v>
      </c>
      <c r="C51" s="68">
        <v>5890</v>
      </c>
      <c r="D51" s="68">
        <v>889</v>
      </c>
      <c r="E51" s="68">
        <v>621</v>
      </c>
      <c r="F51" s="68">
        <v>4380</v>
      </c>
      <c r="G51" s="68">
        <v>3113</v>
      </c>
      <c r="H51" s="68">
        <v>339</v>
      </c>
      <c r="I51" s="68">
        <v>93</v>
      </c>
      <c r="J51" s="68">
        <v>2681</v>
      </c>
      <c r="K51" s="68">
        <v>1402</v>
      </c>
      <c r="L51" s="68">
        <v>216</v>
      </c>
      <c r="M51" s="68">
        <v>174</v>
      </c>
      <c r="N51" s="68">
        <v>1012</v>
      </c>
      <c r="O51" s="68">
        <v>549</v>
      </c>
      <c r="P51" s="68">
        <v>168</v>
      </c>
      <c r="Q51" s="68">
        <v>221</v>
      </c>
      <c r="R51" s="68">
        <v>160</v>
      </c>
      <c r="S51" s="68">
        <v>83</v>
      </c>
      <c r="T51" s="68">
        <v>15</v>
      </c>
      <c r="U51" s="68">
        <v>27</v>
      </c>
      <c r="V51" s="68">
        <v>41</v>
      </c>
      <c r="W51" s="68">
        <v>743</v>
      </c>
      <c r="X51" s="68">
        <v>151</v>
      </c>
      <c r="Y51" s="68">
        <v>106</v>
      </c>
      <c r="Z51" s="68">
        <v>486</v>
      </c>
      <c r="AA51" s="68">
        <v>6878</v>
      </c>
      <c r="AB51" s="68">
        <v>1052</v>
      </c>
      <c r="AC51" s="68">
        <v>746</v>
      </c>
      <c r="AD51" s="68">
        <v>5080</v>
      </c>
      <c r="AE51" s="68">
        <v>3872</v>
      </c>
      <c r="AF51" s="68">
        <v>482</v>
      </c>
      <c r="AG51" s="68">
        <v>208</v>
      </c>
      <c r="AH51" s="68">
        <v>3182</v>
      </c>
      <c r="AI51" s="68">
        <v>1620</v>
      </c>
      <c r="AJ51" s="68">
        <v>256</v>
      </c>
      <c r="AK51" s="68">
        <v>200</v>
      </c>
      <c r="AL51" s="68">
        <v>1164</v>
      </c>
      <c r="AM51" s="68">
        <v>717</v>
      </c>
      <c r="AN51" s="68">
        <v>214</v>
      </c>
      <c r="AO51" s="68">
        <v>259</v>
      </c>
      <c r="AP51" s="68">
        <v>244</v>
      </c>
      <c r="AQ51" s="68">
        <v>287</v>
      </c>
      <c r="AR51" s="68">
        <v>46</v>
      </c>
      <c r="AS51" s="68">
        <v>42</v>
      </c>
      <c r="AT51" s="68">
        <v>199</v>
      </c>
      <c r="AU51" s="68">
        <v>382</v>
      </c>
      <c r="AV51" s="68">
        <v>54</v>
      </c>
      <c r="AW51" s="68">
        <v>37</v>
      </c>
      <c r="AX51" s="68">
        <v>291</v>
      </c>
    </row>
    <row r="52" spans="1:50" ht="15.75" customHeight="1">
      <c r="A52" s="63" t="s">
        <v>215</v>
      </c>
      <c r="B52" s="64" t="s">
        <v>223</v>
      </c>
      <c r="C52" s="67">
        <v>2727</v>
      </c>
      <c r="D52" s="67">
        <v>835</v>
      </c>
      <c r="E52" s="67">
        <v>253</v>
      </c>
      <c r="F52" s="67">
        <v>1639</v>
      </c>
      <c r="G52" s="67">
        <v>1054</v>
      </c>
      <c r="H52" s="67">
        <v>153</v>
      </c>
      <c r="I52" s="67">
        <v>15</v>
      </c>
      <c r="J52" s="67">
        <v>886</v>
      </c>
      <c r="K52" s="67">
        <v>757</v>
      </c>
      <c r="L52" s="67">
        <v>190</v>
      </c>
      <c r="M52" s="67">
        <v>80</v>
      </c>
      <c r="N52" s="67">
        <v>487</v>
      </c>
      <c r="O52" s="67">
        <v>411</v>
      </c>
      <c r="P52" s="67">
        <v>251</v>
      </c>
      <c r="Q52" s="67">
        <v>83</v>
      </c>
      <c r="R52" s="67">
        <v>77</v>
      </c>
      <c r="S52" s="67">
        <v>206</v>
      </c>
      <c r="T52" s="67">
        <v>111</v>
      </c>
      <c r="U52" s="67">
        <v>41</v>
      </c>
      <c r="V52" s="67">
        <v>54</v>
      </c>
      <c r="W52" s="67">
        <v>299</v>
      </c>
      <c r="X52" s="67">
        <v>130</v>
      </c>
      <c r="Y52" s="67">
        <v>34</v>
      </c>
      <c r="Z52" s="67">
        <v>135</v>
      </c>
      <c r="AA52" s="67">
        <v>2727</v>
      </c>
      <c r="AB52" s="67">
        <v>835</v>
      </c>
      <c r="AC52" s="67">
        <v>253</v>
      </c>
      <c r="AD52" s="67">
        <v>1639</v>
      </c>
      <c r="AE52" s="67">
        <v>1054</v>
      </c>
      <c r="AF52" s="67">
        <v>153</v>
      </c>
      <c r="AG52" s="67">
        <v>15</v>
      </c>
      <c r="AH52" s="67">
        <v>886</v>
      </c>
      <c r="AI52" s="67">
        <v>757</v>
      </c>
      <c r="AJ52" s="67">
        <v>190</v>
      </c>
      <c r="AK52" s="67">
        <v>80</v>
      </c>
      <c r="AL52" s="67">
        <v>487</v>
      </c>
      <c r="AM52" s="67">
        <v>411</v>
      </c>
      <c r="AN52" s="67">
        <v>251</v>
      </c>
      <c r="AO52" s="67">
        <v>83</v>
      </c>
      <c r="AP52" s="67">
        <v>77</v>
      </c>
      <c r="AQ52" s="67">
        <v>206</v>
      </c>
      <c r="AR52" s="67">
        <v>111</v>
      </c>
      <c r="AS52" s="67">
        <v>41</v>
      </c>
      <c r="AT52" s="67">
        <v>54</v>
      </c>
      <c r="AU52" s="67">
        <v>299</v>
      </c>
      <c r="AV52" s="67">
        <v>130</v>
      </c>
      <c r="AW52" s="67">
        <v>34</v>
      </c>
      <c r="AX52" s="67">
        <v>135</v>
      </c>
    </row>
    <row r="53" spans="1:50" ht="15.75" customHeight="1">
      <c r="A53" s="345" t="s">
        <v>16</v>
      </c>
      <c r="B53" s="65" t="s">
        <v>224</v>
      </c>
      <c r="C53" s="68">
        <v>1266</v>
      </c>
      <c r="D53" s="68">
        <v>552</v>
      </c>
      <c r="E53" s="68">
        <v>132</v>
      </c>
      <c r="F53" s="68">
        <v>582</v>
      </c>
      <c r="G53" s="68">
        <v>342</v>
      </c>
      <c r="H53" s="68">
        <v>71</v>
      </c>
      <c r="I53" s="68">
        <v>4</v>
      </c>
      <c r="J53" s="68">
        <v>267</v>
      </c>
      <c r="K53" s="68">
        <v>346</v>
      </c>
      <c r="L53" s="68">
        <v>117</v>
      </c>
      <c r="M53" s="68">
        <v>35</v>
      </c>
      <c r="N53" s="68">
        <v>194</v>
      </c>
      <c r="O53" s="68">
        <v>288</v>
      </c>
      <c r="P53" s="68">
        <v>191</v>
      </c>
      <c r="Q53" s="68">
        <v>51</v>
      </c>
      <c r="R53" s="68">
        <v>46</v>
      </c>
      <c r="S53" s="68">
        <v>139</v>
      </c>
      <c r="T53" s="68">
        <v>91</v>
      </c>
      <c r="U53" s="68">
        <v>21</v>
      </c>
      <c r="V53" s="68">
        <v>27</v>
      </c>
      <c r="W53" s="68">
        <v>151</v>
      </c>
      <c r="X53" s="68">
        <v>82</v>
      </c>
      <c r="Y53" s="68">
        <v>21</v>
      </c>
      <c r="Z53" s="68">
        <v>48</v>
      </c>
      <c r="AA53" s="68">
        <v>1266</v>
      </c>
      <c r="AB53" s="68">
        <v>552</v>
      </c>
      <c r="AC53" s="68">
        <v>132</v>
      </c>
      <c r="AD53" s="68">
        <v>582</v>
      </c>
      <c r="AE53" s="68">
        <v>342</v>
      </c>
      <c r="AF53" s="68">
        <v>71</v>
      </c>
      <c r="AG53" s="68">
        <v>4</v>
      </c>
      <c r="AH53" s="68">
        <v>267</v>
      </c>
      <c r="AI53" s="68">
        <v>346</v>
      </c>
      <c r="AJ53" s="68">
        <v>117</v>
      </c>
      <c r="AK53" s="68">
        <v>35</v>
      </c>
      <c r="AL53" s="68">
        <v>194</v>
      </c>
      <c r="AM53" s="68">
        <v>288</v>
      </c>
      <c r="AN53" s="68">
        <v>191</v>
      </c>
      <c r="AO53" s="68">
        <v>51</v>
      </c>
      <c r="AP53" s="68">
        <v>46</v>
      </c>
      <c r="AQ53" s="68">
        <v>139</v>
      </c>
      <c r="AR53" s="68">
        <v>91</v>
      </c>
      <c r="AS53" s="68">
        <v>21</v>
      </c>
      <c r="AT53" s="68">
        <v>27</v>
      </c>
      <c r="AU53" s="68">
        <v>151</v>
      </c>
      <c r="AV53" s="68">
        <v>82</v>
      </c>
      <c r="AW53" s="68">
        <v>21</v>
      </c>
      <c r="AX53" s="68">
        <v>48</v>
      </c>
    </row>
    <row r="54" spans="1:50" ht="15.75" customHeight="1">
      <c r="A54" s="346"/>
      <c r="B54" s="65" t="s">
        <v>225</v>
      </c>
      <c r="C54" s="68">
        <v>1461</v>
      </c>
      <c r="D54" s="68">
        <v>283</v>
      </c>
      <c r="E54" s="68">
        <v>121</v>
      </c>
      <c r="F54" s="68">
        <v>1057</v>
      </c>
      <c r="G54" s="68">
        <v>712</v>
      </c>
      <c r="H54" s="68">
        <v>82</v>
      </c>
      <c r="I54" s="68">
        <v>11</v>
      </c>
      <c r="J54" s="68">
        <v>619</v>
      </c>
      <c r="K54" s="68">
        <v>411</v>
      </c>
      <c r="L54" s="68">
        <v>73</v>
      </c>
      <c r="M54" s="68">
        <v>45</v>
      </c>
      <c r="N54" s="68">
        <v>293</v>
      </c>
      <c r="O54" s="68">
        <v>123</v>
      </c>
      <c r="P54" s="68">
        <v>60</v>
      </c>
      <c r="Q54" s="68">
        <v>32</v>
      </c>
      <c r="R54" s="68">
        <v>31</v>
      </c>
      <c r="S54" s="68">
        <v>67</v>
      </c>
      <c r="T54" s="68">
        <v>20</v>
      </c>
      <c r="U54" s="68">
        <v>20</v>
      </c>
      <c r="V54" s="68">
        <v>27</v>
      </c>
      <c r="W54" s="68">
        <v>148</v>
      </c>
      <c r="X54" s="68">
        <v>48</v>
      </c>
      <c r="Y54" s="68">
        <v>13</v>
      </c>
      <c r="Z54" s="68">
        <v>87</v>
      </c>
      <c r="AA54" s="68">
        <v>1461</v>
      </c>
      <c r="AB54" s="68">
        <v>283</v>
      </c>
      <c r="AC54" s="68">
        <v>121</v>
      </c>
      <c r="AD54" s="68">
        <v>1057</v>
      </c>
      <c r="AE54" s="68">
        <v>712</v>
      </c>
      <c r="AF54" s="68">
        <v>82</v>
      </c>
      <c r="AG54" s="68">
        <v>11</v>
      </c>
      <c r="AH54" s="68">
        <v>619</v>
      </c>
      <c r="AI54" s="68">
        <v>411</v>
      </c>
      <c r="AJ54" s="68">
        <v>73</v>
      </c>
      <c r="AK54" s="68">
        <v>45</v>
      </c>
      <c r="AL54" s="68">
        <v>293</v>
      </c>
      <c r="AM54" s="68">
        <v>123</v>
      </c>
      <c r="AN54" s="68">
        <v>60</v>
      </c>
      <c r="AO54" s="68">
        <v>32</v>
      </c>
      <c r="AP54" s="68">
        <v>31</v>
      </c>
      <c r="AQ54" s="68">
        <v>67</v>
      </c>
      <c r="AR54" s="68">
        <v>20</v>
      </c>
      <c r="AS54" s="68">
        <v>20</v>
      </c>
      <c r="AT54" s="68">
        <v>27</v>
      </c>
      <c r="AU54" s="68">
        <v>148</v>
      </c>
      <c r="AV54" s="68">
        <v>48</v>
      </c>
      <c r="AW54" s="68">
        <v>13</v>
      </c>
      <c r="AX54" s="68">
        <v>87</v>
      </c>
    </row>
    <row r="55" spans="1:50" ht="15.75" customHeight="1">
      <c r="A55" s="63" t="s">
        <v>216</v>
      </c>
      <c r="B55" s="64" t="s">
        <v>223</v>
      </c>
      <c r="C55" s="67">
        <v>6442</v>
      </c>
      <c r="D55" s="67">
        <v>1487</v>
      </c>
      <c r="E55" s="67">
        <v>998</v>
      </c>
      <c r="F55" s="67">
        <v>3957</v>
      </c>
      <c r="G55" s="67">
        <v>3466</v>
      </c>
      <c r="H55" s="67">
        <v>806</v>
      </c>
      <c r="I55" s="67">
        <v>544</v>
      </c>
      <c r="J55" s="67">
        <v>2116</v>
      </c>
      <c r="K55" s="67">
        <v>1244</v>
      </c>
      <c r="L55" s="67">
        <v>162</v>
      </c>
      <c r="M55" s="67">
        <v>36</v>
      </c>
      <c r="N55" s="67">
        <v>1046</v>
      </c>
      <c r="O55" s="67">
        <v>918</v>
      </c>
      <c r="P55" s="67">
        <v>186</v>
      </c>
      <c r="Q55" s="67">
        <v>142</v>
      </c>
      <c r="R55" s="67">
        <v>590</v>
      </c>
      <c r="S55" s="67">
        <v>560</v>
      </c>
      <c r="T55" s="67">
        <v>245</v>
      </c>
      <c r="U55" s="67">
        <v>200</v>
      </c>
      <c r="V55" s="67">
        <v>115</v>
      </c>
      <c r="W55" s="67">
        <v>254</v>
      </c>
      <c r="X55" s="67">
        <v>88</v>
      </c>
      <c r="Y55" s="67">
        <v>76</v>
      </c>
      <c r="Z55" s="67">
        <v>90</v>
      </c>
      <c r="AA55" s="67">
        <v>9213</v>
      </c>
      <c r="AB55" s="67">
        <v>1924</v>
      </c>
      <c r="AC55" s="67">
        <v>1338</v>
      </c>
      <c r="AD55" s="67">
        <v>5951</v>
      </c>
      <c r="AE55" s="67">
        <v>4951</v>
      </c>
      <c r="AF55" s="67">
        <v>1054</v>
      </c>
      <c r="AG55" s="67">
        <v>727</v>
      </c>
      <c r="AH55" s="67">
        <v>3170</v>
      </c>
      <c r="AI55" s="67">
        <v>1861</v>
      </c>
      <c r="AJ55" s="67">
        <v>220</v>
      </c>
      <c r="AK55" s="67">
        <v>48</v>
      </c>
      <c r="AL55" s="67">
        <v>1593</v>
      </c>
      <c r="AM55" s="67">
        <v>1314</v>
      </c>
      <c r="AN55" s="67">
        <v>232</v>
      </c>
      <c r="AO55" s="67">
        <v>191</v>
      </c>
      <c r="AP55" s="67">
        <v>891</v>
      </c>
      <c r="AQ55" s="67">
        <v>730</v>
      </c>
      <c r="AR55" s="67">
        <v>304</v>
      </c>
      <c r="AS55" s="67">
        <v>267</v>
      </c>
      <c r="AT55" s="67">
        <v>159</v>
      </c>
      <c r="AU55" s="67">
        <v>357</v>
      </c>
      <c r="AV55" s="67">
        <v>114</v>
      </c>
      <c r="AW55" s="67">
        <v>105</v>
      </c>
      <c r="AX55" s="67">
        <v>138</v>
      </c>
    </row>
    <row r="56" spans="1:50" ht="15.75" customHeight="1">
      <c r="A56" s="345" t="s">
        <v>17</v>
      </c>
      <c r="B56" s="65" t="s">
        <v>224</v>
      </c>
      <c r="C56" s="68">
        <v>2893</v>
      </c>
      <c r="D56" s="68">
        <v>916</v>
      </c>
      <c r="E56" s="68">
        <v>502</v>
      </c>
      <c r="F56" s="68">
        <v>1475</v>
      </c>
      <c r="G56" s="68">
        <v>1545</v>
      </c>
      <c r="H56" s="68">
        <v>495</v>
      </c>
      <c r="I56" s="68">
        <v>269</v>
      </c>
      <c r="J56" s="68">
        <v>781</v>
      </c>
      <c r="K56" s="68">
        <v>420</v>
      </c>
      <c r="L56" s="68">
        <v>83</v>
      </c>
      <c r="M56" s="68">
        <v>11</v>
      </c>
      <c r="N56" s="68">
        <v>326</v>
      </c>
      <c r="O56" s="68">
        <v>427</v>
      </c>
      <c r="P56" s="68">
        <v>102</v>
      </c>
      <c r="Q56" s="68">
        <v>64</v>
      </c>
      <c r="R56" s="68">
        <v>261</v>
      </c>
      <c r="S56" s="68">
        <v>359</v>
      </c>
      <c r="T56" s="68">
        <v>173</v>
      </c>
      <c r="U56" s="68">
        <v>119</v>
      </c>
      <c r="V56" s="68">
        <v>67</v>
      </c>
      <c r="W56" s="68">
        <v>142</v>
      </c>
      <c r="X56" s="68">
        <v>63</v>
      </c>
      <c r="Y56" s="68">
        <v>39</v>
      </c>
      <c r="Z56" s="68">
        <v>40</v>
      </c>
      <c r="AA56" s="68">
        <v>4105</v>
      </c>
      <c r="AB56" s="68">
        <v>1198</v>
      </c>
      <c r="AC56" s="68">
        <v>677</v>
      </c>
      <c r="AD56" s="68">
        <v>2230</v>
      </c>
      <c r="AE56" s="68">
        <v>2193</v>
      </c>
      <c r="AF56" s="68">
        <v>652</v>
      </c>
      <c r="AG56" s="68">
        <v>362</v>
      </c>
      <c r="AH56" s="68">
        <v>1179</v>
      </c>
      <c r="AI56" s="68">
        <v>643</v>
      </c>
      <c r="AJ56" s="68">
        <v>116</v>
      </c>
      <c r="AK56" s="68">
        <v>15</v>
      </c>
      <c r="AL56" s="68">
        <v>512</v>
      </c>
      <c r="AM56" s="68">
        <v>602</v>
      </c>
      <c r="AN56" s="68">
        <v>133</v>
      </c>
      <c r="AO56" s="68">
        <v>85</v>
      </c>
      <c r="AP56" s="68">
        <v>384</v>
      </c>
      <c r="AQ56" s="68">
        <v>467</v>
      </c>
      <c r="AR56" s="68">
        <v>215</v>
      </c>
      <c r="AS56" s="68">
        <v>158</v>
      </c>
      <c r="AT56" s="68">
        <v>94</v>
      </c>
      <c r="AU56" s="68">
        <v>200</v>
      </c>
      <c r="AV56" s="68">
        <v>82</v>
      </c>
      <c r="AW56" s="68">
        <v>57</v>
      </c>
      <c r="AX56" s="68">
        <v>61</v>
      </c>
    </row>
    <row r="57" spans="1:50" ht="15.75" customHeight="1">
      <c r="A57" s="346"/>
      <c r="B57" s="65" t="s">
        <v>225</v>
      </c>
      <c r="C57" s="68">
        <v>3549</v>
      </c>
      <c r="D57" s="68">
        <v>571</v>
      </c>
      <c r="E57" s="68">
        <v>496</v>
      </c>
      <c r="F57" s="68">
        <v>2482</v>
      </c>
      <c r="G57" s="68">
        <v>1921</v>
      </c>
      <c r="H57" s="68">
        <v>311</v>
      </c>
      <c r="I57" s="68">
        <v>275</v>
      </c>
      <c r="J57" s="68">
        <v>1335</v>
      </c>
      <c r="K57" s="68">
        <v>824</v>
      </c>
      <c r="L57" s="68">
        <v>79</v>
      </c>
      <c r="M57" s="68">
        <v>25</v>
      </c>
      <c r="N57" s="68">
        <v>720</v>
      </c>
      <c r="O57" s="68">
        <v>491</v>
      </c>
      <c r="P57" s="68">
        <v>84</v>
      </c>
      <c r="Q57" s="68">
        <v>78</v>
      </c>
      <c r="R57" s="68">
        <v>329</v>
      </c>
      <c r="S57" s="68">
        <v>201</v>
      </c>
      <c r="T57" s="68">
        <v>72</v>
      </c>
      <c r="U57" s="68">
        <v>81</v>
      </c>
      <c r="V57" s="68">
        <v>48</v>
      </c>
      <c r="W57" s="68">
        <v>112</v>
      </c>
      <c r="X57" s="68">
        <v>25</v>
      </c>
      <c r="Y57" s="68">
        <v>37</v>
      </c>
      <c r="Z57" s="68">
        <v>50</v>
      </c>
      <c r="AA57" s="68">
        <v>5108</v>
      </c>
      <c r="AB57" s="68">
        <v>726</v>
      </c>
      <c r="AC57" s="68">
        <v>661</v>
      </c>
      <c r="AD57" s="68">
        <v>3721</v>
      </c>
      <c r="AE57" s="68">
        <v>2758</v>
      </c>
      <c r="AF57" s="68">
        <v>402</v>
      </c>
      <c r="AG57" s="68">
        <v>365</v>
      </c>
      <c r="AH57" s="68">
        <v>1991</v>
      </c>
      <c r="AI57" s="68">
        <v>1218</v>
      </c>
      <c r="AJ57" s="68">
        <v>104</v>
      </c>
      <c r="AK57" s="68">
        <v>33</v>
      </c>
      <c r="AL57" s="68">
        <v>1081</v>
      </c>
      <c r="AM57" s="68">
        <v>712</v>
      </c>
      <c r="AN57" s="68">
        <v>99</v>
      </c>
      <c r="AO57" s="68">
        <v>106</v>
      </c>
      <c r="AP57" s="68">
        <v>507</v>
      </c>
      <c r="AQ57" s="68">
        <v>263</v>
      </c>
      <c r="AR57" s="68">
        <v>89</v>
      </c>
      <c r="AS57" s="68">
        <v>109</v>
      </c>
      <c r="AT57" s="68">
        <v>65</v>
      </c>
      <c r="AU57" s="68">
        <v>157</v>
      </c>
      <c r="AV57" s="68">
        <v>32</v>
      </c>
      <c r="AW57" s="68">
        <v>48</v>
      </c>
      <c r="AX57" s="68">
        <v>77</v>
      </c>
    </row>
    <row r="58" spans="1:50" ht="15.75" customHeight="1">
      <c r="A58" s="63" t="s">
        <v>217</v>
      </c>
      <c r="B58" s="64" t="s">
        <v>223</v>
      </c>
      <c r="C58" s="67">
        <v>948</v>
      </c>
      <c r="D58" s="67">
        <v>165</v>
      </c>
      <c r="E58" s="67">
        <v>83</v>
      </c>
      <c r="F58" s="67">
        <v>700</v>
      </c>
      <c r="G58" s="67">
        <v>479</v>
      </c>
      <c r="H58" s="67">
        <v>45</v>
      </c>
      <c r="I58" s="67">
        <v>1</v>
      </c>
      <c r="J58" s="67">
        <v>433</v>
      </c>
      <c r="K58" s="67">
        <v>264</v>
      </c>
      <c r="L58" s="67">
        <v>45</v>
      </c>
      <c r="M58" s="67">
        <v>23</v>
      </c>
      <c r="N58" s="67">
        <v>196</v>
      </c>
      <c r="O58" s="67">
        <v>118</v>
      </c>
      <c r="P58" s="67">
        <v>47</v>
      </c>
      <c r="Q58" s="67">
        <v>41</v>
      </c>
      <c r="R58" s="67">
        <v>30</v>
      </c>
      <c r="S58" s="67">
        <v>2</v>
      </c>
      <c r="T58" s="67">
        <v>1</v>
      </c>
      <c r="U58" s="67">
        <v>1</v>
      </c>
      <c r="V58" s="67">
        <v>0</v>
      </c>
      <c r="W58" s="67">
        <v>85</v>
      </c>
      <c r="X58" s="67">
        <v>27</v>
      </c>
      <c r="Y58" s="67">
        <v>17</v>
      </c>
      <c r="Z58" s="67">
        <v>41</v>
      </c>
      <c r="AA58" s="67">
        <v>1764</v>
      </c>
      <c r="AB58" s="67">
        <v>272</v>
      </c>
      <c r="AC58" s="67">
        <v>141</v>
      </c>
      <c r="AD58" s="67">
        <v>1351</v>
      </c>
      <c r="AE58" s="67">
        <v>897</v>
      </c>
      <c r="AF58" s="67">
        <v>78</v>
      </c>
      <c r="AG58" s="67">
        <v>4</v>
      </c>
      <c r="AH58" s="67">
        <v>815</v>
      </c>
      <c r="AI58" s="67">
        <v>480</v>
      </c>
      <c r="AJ58" s="67">
        <v>69</v>
      </c>
      <c r="AK58" s="67">
        <v>38</v>
      </c>
      <c r="AL58" s="67">
        <v>373</v>
      </c>
      <c r="AM58" s="67">
        <v>172</v>
      </c>
      <c r="AN58" s="67">
        <v>67</v>
      </c>
      <c r="AO58" s="67">
        <v>66</v>
      </c>
      <c r="AP58" s="67">
        <v>39</v>
      </c>
      <c r="AQ58" s="67">
        <v>2</v>
      </c>
      <c r="AR58" s="67">
        <v>1</v>
      </c>
      <c r="AS58" s="67">
        <v>1</v>
      </c>
      <c r="AT58" s="67">
        <v>0</v>
      </c>
      <c r="AU58" s="67">
        <v>213</v>
      </c>
      <c r="AV58" s="67">
        <v>57</v>
      </c>
      <c r="AW58" s="67">
        <v>32</v>
      </c>
      <c r="AX58" s="67">
        <v>124</v>
      </c>
    </row>
    <row r="59" spans="1:50" ht="15.75" customHeight="1">
      <c r="A59" s="345" t="s">
        <v>18</v>
      </c>
      <c r="B59" s="65" t="s">
        <v>224</v>
      </c>
      <c r="C59" s="68">
        <v>370</v>
      </c>
      <c r="D59" s="68">
        <v>104</v>
      </c>
      <c r="E59" s="68">
        <v>44</v>
      </c>
      <c r="F59" s="68">
        <v>222</v>
      </c>
      <c r="G59" s="68">
        <v>139</v>
      </c>
      <c r="H59" s="68">
        <v>19</v>
      </c>
      <c r="I59" s="68">
        <v>0</v>
      </c>
      <c r="J59" s="68">
        <v>120</v>
      </c>
      <c r="K59" s="68">
        <v>113</v>
      </c>
      <c r="L59" s="68">
        <v>29</v>
      </c>
      <c r="M59" s="68">
        <v>10</v>
      </c>
      <c r="N59" s="68">
        <v>74</v>
      </c>
      <c r="O59" s="68">
        <v>77</v>
      </c>
      <c r="P59" s="68">
        <v>36</v>
      </c>
      <c r="Q59" s="68">
        <v>27</v>
      </c>
      <c r="R59" s="68">
        <v>14</v>
      </c>
      <c r="S59" s="68">
        <v>0</v>
      </c>
      <c r="T59" s="68">
        <v>0</v>
      </c>
      <c r="U59" s="68">
        <v>0</v>
      </c>
      <c r="V59" s="68">
        <v>0</v>
      </c>
      <c r="W59" s="68">
        <v>41</v>
      </c>
      <c r="X59" s="68">
        <v>20</v>
      </c>
      <c r="Y59" s="68">
        <v>7</v>
      </c>
      <c r="Z59" s="68">
        <v>14</v>
      </c>
      <c r="AA59" s="68">
        <v>666</v>
      </c>
      <c r="AB59" s="68">
        <v>170</v>
      </c>
      <c r="AC59" s="68">
        <v>70</v>
      </c>
      <c r="AD59" s="68">
        <v>426</v>
      </c>
      <c r="AE59" s="68">
        <v>258</v>
      </c>
      <c r="AF59" s="68">
        <v>36</v>
      </c>
      <c r="AG59" s="68">
        <v>0</v>
      </c>
      <c r="AH59" s="68">
        <v>222</v>
      </c>
      <c r="AI59" s="68">
        <v>202</v>
      </c>
      <c r="AJ59" s="68">
        <v>42</v>
      </c>
      <c r="AK59" s="68">
        <v>17</v>
      </c>
      <c r="AL59" s="68">
        <v>143</v>
      </c>
      <c r="AM59" s="68">
        <v>110</v>
      </c>
      <c r="AN59" s="68">
        <v>53</v>
      </c>
      <c r="AO59" s="68">
        <v>40</v>
      </c>
      <c r="AP59" s="68">
        <v>17</v>
      </c>
      <c r="AQ59" s="68">
        <v>0</v>
      </c>
      <c r="AR59" s="68">
        <v>0</v>
      </c>
      <c r="AS59" s="68">
        <v>0</v>
      </c>
      <c r="AT59" s="68">
        <v>0</v>
      </c>
      <c r="AU59" s="68">
        <v>96</v>
      </c>
      <c r="AV59" s="68">
        <v>39</v>
      </c>
      <c r="AW59" s="68">
        <v>13</v>
      </c>
      <c r="AX59" s="68">
        <v>44</v>
      </c>
    </row>
    <row r="60" spans="1:50" ht="15.75" customHeight="1">
      <c r="A60" s="346"/>
      <c r="B60" s="65" t="s">
        <v>225</v>
      </c>
      <c r="C60" s="68">
        <v>578</v>
      </c>
      <c r="D60" s="68">
        <v>61</v>
      </c>
      <c r="E60" s="68">
        <v>39</v>
      </c>
      <c r="F60" s="68">
        <v>478</v>
      </c>
      <c r="G60" s="68">
        <v>340</v>
      </c>
      <c r="H60" s="68">
        <v>26</v>
      </c>
      <c r="I60" s="68">
        <v>1</v>
      </c>
      <c r="J60" s="68">
        <v>313</v>
      </c>
      <c r="K60" s="68">
        <v>151</v>
      </c>
      <c r="L60" s="68">
        <v>16</v>
      </c>
      <c r="M60" s="68">
        <v>13</v>
      </c>
      <c r="N60" s="68">
        <v>122</v>
      </c>
      <c r="O60" s="68">
        <v>41</v>
      </c>
      <c r="P60" s="68">
        <v>11</v>
      </c>
      <c r="Q60" s="68">
        <v>14</v>
      </c>
      <c r="R60" s="68">
        <v>16</v>
      </c>
      <c r="S60" s="68">
        <v>2</v>
      </c>
      <c r="T60" s="68">
        <v>1</v>
      </c>
      <c r="U60" s="68">
        <v>1</v>
      </c>
      <c r="V60" s="68">
        <v>0</v>
      </c>
      <c r="W60" s="68">
        <v>44</v>
      </c>
      <c r="X60" s="68">
        <v>7</v>
      </c>
      <c r="Y60" s="68">
        <v>10</v>
      </c>
      <c r="Z60" s="68">
        <v>27</v>
      </c>
      <c r="AA60" s="68">
        <v>1098</v>
      </c>
      <c r="AB60" s="68">
        <v>102</v>
      </c>
      <c r="AC60" s="68">
        <v>71</v>
      </c>
      <c r="AD60" s="68">
        <v>925</v>
      </c>
      <c r="AE60" s="68">
        <v>639</v>
      </c>
      <c r="AF60" s="68">
        <v>42</v>
      </c>
      <c r="AG60" s="68">
        <v>4</v>
      </c>
      <c r="AH60" s="68">
        <v>593</v>
      </c>
      <c r="AI60" s="68">
        <v>278</v>
      </c>
      <c r="AJ60" s="68">
        <v>27</v>
      </c>
      <c r="AK60" s="68">
        <v>21</v>
      </c>
      <c r="AL60" s="68">
        <v>230</v>
      </c>
      <c r="AM60" s="68">
        <v>62</v>
      </c>
      <c r="AN60" s="68">
        <v>14</v>
      </c>
      <c r="AO60" s="68">
        <v>26</v>
      </c>
      <c r="AP60" s="68">
        <v>22</v>
      </c>
      <c r="AQ60" s="68">
        <v>2</v>
      </c>
      <c r="AR60" s="68">
        <v>1</v>
      </c>
      <c r="AS60" s="68">
        <v>1</v>
      </c>
      <c r="AT60" s="68">
        <v>0</v>
      </c>
      <c r="AU60" s="68">
        <v>117</v>
      </c>
      <c r="AV60" s="68">
        <v>18</v>
      </c>
      <c r="AW60" s="68">
        <v>19</v>
      </c>
      <c r="AX60" s="68">
        <v>80</v>
      </c>
    </row>
    <row r="61" spans="1:50" ht="15.75" customHeight="1">
      <c r="A61" s="63" t="s">
        <v>218</v>
      </c>
      <c r="B61" s="64" t="s">
        <v>223</v>
      </c>
      <c r="C61" s="67">
        <v>1471</v>
      </c>
      <c r="D61" s="67">
        <v>286</v>
      </c>
      <c r="E61" s="67">
        <v>276</v>
      </c>
      <c r="F61" s="67">
        <v>909</v>
      </c>
      <c r="G61" s="67">
        <v>556</v>
      </c>
      <c r="H61" s="67">
        <v>75</v>
      </c>
      <c r="I61" s="67">
        <v>32</v>
      </c>
      <c r="J61" s="67">
        <v>449</v>
      </c>
      <c r="K61" s="67">
        <v>426</v>
      </c>
      <c r="L61" s="67">
        <v>79</v>
      </c>
      <c r="M61" s="67">
        <v>83</v>
      </c>
      <c r="N61" s="67">
        <v>264</v>
      </c>
      <c r="O61" s="67">
        <v>276</v>
      </c>
      <c r="P61" s="67">
        <v>80</v>
      </c>
      <c r="Q61" s="67">
        <v>121</v>
      </c>
      <c r="R61" s="67">
        <v>75</v>
      </c>
      <c r="S61" s="67">
        <v>0</v>
      </c>
      <c r="T61" s="67">
        <v>0</v>
      </c>
      <c r="U61" s="67">
        <v>0</v>
      </c>
      <c r="V61" s="67">
        <v>0</v>
      </c>
      <c r="W61" s="67">
        <v>213</v>
      </c>
      <c r="X61" s="67">
        <v>52</v>
      </c>
      <c r="Y61" s="67">
        <v>40</v>
      </c>
      <c r="Z61" s="67">
        <v>121</v>
      </c>
      <c r="AA61" s="67">
        <v>1764</v>
      </c>
      <c r="AB61" s="67">
        <v>327</v>
      </c>
      <c r="AC61" s="67">
        <v>314</v>
      </c>
      <c r="AD61" s="67">
        <v>1123</v>
      </c>
      <c r="AE61" s="67">
        <v>700</v>
      </c>
      <c r="AF61" s="67">
        <v>91</v>
      </c>
      <c r="AG61" s="67">
        <v>35</v>
      </c>
      <c r="AH61" s="67">
        <v>574</v>
      </c>
      <c r="AI61" s="67">
        <v>503</v>
      </c>
      <c r="AJ61" s="67">
        <v>93</v>
      </c>
      <c r="AK61" s="67">
        <v>98</v>
      </c>
      <c r="AL61" s="67">
        <v>312</v>
      </c>
      <c r="AM61" s="67">
        <v>313</v>
      </c>
      <c r="AN61" s="67">
        <v>86</v>
      </c>
      <c r="AO61" s="67">
        <v>134</v>
      </c>
      <c r="AP61" s="67">
        <v>93</v>
      </c>
      <c r="AQ61" s="67">
        <v>0</v>
      </c>
      <c r="AR61" s="67">
        <v>0</v>
      </c>
      <c r="AS61" s="67">
        <v>0</v>
      </c>
      <c r="AT61" s="67">
        <v>0</v>
      </c>
      <c r="AU61" s="67">
        <v>248</v>
      </c>
      <c r="AV61" s="67">
        <v>57</v>
      </c>
      <c r="AW61" s="67">
        <v>47</v>
      </c>
      <c r="AX61" s="67">
        <v>144</v>
      </c>
    </row>
    <row r="62" spans="1:50" ht="15.75" customHeight="1">
      <c r="A62" s="345" t="s">
        <v>19</v>
      </c>
      <c r="B62" s="65" t="s">
        <v>224</v>
      </c>
      <c r="C62" s="68">
        <v>616</v>
      </c>
      <c r="D62" s="68">
        <v>149</v>
      </c>
      <c r="E62" s="68">
        <v>132</v>
      </c>
      <c r="F62" s="68">
        <v>335</v>
      </c>
      <c r="G62" s="68">
        <v>150</v>
      </c>
      <c r="H62" s="68">
        <v>21</v>
      </c>
      <c r="I62" s="68">
        <v>5</v>
      </c>
      <c r="J62" s="68">
        <v>124</v>
      </c>
      <c r="K62" s="68">
        <v>211</v>
      </c>
      <c r="L62" s="68">
        <v>45</v>
      </c>
      <c r="M62" s="68">
        <v>47</v>
      </c>
      <c r="N62" s="68">
        <v>119</v>
      </c>
      <c r="O62" s="68">
        <v>169</v>
      </c>
      <c r="P62" s="68">
        <v>56</v>
      </c>
      <c r="Q62" s="68">
        <v>68</v>
      </c>
      <c r="R62" s="68">
        <v>45</v>
      </c>
      <c r="S62" s="68">
        <v>0</v>
      </c>
      <c r="T62" s="68">
        <v>0</v>
      </c>
      <c r="U62" s="68">
        <v>0</v>
      </c>
      <c r="V62" s="68">
        <v>0</v>
      </c>
      <c r="W62" s="68">
        <v>86</v>
      </c>
      <c r="X62" s="68">
        <v>27</v>
      </c>
      <c r="Y62" s="68">
        <v>12</v>
      </c>
      <c r="Z62" s="68">
        <v>47</v>
      </c>
      <c r="AA62" s="68">
        <v>739</v>
      </c>
      <c r="AB62" s="68">
        <v>171</v>
      </c>
      <c r="AC62" s="68">
        <v>153</v>
      </c>
      <c r="AD62" s="68">
        <v>415</v>
      </c>
      <c r="AE62" s="68">
        <v>207</v>
      </c>
      <c r="AF62" s="68">
        <v>28</v>
      </c>
      <c r="AG62" s="68">
        <v>7</v>
      </c>
      <c r="AH62" s="68">
        <v>172</v>
      </c>
      <c r="AI62" s="68">
        <v>243</v>
      </c>
      <c r="AJ62" s="68">
        <v>53</v>
      </c>
      <c r="AK62" s="68">
        <v>53</v>
      </c>
      <c r="AL62" s="68">
        <v>137</v>
      </c>
      <c r="AM62" s="68">
        <v>190</v>
      </c>
      <c r="AN62" s="68">
        <v>61</v>
      </c>
      <c r="AO62" s="68">
        <v>77</v>
      </c>
      <c r="AP62" s="68">
        <v>52</v>
      </c>
      <c r="AQ62" s="68">
        <v>0</v>
      </c>
      <c r="AR62" s="68">
        <v>0</v>
      </c>
      <c r="AS62" s="68">
        <v>0</v>
      </c>
      <c r="AT62" s="68">
        <v>0</v>
      </c>
      <c r="AU62" s="68">
        <v>99</v>
      </c>
      <c r="AV62" s="68">
        <v>29</v>
      </c>
      <c r="AW62" s="68">
        <v>16</v>
      </c>
      <c r="AX62" s="68">
        <v>54</v>
      </c>
    </row>
    <row r="63" spans="1:50" ht="15.75" customHeight="1">
      <c r="A63" s="346"/>
      <c r="B63" s="65" t="s">
        <v>225</v>
      </c>
      <c r="C63" s="68">
        <v>855</v>
      </c>
      <c r="D63" s="68">
        <v>137</v>
      </c>
      <c r="E63" s="68">
        <v>144</v>
      </c>
      <c r="F63" s="68">
        <v>574</v>
      </c>
      <c r="G63" s="68">
        <v>406</v>
      </c>
      <c r="H63" s="68">
        <v>54</v>
      </c>
      <c r="I63" s="68">
        <v>27</v>
      </c>
      <c r="J63" s="68">
        <v>325</v>
      </c>
      <c r="K63" s="68">
        <v>215</v>
      </c>
      <c r="L63" s="68">
        <v>34</v>
      </c>
      <c r="M63" s="68">
        <v>36</v>
      </c>
      <c r="N63" s="68">
        <v>145</v>
      </c>
      <c r="O63" s="68">
        <v>107</v>
      </c>
      <c r="P63" s="68">
        <v>24</v>
      </c>
      <c r="Q63" s="68">
        <v>53</v>
      </c>
      <c r="R63" s="68">
        <v>30</v>
      </c>
      <c r="S63" s="68">
        <v>0</v>
      </c>
      <c r="T63" s="68">
        <v>0</v>
      </c>
      <c r="U63" s="68">
        <v>0</v>
      </c>
      <c r="V63" s="68">
        <v>0</v>
      </c>
      <c r="W63" s="68">
        <v>127</v>
      </c>
      <c r="X63" s="68">
        <v>25</v>
      </c>
      <c r="Y63" s="68">
        <v>28</v>
      </c>
      <c r="Z63" s="68">
        <v>74</v>
      </c>
      <c r="AA63" s="68">
        <v>1025</v>
      </c>
      <c r="AB63" s="68">
        <v>156</v>
      </c>
      <c r="AC63" s="68">
        <v>161</v>
      </c>
      <c r="AD63" s="68">
        <v>708</v>
      </c>
      <c r="AE63" s="68">
        <v>493</v>
      </c>
      <c r="AF63" s="68">
        <v>63</v>
      </c>
      <c r="AG63" s="68">
        <v>28</v>
      </c>
      <c r="AH63" s="68">
        <v>402</v>
      </c>
      <c r="AI63" s="68">
        <v>260</v>
      </c>
      <c r="AJ63" s="68">
        <v>40</v>
      </c>
      <c r="AK63" s="68">
        <v>45</v>
      </c>
      <c r="AL63" s="68">
        <v>175</v>
      </c>
      <c r="AM63" s="68">
        <v>123</v>
      </c>
      <c r="AN63" s="68">
        <v>25</v>
      </c>
      <c r="AO63" s="68">
        <v>57</v>
      </c>
      <c r="AP63" s="68">
        <v>41</v>
      </c>
      <c r="AQ63" s="68">
        <v>0</v>
      </c>
      <c r="AR63" s="68">
        <v>0</v>
      </c>
      <c r="AS63" s="68">
        <v>0</v>
      </c>
      <c r="AT63" s="68">
        <v>0</v>
      </c>
      <c r="AU63" s="68">
        <v>149</v>
      </c>
      <c r="AV63" s="68">
        <v>28</v>
      </c>
      <c r="AW63" s="68">
        <v>31</v>
      </c>
      <c r="AX63" s="68">
        <v>90</v>
      </c>
    </row>
    <row r="64" spans="1:50" ht="15.75" customHeight="1">
      <c r="A64" s="63" t="s">
        <v>219</v>
      </c>
      <c r="B64" s="64" t="s">
        <v>223</v>
      </c>
      <c r="C64" s="67">
        <v>1227</v>
      </c>
      <c r="D64" s="67">
        <v>185</v>
      </c>
      <c r="E64" s="67">
        <v>145</v>
      </c>
      <c r="F64" s="67">
        <v>897</v>
      </c>
      <c r="G64" s="67">
        <v>483</v>
      </c>
      <c r="H64" s="67">
        <v>43</v>
      </c>
      <c r="I64" s="67">
        <v>8</v>
      </c>
      <c r="J64" s="67">
        <v>432</v>
      </c>
      <c r="K64" s="67">
        <v>352</v>
      </c>
      <c r="L64" s="67">
        <v>44</v>
      </c>
      <c r="M64" s="67">
        <v>46</v>
      </c>
      <c r="N64" s="67">
        <v>262</v>
      </c>
      <c r="O64" s="67">
        <v>197</v>
      </c>
      <c r="P64" s="67">
        <v>58</v>
      </c>
      <c r="Q64" s="67">
        <v>63</v>
      </c>
      <c r="R64" s="67">
        <v>76</v>
      </c>
      <c r="S64" s="67">
        <v>2</v>
      </c>
      <c r="T64" s="67">
        <v>0</v>
      </c>
      <c r="U64" s="67">
        <v>0</v>
      </c>
      <c r="V64" s="67">
        <v>2</v>
      </c>
      <c r="W64" s="67">
        <v>193</v>
      </c>
      <c r="X64" s="67">
        <v>40</v>
      </c>
      <c r="Y64" s="67">
        <v>28</v>
      </c>
      <c r="Z64" s="67">
        <v>125</v>
      </c>
      <c r="AA64" s="67">
        <v>1600</v>
      </c>
      <c r="AB64" s="67">
        <v>239</v>
      </c>
      <c r="AC64" s="67">
        <v>189</v>
      </c>
      <c r="AD64" s="67">
        <v>1172</v>
      </c>
      <c r="AE64" s="67">
        <v>649</v>
      </c>
      <c r="AF64" s="67">
        <v>55</v>
      </c>
      <c r="AG64" s="67">
        <v>18</v>
      </c>
      <c r="AH64" s="67">
        <v>576</v>
      </c>
      <c r="AI64" s="67">
        <v>454</v>
      </c>
      <c r="AJ64" s="67">
        <v>64</v>
      </c>
      <c r="AK64" s="67">
        <v>59</v>
      </c>
      <c r="AL64" s="67">
        <v>331</v>
      </c>
      <c r="AM64" s="67">
        <v>239</v>
      </c>
      <c r="AN64" s="67">
        <v>68</v>
      </c>
      <c r="AO64" s="67">
        <v>75</v>
      </c>
      <c r="AP64" s="67">
        <v>96</v>
      </c>
      <c r="AQ64" s="67">
        <v>2</v>
      </c>
      <c r="AR64" s="67">
        <v>0</v>
      </c>
      <c r="AS64" s="67">
        <v>0</v>
      </c>
      <c r="AT64" s="67">
        <v>2</v>
      </c>
      <c r="AU64" s="67">
        <v>256</v>
      </c>
      <c r="AV64" s="67">
        <v>52</v>
      </c>
      <c r="AW64" s="67">
        <v>37</v>
      </c>
      <c r="AX64" s="67">
        <v>167</v>
      </c>
    </row>
    <row r="65" spans="1:50" ht="15.75" customHeight="1">
      <c r="A65" s="345" t="s">
        <v>20</v>
      </c>
      <c r="B65" s="65" t="s">
        <v>224</v>
      </c>
      <c r="C65" s="68">
        <v>543</v>
      </c>
      <c r="D65" s="68">
        <v>108</v>
      </c>
      <c r="E65" s="68">
        <v>74</v>
      </c>
      <c r="F65" s="68">
        <v>361</v>
      </c>
      <c r="G65" s="68">
        <v>159</v>
      </c>
      <c r="H65" s="68">
        <v>16</v>
      </c>
      <c r="I65" s="68">
        <v>4</v>
      </c>
      <c r="J65" s="68">
        <v>139</v>
      </c>
      <c r="K65" s="68">
        <v>182</v>
      </c>
      <c r="L65" s="68">
        <v>24</v>
      </c>
      <c r="M65" s="68">
        <v>24</v>
      </c>
      <c r="N65" s="68">
        <v>134</v>
      </c>
      <c r="O65" s="68">
        <v>114</v>
      </c>
      <c r="P65" s="68">
        <v>41</v>
      </c>
      <c r="Q65" s="68">
        <v>35</v>
      </c>
      <c r="R65" s="68">
        <v>38</v>
      </c>
      <c r="S65" s="68">
        <v>1</v>
      </c>
      <c r="T65" s="68">
        <v>0</v>
      </c>
      <c r="U65" s="68">
        <v>0</v>
      </c>
      <c r="V65" s="68">
        <v>1</v>
      </c>
      <c r="W65" s="68">
        <v>87</v>
      </c>
      <c r="X65" s="68">
        <v>27</v>
      </c>
      <c r="Y65" s="68">
        <v>11</v>
      </c>
      <c r="Z65" s="68">
        <v>49</v>
      </c>
      <c r="AA65" s="68">
        <v>687</v>
      </c>
      <c r="AB65" s="68">
        <v>135</v>
      </c>
      <c r="AC65" s="68">
        <v>92</v>
      </c>
      <c r="AD65" s="68">
        <v>460</v>
      </c>
      <c r="AE65" s="68">
        <v>211</v>
      </c>
      <c r="AF65" s="68">
        <v>19</v>
      </c>
      <c r="AG65" s="68">
        <v>11</v>
      </c>
      <c r="AH65" s="68">
        <v>181</v>
      </c>
      <c r="AI65" s="68">
        <v>229</v>
      </c>
      <c r="AJ65" s="68">
        <v>35</v>
      </c>
      <c r="AK65" s="68">
        <v>28</v>
      </c>
      <c r="AL65" s="68">
        <v>166</v>
      </c>
      <c r="AM65" s="68">
        <v>137</v>
      </c>
      <c r="AN65" s="68">
        <v>50</v>
      </c>
      <c r="AO65" s="68">
        <v>40</v>
      </c>
      <c r="AP65" s="68">
        <v>47</v>
      </c>
      <c r="AQ65" s="68">
        <v>1</v>
      </c>
      <c r="AR65" s="68">
        <v>0</v>
      </c>
      <c r="AS65" s="68">
        <v>0</v>
      </c>
      <c r="AT65" s="68">
        <v>1</v>
      </c>
      <c r="AU65" s="68">
        <v>109</v>
      </c>
      <c r="AV65" s="68">
        <v>31</v>
      </c>
      <c r="AW65" s="68">
        <v>13</v>
      </c>
      <c r="AX65" s="68">
        <v>65</v>
      </c>
    </row>
    <row r="66" spans="1:50" ht="15.75" customHeight="1">
      <c r="A66" s="346"/>
      <c r="B66" s="65" t="s">
        <v>225</v>
      </c>
      <c r="C66" s="68">
        <v>684</v>
      </c>
      <c r="D66" s="68">
        <v>77</v>
      </c>
      <c r="E66" s="68">
        <v>71</v>
      </c>
      <c r="F66" s="68">
        <v>536</v>
      </c>
      <c r="G66" s="68">
        <v>324</v>
      </c>
      <c r="H66" s="68">
        <v>27</v>
      </c>
      <c r="I66" s="68">
        <v>4</v>
      </c>
      <c r="J66" s="68">
        <v>293</v>
      </c>
      <c r="K66" s="68">
        <v>170</v>
      </c>
      <c r="L66" s="68">
        <v>20</v>
      </c>
      <c r="M66" s="68">
        <v>22</v>
      </c>
      <c r="N66" s="68">
        <v>128</v>
      </c>
      <c r="O66" s="68">
        <v>83</v>
      </c>
      <c r="P66" s="68">
        <v>17</v>
      </c>
      <c r="Q66" s="68">
        <v>28</v>
      </c>
      <c r="R66" s="68">
        <v>38</v>
      </c>
      <c r="S66" s="68">
        <v>1</v>
      </c>
      <c r="T66" s="68">
        <v>0</v>
      </c>
      <c r="U66" s="68">
        <v>0</v>
      </c>
      <c r="V66" s="68">
        <v>1</v>
      </c>
      <c r="W66" s="68">
        <v>106</v>
      </c>
      <c r="X66" s="68">
        <v>13</v>
      </c>
      <c r="Y66" s="68">
        <v>17</v>
      </c>
      <c r="Z66" s="68">
        <v>76</v>
      </c>
      <c r="AA66" s="68">
        <v>913</v>
      </c>
      <c r="AB66" s="68">
        <v>104</v>
      </c>
      <c r="AC66" s="68">
        <v>97</v>
      </c>
      <c r="AD66" s="68">
        <v>712</v>
      </c>
      <c r="AE66" s="68">
        <v>438</v>
      </c>
      <c r="AF66" s="68">
        <v>36</v>
      </c>
      <c r="AG66" s="68">
        <v>7</v>
      </c>
      <c r="AH66" s="68">
        <v>395</v>
      </c>
      <c r="AI66" s="68">
        <v>225</v>
      </c>
      <c r="AJ66" s="68">
        <v>29</v>
      </c>
      <c r="AK66" s="68">
        <v>31</v>
      </c>
      <c r="AL66" s="68">
        <v>165</v>
      </c>
      <c r="AM66" s="68">
        <v>102</v>
      </c>
      <c r="AN66" s="68">
        <v>18</v>
      </c>
      <c r="AO66" s="68">
        <v>35</v>
      </c>
      <c r="AP66" s="68">
        <v>49</v>
      </c>
      <c r="AQ66" s="68">
        <v>1</v>
      </c>
      <c r="AR66" s="68">
        <v>0</v>
      </c>
      <c r="AS66" s="68">
        <v>0</v>
      </c>
      <c r="AT66" s="68">
        <v>1</v>
      </c>
      <c r="AU66" s="68">
        <v>147</v>
      </c>
      <c r="AV66" s="68">
        <v>21</v>
      </c>
      <c r="AW66" s="68">
        <v>24</v>
      </c>
      <c r="AX66" s="68">
        <v>102</v>
      </c>
    </row>
    <row r="67" spans="1:50" ht="15.75" customHeight="1">
      <c r="A67" s="63" t="s">
        <v>220</v>
      </c>
      <c r="B67" s="64" t="s">
        <v>223</v>
      </c>
      <c r="C67" s="67">
        <v>1568</v>
      </c>
      <c r="D67" s="67">
        <v>244</v>
      </c>
      <c r="E67" s="67">
        <v>175</v>
      </c>
      <c r="F67" s="67">
        <v>1149</v>
      </c>
      <c r="G67" s="67">
        <v>705</v>
      </c>
      <c r="H67" s="67">
        <v>71</v>
      </c>
      <c r="I67" s="67">
        <v>21</v>
      </c>
      <c r="J67" s="67">
        <v>613</v>
      </c>
      <c r="K67" s="67">
        <v>410</v>
      </c>
      <c r="L67" s="67">
        <v>64</v>
      </c>
      <c r="M67" s="67">
        <v>54</v>
      </c>
      <c r="N67" s="67">
        <v>292</v>
      </c>
      <c r="O67" s="67">
        <v>196</v>
      </c>
      <c r="P67" s="67">
        <v>54</v>
      </c>
      <c r="Q67" s="67">
        <v>73</v>
      </c>
      <c r="R67" s="67">
        <v>69</v>
      </c>
      <c r="S67" s="67">
        <v>0</v>
      </c>
      <c r="T67" s="67">
        <v>0</v>
      </c>
      <c r="U67" s="67">
        <v>0</v>
      </c>
      <c r="V67" s="67">
        <v>0</v>
      </c>
      <c r="W67" s="67">
        <v>257</v>
      </c>
      <c r="X67" s="67">
        <v>55</v>
      </c>
      <c r="Y67" s="67">
        <v>27</v>
      </c>
      <c r="Z67" s="67">
        <v>175</v>
      </c>
      <c r="AA67" s="67">
        <v>1568</v>
      </c>
      <c r="AB67" s="67">
        <v>244</v>
      </c>
      <c r="AC67" s="67">
        <v>175</v>
      </c>
      <c r="AD67" s="67">
        <v>1149</v>
      </c>
      <c r="AE67" s="67">
        <v>705</v>
      </c>
      <c r="AF67" s="67">
        <v>71</v>
      </c>
      <c r="AG67" s="67">
        <v>21</v>
      </c>
      <c r="AH67" s="67">
        <v>613</v>
      </c>
      <c r="AI67" s="67">
        <v>410</v>
      </c>
      <c r="AJ67" s="67">
        <v>64</v>
      </c>
      <c r="AK67" s="67">
        <v>54</v>
      </c>
      <c r="AL67" s="67">
        <v>292</v>
      </c>
      <c r="AM67" s="67">
        <v>196</v>
      </c>
      <c r="AN67" s="67">
        <v>54</v>
      </c>
      <c r="AO67" s="67">
        <v>73</v>
      </c>
      <c r="AP67" s="67">
        <v>69</v>
      </c>
      <c r="AQ67" s="67">
        <v>0</v>
      </c>
      <c r="AR67" s="67">
        <v>0</v>
      </c>
      <c r="AS67" s="67">
        <v>0</v>
      </c>
      <c r="AT67" s="67">
        <v>0</v>
      </c>
      <c r="AU67" s="67">
        <v>257</v>
      </c>
      <c r="AV67" s="67">
        <v>55</v>
      </c>
      <c r="AW67" s="67">
        <v>27</v>
      </c>
      <c r="AX67" s="67">
        <v>175</v>
      </c>
    </row>
    <row r="68" spans="1:50" ht="15.75" customHeight="1">
      <c r="A68" s="345" t="s">
        <v>21</v>
      </c>
      <c r="B68" s="65" t="s">
        <v>224</v>
      </c>
      <c r="C68" s="68">
        <v>637</v>
      </c>
      <c r="D68" s="68">
        <v>123</v>
      </c>
      <c r="E68" s="68">
        <v>86</v>
      </c>
      <c r="F68" s="68">
        <v>428</v>
      </c>
      <c r="G68" s="68">
        <v>244</v>
      </c>
      <c r="H68" s="68">
        <v>32</v>
      </c>
      <c r="I68" s="68">
        <v>6</v>
      </c>
      <c r="J68" s="68">
        <v>206</v>
      </c>
      <c r="K68" s="68">
        <v>186</v>
      </c>
      <c r="L68" s="68">
        <v>27</v>
      </c>
      <c r="M68" s="68">
        <v>30</v>
      </c>
      <c r="N68" s="68">
        <v>129</v>
      </c>
      <c r="O68" s="68">
        <v>109</v>
      </c>
      <c r="P68" s="68">
        <v>35</v>
      </c>
      <c r="Q68" s="68">
        <v>35</v>
      </c>
      <c r="R68" s="68">
        <v>39</v>
      </c>
      <c r="S68" s="68">
        <v>0</v>
      </c>
      <c r="T68" s="68">
        <v>0</v>
      </c>
      <c r="U68" s="68">
        <v>0</v>
      </c>
      <c r="V68" s="68">
        <v>0</v>
      </c>
      <c r="W68" s="68">
        <v>98</v>
      </c>
      <c r="X68" s="68">
        <v>29</v>
      </c>
      <c r="Y68" s="68">
        <v>15</v>
      </c>
      <c r="Z68" s="68">
        <v>54</v>
      </c>
      <c r="AA68" s="68">
        <v>637</v>
      </c>
      <c r="AB68" s="68">
        <v>123</v>
      </c>
      <c r="AC68" s="68">
        <v>86</v>
      </c>
      <c r="AD68" s="68">
        <v>428</v>
      </c>
      <c r="AE68" s="68">
        <v>244</v>
      </c>
      <c r="AF68" s="68">
        <v>32</v>
      </c>
      <c r="AG68" s="68">
        <v>6</v>
      </c>
      <c r="AH68" s="68">
        <v>206</v>
      </c>
      <c r="AI68" s="68">
        <v>186</v>
      </c>
      <c r="AJ68" s="68">
        <v>27</v>
      </c>
      <c r="AK68" s="68">
        <v>30</v>
      </c>
      <c r="AL68" s="68">
        <v>129</v>
      </c>
      <c r="AM68" s="68">
        <v>109</v>
      </c>
      <c r="AN68" s="68">
        <v>35</v>
      </c>
      <c r="AO68" s="68">
        <v>35</v>
      </c>
      <c r="AP68" s="68">
        <v>39</v>
      </c>
      <c r="AQ68" s="68">
        <v>0</v>
      </c>
      <c r="AR68" s="68">
        <v>0</v>
      </c>
      <c r="AS68" s="68">
        <v>0</v>
      </c>
      <c r="AT68" s="68">
        <v>0</v>
      </c>
      <c r="AU68" s="68">
        <v>98</v>
      </c>
      <c r="AV68" s="68">
        <v>29</v>
      </c>
      <c r="AW68" s="68">
        <v>15</v>
      </c>
      <c r="AX68" s="68">
        <v>54</v>
      </c>
    </row>
    <row r="69" spans="1:50" ht="15.75" customHeight="1">
      <c r="A69" s="346"/>
      <c r="B69" s="65" t="s">
        <v>225</v>
      </c>
      <c r="C69" s="68">
        <v>931</v>
      </c>
      <c r="D69" s="68">
        <v>121</v>
      </c>
      <c r="E69" s="68">
        <v>89</v>
      </c>
      <c r="F69" s="68">
        <v>721</v>
      </c>
      <c r="G69" s="68">
        <v>461</v>
      </c>
      <c r="H69" s="68">
        <v>39</v>
      </c>
      <c r="I69" s="68">
        <v>15</v>
      </c>
      <c r="J69" s="68">
        <v>407</v>
      </c>
      <c r="K69" s="68">
        <v>224</v>
      </c>
      <c r="L69" s="68">
        <v>37</v>
      </c>
      <c r="M69" s="68">
        <v>24</v>
      </c>
      <c r="N69" s="68">
        <v>163</v>
      </c>
      <c r="O69" s="68">
        <v>87</v>
      </c>
      <c r="P69" s="68">
        <v>19</v>
      </c>
      <c r="Q69" s="68">
        <v>38</v>
      </c>
      <c r="R69" s="68">
        <v>30</v>
      </c>
      <c r="S69" s="68">
        <v>0</v>
      </c>
      <c r="T69" s="68">
        <v>0</v>
      </c>
      <c r="U69" s="68">
        <v>0</v>
      </c>
      <c r="V69" s="68">
        <v>0</v>
      </c>
      <c r="W69" s="68">
        <v>159</v>
      </c>
      <c r="X69" s="68">
        <v>26</v>
      </c>
      <c r="Y69" s="68">
        <v>12</v>
      </c>
      <c r="Z69" s="68">
        <v>121</v>
      </c>
      <c r="AA69" s="68">
        <v>931</v>
      </c>
      <c r="AB69" s="68">
        <v>121</v>
      </c>
      <c r="AC69" s="68">
        <v>89</v>
      </c>
      <c r="AD69" s="68">
        <v>721</v>
      </c>
      <c r="AE69" s="68">
        <v>461</v>
      </c>
      <c r="AF69" s="68">
        <v>39</v>
      </c>
      <c r="AG69" s="68">
        <v>15</v>
      </c>
      <c r="AH69" s="68">
        <v>407</v>
      </c>
      <c r="AI69" s="68">
        <v>224</v>
      </c>
      <c r="AJ69" s="68">
        <v>37</v>
      </c>
      <c r="AK69" s="68">
        <v>24</v>
      </c>
      <c r="AL69" s="68">
        <v>163</v>
      </c>
      <c r="AM69" s="68">
        <v>87</v>
      </c>
      <c r="AN69" s="68">
        <v>19</v>
      </c>
      <c r="AO69" s="68">
        <v>38</v>
      </c>
      <c r="AP69" s="68">
        <v>30</v>
      </c>
      <c r="AQ69" s="68">
        <v>0</v>
      </c>
      <c r="AR69" s="68">
        <v>0</v>
      </c>
      <c r="AS69" s="68">
        <v>0</v>
      </c>
      <c r="AT69" s="68">
        <v>0</v>
      </c>
      <c r="AU69" s="68">
        <v>159</v>
      </c>
      <c r="AV69" s="68">
        <v>26</v>
      </c>
      <c r="AW69" s="68">
        <v>12</v>
      </c>
      <c r="AX69" s="68">
        <v>121</v>
      </c>
    </row>
    <row r="70" spans="1:50" ht="15.75" customHeight="1">
      <c r="A70" s="63" t="s">
        <v>221</v>
      </c>
      <c r="B70" s="64" t="s">
        <v>223</v>
      </c>
      <c r="C70" s="67">
        <v>524</v>
      </c>
      <c r="D70" s="67">
        <v>16</v>
      </c>
      <c r="E70" s="67">
        <v>3</v>
      </c>
      <c r="F70" s="67">
        <v>505</v>
      </c>
      <c r="G70" s="67">
        <v>282</v>
      </c>
      <c r="H70" s="67">
        <v>1</v>
      </c>
      <c r="I70" s="67">
        <v>0</v>
      </c>
      <c r="J70" s="67">
        <v>281</v>
      </c>
      <c r="K70" s="67">
        <v>149</v>
      </c>
      <c r="L70" s="67">
        <v>6</v>
      </c>
      <c r="M70" s="67">
        <v>0</v>
      </c>
      <c r="N70" s="67">
        <v>143</v>
      </c>
      <c r="O70" s="67">
        <v>46</v>
      </c>
      <c r="P70" s="67">
        <v>5</v>
      </c>
      <c r="Q70" s="67">
        <v>2</v>
      </c>
      <c r="R70" s="67">
        <v>39</v>
      </c>
      <c r="S70" s="67">
        <v>0</v>
      </c>
      <c r="T70" s="67">
        <v>0</v>
      </c>
      <c r="U70" s="67">
        <v>0</v>
      </c>
      <c r="V70" s="67">
        <v>0</v>
      </c>
      <c r="W70" s="67">
        <v>47</v>
      </c>
      <c r="X70" s="67">
        <v>4</v>
      </c>
      <c r="Y70" s="67">
        <v>1</v>
      </c>
      <c r="Z70" s="67">
        <v>42</v>
      </c>
      <c r="AA70" s="67">
        <v>824</v>
      </c>
      <c r="AB70" s="67">
        <v>24</v>
      </c>
      <c r="AC70" s="67">
        <v>7</v>
      </c>
      <c r="AD70" s="67">
        <v>793</v>
      </c>
      <c r="AE70" s="67">
        <v>421</v>
      </c>
      <c r="AF70" s="67">
        <v>1</v>
      </c>
      <c r="AG70" s="67">
        <v>0</v>
      </c>
      <c r="AH70" s="67">
        <v>420</v>
      </c>
      <c r="AI70" s="67">
        <v>263</v>
      </c>
      <c r="AJ70" s="67">
        <v>8</v>
      </c>
      <c r="AK70" s="67">
        <v>0</v>
      </c>
      <c r="AL70" s="67">
        <v>255</v>
      </c>
      <c r="AM70" s="67">
        <v>82</v>
      </c>
      <c r="AN70" s="67">
        <v>13</v>
      </c>
      <c r="AO70" s="67">
        <v>6</v>
      </c>
      <c r="AP70" s="67">
        <v>63</v>
      </c>
      <c r="AQ70" s="67">
        <v>0</v>
      </c>
      <c r="AR70" s="67">
        <v>0</v>
      </c>
      <c r="AS70" s="67">
        <v>0</v>
      </c>
      <c r="AT70" s="67">
        <v>0</v>
      </c>
      <c r="AU70" s="67">
        <v>58</v>
      </c>
      <c r="AV70" s="67">
        <v>2</v>
      </c>
      <c r="AW70" s="67">
        <v>1</v>
      </c>
      <c r="AX70" s="67">
        <v>55</v>
      </c>
    </row>
    <row r="71" spans="1:50" ht="15.75" customHeight="1">
      <c r="A71" s="345" t="s">
        <v>22</v>
      </c>
      <c r="B71" s="65" t="s">
        <v>224</v>
      </c>
      <c r="C71" s="68">
        <v>195</v>
      </c>
      <c r="D71" s="68">
        <v>8</v>
      </c>
      <c r="E71" s="68">
        <v>2</v>
      </c>
      <c r="F71" s="68">
        <v>185</v>
      </c>
      <c r="G71" s="68">
        <v>88</v>
      </c>
      <c r="H71" s="68">
        <v>0</v>
      </c>
      <c r="I71" s="68">
        <v>0</v>
      </c>
      <c r="J71" s="68">
        <v>88</v>
      </c>
      <c r="K71" s="68">
        <v>60</v>
      </c>
      <c r="L71" s="68">
        <v>3</v>
      </c>
      <c r="M71" s="68">
        <v>0</v>
      </c>
      <c r="N71" s="68">
        <v>57</v>
      </c>
      <c r="O71" s="68">
        <v>30</v>
      </c>
      <c r="P71" s="68">
        <v>3</v>
      </c>
      <c r="Q71" s="68">
        <v>2</v>
      </c>
      <c r="R71" s="68">
        <v>25</v>
      </c>
      <c r="S71" s="68">
        <v>0</v>
      </c>
      <c r="T71" s="68">
        <v>0</v>
      </c>
      <c r="U71" s="68">
        <v>0</v>
      </c>
      <c r="V71" s="68">
        <v>0</v>
      </c>
      <c r="W71" s="68">
        <v>17</v>
      </c>
      <c r="X71" s="68">
        <v>2</v>
      </c>
      <c r="Y71" s="68">
        <v>0</v>
      </c>
      <c r="Z71" s="68">
        <v>15</v>
      </c>
      <c r="AA71" s="68">
        <v>316</v>
      </c>
      <c r="AB71" s="68">
        <v>12</v>
      </c>
      <c r="AC71" s="68">
        <v>4</v>
      </c>
      <c r="AD71" s="68">
        <v>300</v>
      </c>
      <c r="AE71" s="68">
        <v>135</v>
      </c>
      <c r="AF71" s="68">
        <v>0</v>
      </c>
      <c r="AG71" s="68">
        <v>0</v>
      </c>
      <c r="AH71" s="68">
        <v>135</v>
      </c>
      <c r="AI71" s="68">
        <v>109</v>
      </c>
      <c r="AJ71" s="68">
        <v>4</v>
      </c>
      <c r="AK71" s="68">
        <v>0</v>
      </c>
      <c r="AL71" s="68">
        <v>105</v>
      </c>
      <c r="AM71" s="68">
        <v>49</v>
      </c>
      <c r="AN71" s="68">
        <v>8</v>
      </c>
      <c r="AO71" s="68">
        <v>4</v>
      </c>
      <c r="AP71" s="68">
        <v>37</v>
      </c>
      <c r="AQ71" s="68">
        <v>0</v>
      </c>
      <c r="AR71" s="68">
        <v>0</v>
      </c>
      <c r="AS71" s="68">
        <v>0</v>
      </c>
      <c r="AT71" s="68">
        <v>0</v>
      </c>
      <c r="AU71" s="68">
        <v>23</v>
      </c>
      <c r="AV71" s="68">
        <v>0</v>
      </c>
      <c r="AW71" s="68">
        <v>0</v>
      </c>
      <c r="AX71" s="68">
        <v>23</v>
      </c>
    </row>
    <row r="72" spans="1:50" ht="15.75" customHeight="1">
      <c r="A72" s="346"/>
      <c r="B72" s="65" t="s">
        <v>225</v>
      </c>
      <c r="C72" s="68">
        <v>329</v>
      </c>
      <c r="D72" s="68">
        <v>8</v>
      </c>
      <c r="E72" s="68">
        <v>1</v>
      </c>
      <c r="F72" s="68">
        <v>320</v>
      </c>
      <c r="G72" s="68">
        <v>194</v>
      </c>
      <c r="H72" s="68">
        <v>1</v>
      </c>
      <c r="I72" s="68">
        <v>0</v>
      </c>
      <c r="J72" s="68">
        <v>193</v>
      </c>
      <c r="K72" s="68">
        <v>89</v>
      </c>
      <c r="L72" s="68">
        <v>3</v>
      </c>
      <c r="M72" s="68">
        <v>0</v>
      </c>
      <c r="N72" s="68">
        <v>86</v>
      </c>
      <c r="O72" s="68">
        <v>16</v>
      </c>
      <c r="P72" s="68">
        <v>2</v>
      </c>
      <c r="Q72" s="68">
        <v>0</v>
      </c>
      <c r="R72" s="68">
        <v>14</v>
      </c>
      <c r="S72" s="68">
        <v>0</v>
      </c>
      <c r="T72" s="68">
        <v>0</v>
      </c>
      <c r="U72" s="68">
        <v>0</v>
      </c>
      <c r="V72" s="68">
        <v>0</v>
      </c>
      <c r="W72" s="68">
        <v>30</v>
      </c>
      <c r="X72" s="68">
        <v>2</v>
      </c>
      <c r="Y72" s="68">
        <v>1</v>
      </c>
      <c r="Z72" s="68">
        <v>27</v>
      </c>
      <c r="AA72" s="68">
        <v>508</v>
      </c>
      <c r="AB72" s="68">
        <v>12</v>
      </c>
      <c r="AC72" s="68">
        <v>3</v>
      </c>
      <c r="AD72" s="68">
        <v>493</v>
      </c>
      <c r="AE72" s="68">
        <v>286</v>
      </c>
      <c r="AF72" s="68">
        <v>1</v>
      </c>
      <c r="AG72" s="68">
        <v>0</v>
      </c>
      <c r="AH72" s="68">
        <v>285</v>
      </c>
      <c r="AI72" s="68">
        <v>154</v>
      </c>
      <c r="AJ72" s="68">
        <v>4</v>
      </c>
      <c r="AK72" s="68">
        <v>0</v>
      </c>
      <c r="AL72" s="68">
        <v>150</v>
      </c>
      <c r="AM72" s="68">
        <v>33</v>
      </c>
      <c r="AN72" s="68">
        <v>5</v>
      </c>
      <c r="AO72" s="68">
        <v>2</v>
      </c>
      <c r="AP72" s="68">
        <v>26</v>
      </c>
      <c r="AQ72" s="68">
        <v>0</v>
      </c>
      <c r="AR72" s="68">
        <v>0</v>
      </c>
      <c r="AS72" s="68">
        <v>0</v>
      </c>
      <c r="AT72" s="68">
        <v>0</v>
      </c>
      <c r="AU72" s="68">
        <v>35</v>
      </c>
      <c r="AV72" s="68">
        <v>2</v>
      </c>
      <c r="AW72" s="68">
        <v>1</v>
      </c>
      <c r="AX72" s="68">
        <v>32</v>
      </c>
    </row>
    <row r="73" spans="1:50" ht="15.75" customHeight="1">
      <c r="A73" s="63" t="s">
        <v>222</v>
      </c>
      <c r="B73" s="64" t="s">
        <v>223</v>
      </c>
      <c r="C73" s="67">
        <v>8</v>
      </c>
      <c r="D73" s="67">
        <v>1</v>
      </c>
      <c r="E73" s="67">
        <v>1</v>
      </c>
      <c r="F73" s="67">
        <v>6</v>
      </c>
      <c r="G73" s="67">
        <v>4</v>
      </c>
      <c r="H73" s="67">
        <v>0</v>
      </c>
      <c r="I73" s="67">
        <v>0</v>
      </c>
      <c r="J73" s="67">
        <v>4</v>
      </c>
      <c r="K73" s="67">
        <v>0</v>
      </c>
      <c r="L73" s="67">
        <v>0</v>
      </c>
      <c r="M73" s="67">
        <v>0</v>
      </c>
      <c r="N73" s="67">
        <v>0</v>
      </c>
      <c r="O73" s="67">
        <v>3</v>
      </c>
      <c r="P73" s="67">
        <v>0</v>
      </c>
      <c r="Q73" s="67">
        <v>1</v>
      </c>
      <c r="R73" s="67">
        <v>2</v>
      </c>
      <c r="S73" s="67">
        <v>0</v>
      </c>
      <c r="T73" s="67">
        <v>0</v>
      </c>
      <c r="U73" s="67">
        <v>0</v>
      </c>
      <c r="V73" s="67">
        <v>0</v>
      </c>
      <c r="W73" s="67">
        <v>1</v>
      </c>
      <c r="X73" s="67">
        <v>1</v>
      </c>
      <c r="Y73" s="67">
        <v>0</v>
      </c>
      <c r="Z73" s="67">
        <v>0</v>
      </c>
      <c r="AA73" s="67">
        <v>10</v>
      </c>
      <c r="AB73" s="67">
        <v>1</v>
      </c>
      <c r="AC73" s="67">
        <v>1</v>
      </c>
      <c r="AD73" s="67">
        <v>8</v>
      </c>
      <c r="AE73" s="67">
        <v>5</v>
      </c>
      <c r="AF73" s="67">
        <v>0</v>
      </c>
      <c r="AG73" s="67">
        <v>0</v>
      </c>
      <c r="AH73" s="67">
        <v>5</v>
      </c>
      <c r="AI73" s="67">
        <v>1</v>
      </c>
      <c r="AJ73" s="67">
        <v>0</v>
      </c>
      <c r="AK73" s="67">
        <v>0</v>
      </c>
      <c r="AL73" s="67">
        <v>1</v>
      </c>
      <c r="AM73" s="67">
        <v>3</v>
      </c>
      <c r="AN73" s="67">
        <v>0</v>
      </c>
      <c r="AO73" s="67">
        <v>1</v>
      </c>
      <c r="AP73" s="67">
        <v>2</v>
      </c>
      <c r="AQ73" s="67">
        <v>0</v>
      </c>
      <c r="AR73" s="67">
        <v>0</v>
      </c>
      <c r="AS73" s="67">
        <v>0</v>
      </c>
      <c r="AT73" s="67">
        <v>0</v>
      </c>
      <c r="AU73" s="67">
        <v>1</v>
      </c>
      <c r="AV73" s="67">
        <v>1</v>
      </c>
      <c r="AW73" s="67">
        <v>0</v>
      </c>
      <c r="AX73" s="67">
        <v>0</v>
      </c>
    </row>
    <row r="74" spans="1:50" ht="15.75" customHeight="1">
      <c r="A74" s="345" t="s">
        <v>23</v>
      </c>
      <c r="B74" s="65" t="s">
        <v>224</v>
      </c>
      <c r="C74" s="68">
        <v>3</v>
      </c>
      <c r="D74" s="68">
        <v>1</v>
      </c>
      <c r="E74" s="68">
        <v>1</v>
      </c>
      <c r="F74" s="68">
        <v>1</v>
      </c>
      <c r="G74" s="68">
        <v>1</v>
      </c>
      <c r="H74" s="68">
        <v>0</v>
      </c>
      <c r="I74" s="68">
        <v>0</v>
      </c>
      <c r="J74" s="68">
        <v>1</v>
      </c>
      <c r="K74" s="68">
        <v>0</v>
      </c>
      <c r="L74" s="68">
        <v>0</v>
      </c>
      <c r="M74" s="68">
        <v>0</v>
      </c>
      <c r="N74" s="68">
        <v>0</v>
      </c>
      <c r="O74" s="68">
        <v>1</v>
      </c>
      <c r="P74" s="68">
        <v>0</v>
      </c>
      <c r="Q74" s="68">
        <v>1</v>
      </c>
      <c r="R74" s="68">
        <v>0</v>
      </c>
      <c r="S74" s="68">
        <v>0</v>
      </c>
      <c r="T74" s="68">
        <v>0</v>
      </c>
      <c r="U74" s="68">
        <v>0</v>
      </c>
      <c r="V74" s="68">
        <v>0</v>
      </c>
      <c r="W74" s="68">
        <v>1</v>
      </c>
      <c r="X74" s="68">
        <v>1</v>
      </c>
      <c r="Y74" s="68">
        <v>0</v>
      </c>
      <c r="Z74" s="68">
        <v>0</v>
      </c>
      <c r="AA74" s="68">
        <v>3</v>
      </c>
      <c r="AB74" s="68">
        <v>1</v>
      </c>
      <c r="AC74" s="68">
        <v>1</v>
      </c>
      <c r="AD74" s="68">
        <v>1</v>
      </c>
      <c r="AE74" s="68">
        <v>1</v>
      </c>
      <c r="AF74" s="68">
        <v>0</v>
      </c>
      <c r="AG74" s="68">
        <v>0</v>
      </c>
      <c r="AH74" s="68">
        <v>1</v>
      </c>
      <c r="AI74" s="68">
        <v>0</v>
      </c>
      <c r="AJ74" s="68">
        <v>0</v>
      </c>
      <c r="AK74" s="68">
        <v>0</v>
      </c>
      <c r="AL74" s="68">
        <v>0</v>
      </c>
      <c r="AM74" s="68">
        <v>1</v>
      </c>
      <c r="AN74" s="68">
        <v>0</v>
      </c>
      <c r="AO74" s="68">
        <v>1</v>
      </c>
      <c r="AP74" s="68">
        <v>0</v>
      </c>
      <c r="AQ74" s="68">
        <v>0</v>
      </c>
      <c r="AR74" s="68">
        <v>0</v>
      </c>
      <c r="AS74" s="68">
        <v>0</v>
      </c>
      <c r="AT74" s="68">
        <v>0</v>
      </c>
      <c r="AU74" s="68">
        <v>1</v>
      </c>
      <c r="AV74" s="68">
        <v>1</v>
      </c>
      <c r="AW74" s="68">
        <v>0</v>
      </c>
      <c r="AX74" s="68">
        <v>0</v>
      </c>
    </row>
    <row r="75" spans="1:50" ht="15.75" customHeight="1">
      <c r="A75" s="346"/>
      <c r="B75" s="66" t="s">
        <v>225</v>
      </c>
      <c r="C75" s="69">
        <v>5</v>
      </c>
      <c r="D75" s="69">
        <v>0</v>
      </c>
      <c r="E75" s="69">
        <v>0</v>
      </c>
      <c r="F75" s="69">
        <v>5</v>
      </c>
      <c r="G75" s="69">
        <v>3</v>
      </c>
      <c r="H75" s="69">
        <v>0</v>
      </c>
      <c r="I75" s="69">
        <v>0</v>
      </c>
      <c r="J75" s="69">
        <v>3</v>
      </c>
      <c r="K75" s="69">
        <v>0</v>
      </c>
      <c r="L75" s="69">
        <v>0</v>
      </c>
      <c r="M75" s="69">
        <v>0</v>
      </c>
      <c r="N75" s="69">
        <v>0</v>
      </c>
      <c r="O75" s="69">
        <v>2</v>
      </c>
      <c r="P75" s="69">
        <v>0</v>
      </c>
      <c r="Q75" s="69">
        <v>0</v>
      </c>
      <c r="R75" s="69">
        <v>2</v>
      </c>
      <c r="S75" s="69">
        <v>0</v>
      </c>
      <c r="T75" s="69">
        <v>0</v>
      </c>
      <c r="U75" s="69">
        <v>0</v>
      </c>
      <c r="V75" s="69">
        <v>0</v>
      </c>
      <c r="W75" s="69">
        <v>0</v>
      </c>
      <c r="X75" s="69">
        <v>0</v>
      </c>
      <c r="Y75" s="69">
        <v>0</v>
      </c>
      <c r="Z75" s="69">
        <v>0</v>
      </c>
      <c r="AA75" s="69">
        <v>7</v>
      </c>
      <c r="AB75" s="69">
        <v>0</v>
      </c>
      <c r="AC75" s="69">
        <v>0</v>
      </c>
      <c r="AD75" s="69">
        <v>7</v>
      </c>
      <c r="AE75" s="69">
        <v>4</v>
      </c>
      <c r="AF75" s="69">
        <v>0</v>
      </c>
      <c r="AG75" s="69">
        <v>0</v>
      </c>
      <c r="AH75" s="69">
        <v>4</v>
      </c>
      <c r="AI75" s="69">
        <v>1</v>
      </c>
      <c r="AJ75" s="69">
        <v>0</v>
      </c>
      <c r="AK75" s="69">
        <v>0</v>
      </c>
      <c r="AL75" s="69">
        <v>1</v>
      </c>
      <c r="AM75" s="69">
        <v>2</v>
      </c>
      <c r="AN75" s="69">
        <v>0</v>
      </c>
      <c r="AO75" s="69">
        <v>0</v>
      </c>
      <c r="AP75" s="69">
        <v>2</v>
      </c>
      <c r="AQ75" s="69">
        <v>0</v>
      </c>
      <c r="AR75" s="69">
        <v>0</v>
      </c>
      <c r="AS75" s="69">
        <v>0</v>
      </c>
      <c r="AT75" s="69">
        <v>0</v>
      </c>
      <c r="AU75" s="69">
        <v>0</v>
      </c>
      <c r="AV75" s="69">
        <v>0</v>
      </c>
      <c r="AW75" s="69">
        <v>0</v>
      </c>
      <c r="AX75" s="69">
        <v>0</v>
      </c>
    </row>
    <row r="76" spans="1:50" ht="15" customHeight="1">
      <c r="A76" s="14" t="s">
        <v>77</v>
      </c>
      <c r="B76" s="24"/>
    </row>
    <row r="77" spans="1:50" ht="15" customHeight="1">
      <c r="A77" s="61" t="s">
        <v>192</v>
      </c>
      <c r="B77" s="24"/>
    </row>
    <row r="78" spans="1:50" ht="15" customHeight="1">
      <c r="A78" s="15" t="s">
        <v>2</v>
      </c>
      <c r="B78" s="15"/>
    </row>
    <row r="80" spans="1:50">
      <c r="A80" s="71" t="s">
        <v>243</v>
      </c>
    </row>
    <row r="82" spans="1:50" s="13" customFormat="1" ht="15.75" hidden="1" customHeight="1">
      <c r="A82" s="63" t="s">
        <v>200</v>
      </c>
      <c r="B82" s="64" t="s">
        <v>223</v>
      </c>
      <c r="C82" s="67">
        <v>105470</v>
      </c>
      <c r="D82" s="67">
        <v>22103</v>
      </c>
      <c r="E82" s="67">
        <v>11989</v>
      </c>
      <c r="F82" s="67">
        <v>71378</v>
      </c>
      <c r="G82" s="67">
        <v>42599</v>
      </c>
      <c r="H82" s="67">
        <v>5968</v>
      </c>
      <c r="I82" s="67">
        <v>1107</v>
      </c>
      <c r="J82" s="67">
        <v>35524</v>
      </c>
      <c r="K82" s="67">
        <v>30299</v>
      </c>
      <c r="L82" s="67">
        <v>5880</v>
      </c>
      <c r="M82" s="67">
        <v>3058</v>
      </c>
      <c r="N82" s="67">
        <v>21361</v>
      </c>
      <c r="O82" s="67">
        <v>18434</v>
      </c>
      <c r="P82" s="67">
        <v>6799</v>
      </c>
      <c r="Q82" s="67">
        <v>6052</v>
      </c>
      <c r="R82" s="67">
        <v>5583</v>
      </c>
      <c r="S82" s="67">
        <v>956</v>
      </c>
      <c r="T82" s="67">
        <v>372</v>
      </c>
      <c r="U82" s="67">
        <v>264</v>
      </c>
      <c r="V82" s="67">
        <v>320</v>
      </c>
      <c r="W82" s="67">
        <v>13182</v>
      </c>
      <c r="X82" s="67">
        <v>3084</v>
      </c>
      <c r="Y82" s="67">
        <v>1508</v>
      </c>
      <c r="Z82" s="67">
        <v>8590</v>
      </c>
      <c r="AA82" s="67">
        <v>193657</v>
      </c>
      <c r="AB82" s="67">
        <v>37124</v>
      </c>
      <c r="AC82" s="67">
        <v>19559</v>
      </c>
      <c r="AD82" s="67">
        <v>136974</v>
      </c>
      <c r="AE82" s="67">
        <v>82944</v>
      </c>
      <c r="AF82" s="67">
        <v>11060</v>
      </c>
      <c r="AG82" s="67">
        <v>2814</v>
      </c>
      <c r="AH82" s="67">
        <v>69070</v>
      </c>
      <c r="AI82" s="67">
        <v>56154</v>
      </c>
      <c r="AJ82" s="67">
        <v>10326</v>
      </c>
      <c r="AK82" s="67">
        <v>5258</v>
      </c>
      <c r="AL82" s="67">
        <v>40570</v>
      </c>
      <c r="AM82" s="67">
        <v>28025</v>
      </c>
      <c r="AN82" s="67">
        <v>10241</v>
      </c>
      <c r="AO82" s="67">
        <v>8818</v>
      </c>
      <c r="AP82" s="67">
        <v>8966</v>
      </c>
      <c r="AQ82" s="67">
        <v>2681</v>
      </c>
      <c r="AR82" s="67">
        <v>778</v>
      </c>
      <c r="AS82" s="67">
        <v>502</v>
      </c>
      <c r="AT82" s="67">
        <v>1401</v>
      </c>
      <c r="AU82" s="67">
        <v>23853</v>
      </c>
      <c r="AV82" s="67">
        <v>4719</v>
      </c>
      <c r="AW82" s="67">
        <v>2167</v>
      </c>
      <c r="AX82" s="67">
        <v>16967</v>
      </c>
    </row>
    <row r="83" spans="1:50" s="13" customFormat="1" ht="15.75" hidden="1" customHeight="1">
      <c r="A83" s="347" t="s">
        <v>199</v>
      </c>
      <c r="B83" s="65" t="s">
        <v>224</v>
      </c>
      <c r="C83" s="68">
        <v>44463</v>
      </c>
      <c r="D83" s="68">
        <v>11681</v>
      </c>
      <c r="E83" s="68">
        <v>6001</v>
      </c>
      <c r="F83" s="68">
        <v>26781</v>
      </c>
      <c r="G83" s="68">
        <v>13828</v>
      </c>
      <c r="H83" s="68">
        <v>2335</v>
      </c>
      <c r="I83" s="68">
        <v>390</v>
      </c>
      <c r="J83" s="68">
        <v>11103</v>
      </c>
      <c r="K83" s="68">
        <v>14008</v>
      </c>
      <c r="L83" s="68">
        <v>3077</v>
      </c>
      <c r="M83" s="68">
        <v>1495</v>
      </c>
      <c r="N83" s="68">
        <v>9436</v>
      </c>
      <c r="O83" s="68">
        <v>10816</v>
      </c>
      <c r="P83" s="68">
        <v>4495</v>
      </c>
      <c r="Q83" s="68">
        <v>3332</v>
      </c>
      <c r="R83" s="68">
        <v>2989</v>
      </c>
      <c r="S83" s="68">
        <v>575</v>
      </c>
      <c r="T83" s="68">
        <v>283</v>
      </c>
      <c r="U83" s="68">
        <v>145</v>
      </c>
      <c r="V83" s="68">
        <v>147</v>
      </c>
      <c r="W83" s="68">
        <v>5236</v>
      </c>
      <c r="X83" s="68">
        <v>1491</v>
      </c>
      <c r="Y83" s="68">
        <v>639</v>
      </c>
      <c r="Z83" s="68">
        <v>3106</v>
      </c>
      <c r="AA83" s="68">
        <v>82010</v>
      </c>
      <c r="AB83" s="68">
        <v>19230</v>
      </c>
      <c r="AC83" s="68">
        <v>9747</v>
      </c>
      <c r="AD83" s="68">
        <v>53033</v>
      </c>
      <c r="AE83" s="68">
        <v>28995</v>
      </c>
      <c r="AF83" s="68">
        <v>4517</v>
      </c>
      <c r="AG83" s="68">
        <v>1146</v>
      </c>
      <c r="AH83" s="68">
        <v>23332</v>
      </c>
      <c r="AI83" s="68">
        <v>26035</v>
      </c>
      <c r="AJ83" s="68">
        <v>5404</v>
      </c>
      <c r="AK83" s="68">
        <v>2568</v>
      </c>
      <c r="AL83" s="68">
        <v>18063</v>
      </c>
      <c r="AM83" s="68">
        <v>16365</v>
      </c>
      <c r="AN83" s="68">
        <v>6674</v>
      </c>
      <c r="AO83" s="68">
        <v>4873</v>
      </c>
      <c r="AP83" s="68">
        <v>4818</v>
      </c>
      <c r="AQ83" s="68">
        <v>1275</v>
      </c>
      <c r="AR83" s="68">
        <v>515</v>
      </c>
      <c r="AS83" s="68">
        <v>235</v>
      </c>
      <c r="AT83" s="68">
        <v>525</v>
      </c>
      <c r="AU83" s="68">
        <v>9340</v>
      </c>
      <c r="AV83" s="68">
        <v>2120</v>
      </c>
      <c r="AW83" s="68">
        <v>925</v>
      </c>
      <c r="AX83" s="68">
        <v>6295</v>
      </c>
    </row>
    <row r="84" spans="1:50" s="13" customFormat="1" ht="15.75" hidden="1" customHeight="1">
      <c r="A84" s="348"/>
      <c r="B84" s="65" t="s">
        <v>225</v>
      </c>
      <c r="C84" s="68">
        <v>61007</v>
      </c>
      <c r="D84" s="68">
        <v>10422</v>
      </c>
      <c r="E84" s="68">
        <v>5988</v>
      </c>
      <c r="F84" s="68">
        <v>44597</v>
      </c>
      <c r="G84" s="68">
        <v>28771</v>
      </c>
      <c r="H84" s="68">
        <v>3633</v>
      </c>
      <c r="I84" s="68">
        <v>717</v>
      </c>
      <c r="J84" s="68">
        <v>24421</v>
      </c>
      <c r="K84" s="68">
        <v>16291</v>
      </c>
      <c r="L84" s="68">
        <v>2803</v>
      </c>
      <c r="M84" s="68">
        <v>1563</v>
      </c>
      <c r="N84" s="68">
        <v>11925</v>
      </c>
      <c r="O84" s="68">
        <v>7618</v>
      </c>
      <c r="P84" s="68">
        <v>2304</v>
      </c>
      <c r="Q84" s="68">
        <v>2720</v>
      </c>
      <c r="R84" s="68">
        <v>2594</v>
      </c>
      <c r="S84" s="68">
        <v>381</v>
      </c>
      <c r="T84" s="68">
        <v>89</v>
      </c>
      <c r="U84" s="68">
        <v>119</v>
      </c>
      <c r="V84" s="68">
        <v>173</v>
      </c>
      <c r="W84" s="68">
        <v>7946</v>
      </c>
      <c r="X84" s="68">
        <v>1593</v>
      </c>
      <c r="Y84" s="68">
        <v>869</v>
      </c>
      <c r="Z84" s="68">
        <v>5484</v>
      </c>
      <c r="AA84" s="68">
        <v>111394</v>
      </c>
      <c r="AB84" s="68">
        <v>17837</v>
      </c>
      <c r="AC84" s="68">
        <v>9766</v>
      </c>
      <c r="AD84" s="68">
        <v>83791</v>
      </c>
      <c r="AE84" s="68">
        <v>53894</v>
      </c>
      <c r="AF84" s="68">
        <v>6530</v>
      </c>
      <c r="AG84" s="68">
        <v>1665</v>
      </c>
      <c r="AH84" s="68">
        <v>45699</v>
      </c>
      <c r="AI84" s="68">
        <v>29999</v>
      </c>
      <c r="AJ84" s="68">
        <v>4904</v>
      </c>
      <c r="AK84" s="68">
        <v>2664</v>
      </c>
      <c r="AL84" s="68">
        <v>22431</v>
      </c>
      <c r="AM84" s="68">
        <v>11618</v>
      </c>
      <c r="AN84" s="68">
        <v>3547</v>
      </c>
      <c r="AO84" s="68">
        <v>3932</v>
      </c>
      <c r="AP84" s="68">
        <v>4139</v>
      </c>
      <c r="AQ84" s="68">
        <v>1406</v>
      </c>
      <c r="AR84" s="68">
        <v>263</v>
      </c>
      <c r="AS84" s="68">
        <v>267</v>
      </c>
      <c r="AT84" s="68">
        <v>876</v>
      </c>
      <c r="AU84" s="68">
        <v>14477</v>
      </c>
      <c r="AV84" s="68">
        <v>2593</v>
      </c>
      <c r="AW84" s="68">
        <v>1238</v>
      </c>
      <c r="AX84" s="68">
        <v>10646</v>
      </c>
    </row>
    <row r="85" spans="1:50" s="18" customFormat="1" ht="15.75" hidden="1" customHeight="1">
      <c r="A85" s="63" t="s">
        <v>201</v>
      </c>
      <c r="B85" s="64" t="s">
        <v>223</v>
      </c>
      <c r="C85" s="67">
        <v>10762</v>
      </c>
      <c r="D85" s="67">
        <v>1705</v>
      </c>
      <c r="E85" s="67">
        <v>1434</v>
      </c>
      <c r="F85" s="67">
        <v>7623</v>
      </c>
      <c r="G85" s="67">
        <v>3783</v>
      </c>
      <c r="H85" s="67">
        <v>375</v>
      </c>
      <c r="I85" s="67">
        <v>41</v>
      </c>
      <c r="J85" s="67">
        <v>3367</v>
      </c>
      <c r="K85" s="67">
        <v>2995</v>
      </c>
      <c r="L85" s="67">
        <v>434</v>
      </c>
      <c r="M85" s="67">
        <v>295</v>
      </c>
      <c r="N85" s="67">
        <v>2266</v>
      </c>
      <c r="O85" s="67">
        <v>2396</v>
      </c>
      <c r="P85" s="67">
        <v>600</v>
      </c>
      <c r="Q85" s="67">
        <v>902</v>
      </c>
      <c r="R85" s="67">
        <v>894</v>
      </c>
      <c r="S85" s="67">
        <v>22</v>
      </c>
      <c r="T85" s="67">
        <v>4</v>
      </c>
      <c r="U85" s="67">
        <v>10</v>
      </c>
      <c r="V85" s="67">
        <v>8</v>
      </c>
      <c r="W85" s="67">
        <v>1566</v>
      </c>
      <c r="X85" s="67">
        <v>292</v>
      </c>
      <c r="Y85" s="67">
        <v>186</v>
      </c>
      <c r="Z85" s="67">
        <v>1088</v>
      </c>
      <c r="AA85" s="67">
        <v>24401</v>
      </c>
      <c r="AB85" s="67">
        <v>3332</v>
      </c>
      <c r="AC85" s="67">
        <v>2743</v>
      </c>
      <c r="AD85" s="67">
        <v>18326</v>
      </c>
      <c r="AE85" s="67">
        <v>11755</v>
      </c>
      <c r="AF85" s="67">
        <v>1309</v>
      </c>
      <c r="AG85" s="67">
        <v>589</v>
      </c>
      <c r="AH85" s="67">
        <v>9857</v>
      </c>
      <c r="AI85" s="67">
        <v>5486</v>
      </c>
      <c r="AJ85" s="67">
        <v>765</v>
      </c>
      <c r="AK85" s="67">
        <v>526</v>
      </c>
      <c r="AL85" s="67">
        <v>4195</v>
      </c>
      <c r="AM85" s="67">
        <v>3857</v>
      </c>
      <c r="AN85" s="67">
        <v>988</v>
      </c>
      <c r="AO85" s="67">
        <v>1442</v>
      </c>
      <c r="AP85" s="67">
        <v>1427</v>
      </c>
      <c r="AQ85" s="67">
        <v>31</v>
      </c>
      <c r="AR85" s="67">
        <v>9</v>
      </c>
      <c r="AS85" s="67">
        <v>10</v>
      </c>
      <c r="AT85" s="67">
        <v>12</v>
      </c>
      <c r="AU85" s="67">
        <v>3272</v>
      </c>
      <c r="AV85" s="67">
        <v>261</v>
      </c>
      <c r="AW85" s="67">
        <v>176</v>
      </c>
      <c r="AX85" s="67">
        <v>2835</v>
      </c>
    </row>
    <row r="86" spans="1:50" s="18" customFormat="1" ht="15.75" hidden="1" customHeight="1">
      <c r="A86" s="345" t="s">
        <v>24</v>
      </c>
      <c r="B86" s="65" t="s">
        <v>224</v>
      </c>
      <c r="C86" s="68">
        <v>4628</v>
      </c>
      <c r="D86" s="68">
        <v>854</v>
      </c>
      <c r="E86" s="68">
        <v>744</v>
      </c>
      <c r="F86" s="68">
        <v>3030</v>
      </c>
      <c r="G86" s="68">
        <v>1211</v>
      </c>
      <c r="H86" s="68">
        <v>123</v>
      </c>
      <c r="I86" s="68">
        <v>16</v>
      </c>
      <c r="J86" s="68">
        <v>1072</v>
      </c>
      <c r="K86" s="68">
        <v>1429</v>
      </c>
      <c r="L86" s="68">
        <v>215</v>
      </c>
      <c r="M86" s="68">
        <v>168</v>
      </c>
      <c r="N86" s="68">
        <v>1046</v>
      </c>
      <c r="O86" s="68">
        <v>1373</v>
      </c>
      <c r="P86" s="68">
        <v>402</v>
      </c>
      <c r="Q86" s="68">
        <v>480</v>
      </c>
      <c r="R86" s="68">
        <v>491</v>
      </c>
      <c r="S86" s="68">
        <v>7</v>
      </c>
      <c r="T86" s="68">
        <v>2</v>
      </c>
      <c r="U86" s="68">
        <v>2</v>
      </c>
      <c r="V86" s="68">
        <v>3</v>
      </c>
      <c r="W86" s="68">
        <v>608</v>
      </c>
      <c r="X86" s="68">
        <v>112</v>
      </c>
      <c r="Y86" s="68">
        <v>78</v>
      </c>
      <c r="Z86" s="68">
        <v>418</v>
      </c>
      <c r="AA86" s="68">
        <v>10644</v>
      </c>
      <c r="AB86" s="68">
        <v>1607</v>
      </c>
      <c r="AC86" s="68">
        <v>1416</v>
      </c>
      <c r="AD86" s="68">
        <v>7621</v>
      </c>
      <c r="AE86" s="68">
        <v>4675</v>
      </c>
      <c r="AF86" s="68">
        <v>539</v>
      </c>
      <c r="AG86" s="68">
        <v>300</v>
      </c>
      <c r="AH86" s="68">
        <v>3836</v>
      </c>
      <c r="AI86" s="68">
        <v>2572</v>
      </c>
      <c r="AJ86" s="68">
        <v>354</v>
      </c>
      <c r="AK86" s="68">
        <v>273</v>
      </c>
      <c r="AL86" s="68">
        <v>1945</v>
      </c>
      <c r="AM86" s="68">
        <v>2178</v>
      </c>
      <c r="AN86" s="68">
        <v>624</v>
      </c>
      <c r="AO86" s="68">
        <v>769</v>
      </c>
      <c r="AP86" s="68">
        <v>785</v>
      </c>
      <c r="AQ86" s="68">
        <v>13</v>
      </c>
      <c r="AR86" s="68">
        <v>4</v>
      </c>
      <c r="AS86" s="68">
        <v>2</v>
      </c>
      <c r="AT86" s="68">
        <v>7</v>
      </c>
      <c r="AU86" s="68">
        <v>1206</v>
      </c>
      <c r="AV86" s="68">
        <v>86</v>
      </c>
      <c r="AW86" s="68">
        <v>72</v>
      </c>
      <c r="AX86" s="68">
        <v>1048</v>
      </c>
    </row>
    <row r="87" spans="1:50" s="18" customFormat="1" ht="15.75" hidden="1" customHeight="1">
      <c r="A87" s="346"/>
      <c r="B87" s="65" t="s">
        <v>225</v>
      </c>
      <c r="C87" s="68">
        <v>6134</v>
      </c>
      <c r="D87" s="68">
        <v>851</v>
      </c>
      <c r="E87" s="68">
        <v>690</v>
      </c>
      <c r="F87" s="68">
        <v>4593</v>
      </c>
      <c r="G87" s="68">
        <v>2572</v>
      </c>
      <c r="H87" s="68">
        <v>252</v>
      </c>
      <c r="I87" s="68">
        <v>25</v>
      </c>
      <c r="J87" s="68">
        <v>2295</v>
      </c>
      <c r="K87" s="68">
        <v>1566</v>
      </c>
      <c r="L87" s="68">
        <v>219</v>
      </c>
      <c r="M87" s="68">
        <v>127</v>
      </c>
      <c r="N87" s="68">
        <v>1220</v>
      </c>
      <c r="O87" s="68">
        <v>1023</v>
      </c>
      <c r="P87" s="68">
        <v>198</v>
      </c>
      <c r="Q87" s="68">
        <v>422</v>
      </c>
      <c r="R87" s="68">
        <v>403</v>
      </c>
      <c r="S87" s="68">
        <v>15</v>
      </c>
      <c r="T87" s="68">
        <v>2</v>
      </c>
      <c r="U87" s="68">
        <v>8</v>
      </c>
      <c r="V87" s="68">
        <v>5</v>
      </c>
      <c r="W87" s="68">
        <v>958</v>
      </c>
      <c r="X87" s="68">
        <v>180</v>
      </c>
      <c r="Y87" s="68">
        <v>108</v>
      </c>
      <c r="Z87" s="68">
        <v>670</v>
      </c>
      <c r="AA87" s="68">
        <v>13757</v>
      </c>
      <c r="AB87" s="68">
        <v>1725</v>
      </c>
      <c r="AC87" s="68">
        <v>1327</v>
      </c>
      <c r="AD87" s="68">
        <v>10705</v>
      </c>
      <c r="AE87" s="68">
        <v>7080</v>
      </c>
      <c r="AF87" s="68">
        <v>770</v>
      </c>
      <c r="AG87" s="68">
        <v>289</v>
      </c>
      <c r="AH87" s="68">
        <v>6021</v>
      </c>
      <c r="AI87" s="68">
        <v>2914</v>
      </c>
      <c r="AJ87" s="68">
        <v>411</v>
      </c>
      <c r="AK87" s="68">
        <v>253</v>
      </c>
      <c r="AL87" s="68">
        <v>2250</v>
      </c>
      <c r="AM87" s="68">
        <v>1679</v>
      </c>
      <c r="AN87" s="68">
        <v>364</v>
      </c>
      <c r="AO87" s="68">
        <v>673</v>
      </c>
      <c r="AP87" s="68">
        <v>642</v>
      </c>
      <c r="AQ87" s="68">
        <v>18</v>
      </c>
      <c r="AR87" s="68">
        <v>5</v>
      </c>
      <c r="AS87" s="68">
        <v>8</v>
      </c>
      <c r="AT87" s="68">
        <v>5</v>
      </c>
      <c r="AU87" s="68">
        <v>2066</v>
      </c>
      <c r="AV87" s="68">
        <v>175</v>
      </c>
      <c r="AW87" s="68">
        <v>104</v>
      </c>
      <c r="AX87" s="68">
        <v>1787</v>
      </c>
    </row>
    <row r="88" spans="1:50" s="18" customFormat="1" ht="15.75" hidden="1" customHeight="1">
      <c r="A88" s="63" t="s">
        <v>202</v>
      </c>
      <c r="B88" s="64" t="s">
        <v>223</v>
      </c>
      <c r="C88" s="67">
        <v>6219</v>
      </c>
      <c r="D88" s="67">
        <v>1355</v>
      </c>
      <c r="E88" s="67">
        <v>204</v>
      </c>
      <c r="F88" s="67">
        <v>4660</v>
      </c>
      <c r="G88" s="67">
        <v>2430</v>
      </c>
      <c r="H88" s="67">
        <v>375</v>
      </c>
      <c r="I88" s="67">
        <v>14</v>
      </c>
      <c r="J88" s="67">
        <v>2041</v>
      </c>
      <c r="K88" s="67">
        <v>1757</v>
      </c>
      <c r="L88" s="67">
        <v>369</v>
      </c>
      <c r="M88" s="67">
        <v>58</v>
      </c>
      <c r="N88" s="67">
        <v>1330</v>
      </c>
      <c r="O88" s="67">
        <v>910</v>
      </c>
      <c r="P88" s="67">
        <v>372</v>
      </c>
      <c r="Q88" s="67">
        <v>87</v>
      </c>
      <c r="R88" s="67">
        <v>451</v>
      </c>
      <c r="S88" s="67">
        <v>4</v>
      </c>
      <c r="T88" s="67">
        <v>1</v>
      </c>
      <c r="U88" s="67">
        <v>0</v>
      </c>
      <c r="V88" s="67">
        <v>3</v>
      </c>
      <c r="W88" s="67">
        <v>1118</v>
      </c>
      <c r="X88" s="67">
        <v>238</v>
      </c>
      <c r="Y88" s="67">
        <v>45</v>
      </c>
      <c r="Z88" s="67">
        <v>835</v>
      </c>
      <c r="AA88" s="67">
        <v>14081</v>
      </c>
      <c r="AB88" s="67">
        <v>2935</v>
      </c>
      <c r="AC88" s="67">
        <v>445</v>
      </c>
      <c r="AD88" s="67">
        <v>10701</v>
      </c>
      <c r="AE88" s="67">
        <v>5498</v>
      </c>
      <c r="AF88" s="67">
        <v>834</v>
      </c>
      <c r="AG88" s="67">
        <v>34</v>
      </c>
      <c r="AH88" s="67">
        <v>4630</v>
      </c>
      <c r="AI88" s="67">
        <v>4034</v>
      </c>
      <c r="AJ88" s="67">
        <v>810</v>
      </c>
      <c r="AK88" s="67">
        <v>136</v>
      </c>
      <c r="AL88" s="67">
        <v>3088</v>
      </c>
      <c r="AM88" s="67">
        <v>1874</v>
      </c>
      <c r="AN88" s="67">
        <v>757</v>
      </c>
      <c r="AO88" s="67">
        <v>177</v>
      </c>
      <c r="AP88" s="67">
        <v>940</v>
      </c>
      <c r="AQ88" s="67">
        <v>8</v>
      </c>
      <c r="AR88" s="67">
        <v>2</v>
      </c>
      <c r="AS88" s="67">
        <v>0</v>
      </c>
      <c r="AT88" s="67">
        <v>6</v>
      </c>
      <c r="AU88" s="67">
        <v>2667</v>
      </c>
      <c r="AV88" s="67">
        <v>532</v>
      </c>
      <c r="AW88" s="67">
        <v>98</v>
      </c>
      <c r="AX88" s="67">
        <v>2037</v>
      </c>
    </row>
    <row r="89" spans="1:50" s="18" customFormat="1" ht="15.75" hidden="1" customHeight="1">
      <c r="A89" s="345" t="s">
        <v>25</v>
      </c>
      <c r="B89" s="65" t="s">
        <v>224</v>
      </c>
      <c r="C89" s="68">
        <v>2601</v>
      </c>
      <c r="D89" s="68">
        <v>719</v>
      </c>
      <c r="E89" s="68">
        <v>94</v>
      </c>
      <c r="F89" s="68">
        <v>1788</v>
      </c>
      <c r="G89" s="68">
        <v>799</v>
      </c>
      <c r="H89" s="68">
        <v>175</v>
      </c>
      <c r="I89" s="68">
        <v>3</v>
      </c>
      <c r="J89" s="68">
        <v>621</v>
      </c>
      <c r="K89" s="68">
        <v>870</v>
      </c>
      <c r="L89" s="68">
        <v>210</v>
      </c>
      <c r="M89" s="68">
        <v>27</v>
      </c>
      <c r="N89" s="68">
        <v>633</v>
      </c>
      <c r="O89" s="68">
        <v>507</v>
      </c>
      <c r="P89" s="68">
        <v>233</v>
      </c>
      <c r="Q89" s="68">
        <v>47</v>
      </c>
      <c r="R89" s="68">
        <v>227</v>
      </c>
      <c r="S89" s="68">
        <v>1</v>
      </c>
      <c r="T89" s="68">
        <v>0</v>
      </c>
      <c r="U89" s="68">
        <v>0</v>
      </c>
      <c r="V89" s="68">
        <v>1</v>
      </c>
      <c r="W89" s="68">
        <v>424</v>
      </c>
      <c r="X89" s="68">
        <v>101</v>
      </c>
      <c r="Y89" s="68">
        <v>17</v>
      </c>
      <c r="Z89" s="68">
        <v>306</v>
      </c>
      <c r="AA89" s="68">
        <v>6034</v>
      </c>
      <c r="AB89" s="68">
        <v>1575</v>
      </c>
      <c r="AC89" s="68">
        <v>209</v>
      </c>
      <c r="AD89" s="68">
        <v>4250</v>
      </c>
      <c r="AE89" s="68">
        <v>1877</v>
      </c>
      <c r="AF89" s="68">
        <v>391</v>
      </c>
      <c r="AG89" s="68">
        <v>8</v>
      </c>
      <c r="AH89" s="68">
        <v>1478</v>
      </c>
      <c r="AI89" s="68">
        <v>2026</v>
      </c>
      <c r="AJ89" s="68">
        <v>478</v>
      </c>
      <c r="AK89" s="68">
        <v>73</v>
      </c>
      <c r="AL89" s="68">
        <v>1475</v>
      </c>
      <c r="AM89" s="68">
        <v>1064</v>
      </c>
      <c r="AN89" s="68">
        <v>479</v>
      </c>
      <c r="AO89" s="68">
        <v>94</v>
      </c>
      <c r="AP89" s="68">
        <v>491</v>
      </c>
      <c r="AQ89" s="68">
        <v>1</v>
      </c>
      <c r="AR89" s="68">
        <v>0</v>
      </c>
      <c r="AS89" s="68">
        <v>0</v>
      </c>
      <c r="AT89" s="68">
        <v>1</v>
      </c>
      <c r="AU89" s="68">
        <v>1066</v>
      </c>
      <c r="AV89" s="68">
        <v>227</v>
      </c>
      <c r="AW89" s="68">
        <v>34</v>
      </c>
      <c r="AX89" s="68">
        <v>805</v>
      </c>
    </row>
    <row r="90" spans="1:50" s="18" customFormat="1" ht="15.75" hidden="1" customHeight="1">
      <c r="A90" s="346"/>
      <c r="B90" s="65" t="s">
        <v>225</v>
      </c>
      <c r="C90" s="68">
        <v>3618</v>
      </c>
      <c r="D90" s="68">
        <v>636</v>
      </c>
      <c r="E90" s="68">
        <v>110</v>
      </c>
      <c r="F90" s="68">
        <v>2872</v>
      </c>
      <c r="G90" s="68">
        <v>1631</v>
      </c>
      <c r="H90" s="68">
        <v>200</v>
      </c>
      <c r="I90" s="68">
        <v>11</v>
      </c>
      <c r="J90" s="68">
        <v>1420</v>
      </c>
      <c r="K90" s="68">
        <v>887</v>
      </c>
      <c r="L90" s="68">
        <v>159</v>
      </c>
      <c r="M90" s="68">
        <v>31</v>
      </c>
      <c r="N90" s="68">
        <v>697</v>
      </c>
      <c r="O90" s="68">
        <v>403</v>
      </c>
      <c r="P90" s="68">
        <v>139</v>
      </c>
      <c r="Q90" s="68">
        <v>40</v>
      </c>
      <c r="R90" s="68">
        <v>224</v>
      </c>
      <c r="S90" s="68">
        <v>3</v>
      </c>
      <c r="T90" s="68">
        <v>1</v>
      </c>
      <c r="U90" s="68">
        <v>0</v>
      </c>
      <c r="V90" s="68">
        <v>2</v>
      </c>
      <c r="W90" s="68">
        <v>694</v>
      </c>
      <c r="X90" s="68">
        <v>137</v>
      </c>
      <c r="Y90" s="68">
        <v>28</v>
      </c>
      <c r="Z90" s="68">
        <v>529</v>
      </c>
      <c r="AA90" s="68">
        <v>8047</v>
      </c>
      <c r="AB90" s="68">
        <v>1360</v>
      </c>
      <c r="AC90" s="68">
        <v>236</v>
      </c>
      <c r="AD90" s="68">
        <v>6451</v>
      </c>
      <c r="AE90" s="68">
        <v>3621</v>
      </c>
      <c r="AF90" s="68">
        <v>443</v>
      </c>
      <c r="AG90" s="68">
        <v>26</v>
      </c>
      <c r="AH90" s="68">
        <v>3152</v>
      </c>
      <c r="AI90" s="68">
        <v>2008</v>
      </c>
      <c r="AJ90" s="68">
        <v>332</v>
      </c>
      <c r="AK90" s="68">
        <v>63</v>
      </c>
      <c r="AL90" s="68">
        <v>1613</v>
      </c>
      <c r="AM90" s="68">
        <v>810</v>
      </c>
      <c r="AN90" s="68">
        <v>278</v>
      </c>
      <c r="AO90" s="68">
        <v>83</v>
      </c>
      <c r="AP90" s="68">
        <v>449</v>
      </c>
      <c r="AQ90" s="68">
        <v>7</v>
      </c>
      <c r="AR90" s="68">
        <v>2</v>
      </c>
      <c r="AS90" s="68">
        <v>0</v>
      </c>
      <c r="AT90" s="68">
        <v>5</v>
      </c>
      <c r="AU90" s="68">
        <v>1601</v>
      </c>
      <c r="AV90" s="68">
        <v>305</v>
      </c>
      <c r="AW90" s="68">
        <v>64</v>
      </c>
      <c r="AX90" s="68">
        <v>1232</v>
      </c>
    </row>
    <row r="91" spans="1:50" s="18" customFormat="1" ht="15.75" hidden="1" customHeight="1">
      <c r="A91" s="63" t="s">
        <v>203</v>
      </c>
      <c r="B91" s="64" t="s">
        <v>223</v>
      </c>
      <c r="C91" s="67">
        <v>6300</v>
      </c>
      <c r="D91" s="67">
        <v>1272</v>
      </c>
      <c r="E91" s="67">
        <v>924</v>
      </c>
      <c r="F91" s="67">
        <v>4104</v>
      </c>
      <c r="G91" s="67">
        <v>2482</v>
      </c>
      <c r="H91" s="67">
        <v>377</v>
      </c>
      <c r="I91" s="67">
        <v>65</v>
      </c>
      <c r="J91" s="67">
        <v>2040</v>
      </c>
      <c r="K91" s="67">
        <v>1657</v>
      </c>
      <c r="L91" s="67">
        <v>311</v>
      </c>
      <c r="M91" s="67">
        <v>189</v>
      </c>
      <c r="N91" s="67">
        <v>1157</v>
      </c>
      <c r="O91" s="67">
        <v>1288</v>
      </c>
      <c r="P91" s="67">
        <v>387</v>
      </c>
      <c r="Q91" s="67">
        <v>523</v>
      </c>
      <c r="R91" s="67">
        <v>378</v>
      </c>
      <c r="S91" s="67">
        <v>72</v>
      </c>
      <c r="T91" s="67">
        <v>25</v>
      </c>
      <c r="U91" s="67">
        <v>16</v>
      </c>
      <c r="V91" s="67">
        <v>31</v>
      </c>
      <c r="W91" s="67">
        <v>801</v>
      </c>
      <c r="X91" s="67">
        <v>172</v>
      </c>
      <c r="Y91" s="67">
        <v>131</v>
      </c>
      <c r="Z91" s="67">
        <v>498</v>
      </c>
      <c r="AA91" s="67">
        <v>7621</v>
      </c>
      <c r="AB91" s="67">
        <v>1433</v>
      </c>
      <c r="AC91" s="67">
        <v>1031</v>
      </c>
      <c r="AD91" s="67">
        <v>5157</v>
      </c>
      <c r="AE91" s="67">
        <v>3075</v>
      </c>
      <c r="AF91" s="67">
        <v>434</v>
      </c>
      <c r="AG91" s="67">
        <v>74</v>
      </c>
      <c r="AH91" s="67">
        <v>2567</v>
      </c>
      <c r="AI91" s="67">
        <v>2038</v>
      </c>
      <c r="AJ91" s="67">
        <v>355</v>
      </c>
      <c r="AK91" s="67">
        <v>211</v>
      </c>
      <c r="AL91" s="67">
        <v>1472</v>
      </c>
      <c r="AM91" s="67">
        <v>1439</v>
      </c>
      <c r="AN91" s="67">
        <v>423</v>
      </c>
      <c r="AO91" s="67">
        <v>577</v>
      </c>
      <c r="AP91" s="67">
        <v>439</v>
      </c>
      <c r="AQ91" s="67">
        <v>77</v>
      </c>
      <c r="AR91" s="67">
        <v>26</v>
      </c>
      <c r="AS91" s="67">
        <v>18</v>
      </c>
      <c r="AT91" s="67">
        <v>33</v>
      </c>
      <c r="AU91" s="67">
        <v>992</v>
      </c>
      <c r="AV91" s="67">
        <v>195</v>
      </c>
      <c r="AW91" s="67">
        <v>151</v>
      </c>
      <c r="AX91" s="67">
        <v>646</v>
      </c>
    </row>
    <row r="92" spans="1:50" s="18" customFormat="1" ht="15.75" hidden="1" customHeight="1">
      <c r="A92" s="345" t="s">
        <v>49</v>
      </c>
      <c r="B92" s="65" t="s">
        <v>224</v>
      </c>
      <c r="C92" s="68">
        <v>2832</v>
      </c>
      <c r="D92" s="68">
        <v>674</v>
      </c>
      <c r="E92" s="68">
        <v>478</v>
      </c>
      <c r="F92" s="68">
        <v>1680</v>
      </c>
      <c r="G92" s="68">
        <v>894</v>
      </c>
      <c r="H92" s="68">
        <v>158</v>
      </c>
      <c r="I92" s="68">
        <v>31</v>
      </c>
      <c r="J92" s="68">
        <v>705</v>
      </c>
      <c r="K92" s="68">
        <v>818</v>
      </c>
      <c r="L92" s="68">
        <v>169</v>
      </c>
      <c r="M92" s="68">
        <v>101</v>
      </c>
      <c r="N92" s="68">
        <v>548</v>
      </c>
      <c r="O92" s="68">
        <v>742</v>
      </c>
      <c r="P92" s="68">
        <v>250</v>
      </c>
      <c r="Q92" s="68">
        <v>283</v>
      </c>
      <c r="R92" s="68">
        <v>209</v>
      </c>
      <c r="S92" s="68">
        <v>38</v>
      </c>
      <c r="T92" s="68">
        <v>19</v>
      </c>
      <c r="U92" s="68">
        <v>5</v>
      </c>
      <c r="V92" s="68">
        <v>14</v>
      </c>
      <c r="W92" s="68">
        <v>340</v>
      </c>
      <c r="X92" s="68">
        <v>78</v>
      </c>
      <c r="Y92" s="68">
        <v>58</v>
      </c>
      <c r="Z92" s="68">
        <v>204</v>
      </c>
      <c r="AA92" s="68">
        <v>3435</v>
      </c>
      <c r="AB92" s="68">
        <v>761</v>
      </c>
      <c r="AC92" s="68">
        <v>541</v>
      </c>
      <c r="AD92" s="68">
        <v>2133</v>
      </c>
      <c r="AE92" s="68">
        <v>1128</v>
      </c>
      <c r="AF92" s="68">
        <v>185</v>
      </c>
      <c r="AG92" s="68">
        <v>35</v>
      </c>
      <c r="AH92" s="68">
        <v>908</v>
      </c>
      <c r="AI92" s="68">
        <v>1003</v>
      </c>
      <c r="AJ92" s="68">
        <v>192</v>
      </c>
      <c r="AK92" s="68">
        <v>113</v>
      </c>
      <c r="AL92" s="68">
        <v>698</v>
      </c>
      <c r="AM92" s="68">
        <v>837</v>
      </c>
      <c r="AN92" s="68">
        <v>275</v>
      </c>
      <c r="AO92" s="68">
        <v>317</v>
      </c>
      <c r="AP92" s="68">
        <v>245</v>
      </c>
      <c r="AQ92" s="68">
        <v>39</v>
      </c>
      <c r="AR92" s="68">
        <v>19</v>
      </c>
      <c r="AS92" s="68">
        <v>6</v>
      </c>
      <c r="AT92" s="68">
        <v>14</v>
      </c>
      <c r="AU92" s="68">
        <v>428</v>
      </c>
      <c r="AV92" s="68">
        <v>90</v>
      </c>
      <c r="AW92" s="68">
        <v>70</v>
      </c>
      <c r="AX92" s="68">
        <v>268</v>
      </c>
    </row>
    <row r="93" spans="1:50" s="18" customFormat="1" ht="15.75" hidden="1" customHeight="1">
      <c r="A93" s="346"/>
      <c r="B93" s="65" t="s">
        <v>225</v>
      </c>
      <c r="C93" s="68">
        <v>3468</v>
      </c>
      <c r="D93" s="68">
        <v>598</v>
      </c>
      <c r="E93" s="68">
        <v>446</v>
      </c>
      <c r="F93" s="68">
        <v>2424</v>
      </c>
      <c r="G93" s="68">
        <v>1588</v>
      </c>
      <c r="H93" s="68">
        <v>219</v>
      </c>
      <c r="I93" s="68">
        <v>34</v>
      </c>
      <c r="J93" s="68">
        <v>1335</v>
      </c>
      <c r="K93" s="68">
        <v>839</v>
      </c>
      <c r="L93" s="68">
        <v>142</v>
      </c>
      <c r="M93" s="68">
        <v>88</v>
      </c>
      <c r="N93" s="68">
        <v>609</v>
      </c>
      <c r="O93" s="68">
        <v>546</v>
      </c>
      <c r="P93" s="68">
        <v>137</v>
      </c>
      <c r="Q93" s="68">
        <v>240</v>
      </c>
      <c r="R93" s="68">
        <v>169</v>
      </c>
      <c r="S93" s="68">
        <v>34</v>
      </c>
      <c r="T93" s="68">
        <v>6</v>
      </c>
      <c r="U93" s="68">
        <v>11</v>
      </c>
      <c r="V93" s="68">
        <v>17</v>
      </c>
      <c r="W93" s="68">
        <v>461</v>
      </c>
      <c r="X93" s="68">
        <v>94</v>
      </c>
      <c r="Y93" s="68">
        <v>73</v>
      </c>
      <c r="Z93" s="68">
        <v>294</v>
      </c>
      <c r="AA93" s="68">
        <v>4186</v>
      </c>
      <c r="AB93" s="68">
        <v>672</v>
      </c>
      <c r="AC93" s="68">
        <v>490</v>
      </c>
      <c r="AD93" s="68">
        <v>3024</v>
      </c>
      <c r="AE93" s="68">
        <v>1947</v>
      </c>
      <c r="AF93" s="68">
        <v>249</v>
      </c>
      <c r="AG93" s="68">
        <v>39</v>
      </c>
      <c r="AH93" s="68">
        <v>1659</v>
      </c>
      <c r="AI93" s="68">
        <v>1035</v>
      </c>
      <c r="AJ93" s="68">
        <v>163</v>
      </c>
      <c r="AK93" s="68">
        <v>98</v>
      </c>
      <c r="AL93" s="68">
        <v>774</v>
      </c>
      <c r="AM93" s="68">
        <v>602</v>
      </c>
      <c r="AN93" s="68">
        <v>148</v>
      </c>
      <c r="AO93" s="68">
        <v>260</v>
      </c>
      <c r="AP93" s="68">
        <v>194</v>
      </c>
      <c r="AQ93" s="68">
        <v>38</v>
      </c>
      <c r="AR93" s="68">
        <v>7</v>
      </c>
      <c r="AS93" s="68">
        <v>12</v>
      </c>
      <c r="AT93" s="68">
        <v>19</v>
      </c>
      <c r="AU93" s="68">
        <v>564</v>
      </c>
      <c r="AV93" s="68">
        <v>105</v>
      </c>
      <c r="AW93" s="68">
        <v>81</v>
      </c>
      <c r="AX93" s="68">
        <v>378</v>
      </c>
    </row>
    <row r="94" spans="1:50" s="18" customFormat="1" ht="15.75" hidden="1" customHeight="1">
      <c r="A94" s="63" t="s">
        <v>204</v>
      </c>
      <c r="B94" s="64" t="s">
        <v>223</v>
      </c>
      <c r="C94" s="67">
        <v>13480</v>
      </c>
      <c r="D94" s="67">
        <v>4126</v>
      </c>
      <c r="E94" s="67">
        <v>887</v>
      </c>
      <c r="F94" s="67">
        <v>8467</v>
      </c>
      <c r="G94" s="67">
        <v>5060</v>
      </c>
      <c r="H94" s="67">
        <v>892</v>
      </c>
      <c r="I94" s="67">
        <v>100</v>
      </c>
      <c r="J94" s="67">
        <v>4068</v>
      </c>
      <c r="K94" s="67">
        <v>3858</v>
      </c>
      <c r="L94" s="67">
        <v>1048</v>
      </c>
      <c r="M94" s="67">
        <v>306</v>
      </c>
      <c r="N94" s="67">
        <v>2504</v>
      </c>
      <c r="O94" s="67">
        <v>2686</v>
      </c>
      <c r="P94" s="67">
        <v>1533</v>
      </c>
      <c r="Q94" s="67">
        <v>347</v>
      </c>
      <c r="R94" s="67">
        <v>806</v>
      </c>
      <c r="S94" s="67">
        <v>51</v>
      </c>
      <c r="T94" s="67">
        <v>23</v>
      </c>
      <c r="U94" s="67">
        <v>9</v>
      </c>
      <c r="V94" s="67">
        <v>19</v>
      </c>
      <c r="W94" s="67">
        <v>1825</v>
      </c>
      <c r="X94" s="67">
        <v>630</v>
      </c>
      <c r="Y94" s="67">
        <v>125</v>
      </c>
      <c r="Z94" s="67">
        <v>1070</v>
      </c>
      <c r="AA94" s="67">
        <v>29414</v>
      </c>
      <c r="AB94" s="67">
        <v>8338</v>
      </c>
      <c r="AC94" s="67">
        <v>1886</v>
      </c>
      <c r="AD94" s="67">
        <v>19190</v>
      </c>
      <c r="AE94" s="67">
        <v>10929</v>
      </c>
      <c r="AF94" s="67">
        <v>1784</v>
      </c>
      <c r="AG94" s="67">
        <v>230</v>
      </c>
      <c r="AH94" s="67">
        <v>8915</v>
      </c>
      <c r="AI94" s="67">
        <v>8895</v>
      </c>
      <c r="AJ94" s="67">
        <v>2166</v>
      </c>
      <c r="AK94" s="67">
        <v>641</v>
      </c>
      <c r="AL94" s="67">
        <v>6088</v>
      </c>
      <c r="AM94" s="67">
        <v>5452</v>
      </c>
      <c r="AN94" s="67">
        <v>3050</v>
      </c>
      <c r="AO94" s="67">
        <v>725</v>
      </c>
      <c r="AP94" s="67">
        <v>1677</v>
      </c>
      <c r="AQ94" s="67">
        <v>110</v>
      </c>
      <c r="AR94" s="67">
        <v>47</v>
      </c>
      <c r="AS94" s="67">
        <v>16</v>
      </c>
      <c r="AT94" s="67">
        <v>47</v>
      </c>
      <c r="AU94" s="67">
        <v>4028</v>
      </c>
      <c r="AV94" s="67">
        <v>1291</v>
      </c>
      <c r="AW94" s="67">
        <v>274</v>
      </c>
      <c r="AX94" s="67">
        <v>2463</v>
      </c>
    </row>
    <row r="95" spans="1:50" s="18" customFormat="1" ht="15.75" hidden="1" customHeight="1">
      <c r="A95" s="345" t="s">
        <v>26</v>
      </c>
      <c r="B95" s="65" t="s">
        <v>224</v>
      </c>
      <c r="C95" s="68">
        <v>5749</v>
      </c>
      <c r="D95" s="68">
        <v>2057</v>
      </c>
      <c r="E95" s="68">
        <v>423</v>
      </c>
      <c r="F95" s="68">
        <v>3269</v>
      </c>
      <c r="G95" s="68">
        <v>1623</v>
      </c>
      <c r="H95" s="68">
        <v>317</v>
      </c>
      <c r="I95" s="68">
        <v>27</v>
      </c>
      <c r="J95" s="68">
        <v>1279</v>
      </c>
      <c r="K95" s="68">
        <v>1827</v>
      </c>
      <c r="L95" s="68">
        <v>528</v>
      </c>
      <c r="M95" s="68">
        <v>149</v>
      </c>
      <c r="N95" s="68">
        <v>1150</v>
      </c>
      <c r="O95" s="68">
        <v>1529</v>
      </c>
      <c r="P95" s="68">
        <v>914</v>
      </c>
      <c r="Q95" s="68">
        <v>189</v>
      </c>
      <c r="R95" s="68">
        <v>426</v>
      </c>
      <c r="S95" s="68">
        <v>27</v>
      </c>
      <c r="T95" s="68">
        <v>11</v>
      </c>
      <c r="U95" s="68">
        <v>5</v>
      </c>
      <c r="V95" s="68">
        <v>11</v>
      </c>
      <c r="W95" s="68">
        <v>743</v>
      </c>
      <c r="X95" s="68">
        <v>287</v>
      </c>
      <c r="Y95" s="68">
        <v>53</v>
      </c>
      <c r="Z95" s="68">
        <v>403</v>
      </c>
      <c r="AA95" s="68">
        <v>12708</v>
      </c>
      <c r="AB95" s="68">
        <v>4201</v>
      </c>
      <c r="AC95" s="68">
        <v>903</v>
      </c>
      <c r="AD95" s="68">
        <v>7604</v>
      </c>
      <c r="AE95" s="68">
        <v>3606</v>
      </c>
      <c r="AF95" s="68">
        <v>645</v>
      </c>
      <c r="AG95" s="68">
        <v>62</v>
      </c>
      <c r="AH95" s="68">
        <v>2899</v>
      </c>
      <c r="AI95" s="68">
        <v>4266</v>
      </c>
      <c r="AJ95" s="68">
        <v>1118</v>
      </c>
      <c r="AK95" s="68">
        <v>309</v>
      </c>
      <c r="AL95" s="68">
        <v>2839</v>
      </c>
      <c r="AM95" s="68">
        <v>3120</v>
      </c>
      <c r="AN95" s="68">
        <v>1829</v>
      </c>
      <c r="AO95" s="68">
        <v>402</v>
      </c>
      <c r="AP95" s="68">
        <v>889</v>
      </c>
      <c r="AQ95" s="68">
        <v>57</v>
      </c>
      <c r="AR95" s="68">
        <v>21</v>
      </c>
      <c r="AS95" s="68">
        <v>10</v>
      </c>
      <c r="AT95" s="68">
        <v>26</v>
      </c>
      <c r="AU95" s="68">
        <v>1659</v>
      </c>
      <c r="AV95" s="68">
        <v>588</v>
      </c>
      <c r="AW95" s="68">
        <v>120</v>
      </c>
      <c r="AX95" s="68">
        <v>951</v>
      </c>
    </row>
    <row r="96" spans="1:50" s="18" customFormat="1" ht="15.75" hidden="1" customHeight="1">
      <c r="A96" s="346"/>
      <c r="B96" s="65" t="s">
        <v>225</v>
      </c>
      <c r="C96" s="68">
        <v>7731</v>
      </c>
      <c r="D96" s="68">
        <v>2069</v>
      </c>
      <c r="E96" s="68">
        <v>464</v>
      </c>
      <c r="F96" s="68">
        <v>5198</v>
      </c>
      <c r="G96" s="68">
        <v>3437</v>
      </c>
      <c r="H96" s="68">
        <v>575</v>
      </c>
      <c r="I96" s="68">
        <v>73</v>
      </c>
      <c r="J96" s="68">
        <v>2789</v>
      </c>
      <c r="K96" s="68">
        <v>2031</v>
      </c>
      <c r="L96" s="68">
        <v>520</v>
      </c>
      <c r="M96" s="68">
        <v>157</v>
      </c>
      <c r="N96" s="68">
        <v>1354</v>
      </c>
      <c r="O96" s="68">
        <v>1157</v>
      </c>
      <c r="P96" s="68">
        <v>619</v>
      </c>
      <c r="Q96" s="68">
        <v>158</v>
      </c>
      <c r="R96" s="68">
        <v>380</v>
      </c>
      <c r="S96" s="68">
        <v>24</v>
      </c>
      <c r="T96" s="68">
        <v>12</v>
      </c>
      <c r="U96" s="68">
        <v>4</v>
      </c>
      <c r="V96" s="68">
        <v>8</v>
      </c>
      <c r="W96" s="68">
        <v>1082</v>
      </c>
      <c r="X96" s="68">
        <v>343</v>
      </c>
      <c r="Y96" s="68">
        <v>72</v>
      </c>
      <c r="Z96" s="68">
        <v>667</v>
      </c>
      <c r="AA96" s="68">
        <v>16706</v>
      </c>
      <c r="AB96" s="68">
        <v>4137</v>
      </c>
      <c r="AC96" s="68">
        <v>983</v>
      </c>
      <c r="AD96" s="68">
        <v>11586</v>
      </c>
      <c r="AE96" s="68">
        <v>7323</v>
      </c>
      <c r="AF96" s="68">
        <v>1139</v>
      </c>
      <c r="AG96" s="68">
        <v>168</v>
      </c>
      <c r="AH96" s="68">
        <v>6016</v>
      </c>
      <c r="AI96" s="68">
        <v>4629</v>
      </c>
      <c r="AJ96" s="68">
        <v>1048</v>
      </c>
      <c r="AK96" s="68">
        <v>332</v>
      </c>
      <c r="AL96" s="68">
        <v>3249</v>
      </c>
      <c r="AM96" s="68">
        <v>2332</v>
      </c>
      <c r="AN96" s="68">
        <v>1221</v>
      </c>
      <c r="AO96" s="68">
        <v>323</v>
      </c>
      <c r="AP96" s="68">
        <v>788</v>
      </c>
      <c r="AQ96" s="68">
        <v>53</v>
      </c>
      <c r="AR96" s="68">
        <v>26</v>
      </c>
      <c r="AS96" s="68">
        <v>6</v>
      </c>
      <c r="AT96" s="68">
        <v>21</v>
      </c>
      <c r="AU96" s="68">
        <v>2369</v>
      </c>
      <c r="AV96" s="68">
        <v>703</v>
      </c>
      <c r="AW96" s="68">
        <v>154</v>
      </c>
      <c r="AX96" s="68">
        <v>1512</v>
      </c>
    </row>
    <row r="97" spans="1:50" s="18" customFormat="1" ht="15.75" hidden="1" customHeight="1">
      <c r="A97" s="63" t="s">
        <v>205</v>
      </c>
      <c r="B97" s="64" t="s">
        <v>223</v>
      </c>
      <c r="C97" s="67">
        <v>10123</v>
      </c>
      <c r="D97" s="67">
        <v>1631</v>
      </c>
      <c r="E97" s="67">
        <v>1339</v>
      </c>
      <c r="F97" s="67">
        <v>7153</v>
      </c>
      <c r="G97" s="67">
        <v>4214</v>
      </c>
      <c r="H97" s="67">
        <v>471</v>
      </c>
      <c r="I97" s="67">
        <v>65</v>
      </c>
      <c r="J97" s="67">
        <v>3678</v>
      </c>
      <c r="K97" s="67">
        <v>2939</v>
      </c>
      <c r="L97" s="67">
        <v>425</v>
      </c>
      <c r="M97" s="67">
        <v>399</v>
      </c>
      <c r="N97" s="67">
        <v>2115</v>
      </c>
      <c r="O97" s="67">
        <v>1456</v>
      </c>
      <c r="P97" s="67">
        <v>425</v>
      </c>
      <c r="Q97" s="67">
        <v>659</v>
      </c>
      <c r="R97" s="67">
        <v>372</v>
      </c>
      <c r="S97" s="67">
        <v>5</v>
      </c>
      <c r="T97" s="67">
        <v>1</v>
      </c>
      <c r="U97" s="67">
        <v>2</v>
      </c>
      <c r="V97" s="67">
        <v>2</v>
      </c>
      <c r="W97" s="67">
        <v>1509</v>
      </c>
      <c r="X97" s="67">
        <v>309</v>
      </c>
      <c r="Y97" s="67">
        <v>214</v>
      </c>
      <c r="Z97" s="67">
        <v>986</v>
      </c>
      <c r="AA97" s="67">
        <v>17008</v>
      </c>
      <c r="AB97" s="67">
        <v>2491</v>
      </c>
      <c r="AC97" s="67">
        <v>1994</v>
      </c>
      <c r="AD97" s="67">
        <v>12523</v>
      </c>
      <c r="AE97" s="67">
        <v>6920</v>
      </c>
      <c r="AF97" s="67">
        <v>732</v>
      </c>
      <c r="AG97" s="67">
        <v>93</v>
      </c>
      <c r="AH97" s="67">
        <v>6095</v>
      </c>
      <c r="AI97" s="67">
        <v>5305</v>
      </c>
      <c r="AJ97" s="67">
        <v>804</v>
      </c>
      <c r="AK97" s="67">
        <v>664</v>
      </c>
      <c r="AL97" s="67">
        <v>3837</v>
      </c>
      <c r="AM97" s="67">
        <v>2417</v>
      </c>
      <c r="AN97" s="67">
        <v>717</v>
      </c>
      <c r="AO97" s="67">
        <v>1031</v>
      </c>
      <c r="AP97" s="67">
        <v>669</v>
      </c>
      <c r="AQ97" s="67">
        <v>12</v>
      </c>
      <c r="AR97" s="67">
        <v>4</v>
      </c>
      <c r="AS97" s="67">
        <v>4</v>
      </c>
      <c r="AT97" s="67">
        <v>4</v>
      </c>
      <c r="AU97" s="67">
        <v>2354</v>
      </c>
      <c r="AV97" s="67">
        <v>234</v>
      </c>
      <c r="AW97" s="67">
        <v>202</v>
      </c>
      <c r="AX97" s="67">
        <v>1918</v>
      </c>
    </row>
    <row r="98" spans="1:50" s="18" customFormat="1" ht="15.75" hidden="1" customHeight="1">
      <c r="A98" s="345" t="s">
        <v>27</v>
      </c>
      <c r="B98" s="65" t="s">
        <v>224</v>
      </c>
      <c r="C98" s="68">
        <v>4078</v>
      </c>
      <c r="D98" s="68">
        <v>848</v>
      </c>
      <c r="E98" s="68">
        <v>662</v>
      </c>
      <c r="F98" s="68">
        <v>2568</v>
      </c>
      <c r="G98" s="68">
        <v>1379</v>
      </c>
      <c r="H98" s="68">
        <v>203</v>
      </c>
      <c r="I98" s="68">
        <v>15</v>
      </c>
      <c r="J98" s="68">
        <v>1161</v>
      </c>
      <c r="K98" s="68">
        <v>1255</v>
      </c>
      <c r="L98" s="68">
        <v>196</v>
      </c>
      <c r="M98" s="68">
        <v>179</v>
      </c>
      <c r="N98" s="68">
        <v>880</v>
      </c>
      <c r="O98" s="68">
        <v>862</v>
      </c>
      <c r="P98" s="68">
        <v>296</v>
      </c>
      <c r="Q98" s="68">
        <v>365</v>
      </c>
      <c r="R98" s="68">
        <v>201</v>
      </c>
      <c r="S98" s="68">
        <v>2</v>
      </c>
      <c r="T98" s="68">
        <v>0</v>
      </c>
      <c r="U98" s="68">
        <v>1</v>
      </c>
      <c r="V98" s="68">
        <v>1</v>
      </c>
      <c r="W98" s="68">
        <v>580</v>
      </c>
      <c r="X98" s="68">
        <v>153</v>
      </c>
      <c r="Y98" s="68">
        <v>102</v>
      </c>
      <c r="Z98" s="68">
        <v>325</v>
      </c>
      <c r="AA98" s="68">
        <v>6857</v>
      </c>
      <c r="AB98" s="68">
        <v>1276</v>
      </c>
      <c r="AC98" s="68">
        <v>1009</v>
      </c>
      <c r="AD98" s="68">
        <v>4572</v>
      </c>
      <c r="AE98" s="68">
        <v>2306</v>
      </c>
      <c r="AF98" s="68">
        <v>317</v>
      </c>
      <c r="AG98" s="68">
        <v>20</v>
      </c>
      <c r="AH98" s="68">
        <v>1969</v>
      </c>
      <c r="AI98" s="68">
        <v>2273</v>
      </c>
      <c r="AJ98" s="68">
        <v>381</v>
      </c>
      <c r="AK98" s="68">
        <v>313</v>
      </c>
      <c r="AL98" s="68">
        <v>1579</v>
      </c>
      <c r="AM98" s="68">
        <v>1432</v>
      </c>
      <c r="AN98" s="68">
        <v>488</v>
      </c>
      <c r="AO98" s="68">
        <v>591</v>
      </c>
      <c r="AP98" s="68">
        <v>353</v>
      </c>
      <c r="AQ98" s="68">
        <v>2</v>
      </c>
      <c r="AR98" s="68">
        <v>0</v>
      </c>
      <c r="AS98" s="68">
        <v>1</v>
      </c>
      <c r="AT98" s="68">
        <v>1</v>
      </c>
      <c r="AU98" s="68">
        <v>844</v>
      </c>
      <c r="AV98" s="68">
        <v>90</v>
      </c>
      <c r="AW98" s="68">
        <v>84</v>
      </c>
      <c r="AX98" s="68">
        <v>670</v>
      </c>
    </row>
    <row r="99" spans="1:50" s="18" customFormat="1" ht="15.75" hidden="1" customHeight="1">
      <c r="A99" s="346"/>
      <c r="B99" s="65" t="s">
        <v>225</v>
      </c>
      <c r="C99" s="68">
        <v>6045</v>
      </c>
      <c r="D99" s="68">
        <v>783</v>
      </c>
      <c r="E99" s="68">
        <v>677</v>
      </c>
      <c r="F99" s="68">
        <v>4585</v>
      </c>
      <c r="G99" s="68">
        <v>2835</v>
      </c>
      <c r="H99" s="68">
        <v>268</v>
      </c>
      <c r="I99" s="68">
        <v>50</v>
      </c>
      <c r="J99" s="68">
        <v>2517</v>
      </c>
      <c r="K99" s="68">
        <v>1684</v>
      </c>
      <c r="L99" s="68">
        <v>229</v>
      </c>
      <c r="M99" s="68">
        <v>220</v>
      </c>
      <c r="N99" s="68">
        <v>1235</v>
      </c>
      <c r="O99" s="68">
        <v>594</v>
      </c>
      <c r="P99" s="68">
        <v>129</v>
      </c>
      <c r="Q99" s="68">
        <v>294</v>
      </c>
      <c r="R99" s="68">
        <v>171</v>
      </c>
      <c r="S99" s="68">
        <v>3</v>
      </c>
      <c r="T99" s="68">
        <v>1</v>
      </c>
      <c r="U99" s="68">
        <v>1</v>
      </c>
      <c r="V99" s="68">
        <v>1</v>
      </c>
      <c r="W99" s="68">
        <v>929</v>
      </c>
      <c r="X99" s="68">
        <v>156</v>
      </c>
      <c r="Y99" s="68">
        <v>112</v>
      </c>
      <c r="Z99" s="68">
        <v>661</v>
      </c>
      <c r="AA99" s="68">
        <v>10151</v>
      </c>
      <c r="AB99" s="68">
        <v>1215</v>
      </c>
      <c r="AC99" s="68">
        <v>985</v>
      </c>
      <c r="AD99" s="68">
        <v>7951</v>
      </c>
      <c r="AE99" s="68">
        <v>4614</v>
      </c>
      <c r="AF99" s="68">
        <v>415</v>
      </c>
      <c r="AG99" s="68">
        <v>73</v>
      </c>
      <c r="AH99" s="68">
        <v>4126</v>
      </c>
      <c r="AI99" s="68">
        <v>3032</v>
      </c>
      <c r="AJ99" s="68">
        <v>423</v>
      </c>
      <c r="AK99" s="68">
        <v>351</v>
      </c>
      <c r="AL99" s="68">
        <v>2258</v>
      </c>
      <c r="AM99" s="68">
        <v>985</v>
      </c>
      <c r="AN99" s="68">
        <v>229</v>
      </c>
      <c r="AO99" s="68">
        <v>440</v>
      </c>
      <c r="AP99" s="68">
        <v>316</v>
      </c>
      <c r="AQ99" s="68">
        <v>10</v>
      </c>
      <c r="AR99" s="68">
        <v>4</v>
      </c>
      <c r="AS99" s="68">
        <v>3</v>
      </c>
      <c r="AT99" s="68">
        <v>3</v>
      </c>
      <c r="AU99" s="68">
        <v>1510</v>
      </c>
      <c r="AV99" s="68">
        <v>144</v>
      </c>
      <c r="AW99" s="68">
        <v>118</v>
      </c>
      <c r="AX99" s="68">
        <v>1248</v>
      </c>
    </row>
    <row r="100" spans="1:50" s="18" customFormat="1" ht="15.75" hidden="1" customHeight="1">
      <c r="A100" s="63" t="s">
        <v>206</v>
      </c>
      <c r="B100" s="64" t="s">
        <v>223</v>
      </c>
      <c r="C100" s="67">
        <v>15083</v>
      </c>
      <c r="D100" s="67">
        <v>3363</v>
      </c>
      <c r="E100" s="67">
        <v>1856</v>
      </c>
      <c r="F100" s="67">
        <v>9864</v>
      </c>
      <c r="G100" s="67">
        <v>6682</v>
      </c>
      <c r="H100" s="67">
        <v>1254</v>
      </c>
      <c r="I100" s="67">
        <v>252</v>
      </c>
      <c r="J100" s="67">
        <v>5176</v>
      </c>
      <c r="K100" s="67">
        <v>4310</v>
      </c>
      <c r="L100" s="67">
        <v>957</v>
      </c>
      <c r="M100" s="67">
        <v>438</v>
      </c>
      <c r="N100" s="67">
        <v>2915</v>
      </c>
      <c r="O100" s="67">
        <v>2923</v>
      </c>
      <c r="P100" s="67">
        <v>944</v>
      </c>
      <c r="Q100" s="67">
        <v>1061</v>
      </c>
      <c r="R100" s="67">
        <v>918</v>
      </c>
      <c r="S100" s="67">
        <v>75</v>
      </c>
      <c r="T100" s="67">
        <v>16</v>
      </c>
      <c r="U100" s="67">
        <v>17</v>
      </c>
      <c r="V100" s="67">
        <v>42</v>
      </c>
      <c r="W100" s="67">
        <v>1093</v>
      </c>
      <c r="X100" s="67">
        <v>192</v>
      </c>
      <c r="Y100" s="67">
        <v>88</v>
      </c>
      <c r="Z100" s="67">
        <v>813</v>
      </c>
      <c r="AA100" s="67">
        <v>27668</v>
      </c>
      <c r="AB100" s="67">
        <v>6404</v>
      </c>
      <c r="AC100" s="67">
        <v>3436</v>
      </c>
      <c r="AD100" s="67">
        <v>17828</v>
      </c>
      <c r="AE100" s="67">
        <v>10514</v>
      </c>
      <c r="AF100" s="67">
        <v>1976</v>
      </c>
      <c r="AG100" s="67">
        <v>278</v>
      </c>
      <c r="AH100" s="67">
        <v>8260</v>
      </c>
      <c r="AI100" s="67">
        <v>8393</v>
      </c>
      <c r="AJ100" s="67">
        <v>1839</v>
      </c>
      <c r="AK100" s="67">
        <v>809</v>
      </c>
      <c r="AL100" s="67">
        <v>5745</v>
      </c>
      <c r="AM100" s="67">
        <v>4537</v>
      </c>
      <c r="AN100" s="67">
        <v>1480</v>
      </c>
      <c r="AO100" s="67">
        <v>1719</v>
      </c>
      <c r="AP100" s="67">
        <v>1338</v>
      </c>
      <c r="AQ100" s="67">
        <v>86</v>
      </c>
      <c r="AR100" s="67">
        <v>19</v>
      </c>
      <c r="AS100" s="67">
        <v>19</v>
      </c>
      <c r="AT100" s="67">
        <v>48</v>
      </c>
      <c r="AU100" s="67">
        <v>4138</v>
      </c>
      <c r="AV100" s="67">
        <v>1090</v>
      </c>
      <c r="AW100" s="67">
        <v>611</v>
      </c>
      <c r="AX100" s="67">
        <v>2437</v>
      </c>
    </row>
    <row r="101" spans="1:50" s="18" customFormat="1" ht="15.75" hidden="1" customHeight="1">
      <c r="A101" s="345" t="s">
        <v>28</v>
      </c>
      <c r="B101" s="65" t="s">
        <v>224</v>
      </c>
      <c r="C101" s="68">
        <v>6364</v>
      </c>
      <c r="D101" s="68">
        <v>1606</v>
      </c>
      <c r="E101" s="68">
        <v>952</v>
      </c>
      <c r="F101" s="68">
        <v>3806</v>
      </c>
      <c r="G101" s="68">
        <v>2292</v>
      </c>
      <c r="H101" s="68">
        <v>448</v>
      </c>
      <c r="I101" s="68">
        <v>116</v>
      </c>
      <c r="J101" s="68">
        <v>1728</v>
      </c>
      <c r="K101" s="68">
        <v>1966</v>
      </c>
      <c r="L101" s="68">
        <v>472</v>
      </c>
      <c r="M101" s="68">
        <v>211</v>
      </c>
      <c r="N101" s="68">
        <v>1283</v>
      </c>
      <c r="O101" s="68">
        <v>1683</v>
      </c>
      <c r="P101" s="68">
        <v>609</v>
      </c>
      <c r="Q101" s="68">
        <v>578</v>
      </c>
      <c r="R101" s="68">
        <v>496</v>
      </c>
      <c r="S101" s="68">
        <v>40</v>
      </c>
      <c r="T101" s="68">
        <v>11</v>
      </c>
      <c r="U101" s="68">
        <v>11</v>
      </c>
      <c r="V101" s="68">
        <v>18</v>
      </c>
      <c r="W101" s="68">
        <v>383</v>
      </c>
      <c r="X101" s="68">
        <v>66</v>
      </c>
      <c r="Y101" s="68">
        <v>36</v>
      </c>
      <c r="Z101" s="68">
        <v>281</v>
      </c>
      <c r="AA101" s="68">
        <v>11700</v>
      </c>
      <c r="AB101" s="68">
        <v>3079</v>
      </c>
      <c r="AC101" s="68">
        <v>1806</v>
      </c>
      <c r="AD101" s="68">
        <v>6815</v>
      </c>
      <c r="AE101" s="68">
        <v>3431</v>
      </c>
      <c r="AF101" s="68">
        <v>679</v>
      </c>
      <c r="AG101" s="68">
        <v>107</v>
      </c>
      <c r="AH101" s="68">
        <v>2645</v>
      </c>
      <c r="AI101" s="68">
        <v>3839</v>
      </c>
      <c r="AJ101" s="68">
        <v>903</v>
      </c>
      <c r="AK101" s="68">
        <v>386</v>
      </c>
      <c r="AL101" s="68">
        <v>2550</v>
      </c>
      <c r="AM101" s="68">
        <v>2729</v>
      </c>
      <c r="AN101" s="68">
        <v>993</v>
      </c>
      <c r="AO101" s="68">
        <v>1005</v>
      </c>
      <c r="AP101" s="68">
        <v>731</v>
      </c>
      <c r="AQ101" s="68">
        <v>51</v>
      </c>
      <c r="AR101" s="68">
        <v>17</v>
      </c>
      <c r="AS101" s="68">
        <v>10</v>
      </c>
      <c r="AT101" s="68">
        <v>24</v>
      </c>
      <c r="AU101" s="68">
        <v>1650</v>
      </c>
      <c r="AV101" s="68">
        <v>487</v>
      </c>
      <c r="AW101" s="68">
        <v>298</v>
      </c>
      <c r="AX101" s="68">
        <v>865</v>
      </c>
    </row>
    <row r="102" spans="1:50" s="18" customFormat="1" ht="15.75" hidden="1" customHeight="1">
      <c r="A102" s="346"/>
      <c r="B102" s="65" t="s">
        <v>225</v>
      </c>
      <c r="C102" s="68">
        <v>8719</v>
      </c>
      <c r="D102" s="68">
        <v>1757</v>
      </c>
      <c r="E102" s="68">
        <v>904</v>
      </c>
      <c r="F102" s="68">
        <v>6058</v>
      </c>
      <c r="G102" s="68">
        <v>4390</v>
      </c>
      <c r="H102" s="68">
        <v>806</v>
      </c>
      <c r="I102" s="68">
        <v>136</v>
      </c>
      <c r="J102" s="68">
        <v>3448</v>
      </c>
      <c r="K102" s="68">
        <v>2344</v>
      </c>
      <c r="L102" s="68">
        <v>485</v>
      </c>
      <c r="M102" s="68">
        <v>227</v>
      </c>
      <c r="N102" s="68">
        <v>1632</v>
      </c>
      <c r="O102" s="68">
        <v>1240</v>
      </c>
      <c r="P102" s="68">
        <v>335</v>
      </c>
      <c r="Q102" s="68">
        <v>483</v>
      </c>
      <c r="R102" s="68">
        <v>422</v>
      </c>
      <c r="S102" s="68">
        <v>35</v>
      </c>
      <c r="T102" s="68">
        <v>5</v>
      </c>
      <c r="U102" s="68">
        <v>6</v>
      </c>
      <c r="V102" s="68">
        <v>24</v>
      </c>
      <c r="W102" s="68">
        <v>710</v>
      </c>
      <c r="X102" s="68">
        <v>126</v>
      </c>
      <c r="Y102" s="68">
        <v>52</v>
      </c>
      <c r="Z102" s="68">
        <v>532</v>
      </c>
      <c r="AA102" s="68">
        <v>15968</v>
      </c>
      <c r="AB102" s="68">
        <v>3325</v>
      </c>
      <c r="AC102" s="68">
        <v>1630</v>
      </c>
      <c r="AD102" s="68">
        <v>11013</v>
      </c>
      <c r="AE102" s="68">
        <v>7083</v>
      </c>
      <c r="AF102" s="68">
        <v>1297</v>
      </c>
      <c r="AG102" s="68">
        <v>171</v>
      </c>
      <c r="AH102" s="68">
        <v>5615</v>
      </c>
      <c r="AI102" s="68">
        <v>4554</v>
      </c>
      <c r="AJ102" s="68">
        <v>936</v>
      </c>
      <c r="AK102" s="68">
        <v>423</v>
      </c>
      <c r="AL102" s="68">
        <v>3195</v>
      </c>
      <c r="AM102" s="68">
        <v>1808</v>
      </c>
      <c r="AN102" s="68">
        <v>487</v>
      </c>
      <c r="AO102" s="68">
        <v>714</v>
      </c>
      <c r="AP102" s="68">
        <v>607</v>
      </c>
      <c r="AQ102" s="68">
        <v>35</v>
      </c>
      <c r="AR102" s="68">
        <v>2</v>
      </c>
      <c r="AS102" s="68">
        <v>9</v>
      </c>
      <c r="AT102" s="68">
        <v>24</v>
      </c>
      <c r="AU102" s="68">
        <v>2488</v>
      </c>
      <c r="AV102" s="68">
        <v>603</v>
      </c>
      <c r="AW102" s="68">
        <v>313</v>
      </c>
      <c r="AX102" s="68">
        <v>1572</v>
      </c>
    </row>
    <row r="103" spans="1:50" ht="15.75" hidden="1" customHeight="1">
      <c r="A103" s="63" t="s">
        <v>207</v>
      </c>
      <c r="B103" s="64" t="s">
        <v>223</v>
      </c>
      <c r="C103" s="67">
        <v>1722</v>
      </c>
      <c r="D103" s="67">
        <v>369</v>
      </c>
      <c r="E103" s="67">
        <v>219</v>
      </c>
      <c r="F103" s="67">
        <v>1134</v>
      </c>
      <c r="G103" s="67">
        <v>509</v>
      </c>
      <c r="H103" s="67">
        <v>80</v>
      </c>
      <c r="I103" s="67">
        <v>30</v>
      </c>
      <c r="J103" s="67">
        <v>399</v>
      </c>
      <c r="K103" s="67">
        <v>658</v>
      </c>
      <c r="L103" s="67">
        <v>135</v>
      </c>
      <c r="M103" s="67">
        <v>52</v>
      </c>
      <c r="N103" s="67">
        <v>471</v>
      </c>
      <c r="O103" s="67">
        <v>269</v>
      </c>
      <c r="P103" s="67">
        <v>81</v>
      </c>
      <c r="Q103" s="67">
        <v>96</v>
      </c>
      <c r="R103" s="67">
        <v>92</v>
      </c>
      <c r="S103" s="67">
        <v>21</v>
      </c>
      <c r="T103" s="67">
        <v>14</v>
      </c>
      <c r="U103" s="67">
        <v>3</v>
      </c>
      <c r="V103" s="67">
        <v>4</v>
      </c>
      <c r="W103" s="67">
        <v>265</v>
      </c>
      <c r="X103" s="67">
        <v>59</v>
      </c>
      <c r="Y103" s="67">
        <v>38</v>
      </c>
      <c r="Z103" s="67">
        <v>168</v>
      </c>
      <c r="AA103" s="67">
        <v>3899</v>
      </c>
      <c r="AB103" s="67">
        <v>796</v>
      </c>
      <c r="AC103" s="67">
        <v>405</v>
      </c>
      <c r="AD103" s="67">
        <v>2698</v>
      </c>
      <c r="AE103" s="67">
        <v>1208</v>
      </c>
      <c r="AF103" s="67">
        <v>163</v>
      </c>
      <c r="AG103" s="67">
        <v>17</v>
      </c>
      <c r="AH103" s="67">
        <v>1028</v>
      </c>
      <c r="AI103" s="67">
        <v>1490</v>
      </c>
      <c r="AJ103" s="67">
        <v>293</v>
      </c>
      <c r="AK103" s="67">
        <v>111</v>
      </c>
      <c r="AL103" s="67">
        <v>1086</v>
      </c>
      <c r="AM103" s="67">
        <v>590</v>
      </c>
      <c r="AN103" s="67">
        <v>176</v>
      </c>
      <c r="AO103" s="67">
        <v>201</v>
      </c>
      <c r="AP103" s="67">
        <v>213</v>
      </c>
      <c r="AQ103" s="67">
        <v>47</v>
      </c>
      <c r="AR103" s="67">
        <v>36</v>
      </c>
      <c r="AS103" s="67">
        <v>4</v>
      </c>
      <c r="AT103" s="67">
        <v>7</v>
      </c>
      <c r="AU103" s="67">
        <v>564</v>
      </c>
      <c r="AV103" s="67">
        <v>128</v>
      </c>
      <c r="AW103" s="67">
        <v>72</v>
      </c>
      <c r="AX103" s="67">
        <v>364</v>
      </c>
    </row>
    <row r="104" spans="1:50" ht="15.75" hidden="1" customHeight="1">
      <c r="A104" s="345" t="s">
        <v>7</v>
      </c>
      <c r="B104" s="65" t="s">
        <v>224</v>
      </c>
      <c r="C104" s="68">
        <v>763</v>
      </c>
      <c r="D104" s="68">
        <v>213</v>
      </c>
      <c r="E104" s="68">
        <v>112</v>
      </c>
      <c r="F104" s="68">
        <v>438</v>
      </c>
      <c r="G104" s="68">
        <v>174</v>
      </c>
      <c r="H104" s="68">
        <v>33</v>
      </c>
      <c r="I104" s="68">
        <v>14</v>
      </c>
      <c r="J104" s="68">
        <v>127</v>
      </c>
      <c r="K104" s="68">
        <v>318</v>
      </c>
      <c r="L104" s="68">
        <v>84</v>
      </c>
      <c r="M104" s="68">
        <v>31</v>
      </c>
      <c r="N104" s="68">
        <v>203</v>
      </c>
      <c r="O104" s="68">
        <v>152</v>
      </c>
      <c r="P104" s="68">
        <v>53</v>
      </c>
      <c r="Q104" s="68">
        <v>52</v>
      </c>
      <c r="R104" s="68">
        <v>47</v>
      </c>
      <c r="S104" s="68">
        <v>15</v>
      </c>
      <c r="T104" s="68">
        <v>12</v>
      </c>
      <c r="U104" s="68">
        <v>3</v>
      </c>
      <c r="V104" s="68">
        <v>0</v>
      </c>
      <c r="W104" s="68">
        <v>104</v>
      </c>
      <c r="X104" s="68">
        <v>31</v>
      </c>
      <c r="Y104" s="68">
        <v>12</v>
      </c>
      <c r="Z104" s="68">
        <v>61</v>
      </c>
      <c r="AA104" s="68">
        <v>1755</v>
      </c>
      <c r="AB104" s="68">
        <v>464</v>
      </c>
      <c r="AC104" s="68">
        <v>211</v>
      </c>
      <c r="AD104" s="68">
        <v>1080</v>
      </c>
      <c r="AE104" s="68">
        <v>405</v>
      </c>
      <c r="AF104" s="68">
        <v>66</v>
      </c>
      <c r="AG104" s="68">
        <v>5</v>
      </c>
      <c r="AH104" s="68">
        <v>334</v>
      </c>
      <c r="AI104" s="68">
        <v>739</v>
      </c>
      <c r="AJ104" s="68">
        <v>182</v>
      </c>
      <c r="AK104" s="68">
        <v>70</v>
      </c>
      <c r="AL104" s="68">
        <v>487</v>
      </c>
      <c r="AM104" s="68">
        <v>332</v>
      </c>
      <c r="AN104" s="68">
        <v>113</v>
      </c>
      <c r="AO104" s="68">
        <v>110</v>
      </c>
      <c r="AP104" s="68">
        <v>109</v>
      </c>
      <c r="AQ104" s="68">
        <v>35</v>
      </c>
      <c r="AR104" s="68">
        <v>31</v>
      </c>
      <c r="AS104" s="68">
        <v>4</v>
      </c>
      <c r="AT104" s="68">
        <v>0</v>
      </c>
      <c r="AU104" s="68">
        <v>244</v>
      </c>
      <c r="AV104" s="68">
        <v>72</v>
      </c>
      <c r="AW104" s="68">
        <v>22</v>
      </c>
      <c r="AX104" s="68">
        <v>150</v>
      </c>
    </row>
    <row r="105" spans="1:50" ht="15.75" hidden="1" customHeight="1">
      <c r="A105" s="346"/>
      <c r="B105" s="65" t="s">
        <v>225</v>
      </c>
      <c r="C105" s="68">
        <v>959</v>
      </c>
      <c r="D105" s="68">
        <v>156</v>
      </c>
      <c r="E105" s="68">
        <v>107</v>
      </c>
      <c r="F105" s="68">
        <v>696</v>
      </c>
      <c r="G105" s="68">
        <v>335</v>
      </c>
      <c r="H105" s="68">
        <v>47</v>
      </c>
      <c r="I105" s="68">
        <v>16</v>
      </c>
      <c r="J105" s="68">
        <v>272</v>
      </c>
      <c r="K105" s="68">
        <v>340</v>
      </c>
      <c r="L105" s="68">
        <v>51</v>
      </c>
      <c r="M105" s="68">
        <v>21</v>
      </c>
      <c r="N105" s="68">
        <v>268</v>
      </c>
      <c r="O105" s="68">
        <v>117</v>
      </c>
      <c r="P105" s="68">
        <v>28</v>
      </c>
      <c r="Q105" s="68">
        <v>44</v>
      </c>
      <c r="R105" s="68">
        <v>45</v>
      </c>
      <c r="S105" s="68">
        <v>6</v>
      </c>
      <c r="T105" s="68">
        <v>2</v>
      </c>
      <c r="U105" s="68">
        <v>0</v>
      </c>
      <c r="V105" s="68">
        <v>4</v>
      </c>
      <c r="W105" s="68">
        <v>161</v>
      </c>
      <c r="X105" s="68">
        <v>28</v>
      </c>
      <c r="Y105" s="68">
        <v>26</v>
      </c>
      <c r="Z105" s="68">
        <v>107</v>
      </c>
      <c r="AA105" s="68">
        <v>2144</v>
      </c>
      <c r="AB105" s="68">
        <v>332</v>
      </c>
      <c r="AC105" s="68">
        <v>194</v>
      </c>
      <c r="AD105" s="68">
        <v>1618</v>
      </c>
      <c r="AE105" s="68">
        <v>803</v>
      </c>
      <c r="AF105" s="68">
        <v>97</v>
      </c>
      <c r="AG105" s="68">
        <v>12</v>
      </c>
      <c r="AH105" s="68">
        <v>694</v>
      </c>
      <c r="AI105" s="68">
        <v>751</v>
      </c>
      <c r="AJ105" s="68">
        <v>111</v>
      </c>
      <c r="AK105" s="68">
        <v>41</v>
      </c>
      <c r="AL105" s="68">
        <v>599</v>
      </c>
      <c r="AM105" s="68">
        <v>258</v>
      </c>
      <c r="AN105" s="68">
        <v>63</v>
      </c>
      <c r="AO105" s="68">
        <v>91</v>
      </c>
      <c r="AP105" s="68">
        <v>104</v>
      </c>
      <c r="AQ105" s="68">
        <v>12</v>
      </c>
      <c r="AR105" s="68">
        <v>5</v>
      </c>
      <c r="AS105" s="68">
        <v>0</v>
      </c>
      <c r="AT105" s="68">
        <v>7</v>
      </c>
      <c r="AU105" s="68">
        <v>320</v>
      </c>
      <c r="AV105" s="68">
        <v>56</v>
      </c>
      <c r="AW105" s="68">
        <v>50</v>
      </c>
      <c r="AX105" s="68">
        <v>214</v>
      </c>
    </row>
    <row r="106" spans="1:50" ht="15.75" hidden="1" customHeight="1">
      <c r="A106" s="63" t="s">
        <v>208</v>
      </c>
      <c r="B106" s="64" t="s">
        <v>223</v>
      </c>
      <c r="C106" s="67">
        <v>1304</v>
      </c>
      <c r="D106" s="67">
        <v>224</v>
      </c>
      <c r="E106" s="67">
        <v>155</v>
      </c>
      <c r="F106" s="67">
        <v>925</v>
      </c>
      <c r="G106" s="67">
        <v>525</v>
      </c>
      <c r="H106" s="67">
        <v>59</v>
      </c>
      <c r="I106" s="67">
        <v>13</v>
      </c>
      <c r="J106" s="67">
        <v>453</v>
      </c>
      <c r="K106" s="67">
        <v>343</v>
      </c>
      <c r="L106" s="67">
        <v>63</v>
      </c>
      <c r="M106" s="67">
        <v>18</v>
      </c>
      <c r="N106" s="67">
        <v>262</v>
      </c>
      <c r="O106" s="67">
        <v>248</v>
      </c>
      <c r="P106" s="67">
        <v>55</v>
      </c>
      <c r="Q106" s="67">
        <v>94</v>
      </c>
      <c r="R106" s="67">
        <v>99</v>
      </c>
      <c r="S106" s="67">
        <v>18</v>
      </c>
      <c r="T106" s="67">
        <v>7</v>
      </c>
      <c r="U106" s="67">
        <v>4</v>
      </c>
      <c r="V106" s="67">
        <v>7</v>
      </c>
      <c r="W106" s="67">
        <v>170</v>
      </c>
      <c r="X106" s="67">
        <v>40</v>
      </c>
      <c r="Y106" s="67">
        <v>26</v>
      </c>
      <c r="Z106" s="67">
        <v>104</v>
      </c>
      <c r="AA106" s="67">
        <v>2573</v>
      </c>
      <c r="AB106" s="67">
        <v>459</v>
      </c>
      <c r="AC106" s="67">
        <v>271</v>
      </c>
      <c r="AD106" s="67">
        <v>1843</v>
      </c>
      <c r="AE106" s="67">
        <v>944</v>
      </c>
      <c r="AF106" s="67">
        <v>108</v>
      </c>
      <c r="AG106" s="67">
        <v>28</v>
      </c>
      <c r="AH106" s="67">
        <v>808</v>
      </c>
      <c r="AI106" s="67">
        <v>806</v>
      </c>
      <c r="AJ106" s="67">
        <v>143</v>
      </c>
      <c r="AK106" s="67">
        <v>50</v>
      </c>
      <c r="AL106" s="67">
        <v>613</v>
      </c>
      <c r="AM106" s="67">
        <v>523</v>
      </c>
      <c r="AN106" s="67">
        <v>160</v>
      </c>
      <c r="AO106" s="67">
        <v>164</v>
      </c>
      <c r="AP106" s="67">
        <v>199</v>
      </c>
      <c r="AQ106" s="67">
        <v>57</v>
      </c>
      <c r="AR106" s="67">
        <v>20</v>
      </c>
      <c r="AS106" s="67">
        <v>13</v>
      </c>
      <c r="AT106" s="67">
        <v>24</v>
      </c>
      <c r="AU106" s="67">
        <v>243</v>
      </c>
      <c r="AV106" s="67">
        <v>28</v>
      </c>
      <c r="AW106" s="67">
        <v>16</v>
      </c>
      <c r="AX106" s="67">
        <v>199</v>
      </c>
    </row>
    <row r="107" spans="1:50" ht="15.75" hidden="1" customHeight="1">
      <c r="A107" s="345" t="s">
        <v>9</v>
      </c>
      <c r="B107" s="65" t="s">
        <v>224</v>
      </c>
      <c r="C107" s="68">
        <v>581</v>
      </c>
      <c r="D107" s="68">
        <v>132</v>
      </c>
      <c r="E107" s="68">
        <v>72</v>
      </c>
      <c r="F107" s="68">
        <v>377</v>
      </c>
      <c r="G107" s="68">
        <v>175</v>
      </c>
      <c r="H107" s="68">
        <v>26</v>
      </c>
      <c r="I107" s="68">
        <v>6</v>
      </c>
      <c r="J107" s="68">
        <v>143</v>
      </c>
      <c r="K107" s="68">
        <v>171</v>
      </c>
      <c r="L107" s="68">
        <v>34</v>
      </c>
      <c r="M107" s="68">
        <v>8</v>
      </c>
      <c r="N107" s="68">
        <v>129</v>
      </c>
      <c r="O107" s="68">
        <v>138</v>
      </c>
      <c r="P107" s="68">
        <v>40</v>
      </c>
      <c r="Q107" s="68">
        <v>44</v>
      </c>
      <c r="R107" s="68">
        <v>54</v>
      </c>
      <c r="S107" s="68">
        <v>13</v>
      </c>
      <c r="T107" s="68">
        <v>7</v>
      </c>
      <c r="U107" s="68">
        <v>2</v>
      </c>
      <c r="V107" s="68">
        <v>4</v>
      </c>
      <c r="W107" s="68">
        <v>84</v>
      </c>
      <c r="X107" s="68">
        <v>25</v>
      </c>
      <c r="Y107" s="68">
        <v>12</v>
      </c>
      <c r="Z107" s="68">
        <v>47</v>
      </c>
      <c r="AA107" s="68">
        <v>1152</v>
      </c>
      <c r="AB107" s="68">
        <v>272</v>
      </c>
      <c r="AC107" s="68">
        <v>125</v>
      </c>
      <c r="AD107" s="68">
        <v>755</v>
      </c>
      <c r="AE107" s="68">
        <v>326</v>
      </c>
      <c r="AF107" s="68">
        <v>53</v>
      </c>
      <c r="AG107" s="68">
        <v>11</v>
      </c>
      <c r="AH107" s="68">
        <v>262</v>
      </c>
      <c r="AI107" s="68">
        <v>392</v>
      </c>
      <c r="AJ107" s="68">
        <v>83</v>
      </c>
      <c r="AK107" s="68">
        <v>20</v>
      </c>
      <c r="AL107" s="68">
        <v>289</v>
      </c>
      <c r="AM107" s="68">
        <v>311</v>
      </c>
      <c r="AN107" s="68">
        <v>113</v>
      </c>
      <c r="AO107" s="68">
        <v>80</v>
      </c>
      <c r="AP107" s="68">
        <v>118</v>
      </c>
      <c r="AQ107" s="68">
        <v>37</v>
      </c>
      <c r="AR107" s="68">
        <v>18</v>
      </c>
      <c r="AS107" s="68">
        <v>9</v>
      </c>
      <c r="AT107" s="68">
        <v>10</v>
      </c>
      <c r="AU107" s="68">
        <v>86</v>
      </c>
      <c r="AV107" s="68">
        <v>5</v>
      </c>
      <c r="AW107" s="68">
        <v>5</v>
      </c>
      <c r="AX107" s="68">
        <v>76</v>
      </c>
    </row>
    <row r="108" spans="1:50" ht="15.75" hidden="1" customHeight="1">
      <c r="A108" s="346"/>
      <c r="B108" s="65" t="s">
        <v>225</v>
      </c>
      <c r="C108" s="68">
        <v>723</v>
      </c>
      <c r="D108" s="68">
        <v>92</v>
      </c>
      <c r="E108" s="68">
        <v>83</v>
      </c>
      <c r="F108" s="68">
        <v>548</v>
      </c>
      <c r="G108" s="68">
        <v>350</v>
      </c>
      <c r="H108" s="68">
        <v>33</v>
      </c>
      <c r="I108" s="68">
        <v>7</v>
      </c>
      <c r="J108" s="68">
        <v>310</v>
      </c>
      <c r="K108" s="68">
        <v>172</v>
      </c>
      <c r="L108" s="68">
        <v>29</v>
      </c>
      <c r="M108" s="68">
        <v>10</v>
      </c>
      <c r="N108" s="68">
        <v>133</v>
      </c>
      <c r="O108" s="68">
        <v>110</v>
      </c>
      <c r="P108" s="68">
        <v>15</v>
      </c>
      <c r="Q108" s="68">
        <v>50</v>
      </c>
      <c r="R108" s="68">
        <v>45</v>
      </c>
      <c r="S108" s="68">
        <v>5</v>
      </c>
      <c r="T108" s="68">
        <v>0</v>
      </c>
      <c r="U108" s="68">
        <v>2</v>
      </c>
      <c r="V108" s="68">
        <v>3</v>
      </c>
      <c r="W108" s="68">
        <v>86</v>
      </c>
      <c r="X108" s="68">
        <v>15</v>
      </c>
      <c r="Y108" s="68">
        <v>14</v>
      </c>
      <c r="Z108" s="68">
        <v>57</v>
      </c>
      <c r="AA108" s="68">
        <v>1421</v>
      </c>
      <c r="AB108" s="68">
        <v>187</v>
      </c>
      <c r="AC108" s="68">
        <v>146</v>
      </c>
      <c r="AD108" s="68">
        <v>1088</v>
      </c>
      <c r="AE108" s="68">
        <v>618</v>
      </c>
      <c r="AF108" s="68">
        <v>55</v>
      </c>
      <c r="AG108" s="68">
        <v>17</v>
      </c>
      <c r="AH108" s="68">
        <v>546</v>
      </c>
      <c r="AI108" s="68">
        <v>414</v>
      </c>
      <c r="AJ108" s="68">
        <v>60</v>
      </c>
      <c r="AK108" s="68">
        <v>30</v>
      </c>
      <c r="AL108" s="68">
        <v>324</v>
      </c>
      <c r="AM108" s="68">
        <v>212</v>
      </c>
      <c r="AN108" s="68">
        <v>47</v>
      </c>
      <c r="AO108" s="68">
        <v>84</v>
      </c>
      <c r="AP108" s="68">
        <v>81</v>
      </c>
      <c r="AQ108" s="68">
        <v>20</v>
      </c>
      <c r="AR108" s="68">
        <v>2</v>
      </c>
      <c r="AS108" s="68">
        <v>4</v>
      </c>
      <c r="AT108" s="68">
        <v>14</v>
      </c>
      <c r="AU108" s="68">
        <v>157</v>
      </c>
      <c r="AV108" s="68">
        <v>23</v>
      </c>
      <c r="AW108" s="68">
        <v>11</v>
      </c>
      <c r="AX108" s="68">
        <v>123</v>
      </c>
    </row>
    <row r="109" spans="1:50" ht="15.75" hidden="1" customHeight="1">
      <c r="A109" s="63" t="s">
        <v>209</v>
      </c>
      <c r="B109" s="64" t="s">
        <v>223</v>
      </c>
      <c r="C109" s="67">
        <v>2523</v>
      </c>
      <c r="D109" s="67">
        <v>411</v>
      </c>
      <c r="E109" s="67">
        <v>357</v>
      </c>
      <c r="F109" s="67">
        <v>1755</v>
      </c>
      <c r="G109" s="67">
        <v>887</v>
      </c>
      <c r="H109" s="67">
        <v>74</v>
      </c>
      <c r="I109" s="67">
        <v>17</v>
      </c>
      <c r="J109" s="67">
        <v>796</v>
      </c>
      <c r="K109" s="67">
        <v>764</v>
      </c>
      <c r="L109" s="67">
        <v>99</v>
      </c>
      <c r="M109" s="67">
        <v>99</v>
      </c>
      <c r="N109" s="67">
        <v>566</v>
      </c>
      <c r="O109" s="67">
        <v>405</v>
      </c>
      <c r="P109" s="67">
        <v>136</v>
      </c>
      <c r="Q109" s="67">
        <v>160</v>
      </c>
      <c r="R109" s="67">
        <v>109</v>
      </c>
      <c r="S109" s="67">
        <v>13</v>
      </c>
      <c r="T109" s="67">
        <v>0</v>
      </c>
      <c r="U109" s="67">
        <v>8</v>
      </c>
      <c r="V109" s="67">
        <v>5</v>
      </c>
      <c r="W109" s="67">
        <v>454</v>
      </c>
      <c r="X109" s="67">
        <v>102</v>
      </c>
      <c r="Y109" s="67">
        <v>73</v>
      </c>
      <c r="Z109" s="67">
        <v>279</v>
      </c>
      <c r="AA109" s="67">
        <v>6738</v>
      </c>
      <c r="AB109" s="67">
        <v>925</v>
      </c>
      <c r="AC109" s="67">
        <v>808</v>
      </c>
      <c r="AD109" s="67">
        <v>5005</v>
      </c>
      <c r="AE109" s="67">
        <v>3274</v>
      </c>
      <c r="AF109" s="67">
        <v>341</v>
      </c>
      <c r="AG109" s="67">
        <v>232</v>
      </c>
      <c r="AH109" s="67">
        <v>2701</v>
      </c>
      <c r="AI109" s="67">
        <v>2245</v>
      </c>
      <c r="AJ109" s="67">
        <v>261</v>
      </c>
      <c r="AK109" s="67">
        <v>251</v>
      </c>
      <c r="AL109" s="67">
        <v>1733</v>
      </c>
      <c r="AM109" s="67">
        <v>778</v>
      </c>
      <c r="AN109" s="67">
        <v>273</v>
      </c>
      <c r="AO109" s="67">
        <v>284</v>
      </c>
      <c r="AP109" s="67">
        <v>221</v>
      </c>
      <c r="AQ109" s="67">
        <v>37</v>
      </c>
      <c r="AR109" s="67">
        <v>18</v>
      </c>
      <c r="AS109" s="67">
        <v>11</v>
      </c>
      <c r="AT109" s="67">
        <v>8</v>
      </c>
      <c r="AU109" s="67">
        <v>404</v>
      </c>
      <c r="AV109" s="67">
        <v>32</v>
      </c>
      <c r="AW109" s="67">
        <v>30</v>
      </c>
      <c r="AX109" s="67">
        <v>342</v>
      </c>
    </row>
    <row r="110" spans="1:50" ht="15.75" hidden="1" customHeight="1">
      <c r="A110" s="345" t="s">
        <v>10</v>
      </c>
      <c r="B110" s="65" t="s">
        <v>224</v>
      </c>
      <c r="C110" s="68">
        <v>1145</v>
      </c>
      <c r="D110" s="68">
        <v>249</v>
      </c>
      <c r="E110" s="68">
        <v>191</v>
      </c>
      <c r="F110" s="68">
        <v>705</v>
      </c>
      <c r="G110" s="68">
        <v>299</v>
      </c>
      <c r="H110" s="68">
        <v>28</v>
      </c>
      <c r="I110" s="68">
        <v>6</v>
      </c>
      <c r="J110" s="68">
        <v>265</v>
      </c>
      <c r="K110" s="68">
        <v>388</v>
      </c>
      <c r="L110" s="68">
        <v>64</v>
      </c>
      <c r="M110" s="68">
        <v>56</v>
      </c>
      <c r="N110" s="68">
        <v>268</v>
      </c>
      <c r="O110" s="68">
        <v>242</v>
      </c>
      <c r="P110" s="68">
        <v>94</v>
      </c>
      <c r="Q110" s="68">
        <v>91</v>
      </c>
      <c r="R110" s="68">
        <v>57</v>
      </c>
      <c r="S110" s="68">
        <v>9</v>
      </c>
      <c r="T110" s="68">
        <v>0</v>
      </c>
      <c r="U110" s="68">
        <v>7</v>
      </c>
      <c r="V110" s="68">
        <v>2</v>
      </c>
      <c r="W110" s="68">
        <v>207</v>
      </c>
      <c r="X110" s="68">
        <v>63</v>
      </c>
      <c r="Y110" s="68">
        <v>31</v>
      </c>
      <c r="Z110" s="68">
        <v>113</v>
      </c>
      <c r="AA110" s="68">
        <v>3150</v>
      </c>
      <c r="AB110" s="68">
        <v>579</v>
      </c>
      <c r="AC110" s="68">
        <v>448</v>
      </c>
      <c r="AD110" s="68">
        <v>2123</v>
      </c>
      <c r="AE110" s="68">
        <v>1395</v>
      </c>
      <c r="AF110" s="68">
        <v>199</v>
      </c>
      <c r="AG110" s="68">
        <v>125</v>
      </c>
      <c r="AH110" s="68">
        <v>1071</v>
      </c>
      <c r="AI110" s="68">
        <v>1095</v>
      </c>
      <c r="AJ110" s="68">
        <v>162</v>
      </c>
      <c r="AK110" s="68">
        <v>138</v>
      </c>
      <c r="AL110" s="68">
        <v>795</v>
      </c>
      <c r="AM110" s="68">
        <v>473</v>
      </c>
      <c r="AN110" s="68">
        <v>193</v>
      </c>
      <c r="AO110" s="68">
        <v>163</v>
      </c>
      <c r="AP110" s="68">
        <v>117</v>
      </c>
      <c r="AQ110" s="68">
        <v>26</v>
      </c>
      <c r="AR110" s="68">
        <v>14</v>
      </c>
      <c r="AS110" s="68">
        <v>9</v>
      </c>
      <c r="AT110" s="68">
        <v>3</v>
      </c>
      <c r="AU110" s="68">
        <v>161</v>
      </c>
      <c r="AV110" s="68">
        <v>11</v>
      </c>
      <c r="AW110" s="68">
        <v>13</v>
      </c>
      <c r="AX110" s="68">
        <v>137</v>
      </c>
    </row>
    <row r="111" spans="1:50" ht="15.75" hidden="1" customHeight="1">
      <c r="A111" s="346"/>
      <c r="B111" s="65" t="s">
        <v>225</v>
      </c>
      <c r="C111" s="68">
        <v>1378</v>
      </c>
      <c r="D111" s="68">
        <v>162</v>
      </c>
      <c r="E111" s="68">
        <v>166</v>
      </c>
      <c r="F111" s="68">
        <v>1050</v>
      </c>
      <c r="G111" s="68">
        <v>588</v>
      </c>
      <c r="H111" s="68">
        <v>46</v>
      </c>
      <c r="I111" s="68">
        <v>11</v>
      </c>
      <c r="J111" s="68">
        <v>531</v>
      </c>
      <c r="K111" s="68">
        <v>376</v>
      </c>
      <c r="L111" s="68">
        <v>35</v>
      </c>
      <c r="M111" s="68">
        <v>43</v>
      </c>
      <c r="N111" s="68">
        <v>298</v>
      </c>
      <c r="O111" s="68">
        <v>163</v>
      </c>
      <c r="P111" s="68">
        <v>42</v>
      </c>
      <c r="Q111" s="68">
        <v>69</v>
      </c>
      <c r="R111" s="68">
        <v>52</v>
      </c>
      <c r="S111" s="68">
        <v>4</v>
      </c>
      <c r="T111" s="68">
        <v>0</v>
      </c>
      <c r="U111" s="68">
        <v>1</v>
      </c>
      <c r="V111" s="68">
        <v>3</v>
      </c>
      <c r="W111" s="68">
        <v>247</v>
      </c>
      <c r="X111" s="68">
        <v>39</v>
      </c>
      <c r="Y111" s="68">
        <v>42</v>
      </c>
      <c r="Z111" s="68">
        <v>166</v>
      </c>
      <c r="AA111" s="68">
        <v>3588</v>
      </c>
      <c r="AB111" s="68">
        <v>346</v>
      </c>
      <c r="AC111" s="68">
        <v>360</v>
      </c>
      <c r="AD111" s="68">
        <v>2882</v>
      </c>
      <c r="AE111" s="68">
        <v>1879</v>
      </c>
      <c r="AF111" s="68">
        <v>142</v>
      </c>
      <c r="AG111" s="68">
        <v>107</v>
      </c>
      <c r="AH111" s="68">
        <v>1630</v>
      </c>
      <c r="AI111" s="68">
        <v>1150</v>
      </c>
      <c r="AJ111" s="68">
        <v>99</v>
      </c>
      <c r="AK111" s="68">
        <v>113</v>
      </c>
      <c r="AL111" s="68">
        <v>938</v>
      </c>
      <c r="AM111" s="68">
        <v>305</v>
      </c>
      <c r="AN111" s="68">
        <v>80</v>
      </c>
      <c r="AO111" s="68">
        <v>121</v>
      </c>
      <c r="AP111" s="68">
        <v>104</v>
      </c>
      <c r="AQ111" s="68">
        <v>11</v>
      </c>
      <c r="AR111" s="68">
        <v>4</v>
      </c>
      <c r="AS111" s="68">
        <v>2</v>
      </c>
      <c r="AT111" s="68">
        <v>5</v>
      </c>
      <c r="AU111" s="68">
        <v>243</v>
      </c>
      <c r="AV111" s="68">
        <v>21</v>
      </c>
      <c r="AW111" s="68">
        <v>17</v>
      </c>
      <c r="AX111" s="68">
        <v>205</v>
      </c>
    </row>
    <row r="112" spans="1:50" ht="15.75" hidden="1" customHeight="1">
      <c r="A112" s="63" t="s">
        <v>210</v>
      </c>
      <c r="B112" s="64" t="s">
        <v>223</v>
      </c>
      <c r="C112" s="67">
        <v>7589</v>
      </c>
      <c r="D112" s="67">
        <v>1341</v>
      </c>
      <c r="E112" s="67">
        <v>847</v>
      </c>
      <c r="F112" s="67">
        <v>5401</v>
      </c>
      <c r="G112" s="67">
        <v>3402</v>
      </c>
      <c r="H112" s="67">
        <v>340</v>
      </c>
      <c r="I112" s="67">
        <v>72</v>
      </c>
      <c r="J112" s="67">
        <v>2990</v>
      </c>
      <c r="K112" s="67">
        <v>2057</v>
      </c>
      <c r="L112" s="67">
        <v>279</v>
      </c>
      <c r="M112" s="67">
        <v>230</v>
      </c>
      <c r="N112" s="67">
        <v>1548</v>
      </c>
      <c r="O112" s="67">
        <v>1238</v>
      </c>
      <c r="P112" s="67">
        <v>485</v>
      </c>
      <c r="Q112" s="67">
        <v>415</v>
      </c>
      <c r="R112" s="67">
        <v>338</v>
      </c>
      <c r="S112" s="67">
        <v>2</v>
      </c>
      <c r="T112" s="67">
        <v>1</v>
      </c>
      <c r="U112" s="67">
        <v>0</v>
      </c>
      <c r="V112" s="67">
        <v>1</v>
      </c>
      <c r="W112" s="67">
        <v>890</v>
      </c>
      <c r="X112" s="67">
        <v>236</v>
      </c>
      <c r="Y112" s="67">
        <v>130</v>
      </c>
      <c r="Z112" s="67">
        <v>524</v>
      </c>
      <c r="AA112" s="67">
        <v>14678</v>
      </c>
      <c r="AB112" s="67">
        <v>1434</v>
      </c>
      <c r="AC112" s="67">
        <v>1554</v>
      </c>
      <c r="AD112" s="67">
        <v>11690</v>
      </c>
      <c r="AE112" s="67">
        <v>8704</v>
      </c>
      <c r="AF112" s="67">
        <v>754</v>
      </c>
      <c r="AG112" s="67">
        <v>475</v>
      </c>
      <c r="AH112" s="67">
        <v>7475</v>
      </c>
      <c r="AI112" s="67">
        <v>3400</v>
      </c>
      <c r="AJ112" s="67">
        <v>340</v>
      </c>
      <c r="AK112" s="67">
        <v>372</v>
      </c>
      <c r="AL112" s="67">
        <v>2688</v>
      </c>
      <c r="AM112" s="67">
        <v>1361</v>
      </c>
      <c r="AN112" s="67">
        <v>225</v>
      </c>
      <c r="AO112" s="67">
        <v>622</v>
      </c>
      <c r="AP112" s="67">
        <v>514</v>
      </c>
      <c r="AQ112" s="67">
        <v>4</v>
      </c>
      <c r="AR112" s="67">
        <v>2</v>
      </c>
      <c r="AS112" s="67">
        <v>1</v>
      </c>
      <c r="AT112" s="67">
        <v>1</v>
      </c>
      <c r="AU112" s="67">
        <v>1209</v>
      </c>
      <c r="AV112" s="67">
        <v>113</v>
      </c>
      <c r="AW112" s="67">
        <v>84</v>
      </c>
      <c r="AX112" s="67">
        <v>1012</v>
      </c>
    </row>
    <row r="113" spans="1:50" ht="15.75" hidden="1" customHeight="1">
      <c r="A113" s="345" t="s">
        <v>11</v>
      </c>
      <c r="B113" s="65" t="s">
        <v>224</v>
      </c>
      <c r="C113" s="68">
        <v>3001</v>
      </c>
      <c r="D113" s="68">
        <v>718</v>
      </c>
      <c r="E113" s="68">
        <v>389</v>
      </c>
      <c r="F113" s="68">
        <v>1894</v>
      </c>
      <c r="G113" s="68">
        <v>982</v>
      </c>
      <c r="H113" s="68">
        <v>127</v>
      </c>
      <c r="I113" s="68">
        <v>13</v>
      </c>
      <c r="J113" s="68">
        <v>842</v>
      </c>
      <c r="K113" s="68">
        <v>933</v>
      </c>
      <c r="L113" s="68">
        <v>145</v>
      </c>
      <c r="M113" s="68">
        <v>105</v>
      </c>
      <c r="N113" s="68">
        <v>683</v>
      </c>
      <c r="O113" s="68">
        <v>722</v>
      </c>
      <c r="P113" s="68">
        <v>316</v>
      </c>
      <c r="Q113" s="68">
        <v>219</v>
      </c>
      <c r="R113" s="68">
        <v>187</v>
      </c>
      <c r="S113" s="68">
        <v>1</v>
      </c>
      <c r="T113" s="68">
        <v>0</v>
      </c>
      <c r="U113" s="68">
        <v>0</v>
      </c>
      <c r="V113" s="68">
        <v>1</v>
      </c>
      <c r="W113" s="68">
        <v>363</v>
      </c>
      <c r="X113" s="68">
        <v>130</v>
      </c>
      <c r="Y113" s="68">
        <v>52</v>
      </c>
      <c r="Z113" s="68">
        <v>181</v>
      </c>
      <c r="AA113" s="68">
        <v>5853</v>
      </c>
      <c r="AB113" s="68">
        <v>636</v>
      </c>
      <c r="AC113" s="68">
        <v>695</v>
      </c>
      <c r="AD113" s="68">
        <v>4522</v>
      </c>
      <c r="AE113" s="68">
        <v>3138</v>
      </c>
      <c r="AF113" s="68">
        <v>292</v>
      </c>
      <c r="AG113" s="68">
        <v>188</v>
      </c>
      <c r="AH113" s="68">
        <v>2658</v>
      </c>
      <c r="AI113" s="68">
        <v>1544</v>
      </c>
      <c r="AJ113" s="68">
        <v>158</v>
      </c>
      <c r="AK113" s="68">
        <v>169</v>
      </c>
      <c r="AL113" s="68">
        <v>1217</v>
      </c>
      <c r="AM113" s="68">
        <v>718</v>
      </c>
      <c r="AN113" s="68">
        <v>133</v>
      </c>
      <c r="AO113" s="68">
        <v>308</v>
      </c>
      <c r="AP113" s="68">
        <v>277</v>
      </c>
      <c r="AQ113" s="68">
        <v>3</v>
      </c>
      <c r="AR113" s="68">
        <v>1</v>
      </c>
      <c r="AS113" s="68">
        <v>1</v>
      </c>
      <c r="AT113" s="68">
        <v>1</v>
      </c>
      <c r="AU113" s="68">
        <v>450</v>
      </c>
      <c r="AV113" s="68">
        <v>52</v>
      </c>
      <c r="AW113" s="68">
        <v>29</v>
      </c>
      <c r="AX113" s="68">
        <v>369</v>
      </c>
    </row>
    <row r="114" spans="1:50" ht="15.75" hidden="1" customHeight="1">
      <c r="A114" s="346"/>
      <c r="B114" s="65" t="s">
        <v>225</v>
      </c>
      <c r="C114" s="68">
        <v>4588</v>
      </c>
      <c r="D114" s="68">
        <v>623</v>
      </c>
      <c r="E114" s="68">
        <v>458</v>
      </c>
      <c r="F114" s="68">
        <v>3507</v>
      </c>
      <c r="G114" s="68">
        <v>2420</v>
      </c>
      <c r="H114" s="68">
        <v>213</v>
      </c>
      <c r="I114" s="68">
        <v>59</v>
      </c>
      <c r="J114" s="68">
        <v>2148</v>
      </c>
      <c r="K114" s="68">
        <v>1124</v>
      </c>
      <c r="L114" s="68">
        <v>134</v>
      </c>
      <c r="M114" s="68">
        <v>125</v>
      </c>
      <c r="N114" s="68">
        <v>865</v>
      </c>
      <c r="O114" s="68">
        <v>516</v>
      </c>
      <c r="P114" s="68">
        <v>169</v>
      </c>
      <c r="Q114" s="68">
        <v>196</v>
      </c>
      <c r="R114" s="68">
        <v>151</v>
      </c>
      <c r="S114" s="68">
        <v>1</v>
      </c>
      <c r="T114" s="68">
        <v>1</v>
      </c>
      <c r="U114" s="68">
        <v>0</v>
      </c>
      <c r="V114" s="68">
        <v>0</v>
      </c>
      <c r="W114" s="68">
        <v>527</v>
      </c>
      <c r="X114" s="68">
        <v>106</v>
      </c>
      <c r="Y114" s="68">
        <v>78</v>
      </c>
      <c r="Z114" s="68">
        <v>343</v>
      </c>
      <c r="AA114" s="68">
        <v>8825</v>
      </c>
      <c r="AB114" s="68">
        <v>798</v>
      </c>
      <c r="AC114" s="68">
        <v>859</v>
      </c>
      <c r="AD114" s="68">
        <v>7168</v>
      </c>
      <c r="AE114" s="68">
        <v>5566</v>
      </c>
      <c r="AF114" s="68">
        <v>462</v>
      </c>
      <c r="AG114" s="68">
        <v>287</v>
      </c>
      <c r="AH114" s="68">
        <v>4817</v>
      </c>
      <c r="AI114" s="68">
        <v>1856</v>
      </c>
      <c r="AJ114" s="68">
        <v>182</v>
      </c>
      <c r="AK114" s="68">
        <v>203</v>
      </c>
      <c r="AL114" s="68">
        <v>1471</v>
      </c>
      <c r="AM114" s="68">
        <v>643</v>
      </c>
      <c r="AN114" s="68">
        <v>92</v>
      </c>
      <c r="AO114" s="68">
        <v>314</v>
      </c>
      <c r="AP114" s="68">
        <v>237</v>
      </c>
      <c r="AQ114" s="68">
        <v>1</v>
      </c>
      <c r="AR114" s="68">
        <v>1</v>
      </c>
      <c r="AS114" s="68">
        <v>0</v>
      </c>
      <c r="AT114" s="68">
        <v>0</v>
      </c>
      <c r="AU114" s="68">
        <v>759</v>
      </c>
      <c r="AV114" s="68">
        <v>61</v>
      </c>
      <c r="AW114" s="68">
        <v>55</v>
      </c>
      <c r="AX114" s="68">
        <v>643</v>
      </c>
    </row>
    <row r="115" spans="1:50" ht="15.75" hidden="1" customHeight="1">
      <c r="A115" s="63" t="s">
        <v>211</v>
      </c>
      <c r="B115" s="64" t="s">
        <v>223</v>
      </c>
      <c r="C115" s="67">
        <v>4873</v>
      </c>
      <c r="D115" s="67">
        <v>872</v>
      </c>
      <c r="E115" s="67">
        <v>624</v>
      </c>
      <c r="F115" s="67">
        <v>3377</v>
      </c>
      <c r="G115" s="67">
        <v>2116</v>
      </c>
      <c r="H115" s="67">
        <v>251</v>
      </c>
      <c r="I115" s="67">
        <v>79</v>
      </c>
      <c r="J115" s="67">
        <v>1786</v>
      </c>
      <c r="K115" s="67">
        <v>1422</v>
      </c>
      <c r="L115" s="67">
        <v>247</v>
      </c>
      <c r="M115" s="67">
        <v>151</v>
      </c>
      <c r="N115" s="67">
        <v>1024</v>
      </c>
      <c r="O115" s="67">
        <v>674</v>
      </c>
      <c r="P115" s="67">
        <v>219</v>
      </c>
      <c r="Q115" s="67">
        <v>275</v>
      </c>
      <c r="R115" s="67">
        <v>180</v>
      </c>
      <c r="S115" s="67">
        <v>64</v>
      </c>
      <c r="T115" s="67">
        <v>21</v>
      </c>
      <c r="U115" s="67">
        <v>28</v>
      </c>
      <c r="V115" s="67">
        <v>15</v>
      </c>
      <c r="W115" s="67">
        <v>597</v>
      </c>
      <c r="X115" s="67">
        <v>134</v>
      </c>
      <c r="Y115" s="67">
        <v>91</v>
      </c>
      <c r="Z115" s="67">
        <v>372</v>
      </c>
      <c r="AA115" s="67">
        <v>9820</v>
      </c>
      <c r="AB115" s="67">
        <v>1510</v>
      </c>
      <c r="AC115" s="67">
        <v>842</v>
      </c>
      <c r="AD115" s="67">
        <v>7468</v>
      </c>
      <c r="AE115" s="67">
        <v>4493</v>
      </c>
      <c r="AF115" s="67">
        <v>518</v>
      </c>
      <c r="AG115" s="67">
        <v>159</v>
      </c>
      <c r="AH115" s="67">
        <v>3816</v>
      </c>
      <c r="AI115" s="67">
        <v>3293</v>
      </c>
      <c r="AJ115" s="67">
        <v>564</v>
      </c>
      <c r="AK115" s="67">
        <v>334</v>
      </c>
      <c r="AL115" s="67">
        <v>2395</v>
      </c>
      <c r="AM115" s="67">
        <v>160</v>
      </c>
      <c r="AN115" s="67">
        <v>44</v>
      </c>
      <c r="AO115" s="67">
        <v>64</v>
      </c>
      <c r="AP115" s="67">
        <v>52</v>
      </c>
      <c r="AQ115" s="67">
        <v>1277</v>
      </c>
      <c r="AR115" s="67">
        <v>249</v>
      </c>
      <c r="AS115" s="67">
        <v>193</v>
      </c>
      <c r="AT115" s="67">
        <v>835</v>
      </c>
      <c r="AU115" s="67">
        <v>597</v>
      </c>
      <c r="AV115" s="67">
        <v>135</v>
      </c>
      <c r="AW115" s="67">
        <v>92</v>
      </c>
      <c r="AX115" s="67">
        <v>370</v>
      </c>
    </row>
    <row r="116" spans="1:50" ht="15.75" hidden="1" customHeight="1">
      <c r="A116" s="345" t="s">
        <v>12</v>
      </c>
      <c r="B116" s="65" t="s">
        <v>224</v>
      </c>
      <c r="C116" s="68">
        <v>1964</v>
      </c>
      <c r="D116" s="68">
        <v>483</v>
      </c>
      <c r="E116" s="68">
        <v>307</v>
      </c>
      <c r="F116" s="68">
        <v>1174</v>
      </c>
      <c r="G116" s="68">
        <v>654</v>
      </c>
      <c r="H116" s="68">
        <v>107</v>
      </c>
      <c r="I116" s="68">
        <v>20</v>
      </c>
      <c r="J116" s="68">
        <v>527</v>
      </c>
      <c r="K116" s="68">
        <v>626</v>
      </c>
      <c r="L116" s="68">
        <v>134</v>
      </c>
      <c r="M116" s="68">
        <v>73</v>
      </c>
      <c r="N116" s="68">
        <v>419</v>
      </c>
      <c r="O116" s="68">
        <v>408</v>
      </c>
      <c r="P116" s="68">
        <v>149</v>
      </c>
      <c r="Q116" s="68">
        <v>171</v>
      </c>
      <c r="R116" s="68">
        <v>88</v>
      </c>
      <c r="S116" s="68">
        <v>39</v>
      </c>
      <c r="T116" s="68">
        <v>18</v>
      </c>
      <c r="U116" s="68">
        <v>14</v>
      </c>
      <c r="V116" s="68">
        <v>7</v>
      </c>
      <c r="W116" s="68">
        <v>237</v>
      </c>
      <c r="X116" s="68">
        <v>75</v>
      </c>
      <c r="Y116" s="68">
        <v>29</v>
      </c>
      <c r="Z116" s="68">
        <v>133</v>
      </c>
      <c r="AA116" s="68">
        <v>3678</v>
      </c>
      <c r="AB116" s="68">
        <v>782</v>
      </c>
      <c r="AC116" s="68">
        <v>328</v>
      </c>
      <c r="AD116" s="68">
        <v>2568</v>
      </c>
      <c r="AE116" s="68">
        <v>1410</v>
      </c>
      <c r="AF116" s="68">
        <v>225</v>
      </c>
      <c r="AG116" s="68">
        <v>42</v>
      </c>
      <c r="AH116" s="68">
        <v>1143</v>
      </c>
      <c r="AI116" s="68">
        <v>1432</v>
      </c>
      <c r="AJ116" s="68">
        <v>310</v>
      </c>
      <c r="AK116" s="68">
        <v>156</v>
      </c>
      <c r="AL116" s="68">
        <v>966</v>
      </c>
      <c r="AM116" s="68">
        <v>100</v>
      </c>
      <c r="AN116" s="68">
        <v>39</v>
      </c>
      <c r="AO116" s="68">
        <v>32</v>
      </c>
      <c r="AP116" s="68">
        <v>29</v>
      </c>
      <c r="AQ116" s="68">
        <v>499</v>
      </c>
      <c r="AR116" s="68">
        <v>133</v>
      </c>
      <c r="AS116" s="68">
        <v>68</v>
      </c>
      <c r="AT116" s="68">
        <v>298</v>
      </c>
      <c r="AU116" s="68">
        <v>237</v>
      </c>
      <c r="AV116" s="68">
        <v>75</v>
      </c>
      <c r="AW116" s="68">
        <v>30</v>
      </c>
      <c r="AX116" s="68">
        <v>132</v>
      </c>
    </row>
    <row r="117" spans="1:50" ht="15.75" hidden="1" customHeight="1">
      <c r="A117" s="346"/>
      <c r="B117" s="65" t="s">
        <v>225</v>
      </c>
      <c r="C117" s="68">
        <v>2909</v>
      </c>
      <c r="D117" s="68">
        <v>389</v>
      </c>
      <c r="E117" s="68">
        <v>317</v>
      </c>
      <c r="F117" s="68">
        <v>2203</v>
      </c>
      <c r="G117" s="68">
        <v>1462</v>
      </c>
      <c r="H117" s="68">
        <v>144</v>
      </c>
      <c r="I117" s="68">
        <v>59</v>
      </c>
      <c r="J117" s="68">
        <v>1259</v>
      </c>
      <c r="K117" s="68">
        <v>796</v>
      </c>
      <c r="L117" s="68">
        <v>113</v>
      </c>
      <c r="M117" s="68">
        <v>78</v>
      </c>
      <c r="N117" s="68">
        <v>605</v>
      </c>
      <c r="O117" s="68">
        <v>266</v>
      </c>
      <c r="P117" s="68">
        <v>70</v>
      </c>
      <c r="Q117" s="68">
        <v>104</v>
      </c>
      <c r="R117" s="68">
        <v>92</v>
      </c>
      <c r="S117" s="68">
        <v>25</v>
      </c>
      <c r="T117" s="68">
        <v>3</v>
      </c>
      <c r="U117" s="68">
        <v>14</v>
      </c>
      <c r="V117" s="68">
        <v>8</v>
      </c>
      <c r="W117" s="68">
        <v>360</v>
      </c>
      <c r="X117" s="68">
        <v>59</v>
      </c>
      <c r="Y117" s="68">
        <v>62</v>
      </c>
      <c r="Z117" s="68">
        <v>239</v>
      </c>
      <c r="AA117" s="68">
        <v>6142</v>
      </c>
      <c r="AB117" s="68">
        <v>728</v>
      </c>
      <c r="AC117" s="68">
        <v>514</v>
      </c>
      <c r="AD117" s="68">
        <v>4900</v>
      </c>
      <c r="AE117" s="68">
        <v>3083</v>
      </c>
      <c r="AF117" s="68">
        <v>293</v>
      </c>
      <c r="AG117" s="68">
        <v>117</v>
      </c>
      <c r="AH117" s="68">
        <v>2673</v>
      </c>
      <c r="AI117" s="68">
        <v>1861</v>
      </c>
      <c r="AJ117" s="68">
        <v>254</v>
      </c>
      <c r="AK117" s="68">
        <v>178</v>
      </c>
      <c r="AL117" s="68">
        <v>1429</v>
      </c>
      <c r="AM117" s="68">
        <v>60</v>
      </c>
      <c r="AN117" s="68">
        <v>5</v>
      </c>
      <c r="AO117" s="68">
        <v>32</v>
      </c>
      <c r="AP117" s="68">
        <v>23</v>
      </c>
      <c r="AQ117" s="68">
        <v>778</v>
      </c>
      <c r="AR117" s="68">
        <v>116</v>
      </c>
      <c r="AS117" s="68">
        <v>125</v>
      </c>
      <c r="AT117" s="68">
        <v>537</v>
      </c>
      <c r="AU117" s="68">
        <v>360</v>
      </c>
      <c r="AV117" s="68">
        <v>60</v>
      </c>
      <c r="AW117" s="68">
        <v>62</v>
      </c>
      <c r="AX117" s="68">
        <v>238</v>
      </c>
    </row>
    <row r="118" spans="1:50" ht="15.75" hidden="1" customHeight="1">
      <c r="A118" s="63" t="s">
        <v>212</v>
      </c>
      <c r="B118" s="64" t="s">
        <v>223</v>
      </c>
      <c r="C118" s="67">
        <v>4286</v>
      </c>
      <c r="D118" s="67">
        <v>795</v>
      </c>
      <c r="E118" s="67">
        <v>401</v>
      </c>
      <c r="F118" s="67">
        <v>3090</v>
      </c>
      <c r="G118" s="67">
        <v>1768</v>
      </c>
      <c r="H118" s="67">
        <v>187</v>
      </c>
      <c r="I118" s="67">
        <v>20</v>
      </c>
      <c r="J118" s="67">
        <v>1561</v>
      </c>
      <c r="K118" s="67">
        <v>1344</v>
      </c>
      <c r="L118" s="67">
        <v>236</v>
      </c>
      <c r="M118" s="67">
        <v>81</v>
      </c>
      <c r="N118" s="67">
        <v>1027</v>
      </c>
      <c r="O118" s="67">
        <v>615</v>
      </c>
      <c r="P118" s="67">
        <v>241</v>
      </c>
      <c r="Q118" s="67">
        <v>240</v>
      </c>
      <c r="R118" s="67">
        <v>134</v>
      </c>
      <c r="S118" s="67">
        <v>0</v>
      </c>
      <c r="T118" s="67">
        <v>0</v>
      </c>
      <c r="U118" s="67">
        <v>0</v>
      </c>
      <c r="V118" s="67">
        <v>0</v>
      </c>
      <c r="W118" s="67">
        <v>559</v>
      </c>
      <c r="X118" s="67">
        <v>131</v>
      </c>
      <c r="Y118" s="67">
        <v>60</v>
      </c>
      <c r="Z118" s="67">
        <v>368</v>
      </c>
      <c r="AA118" s="67">
        <v>5310</v>
      </c>
      <c r="AB118" s="67">
        <v>936</v>
      </c>
      <c r="AC118" s="67">
        <v>476</v>
      </c>
      <c r="AD118" s="67">
        <v>3898</v>
      </c>
      <c r="AE118" s="67">
        <v>2174</v>
      </c>
      <c r="AF118" s="67">
        <v>226</v>
      </c>
      <c r="AG118" s="67">
        <v>23</v>
      </c>
      <c r="AH118" s="67">
        <v>1925</v>
      </c>
      <c r="AI118" s="67">
        <v>1683</v>
      </c>
      <c r="AJ118" s="67">
        <v>276</v>
      </c>
      <c r="AK118" s="67">
        <v>98</v>
      </c>
      <c r="AL118" s="67">
        <v>1309</v>
      </c>
      <c r="AM118" s="67">
        <v>712</v>
      </c>
      <c r="AN118" s="67">
        <v>268</v>
      </c>
      <c r="AO118" s="67">
        <v>278</v>
      </c>
      <c r="AP118" s="67">
        <v>166</v>
      </c>
      <c r="AQ118" s="67">
        <v>2</v>
      </c>
      <c r="AR118" s="67">
        <v>0</v>
      </c>
      <c r="AS118" s="67">
        <v>0</v>
      </c>
      <c r="AT118" s="67">
        <v>2</v>
      </c>
      <c r="AU118" s="67">
        <v>739</v>
      </c>
      <c r="AV118" s="67">
        <v>166</v>
      </c>
      <c r="AW118" s="67">
        <v>77</v>
      </c>
      <c r="AX118" s="67">
        <v>496</v>
      </c>
    </row>
    <row r="119" spans="1:50" ht="15.75" hidden="1" customHeight="1">
      <c r="A119" s="345" t="s">
        <v>13</v>
      </c>
      <c r="B119" s="65" t="s">
        <v>224</v>
      </c>
      <c r="C119" s="68">
        <v>1716</v>
      </c>
      <c r="D119" s="68">
        <v>448</v>
      </c>
      <c r="E119" s="68">
        <v>204</v>
      </c>
      <c r="F119" s="68">
        <v>1064</v>
      </c>
      <c r="G119" s="68">
        <v>524</v>
      </c>
      <c r="H119" s="68">
        <v>84</v>
      </c>
      <c r="I119" s="68">
        <v>6</v>
      </c>
      <c r="J119" s="68">
        <v>434</v>
      </c>
      <c r="K119" s="68">
        <v>589</v>
      </c>
      <c r="L119" s="68">
        <v>118</v>
      </c>
      <c r="M119" s="68">
        <v>46</v>
      </c>
      <c r="N119" s="68">
        <v>425</v>
      </c>
      <c r="O119" s="68">
        <v>379</v>
      </c>
      <c r="P119" s="68">
        <v>178</v>
      </c>
      <c r="Q119" s="68">
        <v>130</v>
      </c>
      <c r="R119" s="68">
        <v>71</v>
      </c>
      <c r="S119" s="68">
        <v>0</v>
      </c>
      <c r="T119" s="68">
        <v>0</v>
      </c>
      <c r="U119" s="68">
        <v>0</v>
      </c>
      <c r="V119" s="68">
        <v>0</v>
      </c>
      <c r="W119" s="68">
        <v>224</v>
      </c>
      <c r="X119" s="68">
        <v>68</v>
      </c>
      <c r="Y119" s="68">
        <v>22</v>
      </c>
      <c r="Z119" s="68">
        <v>134</v>
      </c>
      <c r="AA119" s="68">
        <v>2154</v>
      </c>
      <c r="AB119" s="68">
        <v>528</v>
      </c>
      <c r="AC119" s="68">
        <v>240</v>
      </c>
      <c r="AD119" s="68">
        <v>1386</v>
      </c>
      <c r="AE119" s="68">
        <v>667</v>
      </c>
      <c r="AF119" s="68">
        <v>100</v>
      </c>
      <c r="AG119" s="68">
        <v>6</v>
      </c>
      <c r="AH119" s="68">
        <v>561</v>
      </c>
      <c r="AI119" s="68">
        <v>744</v>
      </c>
      <c r="AJ119" s="68">
        <v>144</v>
      </c>
      <c r="AK119" s="68">
        <v>51</v>
      </c>
      <c r="AL119" s="68">
        <v>549</v>
      </c>
      <c r="AM119" s="68">
        <v>436</v>
      </c>
      <c r="AN119" s="68">
        <v>194</v>
      </c>
      <c r="AO119" s="68">
        <v>153</v>
      </c>
      <c r="AP119" s="68">
        <v>89</v>
      </c>
      <c r="AQ119" s="68">
        <v>0</v>
      </c>
      <c r="AR119" s="68">
        <v>0</v>
      </c>
      <c r="AS119" s="68">
        <v>0</v>
      </c>
      <c r="AT119" s="68">
        <v>0</v>
      </c>
      <c r="AU119" s="68">
        <v>307</v>
      </c>
      <c r="AV119" s="68">
        <v>90</v>
      </c>
      <c r="AW119" s="68">
        <v>30</v>
      </c>
      <c r="AX119" s="68">
        <v>187</v>
      </c>
    </row>
    <row r="120" spans="1:50" ht="15.75" hidden="1" customHeight="1">
      <c r="A120" s="346"/>
      <c r="B120" s="65" t="s">
        <v>225</v>
      </c>
      <c r="C120" s="68">
        <v>2570</v>
      </c>
      <c r="D120" s="68">
        <v>347</v>
      </c>
      <c r="E120" s="68">
        <v>197</v>
      </c>
      <c r="F120" s="68">
        <v>2026</v>
      </c>
      <c r="G120" s="68">
        <v>1244</v>
      </c>
      <c r="H120" s="68">
        <v>103</v>
      </c>
      <c r="I120" s="68">
        <v>14</v>
      </c>
      <c r="J120" s="68">
        <v>1127</v>
      </c>
      <c r="K120" s="68">
        <v>755</v>
      </c>
      <c r="L120" s="68">
        <v>118</v>
      </c>
      <c r="M120" s="68">
        <v>35</v>
      </c>
      <c r="N120" s="68">
        <v>602</v>
      </c>
      <c r="O120" s="68">
        <v>236</v>
      </c>
      <c r="P120" s="68">
        <v>63</v>
      </c>
      <c r="Q120" s="68">
        <v>110</v>
      </c>
      <c r="R120" s="68">
        <v>63</v>
      </c>
      <c r="S120" s="68">
        <v>0</v>
      </c>
      <c r="T120" s="68">
        <v>0</v>
      </c>
      <c r="U120" s="68">
        <v>0</v>
      </c>
      <c r="V120" s="68">
        <v>0</v>
      </c>
      <c r="W120" s="68">
        <v>335</v>
      </c>
      <c r="X120" s="68">
        <v>63</v>
      </c>
      <c r="Y120" s="68">
        <v>38</v>
      </c>
      <c r="Z120" s="68">
        <v>234</v>
      </c>
      <c r="AA120" s="68">
        <v>3156</v>
      </c>
      <c r="AB120" s="68">
        <v>408</v>
      </c>
      <c r="AC120" s="68">
        <v>236</v>
      </c>
      <c r="AD120" s="68">
        <v>2512</v>
      </c>
      <c r="AE120" s="68">
        <v>1507</v>
      </c>
      <c r="AF120" s="68">
        <v>126</v>
      </c>
      <c r="AG120" s="68">
        <v>17</v>
      </c>
      <c r="AH120" s="68">
        <v>1364</v>
      </c>
      <c r="AI120" s="68">
        <v>939</v>
      </c>
      <c r="AJ120" s="68">
        <v>132</v>
      </c>
      <c r="AK120" s="68">
        <v>47</v>
      </c>
      <c r="AL120" s="68">
        <v>760</v>
      </c>
      <c r="AM120" s="68">
        <v>276</v>
      </c>
      <c r="AN120" s="68">
        <v>74</v>
      </c>
      <c r="AO120" s="68">
        <v>125</v>
      </c>
      <c r="AP120" s="68">
        <v>77</v>
      </c>
      <c r="AQ120" s="68">
        <v>2</v>
      </c>
      <c r="AR120" s="68">
        <v>0</v>
      </c>
      <c r="AS120" s="68">
        <v>0</v>
      </c>
      <c r="AT120" s="68">
        <v>2</v>
      </c>
      <c r="AU120" s="68">
        <v>432</v>
      </c>
      <c r="AV120" s="68">
        <v>76</v>
      </c>
      <c r="AW120" s="68">
        <v>47</v>
      </c>
      <c r="AX120" s="68">
        <v>309</v>
      </c>
    </row>
    <row r="121" spans="1:50" ht="15.75" hidden="1" customHeight="1">
      <c r="A121" s="63" t="s">
        <v>213</v>
      </c>
      <c r="B121" s="64" t="s">
        <v>223</v>
      </c>
      <c r="C121" s="67">
        <v>3671</v>
      </c>
      <c r="D121" s="67">
        <v>618</v>
      </c>
      <c r="E121" s="67">
        <v>421</v>
      </c>
      <c r="F121" s="67">
        <v>2632</v>
      </c>
      <c r="G121" s="67">
        <v>1378</v>
      </c>
      <c r="H121" s="67">
        <v>160</v>
      </c>
      <c r="I121" s="67">
        <v>28</v>
      </c>
      <c r="J121" s="67">
        <v>1190</v>
      </c>
      <c r="K121" s="67">
        <v>1253</v>
      </c>
      <c r="L121" s="67">
        <v>260</v>
      </c>
      <c r="M121" s="67">
        <v>84</v>
      </c>
      <c r="N121" s="67">
        <v>909</v>
      </c>
      <c r="O121" s="67">
        <v>583</v>
      </c>
      <c r="P121" s="67">
        <v>177</v>
      </c>
      <c r="Q121" s="67">
        <v>281</v>
      </c>
      <c r="R121" s="67">
        <v>125</v>
      </c>
      <c r="S121" s="67">
        <v>9</v>
      </c>
      <c r="T121" s="67">
        <v>5</v>
      </c>
      <c r="U121" s="67">
        <v>0</v>
      </c>
      <c r="V121" s="67">
        <v>4</v>
      </c>
      <c r="W121" s="67">
        <v>448</v>
      </c>
      <c r="X121" s="67">
        <v>16</v>
      </c>
      <c r="Y121" s="67">
        <v>28</v>
      </c>
      <c r="Z121" s="67">
        <v>404</v>
      </c>
      <c r="AA121" s="67">
        <v>5233</v>
      </c>
      <c r="AB121" s="67">
        <v>915</v>
      </c>
      <c r="AC121" s="67">
        <v>578</v>
      </c>
      <c r="AD121" s="67">
        <v>3740</v>
      </c>
      <c r="AE121" s="67">
        <v>1904</v>
      </c>
      <c r="AF121" s="67">
        <v>244</v>
      </c>
      <c r="AG121" s="67">
        <v>37</v>
      </c>
      <c r="AH121" s="67">
        <v>1623</v>
      </c>
      <c r="AI121" s="67">
        <v>1897</v>
      </c>
      <c r="AJ121" s="67">
        <v>380</v>
      </c>
      <c r="AK121" s="67">
        <v>124</v>
      </c>
      <c r="AL121" s="67">
        <v>1393</v>
      </c>
      <c r="AM121" s="67">
        <v>769</v>
      </c>
      <c r="AN121" s="67">
        <v>226</v>
      </c>
      <c r="AO121" s="67">
        <v>366</v>
      </c>
      <c r="AP121" s="67">
        <v>177</v>
      </c>
      <c r="AQ121" s="67">
        <v>10</v>
      </c>
      <c r="AR121" s="67">
        <v>1</v>
      </c>
      <c r="AS121" s="67">
        <v>5</v>
      </c>
      <c r="AT121" s="67">
        <v>4</v>
      </c>
      <c r="AU121" s="67">
        <v>653</v>
      </c>
      <c r="AV121" s="67">
        <v>64</v>
      </c>
      <c r="AW121" s="67">
        <v>46</v>
      </c>
      <c r="AX121" s="67">
        <v>543</v>
      </c>
    </row>
    <row r="122" spans="1:50" ht="15.75" hidden="1" customHeight="1">
      <c r="A122" s="345" t="s">
        <v>14</v>
      </c>
      <c r="B122" s="65" t="s">
        <v>224</v>
      </c>
      <c r="C122" s="68">
        <v>1510</v>
      </c>
      <c r="D122" s="68">
        <v>351</v>
      </c>
      <c r="E122" s="68">
        <v>222</v>
      </c>
      <c r="F122" s="68">
        <v>937</v>
      </c>
      <c r="G122" s="68">
        <v>424</v>
      </c>
      <c r="H122" s="68">
        <v>59</v>
      </c>
      <c r="I122" s="68">
        <v>8</v>
      </c>
      <c r="J122" s="68">
        <v>357</v>
      </c>
      <c r="K122" s="68">
        <v>569</v>
      </c>
      <c r="L122" s="68">
        <v>147</v>
      </c>
      <c r="M122" s="68">
        <v>37</v>
      </c>
      <c r="N122" s="68">
        <v>385</v>
      </c>
      <c r="O122" s="68">
        <v>370</v>
      </c>
      <c r="P122" s="68">
        <v>134</v>
      </c>
      <c r="Q122" s="68">
        <v>169</v>
      </c>
      <c r="R122" s="68">
        <v>67</v>
      </c>
      <c r="S122" s="68">
        <v>8</v>
      </c>
      <c r="T122" s="68">
        <v>4</v>
      </c>
      <c r="U122" s="68">
        <v>0</v>
      </c>
      <c r="V122" s="68">
        <v>4</v>
      </c>
      <c r="W122" s="68">
        <v>139</v>
      </c>
      <c r="X122" s="68">
        <v>7</v>
      </c>
      <c r="Y122" s="68">
        <v>8</v>
      </c>
      <c r="Z122" s="68">
        <v>124</v>
      </c>
      <c r="AA122" s="68">
        <v>2176</v>
      </c>
      <c r="AB122" s="68">
        <v>520</v>
      </c>
      <c r="AC122" s="68">
        <v>298</v>
      </c>
      <c r="AD122" s="68">
        <v>1358</v>
      </c>
      <c r="AE122" s="68">
        <v>604</v>
      </c>
      <c r="AF122" s="68">
        <v>98</v>
      </c>
      <c r="AG122" s="68">
        <v>12</v>
      </c>
      <c r="AH122" s="68">
        <v>494</v>
      </c>
      <c r="AI122" s="68">
        <v>877</v>
      </c>
      <c r="AJ122" s="68">
        <v>214</v>
      </c>
      <c r="AK122" s="68">
        <v>58</v>
      </c>
      <c r="AL122" s="68">
        <v>605</v>
      </c>
      <c r="AM122" s="68">
        <v>493</v>
      </c>
      <c r="AN122" s="68">
        <v>181</v>
      </c>
      <c r="AO122" s="68">
        <v>214</v>
      </c>
      <c r="AP122" s="68">
        <v>98</v>
      </c>
      <c r="AQ122" s="68">
        <v>9</v>
      </c>
      <c r="AR122" s="68">
        <v>1</v>
      </c>
      <c r="AS122" s="68">
        <v>4</v>
      </c>
      <c r="AT122" s="68">
        <v>4</v>
      </c>
      <c r="AU122" s="68">
        <v>193</v>
      </c>
      <c r="AV122" s="68">
        <v>26</v>
      </c>
      <c r="AW122" s="68">
        <v>10</v>
      </c>
      <c r="AX122" s="68">
        <v>157</v>
      </c>
    </row>
    <row r="123" spans="1:50" ht="15.75" hidden="1" customHeight="1">
      <c r="A123" s="346"/>
      <c r="B123" s="65" t="s">
        <v>225</v>
      </c>
      <c r="C123" s="68">
        <v>2161</v>
      </c>
      <c r="D123" s="68">
        <v>267</v>
      </c>
      <c r="E123" s="68">
        <v>199</v>
      </c>
      <c r="F123" s="68">
        <v>1695</v>
      </c>
      <c r="G123" s="68">
        <v>954</v>
      </c>
      <c r="H123" s="68">
        <v>101</v>
      </c>
      <c r="I123" s="68">
        <v>20</v>
      </c>
      <c r="J123" s="68">
        <v>833</v>
      </c>
      <c r="K123" s="68">
        <v>684</v>
      </c>
      <c r="L123" s="68">
        <v>113</v>
      </c>
      <c r="M123" s="68">
        <v>47</v>
      </c>
      <c r="N123" s="68">
        <v>524</v>
      </c>
      <c r="O123" s="68">
        <v>213</v>
      </c>
      <c r="P123" s="68">
        <v>43</v>
      </c>
      <c r="Q123" s="68">
        <v>112</v>
      </c>
      <c r="R123" s="68">
        <v>58</v>
      </c>
      <c r="S123" s="68">
        <v>1</v>
      </c>
      <c r="T123" s="68">
        <v>1</v>
      </c>
      <c r="U123" s="68">
        <v>0</v>
      </c>
      <c r="V123" s="68">
        <v>0</v>
      </c>
      <c r="W123" s="68">
        <v>309</v>
      </c>
      <c r="X123" s="68">
        <v>9</v>
      </c>
      <c r="Y123" s="68">
        <v>20</v>
      </c>
      <c r="Z123" s="68">
        <v>280</v>
      </c>
      <c r="AA123" s="68">
        <v>3057</v>
      </c>
      <c r="AB123" s="68">
        <v>395</v>
      </c>
      <c r="AC123" s="68">
        <v>280</v>
      </c>
      <c r="AD123" s="68">
        <v>2382</v>
      </c>
      <c r="AE123" s="68">
        <v>1300</v>
      </c>
      <c r="AF123" s="68">
        <v>146</v>
      </c>
      <c r="AG123" s="68">
        <v>25</v>
      </c>
      <c r="AH123" s="68">
        <v>1129</v>
      </c>
      <c r="AI123" s="68">
        <v>1020</v>
      </c>
      <c r="AJ123" s="68">
        <v>166</v>
      </c>
      <c r="AK123" s="68">
        <v>66</v>
      </c>
      <c r="AL123" s="68">
        <v>788</v>
      </c>
      <c r="AM123" s="68">
        <v>276</v>
      </c>
      <c r="AN123" s="68">
        <v>45</v>
      </c>
      <c r="AO123" s="68">
        <v>152</v>
      </c>
      <c r="AP123" s="68">
        <v>79</v>
      </c>
      <c r="AQ123" s="68">
        <v>1</v>
      </c>
      <c r="AR123" s="68">
        <v>0</v>
      </c>
      <c r="AS123" s="68">
        <v>1</v>
      </c>
      <c r="AT123" s="68">
        <v>0</v>
      </c>
      <c r="AU123" s="68">
        <v>460</v>
      </c>
      <c r="AV123" s="68">
        <v>38</v>
      </c>
      <c r="AW123" s="68">
        <v>36</v>
      </c>
      <c r="AX123" s="68">
        <v>386</v>
      </c>
    </row>
    <row r="124" spans="1:50" ht="15.75" hidden="1" customHeight="1">
      <c r="A124" s="63" t="s">
        <v>214</v>
      </c>
      <c r="B124" s="64" t="s">
        <v>223</v>
      </c>
      <c r="C124" s="67">
        <v>8005</v>
      </c>
      <c r="D124" s="67">
        <v>1891</v>
      </c>
      <c r="E124" s="67">
        <v>1008</v>
      </c>
      <c r="F124" s="67">
        <v>5106</v>
      </c>
      <c r="G124" s="67">
        <v>3322</v>
      </c>
      <c r="H124" s="67">
        <v>481</v>
      </c>
      <c r="I124" s="67">
        <v>91</v>
      </c>
      <c r="J124" s="67">
        <v>2750</v>
      </c>
      <c r="K124" s="67">
        <v>2323</v>
      </c>
      <c r="L124" s="67">
        <v>516</v>
      </c>
      <c r="M124" s="67">
        <v>295</v>
      </c>
      <c r="N124" s="67">
        <v>1512</v>
      </c>
      <c r="O124" s="67">
        <v>1258</v>
      </c>
      <c r="P124" s="67">
        <v>556</v>
      </c>
      <c r="Q124" s="67">
        <v>417</v>
      </c>
      <c r="R124" s="67">
        <v>285</v>
      </c>
      <c r="S124" s="67">
        <v>190</v>
      </c>
      <c r="T124" s="67">
        <v>67</v>
      </c>
      <c r="U124" s="67">
        <v>57</v>
      </c>
      <c r="V124" s="67">
        <v>66</v>
      </c>
      <c r="W124" s="67">
        <v>912</v>
      </c>
      <c r="X124" s="67">
        <v>271</v>
      </c>
      <c r="Y124" s="67">
        <v>148</v>
      </c>
      <c r="Z124" s="67">
        <v>493</v>
      </c>
      <c r="AA124" s="67">
        <v>11612</v>
      </c>
      <c r="AB124" s="67">
        <v>2410</v>
      </c>
      <c r="AC124" s="67">
        <v>1441</v>
      </c>
      <c r="AD124" s="67">
        <v>7761</v>
      </c>
      <c r="AE124" s="67">
        <v>5666</v>
      </c>
      <c r="AF124" s="67">
        <v>800</v>
      </c>
      <c r="AG124" s="67">
        <v>307</v>
      </c>
      <c r="AH124" s="67">
        <v>4559</v>
      </c>
      <c r="AI124" s="67">
        <v>3372</v>
      </c>
      <c r="AJ124" s="67">
        <v>698</v>
      </c>
      <c r="AK124" s="67">
        <v>435</v>
      </c>
      <c r="AL124" s="67">
        <v>2239</v>
      </c>
      <c r="AM124" s="67">
        <v>1779</v>
      </c>
      <c r="AN124" s="67">
        <v>727</v>
      </c>
      <c r="AO124" s="67">
        <v>571</v>
      </c>
      <c r="AP124" s="67">
        <v>481</v>
      </c>
      <c r="AQ124" s="67">
        <v>279</v>
      </c>
      <c r="AR124" s="67">
        <v>97</v>
      </c>
      <c r="AS124" s="67">
        <v>70</v>
      </c>
      <c r="AT124" s="67">
        <v>112</v>
      </c>
      <c r="AU124" s="67">
        <v>516</v>
      </c>
      <c r="AV124" s="67">
        <v>88</v>
      </c>
      <c r="AW124" s="67">
        <v>58</v>
      </c>
      <c r="AX124" s="67">
        <v>370</v>
      </c>
    </row>
    <row r="125" spans="1:50" ht="15.75" hidden="1" customHeight="1">
      <c r="A125" s="345" t="s">
        <v>15</v>
      </c>
      <c r="B125" s="65" t="s">
        <v>224</v>
      </c>
      <c r="C125" s="68">
        <v>3394</v>
      </c>
      <c r="D125" s="68">
        <v>1081</v>
      </c>
      <c r="E125" s="68">
        <v>501</v>
      </c>
      <c r="F125" s="68">
        <v>1812</v>
      </c>
      <c r="G125" s="68">
        <v>1016</v>
      </c>
      <c r="H125" s="68">
        <v>181</v>
      </c>
      <c r="I125" s="68">
        <v>21</v>
      </c>
      <c r="J125" s="68">
        <v>814</v>
      </c>
      <c r="K125" s="68">
        <v>1058</v>
      </c>
      <c r="L125" s="68">
        <v>283</v>
      </c>
      <c r="M125" s="68">
        <v>137</v>
      </c>
      <c r="N125" s="68">
        <v>638</v>
      </c>
      <c r="O125" s="68">
        <v>803</v>
      </c>
      <c r="P125" s="68">
        <v>409</v>
      </c>
      <c r="Q125" s="68">
        <v>241</v>
      </c>
      <c r="R125" s="68">
        <v>153</v>
      </c>
      <c r="S125" s="68">
        <v>124</v>
      </c>
      <c r="T125" s="68">
        <v>53</v>
      </c>
      <c r="U125" s="68">
        <v>35</v>
      </c>
      <c r="V125" s="68">
        <v>36</v>
      </c>
      <c r="W125" s="68">
        <v>393</v>
      </c>
      <c r="X125" s="68">
        <v>155</v>
      </c>
      <c r="Y125" s="68">
        <v>67</v>
      </c>
      <c r="Z125" s="68">
        <v>171</v>
      </c>
      <c r="AA125" s="68">
        <v>4959</v>
      </c>
      <c r="AB125" s="68">
        <v>1363</v>
      </c>
      <c r="AC125" s="68">
        <v>691</v>
      </c>
      <c r="AD125" s="68">
        <v>2905</v>
      </c>
      <c r="AE125" s="68">
        <v>1978</v>
      </c>
      <c r="AF125" s="68">
        <v>356</v>
      </c>
      <c r="AG125" s="68">
        <v>118</v>
      </c>
      <c r="AH125" s="68">
        <v>1504</v>
      </c>
      <c r="AI125" s="68">
        <v>1525</v>
      </c>
      <c r="AJ125" s="68">
        <v>381</v>
      </c>
      <c r="AK125" s="68">
        <v>207</v>
      </c>
      <c r="AL125" s="68">
        <v>937</v>
      </c>
      <c r="AM125" s="68">
        <v>1073</v>
      </c>
      <c r="AN125" s="68">
        <v>512</v>
      </c>
      <c r="AO125" s="68">
        <v>307</v>
      </c>
      <c r="AP125" s="68">
        <v>254</v>
      </c>
      <c r="AQ125" s="68">
        <v>174</v>
      </c>
      <c r="AR125" s="68">
        <v>75</v>
      </c>
      <c r="AS125" s="68">
        <v>37</v>
      </c>
      <c r="AT125" s="68">
        <v>62</v>
      </c>
      <c r="AU125" s="68">
        <v>209</v>
      </c>
      <c r="AV125" s="68">
        <v>39</v>
      </c>
      <c r="AW125" s="68">
        <v>22</v>
      </c>
      <c r="AX125" s="68">
        <v>148</v>
      </c>
    </row>
    <row r="126" spans="1:50" ht="15.75" hidden="1" customHeight="1">
      <c r="A126" s="346"/>
      <c r="B126" s="65" t="s">
        <v>225</v>
      </c>
      <c r="C126" s="68">
        <v>4611</v>
      </c>
      <c r="D126" s="68">
        <v>810</v>
      </c>
      <c r="E126" s="68">
        <v>507</v>
      </c>
      <c r="F126" s="68">
        <v>3294</v>
      </c>
      <c r="G126" s="68">
        <v>2306</v>
      </c>
      <c r="H126" s="68">
        <v>300</v>
      </c>
      <c r="I126" s="68">
        <v>70</v>
      </c>
      <c r="J126" s="68">
        <v>1936</v>
      </c>
      <c r="K126" s="68">
        <v>1265</v>
      </c>
      <c r="L126" s="68">
        <v>233</v>
      </c>
      <c r="M126" s="68">
        <v>158</v>
      </c>
      <c r="N126" s="68">
        <v>874</v>
      </c>
      <c r="O126" s="68">
        <v>455</v>
      </c>
      <c r="P126" s="68">
        <v>147</v>
      </c>
      <c r="Q126" s="68">
        <v>176</v>
      </c>
      <c r="R126" s="68">
        <v>132</v>
      </c>
      <c r="S126" s="68">
        <v>66</v>
      </c>
      <c r="T126" s="68">
        <v>14</v>
      </c>
      <c r="U126" s="68">
        <v>22</v>
      </c>
      <c r="V126" s="68">
        <v>30</v>
      </c>
      <c r="W126" s="68">
        <v>519</v>
      </c>
      <c r="X126" s="68">
        <v>116</v>
      </c>
      <c r="Y126" s="68">
        <v>81</v>
      </c>
      <c r="Z126" s="68">
        <v>322</v>
      </c>
      <c r="AA126" s="68">
        <v>6653</v>
      </c>
      <c r="AB126" s="68">
        <v>1047</v>
      </c>
      <c r="AC126" s="68">
        <v>750</v>
      </c>
      <c r="AD126" s="68">
        <v>4856</v>
      </c>
      <c r="AE126" s="68">
        <v>3688</v>
      </c>
      <c r="AF126" s="68">
        <v>444</v>
      </c>
      <c r="AG126" s="68">
        <v>189</v>
      </c>
      <c r="AH126" s="68">
        <v>3055</v>
      </c>
      <c r="AI126" s="68">
        <v>1847</v>
      </c>
      <c r="AJ126" s="68">
        <v>317</v>
      </c>
      <c r="AK126" s="68">
        <v>228</v>
      </c>
      <c r="AL126" s="68">
        <v>1302</v>
      </c>
      <c r="AM126" s="68">
        <v>706</v>
      </c>
      <c r="AN126" s="68">
        <v>215</v>
      </c>
      <c r="AO126" s="68">
        <v>264</v>
      </c>
      <c r="AP126" s="68">
        <v>227</v>
      </c>
      <c r="AQ126" s="68">
        <v>105</v>
      </c>
      <c r="AR126" s="68">
        <v>22</v>
      </c>
      <c r="AS126" s="68">
        <v>33</v>
      </c>
      <c r="AT126" s="68">
        <v>50</v>
      </c>
      <c r="AU126" s="68">
        <v>307</v>
      </c>
      <c r="AV126" s="68">
        <v>49</v>
      </c>
      <c r="AW126" s="68">
        <v>36</v>
      </c>
      <c r="AX126" s="68">
        <v>222</v>
      </c>
    </row>
    <row r="127" spans="1:50" ht="15.75" hidden="1" customHeight="1">
      <c r="A127" s="63" t="s">
        <v>215</v>
      </c>
      <c r="B127" s="64" t="s">
        <v>223</v>
      </c>
      <c r="C127" s="67">
        <v>1976</v>
      </c>
      <c r="D127" s="67">
        <v>660</v>
      </c>
      <c r="E127" s="67">
        <v>194</v>
      </c>
      <c r="F127" s="67">
        <v>1122</v>
      </c>
      <c r="G127" s="67">
        <v>700</v>
      </c>
      <c r="H127" s="67">
        <v>119</v>
      </c>
      <c r="I127" s="67">
        <v>12</v>
      </c>
      <c r="J127" s="67">
        <v>569</v>
      </c>
      <c r="K127" s="67">
        <v>598</v>
      </c>
      <c r="L127" s="67">
        <v>151</v>
      </c>
      <c r="M127" s="67">
        <v>64</v>
      </c>
      <c r="N127" s="67">
        <v>383</v>
      </c>
      <c r="O127" s="67">
        <v>312</v>
      </c>
      <c r="P127" s="67">
        <v>209</v>
      </c>
      <c r="Q127" s="67">
        <v>59</v>
      </c>
      <c r="R127" s="67">
        <v>44</v>
      </c>
      <c r="S127" s="67">
        <v>160</v>
      </c>
      <c r="T127" s="67">
        <v>85</v>
      </c>
      <c r="U127" s="67">
        <v>36</v>
      </c>
      <c r="V127" s="67">
        <v>39</v>
      </c>
      <c r="W127" s="67">
        <v>206</v>
      </c>
      <c r="X127" s="67">
        <v>96</v>
      </c>
      <c r="Y127" s="67">
        <v>23</v>
      </c>
      <c r="Z127" s="67">
        <v>87</v>
      </c>
      <c r="AA127" s="67">
        <v>2380</v>
      </c>
      <c r="AB127" s="67">
        <v>738</v>
      </c>
      <c r="AC127" s="67">
        <v>221</v>
      </c>
      <c r="AD127" s="67">
        <v>1421</v>
      </c>
      <c r="AE127" s="67">
        <v>866</v>
      </c>
      <c r="AF127" s="67">
        <v>138</v>
      </c>
      <c r="AG127" s="67">
        <v>12</v>
      </c>
      <c r="AH127" s="67">
        <v>716</v>
      </c>
      <c r="AI127" s="67">
        <v>729</v>
      </c>
      <c r="AJ127" s="67">
        <v>168</v>
      </c>
      <c r="AK127" s="67">
        <v>75</v>
      </c>
      <c r="AL127" s="67">
        <v>486</v>
      </c>
      <c r="AM127" s="67">
        <v>352</v>
      </c>
      <c r="AN127" s="67">
        <v>232</v>
      </c>
      <c r="AO127" s="67">
        <v>66</v>
      </c>
      <c r="AP127" s="67">
        <v>54</v>
      </c>
      <c r="AQ127" s="67">
        <v>181</v>
      </c>
      <c r="AR127" s="67">
        <v>92</v>
      </c>
      <c r="AS127" s="67">
        <v>40</v>
      </c>
      <c r="AT127" s="67">
        <v>49</v>
      </c>
      <c r="AU127" s="67">
        <v>252</v>
      </c>
      <c r="AV127" s="67">
        <v>108</v>
      </c>
      <c r="AW127" s="67">
        <v>28</v>
      </c>
      <c r="AX127" s="67">
        <v>116</v>
      </c>
    </row>
    <row r="128" spans="1:50" ht="15.75" hidden="1" customHeight="1">
      <c r="A128" s="345" t="s">
        <v>16</v>
      </c>
      <c r="B128" s="65" t="s">
        <v>224</v>
      </c>
      <c r="C128" s="68">
        <v>941</v>
      </c>
      <c r="D128" s="68">
        <v>440</v>
      </c>
      <c r="E128" s="68">
        <v>92</v>
      </c>
      <c r="F128" s="68">
        <v>409</v>
      </c>
      <c r="G128" s="68">
        <v>243</v>
      </c>
      <c r="H128" s="68">
        <v>57</v>
      </c>
      <c r="I128" s="68">
        <v>4</v>
      </c>
      <c r="J128" s="68">
        <v>182</v>
      </c>
      <c r="K128" s="68">
        <v>276</v>
      </c>
      <c r="L128" s="68">
        <v>98</v>
      </c>
      <c r="M128" s="68">
        <v>22</v>
      </c>
      <c r="N128" s="68">
        <v>156</v>
      </c>
      <c r="O128" s="68">
        <v>222</v>
      </c>
      <c r="P128" s="68">
        <v>157</v>
      </c>
      <c r="Q128" s="68">
        <v>32</v>
      </c>
      <c r="R128" s="68">
        <v>33</v>
      </c>
      <c r="S128" s="68">
        <v>104</v>
      </c>
      <c r="T128" s="68">
        <v>73</v>
      </c>
      <c r="U128" s="68">
        <v>17</v>
      </c>
      <c r="V128" s="68">
        <v>14</v>
      </c>
      <c r="W128" s="68">
        <v>96</v>
      </c>
      <c r="X128" s="68">
        <v>55</v>
      </c>
      <c r="Y128" s="68">
        <v>17</v>
      </c>
      <c r="Z128" s="68">
        <v>24</v>
      </c>
      <c r="AA128" s="68">
        <v>1118</v>
      </c>
      <c r="AB128" s="68">
        <v>491</v>
      </c>
      <c r="AC128" s="68">
        <v>106</v>
      </c>
      <c r="AD128" s="68">
        <v>521</v>
      </c>
      <c r="AE128" s="68">
        <v>306</v>
      </c>
      <c r="AF128" s="68">
        <v>68</v>
      </c>
      <c r="AG128" s="68">
        <v>4</v>
      </c>
      <c r="AH128" s="68">
        <v>234</v>
      </c>
      <c r="AI128" s="68">
        <v>337</v>
      </c>
      <c r="AJ128" s="68">
        <v>111</v>
      </c>
      <c r="AK128" s="68">
        <v>27</v>
      </c>
      <c r="AL128" s="68">
        <v>199</v>
      </c>
      <c r="AM128" s="68">
        <v>246</v>
      </c>
      <c r="AN128" s="68">
        <v>174</v>
      </c>
      <c r="AO128" s="68">
        <v>37</v>
      </c>
      <c r="AP128" s="68">
        <v>35</v>
      </c>
      <c r="AQ128" s="68">
        <v>114</v>
      </c>
      <c r="AR128" s="68">
        <v>78</v>
      </c>
      <c r="AS128" s="68">
        <v>19</v>
      </c>
      <c r="AT128" s="68">
        <v>17</v>
      </c>
      <c r="AU128" s="68">
        <v>115</v>
      </c>
      <c r="AV128" s="68">
        <v>60</v>
      </c>
      <c r="AW128" s="68">
        <v>19</v>
      </c>
      <c r="AX128" s="68">
        <v>36</v>
      </c>
    </row>
    <row r="129" spans="1:50" ht="15.75" hidden="1" customHeight="1">
      <c r="A129" s="346"/>
      <c r="B129" s="65" t="s">
        <v>225</v>
      </c>
      <c r="C129" s="68">
        <v>1035</v>
      </c>
      <c r="D129" s="68">
        <v>220</v>
      </c>
      <c r="E129" s="68">
        <v>102</v>
      </c>
      <c r="F129" s="68">
        <v>713</v>
      </c>
      <c r="G129" s="68">
        <v>457</v>
      </c>
      <c r="H129" s="68">
        <v>62</v>
      </c>
      <c r="I129" s="68">
        <v>8</v>
      </c>
      <c r="J129" s="68">
        <v>387</v>
      </c>
      <c r="K129" s="68">
        <v>322</v>
      </c>
      <c r="L129" s="68">
        <v>53</v>
      </c>
      <c r="M129" s="68">
        <v>42</v>
      </c>
      <c r="N129" s="68">
        <v>227</v>
      </c>
      <c r="O129" s="68">
        <v>90</v>
      </c>
      <c r="P129" s="68">
        <v>52</v>
      </c>
      <c r="Q129" s="68">
        <v>27</v>
      </c>
      <c r="R129" s="68">
        <v>11</v>
      </c>
      <c r="S129" s="68">
        <v>56</v>
      </c>
      <c r="T129" s="68">
        <v>12</v>
      </c>
      <c r="U129" s="68">
        <v>19</v>
      </c>
      <c r="V129" s="68">
        <v>25</v>
      </c>
      <c r="W129" s="68">
        <v>110</v>
      </c>
      <c r="X129" s="68">
        <v>41</v>
      </c>
      <c r="Y129" s="68">
        <v>6</v>
      </c>
      <c r="Z129" s="68">
        <v>63</v>
      </c>
      <c r="AA129" s="68">
        <v>1262</v>
      </c>
      <c r="AB129" s="68">
        <v>247</v>
      </c>
      <c r="AC129" s="68">
        <v>115</v>
      </c>
      <c r="AD129" s="68">
        <v>900</v>
      </c>
      <c r="AE129" s="68">
        <v>560</v>
      </c>
      <c r="AF129" s="68">
        <v>70</v>
      </c>
      <c r="AG129" s="68">
        <v>8</v>
      </c>
      <c r="AH129" s="68">
        <v>482</v>
      </c>
      <c r="AI129" s="68">
        <v>392</v>
      </c>
      <c r="AJ129" s="68">
        <v>57</v>
      </c>
      <c r="AK129" s="68">
        <v>48</v>
      </c>
      <c r="AL129" s="68">
        <v>287</v>
      </c>
      <c r="AM129" s="68">
        <v>106</v>
      </c>
      <c r="AN129" s="68">
        <v>58</v>
      </c>
      <c r="AO129" s="68">
        <v>29</v>
      </c>
      <c r="AP129" s="68">
        <v>19</v>
      </c>
      <c r="AQ129" s="68">
        <v>67</v>
      </c>
      <c r="AR129" s="68">
        <v>14</v>
      </c>
      <c r="AS129" s="68">
        <v>21</v>
      </c>
      <c r="AT129" s="68">
        <v>32</v>
      </c>
      <c r="AU129" s="68">
        <v>137</v>
      </c>
      <c r="AV129" s="68">
        <v>48</v>
      </c>
      <c r="AW129" s="68">
        <v>9</v>
      </c>
      <c r="AX129" s="68">
        <v>80</v>
      </c>
    </row>
    <row r="130" spans="1:50" ht="15.75" hidden="1" customHeight="1">
      <c r="A130" s="63" t="s">
        <v>216</v>
      </c>
      <c r="B130" s="64" t="s">
        <v>223</v>
      </c>
      <c r="C130" s="67">
        <v>3037</v>
      </c>
      <c r="D130" s="67">
        <v>727</v>
      </c>
      <c r="E130" s="67">
        <v>565</v>
      </c>
      <c r="F130" s="67">
        <v>1745</v>
      </c>
      <c r="G130" s="67">
        <v>1344</v>
      </c>
      <c r="H130" s="67">
        <v>237</v>
      </c>
      <c r="I130" s="67">
        <v>138</v>
      </c>
      <c r="J130" s="67">
        <v>969</v>
      </c>
      <c r="K130" s="67">
        <v>763</v>
      </c>
      <c r="L130" s="67">
        <v>144</v>
      </c>
      <c r="M130" s="67">
        <v>150</v>
      </c>
      <c r="N130" s="67">
        <v>469</v>
      </c>
      <c r="O130" s="67">
        <v>511</v>
      </c>
      <c r="P130" s="67">
        <v>210</v>
      </c>
      <c r="Q130" s="67">
        <v>174</v>
      </c>
      <c r="R130" s="67">
        <v>127</v>
      </c>
      <c r="S130" s="67">
        <v>247</v>
      </c>
      <c r="T130" s="67">
        <v>101</v>
      </c>
      <c r="U130" s="67">
        <v>73</v>
      </c>
      <c r="V130" s="67">
        <v>73</v>
      </c>
      <c r="W130" s="67">
        <v>172</v>
      </c>
      <c r="X130" s="67">
        <v>35</v>
      </c>
      <c r="Y130" s="67">
        <v>30</v>
      </c>
      <c r="Z130" s="67">
        <v>107</v>
      </c>
      <c r="AA130" s="67">
        <v>3389</v>
      </c>
      <c r="AB130" s="67">
        <v>829</v>
      </c>
      <c r="AC130" s="67">
        <v>559</v>
      </c>
      <c r="AD130" s="67">
        <v>2001</v>
      </c>
      <c r="AE130" s="67">
        <v>1463</v>
      </c>
      <c r="AF130" s="67">
        <v>280</v>
      </c>
      <c r="AG130" s="67">
        <v>97</v>
      </c>
      <c r="AH130" s="67">
        <v>1086</v>
      </c>
      <c r="AI130" s="67">
        <v>716</v>
      </c>
      <c r="AJ130" s="67">
        <v>125</v>
      </c>
      <c r="AK130" s="67">
        <v>153</v>
      </c>
      <c r="AL130" s="67">
        <v>438</v>
      </c>
      <c r="AM130" s="67">
        <v>555</v>
      </c>
      <c r="AN130" s="67">
        <v>230</v>
      </c>
      <c r="AO130" s="67">
        <v>187</v>
      </c>
      <c r="AP130" s="67">
        <v>138</v>
      </c>
      <c r="AQ130" s="67">
        <v>456</v>
      </c>
      <c r="AR130" s="67">
        <v>154</v>
      </c>
      <c r="AS130" s="67">
        <v>95</v>
      </c>
      <c r="AT130" s="67">
        <v>207</v>
      </c>
      <c r="AU130" s="67">
        <v>199</v>
      </c>
      <c r="AV130" s="67">
        <v>40</v>
      </c>
      <c r="AW130" s="67">
        <v>27</v>
      </c>
      <c r="AX130" s="67">
        <v>132</v>
      </c>
    </row>
    <row r="131" spans="1:50" ht="15.75" hidden="1" customHeight="1">
      <c r="A131" s="345" t="s">
        <v>17</v>
      </c>
      <c r="B131" s="65" t="s">
        <v>224</v>
      </c>
      <c r="C131" s="68">
        <v>1345</v>
      </c>
      <c r="D131" s="68">
        <v>426</v>
      </c>
      <c r="E131" s="68">
        <v>273</v>
      </c>
      <c r="F131" s="68">
        <v>646</v>
      </c>
      <c r="G131" s="68">
        <v>514</v>
      </c>
      <c r="H131" s="68">
        <v>129</v>
      </c>
      <c r="I131" s="68">
        <v>51</v>
      </c>
      <c r="J131" s="68">
        <v>334</v>
      </c>
      <c r="K131" s="68">
        <v>327</v>
      </c>
      <c r="L131" s="68">
        <v>74</v>
      </c>
      <c r="M131" s="68">
        <v>69</v>
      </c>
      <c r="N131" s="68">
        <v>184</v>
      </c>
      <c r="O131" s="68">
        <v>289</v>
      </c>
      <c r="P131" s="68">
        <v>132</v>
      </c>
      <c r="Q131" s="68">
        <v>95</v>
      </c>
      <c r="R131" s="68">
        <v>62</v>
      </c>
      <c r="S131" s="68">
        <v>147</v>
      </c>
      <c r="T131" s="68">
        <v>73</v>
      </c>
      <c r="U131" s="68">
        <v>43</v>
      </c>
      <c r="V131" s="68">
        <v>31</v>
      </c>
      <c r="W131" s="68">
        <v>68</v>
      </c>
      <c r="X131" s="68">
        <v>18</v>
      </c>
      <c r="Y131" s="68">
        <v>15</v>
      </c>
      <c r="Z131" s="68">
        <v>35</v>
      </c>
      <c r="AA131" s="68">
        <v>1550</v>
      </c>
      <c r="AB131" s="68">
        <v>501</v>
      </c>
      <c r="AC131" s="68">
        <v>295</v>
      </c>
      <c r="AD131" s="68">
        <v>754</v>
      </c>
      <c r="AE131" s="68">
        <v>599</v>
      </c>
      <c r="AF131" s="68">
        <v>158</v>
      </c>
      <c r="AG131" s="68">
        <v>45</v>
      </c>
      <c r="AH131" s="68">
        <v>396</v>
      </c>
      <c r="AI131" s="68">
        <v>325</v>
      </c>
      <c r="AJ131" s="68">
        <v>66</v>
      </c>
      <c r="AK131" s="68">
        <v>75</v>
      </c>
      <c r="AL131" s="68">
        <v>184</v>
      </c>
      <c r="AM131" s="68">
        <v>321</v>
      </c>
      <c r="AN131" s="68">
        <v>151</v>
      </c>
      <c r="AO131" s="68">
        <v>103</v>
      </c>
      <c r="AP131" s="68">
        <v>67</v>
      </c>
      <c r="AQ131" s="68">
        <v>213</v>
      </c>
      <c r="AR131" s="68">
        <v>103</v>
      </c>
      <c r="AS131" s="68">
        <v>54</v>
      </c>
      <c r="AT131" s="68">
        <v>56</v>
      </c>
      <c r="AU131" s="68">
        <v>92</v>
      </c>
      <c r="AV131" s="68">
        <v>23</v>
      </c>
      <c r="AW131" s="68">
        <v>18</v>
      </c>
      <c r="AX131" s="68">
        <v>51</v>
      </c>
    </row>
    <row r="132" spans="1:50" ht="15.75" hidden="1" customHeight="1">
      <c r="A132" s="346"/>
      <c r="B132" s="65" t="s">
        <v>225</v>
      </c>
      <c r="C132" s="68">
        <v>1692</v>
      </c>
      <c r="D132" s="68">
        <v>301</v>
      </c>
      <c r="E132" s="68">
        <v>292</v>
      </c>
      <c r="F132" s="68">
        <v>1099</v>
      </c>
      <c r="G132" s="68">
        <v>830</v>
      </c>
      <c r="H132" s="68">
        <v>108</v>
      </c>
      <c r="I132" s="68">
        <v>87</v>
      </c>
      <c r="J132" s="68">
        <v>635</v>
      </c>
      <c r="K132" s="68">
        <v>436</v>
      </c>
      <c r="L132" s="68">
        <v>70</v>
      </c>
      <c r="M132" s="68">
        <v>81</v>
      </c>
      <c r="N132" s="68">
        <v>285</v>
      </c>
      <c r="O132" s="68">
        <v>222</v>
      </c>
      <c r="P132" s="68">
        <v>78</v>
      </c>
      <c r="Q132" s="68">
        <v>79</v>
      </c>
      <c r="R132" s="68">
        <v>65</v>
      </c>
      <c r="S132" s="68">
        <v>100</v>
      </c>
      <c r="T132" s="68">
        <v>28</v>
      </c>
      <c r="U132" s="68">
        <v>30</v>
      </c>
      <c r="V132" s="68">
        <v>42</v>
      </c>
      <c r="W132" s="68">
        <v>104</v>
      </c>
      <c r="X132" s="68">
        <v>17</v>
      </c>
      <c r="Y132" s="68">
        <v>15</v>
      </c>
      <c r="Z132" s="68">
        <v>72</v>
      </c>
      <c r="AA132" s="68">
        <v>1839</v>
      </c>
      <c r="AB132" s="68">
        <v>328</v>
      </c>
      <c r="AC132" s="68">
        <v>264</v>
      </c>
      <c r="AD132" s="68">
        <v>1247</v>
      </c>
      <c r="AE132" s="68">
        <v>864</v>
      </c>
      <c r="AF132" s="68">
        <v>122</v>
      </c>
      <c r="AG132" s="68">
        <v>52</v>
      </c>
      <c r="AH132" s="68">
        <v>690</v>
      </c>
      <c r="AI132" s="68">
        <v>391</v>
      </c>
      <c r="AJ132" s="68">
        <v>59</v>
      </c>
      <c r="AK132" s="68">
        <v>78</v>
      </c>
      <c r="AL132" s="68">
        <v>254</v>
      </c>
      <c r="AM132" s="68">
        <v>234</v>
      </c>
      <c r="AN132" s="68">
        <v>79</v>
      </c>
      <c r="AO132" s="68">
        <v>84</v>
      </c>
      <c r="AP132" s="68">
        <v>71</v>
      </c>
      <c r="AQ132" s="68">
        <v>243</v>
      </c>
      <c r="AR132" s="68">
        <v>51</v>
      </c>
      <c r="AS132" s="68">
        <v>41</v>
      </c>
      <c r="AT132" s="68">
        <v>151</v>
      </c>
      <c r="AU132" s="68">
        <v>107</v>
      </c>
      <c r="AV132" s="68">
        <v>17</v>
      </c>
      <c r="AW132" s="68">
        <v>9</v>
      </c>
      <c r="AX132" s="68">
        <v>81</v>
      </c>
    </row>
    <row r="133" spans="1:50" ht="15.75" hidden="1" customHeight="1">
      <c r="A133" s="63" t="s">
        <v>217</v>
      </c>
      <c r="B133" s="64" t="s">
        <v>223</v>
      </c>
      <c r="C133" s="67">
        <v>803</v>
      </c>
      <c r="D133" s="67">
        <v>160</v>
      </c>
      <c r="E133" s="67">
        <v>80</v>
      </c>
      <c r="F133" s="67">
        <v>563</v>
      </c>
      <c r="G133" s="67">
        <v>394</v>
      </c>
      <c r="H133" s="67">
        <v>41</v>
      </c>
      <c r="I133" s="67">
        <v>3</v>
      </c>
      <c r="J133" s="67">
        <v>350</v>
      </c>
      <c r="K133" s="67">
        <v>226</v>
      </c>
      <c r="L133" s="67">
        <v>42</v>
      </c>
      <c r="M133" s="67">
        <v>19</v>
      </c>
      <c r="N133" s="67">
        <v>165</v>
      </c>
      <c r="O133" s="67">
        <v>109</v>
      </c>
      <c r="P133" s="67">
        <v>44</v>
      </c>
      <c r="Q133" s="67">
        <v>39</v>
      </c>
      <c r="R133" s="67">
        <v>26</v>
      </c>
      <c r="S133" s="67">
        <v>2</v>
      </c>
      <c r="T133" s="67">
        <v>1</v>
      </c>
      <c r="U133" s="67">
        <v>1</v>
      </c>
      <c r="V133" s="67">
        <v>0</v>
      </c>
      <c r="W133" s="67">
        <v>72</v>
      </c>
      <c r="X133" s="67">
        <v>32</v>
      </c>
      <c r="Y133" s="67">
        <v>18</v>
      </c>
      <c r="Z133" s="67">
        <v>22</v>
      </c>
      <c r="AA133" s="67">
        <v>1543</v>
      </c>
      <c r="AB133" s="67">
        <v>299</v>
      </c>
      <c r="AC133" s="67">
        <v>144</v>
      </c>
      <c r="AD133" s="67">
        <v>1100</v>
      </c>
      <c r="AE133" s="67">
        <v>736</v>
      </c>
      <c r="AF133" s="67">
        <v>85</v>
      </c>
      <c r="AG133" s="67">
        <v>3</v>
      </c>
      <c r="AH133" s="67">
        <v>648</v>
      </c>
      <c r="AI133" s="67">
        <v>445</v>
      </c>
      <c r="AJ133" s="67">
        <v>77</v>
      </c>
      <c r="AK133" s="67">
        <v>40</v>
      </c>
      <c r="AL133" s="67">
        <v>328</v>
      </c>
      <c r="AM133" s="67">
        <v>185</v>
      </c>
      <c r="AN133" s="67">
        <v>77</v>
      </c>
      <c r="AO133" s="67">
        <v>65</v>
      </c>
      <c r="AP133" s="67">
        <v>43</v>
      </c>
      <c r="AQ133" s="67">
        <v>4</v>
      </c>
      <c r="AR133" s="67">
        <v>2</v>
      </c>
      <c r="AS133" s="67">
        <v>2</v>
      </c>
      <c r="AT133" s="67">
        <v>0</v>
      </c>
      <c r="AU133" s="67">
        <v>173</v>
      </c>
      <c r="AV133" s="67">
        <v>58</v>
      </c>
      <c r="AW133" s="67">
        <v>34</v>
      </c>
      <c r="AX133" s="67">
        <v>81</v>
      </c>
    </row>
    <row r="134" spans="1:50" ht="15.75" hidden="1" customHeight="1">
      <c r="A134" s="345" t="s">
        <v>18</v>
      </c>
      <c r="B134" s="65" t="s">
        <v>224</v>
      </c>
      <c r="C134" s="68">
        <v>324</v>
      </c>
      <c r="D134" s="68">
        <v>102</v>
      </c>
      <c r="E134" s="68">
        <v>40</v>
      </c>
      <c r="F134" s="68">
        <v>182</v>
      </c>
      <c r="G134" s="68">
        <v>110</v>
      </c>
      <c r="H134" s="68">
        <v>19</v>
      </c>
      <c r="I134" s="68">
        <v>1</v>
      </c>
      <c r="J134" s="68">
        <v>90</v>
      </c>
      <c r="K134" s="68">
        <v>101</v>
      </c>
      <c r="L134" s="68">
        <v>25</v>
      </c>
      <c r="M134" s="68">
        <v>7</v>
      </c>
      <c r="N134" s="68">
        <v>69</v>
      </c>
      <c r="O134" s="68">
        <v>73</v>
      </c>
      <c r="P134" s="68">
        <v>35</v>
      </c>
      <c r="Q134" s="68">
        <v>24</v>
      </c>
      <c r="R134" s="68">
        <v>14</v>
      </c>
      <c r="S134" s="68">
        <v>0</v>
      </c>
      <c r="T134" s="68">
        <v>0</v>
      </c>
      <c r="U134" s="68">
        <v>0</v>
      </c>
      <c r="V134" s="68">
        <v>0</v>
      </c>
      <c r="W134" s="68">
        <v>40</v>
      </c>
      <c r="X134" s="68">
        <v>23</v>
      </c>
      <c r="Y134" s="68">
        <v>8</v>
      </c>
      <c r="Z134" s="68">
        <v>9</v>
      </c>
      <c r="AA134" s="68">
        <v>633</v>
      </c>
      <c r="AB134" s="68">
        <v>186</v>
      </c>
      <c r="AC134" s="68">
        <v>75</v>
      </c>
      <c r="AD134" s="68">
        <v>372</v>
      </c>
      <c r="AE134" s="68">
        <v>223</v>
      </c>
      <c r="AF134" s="68">
        <v>41</v>
      </c>
      <c r="AG134" s="68">
        <v>1</v>
      </c>
      <c r="AH134" s="68">
        <v>181</v>
      </c>
      <c r="AI134" s="68">
        <v>202</v>
      </c>
      <c r="AJ134" s="68">
        <v>47</v>
      </c>
      <c r="AK134" s="68">
        <v>19</v>
      </c>
      <c r="AL134" s="68">
        <v>136</v>
      </c>
      <c r="AM134" s="68">
        <v>125</v>
      </c>
      <c r="AN134" s="68">
        <v>60</v>
      </c>
      <c r="AO134" s="68">
        <v>41</v>
      </c>
      <c r="AP134" s="68">
        <v>24</v>
      </c>
      <c r="AQ134" s="68">
        <v>0</v>
      </c>
      <c r="AR134" s="68">
        <v>0</v>
      </c>
      <c r="AS134" s="68">
        <v>0</v>
      </c>
      <c r="AT134" s="68">
        <v>0</v>
      </c>
      <c r="AU134" s="68">
        <v>83</v>
      </c>
      <c r="AV134" s="68">
        <v>38</v>
      </c>
      <c r="AW134" s="68">
        <v>14</v>
      </c>
      <c r="AX134" s="68">
        <v>31</v>
      </c>
    </row>
    <row r="135" spans="1:50" ht="15.75" hidden="1" customHeight="1">
      <c r="A135" s="346"/>
      <c r="B135" s="65" t="s">
        <v>225</v>
      </c>
      <c r="C135" s="68">
        <v>479</v>
      </c>
      <c r="D135" s="68">
        <v>58</v>
      </c>
      <c r="E135" s="68">
        <v>40</v>
      </c>
      <c r="F135" s="68">
        <v>381</v>
      </c>
      <c r="G135" s="68">
        <v>284</v>
      </c>
      <c r="H135" s="68">
        <v>22</v>
      </c>
      <c r="I135" s="68">
        <v>2</v>
      </c>
      <c r="J135" s="68">
        <v>260</v>
      </c>
      <c r="K135" s="68">
        <v>125</v>
      </c>
      <c r="L135" s="68">
        <v>17</v>
      </c>
      <c r="M135" s="68">
        <v>12</v>
      </c>
      <c r="N135" s="68">
        <v>96</v>
      </c>
      <c r="O135" s="68">
        <v>36</v>
      </c>
      <c r="P135" s="68">
        <v>9</v>
      </c>
      <c r="Q135" s="68">
        <v>15</v>
      </c>
      <c r="R135" s="68">
        <v>12</v>
      </c>
      <c r="S135" s="68">
        <v>2</v>
      </c>
      <c r="T135" s="68">
        <v>1</v>
      </c>
      <c r="U135" s="68">
        <v>1</v>
      </c>
      <c r="V135" s="68">
        <v>0</v>
      </c>
      <c r="W135" s="68">
        <v>32</v>
      </c>
      <c r="X135" s="68">
        <v>9</v>
      </c>
      <c r="Y135" s="68">
        <v>10</v>
      </c>
      <c r="Z135" s="68">
        <v>13</v>
      </c>
      <c r="AA135" s="68">
        <v>910</v>
      </c>
      <c r="AB135" s="68">
        <v>113</v>
      </c>
      <c r="AC135" s="68">
        <v>69</v>
      </c>
      <c r="AD135" s="68">
        <v>728</v>
      </c>
      <c r="AE135" s="68">
        <v>513</v>
      </c>
      <c r="AF135" s="68">
        <v>44</v>
      </c>
      <c r="AG135" s="68">
        <v>2</v>
      </c>
      <c r="AH135" s="68">
        <v>467</v>
      </c>
      <c r="AI135" s="68">
        <v>243</v>
      </c>
      <c r="AJ135" s="68">
        <v>30</v>
      </c>
      <c r="AK135" s="68">
        <v>21</v>
      </c>
      <c r="AL135" s="68">
        <v>192</v>
      </c>
      <c r="AM135" s="68">
        <v>60</v>
      </c>
      <c r="AN135" s="68">
        <v>17</v>
      </c>
      <c r="AO135" s="68">
        <v>24</v>
      </c>
      <c r="AP135" s="68">
        <v>19</v>
      </c>
      <c r="AQ135" s="68">
        <v>4</v>
      </c>
      <c r="AR135" s="68">
        <v>2</v>
      </c>
      <c r="AS135" s="68">
        <v>2</v>
      </c>
      <c r="AT135" s="68">
        <v>0</v>
      </c>
      <c r="AU135" s="68">
        <v>90</v>
      </c>
      <c r="AV135" s="68">
        <v>20</v>
      </c>
      <c r="AW135" s="68">
        <v>20</v>
      </c>
      <c r="AX135" s="68">
        <v>50</v>
      </c>
    </row>
    <row r="136" spans="1:50" ht="15.75" hidden="1" customHeight="1">
      <c r="A136" s="63" t="s">
        <v>218</v>
      </c>
      <c r="B136" s="64" t="s">
        <v>223</v>
      </c>
      <c r="C136" s="67">
        <v>974</v>
      </c>
      <c r="D136" s="67">
        <v>222</v>
      </c>
      <c r="E136" s="67">
        <v>184</v>
      </c>
      <c r="F136" s="67">
        <v>568</v>
      </c>
      <c r="G136" s="67">
        <v>292</v>
      </c>
      <c r="H136" s="67">
        <v>56</v>
      </c>
      <c r="I136" s="67">
        <v>10</v>
      </c>
      <c r="J136" s="67">
        <v>226</v>
      </c>
      <c r="K136" s="67">
        <v>313</v>
      </c>
      <c r="L136" s="67">
        <v>63</v>
      </c>
      <c r="M136" s="67">
        <v>55</v>
      </c>
      <c r="N136" s="67">
        <v>195</v>
      </c>
      <c r="O136" s="67">
        <v>215</v>
      </c>
      <c r="P136" s="67">
        <v>62</v>
      </c>
      <c r="Q136" s="67">
        <v>101</v>
      </c>
      <c r="R136" s="67">
        <v>52</v>
      </c>
      <c r="S136" s="67">
        <v>0</v>
      </c>
      <c r="T136" s="67">
        <v>0</v>
      </c>
      <c r="U136" s="67">
        <v>0</v>
      </c>
      <c r="V136" s="67">
        <v>0</v>
      </c>
      <c r="W136" s="67">
        <v>154</v>
      </c>
      <c r="X136" s="67">
        <v>41</v>
      </c>
      <c r="Y136" s="67">
        <v>18</v>
      </c>
      <c r="Z136" s="67">
        <v>95</v>
      </c>
      <c r="AA136" s="67">
        <v>1964</v>
      </c>
      <c r="AB136" s="67">
        <v>411</v>
      </c>
      <c r="AC136" s="67">
        <v>367</v>
      </c>
      <c r="AD136" s="67">
        <v>1186</v>
      </c>
      <c r="AE136" s="67">
        <v>616</v>
      </c>
      <c r="AF136" s="67">
        <v>109</v>
      </c>
      <c r="AG136" s="67">
        <v>21</v>
      </c>
      <c r="AH136" s="67">
        <v>486</v>
      </c>
      <c r="AI136" s="67">
        <v>640</v>
      </c>
      <c r="AJ136" s="67">
        <v>112</v>
      </c>
      <c r="AK136" s="67">
        <v>110</v>
      </c>
      <c r="AL136" s="67">
        <v>418</v>
      </c>
      <c r="AM136" s="67">
        <v>421</v>
      </c>
      <c r="AN136" s="67">
        <v>119</v>
      </c>
      <c r="AO136" s="67">
        <v>196</v>
      </c>
      <c r="AP136" s="67">
        <v>106</v>
      </c>
      <c r="AQ136" s="67">
        <v>1</v>
      </c>
      <c r="AR136" s="67">
        <v>0</v>
      </c>
      <c r="AS136" s="67">
        <v>0</v>
      </c>
      <c r="AT136" s="67">
        <v>1</v>
      </c>
      <c r="AU136" s="67">
        <v>286</v>
      </c>
      <c r="AV136" s="67">
        <v>71</v>
      </c>
      <c r="AW136" s="67">
        <v>40</v>
      </c>
      <c r="AX136" s="67">
        <v>175</v>
      </c>
    </row>
    <row r="137" spans="1:50" ht="15.75" hidden="1" customHeight="1">
      <c r="A137" s="345" t="s">
        <v>19</v>
      </c>
      <c r="B137" s="65" t="s">
        <v>224</v>
      </c>
      <c r="C137" s="68">
        <v>408</v>
      </c>
      <c r="D137" s="68">
        <v>109</v>
      </c>
      <c r="E137" s="68">
        <v>98</v>
      </c>
      <c r="F137" s="68">
        <v>201</v>
      </c>
      <c r="G137" s="68">
        <v>71</v>
      </c>
      <c r="H137" s="68">
        <v>14</v>
      </c>
      <c r="I137" s="68">
        <v>4</v>
      </c>
      <c r="J137" s="68">
        <v>53</v>
      </c>
      <c r="K137" s="68">
        <v>146</v>
      </c>
      <c r="L137" s="68">
        <v>33</v>
      </c>
      <c r="M137" s="68">
        <v>28</v>
      </c>
      <c r="N137" s="68">
        <v>85</v>
      </c>
      <c r="O137" s="68">
        <v>130</v>
      </c>
      <c r="P137" s="68">
        <v>45</v>
      </c>
      <c r="Q137" s="68">
        <v>57</v>
      </c>
      <c r="R137" s="68">
        <v>28</v>
      </c>
      <c r="S137" s="68">
        <v>0</v>
      </c>
      <c r="T137" s="68">
        <v>0</v>
      </c>
      <c r="U137" s="68">
        <v>0</v>
      </c>
      <c r="V137" s="68">
        <v>0</v>
      </c>
      <c r="W137" s="68">
        <v>61</v>
      </c>
      <c r="X137" s="68">
        <v>17</v>
      </c>
      <c r="Y137" s="68">
        <v>9</v>
      </c>
      <c r="Z137" s="68">
        <v>35</v>
      </c>
      <c r="AA137" s="68">
        <v>698</v>
      </c>
      <c r="AB137" s="68">
        <v>170</v>
      </c>
      <c r="AC137" s="68">
        <v>165</v>
      </c>
      <c r="AD137" s="68">
        <v>363</v>
      </c>
      <c r="AE137" s="68">
        <v>140</v>
      </c>
      <c r="AF137" s="68">
        <v>28</v>
      </c>
      <c r="AG137" s="68">
        <v>7</v>
      </c>
      <c r="AH137" s="68">
        <v>105</v>
      </c>
      <c r="AI137" s="68">
        <v>246</v>
      </c>
      <c r="AJ137" s="68">
        <v>49</v>
      </c>
      <c r="AK137" s="68">
        <v>45</v>
      </c>
      <c r="AL137" s="68">
        <v>152</v>
      </c>
      <c r="AM137" s="68">
        <v>220</v>
      </c>
      <c r="AN137" s="68">
        <v>65</v>
      </c>
      <c r="AO137" s="68">
        <v>97</v>
      </c>
      <c r="AP137" s="68">
        <v>58</v>
      </c>
      <c r="AQ137" s="68">
        <v>1</v>
      </c>
      <c r="AR137" s="68">
        <v>0</v>
      </c>
      <c r="AS137" s="68">
        <v>0</v>
      </c>
      <c r="AT137" s="68">
        <v>1</v>
      </c>
      <c r="AU137" s="68">
        <v>91</v>
      </c>
      <c r="AV137" s="68">
        <v>28</v>
      </c>
      <c r="AW137" s="68">
        <v>16</v>
      </c>
      <c r="AX137" s="68">
        <v>47</v>
      </c>
    </row>
    <row r="138" spans="1:50" ht="15.75" hidden="1" customHeight="1">
      <c r="A138" s="346"/>
      <c r="B138" s="65" t="s">
        <v>225</v>
      </c>
      <c r="C138" s="68">
        <v>566</v>
      </c>
      <c r="D138" s="68">
        <v>113</v>
      </c>
      <c r="E138" s="68">
        <v>86</v>
      </c>
      <c r="F138" s="68">
        <v>367</v>
      </c>
      <c r="G138" s="68">
        <v>221</v>
      </c>
      <c r="H138" s="68">
        <v>42</v>
      </c>
      <c r="I138" s="68">
        <v>6</v>
      </c>
      <c r="J138" s="68">
        <v>173</v>
      </c>
      <c r="K138" s="68">
        <v>167</v>
      </c>
      <c r="L138" s="68">
        <v>30</v>
      </c>
      <c r="M138" s="68">
        <v>27</v>
      </c>
      <c r="N138" s="68">
        <v>110</v>
      </c>
      <c r="O138" s="68">
        <v>85</v>
      </c>
      <c r="P138" s="68">
        <v>17</v>
      </c>
      <c r="Q138" s="68">
        <v>44</v>
      </c>
      <c r="R138" s="68">
        <v>24</v>
      </c>
      <c r="S138" s="68">
        <v>0</v>
      </c>
      <c r="T138" s="68">
        <v>0</v>
      </c>
      <c r="U138" s="68">
        <v>0</v>
      </c>
      <c r="V138" s="68">
        <v>0</v>
      </c>
      <c r="W138" s="68">
        <v>93</v>
      </c>
      <c r="X138" s="68">
        <v>24</v>
      </c>
      <c r="Y138" s="68">
        <v>9</v>
      </c>
      <c r="Z138" s="68">
        <v>60</v>
      </c>
      <c r="AA138" s="68">
        <v>1013</v>
      </c>
      <c r="AB138" s="68">
        <v>184</v>
      </c>
      <c r="AC138" s="68">
        <v>156</v>
      </c>
      <c r="AD138" s="68">
        <v>673</v>
      </c>
      <c r="AE138" s="68">
        <v>421</v>
      </c>
      <c r="AF138" s="68">
        <v>68</v>
      </c>
      <c r="AG138" s="68">
        <v>11</v>
      </c>
      <c r="AH138" s="68">
        <v>342</v>
      </c>
      <c r="AI138" s="68">
        <v>274</v>
      </c>
      <c r="AJ138" s="68">
        <v>45</v>
      </c>
      <c r="AK138" s="68">
        <v>39</v>
      </c>
      <c r="AL138" s="68">
        <v>190</v>
      </c>
      <c r="AM138" s="68">
        <v>159</v>
      </c>
      <c r="AN138" s="68">
        <v>34</v>
      </c>
      <c r="AO138" s="68">
        <v>86</v>
      </c>
      <c r="AP138" s="68">
        <v>39</v>
      </c>
      <c r="AQ138" s="68">
        <v>0</v>
      </c>
      <c r="AR138" s="68">
        <v>0</v>
      </c>
      <c r="AS138" s="68">
        <v>0</v>
      </c>
      <c r="AT138" s="68">
        <v>0</v>
      </c>
      <c r="AU138" s="68">
        <v>159</v>
      </c>
      <c r="AV138" s="68">
        <v>37</v>
      </c>
      <c r="AW138" s="68">
        <v>20</v>
      </c>
      <c r="AX138" s="68">
        <v>102</v>
      </c>
    </row>
    <row r="139" spans="1:50" ht="15.75" hidden="1" customHeight="1">
      <c r="A139" s="63" t="s">
        <v>219</v>
      </c>
      <c r="B139" s="64" t="s">
        <v>223</v>
      </c>
      <c r="C139" s="67">
        <v>878</v>
      </c>
      <c r="D139" s="67">
        <v>161</v>
      </c>
      <c r="E139" s="67">
        <v>116</v>
      </c>
      <c r="F139" s="67">
        <v>601</v>
      </c>
      <c r="G139" s="67">
        <v>308</v>
      </c>
      <c r="H139" s="67">
        <v>36</v>
      </c>
      <c r="I139" s="67">
        <v>5</v>
      </c>
      <c r="J139" s="67">
        <v>267</v>
      </c>
      <c r="K139" s="67">
        <v>254</v>
      </c>
      <c r="L139" s="67">
        <v>48</v>
      </c>
      <c r="M139" s="67">
        <v>33</v>
      </c>
      <c r="N139" s="67">
        <v>173</v>
      </c>
      <c r="O139" s="67">
        <v>165</v>
      </c>
      <c r="P139" s="67">
        <v>44</v>
      </c>
      <c r="Q139" s="67">
        <v>56</v>
      </c>
      <c r="R139" s="67">
        <v>65</v>
      </c>
      <c r="S139" s="67">
        <v>1</v>
      </c>
      <c r="T139" s="67">
        <v>0</v>
      </c>
      <c r="U139" s="67">
        <v>0</v>
      </c>
      <c r="V139" s="67">
        <v>1</v>
      </c>
      <c r="W139" s="67">
        <v>150</v>
      </c>
      <c r="X139" s="67">
        <v>33</v>
      </c>
      <c r="Y139" s="67">
        <v>22</v>
      </c>
      <c r="Z139" s="67">
        <v>95</v>
      </c>
      <c r="AA139" s="67">
        <v>1192</v>
      </c>
      <c r="AB139" s="67">
        <v>210</v>
      </c>
      <c r="AC139" s="67">
        <v>167</v>
      </c>
      <c r="AD139" s="67">
        <v>815</v>
      </c>
      <c r="AE139" s="67">
        <v>405</v>
      </c>
      <c r="AF139" s="67">
        <v>44</v>
      </c>
      <c r="AG139" s="67">
        <v>9</v>
      </c>
      <c r="AH139" s="67">
        <v>352</v>
      </c>
      <c r="AI139" s="67">
        <v>365</v>
      </c>
      <c r="AJ139" s="67">
        <v>63</v>
      </c>
      <c r="AK139" s="67">
        <v>46</v>
      </c>
      <c r="AL139" s="67">
        <v>256</v>
      </c>
      <c r="AM139" s="67">
        <v>210</v>
      </c>
      <c r="AN139" s="67">
        <v>58</v>
      </c>
      <c r="AO139" s="67">
        <v>78</v>
      </c>
      <c r="AP139" s="67">
        <v>74</v>
      </c>
      <c r="AQ139" s="67">
        <v>2</v>
      </c>
      <c r="AR139" s="67">
        <v>0</v>
      </c>
      <c r="AS139" s="67">
        <v>1</v>
      </c>
      <c r="AT139" s="67">
        <v>1</v>
      </c>
      <c r="AU139" s="67">
        <v>210</v>
      </c>
      <c r="AV139" s="67">
        <v>45</v>
      </c>
      <c r="AW139" s="67">
        <v>33</v>
      </c>
      <c r="AX139" s="67">
        <v>132</v>
      </c>
    </row>
    <row r="140" spans="1:50" ht="15.75" hidden="1" customHeight="1">
      <c r="A140" s="345" t="s">
        <v>20</v>
      </c>
      <c r="B140" s="65" t="s">
        <v>224</v>
      </c>
      <c r="C140" s="68">
        <v>397</v>
      </c>
      <c r="D140" s="68">
        <v>87</v>
      </c>
      <c r="E140" s="68">
        <v>58</v>
      </c>
      <c r="F140" s="68">
        <v>252</v>
      </c>
      <c r="G140" s="68">
        <v>92</v>
      </c>
      <c r="H140" s="68">
        <v>9</v>
      </c>
      <c r="I140" s="68">
        <v>2</v>
      </c>
      <c r="J140" s="68">
        <v>81</v>
      </c>
      <c r="K140" s="68">
        <v>139</v>
      </c>
      <c r="L140" s="68">
        <v>25</v>
      </c>
      <c r="M140" s="68">
        <v>17</v>
      </c>
      <c r="N140" s="68">
        <v>97</v>
      </c>
      <c r="O140" s="68">
        <v>101</v>
      </c>
      <c r="P140" s="68">
        <v>37</v>
      </c>
      <c r="Q140" s="68">
        <v>32</v>
      </c>
      <c r="R140" s="68">
        <v>32</v>
      </c>
      <c r="S140" s="68">
        <v>0</v>
      </c>
      <c r="T140" s="68">
        <v>0</v>
      </c>
      <c r="U140" s="68">
        <v>0</v>
      </c>
      <c r="V140" s="68">
        <v>0</v>
      </c>
      <c r="W140" s="68">
        <v>65</v>
      </c>
      <c r="X140" s="68">
        <v>16</v>
      </c>
      <c r="Y140" s="68">
        <v>7</v>
      </c>
      <c r="Z140" s="68">
        <v>42</v>
      </c>
      <c r="AA140" s="68">
        <v>563</v>
      </c>
      <c r="AB140" s="68">
        <v>113</v>
      </c>
      <c r="AC140" s="68">
        <v>92</v>
      </c>
      <c r="AD140" s="68">
        <v>358</v>
      </c>
      <c r="AE140" s="68">
        <v>134</v>
      </c>
      <c r="AF140" s="68">
        <v>10</v>
      </c>
      <c r="AG140" s="68">
        <v>6</v>
      </c>
      <c r="AH140" s="68">
        <v>118</v>
      </c>
      <c r="AI140" s="68">
        <v>200</v>
      </c>
      <c r="AJ140" s="68">
        <v>34</v>
      </c>
      <c r="AK140" s="68">
        <v>27</v>
      </c>
      <c r="AL140" s="68">
        <v>139</v>
      </c>
      <c r="AM140" s="68">
        <v>131</v>
      </c>
      <c r="AN140" s="68">
        <v>50</v>
      </c>
      <c r="AO140" s="68">
        <v>46</v>
      </c>
      <c r="AP140" s="68">
        <v>35</v>
      </c>
      <c r="AQ140" s="68">
        <v>1</v>
      </c>
      <c r="AR140" s="68">
        <v>0</v>
      </c>
      <c r="AS140" s="68">
        <v>1</v>
      </c>
      <c r="AT140" s="68">
        <v>0</v>
      </c>
      <c r="AU140" s="68">
        <v>97</v>
      </c>
      <c r="AV140" s="68">
        <v>19</v>
      </c>
      <c r="AW140" s="68">
        <v>12</v>
      </c>
      <c r="AX140" s="68">
        <v>66</v>
      </c>
    </row>
    <row r="141" spans="1:50" ht="15.75" hidden="1" customHeight="1">
      <c r="A141" s="346"/>
      <c r="B141" s="65" t="s">
        <v>225</v>
      </c>
      <c r="C141" s="68">
        <v>481</v>
      </c>
      <c r="D141" s="68">
        <v>74</v>
      </c>
      <c r="E141" s="68">
        <v>58</v>
      </c>
      <c r="F141" s="68">
        <v>349</v>
      </c>
      <c r="G141" s="68">
        <v>216</v>
      </c>
      <c r="H141" s="68">
        <v>27</v>
      </c>
      <c r="I141" s="68">
        <v>3</v>
      </c>
      <c r="J141" s="68">
        <v>186</v>
      </c>
      <c r="K141" s="68">
        <v>115</v>
      </c>
      <c r="L141" s="68">
        <v>23</v>
      </c>
      <c r="M141" s="68">
        <v>16</v>
      </c>
      <c r="N141" s="68">
        <v>76</v>
      </c>
      <c r="O141" s="68">
        <v>64</v>
      </c>
      <c r="P141" s="68">
        <v>7</v>
      </c>
      <c r="Q141" s="68">
        <v>24</v>
      </c>
      <c r="R141" s="68">
        <v>33</v>
      </c>
      <c r="S141" s="68">
        <v>1</v>
      </c>
      <c r="T141" s="68">
        <v>0</v>
      </c>
      <c r="U141" s="68">
        <v>0</v>
      </c>
      <c r="V141" s="68">
        <v>1</v>
      </c>
      <c r="W141" s="68">
        <v>85</v>
      </c>
      <c r="X141" s="68">
        <v>17</v>
      </c>
      <c r="Y141" s="68">
        <v>15</v>
      </c>
      <c r="Z141" s="68">
        <v>53</v>
      </c>
      <c r="AA141" s="68">
        <v>629</v>
      </c>
      <c r="AB141" s="68">
        <v>97</v>
      </c>
      <c r="AC141" s="68">
        <v>75</v>
      </c>
      <c r="AD141" s="68">
        <v>457</v>
      </c>
      <c r="AE141" s="68">
        <v>271</v>
      </c>
      <c r="AF141" s="68">
        <v>34</v>
      </c>
      <c r="AG141" s="68">
        <v>3</v>
      </c>
      <c r="AH141" s="68">
        <v>234</v>
      </c>
      <c r="AI141" s="68">
        <v>165</v>
      </c>
      <c r="AJ141" s="68">
        <v>29</v>
      </c>
      <c r="AK141" s="68">
        <v>19</v>
      </c>
      <c r="AL141" s="68">
        <v>117</v>
      </c>
      <c r="AM141" s="68">
        <v>79</v>
      </c>
      <c r="AN141" s="68">
        <v>8</v>
      </c>
      <c r="AO141" s="68">
        <v>32</v>
      </c>
      <c r="AP141" s="68">
        <v>39</v>
      </c>
      <c r="AQ141" s="68">
        <v>1</v>
      </c>
      <c r="AR141" s="68">
        <v>0</v>
      </c>
      <c r="AS141" s="68">
        <v>0</v>
      </c>
      <c r="AT141" s="68">
        <v>1</v>
      </c>
      <c r="AU141" s="68">
        <v>113</v>
      </c>
      <c r="AV141" s="68">
        <v>26</v>
      </c>
      <c r="AW141" s="68">
        <v>21</v>
      </c>
      <c r="AX141" s="68">
        <v>66</v>
      </c>
    </row>
    <row r="142" spans="1:50" ht="15.75" hidden="1" customHeight="1">
      <c r="A142" s="63" t="s">
        <v>220</v>
      </c>
      <c r="B142" s="64" t="s">
        <v>223</v>
      </c>
      <c r="C142" s="67">
        <v>1501</v>
      </c>
      <c r="D142" s="67">
        <v>181</v>
      </c>
      <c r="E142" s="67">
        <v>170</v>
      </c>
      <c r="F142" s="67">
        <v>1150</v>
      </c>
      <c r="G142" s="67">
        <v>827</v>
      </c>
      <c r="H142" s="67">
        <v>99</v>
      </c>
      <c r="I142" s="67">
        <v>52</v>
      </c>
      <c r="J142" s="67">
        <v>676</v>
      </c>
      <c r="K142" s="67">
        <v>341</v>
      </c>
      <c r="L142" s="67">
        <v>46</v>
      </c>
      <c r="M142" s="67">
        <v>42</v>
      </c>
      <c r="N142" s="67">
        <v>253</v>
      </c>
      <c r="O142" s="67">
        <v>137</v>
      </c>
      <c r="P142" s="67">
        <v>13</v>
      </c>
      <c r="Q142" s="67">
        <v>62</v>
      </c>
      <c r="R142" s="67">
        <v>62</v>
      </c>
      <c r="S142" s="67">
        <v>0</v>
      </c>
      <c r="T142" s="67">
        <v>0</v>
      </c>
      <c r="U142" s="67">
        <v>0</v>
      </c>
      <c r="V142" s="67">
        <v>0</v>
      </c>
      <c r="W142" s="67">
        <v>196</v>
      </c>
      <c r="X142" s="67">
        <v>23</v>
      </c>
      <c r="Y142" s="67">
        <v>14</v>
      </c>
      <c r="Z142" s="67">
        <v>159</v>
      </c>
      <c r="AA142" s="67">
        <v>2620</v>
      </c>
      <c r="AB142" s="67">
        <v>294</v>
      </c>
      <c r="AC142" s="67">
        <v>186</v>
      </c>
      <c r="AD142" s="67">
        <v>2140</v>
      </c>
      <c r="AE142" s="67">
        <v>1579</v>
      </c>
      <c r="AF142" s="67">
        <v>176</v>
      </c>
      <c r="AG142" s="67">
        <v>96</v>
      </c>
      <c r="AH142" s="67">
        <v>1307</v>
      </c>
      <c r="AI142" s="67">
        <v>699</v>
      </c>
      <c r="AJ142" s="67">
        <v>78</v>
      </c>
      <c r="AK142" s="67">
        <v>72</v>
      </c>
      <c r="AL142" s="67">
        <v>549</v>
      </c>
      <c r="AM142" s="67">
        <v>0</v>
      </c>
      <c r="AN142" s="67">
        <v>0</v>
      </c>
      <c r="AO142" s="67">
        <v>0</v>
      </c>
      <c r="AP142" s="67">
        <v>0</v>
      </c>
      <c r="AQ142" s="67">
        <v>0</v>
      </c>
      <c r="AR142" s="67">
        <v>0</v>
      </c>
      <c r="AS142" s="67">
        <v>0</v>
      </c>
      <c r="AT142" s="67">
        <v>0</v>
      </c>
      <c r="AU142" s="67">
        <v>342</v>
      </c>
      <c r="AV142" s="67">
        <v>40</v>
      </c>
      <c r="AW142" s="67">
        <v>18</v>
      </c>
      <c r="AX142" s="67">
        <v>284</v>
      </c>
    </row>
    <row r="143" spans="1:50" ht="15.75" hidden="1" customHeight="1">
      <c r="A143" s="345" t="s">
        <v>21</v>
      </c>
      <c r="B143" s="65" t="s">
        <v>224</v>
      </c>
      <c r="C143" s="68">
        <v>585</v>
      </c>
      <c r="D143" s="68">
        <v>71</v>
      </c>
      <c r="E143" s="68">
        <v>86</v>
      </c>
      <c r="F143" s="68">
        <v>428</v>
      </c>
      <c r="G143" s="68">
        <v>297</v>
      </c>
      <c r="H143" s="68">
        <v>36</v>
      </c>
      <c r="I143" s="68">
        <v>26</v>
      </c>
      <c r="J143" s="68">
        <v>235</v>
      </c>
      <c r="K143" s="68">
        <v>151</v>
      </c>
      <c r="L143" s="68">
        <v>18</v>
      </c>
      <c r="M143" s="68">
        <v>24</v>
      </c>
      <c r="N143" s="68">
        <v>109</v>
      </c>
      <c r="O143" s="68">
        <v>69</v>
      </c>
      <c r="P143" s="68">
        <v>7</v>
      </c>
      <c r="Q143" s="68">
        <v>30</v>
      </c>
      <c r="R143" s="68">
        <v>32</v>
      </c>
      <c r="S143" s="68">
        <v>0</v>
      </c>
      <c r="T143" s="68">
        <v>0</v>
      </c>
      <c r="U143" s="68">
        <v>0</v>
      </c>
      <c r="V143" s="68">
        <v>0</v>
      </c>
      <c r="W143" s="68">
        <v>68</v>
      </c>
      <c r="X143" s="68">
        <v>10</v>
      </c>
      <c r="Y143" s="68">
        <v>6</v>
      </c>
      <c r="Z143" s="68">
        <v>52</v>
      </c>
      <c r="AA143" s="68">
        <v>1002</v>
      </c>
      <c r="AB143" s="68">
        <v>109</v>
      </c>
      <c r="AC143" s="68">
        <v>90</v>
      </c>
      <c r="AD143" s="68">
        <v>803</v>
      </c>
      <c r="AE143" s="68">
        <v>578</v>
      </c>
      <c r="AF143" s="68">
        <v>64</v>
      </c>
      <c r="AG143" s="68">
        <v>44</v>
      </c>
      <c r="AH143" s="68">
        <v>470</v>
      </c>
      <c r="AI143" s="68">
        <v>304</v>
      </c>
      <c r="AJ143" s="68">
        <v>31</v>
      </c>
      <c r="AK143" s="68">
        <v>39</v>
      </c>
      <c r="AL143" s="68">
        <v>234</v>
      </c>
      <c r="AM143" s="68">
        <v>0</v>
      </c>
      <c r="AN143" s="68">
        <v>0</v>
      </c>
      <c r="AO143" s="68">
        <v>0</v>
      </c>
      <c r="AP143" s="68">
        <v>0</v>
      </c>
      <c r="AQ143" s="68">
        <v>0</v>
      </c>
      <c r="AR143" s="68">
        <v>0</v>
      </c>
      <c r="AS143" s="68">
        <v>0</v>
      </c>
      <c r="AT143" s="68">
        <v>0</v>
      </c>
      <c r="AU143" s="68">
        <v>120</v>
      </c>
      <c r="AV143" s="68">
        <v>14</v>
      </c>
      <c r="AW143" s="68">
        <v>7</v>
      </c>
      <c r="AX143" s="68">
        <v>99</v>
      </c>
    </row>
    <row r="144" spans="1:50" ht="15.75" hidden="1" customHeight="1">
      <c r="A144" s="346"/>
      <c r="B144" s="65" t="s">
        <v>225</v>
      </c>
      <c r="C144" s="68">
        <v>916</v>
      </c>
      <c r="D144" s="68">
        <v>110</v>
      </c>
      <c r="E144" s="68">
        <v>84</v>
      </c>
      <c r="F144" s="68">
        <v>722</v>
      </c>
      <c r="G144" s="68">
        <v>530</v>
      </c>
      <c r="H144" s="68">
        <v>63</v>
      </c>
      <c r="I144" s="68">
        <v>26</v>
      </c>
      <c r="J144" s="68">
        <v>441</v>
      </c>
      <c r="K144" s="68">
        <v>190</v>
      </c>
      <c r="L144" s="68">
        <v>28</v>
      </c>
      <c r="M144" s="68">
        <v>18</v>
      </c>
      <c r="N144" s="68">
        <v>144</v>
      </c>
      <c r="O144" s="68">
        <v>68</v>
      </c>
      <c r="P144" s="68">
        <v>6</v>
      </c>
      <c r="Q144" s="68">
        <v>32</v>
      </c>
      <c r="R144" s="68">
        <v>30</v>
      </c>
      <c r="S144" s="68">
        <v>0</v>
      </c>
      <c r="T144" s="68">
        <v>0</v>
      </c>
      <c r="U144" s="68">
        <v>0</v>
      </c>
      <c r="V144" s="68">
        <v>0</v>
      </c>
      <c r="W144" s="68">
        <v>128</v>
      </c>
      <c r="X144" s="68">
        <v>13</v>
      </c>
      <c r="Y144" s="68">
        <v>8</v>
      </c>
      <c r="Z144" s="68">
        <v>107</v>
      </c>
      <c r="AA144" s="68">
        <v>1618</v>
      </c>
      <c r="AB144" s="68">
        <v>185</v>
      </c>
      <c r="AC144" s="68">
        <v>96</v>
      </c>
      <c r="AD144" s="68">
        <v>1337</v>
      </c>
      <c r="AE144" s="68">
        <v>1001</v>
      </c>
      <c r="AF144" s="68">
        <v>112</v>
      </c>
      <c r="AG144" s="68">
        <v>52</v>
      </c>
      <c r="AH144" s="68">
        <v>837</v>
      </c>
      <c r="AI144" s="68">
        <v>395</v>
      </c>
      <c r="AJ144" s="68">
        <v>47</v>
      </c>
      <c r="AK144" s="68">
        <v>33</v>
      </c>
      <c r="AL144" s="68">
        <v>315</v>
      </c>
      <c r="AM144" s="68">
        <v>0</v>
      </c>
      <c r="AN144" s="68">
        <v>0</v>
      </c>
      <c r="AO144" s="68">
        <v>0</v>
      </c>
      <c r="AP144" s="68">
        <v>0</v>
      </c>
      <c r="AQ144" s="68">
        <v>0</v>
      </c>
      <c r="AR144" s="68">
        <v>0</v>
      </c>
      <c r="AS144" s="68">
        <v>0</v>
      </c>
      <c r="AT144" s="68">
        <v>0</v>
      </c>
      <c r="AU144" s="68">
        <v>222</v>
      </c>
      <c r="AV144" s="68">
        <v>26</v>
      </c>
      <c r="AW144" s="68">
        <v>11</v>
      </c>
      <c r="AX144" s="68">
        <v>185</v>
      </c>
    </row>
    <row r="145" spans="1:50" ht="15.75" hidden="1" customHeight="1">
      <c r="A145" s="63" t="s">
        <v>221</v>
      </c>
      <c r="B145" s="64" t="s">
        <v>223</v>
      </c>
      <c r="C145" s="67">
        <v>352</v>
      </c>
      <c r="D145" s="67">
        <v>16</v>
      </c>
      <c r="E145" s="67">
        <v>3</v>
      </c>
      <c r="F145" s="67">
        <v>333</v>
      </c>
      <c r="G145" s="67">
        <v>168</v>
      </c>
      <c r="H145" s="67">
        <v>1</v>
      </c>
      <c r="I145" s="67">
        <v>0</v>
      </c>
      <c r="J145" s="67">
        <v>167</v>
      </c>
      <c r="K145" s="67">
        <v>124</v>
      </c>
      <c r="L145" s="67">
        <v>7</v>
      </c>
      <c r="M145" s="67">
        <v>0</v>
      </c>
      <c r="N145" s="67">
        <v>117</v>
      </c>
      <c r="O145" s="67">
        <v>35</v>
      </c>
      <c r="P145" s="67">
        <v>6</v>
      </c>
      <c r="Q145" s="67">
        <v>3</v>
      </c>
      <c r="R145" s="67">
        <v>26</v>
      </c>
      <c r="S145" s="67">
        <v>0</v>
      </c>
      <c r="T145" s="67">
        <v>0</v>
      </c>
      <c r="U145" s="67">
        <v>0</v>
      </c>
      <c r="V145" s="67">
        <v>0</v>
      </c>
      <c r="W145" s="67">
        <v>25</v>
      </c>
      <c r="X145" s="67">
        <v>2</v>
      </c>
      <c r="Y145" s="67">
        <v>0</v>
      </c>
      <c r="Z145" s="67">
        <v>23</v>
      </c>
      <c r="AA145" s="67">
        <v>504</v>
      </c>
      <c r="AB145" s="67">
        <v>23</v>
      </c>
      <c r="AC145" s="67">
        <v>4</v>
      </c>
      <c r="AD145" s="67">
        <v>477</v>
      </c>
      <c r="AE145" s="67">
        <v>216</v>
      </c>
      <c r="AF145" s="67">
        <v>5</v>
      </c>
      <c r="AG145" s="67">
        <v>0</v>
      </c>
      <c r="AH145" s="67">
        <v>211</v>
      </c>
      <c r="AI145" s="67">
        <v>222</v>
      </c>
      <c r="AJ145" s="67">
        <v>8</v>
      </c>
      <c r="AK145" s="67">
        <v>0</v>
      </c>
      <c r="AL145" s="67">
        <v>214</v>
      </c>
      <c r="AM145" s="67">
        <v>51</v>
      </c>
      <c r="AN145" s="67">
        <v>10</v>
      </c>
      <c r="AO145" s="67">
        <v>4</v>
      </c>
      <c r="AP145" s="67">
        <v>37</v>
      </c>
      <c r="AQ145" s="67">
        <v>0</v>
      </c>
      <c r="AR145" s="67">
        <v>0</v>
      </c>
      <c r="AS145" s="67">
        <v>0</v>
      </c>
      <c r="AT145" s="67">
        <v>0</v>
      </c>
      <c r="AU145" s="67">
        <v>15</v>
      </c>
      <c r="AV145" s="67">
        <v>0</v>
      </c>
      <c r="AW145" s="67">
        <v>0</v>
      </c>
      <c r="AX145" s="67">
        <v>15</v>
      </c>
    </row>
    <row r="146" spans="1:50" ht="15.75" hidden="1" customHeight="1">
      <c r="A146" s="345" t="s">
        <v>22</v>
      </c>
      <c r="B146" s="65" t="s">
        <v>224</v>
      </c>
      <c r="C146" s="68">
        <v>132</v>
      </c>
      <c r="D146" s="68">
        <v>11</v>
      </c>
      <c r="E146" s="68">
        <v>2</v>
      </c>
      <c r="F146" s="68">
        <v>119</v>
      </c>
      <c r="G146" s="68">
        <v>51</v>
      </c>
      <c r="H146" s="68">
        <v>0</v>
      </c>
      <c r="I146" s="68">
        <v>0</v>
      </c>
      <c r="J146" s="68">
        <v>51</v>
      </c>
      <c r="K146" s="68">
        <v>51</v>
      </c>
      <c r="L146" s="68">
        <v>5</v>
      </c>
      <c r="M146" s="68">
        <v>0</v>
      </c>
      <c r="N146" s="68">
        <v>46</v>
      </c>
      <c r="O146" s="68">
        <v>21</v>
      </c>
      <c r="P146" s="68">
        <v>5</v>
      </c>
      <c r="Q146" s="68">
        <v>2</v>
      </c>
      <c r="R146" s="68">
        <v>14</v>
      </c>
      <c r="S146" s="68">
        <v>0</v>
      </c>
      <c r="T146" s="68">
        <v>0</v>
      </c>
      <c r="U146" s="68">
        <v>0</v>
      </c>
      <c r="V146" s="68">
        <v>0</v>
      </c>
      <c r="W146" s="68">
        <v>9</v>
      </c>
      <c r="X146" s="68">
        <v>1</v>
      </c>
      <c r="Y146" s="68">
        <v>0</v>
      </c>
      <c r="Z146" s="68">
        <v>8</v>
      </c>
      <c r="AA146" s="68">
        <v>186</v>
      </c>
      <c r="AB146" s="68">
        <v>15</v>
      </c>
      <c r="AC146" s="68">
        <v>3</v>
      </c>
      <c r="AD146" s="68">
        <v>168</v>
      </c>
      <c r="AE146" s="68">
        <v>67</v>
      </c>
      <c r="AF146" s="68">
        <v>3</v>
      </c>
      <c r="AG146" s="68">
        <v>0</v>
      </c>
      <c r="AH146" s="68">
        <v>64</v>
      </c>
      <c r="AI146" s="68">
        <v>93</v>
      </c>
      <c r="AJ146" s="68">
        <v>5</v>
      </c>
      <c r="AK146" s="68">
        <v>0</v>
      </c>
      <c r="AL146" s="68">
        <v>88</v>
      </c>
      <c r="AM146" s="68">
        <v>24</v>
      </c>
      <c r="AN146" s="68">
        <v>7</v>
      </c>
      <c r="AO146" s="68">
        <v>3</v>
      </c>
      <c r="AP146" s="68">
        <v>14</v>
      </c>
      <c r="AQ146" s="68">
        <v>0</v>
      </c>
      <c r="AR146" s="68">
        <v>0</v>
      </c>
      <c r="AS146" s="68">
        <v>0</v>
      </c>
      <c r="AT146" s="68">
        <v>0</v>
      </c>
      <c r="AU146" s="68">
        <v>2</v>
      </c>
      <c r="AV146" s="68">
        <v>0</v>
      </c>
      <c r="AW146" s="68">
        <v>0</v>
      </c>
      <c r="AX146" s="68">
        <v>2</v>
      </c>
    </row>
    <row r="147" spans="1:50" ht="15.75" hidden="1" customHeight="1">
      <c r="A147" s="346"/>
      <c r="B147" s="65" t="s">
        <v>225</v>
      </c>
      <c r="C147" s="68">
        <v>220</v>
      </c>
      <c r="D147" s="68">
        <v>5</v>
      </c>
      <c r="E147" s="68">
        <v>1</v>
      </c>
      <c r="F147" s="68">
        <v>214</v>
      </c>
      <c r="G147" s="68">
        <v>117</v>
      </c>
      <c r="H147" s="68">
        <v>1</v>
      </c>
      <c r="I147" s="68">
        <v>0</v>
      </c>
      <c r="J147" s="68">
        <v>116</v>
      </c>
      <c r="K147" s="68">
        <v>73</v>
      </c>
      <c r="L147" s="68">
        <v>2</v>
      </c>
      <c r="M147" s="68">
        <v>0</v>
      </c>
      <c r="N147" s="68">
        <v>71</v>
      </c>
      <c r="O147" s="68">
        <v>14</v>
      </c>
      <c r="P147" s="68">
        <v>1</v>
      </c>
      <c r="Q147" s="68">
        <v>1</v>
      </c>
      <c r="R147" s="68">
        <v>12</v>
      </c>
      <c r="S147" s="68">
        <v>0</v>
      </c>
      <c r="T147" s="68">
        <v>0</v>
      </c>
      <c r="U147" s="68">
        <v>0</v>
      </c>
      <c r="V147" s="68">
        <v>0</v>
      </c>
      <c r="W147" s="68">
        <v>16</v>
      </c>
      <c r="X147" s="68">
        <v>1</v>
      </c>
      <c r="Y147" s="68">
        <v>0</v>
      </c>
      <c r="Z147" s="68">
        <v>15</v>
      </c>
      <c r="AA147" s="68">
        <v>318</v>
      </c>
      <c r="AB147" s="68">
        <v>8</v>
      </c>
      <c r="AC147" s="68">
        <v>1</v>
      </c>
      <c r="AD147" s="68">
        <v>309</v>
      </c>
      <c r="AE147" s="68">
        <v>149</v>
      </c>
      <c r="AF147" s="68">
        <v>2</v>
      </c>
      <c r="AG147" s="68">
        <v>0</v>
      </c>
      <c r="AH147" s="68">
        <v>147</v>
      </c>
      <c r="AI147" s="68">
        <v>129</v>
      </c>
      <c r="AJ147" s="68">
        <v>3</v>
      </c>
      <c r="AK147" s="68">
        <v>0</v>
      </c>
      <c r="AL147" s="68">
        <v>126</v>
      </c>
      <c r="AM147" s="68">
        <v>27</v>
      </c>
      <c r="AN147" s="68">
        <v>3</v>
      </c>
      <c r="AO147" s="68">
        <v>1</v>
      </c>
      <c r="AP147" s="68">
        <v>23</v>
      </c>
      <c r="AQ147" s="68">
        <v>0</v>
      </c>
      <c r="AR147" s="68">
        <v>0</v>
      </c>
      <c r="AS147" s="68">
        <v>0</v>
      </c>
      <c r="AT147" s="68">
        <v>0</v>
      </c>
      <c r="AU147" s="68">
        <v>13</v>
      </c>
      <c r="AV147" s="68">
        <v>0</v>
      </c>
      <c r="AW147" s="68">
        <v>0</v>
      </c>
      <c r="AX147" s="68">
        <v>13</v>
      </c>
    </row>
    <row r="148" spans="1:50" ht="15.75" hidden="1" customHeight="1">
      <c r="A148" s="63" t="s">
        <v>222</v>
      </c>
      <c r="B148" s="64" t="s">
        <v>223</v>
      </c>
      <c r="C148" s="67">
        <v>9</v>
      </c>
      <c r="D148" s="67">
        <v>3</v>
      </c>
      <c r="E148" s="67">
        <v>1</v>
      </c>
      <c r="F148" s="67">
        <v>5</v>
      </c>
      <c r="G148" s="67">
        <v>8</v>
      </c>
      <c r="H148" s="67">
        <v>3</v>
      </c>
      <c r="I148" s="67">
        <v>0</v>
      </c>
      <c r="J148" s="67">
        <v>5</v>
      </c>
      <c r="K148" s="67">
        <v>0</v>
      </c>
      <c r="L148" s="67">
        <v>0</v>
      </c>
      <c r="M148" s="67">
        <v>0</v>
      </c>
      <c r="N148" s="67">
        <v>0</v>
      </c>
      <c r="O148" s="67">
        <v>1</v>
      </c>
      <c r="P148" s="67">
        <v>0</v>
      </c>
      <c r="Q148" s="67">
        <v>1</v>
      </c>
      <c r="R148" s="67">
        <v>0</v>
      </c>
      <c r="S148" s="67">
        <v>0</v>
      </c>
      <c r="T148" s="67">
        <v>0</v>
      </c>
      <c r="U148" s="67">
        <v>0</v>
      </c>
      <c r="V148" s="67">
        <v>0</v>
      </c>
      <c r="W148" s="67">
        <v>0</v>
      </c>
      <c r="X148" s="67">
        <v>0</v>
      </c>
      <c r="Y148" s="67">
        <v>0</v>
      </c>
      <c r="Z148" s="67">
        <v>0</v>
      </c>
      <c r="AA148" s="67">
        <v>9</v>
      </c>
      <c r="AB148" s="67">
        <v>2</v>
      </c>
      <c r="AC148" s="67">
        <v>1</v>
      </c>
      <c r="AD148" s="67">
        <v>6</v>
      </c>
      <c r="AE148" s="67">
        <v>5</v>
      </c>
      <c r="AF148" s="67">
        <v>0</v>
      </c>
      <c r="AG148" s="67">
        <v>0</v>
      </c>
      <c r="AH148" s="67">
        <v>5</v>
      </c>
      <c r="AI148" s="67">
        <v>1</v>
      </c>
      <c r="AJ148" s="67">
        <v>1</v>
      </c>
      <c r="AK148" s="67">
        <v>0</v>
      </c>
      <c r="AL148" s="67">
        <v>0</v>
      </c>
      <c r="AM148" s="67">
        <v>3</v>
      </c>
      <c r="AN148" s="67">
        <v>1</v>
      </c>
      <c r="AO148" s="67">
        <v>1</v>
      </c>
      <c r="AP148" s="67">
        <v>1</v>
      </c>
      <c r="AQ148" s="67">
        <v>0</v>
      </c>
      <c r="AR148" s="67">
        <v>0</v>
      </c>
      <c r="AS148" s="67">
        <v>0</v>
      </c>
      <c r="AT148" s="67">
        <v>0</v>
      </c>
      <c r="AU148" s="67">
        <v>0</v>
      </c>
      <c r="AV148" s="67">
        <v>0</v>
      </c>
      <c r="AW148" s="67">
        <v>0</v>
      </c>
      <c r="AX148" s="67">
        <v>0</v>
      </c>
    </row>
    <row r="149" spans="1:50" ht="15.75" hidden="1" customHeight="1">
      <c r="A149" s="345" t="s">
        <v>23</v>
      </c>
      <c r="B149" s="65" t="s">
        <v>224</v>
      </c>
      <c r="C149" s="68">
        <v>5</v>
      </c>
      <c r="D149" s="68">
        <v>2</v>
      </c>
      <c r="E149" s="68">
        <v>1</v>
      </c>
      <c r="F149" s="68">
        <v>2</v>
      </c>
      <c r="G149" s="68">
        <v>4</v>
      </c>
      <c r="H149" s="68">
        <v>2</v>
      </c>
      <c r="I149" s="68">
        <v>0</v>
      </c>
      <c r="J149" s="68">
        <v>2</v>
      </c>
      <c r="K149" s="68">
        <v>0</v>
      </c>
      <c r="L149" s="68">
        <v>0</v>
      </c>
      <c r="M149" s="68">
        <v>0</v>
      </c>
      <c r="N149" s="68">
        <v>0</v>
      </c>
      <c r="O149" s="68">
        <v>1</v>
      </c>
      <c r="P149" s="68">
        <v>0</v>
      </c>
      <c r="Q149" s="68">
        <v>1</v>
      </c>
      <c r="R149" s="68">
        <v>0</v>
      </c>
      <c r="S149" s="68">
        <v>0</v>
      </c>
      <c r="T149" s="68">
        <v>0</v>
      </c>
      <c r="U149" s="68">
        <v>0</v>
      </c>
      <c r="V149" s="68">
        <v>0</v>
      </c>
      <c r="W149" s="68">
        <v>0</v>
      </c>
      <c r="X149" s="68">
        <v>0</v>
      </c>
      <c r="Y149" s="68">
        <v>0</v>
      </c>
      <c r="Z149" s="68">
        <v>0</v>
      </c>
      <c r="AA149" s="68">
        <v>5</v>
      </c>
      <c r="AB149" s="68">
        <v>2</v>
      </c>
      <c r="AC149" s="68">
        <v>1</v>
      </c>
      <c r="AD149" s="68">
        <v>2</v>
      </c>
      <c r="AE149" s="68">
        <v>2</v>
      </c>
      <c r="AF149" s="68">
        <v>0</v>
      </c>
      <c r="AG149" s="68">
        <v>0</v>
      </c>
      <c r="AH149" s="68">
        <v>2</v>
      </c>
      <c r="AI149" s="68">
        <v>1</v>
      </c>
      <c r="AJ149" s="68">
        <v>1</v>
      </c>
      <c r="AK149" s="68">
        <v>0</v>
      </c>
      <c r="AL149" s="68">
        <v>0</v>
      </c>
      <c r="AM149" s="68">
        <v>2</v>
      </c>
      <c r="AN149" s="68">
        <v>1</v>
      </c>
      <c r="AO149" s="68">
        <v>1</v>
      </c>
      <c r="AP149" s="68">
        <v>0</v>
      </c>
      <c r="AQ149" s="68">
        <v>0</v>
      </c>
      <c r="AR149" s="68">
        <v>0</v>
      </c>
      <c r="AS149" s="68">
        <v>0</v>
      </c>
      <c r="AT149" s="68">
        <v>0</v>
      </c>
      <c r="AU149" s="68">
        <v>0</v>
      </c>
      <c r="AV149" s="68">
        <v>0</v>
      </c>
      <c r="AW149" s="68">
        <v>0</v>
      </c>
      <c r="AX149" s="68">
        <v>0</v>
      </c>
    </row>
    <row r="150" spans="1:50" ht="15.75" hidden="1" customHeight="1">
      <c r="A150" s="346"/>
      <c r="B150" s="66" t="s">
        <v>225</v>
      </c>
      <c r="C150" s="69">
        <v>4</v>
      </c>
      <c r="D150" s="69">
        <v>1</v>
      </c>
      <c r="E150" s="69">
        <v>0</v>
      </c>
      <c r="F150" s="69">
        <v>3</v>
      </c>
      <c r="G150" s="69">
        <v>4</v>
      </c>
      <c r="H150" s="69">
        <v>1</v>
      </c>
      <c r="I150" s="69">
        <v>0</v>
      </c>
      <c r="J150" s="69">
        <v>3</v>
      </c>
      <c r="K150" s="69">
        <v>0</v>
      </c>
      <c r="L150" s="69">
        <v>0</v>
      </c>
      <c r="M150" s="69">
        <v>0</v>
      </c>
      <c r="N150" s="69">
        <v>0</v>
      </c>
      <c r="O150" s="69">
        <v>0</v>
      </c>
      <c r="P150" s="69">
        <v>0</v>
      </c>
      <c r="Q150" s="69">
        <v>0</v>
      </c>
      <c r="R150" s="69">
        <v>0</v>
      </c>
      <c r="S150" s="69">
        <v>0</v>
      </c>
      <c r="T150" s="69">
        <v>0</v>
      </c>
      <c r="U150" s="69">
        <v>0</v>
      </c>
      <c r="V150" s="69">
        <v>0</v>
      </c>
      <c r="W150" s="69">
        <v>0</v>
      </c>
      <c r="X150" s="69">
        <v>0</v>
      </c>
      <c r="Y150" s="69">
        <v>0</v>
      </c>
      <c r="Z150" s="69">
        <v>0</v>
      </c>
      <c r="AA150" s="69">
        <v>4</v>
      </c>
      <c r="AB150" s="69">
        <v>0</v>
      </c>
      <c r="AC150" s="69">
        <v>0</v>
      </c>
      <c r="AD150" s="69">
        <v>4</v>
      </c>
      <c r="AE150" s="69">
        <v>3</v>
      </c>
      <c r="AF150" s="69">
        <v>0</v>
      </c>
      <c r="AG150" s="69">
        <v>0</v>
      </c>
      <c r="AH150" s="69">
        <v>3</v>
      </c>
      <c r="AI150" s="69">
        <v>0</v>
      </c>
      <c r="AJ150" s="69">
        <v>0</v>
      </c>
      <c r="AK150" s="69">
        <v>0</v>
      </c>
      <c r="AL150" s="69">
        <v>0</v>
      </c>
      <c r="AM150" s="69">
        <v>1</v>
      </c>
      <c r="AN150" s="69">
        <v>0</v>
      </c>
      <c r="AO150" s="69">
        <v>0</v>
      </c>
      <c r="AP150" s="69">
        <v>1</v>
      </c>
      <c r="AQ150" s="69">
        <v>0</v>
      </c>
      <c r="AR150" s="69">
        <v>0</v>
      </c>
      <c r="AS150" s="69">
        <v>0</v>
      </c>
      <c r="AT150" s="69">
        <v>0</v>
      </c>
      <c r="AU150" s="69">
        <v>0</v>
      </c>
      <c r="AV150" s="69">
        <v>0</v>
      </c>
      <c r="AW150" s="69">
        <v>0</v>
      </c>
      <c r="AX150" s="69">
        <v>0</v>
      </c>
    </row>
    <row r="151" spans="1:50" hidden="1"/>
    <row r="152" spans="1:50" s="13" customFormat="1" ht="15.75" hidden="1" customHeight="1">
      <c r="A152" s="63" t="s">
        <v>200</v>
      </c>
      <c r="B152" s="64" t="s">
        <v>223</v>
      </c>
      <c r="C152" s="67" t="str">
        <f t="shared" ref="C152:AX156" si="1">IF(C82=C7,"","*")</f>
        <v>*</v>
      </c>
      <c r="D152" s="67" t="str">
        <f t="shared" si="1"/>
        <v>*</v>
      </c>
      <c r="E152" s="67" t="str">
        <f t="shared" si="1"/>
        <v>*</v>
      </c>
      <c r="F152" s="67" t="str">
        <f t="shared" si="1"/>
        <v>*</v>
      </c>
      <c r="G152" s="67" t="str">
        <f t="shared" si="1"/>
        <v>*</v>
      </c>
      <c r="H152" s="67" t="str">
        <f t="shared" si="1"/>
        <v>*</v>
      </c>
      <c r="I152" s="67" t="str">
        <f t="shared" si="1"/>
        <v>*</v>
      </c>
      <c r="J152" s="67" t="str">
        <f t="shared" si="1"/>
        <v>*</v>
      </c>
      <c r="K152" s="67" t="str">
        <f t="shared" si="1"/>
        <v>*</v>
      </c>
      <c r="L152" s="67" t="str">
        <f t="shared" si="1"/>
        <v>*</v>
      </c>
      <c r="M152" s="67" t="str">
        <f t="shared" si="1"/>
        <v>*</v>
      </c>
      <c r="N152" s="67" t="str">
        <f t="shared" si="1"/>
        <v>*</v>
      </c>
      <c r="O152" s="67" t="str">
        <f t="shared" si="1"/>
        <v>*</v>
      </c>
      <c r="P152" s="67" t="str">
        <f t="shared" si="1"/>
        <v>*</v>
      </c>
      <c r="Q152" s="67" t="str">
        <f t="shared" si="1"/>
        <v>*</v>
      </c>
      <c r="R152" s="67" t="str">
        <f t="shared" si="1"/>
        <v>*</v>
      </c>
      <c r="S152" s="67" t="str">
        <f t="shared" si="1"/>
        <v>*</v>
      </c>
      <c r="T152" s="67" t="str">
        <f t="shared" si="1"/>
        <v>*</v>
      </c>
      <c r="U152" s="67" t="str">
        <f t="shared" si="1"/>
        <v>*</v>
      </c>
      <c r="V152" s="67" t="str">
        <f t="shared" si="1"/>
        <v>*</v>
      </c>
      <c r="W152" s="67" t="str">
        <f t="shared" si="1"/>
        <v>*</v>
      </c>
      <c r="X152" s="67" t="str">
        <f t="shared" si="1"/>
        <v>*</v>
      </c>
      <c r="Y152" s="67" t="str">
        <f t="shared" si="1"/>
        <v>*</v>
      </c>
      <c r="Z152" s="67" t="str">
        <f t="shared" si="1"/>
        <v>*</v>
      </c>
      <c r="AA152" s="67" t="str">
        <f t="shared" si="1"/>
        <v>*</v>
      </c>
      <c r="AB152" s="67" t="str">
        <f t="shared" si="1"/>
        <v>*</v>
      </c>
      <c r="AC152" s="67" t="str">
        <f t="shared" si="1"/>
        <v>*</v>
      </c>
      <c r="AD152" s="67" t="str">
        <f t="shared" si="1"/>
        <v>*</v>
      </c>
      <c r="AE152" s="67" t="str">
        <f t="shared" si="1"/>
        <v>*</v>
      </c>
      <c r="AF152" s="67" t="str">
        <f t="shared" si="1"/>
        <v>*</v>
      </c>
      <c r="AG152" s="67" t="str">
        <f t="shared" si="1"/>
        <v>*</v>
      </c>
      <c r="AH152" s="67" t="str">
        <f t="shared" si="1"/>
        <v>*</v>
      </c>
      <c r="AI152" s="67" t="str">
        <f t="shared" si="1"/>
        <v>*</v>
      </c>
      <c r="AJ152" s="67" t="str">
        <f t="shared" si="1"/>
        <v>*</v>
      </c>
      <c r="AK152" s="67" t="str">
        <f t="shared" si="1"/>
        <v>*</v>
      </c>
      <c r="AL152" s="67" t="str">
        <f t="shared" si="1"/>
        <v>*</v>
      </c>
      <c r="AM152" s="67" t="str">
        <f t="shared" si="1"/>
        <v>*</v>
      </c>
      <c r="AN152" s="67" t="str">
        <f t="shared" si="1"/>
        <v>*</v>
      </c>
      <c r="AO152" s="67" t="str">
        <f t="shared" si="1"/>
        <v>*</v>
      </c>
      <c r="AP152" s="67" t="str">
        <f t="shared" si="1"/>
        <v>*</v>
      </c>
      <c r="AQ152" s="67" t="str">
        <f t="shared" si="1"/>
        <v>*</v>
      </c>
      <c r="AR152" s="67" t="str">
        <f t="shared" si="1"/>
        <v>*</v>
      </c>
      <c r="AS152" s="67" t="str">
        <f t="shared" si="1"/>
        <v>*</v>
      </c>
      <c r="AT152" s="67" t="str">
        <f t="shared" si="1"/>
        <v>*</v>
      </c>
      <c r="AU152" s="67" t="str">
        <f t="shared" si="1"/>
        <v>*</v>
      </c>
      <c r="AV152" s="67" t="str">
        <f t="shared" si="1"/>
        <v>*</v>
      </c>
      <c r="AW152" s="67" t="str">
        <f t="shared" si="1"/>
        <v>*</v>
      </c>
      <c r="AX152" s="67" t="str">
        <f t="shared" si="1"/>
        <v>*</v>
      </c>
    </row>
    <row r="153" spans="1:50" s="13" customFormat="1" ht="15.75" hidden="1" customHeight="1">
      <c r="A153" s="347" t="s">
        <v>199</v>
      </c>
      <c r="B153" s="65" t="s">
        <v>224</v>
      </c>
      <c r="C153" s="68" t="str">
        <f t="shared" si="1"/>
        <v>*</v>
      </c>
      <c r="D153" s="68" t="str">
        <f t="shared" si="1"/>
        <v>*</v>
      </c>
      <c r="E153" s="68" t="str">
        <f t="shared" si="1"/>
        <v>*</v>
      </c>
      <c r="F153" s="68" t="str">
        <f t="shared" si="1"/>
        <v>*</v>
      </c>
      <c r="G153" s="68" t="str">
        <f t="shared" si="1"/>
        <v>*</v>
      </c>
      <c r="H153" s="68" t="str">
        <f t="shared" si="1"/>
        <v>*</v>
      </c>
      <c r="I153" s="68" t="str">
        <f t="shared" si="1"/>
        <v>*</v>
      </c>
      <c r="J153" s="68" t="str">
        <f t="shared" si="1"/>
        <v>*</v>
      </c>
      <c r="K153" s="68" t="str">
        <f t="shared" si="1"/>
        <v>*</v>
      </c>
      <c r="L153" s="68" t="str">
        <f t="shared" si="1"/>
        <v>*</v>
      </c>
      <c r="M153" s="68" t="str">
        <f t="shared" si="1"/>
        <v>*</v>
      </c>
      <c r="N153" s="68" t="str">
        <f t="shared" si="1"/>
        <v>*</v>
      </c>
      <c r="O153" s="68" t="str">
        <f t="shared" si="1"/>
        <v>*</v>
      </c>
      <c r="P153" s="68" t="str">
        <f t="shared" si="1"/>
        <v>*</v>
      </c>
      <c r="Q153" s="68" t="str">
        <f t="shared" si="1"/>
        <v>*</v>
      </c>
      <c r="R153" s="68" t="str">
        <f t="shared" si="1"/>
        <v>*</v>
      </c>
      <c r="S153" s="68" t="str">
        <f t="shared" si="1"/>
        <v>*</v>
      </c>
      <c r="T153" s="68" t="str">
        <f t="shared" si="1"/>
        <v>*</v>
      </c>
      <c r="U153" s="68" t="str">
        <f t="shared" si="1"/>
        <v>*</v>
      </c>
      <c r="V153" s="68" t="str">
        <f t="shared" si="1"/>
        <v>*</v>
      </c>
      <c r="W153" s="68" t="str">
        <f t="shared" si="1"/>
        <v>*</v>
      </c>
      <c r="X153" s="68" t="str">
        <f t="shared" si="1"/>
        <v>*</v>
      </c>
      <c r="Y153" s="68" t="str">
        <f t="shared" si="1"/>
        <v>*</v>
      </c>
      <c r="Z153" s="68" t="str">
        <f t="shared" si="1"/>
        <v>*</v>
      </c>
      <c r="AA153" s="68" t="str">
        <f t="shared" si="1"/>
        <v>*</v>
      </c>
      <c r="AB153" s="68" t="str">
        <f t="shared" si="1"/>
        <v>*</v>
      </c>
      <c r="AC153" s="68" t="str">
        <f t="shared" si="1"/>
        <v>*</v>
      </c>
      <c r="AD153" s="68" t="str">
        <f t="shared" si="1"/>
        <v>*</v>
      </c>
      <c r="AE153" s="68" t="str">
        <f t="shared" si="1"/>
        <v>*</v>
      </c>
      <c r="AF153" s="68" t="str">
        <f t="shared" si="1"/>
        <v>*</v>
      </c>
      <c r="AG153" s="68" t="str">
        <f t="shared" si="1"/>
        <v>*</v>
      </c>
      <c r="AH153" s="68" t="str">
        <f t="shared" si="1"/>
        <v>*</v>
      </c>
      <c r="AI153" s="68" t="str">
        <f t="shared" si="1"/>
        <v>*</v>
      </c>
      <c r="AJ153" s="68" t="str">
        <f t="shared" si="1"/>
        <v>*</v>
      </c>
      <c r="AK153" s="68" t="str">
        <f t="shared" si="1"/>
        <v>*</v>
      </c>
      <c r="AL153" s="68" t="str">
        <f t="shared" si="1"/>
        <v>*</v>
      </c>
      <c r="AM153" s="68" t="str">
        <f t="shared" si="1"/>
        <v>*</v>
      </c>
      <c r="AN153" s="68" t="str">
        <f t="shared" si="1"/>
        <v>*</v>
      </c>
      <c r="AO153" s="68" t="str">
        <f t="shared" si="1"/>
        <v>*</v>
      </c>
      <c r="AP153" s="68" t="str">
        <f t="shared" si="1"/>
        <v>*</v>
      </c>
      <c r="AQ153" s="68" t="str">
        <f t="shared" si="1"/>
        <v>*</v>
      </c>
      <c r="AR153" s="68" t="str">
        <f t="shared" si="1"/>
        <v>*</v>
      </c>
      <c r="AS153" s="68" t="str">
        <f t="shared" si="1"/>
        <v>*</v>
      </c>
      <c r="AT153" s="68" t="str">
        <f t="shared" si="1"/>
        <v>*</v>
      </c>
      <c r="AU153" s="68" t="str">
        <f t="shared" si="1"/>
        <v>*</v>
      </c>
      <c r="AV153" s="68" t="str">
        <f t="shared" si="1"/>
        <v>*</v>
      </c>
      <c r="AW153" s="68" t="str">
        <f t="shared" si="1"/>
        <v>*</v>
      </c>
      <c r="AX153" s="68" t="str">
        <f t="shared" si="1"/>
        <v>*</v>
      </c>
    </row>
    <row r="154" spans="1:50" s="13" customFormat="1" ht="15.75" hidden="1" customHeight="1">
      <c r="A154" s="348"/>
      <c r="B154" s="65" t="s">
        <v>225</v>
      </c>
      <c r="C154" s="68" t="str">
        <f t="shared" si="1"/>
        <v>*</v>
      </c>
      <c r="D154" s="68" t="str">
        <f t="shared" si="1"/>
        <v>*</v>
      </c>
      <c r="E154" s="68" t="str">
        <f t="shared" si="1"/>
        <v>*</v>
      </c>
      <c r="F154" s="68" t="str">
        <f t="shared" si="1"/>
        <v>*</v>
      </c>
      <c r="G154" s="68" t="str">
        <f t="shared" si="1"/>
        <v>*</v>
      </c>
      <c r="H154" s="68" t="str">
        <f t="shared" si="1"/>
        <v>*</v>
      </c>
      <c r="I154" s="68" t="str">
        <f t="shared" si="1"/>
        <v>*</v>
      </c>
      <c r="J154" s="68" t="str">
        <f t="shared" si="1"/>
        <v>*</v>
      </c>
      <c r="K154" s="68" t="str">
        <f t="shared" si="1"/>
        <v>*</v>
      </c>
      <c r="L154" s="68" t="str">
        <f t="shared" si="1"/>
        <v>*</v>
      </c>
      <c r="M154" s="68" t="str">
        <f t="shared" si="1"/>
        <v>*</v>
      </c>
      <c r="N154" s="68" t="str">
        <f t="shared" si="1"/>
        <v>*</v>
      </c>
      <c r="O154" s="68" t="str">
        <f t="shared" si="1"/>
        <v>*</v>
      </c>
      <c r="P154" s="68" t="str">
        <f t="shared" si="1"/>
        <v>*</v>
      </c>
      <c r="Q154" s="68" t="str">
        <f t="shared" si="1"/>
        <v>*</v>
      </c>
      <c r="R154" s="68" t="str">
        <f t="shared" si="1"/>
        <v>*</v>
      </c>
      <c r="S154" s="68" t="str">
        <f t="shared" si="1"/>
        <v>*</v>
      </c>
      <c r="T154" s="68" t="str">
        <f t="shared" si="1"/>
        <v>*</v>
      </c>
      <c r="U154" s="68" t="str">
        <f t="shared" si="1"/>
        <v>*</v>
      </c>
      <c r="V154" s="68" t="str">
        <f t="shared" si="1"/>
        <v>*</v>
      </c>
      <c r="W154" s="68" t="str">
        <f t="shared" si="1"/>
        <v>*</v>
      </c>
      <c r="X154" s="68" t="str">
        <f t="shared" si="1"/>
        <v>*</v>
      </c>
      <c r="Y154" s="68" t="str">
        <f t="shared" si="1"/>
        <v>*</v>
      </c>
      <c r="Z154" s="68" t="str">
        <f t="shared" si="1"/>
        <v>*</v>
      </c>
      <c r="AA154" s="68" t="str">
        <f t="shared" si="1"/>
        <v>*</v>
      </c>
      <c r="AB154" s="68" t="str">
        <f t="shared" si="1"/>
        <v>*</v>
      </c>
      <c r="AC154" s="68" t="str">
        <f t="shared" si="1"/>
        <v>*</v>
      </c>
      <c r="AD154" s="68" t="str">
        <f t="shared" si="1"/>
        <v>*</v>
      </c>
      <c r="AE154" s="68" t="str">
        <f t="shared" si="1"/>
        <v>*</v>
      </c>
      <c r="AF154" s="68" t="str">
        <f t="shared" si="1"/>
        <v>*</v>
      </c>
      <c r="AG154" s="68" t="str">
        <f t="shared" si="1"/>
        <v>*</v>
      </c>
      <c r="AH154" s="68" t="str">
        <f t="shared" si="1"/>
        <v>*</v>
      </c>
      <c r="AI154" s="68" t="str">
        <f t="shared" si="1"/>
        <v>*</v>
      </c>
      <c r="AJ154" s="68" t="str">
        <f t="shared" si="1"/>
        <v>*</v>
      </c>
      <c r="AK154" s="68" t="str">
        <f t="shared" si="1"/>
        <v>*</v>
      </c>
      <c r="AL154" s="68" t="str">
        <f t="shared" si="1"/>
        <v>*</v>
      </c>
      <c r="AM154" s="68" t="str">
        <f t="shared" si="1"/>
        <v>*</v>
      </c>
      <c r="AN154" s="68" t="str">
        <f t="shared" si="1"/>
        <v>*</v>
      </c>
      <c r="AO154" s="68" t="str">
        <f t="shared" si="1"/>
        <v>*</v>
      </c>
      <c r="AP154" s="68" t="str">
        <f t="shared" si="1"/>
        <v>*</v>
      </c>
      <c r="AQ154" s="68" t="str">
        <f t="shared" si="1"/>
        <v>*</v>
      </c>
      <c r="AR154" s="68" t="str">
        <f t="shared" si="1"/>
        <v>*</v>
      </c>
      <c r="AS154" s="68" t="str">
        <f t="shared" si="1"/>
        <v>*</v>
      </c>
      <c r="AT154" s="68" t="str">
        <f t="shared" si="1"/>
        <v>*</v>
      </c>
      <c r="AU154" s="68" t="str">
        <f t="shared" si="1"/>
        <v>*</v>
      </c>
      <c r="AV154" s="68" t="str">
        <f t="shared" si="1"/>
        <v>*</v>
      </c>
      <c r="AW154" s="68" t="str">
        <f t="shared" si="1"/>
        <v>*</v>
      </c>
      <c r="AX154" s="68" t="str">
        <f t="shared" si="1"/>
        <v>*</v>
      </c>
    </row>
    <row r="155" spans="1:50" s="18" customFormat="1" ht="15.75" hidden="1" customHeight="1">
      <c r="A155" s="63" t="s">
        <v>201</v>
      </c>
      <c r="B155" s="64" t="s">
        <v>223</v>
      </c>
      <c r="C155" s="67" t="str">
        <f t="shared" si="1"/>
        <v>*</v>
      </c>
      <c r="D155" s="67" t="str">
        <f t="shared" si="1"/>
        <v>*</v>
      </c>
      <c r="E155" s="67" t="str">
        <f t="shared" si="1"/>
        <v>*</v>
      </c>
      <c r="F155" s="67" t="str">
        <f t="shared" si="1"/>
        <v>*</v>
      </c>
      <c r="G155" s="67" t="str">
        <f t="shared" si="1"/>
        <v>*</v>
      </c>
      <c r="H155" s="67" t="str">
        <f t="shared" si="1"/>
        <v>*</v>
      </c>
      <c r="I155" s="67" t="str">
        <f t="shared" si="1"/>
        <v>*</v>
      </c>
      <c r="J155" s="67" t="str">
        <f t="shared" si="1"/>
        <v>*</v>
      </c>
      <c r="K155" s="67" t="str">
        <f t="shared" si="1"/>
        <v>*</v>
      </c>
      <c r="L155" s="67" t="str">
        <f t="shared" si="1"/>
        <v>*</v>
      </c>
      <c r="M155" s="67" t="str">
        <f t="shared" si="1"/>
        <v>*</v>
      </c>
      <c r="N155" s="67" t="str">
        <f t="shared" si="1"/>
        <v>*</v>
      </c>
      <c r="O155" s="67" t="str">
        <f t="shared" si="1"/>
        <v>*</v>
      </c>
      <c r="P155" s="67" t="str">
        <f t="shared" si="1"/>
        <v>*</v>
      </c>
      <c r="Q155" s="67" t="str">
        <f t="shared" si="1"/>
        <v>*</v>
      </c>
      <c r="R155" s="67" t="str">
        <f t="shared" si="1"/>
        <v>*</v>
      </c>
      <c r="S155" s="67" t="str">
        <f t="shared" si="1"/>
        <v>*</v>
      </c>
      <c r="T155" s="67" t="str">
        <f t="shared" si="1"/>
        <v>*</v>
      </c>
      <c r="U155" s="67" t="str">
        <f t="shared" si="1"/>
        <v>*</v>
      </c>
      <c r="V155" s="67" t="str">
        <f t="shared" si="1"/>
        <v>*</v>
      </c>
      <c r="W155" s="67" t="str">
        <f t="shared" si="1"/>
        <v>*</v>
      </c>
      <c r="X155" s="67" t="str">
        <f t="shared" si="1"/>
        <v>*</v>
      </c>
      <c r="Y155" s="67" t="str">
        <f t="shared" si="1"/>
        <v>*</v>
      </c>
      <c r="Z155" s="67" t="str">
        <f t="shared" si="1"/>
        <v>*</v>
      </c>
      <c r="AA155" s="67" t="str">
        <f t="shared" si="1"/>
        <v>*</v>
      </c>
      <c r="AB155" s="67" t="str">
        <f t="shared" si="1"/>
        <v>*</v>
      </c>
      <c r="AC155" s="67" t="str">
        <f t="shared" si="1"/>
        <v>*</v>
      </c>
      <c r="AD155" s="67" t="str">
        <f t="shared" si="1"/>
        <v>*</v>
      </c>
      <c r="AE155" s="67" t="str">
        <f t="shared" si="1"/>
        <v>*</v>
      </c>
      <c r="AF155" s="67" t="str">
        <f t="shared" si="1"/>
        <v>*</v>
      </c>
      <c r="AG155" s="67" t="str">
        <f t="shared" si="1"/>
        <v>*</v>
      </c>
      <c r="AH155" s="67" t="str">
        <f t="shared" si="1"/>
        <v>*</v>
      </c>
      <c r="AI155" s="67" t="str">
        <f t="shared" si="1"/>
        <v>*</v>
      </c>
      <c r="AJ155" s="67" t="str">
        <f t="shared" si="1"/>
        <v>*</v>
      </c>
      <c r="AK155" s="67" t="str">
        <f t="shared" si="1"/>
        <v>*</v>
      </c>
      <c r="AL155" s="67" t="str">
        <f t="shared" si="1"/>
        <v>*</v>
      </c>
      <c r="AM155" s="67" t="str">
        <f t="shared" si="1"/>
        <v>*</v>
      </c>
      <c r="AN155" s="67" t="str">
        <f t="shared" si="1"/>
        <v>*</v>
      </c>
      <c r="AO155" s="67" t="str">
        <f t="shared" si="1"/>
        <v>*</v>
      </c>
      <c r="AP155" s="67" t="str">
        <f t="shared" si="1"/>
        <v>*</v>
      </c>
      <c r="AQ155" s="67" t="str">
        <f t="shared" si="1"/>
        <v>*</v>
      </c>
      <c r="AR155" s="67" t="str">
        <f t="shared" si="1"/>
        <v>*</v>
      </c>
      <c r="AS155" s="67" t="str">
        <f t="shared" si="1"/>
        <v>*</v>
      </c>
      <c r="AT155" s="67" t="str">
        <f t="shared" si="1"/>
        <v>*</v>
      </c>
      <c r="AU155" s="67" t="str">
        <f t="shared" si="1"/>
        <v>*</v>
      </c>
      <c r="AV155" s="67" t="str">
        <f t="shared" si="1"/>
        <v>*</v>
      </c>
      <c r="AW155" s="67" t="str">
        <f t="shared" si="1"/>
        <v>*</v>
      </c>
      <c r="AX155" s="67" t="str">
        <f t="shared" si="1"/>
        <v>*</v>
      </c>
    </row>
    <row r="156" spans="1:50" s="18" customFormat="1" ht="15.75" hidden="1" customHeight="1">
      <c r="A156" s="345" t="s">
        <v>24</v>
      </c>
      <c r="B156" s="65" t="s">
        <v>224</v>
      </c>
      <c r="C156" s="68" t="str">
        <f t="shared" si="1"/>
        <v>*</v>
      </c>
      <c r="D156" s="68" t="str">
        <f t="shared" si="1"/>
        <v>*</v>
      </c>
      <c r="E156" s="68" t="str">
        <f t="shared" si="1"/>
        <v>*</v>
      </c>
      <c r="F156" s="68" t="str">
        <f t="shared" si="1"/>
        <v>*</v>
      </c>
      <c r="G156" s="68" t="str">
        <f t="shared" si="1"/>
        <v>*</v>
      </c>
      <c r="H156" s="68" t="str">
        <f t="shared" si="1"/>
        <v>*</v>
      </c>
      <c r="I156" s="68" t="str">
        <f t="shared" si="1"/>
        <v>*</v>
      </c>
      <c r="J156" s="68" t="str">
        <f t="shared" si="1"/>
        <v>*</v>
      </c>
      <c r="K156" s="68" t="str">
        <f t="shared" ref="K156:AX156" si="2">IF(K86=K11,"","*")</f>
        <v>*</v>
      </c>
      <c r="L156" s="68" t="str">
        <f t="shared" si="2"/>
        <v>*</v>
      </c>
      <c r="M156" s="68" t="str">
        <f t="shared" si="2"/>
        <v>*</v>
      </c>
      <c r="N156" s="68" t="str">
        <f t="shared" si="2"/>
        <v>*</v>
      </c>
      <c r="O156" s="68" t="str">
        <f t="shared" si="2"/>
        <v>*</v>
      </c>
      <c r="P156" s="68" t="str">
        <f t="shared" si="2"/>
        <v>*</v>
      </c>
      <c r="Q156" s="68" t="str">
        <f t="shared" si="2"/>
        <v>*</v>
      </c>
      <c r="R156" s="68" t="str">
        <f t="shared" si="2"/>
        <v>*</v>
      </c>
      <c r="S156" s="68" t="str">
        <f t="shared" si="2"/>
        <v>*</v>
      </c>
      <c r="T156" s="68" t="str">
        <f t="shared" si="2"/>
        <v/>
      </c>
      <c r="U156" s="68" t="str">
        <f t="shared" si="2"/>
        <v>*</v>
      </c>
      <c r="V156" s="68" t="str">
        <f t="shared" si="2"/>
        <v>*</v>
      </c>
      <c r="W156" s="68" t="str">
        <f t="shared" si="2"/>
        <v>*</v>
      </c>
      <c r="X156" s="68" t="str">
        <f t="shared" si="2"/>
        <v>*</v>
      </c>
      <c r="Y156" s="68" t="str">
        <f t="shared" si="2"/>
        <v>*</v>
      </c>
      <c r="Z156" s="68" t="str">
        <f t="shared" si="2"/>
        <v>*</v>
      </c>
      <c r="AA156" s="68" t="str">
        <f t="shared" si="2"/>
        <v>*</v>
      </c>
      <c r="AB156" s="68" t="str">
        <f t="shared" si="2"/>
        <v>*</v>
      </c>
      <c r="AC156" s="68" t="str">
        <f t="shared" si="2"/>
        <v>*</v>
      </c>
      <c r="AD156" s="68" t="str">
        <f t="shared" si="2"/>
        <v>*</v>
      </c>
      <c r="AE156" s="68" t="str">
        <f t="shared" si="2"/>
        <v>*</v>
      </c>
      <c r="AF156" s="68" t="str">
        <f t="shared" si="2"/>
        <v>*</v>
      </c>
      <c r="AG156" s="68" t="str">
        <f t="shared" si="2"/>
        <v>*</v>
      </c>
      <c r="AH156" s="68" t="str">
        <f t="shared" si="2"/>
        <v>*</v>
      </c>
      <c r="AI156" s="68" t="str">
        <f t="shared" si="2"/>
        <v>*</v>
      </c>
      <c r="AJ156" s="68" t="str">
        <f t="shared" si="2"/>
        <v>*</v>
      </c>
      <c r="AK156" s="68" t="str">
        <f t="shared" si="2"/>
        <v>*</v>
      </c>
      <c r="AL156" s="68" t="str">
        <f t="shared" si="2"/>
        <v>*</v>
      </c>
      <c r="AM156" s="68" t="str">
        <f t="shared" si="2"/>
        <v>*</v>
      </c>
      <c r="AN156" s="68" t="str">
        <f t="shared" si="2"/>
        <v>*</v>
      </c>
      <c r="AO156" s="68" t="str">
        <f t="shared" si="2"/>
        <v>*</v>
      </c>
      <c r="AP156" s="68" t="str">
        <f t="shared" si="2"/>
        <v>*</v>
      </c>
      <c r="AQ156" s="68" t="str">
        <f t="shared" si="2"/>
        <v>*</v>
      </c>
      <c r="AR156" s="68" t="str">
        <f t="shared" si="2"/>
        <v>*</v>
      </c>
      <c r="AS156" s="68" t="str">
        <f t="shared" si="2"/>
        <v>*</v>
      </c>
      <c r="AT156" s="68" t="str">
        <f t="shared" si="2"/>
        <v>*</v>
      </c>
      <c r="AU156" s="68" t="str">
        <f t="shared" si="2"/>
        <v>*</v>
      </c>
      <c r="AV156" s="68" t="str">
        <f t="shared" si="2"/>
        <v>*</v>
      </c>
      <c r="AW156" s="68" t="str">
        <f t="shared" si="2"/>
        <v>*</v>
      </c>
      <c r="AX156" s="68" t="str">
        <f t="shared" si="2"/>
        <v>*</v>
      </c>
    </row>
    <row r="157" spans="1:50" s="18" customFormat="1" ht="15.75" hidden="1" customHeight="1">
      <c r="A157" s="346"/>
      <c r="B157" s="65" t="s">
        <v>225</v>
      </c>
      <c r="C157" s="68" t="str">
        <f t="shared" ref="C157:AX161" si="3">IF(C87=C12,"","*")</f>
        <v>*</v>
      </c>
      <c r="D157" s="68" t="str">
        <f t="shared" si="3"/>
        <v>*</v>
      </c>
      <c r="E157" s="68" t="str">
        <f t="shared" si="3"/>
        <v>*</v>
      </c>
      <c r="F157" s="68" t="str">
        <f t="shared" si="3"/>
        <v>*</v>
      </c>
      <c r="G157" s="68" t="str">
        <f t="shared" si="3"/>
        <v>*</v>
      </c>
      <c r="H157" s="68" t="str">
        <f t="shared" si="3"/>
        <v>*</v>
      </c>
      <c r="I157" s="68" t="str">
        <f t="shared" si="3"/>
        <v>*</v>
      </c>
      <c r="J157" s="68" t="str">
        <f t="shared" si="3"/>
        <v>*</v>
      </c>
      <c r="K157" s="68" t="str">
        <f t="shared" si="3"/>
        <v>*</v>
      </c>
      <c r="L157" s="68" t="str">
        <f t="shared" si="3"/>
        <v>*</v>
      </c>
      <c r="M157" s="68" t="str">
        <f t="shared" si="3"/>
        <v>*</v>
      </c>
      <c r="N157" s="68" t="str">
        <f t="shared" si="3"/>
        <v>*</v>
      </c>
      <c r="O157" s="68" t="str">
        <f t="shared" si="3"/>
        <v>*</v>
      </c>
      <c r="P157" s="68" t="str">
        <f t="shared" si="3"/>
        <v>*</v>
      </c>
      <c r="Q157" s="68" t="str">
        <f t="shared" si="3"/>
        <v>*</v>
      </c>
      <c r="R157" s="68" t="str">
        <f t="shared" si="3"/>
        <v>*</v>
      </c>
      <c r="S157" s="68" t="str">
        <f t="shared" si="3"/>
        <v>*</v>
      </c>
      <c r="T157" s="68" t="str">
        <f t="shared" si="3"/>
        <v>*</v>
      </c>
      <c r="U157" s="68" t="str">
        <f t="shared" si="3"/>
        <v>*</v>
      </c>
      <c r="V157" s="68" t="str">
        <f t="shared" si="3"/>
        <v>*</v>
      </c>
      <c r="W157" s="68" t="str">
        <f t="shared" si="3"/>
        <v>*</v>
      </c>
      <c r="X157" s="68" t="str">
        <f t="shared" si="3"/>
        <v>*</v>
      </c>
      <c r="Y157" s="68" t="str">
        <f t="shared" si="3"/>
        <v>*</v>
      </c>
      <c r="Z157" s="68" t="str">
        <f t="shared" si="3"/>
        <v>*</v>
      </c>
      <c r="AA157" s="68" t="str">
        <f t="shared" si="3"/>
        <v>*</v>
      </c>
      <c r="AB157" s="68" t="str">
        <f t="shared" si="3"/>
        <v>*</v>
      </c>
      <c r="AC157" s="68" t="str">
        <f t="shared" si="3"/>
        <v>*</v>
      </c>
      <c r="AD157" s="68" t="str">
        <f t="shared" si="3"/>
        <v>*</v>
      </c>
      <c r="AE157" s="68" t="str">
        <f t="shared" si="3"/>
        <v>*</v>
      </c>
      <c r="AF157" s="68" t="str">
        <f t="shared" si="3"/>
        <v>*</v>
      </c>
      <c r="AG157" s="68" t="str">
        <f t="shared" si="3"/>
        <v>*</v>
      </c>
      <c r="AH157" s="68" t="str">
        <f t="shared" si="3"/>
        <v>*</v>
      </c>
      <c r="AI157" s="68" t="str">
        <f t="shared" si="3"/>
        <v>*</v>
      </c>
      <c r="AJ157" s="68" t="str">
        <f t="shared" si="3"/>
        <v>*</v>
      </c>
      <c r="AK157" s="68" t="str">
        <f t="shared" si="3"/>
        <v>*</v>
      </c>
      <c r="AL157" s="68" t="str">
        <f t="shared" si="3"/>
        <v>*</v>
      </c>
      <c r="AM157" s="68" t="str">
        <f t="shared" si="3"/>
        <v>*</v>
      </c>
      <c r="AN157" s="68" t="str">
        <f t="shared" si="3"/>
        <v>*</v>
      </c>
      <c r="AO157" s="68" t="str">
        <f t="shared" si="3"/>
        <v>*</v>
      </c>
      <c r="AP157" s="68" t="str">
        <f t="shared" si="3"/>
        <v>*</v>
      </c>
      <c r="AQ157" s="68" t="str">
        <f t="shared" si="3"/>
        <v>*</v>
      </c>
      <c r="AR157" s="68" t="str">
        <f t="shared" si="3"/>
        <v>*</v>
      </c>
      <c r="AS157" s="68" t="str">
        <f t="shared" si="3"/>
        <v>*</v>
      </c>
      <c r="AT157" s="68" t="str">
        <f t="shared" si="3"/>
        <v>*</v>
      </c>
      <c r="AU157" s="68" t="str">
        <f t="shared" si="3"/>
        <v>*</v>
      </c>
      <c r="AV157" s="68" t="str">
        <f t="shared" si="3"/>
        <v>*</v>
      </c>
      <c r="AW157" s="68" t="str">
        <f t="shared" si="3"/>
        <v>*</v>
      </c>
      <c r="AX157" s="68" t="str">
        <f t="shared" si="3"/>
        <v>*</v>
      </c>
    </row>
    <row r="158" spans="1:50" s="18" customFormat="1" ht="15.75" hidden="1" customHeight="1">
      <c r="A158" s="63" t="s">
        <v>202</v>
      </c>
      <c r="B158" s="64" t="s">
        <v>223</v>
      </c>
      <c r="C158" s="67" t="str">
        <f t="shared" si="3"/>
        <v>*</v>
      </c>
      <c r="D158" s="67" t="str">
        <f t="shared" si="3"/>
        <v>*</v>
      </c>
      <c r="E158" s="67" t="str">
        <f t="shared" si="3"/>
        <v>*</v>
      </c>
      <c r="F158" s="67" t="str">
        <f t="shared" si="3"/>
        <v>*</v>
      </c>
      <c r="G158" s="67" t="str">
        <f t="shared" si="3"/>
        <v>*</v>
      </c>
      <c r="H158" s="67" t="str">
        <f t="shared" si="3"/>
        <v>*</v>
      </c>
      <c r="I158" s="67" t="str">
        <f t="shared" si="3"/>
        <v>*</v>
      </c>
      <c r="J158" s="67" t="str">
        <f t="shared" si="3"/>
        <v>*</v>
      </c>
      <c r="K158" s="67" t="str">
        <f t="shared" si="3"/>
        <v>*</v>
      </c>
      <c r="L158" s="67" t="str">
        <f t="shared" si="3"/>
        <v>*</v>
      </c>
      <c r="M158" s="67" t="str">
        <f t="shared" si="3"/>
        <v>*</v>
      </c>
      <c r="N158" s="67" t="str">
        <f t="shared" si="3"/>
        <v>*</v>
      </c>
      <c r="O158" s="67" t="str">
        <f t="shared" si="3"/>
        <v>*</v>
      </c>
      <c r="P158" s="67" t="str">
        <f t="shared" si="3"/>
        <v>*</v>
      </c>
      <c r="Q158" s="67" t="str">
        <f t="shared" si="3"/>
        <v>*</v>
      </c>
      <c r="R158" s="67" t="str">
        <f t="shared" si="3"/>
        <v>*</v>
      </c>
      <c r="S158" s="67" t="str">
        <f t="shared" si="3"/>
        <v>*</v>
      </c>
      <c r="T158" s="67" t="str">
        <f t="shared" si="3"/>
        <v>*</v>
      </c>
      <c r="U158" s="67" t="str">
        <f t="shared" si="3"/>
        <v>*</v>
      </c>
      <c r="V158" s="67" t="str">
        <f t="shared" si="3"/>
        <v/>
      </c>
      <c r="W158" s="67" t="str">
        <f t="shared" si="3"/>
        <v>*</v>
      </c>
      <c r="X158" s="67" t="str">
        <f t="shared" si="3"/>
        <v>*</v>
      </c>
      <c r="Y158" s="67" t="str">
        <f t="shared" si="3"/>
        <v>*</v>
      </c>
      <c r="Z158" s="67" t="str">
        <f t="shared" si="3"/>
        <v>*</v>
      </c>
      <c r="AA158" s="67" t="str">
        <f t="shared" si="3"/>
        <v>*</v>
      </c>
      <c r="AB158" s="67" t="str">
        <f t="shared" si="3"/>
        <v>*</v>
      </c>
      <c r="AC158" s="67" t="str">
        <f t="shared" si="3"/>
        <v>*</v>
      </c>
      <c r="AD158" s="67" t="str">
        <f t="shared" si="3"/>
        <v>*</v>
      </c>
      <c r="AE158" s="67" t="str">
        <f t="shared" si="3"/>
        <v>*</v>
      </c>
      <c r="AF158" s="67" t="str">
        <f t="shared" si="3"/>
        <v>*</v>
      </c>
      <c r="AG158" s="67" t="str">
        <f t="shared" si="3"/>
        <v>*</v>
      </c>
      <c r="AH158" s="67" t="str">
        <f t="shared" si="3"/>
        <v>*</v>
      </c>
      <c r="AI158" s="67" t="str">
        <f t="shared" si="3"/>
        <v>*</v>
      </c>
      <c r="AJ158" s="67" t="str">
        <f t="shared" si="3"/>
        <v>*</v>
      </c>
      <c r="AK158" s="67" t="str">
        <f t="shared" si="3"/>
        <v>*</v>
      </c>
      <c r="AL158" s="67" t="str">
        <f t="shared" si="3"/>
        <v>*</v>
      </c>
      <c r="AM158" s="67" t="str">
        <f t="shared" si="3"/>
        <v>*</v>
      </c>
      <c r="AN158" s="67" t="str">
        <f t="shared" si="3"/>
        <v>*</v>
      </c>
      <c r="AO158" s="67" t="str">
        <f t="shared" si="3"/>
        <v>*</v>
      </c>
      <c r="AP158" s="67" t="str">
        <f t="shared" si="3"/>
        <v>*</v>
      </c>
      <c r="AQ158" s="67" t="str">
        <f t="shared" si="3"/>
        <v>*</v>
      </c>
      <c r="AR158" s="67" t="str">
        <f t="shared" si="3"/>
        <v>*</v>
      </c>
      <c r="AS158" s="67" t="str">
        <f t="shared" si="3"/>
        <v>*</v>
      </c>
      <c r="AT158" s="67" t="str">
        <f t="shared" si="3"/>
        <v/>
      </c>
      <c r="AU158" s="67" t="str">
        <f t="shared" si="3"/>
        <v>*</v>
      </c>
      <c r="AV158" s="67" t="str">
        <f t="shared" si="3"/>
        <v>*</v>
      </c>
      <c r="AW158" s="67" t="str">
        <f t="shared" si="3"/>
        <v>*</v>
      </c>
      <c r="AX158" s="67" t="str">
        <f t="shared" si="3"/>
        <v>*</v>
      </c>
    </row>
    <row r="159" spans="1:50" s="18" customFormat="1" ht="15.75" hidden="1" customHeight="1">
      <c r="A159" s="345" t="s">
        <v>25</v>
      </c>
      <c r="B159" s="65" t="s">
        <v>224</v>
      </c>
      <c r="C159" s="68" t="str">
        <f t="shared" si="3"/>
        <v>*</v>
      </c>
      <c r="D159" s="68" t="str">
        <f t="shared" si="3"/>
        <v>*</v>
      </c>
      <c r="E159" s="68" t="str">
        <f t="shared" si="3"/>
        <v>*</v>
      </c>
      <c r="F159" s="68" t="str">
        <f t="shared" si="3"/>
        <v>*</v>
      </c>
      <c r="G159" s="68" t="str">
        <f t="shared" si="3"/>
        <v>*</v>
      </c>
      <c r="H159" s="68" t="str">
        <f t="shared" si="3"/>
        <v>*</v>
      </c>
      <c r="I159" s="68" t="str">
        <f t="shared" si="3"/>
        <v>*</v>
      </c>
      <c r="J159" s="68" t="str">
        <f t="shared" si="3"/>
        <v>*</v>
      </c>
      <c r="K159" s="68" t="str">
        <f t="shared" si="3"/>
        <v>*</v>
      </c>
      <c r="L159" s="68" t="str">
        <f t="shared" si="3"/>
        <v>*</v>
      </c>
      <c r="M159" s="68" t="str">
        <f t="shared" si="3"/>
        <v>*</v>
      </c>
      <c r="N159" s="68" t="str">
        <f t="shared" si="3"/>
        <v>*</v>
      </c>
      <c r="O159" s="68" t="str">
        <f t="shared" si="3"/>
        <v>*</v>
      </c>
      <c r="P159" s="68" t="str">
        <f t="shared" si="3"/>
        <v>*</v>
      </c>
      <c r="Q159" s="68" t="str">
        <f t="shared" si="3"/>
        <v>*</v>
      </c>
      <c r="R159" s="68" t="str">
        <f t="shared" si="3"/>
        <v>*</v>
      </c>
      <c r="S159" s="68" t="str">
        <f t="shared" si="3"/>
        <v/>
      </c>
      <c r="T159" s="68" t="str">
        <f t="shared" si="3"/>
        <v/>
      </c>
      <c r="U159" s="68" t="str">
        <f t="shared" si="3"/>
        <v/>
      </c>
      <c r="V159" s="68" t="str">
        <f t="shared" si="3"/>
        <v/>
      </c>
      <c r="W159" s="68" t="str">
        <f t="shared" si="3"/>
        <v>*</v>
      </c>
      <c r="X159" s="68" t="str">
        <f t="shared" si="3"/>
        <v>*</v>
      </c>
      <c r="Y159" s="68" t="str">
        <f t="shared" si="3"/>
        <v>*</v>
      </c>
      <c r="Z159" s="68" t="str">
        <f t="shared" si="3"/>
        <v>*</v>
      </c>
      <c r="AA159" s="68" t="str">
        <f t="shared" si="3"/>
        <v>*</v>
      </c>
      <c r="AB159" s="68" t="str">
        <f t="shared" si="3"/>
        <v>*</v>
      </c>
      <c r="AC159" s="68" t="str">
        <f t="shared" si="3"/>
        <v>*</v>
      </c>
      <c r="AD159" s="68" t="str">
        <f t="shared" si="3"/>
        <v>*</v>
      </c>
      <c r="AE159" s="68" t="str">
        <f t="shared" si="3"/>
        <v>*</v>
      </c>
      <c r="AF159" s="68" t="str">
        <f t="shared" si="3"/>
        <v>*</v>
      </c>
      <c r="AG159" s="68" t="str">
        <f t="shared" si="3"/>
        <v>*</v>
      </c>
      <c r="AH159" s="68" t="str">
        <f t="shared" si="3"/>
        <v>*</v>
      </c>
      <c r="AI159" s="68" t="str">
        <f t="shared" si="3"/>
        <v>*</v>
      </c>
      <c r="AJ159" s="68" t="str">
        <f t="shared" si="3"/>
        <v>*</v>
      </c>
      <c r="AK159" s="68" t="str">
        <f t="shared" si="3"/>
        <v>*</v>
      </c>
      <c r="AL159" s="68" t="str">
        <f t="shared" si="3"/>
        <v>*</v>
      </c>
      <c r="AM159" s="68" t="str">
        <f t="shared" si="3"/>
        <v>*</v>
      </c>
      <c r="AN159" s="68" t="str">
        <f t="shared" si="3"/>
        <v>*</v>
      </c>
      <c r="AO159" s="68" t="str">
        <f t="shared" si="3"/>
        <v>*</v>
      </c>
      <c r="AP159" s="68" t="str">
        <f t="shared" si="3"/>
        <v>*</v>
      </c>
      <c r="AQ159" s="68" t="str">
        <f t="shared" si="3"/>
        <v>*</v>
      </c>
      <c r="AR159" s="68" t="str">
        <f t="shared" si="3"/>
        <v>*</v>
      </c>
      <c r="AS159" s="68" t="str">
        <f t="shared" si="3"/>
        <v/>
      </c>
      <c r="AT159" s="68" t="str">
        <f t="shared" si="3"/>
        <v/>
      </c>
      <c r="AU159" s="68" t="str">
        <f t="shared" si="3"/>
        <v>*</v>
      </c>
      <c r="AV159" s="68" t="str">
        <f t="shared" si="3"/>
        <v>*</v>
      </c>
      <c r="AW159" s="68" t="str">
        <f t="shared" si="3"/>
        <v>*</v>
      </c>
      <c r="AX159" s="68" t="str">
        <f t="shared" si="3"/>
        <v>*</v>
      </c>
    </row>
    <row r="160" spans="1:50" s="18" customFormat="1" ht="15.75" hidden="1" customHeight="1">
      <c r="A160" s="346"/>
      <c r="B160" s="65" t="s">
        <v>225</v>
      </c>
      <c r="C160" s="68" t="str">
        <f t="shared" si="3"/>
        <v>*</v>
      </c>
      <c r="D160" s="68" t="str">
        <f t="shared" si="3"/>
        <v>*</v>
      </c>
      <c r="E160" s="68" t="str">
        <f t="shared" si="3"/>
        <v>*</v>
      </c>
      <c r="F160" s="68" t="str">
        <f t="shared" si="3"/>
        <v>*</v>
      </c>
      <c r="G160" s="68" t="str">
        <f t="shared" si="3"/>
        <v>*</v>
      </c>
      <c r="H160" s="68" t="str">
        <f t="shared" si="3"/>
        <v>*</v>
      </c>
      <c r="I160" s="68" t="str">
        <f t="shared" si="3"/>
        <v>*</v>
      </c>
      <c r="J160" s="68" t="str">
        <f t="shared" si="3"/>
        <v>*</v>
      </c>
      <c r="K160" s="68" t="str">
        <f t="shared" si="3"/>
        <v>*</v>
      </c>
      <c r="L160" s="68" t="str">
        <f t="shared" si="3"/>
        <v>*</v>
      </c>
      <c r="M160" s="68" t="str">
        <f t="shared" si="3"/>
        <v>*</v>
      </c>
      <c r="N160" s="68" t="str">
        <f t="shared" si="3"/>
        <v>*</v>
      </c>
      <c r="O160" s="68" t="str">
        <f t="shared" si="3"/>
        <v>*</v>
      </c>
      <c r="P160" s="68" t="str">
        <f t="shared" si="3"/>
        <v>*</v>
      </c>
      <c r="Q160" s="68" t="str">
        <f t="shared" si="3"/>
        <v>*</v>
      </c>
      <c r="R160" s="68" t="str">
        <f t="shared" si="3"/>
        <v>*</v>
      </c>
      <c r="S160" s="68" t="str">
        <f t="shared" si="3"/>
        <v>*</v>
      </c>
      <c r="T160" s="68" t="str">
        <f t="shared" si="3"/>
        <v>*</v>
      </c>
      <c r="U160" s="68" t="str">
        <f t="shared" si="3"/>
        <v>*</v>
      </c>
      <c r="V160" s="68" t="str">
        <f t="shared" si="3"/>
        <v/>
      </c>
      <c r="W160" s="68" t="str">
        <f t="shared" si="3"/>
        <v>*</v>
      </c>
      <c r="X160" s="68" t="str">
        <f t="shared" si="3"/>
        <v>*</v>
      </c>
      <c r="Y160" s="68" t="str">
        <f t="shared" si="3"/>
        <v>*</v>
      </c>
      <c r="Z160" s="68" t="str">
        <f t="shared" si="3"/>
        <v>*</v>
      </c>
      <c r="AA160" s="68" t="str">
        <f t="shared" si="3"/>
        <v>*</v>
      </c>
      <c r="AB160" s="68" t="str">
        <f t="shared" si="3"/>
        <v>*</v>
      </c>
      <c r="AC160" s="68" t="str">
        <f t="shared" si="3"/>
        <v>*</v>
      </c>
      <c r="AD160" s="68" t="str">
        <f t="shared" si="3"/>
        <v>*</v>
      </c>
      <c r="AE160" s="68" t="str">
        <f t="shared" si="3"/>
        <v>*</v>
      </c>
      <c r="AF160" s="68" t="str">
        <f t="shared" si="3"/>
        <v>*</v>
      </c>
      <c r="AG160" s="68" t="str">
        <f t="shared" si="3"/>
        <v>*</v>
      </c>
      <c r="AH160" s="68" t="str">
        <f t="shared" si="3"/>
        <v>*</v>
      </c>
      <c r="AI160" s="68" t="str">
        <f t="shared" si="3"/>
        <v>*</v>
      </c>
      <c r="AJ160" s="68" t="str">
        <f t="shared" si="3"/>
        <v>*</v>
      </c>
      <c r="AK160" s="68" t="str">
        <f t="shared" si="3"/>
        <v>*</v>
      </c>
      <c r="AL160" s="68" t="str">
        <f t="shared" si="3"/>
        <v>*</v>
      </c>
      <c r="AM160" s="68" t="str">
        <f t="shared" si="3"/>
        <v>*</v>
      </c>
      <c r="AN160" s="68" t="str">
        <f t="shared" si="3"/>
        <v>*</v>
      </c>
      <c r="AO160" s="68" t="str">
        <f t="shared" si="3"/>
        <v>*</v>
      </c>
      <c r="AP160" s="68" t="str">
        <f t="shared" si="3"/>
        <v>*</v>
      </c>
      <c r="AQ160" s="68" t="str">
        <f t="shared" si="3"/>
        <v>*</v>
      </c>
      <c r="AR160" s="68" t="str">
        <f t="shared" si="3"/>
        <v>*</v>
      </c>
      <c r="AS160" s="68" t="str">
        <f t="shared" si="3"/>
        <v>*</v>
      </c>
      <c r="AT160" s="68" t="str">
        <f t="shared" si="3"/>
        <v/>
      </c>
      <c r="AU160" s="68" t="str">
        <f t="shared" si="3"/>
        <v>*</v>
      </c>
      <c r="AV160" s="68" t="str">
        <f t="shared" si="3"/>
        <v>*</v>
      </c>
      <c r="AW160" s="68" t="str">
        <f t="shared" si="3"/>
        <v>*</v>
      </c>
      <c r="AX160" s="68" t="str">
        <f t="shared" si="3"/>
        <v>*</v>
      </c>
    </row>
    <row r="161" spans="1:50" s="18" customFormat="1" ht="15.75" hidden="1" customHeight="1">
      <c r="A161" s="63" t="s">
        <v>203</v>
      </c>
      <c r="B161" s="64" t="s">
        <v>223</v>
      </c>
      <c r="C161" s="67" t="str">
        <f t="shared" si="3"/>
        <v>*</v>
      </c>
      <c r="D161" s="67" t="str">
        <f t="shared" si="3"/>
        <v>*</v>
      </c>
      <c r="E161" s="67" t="str">
        <f t="shared" si="3"/>
        <v>*</v>
      </c>
      <c r="F161" s="67" t="str">
        <f t="shared" si="3"/>
        <v>*</v>
      </c>
      <c r="G161" s="67" t="str">
        <f t="shared" si="3"/>
        <v>*</v>
      </c>
      <c r="H161" s="67" t="str">
        <f t="shared" si="3"/>
        <v>*</v>
      </c>
      <c r="I161" s="67" t="str">
        <f t="shared" si="3"/>
        <v>*</v>
      </c>
      <c r="J161" s="67" t="str">
        <f t="shared" si="3"/>
        <v>*</v>
      </c>
      <c r="K161" s="67" t="str">
        <f t="shared" ref="K161:AX161" si="4">IF(K91=K16,"","*")</f>
        <v>*</v>
      </c>
      <c r="L161" s="67" t="str">
        <f t="shared" si="4"/>
        <v>*</v>
      </c>
      <c r="M161" s="67" t="str">
        <f t="shared" si="4"/>
        <v>*</v>
      </c>
      <c r="N161" s="67" t="str">
        <f t="shared" si="4"/>
        <v>*</v>
      </c>
      <c r="O161" s="67" t="str">
        <f t="shared" si="4"/>
        <v>*</v>
      </c>
      <c r="P161" s="67" t="str">
        <f t="shared" si="4"/>
        <v>*</v>
      </c>
      <c r="Q161" s="67" t="str">
        <f t="shared" si="4"/>
        <v>*</v>
      </c>
      <c r="R161" s="67" t="str">
        <f t="shared" si="4"/>
        <v>*</v>
      </c>
      <c r="S161" s="67" t="str">
        <f t="shared" si="4"/>
        <v>*</v>
      </c>
      <c r="T161" s="67" t="str">
        <f t="shared" si="4"/>
        <v>*</v>
      </c>
      <c r="U161" s="67" t="str">
        <f t="shared" si="4"/>
        <v>*</v>
      </c>
      <c r="V161" s="67" t="str">
        <f t="shared" si="4"/>
        <v>*</v>
      </c>
      <c r="W161" s="67" t="str">
        <f t="shared" si="4"/>
        <v>*</v>
      </c>
      <c r="X161" s="67" t="str">
        <f t="shared" si="4"/>
        <v>*</v>
      </c>
      <c r="Y161" s="67" t="str">
        <f t="shared" si="4"/>
        <v>*</v>
      </c>
      <c r="Z161" s="67" t="str">
        <f t="shared" si="4"/>
        <v>*</v>
      </c>
      <c r="AA161" s="67" t="str">
        <f t="shared" si="4"/>
        <v>*</v>
      </c>
      <c r="AB161" s="67" t="str">
        <f t="shared" si="4"/>
        <v>*</v>
      </c>
      <c r="AC161" s="67" t="str">
        <f t="shared" si="4"/>
        <v>*</v>
      </c>
      <c r="AD161" s="67" t="str">
        <f t="shared" si="4"/>
        <v>*</v>
      </c>
      <c r="AE161" s="67" t="str">
        <f t="shared" si="4"/>
        <v>*</v>
      </c>
      <c r="AF161" s="67" t="str">
        <f t="shared" si="4"/>
        <v>*</v>
      </c>
      <c r="AG161" s="67" t="str">
        <f t="shared" si="4"/>
        <v>*</v>
      </c>
      <c r="AH161" s="67" t="str">
        <f t="shared" si="4"/>
        <v>*</v>
      </c>
      <c r="AI161" s="67" t="str">
        <f t="shared" si="4"/>
        <v>*</v>
      </c>
      <c r="AJ161" s="67" t="str">
        <f t="shared" si="4"/>
        <v>*</v>
      </c>
      <c r="AK161" s="67" t="str">
        <f t="shared" si="4"/>
        <v>*</v>
      </c>
      <c r="AL161" s="67" t="str">
        <f t="shared" si="4"/>
        <v>*</v>
      </c>
      <c r="AM161" s="67" t="str">
        <f t="shared" si="4"/>
        <v>*</v>
      </c>
      <c r="AN161" s="67" t="str">
        <f t="shared" si="4"/>
        <v>*</v>
      </c>
      <c r="AO161" s="67" t="str">
        <f t="shared" si="4"/>
        <v>*</v>
      </c>
      <c r="AP161" s="67" t="str">
        <f t="shared" si="4"/>
        <v>*</v>
      </c>
      <c r="AQ161" s="67" t="str">
        <f t="shared" si="4"/>
        <v>*</v>
      </c>
      <c r="AR161" s="67" t="str">
        <f t="shared" si="4"/>
        <v>*</v>
      </c>
      <c r="AS161" s="67" t="str">
        <f t="shared" si="4"/>
        <v>*</v>
      </c>
      <c r="AT161" s="67" t="str">
        <f t="shared" si="4"/>
        <v>*</v>
      </c>
      <c r="AU161" s="67" t="str">
        <f t="shared" si="4"/>
        <v>*</v>
      </c>
      <c r="AV161" s="67" t="str">
        <f t="shared" si="4"/>
        <v>*</v>
      </c>
      <c r="AW161" s="67" t="str">
        <f t="shared" si="4"/>
        <v>*</v>
      </c>
      <c r="AX161" s="67" t="str">
        <f t="shared" si="4"/>
        <v>*</v>
      </c>
    </row>
    <row r="162" spans="1:50" s="18" customFormat="1" ht="15.75" hidden="1" customHeight="1">
      <c r="A162" s="345" t="s">
        <v>49</v>
      </c>
      <c r="B162" s="65" t="s">
        <v>224</v>
      </c>
      <c r="C162" s="68" t="str">
        <f t="shared" ref="C162:AX166" si="5">IF(C92=C17,"","*")</f>
        <v>*</v>
      </c>
      <c r="D162" s="68" t="str">
        <f t="shared" si="5"/>
        <v>*</v>
      </c>
      <c r="E162" s="68" t="str">
        <f t="shared" si="5"/>
        <v>*</v>
      </c>
      <c r="F162" s="68" t="str">
        <f t="shared" si="5"/>
        <v>*</v>
      </c>
      <c r="G162" s="68" t="str">
        <f t="shared" si="5"/>
        <v>*</v>
      </c>
      <c r="H162" s="68" t="str">
        <f t="shared" si="5"/>
        <v>*</v>
      </c>
      <c r="I162" s="68" t="str">
        <f t="shared" si="5"/>
        <v>*</v>
      </c>
      <c r="J162" s="68" t="str">
        <f t="shared" si="5"/>
        <v>*</v>
      </c>
      <c r="K162" s="68" t="str">
        <f t="shared" si="5"/>
        <v>*</v>
      </c>
      <c r="L162" s="68" t="str">
        <f t="shared" si="5"/>
        <v>*</v>
      </c>
      <c r="M162" s="68" t="str">
        <f t="shared" si="5"/>
        <v>*</v>
      </c>
      <c r="N162" s="68" t="str">
        <f t="shared" si="5"/>
        <v>*</v>
      </c>
      <c r="O162" s="68" t="str">
        <f t="shared" si="5"/>
        <v>*</v>
      </c>
      <c r="P162" s="68" t="str">
        <f t="shared" si="5"/>
        <v>*</v>
      </c>
      <c r="Q162" s="68" t="str">
        <f t="shared" si="5"/>
        <v>*</v>
      </c>
      <c r="R162" s="68" t="str">
        <f t="shared" si="5"/>
        <v>*</v>
      </c>
      <c r="S162" s="68" t="str">
        <f t="shared" si="5"/>
        <v>*</v>
      </c>
      <c r="T162" s="68" t="str">
        <f t="shared" si="5"/>
        <v>*</v>
      </c>
      <c r="U162" s="68" t="str">
        <f t="shared" si="5"/>
        <v>*</v>
      </c>
      <c r="V162" s="68" t="str">
        <f t="shared" si="5"/>
        <v>*</v>
      </c>
      <c r="W162" s="68" t="str">
        <f t="shared" si="5"/>
        <v>*</v>
      </c>
      <c r="X162" s="68" t="str">
        <f t="shared" si="5"/>
        <v>*</v>
      </c>
      <c r="Y162" s="68" t="str">
        <f t="shared" si="5"/>
        <v>*</v>
      </c>
      <c r="Z162" s="68" t="str">
        <f t="shared" si="5"/>
        <v>*</v>
      </c>
      <c r="AA162" s="68" t="str">
        <f t="shared" si="5"/>
        <v>*</v>
      </c>
      <c r="AB162" s="68" t="str">
        <f t="shared" si="5"/>
        <v>*</v>
      </c>
      <c r="AC162" s="68" t="str">
        <f t="shared" si="5"/>
        <v>*</v>
      </c>
      <c r="AD162" s="68" t="str">
        <f t="shared" si="5"/>
        <v>*</v>
      </c>
      <c r="AE162" s="68" t="str">
        <f t="shared" si="5"/>
        <v>*</v>
      </c>
      <c r="AF162" s="68" t="str">
        <f t="shared" si="5"/>
        <v>*</v>
      </c>
      <c r="AG162" s="68" t="str">
        <f t="shared" si="5"/>
        <v>*</v>
      </c>
      <c r="AH162" s="68" t="str">
        <f t="shared" si="5"/>
        <v>*</v>
      </c>
      <c r="AI162" s="68" t="str">
        <f t="shared" si="5"/>
        <v>*</v>
      </c>
      <c r="AJ162" s="68" t="str">
        <f t="shared" si="5"/>
        <v>*</v>
      </c>
      <c r="AK162" s="68" t="str">
        <f t="shared" si="5"/>
        <v>*</v>
      </c>
      <c r="AL162" s="68" t="str">
        <f t="shared" si="5"/>
        <v>*</v>
      </c>
      <c r="AM162" s="68" t="str">
        <f t="shared" si="5"/>
        <v>*</v>
      </c>
      <c r="AN162" s="68" t="str">
        <f t="shared" si="5"/>
        <v>*</v>
      </c>
      <c r="AO162" s="68" t="str">
        <f t="shared" si="5"/>
        <v>*</v>
      </c>
      <c r="AP162" s="68" t="str">
        <f t="shared" si="5"/>
        <v>*</v>
      </c>
      <c r="AQ162" s="68" t="str">
        <f t="shared" si="5"/>
        <v>*</v>
      </c>
      <c r="AR162" s="68" t="str">
        <f t="shared" si="5"/>
        <v>*</v>
      </c>
      <c r="AS162" s="68" t="str">
        <f t="shared" si="5"/>
        <v>*</v>
      </c>
      <c r="AT162" s="68" t="str">
        <f t="shared" si="5"/>
        <v>*</v>
      </c>
      <c r="AU162" s="68" t="str">
        <f t="shared" si="5"/>
        <v>*</v>
      </c>
      <c r="AV162" s="68" t="str">
        <f t="shared" si="5"/>
        <v>*</v>
      </c>
      <c r="AW162" s="68" t="str">
        <f t="shared" si="5"/>
        <v>*</v>
      </c>
      <c r="AX162" s="68" t="str">
        <f t="shared" si="5"/>
        <v>*</v>
      </c>
    </row>
    <row r="163" spans="1:50" s="18" customFormat="1" ht="15.75" hidden="1" customHeight="1">
      <c r="A163" s="346"/>
      <c r="B163" s="65" t="s">
        <v>225</v>
      </c>
      <c r="C163" s="68" t="str">
        <f t="shared" si="5"/>
        <v>*</v>
      </c>
      <c r="D163" s="68" t="str">
        <f t="shared" si="5"/>
        <v>*</v>
      </c>
      <c r="E163" s="68" t="str">
        <f t="shared" si="5"/>
        <v>*</v>
      </c>
      <c r="F163" s="68" t="str">
        <f t="shared" si="5"/>
        <v>*</v>
      </c>
      <c r="G163" s="68" t="str">
        <f t="shared" si="5"/>
        <v>*</v>
      </c>
      <c r="H163" s="68" t="str">
        <f t="shared" si="5"/>
        <v>*</v>
      </c>
      <c r="I163" s="68" t="str">
        <f t="shared" si="5"/>
        <v>*</v>
      </c>
      <c r="J163" s="68" t="str">
        <f t="shared" si="5"/>
        <v>*</v>
      </c>
      <c r="K163" s="68" t="str">
        <f t="shared" si="5"/>
        <v>*</v>
      </c>
      <c r="L163" s="68" t="str">
        <f t="shared" si="5"/>
        <v>*</v>
      </c>
      <c r="M163" s="68" t="str">
        <f t="shared" si="5"/>
        <v>*</v>
      </c>
      <c r="N163" s="68" t="str">
        <f t="shared" si="5"/>
        <v>*</v>
      </c>
      <c r="O163" s="68" t="str">
        <f t="shared" si="5"/>
        <v>*</v>
      </c>
      <c r="P163" s="68" t="str">
        <f t="shared" si="5"/>
        <v>*</v>
      </c>
      <c r="Q163" s="68" t="str">
        <f t="shared" si="5"/>
        <v>*</v>
      </c>
      <c r="R163" s="68" t="str">
        <f t="shared" si="5"/>
        <v>*</v>
      </c>
      <c r="S163" s="68" t="str">
        <f t="shared" si="5"/>
        <v>*</v>
      </c>
      <c r="T163" s="68" t="str">
        <f t="shared" si="5"/>
        <v/>
      </c>
      <c r="U163" s="68" t="str">
        <f t="shared" si="5"/>
        <v>*</v>
      </c>
      <c r="V163" s="68" t="str">
        <f t="shared" si="5"/>
        <v>*</v>
      </c>
      <c r="W163" s="68" t="str">
        <f t="shared" si="5"/>
        <v>*</v>
      </c>
      <c r="X163" s="68" t="str">
        <f t="shared" si="5"/>
        <v>*</v>
      </c>
      <c r="Y163" s="68" t="str">
        <f t="shared" si="5"/>
        <v>*</v>
      </c>
      <c r="Z163" s="68" t="str">
        <f t="shared" si="5"/>
        <v>*</v>
      </c>
      <c r="AA163" s="68" t="str">
        <f t="shared" si="5"/>
        <v>*</v>
      </c>
      <c r="AB163" s="68" t="str">
        <f t="shared" si="5"/>
        <v>*</v>
      </c>
      <c r="AC163" s="68" t="str">
        <f t="shared" si="5"/>
        <v>*</v>
      </c>
      <c r="AD163" s="68" t="str">
        <f t="shared" si="5"/>
        <v>*</v>
      </c>
      <c r="AE163" s="68" t="str">
        <f t="shared" si="5"/>
        <v>*</v>
      </c>
      <c r="AF163" s="68" t="str">
        <f t="shared" si="5"/>
        <v>*</v>
      </c>
      <c r="AG163" s="68" t="str">
        <f t="shared" si="5"/>
        <v>*</v>
      </c>
      <c r="AH163" s="68" t="str">
        <f t="shared" si="5"/>
        <v>*</v>
      </c>
      <c r="AI163" s="68" t="str">
        <f t="shared" si="5"/>
        <v>*</v>
      </c>
      <c r="AJ163" s="68" t="str">
        <f t="shared" si="5"/>
        <v>*</v>
      </c>
      <c r="AK163" s="68" t="str">
        <f t="shared" si="5"/>
        <v>*</v>
      </c>
      <c r="AL163" s="68" t="str">
        <f t="shared" si="5"/>
        <v>*</v>
      </c>
      <c r="AM163" s="68" t="str">
        <f t="shared" si="5"/>
        <v>*</v>
      </c>
      <c r="AN163" s="68" t="str">
        <f t="shared" si="5"/>
        <v>*</v>
      </c>
      <c r="AO163" s="68" t="str">
        <f t="shared" si="5"/>
        <v>*</v>
      </c>
      <c r="AP163" s="68" t="str">
        <f t="shared" si="5"/>
        <v>*</v>
      </c>
      <c r="AQ163" s="68" t="str">
        <f t="shared" si="5"/>
        <v>*</v>
      </c>
      <c r="AR163" s="68" t="str">
        <f t="shared" si="5"/>
        <v>*</v>
      </c>
      <c r="AS163" s="68" t="str">
        <f t="shared" si="5"/>
        <v>*</v>
      </c>
      <c r="AT163" s="68" t="str">
        <f t="shared" si="5"/>
        <v>*</v>
      </c>
      <c r="AU163" s="68" t="str">
        <f t="shared" si="5"/>
        <v>*</v>
      </c>
      <c r="AV163" s="68" t="str">
        <f t="shared" si="5"/>
        <v>*</v>
      </c>
      <c r="AW163" s="68" t="str">
        <f t="shared" si="5"/>
        <v>*</v>
      </c>
      <c r="AX163" s="68" t="str">
        <f t="shared" si="5"/>
        <v>*</v>
      </c>
    </row>
    <row r="164" spans="1:50" s="18" customFormat="1" ht="15.75" hidden="1" customHeight="1">
      <c r="A164" s="63" t="s">
        <v>204</v>
      </c>
      <c r="B164" s="64" t="s">
        <v>223</v>
      </c>
      <c r="C164" s="67" t="str">
        <f t="shared" si="5"/>
        <v>*</v>
      </c>
      <c r="D164" s="67" t="str">
        <f t="shared" si="5"/>
        <v>*</v>
      </c>
      <c r="E164" s="67" t="str">
        <f t="shared" si="5"/>
        <v>*</v>
      </c>
      <c r="F164" s="67" t="str">
        <f t="shared" si="5"/>
        <v>*</v>
      </c>
      <c r="G164" s="67" t="str">
        <f t="shared" si="5"/>
        <v>*</v>
      </c>
      <c r="H164" s="67" t="str">
        <f t="shared" si="5"/>
        <v>*</v>
      </c>
      <c r="I164" s="67" t="str">
        <f t="shared" si="5"/>
        <v>*</v>
      </c>
      <c r="J164" s="67" t="str">
        <f t="shared" si="5"/>
        <v>*</v>
      </c>
      <c r="K164" s="67" t="str">
        <f t="shared" si="5"/>
        <v>*</v>
      </c>
      <c r="L164" s="67" t="str">
        <f t="shared" si="5"/>
        <v>*</v>
      </c>
      <c r="M164" s="67" t="str">
        <f t="shared" si="5"/>
        <v>*</v>
      </c>
      <c r="N164" s="67" t="str">
        <f t="shared" si="5"/>
        <v>*</v>
      </c>
      <c r="O164" s="67" t="str">
        <f t="shared" si="5"/>
        <v>*</v>
      </c>
      <c r="P164" s="67" t="str">
        <f t="shared" si="5"/>
        <v>*</v>
      </c>
      <c r="Q164" s="67" t="str">
        <f t="shared" si="5"/>
        <v>*</v>
      </c>
      <c r="R164" s="67" t="str">
        <f t="shared" si="5"/>
        <v>*</v>
      </c>
      <c r="S164" s="67" t="str">
        <f t="shared" si="5"/>
        <v>*</v>
      </c>
      <c r="T164" s="67" t="str">
        <f t="shared" si="5"/>
        <v>*</v>
      </c>
      <c r="U164" s="67" t="str">
        <f t="shared" si="5"/>
        <v>*</v>
      </c>
      <c r="V164" s="67" t="str">
        <f t="shared" si="5"/>
        <v>*</v>
      </c>
      <c r="W164" s="67" t="str">
        <f t="shared" si="5"/>
        <v>*</v>
      </c>
      <c r="X164" s="67" t="str">
        <f t="shared" si="5"/>
        <v>*</v>
      </c>
      <c r="Y164" s="67" t="str">
        <f t="shared" si="5"/>
        <v>*</v>
      </c>
      <c r="Z164" s="67" t="str">
        <f t="shared" si="5"/>
        <v>*</v>
      </c>
      <c r="AA164" s="67" t="str">
        <f t="shared" si="5"/>
        <v>*</v>
      </c>
      <c r="AB164" s="67" t="str">
        <f t="shared" si="5"/>
        <v>*</v>
      </c>
      <c r="AC164" s="67" t="str">
        <f t="shared" si="5"/>
        <v>*</v>
      </c>
      <c r="AD164" s="67" t="str">
        <f t="shared" si="5"/>
        <v>*</v>
      </c>
      <c r="AE164" s="67" t="str">
        <f t="shared" si="5"/>
        <v>*</v>
      </c>
      <c r="AF164" s="67" t="str">
        <f t="shared" si="5"/>
        <v>*</v>
      </c>
      <c r="AG164" s="67" t="str">
        <f t="shared" si="5"/>
        <v>*</v>
      </c>
      <c r="AH164" s="67" t="str">
        <f t="shared" si="5"/>
        <v>*</v>
      </c>
      <c r="AI164" s="67" t="str">
        <f t="shared" si="5"/>
        <v>*</v>
      </c>
      <c r="AJ164" s="67" t="str">
        <f t="shared" si="5"/>
        <v>*</v>
      </c>
      <c r="AK164" s="67" t="str">
        <f t="shared" si="5"/>
        <v>*</v>
      </c>
      <c r="AL164" s="67" t="str">
        <f t="shared" si="5"/>
        <v>*</v>
      </c>
      <c r="AM164" s="67" t="str">
        <f t="shared" si="5"/>
        <v>*</v>
      </c>
      <c r="AN164" s="67" t="str">
        <f t="shared" si="5"/>
        <v>*</v>
      </c>
      <c r="AO164" s="67" t="str">
        <f t="shared" si="5"/>
        <v>*</v>
      </c>
      <c r="AP164" s="67" t="str">
        <f t="shared" si="5"/>
        <v>*</v>
      </c>
      <c r="AQ164" s="67" t="str">
        <f t="shared" si="5"/>
        <v>*</v>
      </c>
      <c r="AR164" s="67" t="str">
        <f t="shared" si="5"/>
        <v>*</v>
      </c>
      <c r="AS164" s="67" t="str">
        <f t="shared" si="5"/>
        <v>*</v>
      </c>
      <c r="AT164" s="67" t="str">
        <f t="shared" si="5"/>
        <v>*</v>
      </c>
      <c r="AU164" s="67" t="str">
        <f t="shared" si="5"/>
        <v>*</v>
      </c>
      <c r="AV164" s="67" t="str">
        <f t="shared" si="5"/>
        <v>*</v>
      </c>
      <c r="AW164" s="67" t="str">
        <f t="shared" si="5"/>
        <v>*</v>
      </c>
      <c r="AX164" s="67" t="str">
        <f t="shared" si="5"/>
        <v>*</v>
      </c>
    </row>
    <row r="165" spans="1:50" s="18" customFormat="1" ht="15.75" hidden="1" customHeight="1">
      <c r="A165" s="345" t="s">
        <v>26</v>
      </c>
      <c r="B165" s="65" t="s">
        <v>224</v>
      </c>
      <c r="C165" s="68" t="str">
        <f t="shared" si="5"/>
        <v>*</v>
      </c>
      <c r="D165" s="68" t="str">
        <f t="shared" si="5"/>
        <v>*</v>
      </c>
      <c r="E165" s="68" t="str">
        <f t="shared" si="5"/>
        <v>*</v>
      </c>
      <c r="F165" s="68" t="str">
        <f t="shared" si="5"/>
        <v>*</v>
      </c>
      <c r="G165" s="68" t="str">
        <f t="shared" si="5"/>
        <v>*</v>
      </c>
      <c r="H165" s="68" t="str">
        <f t="shared" si="5"/>
        <v>*</v>
      </c>
      <c r="I165" s="68" t="str">
        <f t="shared" si="5"/>
        <v>*</v>
      </c>
      <c r="J165" s="68" t="str">
        <f t="shared" si="5"/>
        <v>*</v>
      </c>
      <c r="K165" s="68" t="str">
        <f t="shared" si="5"/>
        <v>*</v>
      </c>
      <c r="L165" s="68" t="str">
        <f t="shared" si="5"/>
        <v>*</v>
      </c>
      <c r="M165" s="68" t="str">
        <f t="shared" si="5"/>
        <v>*</v>
      </c>
      <c r="N165" s="68" t="str">
        <f t="shared" si="5"/>
        <v>*</v>
      </c>
      <c r="O165" s="68" t="str">
        <f t="shared" si="5"/>
        <v>*</v>
      </c>
      <c r="P165" s="68" t="str">
        <f t="shared" si="5"/>
        <v>*</v>
      </c>
      <c r="Q165" s="68" t="str">
        <f t="shared" si="5"/>
        <v>*</v>
      </c>
      <c r="R165" s="68" t="str">
        <f t="shared" si="5"/>
        <v>*</v>
      </c>
      <c r="S165" s="68" t="str">
        <f t="shared" si="5"/>
        <v>*</v>
      </c>
      <c r="T165" s="68" t="str">
        <f t="shared" si="5"/>
        <v>*</v>
      </c>
      <c r="U165" s="68" t="str">
        <f t="shared" si="5"/>
        <v>*</v>
      </c>
      <c r="V165" s="68" t="str">
        <f t="shared" si="5"/>
        <v>*</v>
      </c>
      <c r="W165" s="68" t="str">
        <f t="shared" si="5"/>
        <v>*</v>
      </c>
      <c r="X165" s="68" t="str">
        <f t="shared" si="5"/>
        <v>*</v>
      </c>
      <c r="Y165" s="68" t="str">
        <f t="shared" si="5"/>
        <v>*</v>
      </c>
      <c r="Z165" s="68" t="str">
        <f t="shared" si="5"/>
        <v>*</v>
      </c>
      <c r="AA165" s="68" t="str">
        <f t="shared" si="5"/>
        <v>*</v>
      </c>
      <c r="AB165" s="68" t="str">
        <f t="shared" si="5"/>
        <v>*</v>
      </c>
      <c r="AC165" s="68" t="str">
        <f t="shared" si="5"/>
        <v>*</v>
      </c>
      <c r="AD165" s="68" t="str">
        <f t="shared" si="5"/>
        <v>*</v>
      </c>
      <c r="AE165" s="68" t="str">
        <f t="shared" si="5"/>
        <v>*</v>
      </c>
      <c r="AF165" s="68" t="str">
        <f t="shared" si="5"/>
        <v>*</v>
      </c>
      <c r="AG165" s="68" t="str">
        <f t="shared" si="5"/>
        <v>*</v>
      </c>
      <c r="AH165" s="68" t="str">
        <f t="shared" si="5"/>
        <v>*</v>
      </c>
      <c r="AI165" s="68" t="str">
        <f t="shared" si="5"/>
        <v>*</v>
      </c>
      <c r="AJ165" s="68" t="str">
        <f t="shared" si="5"/>
        <v>*</v>
      </c>
      <c r="AK165" s="68" t="str">
        <f t="shared" si="5"/>
        <v>*</v>
      </c>
      <c r="AL165" s="68" t="str">
        <f t="shared" si="5"/>
        <v>*</v>
      </c>
      <c r="AM165" s="68" t="str">
        <f t="shared" si="5"/>
        <v>*</v>
      </c>
      <c r="AN165" s="68" t="str">
        <f t="shared" si="5"/>
        <v>*</v>
      </c>
      <c r="AO165" s="68" t="str">
        <f t="shared" si="5"/>
        <v>*</v>
      </c>
      <c r="AP165" s="68" t="str">
        <f t="shared" si="5"/>
        <v>*</v>
      </c>
      <c r="AQ165" s="68" t="str">
        <f t="shared" si="5"/>
        <v>*</v>
      </c>
      <c r="AR165" s="68" t="str">
        <f t="shared" si="5"/>
        <v>*</v>
      </c>
      <c r="AS165" s="68" t="str">
        <f t="shared" si="5"/>
        <v>*</v>
      </c>
      <c r="AT165" s="68" t="str">
        <f t="shared" si="5"/>
        <v>*</v>
      </c>
      <c r="AU165" s="68" t="str">
        <f t="shared" si="5"/>
        <v>*</v>
      </c>
      <c r="AV165" s="68" t="str">
        <f t="shared" si="5"/>
        <v>*</v>
      </c>
      <c r="AW165" s="68" t="str">
        <f t="shared" si="5"/>
        <v>*</v>
      </c>
      <c r="AX165" s="68" t="str">
        <f t="shared" si="5"/>
        <v>*</v>
      </c>
    </row>
    <row r="166" spans="1:50" s="18" customFormat="1" ht="15.75" hidden="1" customHeight="1">
      <c r="A166" s="346"/>
      <c r="B166" s="65" t="s">
        <v>225</v>
      </c>
      <c r="C166" s="68" t="str">
        <f t="shared" si="5"/>
        <v>*</v>
      </c>
      <c r="D166" s="68" t="str">
        <f t="shared" si="5"/>
        <v>*</v>
      </c>
      <c r="E166" s="68" t="str">
        <f t="shared" si="5"/>
        <v>*</v>
      </c>
      <c r="F166" s="68" t="str">
        <f t="shared" si="5"/>
        <v>*</v>
      </c>
      <c r="G166" s="68" t="str">
        <f t="shared" si="5"/>
        <v>*</v>
      </c>
      <c r="H166" s="68" t="str">
        <f t="shared" si="5"/>
        <v>*</v>
      </c>
      <c r="I166" s="68" t="str">
        <f t="shared" si="5"/>
        <v>*</v>
      </c>
      <c r="J166" s="68" t="str">
        <f t="shared" si="5"/>
        <v>*</v>
      </c>
      <c r="K166" s="68" t="str">
        <f t="shared" ref="K166:AX166" si="6">IF(K96=K21,"","*")</f>
        <v>*</v>
      </c>
      <c r="L166" s="68" t="str">
        <f t="shared" si="6"/>
        <v>*</v>
      </c>
      <c r="M166" s="68" t="str">
        <f t="shared" si="6"/>
        <v>*</v>
      </c>
      <c r="N166" s="68" t="str">
        <f t="shared" si="6"/>
        <v>*</v>
      </c>
      <c r="O166" s="68" t="str">
        <f t="shared" si="6"/>
        <v>*</v>
      </c>
      <c r="P166" s="68" t="str">
        <f t="shared" si="6"/>
        <v>*</v>
      </c>
      <c r="Q166" s="68" t="str">
        <f t="shared" si="6"/>
        <v>*</v>
      </c>
      <c r="R166" s="68" t="str">
        <f t="shared" si="6"/>
        <v>*</v>
      </c>
      <c r="S166" s="68" t="str">
        <f t="shared" si="6"/>
        <v>*</v>
      </c>
      <c r="T166" s="68" t="str">
        <f t="shared" si="6"/>
        <v>*</v>
      </c>
      <c r="U166" s="68" t="str">
        <f t="shared" si="6"/>
        <v>*</v>
      </c>
      <c r="V166" s="68" t="str">
        <f t="shared" si="6"/>
        <v>*</v>
      </c>
      <c r="W166" s="68" t="str">
        <f t="shared" si="6"/>
        <v>*</v>
      </c>
      <c r="X166" s="68" t="str">
        <f t="shared" si="6"/>
        <v>*</v>
      </c>
      <c r="Y166" s="68" t="str">
        <f t="shared" si="6"/>
        <v>*</v>
      </c>
      <c r="Z166" s="68" t="str">
        <f t="shared" si="6"/>
        <v>*</v>
      </c>
      <c r="AA166" s="68" t="str">
        <f t="shared" si="6"/>
        <v>*</v>
      </c>
      <c r="AB166" s="68" t="str">
        <f t="shared" si="6"/>
        <v>*</v>
      </c>
      <c r="AC166" s="68" t="str">
        <f t="shared" si="6"/>
        <v>*</v>
      </c>
      <c r="AD166" s="68" t="str">
        <f t="shared" si="6"/>
        <v>*</v>
      </c>
      <c r="AE166" s="68" t="str">
        <f t="shared" si="6"/>
        <v>*</v>
      </c>
      <c r="AF166" s="68" t="str">
        <f t="shared" si="6"/>
        <v>*</v>
      </c>
      <c r="AG166" s="68" t="str">
        <f t="shared" si="6"/>
        <v>*</v>
      </c>
      <c r="AH166" s="68" t="str">
        <f t="shared" si="6"/>
        <v>*</v>
      </c>
      <c r="AI166" s="68" t="str">
        <f t="shared" si="6"/>
        <v>*</v>
      </c>
      <c r="AJ166" s="68" t="str">
        <f t="shared" si="6"/>
        <v>*</v>
      </c>
      <c r="AK166" s="68" t="str">
        <f t="shared" si="6"/>
        <v>*</v>
      </c>
      <c r="AL166" s="68" t="str">
        <f t="shared" si="6"/>
        <v>*</v>
      </c>
      <c r="AM166" s="68" t="str">
        <f t="shared" si="6"/>
        <v>*</v>
      </c>
      <c r="AN166" s="68" t="str">
        <f t="shared" si="6"/>
        <v>*</v>
      </c>
      <c r="AO166" s="68" t="str">
        <f t="shared" si="6"/>
        <v>*</v>
      </c>
      <c r="AP166" s="68" t="str">
        <f t="shared" si="6"/>
        <v>*</v>
      </c>
      <c r="AQ166" s="68" t="str">
        <f t="shared" si="6"/>
        <v>*</v>
      </c>
      <c r="AR166" s="68" t="str">
        <f t="shared" si="6"/>
        <v>*</v>
      </c>
      <c r="AS166" s="68" t="str">
        <f t="shared" si="6"/>
        <v>*</v>
      </c>
      <c r="AT166" s="68" t="str">
        <f t="shared" si="6"/>
        <v>*</v>
      </c>
      <c r="AU166" s="68" t="str">
        <f t="shared" si="6"/>
        <v>*</v>
      </c>
      <c r="AV166" s="68" t="str">
        <f t="shared" si="6"/>
        <v>*</v>
      </c>
      <c r="AW166" s="68" t="str">
        <f t="shared" si="6"/>
        <v>*</v>
      </c>
      <c r="AX166" s="68" t="str">
        <f t="shared" si="6"/>
        <v>*</v>
      </c>
    </row>
    <row r="167" spans="1:50" s="18" customFormat="1" ht="15.75" hidden="1" customHeight="1">
      <c r="A167" s="63" t="s">
        <v>205</v>
      </c>
      <c r="B167" s="64" t="s">
        <v>223</v>
      </c>
      <c r="C167" s="67" t="str">
        <f t="shared" ref="C167:AX171" si="7">IF(C97=C22,"","*")</f>
        <v>*</v>
      </c>
      <c r="D167" s="67" t="str">
        <f t="shared" si="7"/>
        <v>*</v>
      </c>
      <c r="E167" s="67" t="str">
        <f t="shared" si="7"/>
        <v>*</v>
      </c>
      <c r="F167" s="67" t="str">
        <f t="shared" si="7"/>
        <v>*</v>
      </c>
      <c r="G167" s="67" t="str">
        <f t="shared" si="7"/>
        <v>*</v>
      </c>
      <c r="H167" s="67" t="str">
        <f t="shared" si="7"/>
        <v>*</v>
      </c>
      <c r="I167" s="67" t="str">
        <f t="shared" si="7"/>
        <v>*</v>
      </c>
      <c r="J167" s="67" t="str">
        <f t="shared" si="7"/>
        <v>*</v>
      </c>
      <c r="K167" s="67" t="str">
        <f t="shared" si="7"/>
        <v>*</v>
      </c>
      <c r="L167" s="67" t="str">
        <f t="shared" si="7"/>
        <v>*</v>
      </c>
      <c r="M167" s="67" t="str">
        <f t="shared" si="7"/>
        <v>*</v>
      </c>
      <c r="N167" s="67" t="str">
        <f t="shared" si="7"/>
        <v>*</v>
      </c>
      <c r="O167" s="67" t="str">
        <f t="shared" si="7"/>
        <v>*</v>
      </c>
      <c r="P167" s="67" t="str">
        <f t="shared" si="7"/>
        <v>*</v>
      </c>
      <c r="Q167" s="67" t="str">
        <f t="shared" si="7"/>
        <v>*</v>
      </c>
      <c r="R167" s="67" t="str">
        <f t="shared" si="7"/>
        <v>*</v>
      </c>
      <c r="S167" s="67" t="str">
        <f t="shared" si="7"/>
        <v>*</v>
      </c>
      <c r="T167" s="67" t="str">
        <f t="shared" si="7"/>
        <v>*</v>
      </c>
      <c r="U167" s="67" t="str">
        <f t="shared" si="7"/>
        <v/>
      </c>
      <c r="V167" s="67" t="str">
        <f t="shared" si="7"/>
        <v>*</v>
      </c>
      <c r="W167" s="67" t="str">
        <f t="shared" si="7"/>
        <v>*</v>
      </c>
      <c r="X167" s="67" t="str">
        <f t="shared" si="7"/>
        <v>*</v>
      </c>
      <c r="Y167" s="67" t="str">
        <f t="shared" si="7"/>
        <v>*</v>
      </c>
      <c r="Z167" s="67" t="str">
        <f t="shared" si="7"/>
        <v>*</v>
      </c>
      <c r="AA167" s="67" t="str">
        <f t="shared" si="7"/>
        <v>*</v>
      </c>
      <c r="AB167" s="67" t="str">
        <f t="shared" si="7"/>
        <v>*</v>
      </c>
      <c r="AC167" s="67" t="str">
        <f t="shared" si="7"/>
        <v>*</v>
      </c>
      <c r="AD167" s="67" t="str">
        <f t="shared" si="7"/>
        <v>*</v>
      </c>
      <c r="AE167" s="67" t="str">
        <f t="shared" si="7"/>
        <v>*</v>
      </c>
      <c r="AF167" s="67" t="str">
        <f t="shared" si="7"/>
        <v>*</v>
      </c>
      <c r="AG167" s="67" t="str">
        <f t="shared" si="7"/>
        <v>*</v>
      </c>
      <c r="AH167" s="67" t="str">
        <f t="shared" si="7"/>
        <v>*</v>
      </c>
      <c r="AI167" s="67" t="str">
        <f t="shared" si="7"/>
        <v>*</v>
      </c>
      <c r="AJ167" s="67" t="str">
        <f t="shared" si="7"/>
        <v>*</v>
      </c>
      <c r="AK167" s="67" t="str">
        <f t="shared" si="7"/>
        <v>*</v>
      </c>
      <c r="AL167" s="67" t="str">
        <f t="shared" si="7"/>
        <v>*</v>
      </c>
      <c r="AM167" s="67" t="str">
        <f t="shared" si="7"/>
        <v>*</v>
      </c>
      <c r="AN167" s="67" t="str">
        <f t="shared" si="7"/>
        <v>*</v>
      </c>
      <c r="AO167" s="67" t="str">
        <f t="shared" si="7"/>
        <v>*</v>
      </c>
      <c r="AP167" s="67" t="str">
        <f t="shared" si="7"/>
        <v>*</v>
      </c>
      <c r="AQ167" s="67" t="str">
        <f t="shared" si="7"/>
        <v>*</v>
      </c>
      <c r="AR167" s="67" t="str">
        <f t="shared" si="7"/>
        <v>*</v>
      </c>
      <c r="AS167" s="67" t="str">
        <f t="shared" si="7"/>
        <v/>
      </c>
      <c r="AT167" s="67" t="str">
        <f t="shared" si="7"/>
        <v>*</v>
      </c>
      <c r="AU167" s="67" t="str">
        <f t="shared" si="7"/>
        <v>*</v>
      </c>
      <c r="AV167" s="67" t="str">
        <f t="shared" si="7"/>
        <v>*</v>
      </c>
      <c r="AW167" s="67" t="str">
        <f t="shared" si="7"/>
        <v>*</v>
      </c>
      <c r="AX167" s="67" t="str">
        <f t="shared" si="7"/>
        <v>*</v>
      </c>
    </row>
    <row r="168" spans="1:50" s="18" customFormat="1" ht="15.75" hidden="1" customHeight="1">
      <c r="A168" s="345" t="s">
        <v>27</v>
      </c>
      <c r="B168" s="65" t="s">
        <v>224</v>
      </c>
      <c r="C168" s="68" t="str">
        <f t="shared" si="7"/>
        <v>*</v>
      </c>
      <c r="D168" s="68" t="str">
        <f t="shared" si="7"/>
        <v>*</v>
      </c>
      <c r="E168" s="68" t="str">
        <f t="shared" si="7"/>
        <v>*</v>
      </c>
      <c r="F168" s="68" t="str">
        <f t="shared" si="7"/>
        <v>*</v>
      </c>
      <c r="G168" s="68" t="str">
        <f t="shared" si="7"/>
        <v>*</v>
      </c>
      <c r="H168" s="68" t="str">
        <f t="shared" si="7"/>
        <v>*</v>
      </c>
      <c r="I168" s="68" t="str">
        <f t="shared" si="7"/>
        <v>*</v>
      </c>
      <c r="J168" s="68" t="str">
        <f t="shared" si="7"/>
        <v>*</v>
      </c>
      <c r="K168" s="68" t="str">
        <f t="shared" si="7"/>
        <v>*</v>
      </c>
      <c r="L168" s="68" t="str">
        <f t="shared" si="7"/>
        <v>*</v>
      </c>
      <c r="M168" s="68" t="str">
        <f t="shared" si="7"/>
        <v>*</v>
      </c>
      <c r="N168" s="68" t="str">
        <f t="shared" si="7"/>
        <v>*</v>
      </c>
      <c r="O168" s="68" t="str">
        <f t="shared" si="7"/>
        <v>*</v>
      </c>
      <c r="P168" s="68" t="str">
        <f t="shared" si="7"/>
        <v>*</v>
      </c>
      <c r="Q168" s="68" t="str">
        <f t="shared" si="7"/>
        <v>*</v>
      </c>
      <c r="R168" s="68" t="str">
        <f t="shared" si="7"/>
        <v>*</v>
      </c>
      <c r="S168" s="68" t="str">
        <f t="shared" si="7"/>
        <v/>
      </c>
      <c r="T168" s="68" t="str">
        <f t="shared" si="7"/>
        <v/>
      </c>
      <c r="U168" s="68" t="str">
        <f t="shared" si="7"/>
        <v/>
      </c>
      <c r="V168" s="68" t="str">
        <f t="shared" si="7"/>
        <v/>
      </c>
      <c r="W168" s="68" t="str">
        <f t="shared" si="7"/>
        <v>*</v>
      </c>
      <c r="X168" s="68" t="str">
        <f t="shared" si="7"/>
        <v>*</v>
      </c>
      <c r="Y168" s="68" t="str">
        <f t="shared" si="7"/>
        <v>*</v>
      </c>
      <c r="Z168" s="68" t="str">
        <f t="shared" si="7"/>
        <v>*</v>
      </c>
      <c r="AA168" s="68" t="str">
        <f t="shared" si="7"/>
        <v>*</v>
      </c>
      <c r="AB168" s="68" t="str">
        <f t="shared" si="7"/>
        <v>*</v>
      </c>
      <c r="AC168" s="68" t="str">
        <f t="shared" si="7"/>
        <v>*</v>
      </c>
      <c r="AD168" s="68" t="str">
        <f t="shared" si="7"/>
        <v>*</v>
      </c>
      <c r="AE168" s="68" t="str">
        <f t="shared" si="7"/>
        <v>*</v>
      </c>
      <c r="AF168" s="68" t="str">
        <f t="shared" si="7"/>
        <v>*</v>
      </c>
      <c r="AG168" s="68" t="str">
        <f t="shared" si="7"/>
        <v>*</v>
      </c>
      <c r="AH168" s="68" t="str">
        <f t="shared" si="7"/>
        <v>*</v>
      </c>
      <c r="AI168" s="68" t="str">
        <f t="shared" si="7"/>
        <v>*</v>
      </c>
      <c r="AJ168" s="68" t="str">
        <f t="shared" si="7"/>
        <v>*</v>
      </c>
      <c r="AK168" s="68" t="str">
        <f t="shared" si="7"/>
        <v>*</v>
      </c>
      <c r="AL168" s="68" t="str">
        <f t="shared" si="7"/>
        <v>*</v>
      </c>
      <c r="AM168" s="68" t="str">
        <f t="shared" si="7"/>
        <v>*</v>
      </c>
      <c r="AN168" s="68" t="str">
        <f t="shared" si="7"/>
        <v>*</v>
      </c>
      <c r="AO168" s="68" t="str">
        <f t="shared" si="7"/>
        <v>*</v>
      </c>
      <c r="AP168" s="68" t="str">
        <f t="shared" si="7"/>
        <v>*</v>
      </c>
      <c r="AQ168" s="68" t="str">
        <f t="shared" si="7"/>
        <v>*</v>
      </c>
      <c r="AR168" s="68" t="str">
        <f t="shared" si="7"/>
        <v/>
      </c>
      <c r="AS168" s="68" t="str">
        <f t="shared" si="7"/>
        <v>*</v>
      </c>
      <c r="AT168" s="68" t="str">
        <f t="shared" si="7"/>
        <v>*</v>
      </c>
      <c r="AU168" s="68" t="str">
        <f t="shared" si="7"/>
        <v>*</v>
      </c>
      <c r="AV168" s="68" t="str">
        <f t="shared" si="7"/>
        <v>*</v>
      </c>
      <c r="AW168" s="68" t="str">
        <f t="shared" si="7"/>
        <v/>
      </c>
      <c r="AX168" s="68" t="str">
        <f t="shared" si="7"/>
        <v>*</v>
      </c>
    </row>
    <row r="169" spans="1:50" s="18" customFormat="1" ht="15.75" hidden="1" customHeight="1">
      <c r="A169" s="346"/>
      <c r="B169" s="65" t="s">
        <v>225</v>
      </c>
      <c r="C169" s="68" t="str">
        <f t="shared" si="7"/>
        <v>*</v>
      </c>
      <c r="D169" s="68" t="str">
        <f t="shared" si="7"/>
        <v>*</v>
      </c>
      <c r="E169" s="68" t="str">
        <f t="shared" si="7"/>
        <v>*</v>
      </c>
      <c r="F169" s="68" t="str">
        <f t="shared" si="7"/>
        <v>*</v>
      </c>
      <c r="G169" s="68" t="str">
        <f t="shared" si="7"/>
        <v>*</v>
      </c>
      <c r="H169" s="68" t="str">
        <f t="shared" si="7"/>
        <v>*</v>
      </c>
      <c r="I169" s="68" t="str">
        <f t="shared" si="7"/>
        <v>*</v>
      </c>
      <c r="J169" s="68" t="str">
        <f t="shared" si="7"/>
        <v>*</v>
      </c>
      <c r="K169" s="68" t="str">
        <f t="shared" si="7"/>
        <v>*</v>
      </c>
      <c r="L169" s="68" t="str">
        <f t="shared" si="7"/>
        <v>*</v>
      </c>
      <c r="M169" s="68" t="str">
        <f t="shared" si="7"/>
        <v>*</v>
      </c>
      <c r="N169" s="68" t="str">
        <f t="shared" si="7"/>
        <v>*</v>
      </c>
      <c r="O169" s="68" t="str">
        <f t="shared" si="7"/>
        <v>*</v>
      </c>
      <c r="P169" s="68" t="str">
        <f t="shared" si="7"/>
        <v>*</v>
      </c>
      <c r="Q169" s="68" t="str">
        <f t="shared" si="7"/>
        <v>*</v>
      </c>
      <c r="R169" s="68" t="str">
        <f t="shared" si="7"/>
        <v>*</v>
      </c>
      <c r="S169" s="68" t="str">
        <f t="shared" si="7"/>
        <v>*</v>
      </c>
      <c r="T169" s="68" t="str">
        <f t="shared" si="7"/>
        <v>*</v>
      </c>
      <c r="U169" s="68" t="str">
        <f t="shared" si="7"/>
        <v/>
      </c>
      <c r="V169" s="68" t="str">
        <f t="shared" si="7"/>
        <v>*</v>
      </c>
      <c r="W169" s="68" t="str">
        <f t="shared" si="7"/>
        <v>*</v>
      </c>
      <c r="X169" s="68" t="str">
        <f t="shared" si="7"/>
        <v>*</v>
      </c>
      <c r="Y169" s="68" t="str">
        <f t="shared" si="7"/>
        <v>*</v>
      </c>
      <c r="Z169" s="68" t="str">
        <f t="shared" si="7"/>
        <v>*</v>
      </c>
      <c r="AA169" s="68" t="str">
        <f t="shared" si="7"/>
        <v>*</v>
      </c>
      <c r="AB169" s="68" t="str">
        <f t="shared" si="7"/>
        <v>*</v>
      </c>
      <c r="AC169" s="68" t="str">
        <f t="shared" si="7"/>
        <v>*</v>
      </c>
      <c r="AD169" s="68" t="str">
        <f t="shared" si="7"/>
        <v>*</v>
      </c>
      <c r="AE169" s="68" t="str">
        <f t="shared" si="7"/>
        <v>*</v>
      </c>
      <c r="AF169" s="68" t="str">
        <f t="shared" si="7"/>
        <v>*</v>
      </c>
      <c r="AG169" s="68" t="str">
        <f t="shared" si="7"/>
        <v>*</v>
      </c>
      <c r="AH169" s="68" t="str">
        <f t="shared" si="7"/>
        <v>*</v>
      </c>
      <c r="AI169" s="68" t="str">
        <f t="shared" si="7"/>
        <v>*</v>
      </c>
      <c r="AJ169" s="68" t="str">
        <f t="shared" si="7"/>
        <v>*</v>
      </c>
      <c r="AK169" s="68" t="str">
        <f t="shared" si="7"/>
        <v>*</v>
      </c>
      <c r="AL169" s="68" t="str">
        <f t="shared" si="7"/>
        <v>*</v>
      </c>
      <c r="AM169" s="68" t="str">
        <f t="shared" si="7"/>
        <v>*</v>
      </c>
      <c r="AN169" s="68" t="str">
        <f t="shared" si="7"/>
        <v>*</v>
      </c>
      <c r="AO169" s="68" t="str">
        <f t="shared" si="7"/>
        <v>*</v>
      </c>
      <c r="AP169" s="68" t="str">
        <f t="shared" si="7"/>
        <v>*</v>
      </c>
      <c r="AQ169" s="68" t="str">
        <f t="shared" si="7"/>
        <v>*</v>
      </c>
      <c r="AR169" s="68" t="str">
        <f t="shared" si="7"/>
        <v>*</v>
      </c>
      <c r="AS169" s="68" t="str">
        <f t="shared" si="7"/>
        <v>*</v>
      </c>
      <c r="AT169" s="68" t="str">
        <f t="shared" si="7"/>
        <v>*</v>
      </c>
      <c r="AU169" s="68" t="str">
        <f t="shared" si="7"/>
        <v>*</v>
      </c>
      <c r="AV169" s="68" t="str">
        <f t="shared" si="7"/>
        <v>*</v>
      </c>
      <c r="AW169" s="68" t="str">
        <f t="shared" si="7"/>
        <v>*</v>
      </c>
      <c r="AX169" s="68" t="str">
        <f t="shared" si="7"/>
        <v>*</v>
      </c>
    </row>
    <row r="170" spans="1:50" s="18" customFormat="1" ht="15.75" hidden="1" customHeight="1">
      <c r="A170" s="63" t="s">
        <v>206</v>
      </c>
      <c r="B170" s="64" t="s">
        <v>223</v>
      </c>
      <c r="C170" s="67" t="str">
        <f t="shared" si="7"/>
        <v>*</v>
      </c>
      <c r="D170" s="67" t="str">
        <f t="shared" si="7"/>
        <v>*</v>
      </c>
      <c r="E170" s="67" t="str">
        <f t="shared" si="7"/>
        <v>*</v>
      </c>
      <c r="F170" s="67" t="str">
        <f t="shared" si="7"/>
        <v>*</v>
      </c>
      <c r="G170" s="67" t="str">
        <f t="shared" si="7"/>
        <v>*</v>
      </c>
      <c r="H170" s="67" t="str">
        <f t="shared" si="7"/>
        <v>*</v>
      </c>
      <c r="I170" s="67" t="str">
        <f t="shared" si="7"/>
        <v>*</v>
      </c>
      <c r="J170" s="67" t="str">
        <f t="shared" si="7"/>
        <v>*</v>
      </c>
      <c r="K170" s="67" t="str">
        <f t="shared" si="7"/>
        <v>*</v>
      </c>
      <c r="L170" s="67" t="str">
        <f t="shared" si="7"/>
        <v>*</v>
      </c>
      <c r="M170" s="67" t="str">
        <f t="shared" si="7"/>
        <v>*</v>
      </c>
      <c r="N170" s="67" t="str">
        <f t="shared" si="7"/>
        <v>*</v>
      </c>
      <c r="O170" s="67" t="str">
        <f t="shared" si="7"/>
        <v>*</v>
      </c>
      <c r="P170" s="67" t="str">
        <f t="shared" si="7"/>
        <v>*</v>
      </c>
      <c r="Q170" s="67" t="str">
        <f t="shared" si="7"/>
        <v>*</v>
      </c>
      <c r="R170" s="67" t="str">
        <f t="shared" si="7"/>
        <v>*</v>
      </c>
      <c r="S170" s="67" t="str">
        <f t="shared" si="7"/>
        <v>*</v>
      </c>
      <c r="T170" s="67" t="str">
        <f t="shared" si="7"/>
        <v>*</v>
      </c>
      <c r="U170" s="67" t="str">
        <f t="shared" si="7"/>
        <v>*</v>
      </c>
      <c r="V170" s="67" t="str">
        <f t="shared" si="7"/>
        <v>*</v>
      </c>
      <c r="W170" s="67" t="str">
        <f t="shared" si="7"/>
        <v>*</v>
      </c>
      <c r="X170" s="67" t="str">
        <f t="shared" si="7"/>
        <v>*</v>
      </c>
      <c r="Y170" s="67" t="str">
        <f t="shared" si="7"/>
        <v>*</v>
      </c>
      <c r="Z170" s="67" t="str">
        <f t="shared" si="7"/>
        <v>*</v>
      </c>
      <c r="AA170" s="67" t="str">
        <f t="shared" si="7"/>
        <v>*</v>
      </c>
      <c r="AB170" s="67" t="str">
        <f t="shared" si="7"/>
        <v>*</v>
      </c>
      <c r="AC170" s="67" t="str">
        <f t="shared" si="7"/>
        <v>*</v>
      </c>
      <c r="AD170" s="67" t="str">
        <f t="shared" si="7"/>
        <v>*</v>
      </c>
      <c r="AE170" s="67" t="str">
        <f t="shared" si="7"/>
        <v>*</v>
      </c>
      <c r="AF170" s="67" t="str">
        <f t="shared" si="7"/>
        <v>*</v>
      </c>
      <c r="AG170" s="67" t="str">
        <f t="shared" si="7"/>
        <v>*</v>
      </c>
      <c r="AH170" s="67" t="str">
        <f t="shared" si="7"/>
        <v>*</v>
      </c>
      <c r="AI170" s="67" t="str">
        <f t="shared" si="7"/>
        <v>*</v>
      </c>
      <c r="AJ170" s="67" t="str">
        <f t="shared" si="7"/>
        <v>*</v>
      </c>
      <c r="AK170" s="67" t="str">
        <f t="shared" si="7"/>
        <v>*</v>
      </c>
      <c r="AL170" s="67" t="str">
        <f t="shared" si="7"/>
        <v>*</v>
      </c>
      <c r="AM170" s="67" t="str">
        <f t="shared" si="7"/>
        <v>*</v>
      </c>
      <c r="AN170" s="67" t="str">
        <f t="shared" si="7"/>
        <v>*</v>
      </c>
      <c r="AO170" s="67" t="str">
        <f t="shared" si="7"/>
        <v>*</v>
      </c>
      <c r="AP170" s="67" t="str">
        <f t="shared" si="7"/>
        <v>*</v>
      </c>
      <c r="AQ170" s="67" t="str">
        <f t="shared" si="7"/>
        <v>*</v>
      </c>
      <c r="AR170" s="67" t="str">
        <f t="shared" si="7"/>
        <v>*</v>
      </c>
      <c r="AS170" s="67" t="str">
        <f t="shared" si="7"/>
        <v>*</v>
      </c>
      <c r="AT170" s="67" t="str">
        <f t="shared" si="7"/>
        <v>*</v>
      </c>
      <c r="AU170" s="67" t="str">
        <f t="shared" si="7"/>
        <v>*</v>
      </c>
      <c r="AV170" s="67" t="str">
        <f t="shared" si="7"/>
        <v>*</v>
      </c>
      <c r="AW170" s="67" t="str">
        <f t="shared" si="7"/>
        <v>*</v>
      </c>
      <c r="AX170" s="67" t="str">
        <f t="shared" si="7"/>
        <v>*</v>
      </c>
    </row>
    <row r="171" spans="1:50" s="18" customFormat="1" ht="15.75" hidden="1" customHeight="1">
      <c r="A171" s="345" t="s">
        <v>28</v>
      </c>
      <c r="B171" s="65" t="s">
        <v>224</v>
      </c>
      <c r="C171" s="68" t="str">
        <f t="shared" si="7"/>
        <v>*</v>
      </c>
      <c r="D171" s="68" t="str">
        <f t="shared" si="7"/>
        <v>*</v>
      </c>
      <c r="E171" s="68" t="str">
        <f t="shared" si="7"/>
        <v>*</v>
      </c>
      <c r="F171" s="68" t="str">
        <f t="shared" si="7"/>
        <v>*</v>
      </c>
      <c r="G171" s="68" t="str">
        <f t="shared" si="7"/>
        <v>*</v>
      </c>
      <c r="H171" s="68" t="str">
        <f t="shared" si="7"/>
        <v>*</v>
      </c>
      <c r="I171" s="68" t="str">
        <f t="shared" si="7"/>
        <v>*</v>
      </c>
      <c r="J171" s="68" t="str">
        <f t="shared" si="7"/>
        <v>*</v>
      </c>
      <c r="K171" s="68" t="str">
        <f t="shared" ref="K171:AX171" si="8">IF(K101=K26,"","*")</f>
        <v>*</v>
      </c>
      <c r="L171" s="68" t="str">
        <f t="shared" si="8"/>
        <v>*</v>
      </c>
      <c r="M171" s="68" t="str">
        <f t="shared" si="8"/>
        <v>*</v>
      </c>
      <c r="N171" s="68" t="str">
        <f t="shared" si="8"/>
        <v>*</v>
      </c>
      <c r="O171" s="68" t="str">
        <f t="shared" si="8"/>
        <v>*</v>
      </c>
      <c r="P171" s="68" t="str">
        <f t="shared" si="8"/>
        <v>*</v>
      </c>
      <c r="Q171" s="68" t="str">
        <f t="shared" si="8"/>
        <v>*</v>
      </c>
      <c r="R171" s="68" t="str">
        <f t="shared" si="8"/>
        <v>*</v>
      </c>
      <c r="S171" s="68" t="str">
        <f t="shared" si="8"/>
        <v>*</v>
      </c>
      <c r="T171" s="68" t="str">
        <f t="shared" si="8"/>
        <v>*</v>
      </c>
      <c r="U171" s="68" t="str">
        <f t="shared" si="8"/>
        <v>*</v>
      </c>
      <c r="V171" s="68" t="str">
        <f t="shared" si="8"/>
        <v>*</v>
      </c>
      <c r="W171" s="68" t="str">
        <f t="shared" si="8"/>
        <v>*</v>
      </c>
      <c r="X171" s="68" t="str">
        <f t="shared" si="8"/>
        <v>*</v>
      </c>
      <c r="Y171" s="68" t="str">
        <f t="shared" si="8"/>
        <v>*</v>
      </c>
      <c r="Z171" s="68" t="str">
        <f t="shared" si="8"/>
        <v>*</v>
      </c>
      <c r="AA171" s="68" t="str">
        <f t="shared" si="8"/>
        <v>*</v>
      </c>
      <c r="AB171" s="68" t="str">
        <f t="shared" si="8"/>
        <v>*</v>
      </c>
      <c r="AC171" s="68" t="str">
        <f t="shared" si="8"/>
        <v>*</v>
      </c>
      <c r="AD171" s="68" t="str">
        <f t="shared" si="8"/>
        <v>*</v>
      </c>
      <c r="AE171" s="68" t="str">
        <f t="shared" si="8"/>
        <v>*</v>
      </c>
      <c r="AF171" s="68" t="str">
        <f t="shared" si="8"/>
        <v>*</v>
      </c>
      <c r="AG171" s="68" t="str">
        <f t="shared" si="8"/>
        <v>*</v>
      </c>
      <c r="AH171" s="68" t="str">
        <f t="shared" si="8"/>
        <v>*</v>
      </c>
      <c r="AI171" s="68" t="str">
        <f t="shared" si="8"/>
        <v>*</v>
      </c>
      <c r="AJ171" s="68" t="str">
        <f t="shared" si="8"/>
        <v>*</v>
      </c>
      <c r="AK171" s="68" t="str">
        <f t="shared" si="8"/>
        <v>*</v>
      </c>
      <c r="AL171" s="68" t="str">
        <f t="shared" si="8"/>
        <v>*</v>
      </c>
      <c r="AM171" s="68" t="str">
        <f t="shared" si="8"/>
        <v>*</v>
      </c>
      <c r="AN171" s="68" t="str">
        <f t="shared" si="8"/>
        <v>*</v>
      </c>
      <c r="AO171" s="68" t="str">
        <f t="shared" si="8"/>
        <v>*</v>
      </c>
      <c r="AP171" s="68" t="str">
        <f t="shared" si="8"/>
        <v>*</v>
      </c>
      <c r="AQ171" s="68" t="str">
        <f t="shared" si="8"/>
        <v>*</v>
      </c>
      <c r="AR171" s="68" t="str">
        <f t="shared" si="8"/>
        <v>*</v>
      </c>
      <c r="AS171" s="68" t="str">
        <f t="shared" si="8"/>
        <v>*</v>
      </c>
      <c r="AT171" s="68" t="str">
        <f t="shared" si="8"/>
        <v>*</v>
      </c>
      <c r="AU171" s="68" t="str">
        <f t="shared" si="8"/>
        <v>*</v>
      </c>
      <c r="AV171" s="68" t="str">
        <f t="shared" si="8"/>
        <v>*</v>
      </c>
      <c r="AW171" s="68" t="str">
        <f t="shared" si="8"/>
        <v>*</v>
      </c>
      <c r="AX171" s="68" t="str">
        <f t="shared" si="8"/>
        <v>*</v>
      </c>
    </row>
    <row r="172" spans="1:50" s="18" customFormat="1" ht="15.75" hidden="1" customHeight="1">
      <c r="A172" s="346"/>
      <c r="B172" s="65" t="s">
        <v>225</v>
      </c>
      <c r="C172" s="68" t="str">
        <f t="shared" ref="C172:AX176" si="9">IF(C102=C27,"","*")</f>
        <v>*</v>
      </c>
      <c r="D172" s="68" t="str">
        <f t="shared" si="9"/>
        <v>*</v>
      </c>
      <c r="E172" s="68" t="str">
        <f t="shared" si="9"/>
        <v>*</v>
      </c>
      <c r="F172" s="68" t="str">
        <f t="shared" si="9"/>
        <v>*</v>
      </c>
      <c r="G172" s="68" t="str">
        <f t="shared" si="9"/>
        <v>*</v>
      </c>
      <c r="H172" s="68" t="str">
        <f t="shared" si="9"/>
        <v>*</v>
      </c>
      <c r="I172" s="68" t="str">
        <f t="shared" si="9"/>
        <v>*</v>
      </c>
      <c r="J172" s="68" t="str">
        <f t="shared" si="9"/>
        <v>*</v>
      </c>
      <c r="K172" s="68" t="str">
        <f t="shared" si="9"/>
        <v>*</v>
      </c>
      <c r="L172" s="68" t="str">
        <f t="shared" si="9"/>
        <v>*</v>
      </c>
      <c r="M172" s="68" t="str">
        <f t="shared" si="9"/>
        <v>*</v>
      </c>
      <c r="N172" s="68" t="str">
        <f t="shared" si="9"/>
        <v>*</v>
      </c>
      <c r="O172" s="68" t="str">
        <f t="shared" si="9"/>
        <v>*</v>
      </c>
      <c r="P172" s="68" t="str">
        <f t="shared" si="9"/>
        <v>*</v>
      </c>
      <c r="Q172" s="68" t="str">
        <f t="shared" si="9"/>
        <v>*</v>
      </c>
      <c r="R172" s="68" t="str">
        <f t="shared" si="9"/>
        <v>*</v>
      </c>
      <c r="S172" s="68" t="str">
        <f t="shared" si="9"/>
        <v>*</v>
      </c>
      <c r="T172" s="68" t="str">
        <f t="shared" si="9"/>
        <v>*</v>
      </c>
      <c r="U172" s="68" t="str">
        <f t="shared" si="9"/>
        <v>*</v>
      </c>
      <c r="V172" s="68" t="str">
        <f t="shared" si="9"/>
        <v>*</v>
      </c>
      <c r="W172" s="68" t="str">
        <f t="shared" si="9"/>
        <v>*</v>
      </c>
      <c r="X172" s="68" t="str">
        <f t="shared" si="9"/>
        <v>*</v>
      </c>
      <c r="Y172" s="68" t="str">
        <f t="shared" si="9"/>
        <v>*</v>
      </c>
      <c r="Z172" s="68" t="str">
        <f t="shared" si="9"/>
        <v>*</v>
      </c>
      <c r="AA172" s="68" t="str">
        <f t="shared" si="9"/>
        <v>*</v>
      </c>
      <c r="AB172" s="68" t="str">
        <f t="shared" si="9"/>
        <v>*</v>
      </c>
      <c r="AC172" s="68" t="str">
        <f t="shared" si="9"/>
        <v>*</v>
      </c>
      <c r="AD172" s="68" t="str">
        <f t="shared" si="9"/>
        <v>*</v>
      </c>
      <c r="AE172" s="68" t="str">
        <f t="shared" si="9"/>
        <v>*</v>
      </c>
      <c r="AF172" s="68" t="str">
        <f t="shared" si="9"/>
        <v>*</v>
      </c>
      <c r="AG172" s="68" t="str">
        <f t="shared" si="9"/>
        <v>*</v>
      </c>
      <c r="AH172" s="68" t="str">
        <f t="shared" si="9"/>
        <v>*</v>
      </c>
      <c r="AI172" s="68" t="str">
        <f t="shared" si="9"/>
        <v>*</v>
      </c>
      <c r="AJ172" s="68" t="str">
        <f t="shared" si="9"/>
        <v>*</v>
      </c>
      <c r="AK172" s="68" t="str">
        <f t="shared" si="9"/>
        <v>*</v>
      </c>
      <c r="AL172" s="68" t="str">
        <f t="shared" si="9"/>
        <v>*</v>
      </c>
      <c r="AM172" s="68" t="str">
        <f t="shared" si="9"/>
        <v>*</v>
      </c>
      <c r="AN172" s="68" t="str">
        <f t="shared" si="9"/>
        <v>*</v>
      </c>
      <c r="AO172" s="68" t="str">
        <f t="shared" si="9"/>
        <v>*</v>
      </c>
      <c r="AP172" s="68" t="str">
        <f t="shared" si="9"/>
        <v>*</v>
      </c>
      <c r="AQ172" s="68" t="str">
        <f t="shared" si="9"/>
        <v>*</v>
      </c>
      <c r="AR172" s="68" t="str">
        <f t="shared" si="9"/>
        <v>*</v>
      </c>
      <c r="AS172" s="68" t="str">
        <f t="shared" si="9"/>
        <v>*</v>
      </c>
      <c r="AT172" s="68" t="str">
        <f t="shared" si="9"/>
        <v>*</v>
      </c>
      <c r="AU172" s="68" t="str">
        <f t="shared" si="9"/>
        <v>*</v>
      </c>
      <c r="AV172" s="68" t="str">
        <f t="shared" si="9"/>
        <v>*</v>
      </c>
      <c r="AW172" s="68" t="str">
        <f t="shared" si="9"/>
        <v>*</v>
      </c>
      <c r="AX172" s="68" t="str">
        <f t="shared" si="9"/>
        <v>*</v>
      </c>
    </row>
    <row r="173" spans="1:50" ht="15.75" hidden="1" customHeight="1">
      <c r="A173" s="63" t="s">
        <v>207</v>
      </c>
      <c r="B173" s="64" t="s">
        <v>223</v>
      </c>
      <c r="C173" s="67" t="str">
        <f t="shared" si="9"/>
        <v>*</v>
      </c>
      <c r="D173" s="67" t="str">
        <f t="shared" si="9"/>
        <v>*</v>
      </c>
      <c r="E173" s="67" t="str">
        <f t="shared" si="9"/>
        <v>*</v>
      </c>
      <c r="F173" s="67" t="str">
        <f t="shared" si="9"/>
        <v>*</v>
      </c>
      <c r="G173" s="67" t="str">
        <f t="shared" si="9"/>
        <v>*</v>
      </c>
      <c r="H173" s="67" t="str">
        <f t="shared" si="9"/>
        <v>*</v>
      </c>
      <c r="I173" s="67" t="str">
        <f t="shared" si="9"/>
        <v>*</v>
      </c>
      <c r="J173" s="67" t="str">
        <f t="shared" si="9"/>
        <v>*</v>
      </c>
      <c r="K173" s="67" t="str">
        <f t="shared" si="9"/>
        <v>*</v>
      </c>
      <c r="L173" s="67" t="str">
        <f t="shared" si="9"/>
        <v>*</v>
      </c>
      <c r="M173" s="67" t="str">
        <f t="shared" si="9"/>
        <v>*</v>
      </c>
      <c r="N173" s="67" t="str">
        <f t="shared" si="9"/>
        <v>*</v>
      </c>
      <c r="O173" s="67" t="str">
        <f t="shared" si="9"/>
        <v>*</v>
      </c>
      <c r="P173" s="67" t="str">
        <f t="shared" si="9"/>
        <v>*</v>
      </c>
      <c r="Q173" s="67" t="str">
        <f t="shared" si="9"/>
        <v>*</v>
      </c>
      <c r="R173" s="67" t="str">
        <f t="shared" si="9"/>
        <v>*</v>
      </c>
      <c r="S173" s="67" t="str">
        <f t="shared" si="9"/>
        <v>*</v>
      </c>
      <c r="T173" s="67" t="str">
        <f t="shared" si="9"/>
        <v/>
      </c>
      <c r="U173" s="67" t="str">
        <f t="shared" si="9"/>
        <v>*</v>
      </c>
      <c r="V173" s="67" t="str">
        <f t="shared" si="9"/>
        <v>*</v>
      </c>
      <c r="W173" s="67" t="str">
        <f t="shared" si="9"/>
        <v>*</v>
      </c>
      <c r="X173" s="67" t="str">
        <f t="shared" si="9"/>
        <v>*</v>
      </c>
      <c r="Y173" s="67" t="str">
        <f t="shared" si="9"/>
        <v>*</v>
      </c>
      <c r="Z173" s="67" t="str">
        <f t="shared" si="9"/>
        <v>*</v>
      </c>
      <c r="AA173" s="67" t="str">
        <f t="shared" si="9"/>
        <v>*</v>
      </c>
      <c r="AB173" s="67" t="str">
        <f t="shared" si="9"/>
        <v>*</v>
      </c>
      <c r="AC173" s="67" t="str">
        <f t="shared" si="9"/>
        <v>*</v>
      </c>
      <c r="AD173" s="67" t="str">
        <f t="shared" si="9"/>
        <v>*</v>
      </c>
      <c r="AE173" s="67" t="str">
        <f t="shared" si="9"/>
        <v>*</v>
      </c>
      <c r="AF173" s="67" t="str">
        <f t="shared" si="9"/>
        <v>*</v>
      </c>
      <c r="AG173" s="67" t="str">
        <f t="shared" si="9"/>
        <v>*</v>
      </c>
      <c r="AH173" s="67" t="str">
        <f t="shared" si="9"/>
        <v>*</v>
      </c>
      <c r="AI173" s="67" t="str">
        <f t="shared" si="9"/>
        <v>*</v>
      </c>
      <c r="AJ173" s="67" t="str">
        <f t="shared" si="9"/>
        <v>*</v>
      </c>
      <c r="AK173" s="67" t="str">
        <f t="shared" si="9"/>
        <v>*</v>
      </c>
      <c r="AL173" s="67" t="str">
        <f t="shared" si="9"/>
        <v>*</v>
      </c>
      <c r="AM173" s="67" t="str">
        <f t="shared" si="9"/>
        <v>*</v>
      </c>
      <c r="AN173" s="67" t="str">
        <f t="shared" si="9"/>
        <v>*</v>
      </c>
      <c r="AO173" s="67" t="str">
        <f t="shared" si="9"/>
        <v>*</v>
      </c>
      <c r="AP173" s="67" t="str">
        <f t="shared" si="9"/>
        <v>*</v>
      </c>
      <c r="AQ173" s="67" t="str">
        <f t="shared" si="9"/>
        <v>*</v>
      </c>
      <c r="AR173" s="67" t="str">
        <f t="shared" si="9"/>
        <v>*</v>
      </c>
      <c r="AS173" s="67" t="str">
        <f t="shared" si="9"/>
        <v>*</v>
      </c>
      <c r="AT173" s="67" t="str">
        <f t="shared" si="9"/>
        <v>*</v>
      </c>
      <c r="AU173" s="67" t="str">
        <f t="shared" si="9"/>
        <v>*</v>
      </c>
      <c r="AV173" s="67" t="str">
        <f t="shared" si="9"/>
        <v>*</v>
      </c>
      <c r="AW173" s="67" t="str">
        <f t="shared" si="9"/>
        <v>*</v>
      </c>
      <c r="AX173" s="67" t="str">
        <f t="shared" si="9"/>
        <v>*</v>
      </c>
    </row>
    <row r="174" spans="1:50" ht="15.75" hidden="1" customHeight="1">
      <c r="A174" s="345" t="s">
        <v>7</v>
      </c>
      <c r="B174" s="65" t="s">
        <v>224</v>
      </c>
      <c r="C174" s="68" t="str">
        <f t="shared" si="9"/>
        <v>*</v>
      </c>
      <c r="D174" s="68" t="str">
        <f t="shared" si="9"/>
        <v>*</v>
      </c>
      <c r="E174" s="68" t="str">
        <f t="shared" si="9"/>
        <v>*</v>
      </c>
      <c r="F174" s="68" t="str">
        <f t="shared" si="9"/>
        <v>*</v>
      </c>
      <c r="G174" s="68" t="str">
        <f t="shared" si="9"/>
        <v>*</v>
      </c>
      <c r="H174" s="68" t="str">
        <f t="shared" si="9"/>
        <v>*</v>
      </c>
      <c r="I174" s="68" t="str">
        <f t="shared" si="9"/>
        <v>*</v>
      </c>
      <c r="J174" s="68" t="str">
        <f t="shared" si="9"/>
        <v>*</v>
      </c>
      <c r="K174" s="68" t="str">
        <f t="shared" si="9"/>
        <v>*</v>
      </c>
      <c r="L174" s="68" t="str">
        <f t="shared" si="9"/>
        <v>*</v>
      </c>
      <c r="M174" s="68" t="str">
        <f t="shared" si="9"/>
        <v>*</v>
      </c>
      <c r="N174" s="68" t="str">
        <f t="shared" si="9"/>
        <v>*</v>
      </c>
      <c r="O174" s="68" t="str">
        <f t="shared" si="9"/>
        <v>*</v>
      </c>
      <c r="P174" s="68" t="str">
        <f t="shared" si="9"/>
        <v>*</v>
      </c>
      <c r="Q174" s="68" t="str">
        <f t="shared" si="9"/>
        <v>*</v>
      </c>
      <c r="R174" s="68" t="str">
        <f t="shared" si="9"/>
        <v>*</v>
      </c>
      <c r="S174" s="68" t="str">
        <f t="shared" si="9"/>
        <v>*</v>
      </c>
      <c r="T174" s="68" t="str">
        <f t="shared" si="9"/>
        <v>*</v>
      </c>
      <c r="U174" s="68" t="str">
        <f t="shared" si="9"/>
        <v>*</v>
      </c>
      <c r="V174" s="68" t="str">
        <f t="shared" si="9"/>
        <v>*</v>
      </c>
      <c r="W174" s="68" t="str">
        <f t="shared" si="9"/>
        <v>*</v>
      </c>
      <c r="X174" s="68" t="str">
        <f t="shared" si="9"/>
        <v/>
      </c>
      <c r="Y174" s="68" t="str">
        <f t="shared" si="9"/>
        <v>*</v>
      </c>
      <c r="Z174" s="68" t="str">
        <f t="shared" si="9"/>
        <v>*</v>
      </c>
      <c r="AA174" s="68" t="str">
        <f t="shared" si="9"/>
        <v>*</v>
      </c>
      <c r="AB174" s="68" t="str">
        <f t="shared" si="9"/>
        <v>*</v>
      </c>
      <c r="AC174" s="68" t="str">
        <f t="shared" si="9"/>
        <v>*</v>
      </c>
      <c r="AD174" s="68" t="str">
        <f t="shared" si="9"/>
        <v>*</v>
      </c>
      <c r="AE174" s="68" t="str">
        <f t="shared" si="9"/>
        <v>*</v>
      </c>
      <c r="AF174" s="68" t="str">
        <f t="shared" si="9"/>
        <v>*</v>
      </c>
      <c r="AG174" s="68" t="str">
        <f t="shared" si="9"/>
        <v>*</v>
      </c>
      <c r="AH174" s="68" t="str">
        <f t="shared" si="9"/>
        <v>*</v>
      </c>
      <c r="AI174" s="68" t="str">
        <f t="shared" si="9"/>
        <v>*</v>
      </c>
      <c r="AJ174" s="68" t="str">
        <f t="shared" si="9"/>
        <v>*</v>
      </c>
      <c r="AK174" s="68" t="str">
        <f t="shared" si="9"/>
        <v>*</v>
      </c>
      <c r="AL174" s="68" t="str">
        <f t="shared" si="9"/>
        <v>*</v>
      </c>
      <c r="AM174" s="68" t="str">
        <f t="shared" si="9"/>
        <v>*</v>
      </c>
      <c r="AN174" s="68" t="str">
        <f t="shared" si="9"/>
        <v>*</v>
      </c>
      <c r="AO174" s="68" t="str">
        <f t="shared" si="9"/>
        <v>*</v>
      </c>
      <c r="AP174" s="68" t="str">
        <f t="shared" si="9"/>
        <v>*</v>
      </c>
      <c r="AQ174" s="68" t="str">
        <f t="shared" si="9"/>
        <v>*</v>
      </c>
      <c r="AR174" s="68" t="str">
        <f t="shared" si="9"/>
        <v>*</v>
      </c>
      <c r="AS174" s="68" t="str">
        <f t="shared" si="9"/>
        <v>*</v>
      </c>
      <c r="AT174" s="68" t="str">
        <f t="shared" si="9"/>
        <v>*</v>
      </c>
      <c r="AU174" s="68" t="str">
        <f t="shared" si="9"/>
        <v>*</v>
      </c>
      <c r="AV174" s="68" t="str">
        <f t="shared" si="9"/>
        <v>*</v>
      </c>
      <c r="AW174" s="68" t="str">
        <f t="shared" si="9"/>
        <v>*</v>
      </c>
      <c r="AX174" s="68" t="str">
        <f t="shared" si="9"/>
        <v>*</v>
      </c>
    </row>
    <row r="175" spans="1:50" ht="15.75" hidden="1" customHeight="1">
      <c r="A175" s="346"/>
      <c r="B175" s="65" t="s">
        <v>225</v>
      </c>
      <c r="C175" s="68" t="str">
        <f t="shared" si="9"/>
        <v>*</v>
      </c>
      <c r="D175" s="68" t="str">
        <f t="shared" si="9"/>
        <v>*</v>
      </c>
      <c r="E175" s="68" t="str">
        <f t="shared" si="9"/>
        <v>*</v>
      </c>
      <c r="F175" s="68" t="str">
        <f t="shared" si="9"/>
        <v>*</v>
      </c>
      <c r="G175" s="68" t="str">
        <f t="shared" si="9"/>
        <v>*</v>
      </c>
      <c r="H175" s="68" t="str">
        <f t="shared" si="9"/>
        <v>*</v>
      </c>
      <c r="I175" s="68" t="str">
        <f t="shared" si="9"/>
        <v>*</v>
      </c>
      <c r="J175" s="68" t="str">
        <f t="shared" si="9"/>
        <v>*</v>
      </c>
      <c r="K175" s="68" t="str">
        <f t="shared" si="9"/>
        <v>*</v>
      </c>
      <c r="L175" s="68" t="str">
        <f t="shared" si="9"/>
        <v>*</v>
      </c>
      <c r="M175" s="68" t="str">
        <f t="shared" si="9"/>
        <v>*</v>
      </c>
      <c r="N175" s="68" t="str">
        <f t="shared" si="9"/>
        <v>*</v>
      </c>
      <c r="O175" s="68" t="str">
        <f t="shared" si="9"/>
        <v>*</v>
      </c>
      <c r="P175" s="68" t="str">
        <f t="shared" si="9"/>
        <v>*</v>
      </c>
      <c r="Q175" s="68" t="str">
        <f t="shared" si="9"/>
        <v>*</v>
      </c>
      <c r="R175" s="68" t="str">
        <f t="shared" si="9"/>
        <v>*</v>
      </c>
      <c r="S175" s="68" t="str">
        <f t="shared" si="9"/>
        <v>*</v>
      </c>
      <c r="T175" s="68" t="str">
        <f t="shared" si="9"/>
        <v>*</v>
      </c>
      <c r="U175" s="68" t="str">
        <f t="shared" si="9"/>
        <v>*</v>
      </c>
      <c r="V175" s="68" t="str">
        <f t="shared" si="9"/>
        <v>*</v>
      </c>
      <c r="W175" s="68" t="str">
        <f t="shared" si="9"/>
        <v>*</v>
      </c>
      <c r="X175" s="68" t="str">
        <f t="shared" si="9"/>
        <v>*</v>
      </c>
      <c r="Y175" s="68" t="str">
        <f t="shared" si="9"/>
        <v>*</v>
      </c>
      <c r="Z175" s="68" t="str">
        <f t="shared" si="9"/>
        <v>*</v>
      </c>
      <c r="AA175" s="68" t="str">
        <f t="shared" si="9"/>
        <v>*</v>
      </c>
      <c r="AB175" s="68" t="str">
        <f t="shared" si="9"/>
        <v>*</v>
      </c>
      <c r="AC175" s="68" t="str">
        <f t="shared" si="9"/>
        <v>*</v>
      </c>
      <c r="AD175" s="68" t="str">
        <f t="shared" si="9"/>
        <v>*</v>
      </c>
      <c r="AE175" s="68" t="str">
        <f t="shared" si="9"/>
        <v>*</v>
      </c>
      <c r="AF175" s="68" t="str">
        <f t="shared" si="9"/>
        <v>*</v>
      </c>
      <c r="AG175" s="68" t="str">
        <f t="shared" si="9"/>
        <v>*</v>
      </c>
      <c r="AH175" s="68" t="str">
        <f t="shared" si="9"/>
        <v>*</v>
      </c>
      <c r="AI175" s="68" t="str">
        <f t="shared" si="9"/>
        <v>*</v>
      </c>
      <c r="AJ175" s="68" t="str">
        <f t="shared" si="9"/>
        <v>*</v>
      </c>
      <c r="AK175" s="68" t="str">
        <f t="shared" si="9"/>
        <v>*</v>
      </c>
      <c r="AL175" s="68" t="str">
        <f t="shared" si="9"/>
        <v>*</v>
      </c>
      <c r="AM175" s="68" t="str">
        <f t="shared" si="9"/>
        <v>*</v>
      </c>
      <c r="AN175" s="68" t="str">
        <f t="shared" si="9"/>
        <v/>
      </c>
      <c r="AO175" s="68" t="str">
        <f t="shared" si="9"/>
        <v>*</v>
      </c>
      <c r="AP175" s="68" t="str">
        <f t="shared" si="9"/>
        <v>*</v>
      </c>
      <c r="AQ175" s="68" t="str">
        <f t="shared" si="9"/>
        <v>*</v>
      </c>
      <c r="AR175" s="68" t="str">
        <f t="shared" si="9"/>
        <v>*</v>
      </c>
      <c r="AS175" s="68" t="str">
        <f t="shared" si="9"/>
        <v>*</v>
      </c>
      <c r="AT175" s="68" t="str">
        <f t="shared" si="9"/>
        <v>*</v>
      </c>
      <c r="AU175" s="68" t="str">
        <f t="shared" si="9"/>
        <v>*</v>
      </c>
      <c r="AV175" s="68" t="str">
        <f t="shared" si="9"/>
        <v>*</v>
      </c>
      <c r="AW175" s="68" t="str">
        <f t="shared" si="9"/>
        <v>*</v>
      </c>
      <c r="AX175" s="68" t="str">
        <f t="shared" si="9"/>
        <v>*</v>
      </c>
    </row>
    <row r="176" spans="1:50" ht="15.75" hidden="1" customHeight="1">
      <c r="A176" s="63" t="s">
        <v>208</v>
      </c>
      <c r="B176" s="64" t="s">
        <v>223</v>
      </c>
      <c r="C176" s="67" t="str">
        <f t="shared" si="9"/>
        <v>*</v>
      </c>
      <c r="D176" s="67" t="str">
        <f t="shared" si="9"/>
        <v>*</v>
      </c>
      <c r="E176" s="67" t="str">
        <f t="shared" si="9"/>
        <v>*</v>
      </c>
      <c r="F176" s="67" t="str">
        <f t="shared" si="9"/>
        <v>*</v>
      </c>
      <c r="G176" s="67" t="str">
        <f t="shared" si="9"/>
        <v>*</v>
      </c>
      <c r="H176" s="67" t="str">
        <f t="shared" si="9"/>
        <v>*</v>
      </c>
      <c r="I176" s="67" t="str">
        <f t="shared" si="9"/>
        <v>*</v>
      </c>
      <c r="J176" s="67" t="str">
        <f t="shared" si="9"/>
        <v>*</v>
      </c>
      <c r="K176" s="67" t="str">
        <f t="shared" ref="K176:AX176" si="10">IF(K106=K31,"","*")</f>
        <v>*</v>
      </c>
      <c r="L176" s="67" t="str">
        <f t="shared" si="10"/>
        <v>*</v>
      </c>
      <c r="M176" s="67" t="str">
        <f t="shared" si="10"/>
        <v>*</v>
      </c>
      <c r="N176" s="67" t="str">
        <f t="shared" si="10"/>
        <v>*</v>
      </c>
      <c r="O176" s="67" t="str">
        <f t="shared" si="10"/>
        <v>*</v>
      </c>
      <c r="P176" s="67" t="str">
        <f t="shared" si="10"/>
        <v>*</v>
      </c>
      <c r="Q176" s="67" t="str">
        <f t="shared" si="10"/>
        <v>*</v>
      </c>
      <c r="R176" s="67" t="str">
        <f t="shared" si="10"/>
        <v>*</v>
      </c>
      <c r="S176" s="67" t="str">
        <f t="shared" si="10"/>
        <v>*</v>
      </c>
      <c r="T176" s="67" t="str">
        <f t="shared" si="10"/>
        <v>*</v>
      </c>
      <c r="U176" s="67" t="str">
        <f t="shared" si="10"/>
        <v>*</v>
      </c>
      <c r="V176" s="67" t="str">
        <f t="shared" si="10"/>
        <v>*</v>
      </c>
      <c r="W176" s="67" t="str">
        <f t="shared" si="10"/>
        <v>*</v>
      </c>
      <c r="X176" s="67" t="str">
        <f t="shared" si="10"/>
        <v>*</v>
      </c>
      <c r="Y176" s="67" t="str">
        <f t="shared" si="10"/>
        <v>*</v>
      </c>
      <c r="Z176" s="67" t="str">
        <f t="shared" si="10"/>
        <v>*</v>
      </c>
      <c r="AA176" s="67" t="str">
        <f t="shared" si="10"/>
        <v>*</v>
      </c>
      <c r="AB176" s="67" t="str">
        <f t="shared" si="10"/>
        <v>*</v>
      </c>
      <c r="AC176" s="67" t="str">
        <f t="shared" si="10"/>
        <v>*</v>
      </c>
      <c r="AD176" s="67" t="str">
        <f t="shared" si="10"/>
        <v>*</v>
      </c>
      <c r="AE176" s="67" t="str">
        <f t="shared" si="10"/>
        <v>*</v>
      </c>
      <c r="AF176" s="67" t="str">
        <f t="shared" si="10"/>
        <v>*</v>
      </c>
      <c r="AG176" s="67" t="str">
        <f t="shared" si="10"/>
        <v>*</v>
      </c>
      <c r="AH176" s="67" t="str">
        <f t="shared" si="10"/>
        <v>*</v>
      </c>
      <c r="AI176" s="67" t="str">
        <f t="shared" si="10"/>
        <v>*</v>
      </c>
      <c r="AJ176" s="67" t="str">
        <f t="shared" si="10"/>
        <v>*</v>
      </c>
      <c r="AK176" s="67" t="str">
        <f t="shared" si="10"/>
        <v>*</v>
      </c>
      <c r="AL176" s="67" t="str">
        <f t="shared" si="10"/>
        <v>*</v>
      </c>
      <c r="AM176" s="67" t="str">
        <f t="shared" si="10"/>
        <v>*</v>
      </c>
      <c r="AN176" s="67" t="str">
        <f t="shared" si="10"/>
        <v>*</v>
      </c>
      <c r="AO176" s="67" t="str">
        <f t="shared" si="10"/>
        <v>*</v>
      </c>
      <c r="AP176" s="67" t="str">
        <f t="shared" si="10"/>
        <v>*</v>
      </c>
      <c r="AQ176" s="67" t="str">
        <f t="shared" si="10"/>
        <v>*</v>
      </c>
      <c r="AR176" s="67" t="str">
        <f t="shared" si="10"/>
        <v>*</v>
      </c>
      <c r="AS176" s="67" t="str">
        <f t="shared" si="10"/>
        <v>*</v>
      </c>
      <c r="AT176" s="67" t="str">
        <f t="shared" si="10"/>
        <v>*</v>
      </c>
      <c r="AU176" s="67" t="str">
        <f t="shared" si="10"/>
        <v>*</v>
      </c>
      <c r="AV176" s="67" t="str">
        <f t="shared" si="10"/>
        <v>*</v>
      </c>
      <c r="AW176" s="67" t="str">
        <f t="shared" si="10"/>
        <v/>
      </c>
      <c r="AX176" s="67" t="str">
        <f t="shared" si="10"/>
        <v>*</v>
      </c>
    </row>
    <row r="177" spans="1:50" ht="15.75" hidden="1" customHeight="1">
      <c r="A177" s="345" t="s">
        <v>9</v>
      </c>
      <c r="B177" s="65" t="s">
        <v>224</v>
      </c>
      <c r="C177" s="68" t="str">
        <f t="shared" ref="C177:AX181" si="11">IF(C107=C32,"","*")</f>
        <v>*</v>
      </c>
      <c r="D177" s="68" t="str">
        <f t="shared" si="11"/>
        <v>*</v>
      </c>
      <c r="E177" s="68" t="str">
        <f t="shared" si="11"/>
        <v>*</v>
      </c>
      <c r="F177" s="68" t="str">
        <f t="shared" si="11"/>
        <v>*</v>
      </c>
      <c r="G177" s="68" t="str">
        <f t="shared" si="11"/>
        <v>*</v>
      </c>
      <c r="H177" s="68" t="str">
        <f t="shared" si="11"/>
        <v>*</v>
      </c>
      <c r="I177" s="68" t="str">
        <f t="shared" si="11"/>
        <v>*</v>
      </c>
      <c r="J177" s="68" t="str">
        <f t="shared" si="11"/>
        <v>*</v>
      </c>
      <c r="K177" s="68" t="str">
        <f t="shared" si="11"/>
        <v>*</v>
      </c>
      <c r="L177" s="68" t="str">
        <f t="shared" si="11"/>
        <v>*</v>
      </c>
      <c r="M177" s="68" t="str">
        <f t="shared" si="11"/>
        <v>*</v>
      </c>
      <c r="N177" s="68" t="str">
        <f t="shared" si="11"/>
        <v>*</v>
      </c>
      <c r="O177" s="68" t="str">
        <f t="shared" si="11"/>
        <v>*</v>
      </c>
      <c r="P177" s="68" t="str">
        <f t="shared" si="11"/>
        <v>*</v>
      </c>
      <c r="Q177" s="68" t="str">
        <f t="shared" si="11"/>
        <v>*</v>
      </c>
      <c r="R177" s="68" t="str">
        <f t="shared" si="11"/>
        <v>*</v>
      </c>
      <c r="S177" s="68" t="str">
        <f t="shared" si="11"/>
        <v>*</v>
      </c>
      <c r="T177" s="68" t="str">
        <f t="shared" si="11"/>
        <v>*</v>
      </c>
      <c r="U177" s="68" t="str">
        <f t="shared" si="11"/>
        <v>*</v>
      </c>
      <c r="V177" s="68" t="str">
        <f t="shared" si="11"/>
        <v>*</v>
      </c>
      <c r="W177" s="68" t="str">
        <f t="shared" si="11"/>
        <v>*</v>
      </c>
      <c r="X177" s="68" t="str">
        <f t="shared" si="11"/>
        <v>*</v>
      </c>
      <c r="Y177" s="68" t="str">
        <f t="shared" si="11"/>
        <v>*</v>
      </c>
      <c r="Z177" s="68" t="str">
        <f t="shared" si="11"/>
        <v>*</v>
      </c>
      <c r="AA177" s="68" t="str">
        <f t="shared" si="11"/>
        <v>*</v>
      </c>
      <c r="AB177" s="68" t="str">
        <f t="shared" si="11"/>
        <v>*</v>
      </c>
      <c r="AC177" s="68" t="str">
        <f t="shared" si="11"/>
        <v>*</v>
      </c>
      <c r="AD177" s="68" t="str">
        <f t="shared" si="11"/>
        <v>*</v>
      </c>
      <c r="AE177" s="68" t="str">
        <f t="shared" si="11"/>
        <v>*</v>
      </c>
      <c r="AF177" s="68" t="str">
        <f t="shared" si="11"/>
        <v>*</v>
      </c>
      <c r="AG177" s="68" t="str">
        <f t="shared" si="11"/>
        <v>*</v>
      </c>
      <c r="AH177" s="68" t="str">
        <f t="shared" si="11"/>
        <v>*</v>
      </c>
      <c r="AI177" s="68" t="str">
        <f t="shared" si="11"/>
        <v>*</v>
      </c>
      <c r="AJ177" s="68" t="str">
        <f t="shared" si="11"/>
        <v>*</v>
      </c>
      <c r="AK177" s="68" t="str">
        <f t="shared" si="11"/>
        <v>*</v>
      </c>
      <c r="AL177" s="68" t="str">
        <f t="shared" si="11"/>
        <v>*</v>
      </c>
      <c r="AM177" s="68" t="str">
        <f t="shared" si="11"/>
        <v>*</v>
      </c>
      <c r="AN177" s="68" t="str">
        <f t="shared" si="11"/>
        <v>*</v>
      </c>
      <c r="AO177" s="68" t="str">
        <f t="shared" si="11"/>
        <v>*</v>
      </c>
      <c r="AP177" s="68" t="str">
        <f t="shared" si="11"/>
        <v>*</v>
      </c>
      <c r="AQ177" s="68" t="str">
        <f t="shared" si="11"/>
        <v>*</v>
      </c>
      <c r="AR177" s="68" t="str">
        <f t="shared" si="11"/>
        <v>*</v>
      </c>
      <c r="AS177" s="68" t="str">
        <f t="shared" si="11"/>
        <v>*</v>
      </c>
      <c r="AT177" s="68" t="str">
        <f t="shared" si="11"/>
        <v>*</v>
      </c>
      <c r="AU177" s="68" t="str">
        <f t="shared" si="11"/>
        <v>*</v>
      </c>
      <c r="AV177" s="68" t="str">
        <f t="shared" si="11"/>
        <v>*</v>
      </c>
      <c r="AW177" s="68" t="str">
        <f t="shared" si="11"/>
        <v>*</v>
      </c>
      <c r="AX177" s="68" t="str">
        <f t="shared" si="11"/>
        <v>*</v>
      </c>
    </row>
    <row r="178" spans="1:50" ht="15.75" hidden="1" customHeight="1">
      <c r="A178" s="346"/>
      <c r="B178" s="65" t="s">
        <v>225</v>
      </c>
      <c r="C178" s="68" t="str">
        <f t="shared" si="11"/>
        <v>*</v>
      </c>
      <c r="D178" s="68" t="str">
        <f t="shared" si="11"/>
        <v>*</v>
      </c>
      <c r="E178" s="68" t="str">
        <f t="shared" si="11"/>
        <v>*</v>
      </c>
      <c r="F178" s="68" t="str">
        <f t="shared" si="11"/>
        <v>*</v>
      </c>
      <c r="G178" s="68" t="str">
        <f t="shared" si="11"/>
        <v>*</v>
      </c>
      <c r="H178" s="68" t="str">
        <f t="shared" si="11"/>
        <v>*</v>
      </c>
      <c r="I178" s="68" t="str">
        <f t="shared" si="11"/>
        <v>*</v>
      </c>
      <c r="J178" s="68" t="str">
        <f t="shared" si="11"/>
        <v>*</v>
      </c>
      <c r="K178" s="68" t="str">
        <f t="shared" si="11"/>
        <v>*</v>
      </c>
      <c r="L178" s="68" t="str">
        <f t="shared" si="11"/>
        <v>*</v>
      </c>
      <c r="M178" s="68" t="str">
        <f t="shared" si="11"/>
        <v>*</v>
      </c>
      <c r="N178" s="68" t="str">
        <f t="shared" si="11"/>
        <v>*</v>
      </c>
      <c r="O178" s="68" t="str">
        <f t="shared" si="11"/>
        <v>*</v>
      </c>
      <c r="P178" s="68" t="str">
        <f t="shared" si="11"/>
        <v>*</v>
      </c>
      <c r="Q178" s="68" t="str">
        <f t="shared" si="11"/>
        <v>*</v>
      </c>
      <c r="R178" s="68" t="str">
        <f t="shared" si="11"/>
        <v>*</v>
      </c>
      <c r="S178" s="68" t="str">
        <f t="shared" si="11"/>
        <v>*</v>
      </c>
      <c r="T178" s="68" t="str">
        <f t="shared" si="11"/>
        <v>*</v>
      </c>
      <c r="U178" s="68" t="str">
        <f t="shared" si="11"/>
        <v>*</v>
      </c>
      <c r="V178" s="68" t="str">
        <f t="shared" si="11"/>
        <v>*</v>
      </c>
      <c r="W178" s="68" t="str">
        <f t="shared" si="11"/>
        <v>*</v>
      </c>
      <c r="X178" s="68" t="str">
        <f t="shared" si="11"/>
        <v>*</v>
      </c>
      <c r="Y178" s="68" t="str">
        <f t="shared" si="11"/>
        <v>*</v>
      </c>
      <c r="Z178" s="68" t="str">
        <f t="shared" si="11"/>
        <v>*</v>
      </c>
      <c r="AA178" s="68" t="str">
        <f t="shared" si="11"/>
        <v>*</v>
      </c>
      <c r="AB178" s="68" t="str">
        <f t="shared" si="11"/>
        <v>*</v>
      </c>
      <c r="AC178" s="68" t="str">
        <f t="shared" si="11"/>
        <v>*</v>
      </c>
      <c r="AD178" s="68" t="str">
        <f t="shared" si="11"/>
        <v>*</v>
      </c>
      <c r="AE178" s="68" t="str">
        <f t="shared" si="11"/>
        <v>*</v>
      </c>
      <c r="AF178" s="68" t="str">
        <f t="shared" si="11"/>
        <v>*</v>
      </c>
      <c r="AG178" s="68" t="str">
        <f t="shared" si="11"/>
        <v>*</v>
      </c>
      <c r="AH178" s="68" t="str">
        <f t="shared" si="11"/>
        <v>*</v>
      </c>
      <c r="AI178" s="68" t="str">
        <f t="shared" si="11"/>
        <v>*</v>
      </c>
      <c r="AJ178" s="68" t="str">
        <f t="shared" si="11"/>
        <v>*</v>
      </c>
      <c r="AK178" s="68" t="str">
        <f t="shared" si="11"/>
        <v>*</v>
      </c>
      <c r="AL178" s="68" t="str">
        <f t="shared" si="11"/>
        <v>*</v>
      </c>
      <c r="AM178" s="68" t="str">
        <f t="shared" si="11"/>
        <v>*</v>
      </c>
      <c r="AN178" s="68" t="str">
        <f t="shared" si="11"/>
        <v>*</v>
      </c>
      <c r="AO178" s="68" t="str">
        <f t="shared" si="11"/>
        <v>*</v>
      </c>
      <c r="AP178" s="68" t="str">
        <f t="shared" si="11"/>
        <v>*</v>
      </c>
      <c r="AQ178" s="68" t="str">
        <f t="shared" si="11"/>
        <v>*</v>
      </c>
      <c r="AR178" s="68" t="str">
        <f t="shared" si="11"/>
        <v>*</v>
      </c>
      <c r="AS178" s="68" t="str">
        <f t="shared" si="11"/>
        <v>*</v>
      </c>
      <c r="AT178" s="68" t="str">
        <f t="shared" si="11"/>
        <v>*</v>
      </c>
      <c r="AU178" s="68" t="str">
        <f t="shared" si="11"/>
        <v>*</v>
      </c>
      <c r="AV178" s="68" t="str">
        <f t="shared" si="11"/>
        <v>*</v>
      </c>
      <c r="AW178" s="68" t="str">
        <f t="shared" si="11"/>
        <v>*</v>
      </c>
      <c r="AX178" s="68" t="str">
        <f t="shared" si="11"/>
        <v>*</v>
      </c>
    </row>
    <row r="179" spans="1:50" ht="15.75" hidden="1" customHeight="1">
      <c r="A179" s="63" t="s">
        <v>209</v>
      </c>
      <c r="B179" s="64" t="s">
        <v>223</v>
      </c>
      <c r="C179" s="67" t="str">
        <f t="shared" si="11"/>
        <v>*</v>
      </c>
      <c r="D179" s="67" t="str">
        <f t="shared" si="11"/>
        <v>*</v>
      </c>
      <c r="E179" s="67" t="str">
        <f t="shared" si="11"/>
        <v>*</v>
      </c>
      <c r="F179" s="67" t="str">
        <f t="shared" si="11"/>
        <v>*</v>
      </c>
      <c r="G179" s="67" t="str">
        <f t="shared" si="11"/>
        <v>*</v>
      </c>
      <c r="H179" s="67" t="str">
        <f t="shared" si="11"/>
        <v>*</v>
      </c>
      <c r="I179" s="67" t="str">
        <f t="shared" si="11"/>
        <v>*</v>
      </c>
      <c r="J179" s="67" t="str">
        <f t="shared" si="11"/>
        <v>*</v>
      </c>
      <c r="K179" s="67" t="str">
        <f t="shared" si="11"/>
        <v>*</v>
      </c>
      <c r="L179" s="67" t="str">
        <f t="shared" si="11"/>
        <v>*</v>
      </c>
      <c r="M179" s="67" t="str">
        <f t="shared" si="11"/>
        <v>*</v>
      </c>
      <c r="N179" s="67" t="str">
        <f t="shared" si="11"/>
        <v>*</v>
      </c>
      <c r="O179" s="67" t="str">
        <f t="shared" si="11"/>
        <v>*</v>
      </c>
      <c r="P179" s="67" t="str">
        <f t="shared" si="11"/>
        <v>*</v>
      </c>
      <c r="Q179" s="67" t="str">
        <f t="shared" si="11"/>
        <v>*</v>
      </c>
      <c r="R179" s="67" t="str">
        <f t="shared" si="11"/>
        <v>*</v>
      </c>
      <c r="S179" s="67" t="str">
        <f t="shared" si="11"/>
        <v>*</v>
      </c>
      <c r="T179" s="67" t="str">
        <f t="shared" si="11"/>
        <v>*</v>
      </c>
      <c r="U179" s="67" t="str">
        <f t="shared" si="11"/>
        <v/>
      </c>
      <c r="V179" s="67" t="str">
        <f t="shared" si="11"/>
        <v>*</v>
      </c>
      <c r="W179" s="67" t="str">
        <f t="shared" si="11"/>
        <v>*</v>
      </c>
      <c r="X179" s="67" t="str">
        <f t="shared" si="11"/>
        <v>*</v>
      </c>
      <c r="Y179" s="67" t="str">
        <f t="shared" si="11"/>
        <v>*</v>
      </c>
      <c r="Z179" s="67" t="str">
        <f t="shared" si="11"/>
        <v>*</v>
      </c>
      <c r="AA179" s="67" t="str">
        <f t="shared" si="11"/>
        <v>*</v>
      </c>
      <c r="AB179" s="67" t="str">
        <f t="shared" si="11"/>
        <v>*</v>
      </c>
      <c r="AC179" s="67" t="str">
        <f t="shared" si="11"/>
        <v>*</v>
      </c>
      <c r="AD179" s="67" t="str">
        <f t="shared" si="11"/>
        <v>*</v>
      </c>
      <c r="AE179" s="67" t="str">
        <f t="shared" si="11"/>
        <v>*</v>
      </c>
      <c r="AF179" s="67" t="str">
        <f t="shared" si="11"/>
        <v>*</v>
      </c>
      <c r="AG179" s="67" t="str">
        <f t="shared" si="11"/>
        <v>*</v>
      </c>
      <c r="AH179" s="67" t="str">
        <f t="shared" si="11"/>
        <v>*</v>
      </c>
      <c r="AI179" s="67" t="str">
        <f t="shared" si="11"/>
        <v>*</v>
      </c>
      <c r="AJ179" s="67" t="str">
        <f t="shared" si="11"/>
        <v>*</v>
      </c>
      <c r="AK179" s="67" t="str">
        <f t="shared" si="11"/>
        <v>*</v>
      </c>
      <c r="AL179" s="67" t="str">
        <f t="shared" si="11"/>
        <v>*</v>
      </c>
      <c r="AM179" s="67" t="str">
        <f t="shared" si="11"/>
        <v>*</v>
      </c>
      <c r="AN179" s="67" t="str">
        <f t="shared" si="11"/>
        <v>*</v>
      </c>
      <c r="AO179" s="67" t="str">
        <f t="shared" si="11"/>
        <v>*</v>
      </c>
      <c r="AP179" s="67" t="str">
        <f t="shared" si="11"/>
        <v>*</v>
      </c>
      <c r="AQ179" s="67" t="str">
        <f t="shared" si="11"/>
        <v>*</v>
      </c>
      <c r="AR179" s="67" t="str">
        <f t="shared" si="11"/>
        <v>*</v>
      </c>
      <c r="AS179" s="67" t="str">
        <f t="shared" si="11"/>
        <v/>
      </c>
      <c r="AT179" s="67" t="str">
        <f t="shared" si="11"/>
        <v>*</v>
      </c>
      <c r="AU179" s="67" t="str">
        <f t="shared" si="11"/>
        <v>*</v>
      </c>
      <c r="AV179" s="67" t="str">
        <f t="shared" si="11"/>
        <v>*</v>
      </c>
      <c r="AW179" s="67" t="str">
        <f t="shared" si="11"/>
        <v>*</v>
      </c>
      <c r="AX179" s="67" t="str">
        <f t="shared" si="11"/>
        <v>*</v>
      </c>
    </row>
    <row r="180" spans="1:50" ht="15.75" hidden="1" customHeight="1">
      <c r="A180" s="345" t="s">
        <v>10</v>
      </c>
      <c r="B180" s="65" t="s">
        <v>224</v>
      </c>
      <c r="C180" s="68" t="str">
        <f t="shared" si="11"/>
        <v>*</v>
      </c>
      <c r="D180" s="68" t="str">
        <f t="shared" si="11"/>
        <v>*</v>
      </c>
      <c r="E180" s="68" t="str">
        <f t="shared" si="11"/>
        <v>*</v>
      </c>
      <c r="F180" s="68" t="str">
        <f t="shared" si="11"/>
        <v>*</v>
      </c>
      <c r="G180" s="68" t="str">
        <f t="shared" si="11"/>
        <v>*</v>
      </c>
      <c r="H180" s="68" t="str">
        <f t="shared" si="11"/>
        <v>*</v>
      </c>
      <c r="I180" s="68" t="str">
        <f t="shared" si="11"/>
        <v>*</v>
      </c>
      <c r="J180" s="68" t="str">
        <f t="shared" si="11"/>
        <v>*</v>
      </c>
      <c r="K180" s="68" t="str">
        <f t="shared" si="11"/>
        <v>*</v>
      </c>
      <c r="L180" s="68" t="str">
        <f t="shared" si="11"/>
        <v>*</v>
      </c>
      <c r="M180" s="68" t="str">
        <f t="shared" si="11"/>
        <v>*</v>
      </c>
      <c r="N180" s="68" t="str">
        <f t="shared" si="11"/>
        <v>*</v>
      </c>
      <c r="O180" s="68" t="str">
        <f t="shared" si="11"/>
        <v>*</v>
      </c>
      <c r="P180" s="68" t="str">
        <f t="shared" si="11"/>
        <v>*</v>
      </c>
      <c r="Q180" s="68" t="str">
        <f t="shared" si="11"/>
        <v>*</v>
      </c>
      <c r="R180" s="68" t="str">
        <f t="shared" si="11"/>
        <v>*</v>
      </c>
      <c r="S180" s="68" t="str">
        <f t="shared" si="11"/>
        <v/>
      </c>
      <c r="T180" s="68" t="str">
        <f t="shared" si="11"/>
        <v>*</v>
      </c>
      <c r="U180" s="68" t="str">
        <f t="shared" si="11"/>
        <v>*</v>
      </c>
      <c r="V180" s="68" t="str">
        <f t="shared" si="11"/>
        <v/>
      </c>
      <c r="W180" s="68" t="str">
        <f t="shared" si="11"/>
        <v>*</v>
      </c>
      <c r="X180" s="68" t="str">
        <f t="shared" si="11"/>
        <v>*</v>
      </c>
      <c r="Y180" s="68" t="str">
        <f t="shared" si="11"/>
        <v>*</v>
      </c>
      <c r="Z180" s="68" t="str">
        <f t="shared" si="11"/>
        <v>*</v>
      </c>
      <c r="AA180" s="68" t="str">
        <f t="shared" si="11"/>
        <v>*</v>
      </c>
      <c r="AB180" s="68" t="str">
        <f t="shared" si="11"/>
        <v>*</v>
      </c>
      <c r="AC180" s="68" t="str">
        <f t="shared" si="11"/>
        <v>*</v>
      </c>
      <c r="AD180" s="68" t="str">
        <f t="shared" si="11"/>
        <v>*</v>
      </c>
      <c r="AE180" s="68" t="str">
        <f t="shared" si="11"/>
        <v>*</v>
      </c>
      <c r="AF180" s="68" t="str">
        <f t="shared" si="11"/>
        <v>*</v>
      </c>
      <c r="AG180" s="68" t="str">
        <f t="shared" si="11"/>
        <v>*</v>
      </c>
      <c r="AH180" s="68" t="str">
        <f t="shared" si="11"/>
        <v>*</v>
      </c>
      <c r="AI180" s="68" t="str">
        <f t="shared" si="11"/>
        <v>*</v>
      </c>
      <c r="AJ180" s="68" t="str">
        <f t="shared" si="11"/>
        <v>*</v>
      </c>
      <c r="AK180" s="68" t="str">
        <f t="shared" si="11"/>
        <v>*</v>
      </c>
      <c r="AL180" s="68" t="str">
        <f t="shared" si="11"/>
        <v>*</v>
      </c>
      <c r="AM180" s="68" t="str">
        <f t="shared" si="11"/>
        <v>*</v>
      </c>
      <c r="AN180" s="68" t="str">
        <f t="shared" si="11"/>
        <v>*</v>
      </c>
      <c r="AO180" s="68" t="str">
        <f t="shared" si="11"/>
        <v>*</v>
      </c>
      <c r="AP180" s="68" t="str">
        <f t="shared" si="11"/>
        <v>*</v>
      </c>
      <c r="AQ180" s="68" t="str">
        <f t="shared" si="11"/>
        <v>*</v>
      </c>
      <c r="AR180" s="68" t="str">
        <f t="shared" si="11"/>
        <v>*</v>
      </c>
      <c r="AS180" s="68" t="str">
        <f t="shared" si="11"/>
        <v>*</v>
      </c>
      <c r="AT180" s="68" t="str">
        <f t="shared" si="11"/>
        <v>*</v>
      </c>
      <c r="AU180" s="68" t="str">
        <f t="shared" si="11"/>
        <v>*</v>
      </c>
      <c r="AV180" s="68" t="str">
        <f t="shared" si="11"/>
        <v>*</v>
      </c>
      <c r="AW180" s="68" t="str">
        <f t="shared" si="11"/>
        <v>*</v>
      </c>
      <c r="AX180" s="68" t="str">
        <f t="shared" si="11"/>
        <v>*</v>
      </c>
    </row>
    <row r="181" spans="1:50" ht="15.75" hidden="1" customHeight="1">
      <c r="A181" s="346"/>
      <c r="B181" s="65" t="s">
        <v>225</v>
      </c>
      <c r="C181" s="68" t="str">
        <f t="shared" si="11"/>
        <v>*</v>
      </c>
      <c r="D181" s="68" t="str">
        <f t="shared" si="11"/>
        <v>*</v>
      </c>
      <c r="E181" s="68" t="str">
        <f t="shared" si="11"/>
        <v>*</v>
      </c>
      <c r="F181" s="68" t="str">
        <f t="shared" si="11"/>
        <v>*</v>
      </c>
      <c r="G181" s="68" t="str">
        <f t="shared" si="11"/>
        <v>*</v>
      </c>
      <c r="H181" s="68" t="str">
        <f t="shared" si="11"/>
        <v>*</v>
      </c>
      <c r="I181" s="68" t="str">
        <f t="shared" si="11"/>
        <v>*</v>
      </c>
      <c r="J181" s="68" t="str">
        <f t="shared" si="11"/>
        <v>*</v>
      </c>
      <c r="K181" s="68" t="str">
        <f t="shared" ref="K181:AX181" si="12">IF(K111=K36,"","*")</f>
        <v>*</v>
      </c>
      <c r="L181" s="68" t="str">
        <f t="shared" si="12"/>
        <v>*</v>
      </c>
      <c r="M181" s="68" t="str">
        <f t="shared" si="12"/>
        <v>*</v>
      </c>
      <c r="N181" s="68" t="str">
        <f t="shared" si="12"/>
        <v>*</v>
      </c>
      <c r="O181" s="68" t="str">
        <f t="shared" si="12"/>
        <v>*</v>
      </c>
      <c r="P181" s="68" t="str">
        <f t="shared" si="12"/>
        <v>*</v>
      </c>
      <c r="Q181" s="68" t="str">
        <f t="shared" si="12"/>
        <v>*</v>
      </c>
      <c r="R181" s="68" t="str">
        <f t="shared" si="12"/>
        <v>*</v>
      </c>
      <c r="S181" s="68" t="str">
        <f t="shared" si="12"/>
        <v>*</v>
      </c>
      <c r="T181" s="68" t="str">
        <f t="shared" si="12"/>
        <v/>
      </c>
      <c r="U181" s="68" t="str">
        <f t="shared" si="12"/>
        <v>*</v>
      </c>
      <c r="V181" s="68" t="str">
        <f t="shared" si="12"/>
        <v>*</v>
      </c>
      <c r="W181" s="68" t="str">
        <f t="shared" si="12"/>
        <v>*</v>
      </c>
      <c r="X181" s="68" t="str">
        <f t="shared" si="12"/>
        <v>*</v>
      </c>
      <c r="Y181" s="68" t="str">
        <f t="shared" si="12"/>
        <v>*</v>
      </c>
      <c r="Z181" s="68" t="str">
        <f t="shared" si="12"/>
        <v>*</v>
      </c>
      <c r="AA181" s="68" t="str">
        <f t="shared" si="12"/>
        <v>*</v>
      </c>
      <c r="AB181" s="68" t="str">
        <f t="shared" si="12"/>
        <v>*</v>
      </c>
      <c r="AC181" s="68" t="str">
        <f t="shared" si="12"/>
        <v>*</v>
      </c>
      <c r="AD181" s="68" t="str">
        <f t="shared" si="12"/>
        <v>*</v>
      </c>
      <c r="AE181" s="68" t="str">
        <f t="shared" si="12"/>
        <v>*</v>
      </c>
      <c r="AF181" s="68" t="str">
        <f t="shared" si="12"/>
        <v>*</v>
      </c>
      <c r="AG181" s="68" t="str">
        <f t="shared" si="12"/>
        <v>*</v>
      </c>
      <c r="AH181" s="68" t="str">
        <f t="shared" si="12"/>
        <v>*</v>
      </c>
      <c r="AI181" s="68" t="str">
        <f t="shared" si="12"/>
        <v>*</v>
      </c>
      <c r="AJ181" s="68" t="str">
        <f t="shared" si="12"/>
        <v>*</v>
      </c>
      <c r="AK181" s="68" t="str">
        <f t="shared" si="12"/>
        <v>*</v>
      </c>
      <c r="AL181" s="68" t="str">
        <f t="shared" si="12"/>
        <v>*</v>
      </c>
      <c r="AM181" s="68" t="str">
        <f t="shared" si="12"/>
        <v>*</v>
      </c>
      <c r="AN181" s="68" t="str">
        <f t="shared" si="12"/>
        <v>*</v>
      </c>
      <c r="AO181" s="68" t="str">
        <f t="shared" si="12"/>
        <v>*</v>
      </c>
      <c r="AP181" s="68" t="str">
        <f t="shared" si="12"/>
        <v>*</v>
      </c>
      <c r="AQ181" s="68" t="str">
        <f t="shared" si="12"/>
        <v>*</v>
      </c>
      <c r="AR181" s="68" t="str">
        <f t="shared" si="12"/>
        <v>*</v>
      </c>
      <c r="AS181" s="68" t="str">
        <f t="shared" si="12"/>
        <v>*</v>
      </c>
      <c r="AT181" s="68" t="str">
        <f t="shared" si="12"/>
        <v>*</v>
      </c>
      <c r="AU181" s="68" t="str">
        <f t="shared" si="12"/>
        <v>*</v>
      </c>
      <c r="AV181" s="68" t="str">
        <f t="shared" si="12"/>
        <v>*</v>
      </c>
      <c r="AW181" s="68" t="str">
        <f t="shared" si="12"/>
        <v/>
      </c>
      <c r="AX181" s="68" t="str">
        <f t="shared" si="12"/>
        <v>*</v>
      </c>
    </row>
    <row r="182" spans="1:50" ht="15.75" hidden="1" customHeight="1">
      <c r="A182" s="63" t="s">
        <v>210</v>
      </c>
      <c r="B182" s="64" t="s">
        <v>223</v>
      </c>
      <c r="C182" s="67" t="str">
        <f t="shared" ref="C182:AX186" si="13">IF(C112=C37,"","*")</f>
        <v>*</v>
      </c>
      <c r="D182" s="67" t="str">
        <f t="shared" si="13"/>
        <v>*</v>
      </c>
      <c r="E182" s="67" t="str">
        <f t="shared" si="13"/>
        <v>*</v>
      </c>
      <c r="F182" s="67" t="str">
        <f t="shared" si="13"/>
        <v>*</v>
      </c>
      <c r="G182" s="67" t="str">
        <f t="shared" si="13"/>
        <v>*</v>
      </c>
      <c r="H182" s="67" t="str">
        <f t="shared" si="13"/>
        <v>*</v>
      </c>
      <c r="I182" s="67" t="str">
        <f t="shared" si="13"/>
        <v>*</v>
      </c>
      <c r="J182" s="67" t="str">
        <f t="shared" si="13"/>
        <v>*</v>
      </c>
      <c r="K182" s="67" t="str">
        <f t="shared" si="13"/>
        <v>*</v>
      </c>
      <c r="L182" s="67" t="str">
        <f t="shared" si="13"/>
        <v>*</v>
      </c>
      <c r="M182" s="67" t="str">
        <f t="shared" si="13"/>
        <v>*</v>
      </c>
      <c r="N182" s="67" t="str">
        <f t="shared" si="13"/>
        <v>*</v>
      </c>
      <c r="O182" s="67" t="str">
        <f t="shared" si="13"/>
        <v>*</v>
      </c>
      <c r="P182" s="67" t="str">
        <f t="shared" si="13"/>
        <v>*</v>
      </c>
      <c r="Q182" s="67" t="str">
        <f t="shared" si="13"/>
        <v>*</v>
      </c>
      <c r="R182" s="67" t="str">
        <f t="shared" si="13"/>
        <v>*</v>
      </c>
      <c r="S182" s="67" t="str">
        <f t="shared" si="13"/>
        <v>*</v>
      </c>
      <c r="T182" s="67" t="str">
        <f t="shared" si="13"/>
        <v/>
      </c>
      <c r="U182" s="67" t="str">
        <f t="shared" si="13"/>
        <v/>
      </c>
      <c r="V182" s="67" t="str">
        <f t="shared" si="13"/>
        <v>*</v>
      </c>
      <c r="W182" s="67" t="str">
        <f t="shared" si="13"/>
        <v>*</v>
      </c>
      <c r="X182" s="67" t="str">
        <f t="shared" si="13"/>
        <v>*</v>
      </c>
      <c r="Y182" s="67" t="str">
        <f t="shared" si="13"/>
        <v>*</v>
      </c>
      <c r="Z182" s="67" t="str">
        <f t="shared" si="13"/>
        <v>*</v>
      </c>
      <c r="AA182" s="67" t="str">
        <f t="shared" si="13"/>
        <v>*</v>
      </c>
      <c r="AB182" s="67" t="str">
        <f t="shared" si="13"/>
        <v>*</v>
      </c>
      <c r="AC182" s="67" t="str">
        <f t="shared" si="13"/>
        <v>*</v>
      </c>
      <c r="AD182" s="67" t="str">
        <f t="shared" si="13"/>
        <v>*</v>
      </c>
      <c r="AE182" s="67" t="str">
        <f t="shared" si="13"/>
        <v>*</v>
      </c>
      <c r="AF182" s="67" t="str">
        <f t="shared" si="13"/>
        <v>*</v>
      </c>
      <c r="AG182" s="67" t="str">
        <f t="shared" si="13"/>
        <v>*</v>
      </c>
      <c r="AH182" s="67" t="str">
        <f t="shared" si="13"/>
        <v>*</v>
      </c>
      <c r="AI182" s="67" t="str">
        <f t="shared" si="13"/>
        <v>*</v>
      </c>
      <c r="AJ182" s="67" t="str">
        <f t="shared" si="13"/>
        <v>*</v>
      </c>
      <c r="AK182" s="67" t="str">
        <f t="shared" si="13"/>
        <v>*</v>
      </c>
      <c r="AL182" s="67" t="str">
        <f t="shared" si="13"/>
        <v>*</v>
      </c>
      <c r="AM182" s="67" t="str">
        <f t="shared" si="13"/>
        <v>*</v>
      </c>
      <c r="AN182" s="67" t="str">
        <f t="shared" si="13"/>
        <v>*</v>
      </c>
      <c r="AO182" s="67" t="str">
        <f t="shared" si="13"/>
        <v>*</v>
      </c>
      <c r="AP182" s="67" t="str">
        <f t="shared" si="13"/>
        <v>*</v>
      </c>
      <c r="AQ182" s="67" t="str">
        <f t="shared" si="13"/>
        <v/>
      </c>
      <c r="AR182" s="67" t="str">
        <f t="shared" si="13"/>
        <v>*</v>
      </c>
      <c r="AS182" s="67" t="str">
        <f t="shared" si="13"/>
        <v>*</v>
      </c>
      <c r="AT182" s="67" t="str">
        <f t="shared" si="13"/>
        <v>*</v>
      </c>
      <c r="AU182" s="67" t="str">
        <f t="shared" si="13"/>
        <v>*</v>
      </c>
      <c r="AV182" s="67" t="str">
        <f t="shared" si="13"/>
        <v>*</v>
      </c>
      <c r="AW182" s="67" t="str">
        <f t="shared" si="13"/>
        <v>*</v>
      </c>
      <c r="AX182" s="67" t="str">
        <f t="shared" si="13"/>
        <v>*</v>
      </c>
    </row>
    <row r="183" spans="1:50" ht="15.75" hidden="1" customHeight="1">
      <c r="A183" s="345" t="s">
        <v>11</v>
      </c>
      <c r="B183" s="65" t="s">
        <v>224</v>
      </c>
      <c r="C183" s="68" t="str">
        <f t="shared" si="13"/>
        <v>*</v>
      </c>
      <c r="D183" s="68" t="str">
        <f t="shared" si="13"/>
        <v>*</v>
      </c>
      <c r="E183" s="68" t="str">
        <f t="shared" si="13"/>
        <v>*</v>
      </c>
      <c r="F183" s="68" t="str">
        <f t="shared" si="13"/>
        <v>*</v>
      </c>
      <c r="G183" s="68" t="str">
        <f t="shared" si="13"/>
        <v>*</v>
      </c>
      <c r="H183" s="68" t="str">
        <f t="shared" si="13"/>
        <v>*</v>
      </c>
      <c r="I183" s="68" t="str">
        <f t="shared" si="13"/>
        <v>*</v>
      </c>
      <c r="J183" s="68" t="str">
        <f t="shared" si="13"/>
        <v>*</v>
      </c>
      <c r="K183" s="68" t="str">
        <f t="shared" si="13"/>
        <v>*</v>
      </c>
      <c r="L183" s="68" t="str">
        <f t="shared" si="13"/>
        <v>*</v>
      </c>
      <c r="M183" s="68" t="str">
        <f t="shared" si="13"/>
        <v>*</v>
      </c>
      <c r="N183" s="68" t="str">
        <f t="shared" si="13"/>
        <v>*</v>
      </c>
      <c r="O183" s="68" t="str">
        <f t="shared" si="13"/>
        <v>*</v>
      </c>
      <c r="P183" s="68" t="str">
        <f t="shared" si="13"/>
        <v>*</v>
      </c>
      <c r="Q183" s="68" t="str">
        <f t="shared" si="13"/>
        <v>*</v>
      </c>
      <c r="R183" s="68" t="str">
        <f t="shared" si="13"/>
        <v>*</v>
      </c>
      <c r="S183" s="68" t="str">
        <f t="shared" si="13"/>
        <v>*</v>
      </c>
      <c r="T183" s="68" t="str">
        <f t="shared" si="13"/>
        <v/>
      </c>
      <c r="U183" s="68" t="str">
        <f t="shared" si="13"/>
        <v/>
      </c>
      <c r="V183" s="68" t="str">
        <f t="shared" si="13"/>
        <v>*</v>
      </c>
      <c r="W183" s="68" t="str">
        <f t="shared" si="13"/>
        <v>*</v>
      </c>
      <c r="X183" s="68" t="str">
        <f t="shared" si="13"/>
        <v>*</v>
      </c>
      <c r="Y183" s="68" t="str">
        <f t="shared" si="13"/>
        <v>*</v>
      </c>
      <c r="Z183" s="68" t="str">
        <f t="shared" si="13"/>
        <v>*</v>
      </c>
      <c r="AA183" s="68" t="str">
        <f t="shared" si="13"/>
        <v>*</v>
      </c>
      <c r="AB183" s="68" t="str">
        <f t="shared" si="13"/>
        <v>*</v>
      </c>
      <c r="AC183" s="68" t="str">
        <f t="shared" si="13"/>
        <v>*</v>
      </c>
      <c r="AD183" s="68" t="str">
        <f t="shared" si="13"/>
        <v>*</v>
      </c>
      <c r="AE183" s="68" t="str">
        <f t="shared" si="13"/>
        <v>*</v>
      </c>
      <c r="AF183" s="68" t="str">
        <f t="shared" si="13"/>
        <v>*</v>
      </c>
      <c r="AG183" s="68" t="str">
        <f t="shared" si="13"/>
        <v>*</v>
      </c>
      <c r="AH183" s="68" t="str">
        <f t="shared" si="13"/>
        <v>*</v>
      </c>
      <c r="AI183" s="68" t="str">
        <f t="shared" si="13"/>
        <v>*</v>
      </c>
      <c r="AJ183" s="68" t="str">
        <f t="shared" si="13"/>
        <v>*</v>
      </c>
      <c r="AK183" s="68" t="str">
        <f t="shared" si="13"/>
        <v>*</v>
      </c>
      <c r="AL183" s="68" t="str">
        <f t="shared" si="13"/>
        <v>*</v>
      </c>
      <c r="AM183" s="68" t="str">
        <f t="shared" si="13"/>
        <v>*</v>
      </c>
      <c r="AN183" s="68" t="str">
        <f t="shared" si="13"/>
        <v>*</v>
      </c>
      <c r="AO183" s="68" t="str">
        <f t="shared" si="13"/>
        <v>*</v>
      </c>
      <c r="AP183" s="68" t="str">
        <f t="shared" si="13"/>
        <v>*</v>
      </c>
      <c r="AQ183" s="68" t="str">
        <f t="shared" si="13"/>
        <v/>
      </c>
      <c r="AR183" s="68" t="str">
        <f t="shared" si="13"/>
        <v>*</v>
      </c>
      <c r="AS183" s="68" t="str">
        <f t="shared" si="13"/>
        <v>*</v>
      </c>
      <c r="AT183" s="68" t="str">
        <f t="shared" si="13"/>
        <v>*</v>
      </c>
      <c r="AU183" s="68" t="str">
        <f t="shared" si="13"/>
        <v>*</v>
      </c>
      <c r="AV183" s="68" t="str">
        <f t="shared" si="13"/>
        <v>*</v>
      </c>
      <c r="AW183" s="68" t="str">
        <f t="shared" si="13"/>
        <v>*</v>
      </c>
      <c r="AX183" s="68" t="str">
        <f t="shared" si="13"/>
        <v>*</v>
      </c>
    </row>
    <row r="184" spans="1:50" ht="15.75" hidden="1" customHeight="1">
      <c r="A184" s="346"/>
      <c r="B184" s="65" t="s">
        <v>225</v>
      </c>
      <c r="C184" s="68" t="str">
        <f t="shared" si="13"/>
        <v>*</v>
      </c>
      <c r="D184" s="68" t="str">
        <f t="shared" si="13"/>
        <v>*</v>
      </c>
      <c r="E184" s="68" t="str">
        <f t="shared" si="13"/>
        <v>*</v>
      </c>
      <c r="F184" s="68" t="str">
        <f t="shared" si="13"/>
        <v>*</v>
      </c>
      <c r="G184" s="68" t="str">
        <f t="shared" si="13"/>
        <v>*</v>
      </c>
      <c r="H184" s="68" t="str">
        <f t="shared" si="13"/>
        <v>*</v>
      </c>
      <c r="I184" s="68" t="str">
        <f t="shared" si="13"/>
        <v/>
      </c>
      <c r="J184" s="68" t="str">
        <f t="shared" si="13"/>
        <v>*</v>
      </c>
      <c r="K184" s="68" t="str">
        <f t="shared" si="13"/>
        <v>*</v>
      </c>
      <c r="L184" s="68" t="str">
        <f t="shared" si="13"/>
        <v>*</v>
      </c>
      <c r="M184" s="68" t="str">
        <f t="shared" si="13"/>
        <v>*</v>
      </c>
      <c r="N184" s="68" t="str">
        <f t="shared" si="13"/>
        <v>*</v>
      </c>
      <c r="O184" s="68" t="str">
        <f t="shared" si="13"/>
        <v>*</v>
      </c>
      <c r="P184" s="68" t="str">
        <f t="shared" si="13"/>
        <v>*</v>
      </c>
      <c r="Q184" s="68" t="str">
        <f t="shared" si="13"/>
        <v>*</v>
      </c>
      <c r="R184" s="68" t="str">
        <f t="shared" si="13"/>
        <v>*</v>
      </c>
      <c r="S184" s="68" t="str">
        <f t="shared" si="13"/>
        <v/>
      </c>
      <c r="T184" s="68" t="str">
        <f t="shared" si="13"/>
        <v/>
      </c>
      <c r="U184" s="68" t="str">
        <f t="shared" si="13"/>
        <v/>
      </c>
      <c r="V184" s="68" t="str">
        <f t="shared" si="13"/>
        <v/>
      </c>
      <c r="W184" s="68" t="str">
        <f t="shared" si="13"/>
        <v>*</v>
      </c>
      <c r="X184" s="68" t="str">
        <f t="shared" si="13"/>
        <v>*</v>
      </c>
      <c r="Y184" s="68" t="str">
        <f t="shared" si="13"/>
        <v>*</v>
      </c>
      <c r="Z184" s="68" t="str">
        <f t="shared" si="13"/>
        <v>*</v>
      </c>
      <c r="AA184" s="68" t="str">
        <f t="shared" si="13"/>
        <v>*</v>
      </c>
      <c r="AB184" s="68" t="str">
        <f t="shared" si="13"/>
        <v>*</v>
      </c>
      <c r="AC184" s="68" t="str">
        <f t="shared" si="13"/>
        <v>*</v>
      </c>
      <c r="AD184" s="68" t="str">
        <f t="shared" si="13"/>
        <v>*</v>
      </c>
      <c r="AE184" s="68" t="str">
        <f t="shared" si="13"/>
        <v>*</v>
      </c>
      <c r="AF184" s="68" t="str">
        <f t="shared" si="13"/>
        <v>*</v>
      </c>
      <c r="AG184" s="68" t="str">
        <f t="shared" si="13"/>
        <v>*</v>
      </c>
      <c r="AH184" s="68" t="str">
        <f t="shared" si="13"/>
        <v>*</v>
      </c>
      <c r="AI184" s="68" t="str">
        <f t="shared" si="13"/>
        <v>*</v>
      </c>
      <c r="AJ184" s="68" t="str">
        <f t="shared" si="13"/>
        <v>*</v>
      </c>
      <c r="AK184" s="68" t="str">
        <f t="shared" si="13"/>
        <v>*</v>
      </c>
      <c r="AL184" s="68" t="str">
        <f t="shared" si="13"/>
        <v>*</v>
      </c>
      <c r="AM184" s="68" t="str">
        <f t="shared" si="13"/>
        <v>*</v>
      </c>
      <c r="AN184" s="68" t="str">
        <f t="shared" si="13"/>
        <v>*</v>
      </c>
      <c r="AO184" s="68" t="str">
        <f t="shared" si="13"/>
        <v>*</v>
      </c>
      <c r="AP184" s="68" t="str">
        <f t="shared" si="13"/>
        <v>*</v>
      </c>
      <c r="AQ184" s="68" t="str">
        <f t="shared" si="13"/>
        <v/>
      </c>
      <c r="AR184" s="68" t="str">
        <f t="shared" si="13"/>
        <v/>
      </c>
      <c r="AS184" s="68" t="str">
        <f t="shared" si="13"/>
        <v/>
      </c>
      <c r="AT184" s="68" t="str">
        <f t="shared" si="13"/>
        <v/>
      </c>
      <c r="AU184" s="68" t="str">
        <f t="shared" si="13"/>
        <v>*</v>
      </c>
      <c r="AV184" s="68" t="str">
        <f t="shared" si="13"/>
        <v>*</v>
      </c>
      <c r="AW184" s="68" t="str">
        <f t="shared" si="13"/>
        <v>*</v>
      </c>
      <c r="AX184" s="68" t="str">
        <f t="shared" si="13"/>
        <v>*</v>
      </c>
    </row>
    <row r="185" spans="1:50" ht="15.75" hidden="1" customHeight="1">
      <c r="A185" s="63" t="s">
        <v>211</v>
      </c>
      <c r="B185" s="64" t="s">
        <v>223</v>
      </c>
      <c r="C185" s="67" t="str">
        <f t="shared" si="13"/>
        <v>*</v>
      </c>
      <c r="D185" s="67" t="str">
        <f t="shared" si="13"/>
        <v>*</v>
      </c>
      <c r="E185" s="67" t="str">
        <f t="shared" si="13"/>
        <v>*</v>
      </c>
      <c r="F185" s="67" t="str">
        <f t="shared" si="13"/>
        <v>*</v>
      </c>
      <c r="G185" s="67" t="str">
        <f t="shared" si="13"/>
        <v>*</v>
      </c>
      <c r="H185" s="67" t="str">
        <f t="shared" si="13"/>
        <v>*</v>
      </c>
      <c r="I185" s="67" t="str">
        <f t="shared" si="13"/>
        <v>*</v>
      </c>
      <c r="J185" s="67" t="str">
        <f t="shared" si="13"/>
        <v>*</v>
      </c>
      <c r="K185" s="67" t="str">
        <f t="shared" si="13"/>
        <v>*</v>
      </c>
      <c r="L185" s="67" t="str">
        <f t="shared" si="13"/>
        <v>*</v>
      </c>
      <c r="M185" s="67" t="str">
        <f t="shared" si="13"/>
        <v>*</v>
      </c>
      <c r="N185" s="67" t="str">
        <f t="shared" si="13"/>
        <v>*</v>
      </c>
      <c r="O185" s="67" t="str">
        <f t="shared" si="13"/>
        <v>*</v>
      </c>
      <c r="P185" s="67" t="str">
        <f t="shared" si="13"/>
        <v>*</v>
      </c>
      <c r="Q185" s="67" t="str">
        <f t="shared" si="13"/>
        <v>*</v>
      </c>
      <c r="R185" s="67" t="str">
        <f t="shared" si="13"/>
        <v>*</v>
      </c>
      <c r="S185" s="67" t="str">
        <f t="shared" si="13"/>
        <v>*</v>
      </c>
      <c r="T185" s="67" t="str">
        <f t="shared" si="13"/>
        <v/>
      </c>
      <c r="U185" s="67" t="str">
        <f t="shared" si="13"/>
        <v>*</v>
      </c>
      <c r="V185" s="67" t="str">
        <f t="shared" si="13"/>
        <v>*</v>
      </c>
      <c r="W185" s="67" t="str">
        <f t="shared" si="13"/>
        <v>*</v>
      </c>
      <c r="X185" s="67" t="str">
        <f t="shared" si="13"/>
        <v>*</v>
      </c>
      <c r="Y185" s="67" t="str">
        <f t="shared" si="13"/>
        <v>*</v>
      </c>
      <c r="Z185" s="67" t="str">
        <f t="shared" si="13"/>
        <v>*</v>
      </c>
      <c r="AA185" s="67" t="str">
        <f t="shared" si="13"/>
        <v>*</v>
      </c>
      <c r="AB185" s="67" t="str">
        <f t="shared" si="13"/>
        <v>*</v>
      </c>
      <c r="AC185" s="67" t="str">
        <f t="shared" si="13"/>
        <v>*</v>
      </c>
      <c r="AD185" s="67" t="str">
        <f t="shared" si="13"/>
        <v>*</v>
      </c>
      <c r="AE185" s="67" t="str">
        <f t="shared" si="13"/>
        <v>*</v>
      </c>
      <c r="AF185" s="67" t="str">
        <f t="shared" si="13"/>
        <v>*</v>
      </c>
      <c r="AG185" s="67" t="str">
        <f t="shared" si="13"/>
        <v>*</v>
      </c>
      <c r="AH185" s="67" t="str">
        <f t="shared" si="13"/>
        <v>*</v>
      </c>
      <c r="AI185" s="67" t="str">
        <f t="shared" si="13"/>
        <v>*</v>
      </c>
      <c r="AJ185" s="67" t="str">
        <f t="shared" si="13"/>
        <v>*</v>
      </c>
      <c r="AK185" s="67" t="str">
        <f t="shared" si="13"/>
        <v>*</v>
      </c>
      <c r="AL185" s="67" t="str">
        <f t="shared" si="13"/>
        <v>*</v>
      </c>
      <c r="AM185" s="67" t="str">
        <f t="shared" si="13"/>
        <v>*</v>
      </c>
      <c r="AN185" s="67" t="str">
        <f t="shared" si="13"/>
        <v>*</v>
      </c>
      <c r="AO185" s="67" t="str">
        <f t="shared" si="13"/>
        <v>*</v>
      </c>
      <c r="AP185" s="67" t="str">
        <f t="shared" si="13"/>
        <v>*</v>
      </c>
      <c r="AQ185" s="67" t="str">
        <f t="shared" si="13"/>
        <v>*</v>
      </c>
      <c r="AR185" s="67" t="str">
        <f t="shared" si="13"/>
        <v>*</v>
      </c>
      <c r="AS185" s="67" t="str">
        <f t="shared" si="13"/>
        <v>*</v>
      </c>
      <c r="AT185" s="67" t="str">
        <f t="shared" si="13"/>
        <v>*</v>
      </c>
      <c r="AU185" s="67" t="str">
        <f t="shared" si="13"/>
        <v>*</v>
      </c>
      <c r="AV185" s="67" t="str">
        <f t="shared" si="13"/>
        <v>*</v>
      </c>
      <c r="AW185" s="67" t="str">
        <f t="shared" si="13"/>
        <v>*</v>
      </c>
      <c r="AX185" s="67" t="str">
        <f t="shared" si="13"/>
        <v>*</v>
      </c>
    </row>
    <row r="186" spans="1:50" ht="15.75" hidden="1" customHeight="1">
      <c r="A186" s="345" t="s">
        <v>12</v>
      </c>
      <c r="B186" s="65" t="s">
        <v>224</v>
      </c>
      <c r="C186" s="68" t="str">
        <f t="shared" si="13"/>
        <v>*</v>
      </c>
      <c r="D186" s="68" t="str">
        <f t="shared" si="13"/>
        <v>*</v>
      </c>
      <c r="E186" s="68" t="str">
        <f t="shared" si="13"/>
        <v>*</v>
      </c>
      <c r="F186" s="68" t="str">
        <f t="shared" si="13"/>
        <v>*</v>
      </c>
      <c r="G186" s="68" t="str">
        <f t="shared" si="13"/>
        <v>*</v>
      </c>
      <c r="H186" s="68" t="str">
        <f t="shared" si="13"/>
        <v>*</v>
      </c>
      <c r="I186" s="68" t="str">
        <f t="shared" si="13"/>
        <v>*</v>
      </c>
      <c r="J186" s="68" t="str">
        <f t="shared" si="13"/>
        <v>*</v>
      </c>
      <c r="K186" s="68" t="str">
        <f t="shared" ref="K186:AX193" si="14">IF(K116=K41,"","*")</f>
        <v>*</v>
      </c>
      <c r="L186" s="68" t="str">
        <f t="shared" si="14"/>
        <v>*</v>
      </c>
      <c r="M186" s="68" t="str">
        <f t="shared" si="14"/>
        <v>*</v>
      </c>
      <c r="N186" s="68" t="str">
        <f t="shared" si="14"/>
        <v>*</v>
      </c>
      <c r="O186" s="68" t="str">
        <f t="shared" si="14"/>
        <v>*</v>
      </c>
      <c r="P186" s="68" t="str">
        <f t="shared" si="14"/>
        <v>*</v>
      </c>
      <c r="Q186" s="68" t="str">
        <f t="shared" si="14"/>
        <v>*</v>
      </c>
      <c r="R186" s="68" t="str">
        <f t="shared" si="14"/>
        <v>*</v>
      </c>
      <c r="S186" s="68" t="str">
        <f t="shared" si="14"/>
        <v>*</v>
      </c>
      <c r="T186" s="68" t="str">
        <f t="shared" si="14"/>
        <v>*</v>
      </c>
      <c r="U186" s="68" t="str">
        <f t="shared" si="14"/>
        <v>*</v>
      </c>
      <c r="V186" s="68" t="str">
        <f t="shared" si="14"/>
        <v>*</v>
      </c>
      <c r="W186" s="68" t="str">
        <f t="shared" si="14"/>
        <v>*</v>
      </c>
      <c r="X186" s="68" t="str">
        <f t="shared" si="14"/>
        <v>*</v>
      </c>
      <c r="Y186" s="68" t="str">
        <f t="shared" si="14"/>
        <v>*</v>
      </c>
      <c r="Z186" s="68" t="str">
        <f t="shared" si="14"/>
        <v>*</v>
      </c>
      <c r="AA186" s="68" t="str">
        <f t="shared" si="14"/>
        <v>*</v>
      </c>
      <c r="AB186" s="68" t="str">
        <f t="shared" si="14"/>
        <v>*</v>
      </c>
      <c r="AC186" s="68" t="str">
        <f t="shared" si="14"/>
        <v>*</v>
      </c>
      <c r="AD186" s="68" t="str">
        <f t="shared" si="14"/>
        <v>*</v>
      </c>
      <c r="AE186" s="68" t="str">
        <f t="shared" si="14"/>
        <v>*</v>
      </c>
      <c r="AF186" s="68" t="str">
        <f t="shared" si="14"/>
        <v>*</v>
      </c>
      <c r="AG186" s="68" t="str">
        <f t="shared" si="14"/>
        <v>*</v>
      </c>
      <c r="AH186" s="68" t="str">
        <f t="shared" si="14"/>
        <v>*</v>
      </c>
      <c r="AI186" s="68" t="str">
        <f t="shared" si="14"/>
        <v>*</v>
      </c>
      <c r="AJ186" s="68" t="str">
        <f t="shared" si="14"/>
        <v>*</v>
      </c>
      <c r="AK186" s="68" t="str">
        <f t="shared" si="14"/>
        <v>*</v>
      </c>
      <c r="AL186" s="68" t="str">
        <f t="shared" si="14"/>
        <v>*</v>
      </c>
      <c r="AM186" s="68" t="str">
        <f t="shared" si="14"/>
        <v>*</v>
      </c>
      <c r="AN186" s="68" t="str">
        <f t="shared" si="14"/>
        <v>*</v>
      </c>
      <c r="AO186" s="68" t="str">
        <f t="shared" si="14"/>
        <v>*</v>
      </c>
      <c r="AP186" s="68" t="str">
        <f t="shared" si="14"/>
        <v>*</v>
      </c>
      <c r="AQ186" s="68" t="str">
        <f t="shared" si="14"/>
        <v>*</v>
      </c>
      <c r="AR186" s="68" t="str">
        <f t="shared" si="14"/>
        <v>*</v>
      </c>
      <c r="AS186" s="68" t="str">
        <f t="shared" si="14"/>
        <v>*</v>
      </c>
      <c r="AT186" s="68" t="str">
        <f t="shared" si="14"/>
        <v>*</v>
      </c>
      <c r="AU186" s="68" t="str">
        <f t="shared" si="14"/>
        <v>*</v>
      </c>
      <c r="AV186" s="68" t="str">
        <f t="shared" si="14"/>
        <v>*</v>
      </c>
      <c r="AW186" s="68" t="str">
        <f t="shared" si="14"/>
        <v>*</v>
      </c>
      <c r="AX186" s="68" t="str">
        <f t="shared" si="14"/>
        <v>*</v>
      </c>
    </row>
    <row r="187" spans="1:50" ht="15.75" hidden="1" customHeight="1">
      <c r="A187" s="346"/>
      <c r="B187" s="65" t="s">
        <v>225</v>
      </c>
      <c r="C187" s="68" t="str">
        <f t="shared" ref="C187:Q196" si="15">IF(C117=C42,"","*")</f>
        <v>*</v>
      </c>
      <c r="D187" s="68" t="str">
        <f t="shared" si="15"/>
        <v>*</v>
      </c>
      <c r="E187" s="68" t="str">
        <f t="shared" si="15"/>
        <v>*</v>
      </c>
      <c r="F187" s="68" t="str">
        <f t="shared" si="15"/>
        <v>*</v>
      </c>
      <c r="G187" s="68" t="str">
        <f t="shared" si="15"/>
        <v>*</v>
      </c>
      <c r="H187" s="68" t="str">
        <f t="shared" si="15"/>
        <v>*</v>
      </c>
      <c r="I187" s="68" t="str">
        <f t="shared" si="15"/>
        <v>*</v>
      </c>
      <c r="J187" s="68" t="str">
        <f t="shared" si="15"/>
        <v>*</v>
      </c>
      <c r="K187" s="68" t="str">
        <f t="shared" si="15"/>
        <v>*</v>
      </c>
      <c r="L187" s="68" t="str">
        <f t="shared" si="15"/>
        <v>*</v>
      </c>
      <c r="M187" s="68" t="str">
        <f t="shared" si="15"/>
        <v>*</v>
      </c>
      <c r="N187" s="68" t="str">
        <f t="shared" si="15"/>
        <v>*</v>
      </c>
      <c r="O187" s="68" t="str">
        <f t="shared" si="15"/>
        <v>*</v>
      </c>
      <c r="P187" s="68" t="str">
        <f t="shared" si="15"/>
        <v>*</v>
      </c>
      <c r="Q187" s="68" t="str">
        <f t="shared" si="15"/>
        <v>*</v>
      </c>
      <c r="R187" s="68" t="str">
        <f t="shared" si="14"/>
        <v>*</v>
      </c>
      <c r="S187" s="68" t="str">
        <f t="shared" si="14"/>
        <v>*</v>
      </c>
      <c r="T187" s="68" t="str">
        <f t="shared" si="14"/>
        <v>*</v>
      </c>
      <c r="U187" s="68" t="str">
        <f t="shared" si="14"/>
        <v>*</v>
      </c>
      <c r="V187" s="68" t="str">
        <f t="shared" si="14"/>
        <v>*</v>
      </c>
      <c r="W187" s="68" t="str">
        <f t="shared" si="14"/>
        <v>*</v>
      </c>
      <c r="X187" s="68" t="str">
        <f t="shared" si="14"/>
        <v>*</v>
      </c>
      <c r="Y187" s="68" t="str">
        <f t="shared" si="14"/>
        <v>*</v>
      </c>
      <c r="Z187" s="68" t="str">
        <f t="shared" si="14"/>
        <v>*</v>
      </c>
      <c r="AA187" s="68" t="str">
        <f t="shared" si="14"/>
        <v>*</v>
      </c>
      <c r="AB187" s="68" t="str">
        <f t="shared" si="14"/>
        <v>*</v>
      </c>
      <c r="AC187" s="68" t="str">
        <f t="shared" si="14"/>
        <v>*</v>
      </c>
      <c r="AD187" s="68" t="str">
        <f t="shared" si="14"/>
        <v>*</v>
      </c>
      <c r="AE187" s="68" t="str">
        <f t="shared" si="14"/>
        <v>*</v>
      </c>
      <c r="AF187" s="68" t="str">
        <f t="shared" si="14"/>
        <v>*</v>
      </c>
      <c r="AG187" s="68" t="str">
        <f t="shared" si="14"/>
        <v>*</v>
      </c>
      <c r="AH187" s="68" t="str">
        <f t="shared" si="14"/>
        <v>*</v>
      </c>
      <c r="AI187" s="68" t="str">
        <f t="shared" si="14"/>
        <v>*</v>
      </c>
      <c r="AJ187" s="68" t="str">
        <f t="shared" si="14"/>
        <v>*</v>
      </c>
      <c r="AK187" s="68" t="str">
        <f t="shared" si="14"/>
        <v>*</v>
      </c>
      <c r="AL187" s="68" t="str">
        <f t="shared" si="14"/>
        <v>*</v>
      </c>
      <c r="AM187" s="68" t="str">
        <f t="shared" si="14"/>
        <v>*</v>
      </c>
      <c r="AN187" s="68" t="str">
        <f t="shared" si="14"/>
        <v>*</v>
      </c>
      <c r="AO187" s="68" t="str">
        <f t="shared" si="14"/>
        <v>*</v>
      </c>
      <c r="AP187" s="68" t="str">
        <f t="shared" si="14"/>
        <v>*</v>
      </c>
      <c r="AQ187" s="68" t="str">
        <f t="shared" si="14"/>
        <v>*</v>
      </c>
      <c r="AR187" s="68" t="str">
        <f t="shared" si="14"/>
        <v>*</v>
      </c>
      <c r="AS187" s="68" t="str">
        <f t="shared" si="14"/>
        <v>*</v>
      </c>
      <c r="AT187" s="68" t="str">
        <f t="shared" si="14"/>
        <v>*</v>
      </c>
      <c r="AU187" s="68" t="str">
        <f t="shared" si="14"/>
        <v>*</v>
      </c>
      <c r="AV187" s="68" t="str">
        <f t="shared" si="14"/>
        <v>*</v>
      </c>
      <c r="AW187" s="68" t="str">
        <f t="shared" si="14"/>
        <v>*</v>
      </c>
      <c r="AX187" s="68" t="str">
        <f t="shared" si="14"/>
        <v>*</v>
      </c>
    </row>
    <row r="188" spans="1:50" ht="15.75" hidden="1" customHeight="1">
      <c r="A188" s="63" t="s">
        <v>212</v>
      </c>
      <c r="B188" s="64" t="s">
        <v>223</v>
      </c>
      <c r="C188" s="67" t="str">
        <f t="shared" si="15"/>
        <v>*</v>
      </c>
      <c r="D188" s="67" t="str">
        <f t="shared" si="15"/>
        <v>*</v>
      </c>
      <c r="E188" s="67" t="str">
        <f t="shared" si="15"/>
        <v>*</v>
      </c>
      <c r="F188" s="67" t="str">
        <f t="shared" si="15"/>
        <v>*</v>
      </c>
      <c r="G188" s="67" t="str">
        <f t="shared" si="15"/>
        <v>*</v>
      </c>
      <c r="H188" s="67" t="str">
        <f t="shared" si="15"/>
        <v>*</v>
      </c>
      <c r="I188" s="67" t="str">
        <f t="shared" si="15"/>
        <v>*</v>
      </c>
      <c r="J188" s="67" t="str">
        <f t="shared" si="15"/>
        <v>*</v>
      </c>
      <c r="K188" s="67" t="str">
        <f t="shared" si="15"/>
        <v>*</v>
      </c>
      <c r="L188" s="67" t="str">
        <f t="shared" si="15"/>
        <v>*</v>
      </c>
      <c r="M188" s="67" t="str">
        <f t="shared" si="15"/>
        <v>*</v>
      </c>
      <c r="N188" s="67" t="str">
        <f t="shared" si="15"/>
        <v>*</v>
      </c>
      <c r="O188" s="67" t="str">
        <f t="shared" si="15"/>
        <v>*</v>
      </c>
      <c r="P188" s="67" t="str">
        <f t="shared" si="15"/>
        <v>*</v>
      </c>
      <c r="Q188" s="67" t="str">
        <f t="shared" si="15"/>
        <v>*</v>
      </c>
      <c r="R188" s="67" t="str">
        <f t="shared" si="14"/>
        <v>*</v>
      </c>
      <c r="S188" s="67" t="str">
        <f t="shared" si="14"/>
        <v>*</v>
      </c>
      <c r="T188" s="67" t="str">
        <f t="shared" si="14"/>
        <v/>
      </c>
      <c r="U188" s="67" t="str">
        <f t="shared" si="14"/>
        <v>*</v>
      </c>
      <c r="V188" s="67" t="str">
        <f t="shared" si="14"/>
        <v/>
      </c>
      <c r="W188" s="67" t="str">
        <f t="shared" si="14"/>
        <v>*</v>
      </c>
      <c r="X188" s="67" t="str">
        <f t="shared" si="14"/>
        <v>*</v>
      </c>
      <c r="Y188" s="67" t="str">
        <f t="shared" si="14"/>
        <v>*</v>
      </c>
      <c r="Z188" s="67" t="str">
        <f t="shared" si="14"/>
        <v>*</v>
      </c>
      <c r="AA188" s="67" t="str">
        <f t="shared" si="14"/>
        <v>*</v>
      </c>
      <c r="AB188" s="67" t="str">
        <f t="shared" si="14"/>
        <v>*</v>
      </c>
      <c r="AC188" s="67" t="str">
        <f t="shared" si="14"/>
        <v>*</v>
      </c>
      <c r="AD188" s="67" t="str">
        <f t="shared" si="14"/>
        <v>*</v>
      </c>
      <c r="AE188" s="67" t="str">
        <f t="shared" si="14"/>
        <v>*</v>
      </c>
      <c r="AF188" s="67" t="str">
        <f t="shared" si="14"/>
        <v>*</v>
      </c>
      <c r="AG188" s="67" t="str">
        <f t="shared" si="14"/>
        <v>*</v>
      </c>
      <c r="AH188" s="67" t="str">
        <f t="shared" si="14"/>
        <v>*</v>
      </c>
      <c r="AI188" s="67" t="str">
        <f t="shared" si="14"/>
        <v>*</v>
      </c>
      <c r="AJ188" s="67" t="str">
        <f t="shared" si="14"/>
        <v>*</v>
      </c>
      <c r="AK188" s="67" t="str">
        <f t="shared" si="14"/>
        <v>*</v>
      </c>
      <c r="AL188" s="67" t="str">
        <f t="shared" si="14"/>
        <v>*</v>
      </c>
      <c r="AM188" s="67" t="str">
        <f t="shared" si="14"/>
        <v>*</v>
      </c>
      <c r="AN188" s="67" t="str">
        <f t="shared" si="14"/>
        <v>*</v>
      </c>
      <c r="AO188" s="67" t="str">
        <f t="shared" si="14"/>
        <v>*</v>
      </c>
      <c r="AP188" s="67" t="str">
        <f t="shared" si="14"/>
        <v>*</v>
      </c>
      <c r="AQ188" s="67" t="str">
        <f t="shared" si="14"/>
        <v>*</v>
      </c>
      <c r="AR188" s="67" t="str">
        <f t="shared" si="14"/>
        <v/>
      </c>
      <c r="AS188" s="67" t="str">
        <f t="shared" si="14"/>
        <v>*</v>
      </c>
      <c r="AT188" s="67" t="str">
        <f t="shared" si="14"/>
        <v/>
      </c>
      <c r="AU188" s="67" t="str">
        <f t="shared" si="14"/>
        <v>*</v>
      </c>
      <c r="AV188" s="67" t="str">
        <f t="shared" si="14"/>
        <v>*</v>
      </c>
      <c r="AW188" s="67" t="str">
        <f t="shared" si="14"/>
        <v>*</v>
      </c>
      <c r="AX188" s="67" t="str">
        <f t="shared" si="14"/>
        <v>*</v>
      </c>
    </row>
    <row r="189" spans="1:50" ht="15.75" hidden="1" customHeight="1">
      <c r="A189" s="345" t="s">
        <v>13</v>
      </c>
      <c r="B189" s="65" t="s">
        <v>224</v>
      </c>
      <c r="C189" s="68" t="str">
        <f t="shared" si="15"/>
        <v>*</v>
      </c>
      <c r="D189" s="68" t="str">
        <f t="shared" si="15"/>
        <v>*</v>
      </c>
      <c r="E189" s="68" t="str">
        <f t="shared" si="15"/>
        <v>*</v>
      </c>
      <c r="F189" s="68" t="str">
        <f t="shared" si="15"/>
        <v>*</v>
      </c>
      <c r="G189" s="68" t="str">
        <f t="shared" si="15"/>
        <v>*</v>
      </c>
      <c r="H189" s="68" t="str">
        <f t="shared" si="15"/>
        <v>*</v>
      </c>
      <c r="I189" s="68" t="str">
        <f t="shared" si="15"/>
        <v>*</v>
      </c>
      <c r="J189" s="68" t="str">
        <f t="shared" si="15"/>
        <v>*</v>
      </c>
      <c r="K189" s="68" t="str">
        <f t="shared" si="15"/>
        <v>*</v>
      </c>
      <c r="L189" s="68" t="str">
        <f t="shared" si="15"/>
        <v>*</v>
      </c>
      <c r="M189" s="68" t="str">
        <f t="shared" si="15"/>
        <v>*</v>
      </c>
      <c r="N189" s="68" t="str">
        <f t="shared" si="15"/>
        <v>*</v>
      </c>
      <c r="O189" s="68" t="str">
        <f t="shared" si="15"/>
        <v>*</v>
      </c>
      <c r="P189" s="68" t="str">
        <f t="shared" si="15"/>
        <v>*</v>
      </c>
      <c r="Q189" s="68" t="str">
        <f t="shared" si="15"/>
        <v>*</v>
      </c>
      <c r="R189" s="68" t="str">
        <f t="shared" si="14"/>
        <v>*</v>
      </c>
      <c r="S189" s="68" t="str">
        <f t="shared" si="14"/>
        <v/>
      </c>
      <c r="T189" s="68" t="str">
        <f t="shared" si="14"/>
        <v/>
      </c>
      <c r="U189" s="68" t="str">
        <f t="shared" si="14"/>
        <v/>
      </c>
      <c r="V189" s="68" t="str">
        <f t="shared" si="14"/>
        <v/>
      </c>
      <c r="W189" s="68" t="str">
        <f t="shared" si="14"/>
        <v/>
      </c>
      <c r="X189" s="68" t="str">
        <f t="shared" si="14"/>
        <v>*</v>
      </c>
      <c r="Y189" s="68" t="str">
        <f t="shared" si="14"/>
        <v>*</v>
      </c>
      <c r="Z189" s="68" t="str">
        <f t="shared" si="14"/>
        <v>*</v>
      </c>
      <c r="AA189" s="68" t="str">
        <f t="shared" si="14"/>
        <v>*</v>
      </c>
      <c r="AB189" s="68" t="str">
        <f t="shared" si="14"/>
        <v>*</v>
      </c>
      <c r="AC189" s="68" t="str">
        <f t="shared" si="14"/>
        <v>*</v>
      </c>
      <c r="AD189" s="68" t="str">
        <f t="shared" si="14"/>
        <v>*</v>
      </c>
      <c r="AE189" s="68" t="str">
        <f t="shared" si="14"/>
        <v>*</v>
      </c>
      <c r="AF189" s="68" t="str">
        <f t="shared" si="14"/>
        <v>*</v>
      </c>
      <c r="AG189" s="68" t="str">
        <f t="shared" si="14"/>
        <v>*</v>
      </c>
      <c r="AH189" s="68" t="str">
        <f t="shared" si="14"/>
        <v>*</v>
      </c>
      <c r="AI189" s="68" t="str">
        <f t="shared" si="14"/>
        <v>*</v>
      </c>
      <c r="AJ189" s="68" t="str">
        <f t="shared" si="14"/>
        <v>*</v>
      </c>
      <c r="AK189" s="68" t="str">
        <f t="shared" si="14"/>
        <v>*</v>
      </c>
      <c r="AL189" s="68" t="str">
        <f t="shared" si="14"/>
        <v>*</v>
      </c>
      <c r="AM189" s="68" t="str">
        <f t="shared" si="14"/>
        <v>*</v>
      </c>
      <c r="AN189" s="68" t="str">
        <f t="shared" si="14"/>
        <v>*</v>
      </c>
      <c r="AO189" s="68" t="str">
        <f t="shared" si="14"/>
        <v>*</v>
      </c>
      <c r="AP189" s="68" t="str">
        <f t="shared" si="14"/>
        <v>*</v>
      </c>
      <c r="AQ189" s="68" t="str">
        <f t="shared" si="14"/>
        <v/>
      </c>
      <c r="AR189" s="68" t="str">
        <f t="shared" si="14"/>
        <v/>
      </c>
      <c r="AS189" s="68" t="str">
        <f t="shared" si="14"/>
        <v/>
      </c>
      <c r="AT189" s="68" t="str">
        <f t="shared" si="14"/>
        <v/>
      </c>
      <c r="AU189" s="68" t="str">
        <f t="shared" si="14"/>
        <v>*</v>
      </c>
      <c r="AV189" s="68" t="str">
        <f t="shared" si="14"/>
        <v>*</v>
      </c>
      <c r="AW189" s="68" t="str">
        <f t="shared" si="14"/>
        <v>*</v>
      </c>
      <c r="AX189" s="68" t="str">
        <f t="shared" si="14"/>
        <v/>
      </c>
    </row>
    <row r="190" spans="1:50" ht="15.75" hidden="1" customHeight="1">
      <c r="A190" s="346"/>
      <c r="B190" s="65" t="s">
        <v>225</v>
      </c>
      <c r="C190" s="68" t="str">
        <f t="shared" si="15"/>
        <v>*</v>
      </c>
      <c r="D190" s="68" t="str">
        <f t="shared" si="15"/>
        <v>*</v>
      </c>
      <c r="E190" s="68" t="str">
        <f t="shared" si="15"/>
        <v>*</v>
      </c>
      <c r="F190" s="68" t="str">
        <f t="shared" si="15"/>
        <v>*</v>
      </c>
      <c r="G190" s="68" t="str">
        <f t="shared" si="15"/>
        <v>*</v>
      </c>
      <c r="H190" s="68" t="str">
        <f t="shared" si="15"/>
        <v>*</v>
      </c>
      <c r="I190" s="68" t="str">
        <f t="shared" si="15"/>
        <v>*</v>
      </c>
      <c r="J190" s="68" t="str">
        <f t="shared" si="15"/>
        <v>*</v>
      </c>
      <c r="K190" s="68" t="str">
        <f t="shared" si="15"/>
        <v>*</v>
      </c>
      <c r="L190" s="68" t="str">
        <f t="shared" si="15"/>
        <v>*</v>
      </c>
      <c r="M190" s="68" t="str">
        <f t="shared" si="15"/>
        <v>*</v>
      </c>
      <c r="N190" s="68" t="str">
        <f t="shared" si="15"/>
        <v>*</v>
      </c>
      <c r="O190" s="68" t="str">
        <f t="shared" si="15"/>
        <v>*</v>
      </c>
      <c r="P190" s="68" t="str">
        <f t="shared" si="15"/>
        <v>*</v>
      </c>
      <c r="Q190" s="68" t="str">
        <f t="shared" si="15"/>
        <v>*</v>
      </c>
      <c r="R190" s="68" t="str">
        <f t="shared" si="14"/>
        <v>*</v>
      </c>
      <c r="S190" s="68" t="str">
        <f t="shared" si="14"/>
        <v>*</v>
      </c>
      <c r="T190" s="68" t="str">
        <f t="shared" si="14"/>
        <v/>
      </c>
      <c r="U190" s="68" t="str">
        <f t="shared" si="14"/>
        <v>*</v>
      </c>
      <c r="V190" s="68" t="str">
        <f t="shared" si="14"/>
        <v/>
      </c>
      <c r="W190" s="68" t="str">
        <f t="shared" si="14"/>
        <v>*</v>
      </c>
      <c r="X190" s="68" t="str">
        <f t="shared" si="14"/>
        <v>*</v>
      </c>
      <c r="Y190" s="68" t="str">
        <f t="shared" si="14"/>
        <v>*</v>
      </c>
      <c r="Z190" s="68" t="str">
        <f t="shared" si="14"/>
        <v>*</v>
      </c>
      <c r="AA190" s="68" t="str">
        <f t="shared" si="14"/>
        <v>*</v>
      </c>
      <c r="AB190" s="68" t="str">
        <f t="shared" si="14"/>
        <v>*</v>
      </c>
      <c r="AC190" s="68" t="str">
        <f t="shared" si="14"/>
        <v>*</v>
      </c>
      <c r="AD190" s="68" t="str">
        <f t="shared" si="14"/>
        <v>*</v>
      </c>
      <c r="AE190" s="68" t="str">
        <f t="shared" si="14"/>
        <v>*</v>
      </c>
      <c r="AF190" s="68" t="str">
        <f t="shared" si="14"/>
        <v>*</v>
      </c>
      <c r="AG190" s="68" t="str">
        <f t="shared" si="14"/>
        <v>*</v>
      </c>
      <c r="AH190" s="68" t="str">
        <f t="shared" si="14"/>
        <v>*</v>
      </c>
      <c r="AI190" s="68" t="str">
        <f t="shared" si="14"/>
        <v>*</v>
      </c>
      <c r="AJ190" s="68" t="str">
        <f t="shared" si="14"/>
        <v/>
      </c>
      <c r="AK190" s="68" t="str">
        <f t="shared" si="14"/>
        <v>*</v>
      </c>
      <c r="AL190" s="68" t="str">
        <f t="shared" si="14"/>
        <v>*</v>
      </c>
      <c r="AM190" s="68" t="str">
        <f t="shared" si="14"/>
        <v>*</v>
      </c>
      <c r="AN190" s="68" t="str">
        <f t="shared" si="14"/>
        <v>*</v>
      </c>
      <c r="AO190" s="68" t="str">
        <f t="shared" si="14"/>
        <v>*</v>
      </c>
      <c r="AP190" s="68" t="str">
        <f t="shared" si="14"/>
        <v/>
      </c>
      <c r="AQ190" s="68" t="str">
        <f t="shared" si="14"/>
        <v>*</v>
      </c>
      <c r="AR190" s="68" t="str">
        <f t="shared" si="14"/>
        <v/>
      </c>
      <c r="AS190" s="68" t="str">
        <f t="shared" si="14"/>
        <v>*</v>
      </c>
      <c r="AT190" s="68" t="str">
        <f t="shared" si="14"/>
        <v/>
      </c>
      <c r="AU190" s="68" t="str">
        <f t="shared" si="14"/>
        <v>*</v>
      </c>
      <c r="AV190" s="68" t="str">
        <f t="shared" si="14"/>
        <v>*</v>
      </c>
      <c r="AW190" s="68" t="str">
        <f t="shared" si="14"/>
        <v>*</v>
      </c>
      <c r="AX190" s="68" t="str">
        <f t="shared" si="14"/>
        <v>*</v>
      </c>
    </row>
    <row r="191" spans="1:50" ht="15.75" hidden="1" customHeight="1">
      <c r="A191" s="63" t="s">
        <v>213</v>
      </c>
      <c r="B191" s="64" t="s">
        <v>223</v>
      </c>
      <c r="C191" s="67" t="str">
        <f t="shared" si="15"/>
        <v>*</v>
      </c>
      <c r="D191" s="67" t="str">
        <f t="shared" si="15"/>
        <v>*</v>
      </c>
      <c r="E191" s="67" t="str">
        <f t="shared" si="15"/>
        <v>*</v>
      </c>
      <c r="F191" s="67" t="str">
        <f t="shared" si="15"/>
        <v>*</v>
      </c>
      <c r="G191" s="67" t="str">
        <f t="shared" si="15"/>
        <v>*</v>
      </c>
      <c r="H191" s="67" t="str">
        <f t="shared" si="15"/>
        <v>*</v>
      </c>
      <c r="I191" s="67" t="str">
        <f t="shared" si="15"/>
        <v>*</v>
      </c>
      <c r="J191" s="67" t="str">
        <f t="shared" si="15"/>
        <v>*</v>
      </c>
      <c r="K191" s="67" t="str">
        <f t="shared" si="15"/>
        <v>*</v>
      </c>
      <c r="L191" s="67" t="str">
        <f t="shared" si="15"/>
        <v>*</v>
      </c>
      <c r="M191" s="67" t="str">
        <f t="shared" si="15"/>
        <v>*</v>
      </c>
      <c r="N191" s="67" t="str">
        <f t="shared" si="15"/>
        <v>*</v>
      </c>
      <c r="O191" s="67" t="str">
        <f t="shared" si="15"/>
        <v>*</v>
      </c>
      <c r="P191" s="67" t="str">
        <f t="shared" si="15"/>
        <v>*</v>
      </c>
      <c r="Q191" s="67" t="str">
        <f t="shared" si="15"/>
        <v>*</v>
      </c>
      <c r="R191" s="67" t="str">
        <f t="shared" si="14"/>
        <v>*</v>
      </c>
      <c r="S191" s="67" t="str">
        <f t="shared" si="14"/>
        <v>*</v>
      </c>
      <c r="T191" s="67" t="str">
        <f t="shared" si="14"/>
        <v>*</v>
      </c>
      <c r="U191" s="67" t="str">
        <f t="shared" si="14"/>
        <v>*</v>
      </c>
      <c r="V191" s="67" t="str">
        <f t="shared" si="14"/>
        <v>*</v>
      </c>
      <c r="W191" s="67" t="str">
        <f t="shared" si="14"/>
        <v>*</v>
      </c>
      <c r="X191" s="67" t="str">
        <f t="shared" si="14"/>
        <v>*</v>
      </c>
      <c r="Y191" s="67" t="str">
        <f t="shared" si="14"/>
        <v>*</v>
      </c>
      <c r="Z191" s="67" t="str">
        <f t="shared" si="14"/>
        <v>*</v>
      </c>
      <c r="AA191" s="67" t="str">
        <f t="shared" si="14"/>
        <v>*</v>
      </c>
      <c r="AB191" s="67" t="str">
        <f t="shared" si="14"/>
        <v>*</v>
      </c>
      <c r="AC191" s="67" t="str">
        <f t="shared" si="14"/>
        <v>*</v>
      </c>
      <c r="AD191" s="67" t="str">
        <f t="shared" si="14"/>
        <v>*</v>
      </c>
      <c r="AE191" s="67" t="str">
        <f t="shared" si="14"/>
        <v>*</v>
      </c>
      <c r="AF191" s="67" t="str">
        <f t="shared" si="14"/>
        <v>*</v>
      </c>
      <c r="AG191" s="67" t="str">
        <f t="shared" si="14"/>
        <v>*</v>
      </c>
      <c r="AH191" s="67" t="str">
        <f t="shared" si="14"/>
        <v>*</v>
      </c>
      <c r="AI191" s="67" t="str">
        <f t="shared" si="14"/>
        <v>*</v>
      </c>
      <c r="AJ191" s="67" t="str">
        <f t="shared" si="14"/>
        <v>*</v>
      </c>
      <c r="AK191" s="67" t="str">
        <f t="shared" si="14"/>
        <v>*</v>
      </c>
      <c r="AL191" s="67" t="str">
        <f t="shared" si="14"/>
        <v>*</v>
      </c>
      <c r="AM191" s="67" t="str">
        <f t="shared" si="14"/>
        <v>*</v>
      </c>
      <c r="AN191" s="67" t="str">
        <f t="shared" si="14"/>
        <v>*</v>
      </c>
      <c r="AO191" s="67" t="str">
        <f t="shared" si="14"/>
        <v>*</v>
      </c>
      <c r="AP191" s="67" t="str">
        <f t="shared" si="14"/>
        <v>*</v>
      </c>
      <c r="AQ191" s="67" t="str">
        <f t="shared" si="14"/>
        <v>*</v>
      </c>
      <c r="AR191" s="67" t="str">
        <f t="shared" si="14"/>
        <v>*</v>
      </c>
      <c r="AS191" s="67" t="str">
        <f t="shared" si="14"/>
        <v>*</v>
      </c>
      <c r="AT191" s="67" t="str">
        <f t="shared" si="14"/>
        <v>*</v>
      </c>
      <c r="AU191" s="67" t="str">
        <f t="shared" si="14"/>
        <v>*</v>
      </c>
      <c r="AV191" s="67" t="str">
        <f t="shared" si="14"/>
        <v>*</v>
      </c>
      <c r="AW191" s="67" t="str">
        <f t="shared" si="14"/>
        <v>*</v>
      </c>
      <c r="AX191" s="67" t="str">
        <f t="shared" si="14"/>
        <v>*</v>
      </c>
    </row>
    <row r="192" spans="1:50" ht="15.75" hidden="1" customHeight="1">
      <c r="A192" s="345" t="s">
        <v>14</v>
      </c>
      <c r="B192" s="65" t="s">
        <v>224</v>
      </c>
      <c r="C192" s="68" t="str">
        <f t="shared" si="15"/>
        <v>*</v>
      </c>
      <c r="D192" s="68" t="str">
        <f t="shared" si="15"/>
        <v>*</v>
      </c>
      <c r="E192" s="68" t="str">
        <f t="shared" si="15"/>
        <v>*</v>
      </c>
      <c r="F192" s="68" t="str">
        <f t="shared" si="15"/>
        <v>*</v>
      </c>
      <c r="G192" s="68" t="str">
        <f t="shared" si="15"/>
        <v>*</v>
      </c>
      <c r="H192" s="68" t="str">
        <f t="shared" si="15"/>
        <v>*</v>
      </c>
      <c r="I192" s="68" t="str">
        <f t="shared" si="15"/>
        <v>*</v>
      </c>
      <c r="J192" s="68" t="str">
        <f t="shared" si="15"/>
        <v>*</v>
      </c>
      <c r="K192" s="68" t="str">
        <f t="shared" si="15"/>
        <v>*</v>
      </c>
      <c r="L192" s="68" t="str">
        <f t="shared" si="15"/>
        <v>*</v>
      </c>
      <c r="M192" s="68" t="str">
        <f t="shared" si="15"/>
        <v>*</v>
      </c>
      <c r="N192" s="68" t="str">
        <f t="shared" si="15"/>
        <v>*</v>
      </c>
      <c r="O192" s="68" t="str">
        <f t="shared" si="15"/>
        <v>*</v>
      </c>
      <c r="P192" s="68" t="str">
        <f t="shared" si="15"/>
        <v>*</v>
      </c>
      <c r="Q192" s="68" t="str">
        <f t="shared" si="15"/>
        <v>*</v>
      </c>
      <c r="R192" s="68" t="str">
        <f t="shared" si="14"/>
        <v>*</v>
      </c>
      <c r="S192" s="68" t="str">
        <f t="shared" si="14"/>
        <v>*</v>
      </c>
      <c r="T192" s="68" t="str">
        <f t="shared" si="14"/>
        <v>*</v>
      </c>
      <c r="U192" s="68" t="str">
        <f t="shared" si="14"/>
        <v>*</v>
      </c>
      <c r="V192" s="68" t="str">
        <f t="shared" si="14"/>
        <v>*</v>
      </c>
      <c r="W192" s="68" t="str">
        <f t="shared" si="14"/>
        <v>*</v>
      </c>
      <c r="X192" s="68" t="str">
        <f t="shared" si="14"/>
        <v>*</v>
      </c>
      <c r="Y192" s="68" t="str">
        <f t="shared" si="14"/>
        <v>*</v>
      </c>
      <c r="Z192" s="68" t="str">
        <f t="shared" si="14"/>
        <v>*</v>
      </c>
      <c r="AA192" s="68" t="str">
        <f t="shared" si="14"/>
        <v>*</v>
      </c>
      <c r="AB192" s="68" t="str">
        <f t="shared" si="14"/>
        <v>*</v>
      </c>
      <c r="AC192" s="68" t="str">
        <f t="shared" si="14"/>
        <v>*</v>
      </c>
      <c r="AD192" s="68" t="str">
        <f t="shared" si="14"/>
        <v>*</v>
      </c>
      <c r="AE192" s="68" t="str">
        <f t="shared" si="14"/>
        <v>*</v>
      </c>
      <c r="AF192" s="68" t="str">
        <f t="shared" si="14"/>
        <v>*</v>
      </c>
      <c r="AG192" s="68" t="str">
        <f t="shared" si="14"/>
        <v>*</v>
      </c>
      <c r="AH192" s="68" t="str">
        <f t="shared" si="14"/>
        <v>*</v>
      </c>
      <c r="AI192" s="68" t="str">
        <f t="shared" si="14"/>
        <v>*</v>
      </c>
      <c r="AJ192" s="68" t="str">
        <f t="shared" si="14"/>
        <v>*</v>
      </c>
      <c r="AK192" s="68" t="str">
        <f t="shared" si="14"/>
        <v>*</v>
      </c>
      <c r="AL192" s="68" t="str">
        <f t="shared" si="14"/>
        <v>*</v>
      </c>
      <c r="AM192" s="68" t="str">
        <f t="shared" si="14"/>
        <v>*</v>
      </c>
      <c r="AN192" s="68" t="str">
        <f t="shared" si="14"/>
        <v>*</v>
      </c>
      <c r="AO192" s="68" t="str">
        <f t="shared" si="14"/>
        <v>*</v>
      </c>
      <c r="AP192" s="68" t="str">
        <f t="shared" si="14"/>
        <v>*</v>
      </c>
      <c r="AQ192" s="68" t="str">
        <f t="shared" si="14"/>
        <v>*</v>
      </c>
      <c r="AR192" s="68" t="str">
        <f t="shared" si="14"/>
        <v>*</v>
      </c>
      <c r="AS192" s="68" t="str">
        <f t="shared" si="14"/>
        <v/>
      </c>
      <c r="AT192" s="68" t="str">
        <f t="shared" si="14"/>
        <v/>
      </c>
      <c r="AU192" s="68" t="str">
        <f t="shared" si="14"/>
        <v>*</v>
      </c>
      <c r="AV192" s="68" t="str">
        <f t="shared" si="14"/>
        <v>*</v>
      </c>
      <c r="AW192" s="68" t="str">
        <f t="shared" si="14"/>
        <v>*</v>
      </c>
      <c r="AX192" s="68" t="str">
        <f t="shared" si="14"/>
        <v>*</v>
      </c>
    </row>
    <row r="193" spans="1:50" ht="15.75" hidden="1" customHeight="1">
      <c r="A193" s="346"/>
      <c r="B193" s="65" t="s">
        <v>225</v>
      </c>
      <c r="C193" s="68" t="str">
        <f t="shared" si="15"/>
        <v>*</v>
      </c>
      <c r="D193" s="68" t="str">
        <f t="shared" si="15"/>
        <v>*</v>
      </c>
      <c r="E193" s="68" t="str">
        <f t="shared" si="15"/>
        <v>*</v>
      </c>
      <c r="F193" s="68" t="str">
        <f t="shared" si="15"/>
        <v>*</v>
      </c>
      <c r="G193" s="68" t="str">
        <f t="shared" si="15"/>
        <v>*</v>
      </c>
      <c r="H193" s="68" t="str">
        <f t="shared" si="15"/>
        <v>*</v>
      </c>
      <c r="I193" s="68" t="str">
        <f t="shared" si="15"/>
        <v>*</v>
      </c>
      <c r="J193" s="68" t="str">
        <f t="shared" si="15"/>
        <v>*</v>
      </c>
      <c r="K193" s="68" t="str">
        <f t="shared" si="15"/>
        <v>*</v>
      </c>
      <c r="L193" s="68" t="str">
        <f t="shared" si="15"/>
        <v>*</v>
      </c>
      <c r="M193" s="68" t="str">
        <f t="shared" si="15"/>
        <v>*</v>
      </c>
      <c r="N193" s="68" t="str">
        <f t="shared" si="15"/>
        <v>*</v>
      </c>
      <c r="O193" s="68" t="str">
        <f t="shared" si="15"/>
        <v>*</v>
      </c>
      <c r="P193" s="68" t="str">
        <f t="shared" si="15"/>
        <v>*</v>
      </c>
      <c r="Q193" s="68" t="str">
        <f t="shared" si="15"/>
        <v>*</v>
      </c>
      <c r="R193" s="68" t="str">
        <f t="shared" si="14"/>
        <v>*</v>
      </c>
      <c r="S193" s="68" t="str">
        <f t="shared" si="14"/>
        <v>*</v>
      </c>
      <c r="T193" s="68" t="str">
        <f t="shared" si="14"/>
        <v>*</v>
      </c>
      <c r="U193" s="68" t="str">
        <f t="shared" si="14"/>
        <v>*</v>
      </c>
      <c r="V193" s="68" t="str">
        <f t="shared" si="14"/>
        <v>*</v>
      </c>
      <c r="W193" s="68" t="str">
        <f t="shared" si="14"/>
        <v>*</v>
      </c>
      <c r="X193" s="68" t="str">
        <f t="shared" si="14"/>
        <v>*</v>
      </c>
      <c r="Y193" s="68" t="str">
        <f t="shared" si="14"/>
        <v>*</v>
      </c>
      <c r="Z193" s="68" t="str">
        <f t="shared" si="14"/>
        <v>*</v>
      </c>
      <c r="AA193" s="68" t="str">
        <f t="shared" si="14"/>
        <v>*</v>
      </c>
      <c r="AB193" s="68" t="str">
        <f t="shared" si="14"/>
        <v>*</v>
      </c>
      <c r="AC193" s="68" t="str">
        <f t="shared" si="14"/>
        <v>*</v>
      </c>
      <c r="AD193" s="68" t="str">
        <f t="shared" si="14"/>
        <v>*</v>
      </c>
      <c r="AE193" s="68" t="str">
        <f t="shared" si="14"/>
        <v>*</v>
      </c>
      <c r="AF193" s="68" t="str">
        <f t="shared" si="14"/>
        <v>*</v>
      </c>
      <c r="AG193" s="68" t="str">
        <f t="shared" si="14"/>
        <v>*</v>
      </c>
      <c r="AH193" s="68" t="str">
        <f t="shared" si="14"/>
        <v>*</v>
      </c>
      <c r="AI193" s="68" t="str">
        <f t="shared" ref="AI193:AX193" si="16">IF(AI123=AI48,"","*")</f>
        <v>*</v>
      </c>
      <c r="AJ193" s="68" t="str">
        <f t="shared" si="16"/>
        <v>*</v>
      </c>
      <c r="AK193" s="68" t="str">
        <f t="shared" si="16"/>
        <v>*</v>
      </c>
      <c r="AL193" s="68" t="str">
        <f t="shared" si="16"/>
        <v>*</v>
      </c>
      <c r="AM193" s="68" t="str">
        <f t="shared" si="16"/>
        <v>*</v>
      </c>
      <c r="AN193" s="68" t="str">
        <f t="shared" si="16"/>
        <v>*</v>
      </c>
      <c r="AO193" s="68" t="str">
        <f t="shared" si="16"/>
        <v>*</v>
      </c>
      <c r="AP193" s="68" t="str">
        <f t="shared" si="16"/>
        <v>*</v>
      </c>
      <c r="AQ193" s="68" t="str">
        <f t="shared" si="16"/>
        <v>*</v>
      </c>
      <c r="AR193" s="68" t="str">
        <f t="shared" si="16"/>
        <v/>
      </c>
      <c r="AS193" s="68" t="str">
        <f t="shared" si="16"/>
        <v>*</v>
      </c>
      <c r="AT193" s="68" t="str">
        <f t="shared" si="16"/>
        <v>*</v>
      </c>
      <c r="AU193" s="68" t="str">
        <f t="shared" si="16"/>
        <v>*</v>
      </c>
      <c r="AV193" s="68" t="str">
        <f t="shared" si="16"/>
        <v>*</v>
      </c>
      <c r="AW193" s="68" t="str">
        <f t="shared" si="16"/>
        <v>*</v>
      </c>
      <c r="AX193" s="68" t="str">
        <f t="shared" si="16"/>
        <v>*</v>
      </c>
    </row>
    <row r="194" spans="1:50" ht="15.75" hidden="1" customHeight="1">
      <c r="A194" s="63" t="s">
        <v>214</v>
      </c>
      <c r="B194" s="64" t="s">
        <v>223</v>
      </c>
      <c r="C194" s="67" t="str">
        <f t="shared" si="15"/>
        <v>*</v>
      </c>
      <c r="D194" s="67" t="str">
        <f t="shared" si="15"/>
        <v>*</v>
      </c>
      <c r="E194" s="67" t="str">
        <f t="shared" si="15"/>
        <v>*</v>
      </c>
      <c r="F194" s="67" t="str">
        <f t="shared" si="15"/>
        <v>*</v>
      </c>
      <c r="G194" s="67" t="str">
        <f t="shared" si="15"/>
        <v>*</v>
      </c>
      <c r="H194" s="67" t="str">
        <f t="shared" si="15"/>
        <v>*</v>
      </c>
      <c r="I194" s="67" t="str">
        <f t="shared" si="15"/>
        <v>*</v>
      </c>
      <c r="J194" s="67" t="str">
        <f t="shared" si="15"/>
        <v>*</v>
      </c>
      <c r="K194" s="67" t="str">
        <f t="shared" si="15"/>
        <v>*</v>
      </c>
      <c r="L194" s="67" t="str">
        <f t="shared" si="15"/>
        <v>*</v>
      </c>
      <c r="M194" s="67" t="str">
        <f t="shared" si="15"/>
        <v>*</v>
      </c>
      <c r="N194" s="67" t="str">
        <f t="shared" si="15"/>
        <v>*</v>
      </c>
      <c r="O194" s="67" t="str">
        <f t="shared" si="15"/>
        <v>*</v>
      </c>
      <c r="P194" s="67" t="str">
        <f t="shared" si="15"/>
        <v>*</v>
      </c>
      <c r="Q194" s="67" t="str">
        <f t="shared" si="15"/>
        <v>*</v>
      </c>
      <c r="R194" s="67" t="str">
        <f t="shared" ref="R194:AX195" si="17">IF(R124=R49,"","*")</f>
        <v>*</v>
      </c>
      <c r="S194" s="67" t="str">
        <f t="shared" si="17"/>
        <v>*</v>
      </c>
      <c r="T194" s="67" t="str">
        <f t="shared" si="17"/>
        <v>*</v>
      </c>
      <c r="U194" s="67" t="str">
        <f t="shared" si="17"/>
        <v>*</v>
      </c>
      <c r="V194" s="67" t="str">
        <f t="shared" si="17"/>
        <v>*</v>
      </c>
      <c r="W194" s="67" t="str">
        <f t="shared" si="17"/>
        <v>*</v>
      </c>
      <c r="X194" s="67" t="str">
        <f t="shared" si="17"/>
        <v>*</v>
      </c>
      <c r="Y194" s="67" t="str">
        <f t="shared" si="17"/>
        <v>*</v>
      </c>
      <c r="Z194" s="67" t="str">
        <f t="shared" si="17"/>
        <v>*</v>
      </c>
      <c r="AA194" s="67" t="str">
        <f t="shared" si="17"/>
        <v>*</v>
      </c>
      <c r="AB194" s="67" t="str">
        <f t="shared" si="17"/>
        <v>*</v>
      </c>
      <c r="AC194" s="67" t="str">
        <f t="shared" si="17"/>
        <v>*</v>
      </c>
      <c r="AD194" s="67" t="str">
        <f t="shared" si="17"/>
        <v>*</v>
      </c>
      <c r="AE194" s="67" t="str">
        <f t="shared" si="17"/>
        <v>*</v>
      </c>
      <c r="AF194" s="67" t="str">
        <f t="shared" si="17"/>
        <v>*</v>
      </c>
      <c r="AG194" s="67" t="str">
        <f t="shared" si="17"/>
        <v>*</v>
      </c>
      <c r="AH194" s="67" t="str">
        <f t="shared" si="17"/>
        <v>*</v>
      </c>
      <c r="AI194" s="67" t="str">
        <f t="shared" si="17"/>
        <v>*</v>
      </c>
      <c r="AJ194" s="67" t="str">
        <f t="shared" si="17"/>
        <v>*</v>
      </c>
      <c r="AK194" s="67" t="str">
        <f t="shared" si="17"/>
        <v>*</v>
      </c>
      <c r="AL194" s="67" t="str">
        <f t="shared" si="17"/>
        <v>*</v>
      </c>
      <c r="AM194" s="67" t="str">
        <f t="shared" si="17"/>
        <v>*</v>
      </c>
      <c r="AN194" s="67" t="str">
        <f t="shared" si="17"/>
        <v>*</v>
      </c>
      <c r="AO194" s="67" t="str">
        <f t="shared" si="17"/>
        <v>*</v>
      </c>
      <c r="AP194" s="67" t="str">
        <f t="shared" si="17"/>
        <v>*</v>
      </c>
      <c r="AQ194" s="67" t="str">
        <f t="shared" si="17"/>
        <v>*</v>
      </c>
      <c r="AR194" s="67" t="str">
        <f t="shared" si="17"/>
        <v>*</v>
      </c>
      <c r="AS194" s="67" t="str">
        <f t="shared" si="17"/>
        <v>*</v>
      </c>
      <c r="AT194" s="67" t="str">
        <f t="shared" si="17"/>
        <v>*</v>
      </c>
      <c r="AU194" s="67" t="str">
        <f t="shared" si="17"/>
        <v>*</v>
      </c>
      <c r="AV194" s="67" t="str">
        <f t="shared" si="17"/>
        <v>*</v>
      </c>
      <c r="AW194" s="67" t="str">
        <f t="shared" si="17"/>
        <v>*</v>
      </c>
      <c r="AX194" s="67" t="str">
        <f t="shared" si="17"/>
        <v>*</v>
      </c>
    </row>
    <row r="195" spans="1:50" ht="15.75" hidden="1" customHeight="1">
      <c r="A195" s="345" t="s">
        <v>15</v>
      </c>
      <c r="B195" s="65" t="s">
        <v>224</v>
      </c>
      <c r="C195" s="68" t="str">
        <f t="shared" si="15"/>
        <v>*</v>
      </c>
      <c r="D195" s="68" t="str">
        <f t="shared" si="15"/>
        <v>*</v>
      </c>
      <c r="E195" s="68" t="str">
        <f t="shared" si="15"/>
        <v>*</v>
      </c>
      <c r="F195" s="68" t="str">
        <f t="shared" si="15"/>
        <v>*</v>
      </c>
      <c r="G195" s="68" t="str">
        <f t="shared" si="15"/>
        <v>*</v>
      </c>
      <c r="H195" s="68" t="str">
        <f t="shared" si="15"/>
        <v>*</v>
      </c>
      <c r="I195" s="68" t="str">
        <f t="shared" si="15"/>
        <v>*</v>
      </c>
      <c r="J195" s="68" t="str">
        <f t="shared" si="15"/>
        <v>*</v>
      </c>
      <c r="K195" s="68" t="str">
        <f t="shared" si="15"/>
        <v>*</v>
      </c>
      <c r="L195" s="68" t="str">
        <f t="shared" si="15"/>
        <v>*</v>
      </c>
      <c r="M195" s="68" t="str">
        <f t="shared" si="15"/>
        <v>*</v>
      </c>
      <c r="N195" s="68" t="str">
        <f t="shared" si="15"/>
        <v>*</v>
      </c>
      <c r="O195" s="68" t="str">
        <f t="shared" si="15"/>
        <v>*</v>
      </c>
      <c r="P195" s="68" t="str">
        <f t="shared" si="15"/>
        <v>*</v>
      </c>
      <c r="Q195" s="68" t="str">
        <f t="shared" si="15"/>
        <v>*</v>
      </c>
      <c r="R195" s="68" t="str">
        <f t="shared" si="17"/>
        <v>*</v>
      </c>
      <c r="S195" s="68" t="str">
        <f t="shared" si="17"/>
        <v>*</v>
      </c>
      <c r="T195" s="68" t="str">
        <f t="shared" si="17"/>
        <v>*</v>
      </c>
      <c r="U195" s="68" t="str">
        <f t="shared" si="17"/>
        <v>*</v>
      </c>
      <c r="V195" s="68" t="str">
        <f t="shared" si="17"/>
        <v>*</v>
      </c>
      <c r="W195" s="68" t="str">
        <f t="shared" si="17"/>
        <v>*</v>
      </c>
      <c r="X195" s="68" t="str">
        <f t="shared" si="17"/>
        <v>*</v>
      </c>
      <c r="Y195" s="68" t="str">
        <f t="shared" si="17"/>
        <v>*</v>
      </c>
      <c r="Z195" s="68" t="str">
        <f t="shared" si="17"/>
        <v>*</v>
      </c>
      <c r="AA195" s="68" t="str">
        <f t="shared" si="17"/>
        <v>*</v>
      </c>
      <c r="AB195" s="68" t="str">
        <f t="shared" si="17"/>
        <v>*</v>
      </c>
      <c r="AC195" s="68" t="str">
        <f t="shared" si="17"/>
        <v>*</v>
      </c>
      <c r="AD195" s="68" t="str">
        <f t="shared" si="17"/>
        <v>*</v>
      </c>
      <c r="AE195" s="68" t="str">
        <f t="shared" si="17"/>
        <v>*</v>
      </c>
      <c r="AF195" s="68" t="str">
        <f t="shared" si="17"/>
        <v>*</v>
      </c>
      <c r="AG195" s="68" t="str">
        <f t="shared" si="17"/>
        <v>*</v>
      </c>
      <c r="AH195" s="68" t="str">
        <f t="shared" si="17"/>
        <v>*</v>
      </c>
      <c r="AI195" s="68" t="str">
        <f t="shared" si="17"/>
        <v>*</v>
      </c>
      <c r="AJ195" s="68" t="str">
        <f t="shared" si="17"/>
        <v>*</v>
      </c>
      <c r="AK195" s="68" t="str">
        <f t="shared" si="17"/>
        <v>*</v>
      </c>
      <c r="AL195" s="68" t="str">
        <f t="shared" si="17"/>
        <v>*</v>
      </c>
      <c r="AM195" s="68" t="str">
        <f t="shared" si="17"/>
        <v>*</v>
      </c>
      <c r="AN195" s="68" t="str">
        <f t="shared" si="17"/>
        <v>*</v>
      </c>
      <c r="AO195" s="68" t="str">
        <f t="shared" si="17"/>
        <v>*</v>
      </c>
      <c r="AP195" s="68" t="str">
        <f t="shared" si="17"/>
        <v>*</v>
      </c>
      <c r="AQ195" s="68" t="str">
        <f t="shared" si="17"/>
        <v>*</v>
      </c>
      <c r="AR195" s="68" t="str">
        <f t="shared" si="17"/>
        <v>*</v>
      </c>
      <c r="AS195" s="68" t="str">
        <f t="shared" si="17"/>
        <v>*</v>
      </c>
      <c r="AT195" s="68" t="str">
        <f t="shared" si="17"/>
        <v>*</v>
      </c>
      <c r="AU195" s="68" t="str">
        <f t="shared" si="17"/>
        <v>*</v>
      </c>
      <c r="AV195" s="68" t="str">
        <f t="shared" si="17"/>
        <v>*</v>
      </c>
      <c r="AW195" s="68" t="str">
        <f t="shared" si="17"/>
        <v>*</v>
      </c>
      <c r="AX195" s="68" t="str">
        <f t="shared" si="17"/>
        <v>*</v>
      </c>
    </row>
    <row r="196" spans="1:50" ht="15.75" hidden="1" customHeight="1">
      <c r="A196" s="346"/>
      <c r="B196" s="65" t="s">
        <v>225</v>
      </c>
      <c r="C196" s="68" t="str">
        <f t="shared" si="15"/>
        <v>*</v>
      </c>
      <c r="D196" s="68" t="str">
        <f t="shared" si="15"/>
        <v>*</v>
      </c>
      <c r="E196" s="68" t="str">
        <f t="shared" si="15"/>
        <v>*</v>
      </c>
      <c r="F196" s="68" t="str">
        <f t="shared" si="15"/>
        <v>*</v>
      </c>
      <c r="G196" s="68" t="str">
        <f t="shared" si="15"/>
        <v>*</v>
      </c>
      <c r="H196" s="68" t="str">
        <f t="shared" si="15"/>
        <v>*</v>
      </c>
      <c r="I196" s="68" t="str">
        <f t="shared" si="15"/>
        <v>*</v>
      </c>
      <c r="J196" s="68" t="str">
        <f t="shared" si="15"/>
        <v>*</v>
      </c>
      <c r="K196" s="68" t="str">
        <f t="shared" si="15"/>
        <v>*</v>
      </c>
      <c r="L196" s="68" t="str">
        <f t="shared" si="15"/>
        <v>*</v>
      </c>
      <c r="M196" s="68" t="str">
        <f t="shared" ref="M196:AX196" si="18">IF(M126=M51,"","*")</f>
        <v>*</v>
      </c>
      <c r="N196" s="68" t="str">
        <f t="shared" si="18"/>
        <v>*</v>
      </c>
      <c r="O196" s="68" t="str">
        <f t="shared" si="18"/>
        <v>*</v>
      </c>
      <c r="P196" s="68" t="str">
        <f t="shared" si="18"/>
        <v>*</v>
      </c>
      <c r="Q196" s="68" t="str">
        <f t="shared" si="18"/>
        <v>*</v>
      </c>
      <c r="R196" s="68" t="str">
        <f t="shared" si="18"/>
        <v>*</v>
      </c>
      <c r="S196" s="68" t="str">
        <f t="shared" si="18"/>
        <v>*</v>
      </c>
      <c r="T196" s="68" t="str">
        <f t="shared" si="18"/>
        <v>*</v>
      </c>
      <c r="U196" s="68" t="str">
        <f t="shared" si="18"/>
        <v>*</v>
      </c>
      <c r="V196" s="68" t="str">
        <f t="shared" si="18"/>
        <v>*</v>
      </c>
      <c r="W196" s="68" t="str">
        <f t="shared" si="18"/>
        <v>*</v>
      </c>
      <c r="X196" s="68" t="str">
        <f t="shared" si="18"/>
        <v>*</v>
      </c>
      <c r="Y196" s="68" t="str">
        <f t="shared" si="18"/>
        <v>*</v>
      </c>
      <c r="Z196" s="68" t="str">
        <f t="shared" si="18"/>
        <v>*</v>
      </c>
      <c r="AA196" s="68" t="str">
        <f t="shared" si="18"/>
        <v>*</v>
      </c>
      <c r="AB196" s="68" t="str">
        <f t="shared" si="18"/>
        <v>*</v>
      </c>
      <c r="AC196" s="68" t="str">
        <f t="shared" si="18"/>
        <v>*</v>
      </c>
      <c r="AD196" s="68" t="str">
        <f t="shared" si="18"/>
        <v>*</v>
      </c>
      <c r="AE196" s="68" t="str">
        <f t="shared" si="18"/>
        <v>*</v>
      </c>
      <c r="AF196" s="68" t="str">
        <f t="shared" si="18"/>
        <v>*</v>
      </c>
      <c r="AG196" s="68" t="str">
        <f t="shared" si="18"/>
        <v>*</v>
      </c>
      <c r="AH196" s="68" t="str">
        <f t="shared" si="18"/>
        <v>*</v>
      </c>
      <c r="AI196" s="68" t="str">
        <f t="shared" si="18"/>
        <v>*</v>
      </c>
      <c r="AJ196" s="68" t="str">
        <f t="shared" si="18"/>
        <v>*</v>
      </c>
      <c r="AK196" s="68" t="str">
        <f t="shared" si="18"/>
        <v>*</v>
      </c>
      <c r="AL196" s="68" t="str">
        <f t="shared" si="18"/>
        <v>*</v>
      </c>
      <c r="AM196" s="68" t="str">
        <f t="shared" si="18"/>
        <v>*</v>
      </c>
      <c r="AN196" s="68" t="str">
        <f t="shared" si="18"/>
        <v>*</v>
      </c>
      <c r="AO196" s="68" t="str">
        <f t="shared" si="18"/>
        <v>*</v>
      </c>
      <c r="AP196" s="68" t="str">
        <f t="shared" si="18"/>
        <v>*</v>
      </c>
      <c r="AQ196" s="68" t="str">
        <f t="shared" si="18"/>
        <v>*</v>
      </c>
      <c r="AR196" s="68" t="str">
        <f t="shared" si="18"/>
        <v>*</v>
      </c>
      <c r="AS196" s="68" t="str">
        <f t="shared" si="18"/>
        <v>*</v>
      </c>
      <c r="AT196" s="68" t="str">
        <f t="shared" si="18"/>
        <v>*</v>
      </c>
      <c r="AU196" s="68" t="str">
        <f t="shared" si="18"/>
        <v>*</v>
      </c>
      <c r="AV196" s="68" t="str">
        <f t="shared" si="18"/>
        <v>*</v>
      </c>
      <c r="AW196" s="68" t="str">
        <f t="shared" si="18"/>
        <v>*</v>
      </c>
      <c r="AX196" s="68" t="str">
        <f t="shared" si="18"/>
        <v>*</v>
      </c>
    </row>
    <row r="197" spans="1:50" ht="15.75" hidden="1" customHeight="1">
      <c r="A197" s="63" t="s">
        <v>215</v>
      </c>
      <c r="B197" s="64" t="s">
        <v>223</v>
      </c>
      <c r="C197" s="67" t="str">
        <f t="shared" ref="C197:AX201" si="19">IF(C127=C52,"","*")</f>
        <v>*</v>
      </c>
      <c r="D197" s="67" t="str">
        <f t="shared" si="19"/>
        <v>*</v>
      </c>
      <c r="E197" s="67" t="str">
        <f t="shared" si="19"/>
        <v>*</v>
      </c>
      <c r="F197" s="67" t="str">
        <f t="shared" si="19"/>
        <v>*</v>
      </c>
      <c r="G197" s="67" t="str">
        <f t="shared" si="19"/>
        <v>*</v>
      </c>
      <c r="H197" s="67" t="str">
        <f t="shared" si="19"/>
        <v>*</v>
      </c>
      <c r="I197" s="67" t="str">
        <f t="shared" si="19"/>
        <v>*</v>
      </c>
      <c r="J197" s="67" t="str">
        <f t="shared" si="19"/>
        <v>*</v>
      </c>
      <c r="K197" s="67" t="str">
        <f t="shared" si="19"/>
        <v>*</v>
      </c>
      <c r="L197" s="67" t="str">
        <f t="shared" si="19"/>
        <v>*</v>
      </c>
      <c r="M197" s="67" t="str">
        <f t="shared" si="19"/>
        <v>*</v>
      </c>
      <c r="N197" s="67" t="str">
        <f t="shared" si="19"/>
        <v>*</v>
      </c>
      <c r="O197" s="67" t="str">
        <f t="shared" si="19"/>
        <v>*</v>
      </c>
      <c r="P197" s="67" t="str">
        <f t="shared" si="19"/>
        <v>*</v>
      </c>
      <c r="Q197" s="67" t="str">
        <f t="shared" si="19"/>
        <v>*</v>
      </c>
      <c r="R197" s="67" t="str">
        <f t="shared" si="19"/>
        <v>*</v>
      </c>
      <c r="S197" s="67" t="str">
        <f t="shared" si="19"/>
        <v>*</v>
      </c>
      <c r="T197" s="67" t="str">
        <f t="shared" si="19"/>
        <v>*</v>
      </c>
      <c r="U197" s="67" t="str">
        <f t="shared" si="19"/>
        <v>*</v>
      </c>
      <c r="V197" s="67" t="str">
        <f t="shared" si="19"/>
        <v>*</v>
      </c>
      <c r="W197" s="67" t="str">
        <f t="shared" si="19"/>
        <v>*</v>
      </c>
      <c r="X197" s="67" t="str">
        <f t="shared" si="19"/>
        <v>*</v>
      </c>
      <c r="Y197" s="67" t="str">
        <f t="shared" si="19"/>
        <v>*</v>
      </c>
      <c r="Z197" s="67" t="str">
        <f t="shared" si="19"/>
        <v>*</v>
      </c>
      <c r="AA197" s="67" t="str">
        <f t="shared" si="19"/>
        <v>*</v>
      </c>
      <c r="AB197" s="67" t="str">
        <f t="shared" si="19"/>
        <v>*</v>
      </c>
      <c r="AC197" s="67" t="str">
        <f t="shared" si="19"/>
        <v>*</v>
      </c>
      <c r="AD197" s="67" t="str">
        <f t="shared" si="19"/>
        <v>*</v>
      </c>
      <c r="AE197" s="67" t="str">
        <f t="shared" si="19"/>
        <v>*</v>
      </c>
      <c r="AF197" s="67" t="str">
        <f t="shared" si="19"/>
        <v>*</v>
      </c>
      <c r="AG197" s="67" t="str">
        <f t="shared" si="19"/>
        <v>*</v>
      </c>
      <c r="AH197" s="67" t="str">
        <f t="shared" si="19"/>
        <v>*</v>
      </c>
      <c r="AI197" s="67" t="str">
        <f t="shared" si="19"/>
        <v>*</v>
      </c>
      <c r="AJ197" s="67" t="str">
        <f t="shared" si="19"/>
        <v>*</v>
      </c>
      <c r="AK197" s="67" t="str">
        <f t="shared" si="19"/>
        <v>*</v>
      </c>
      <c r="AL197" s="67" t="str">
        <f t="shared" si="19"/>
        <v>*</v>
      </c>
      <c r="AM197" s="67" t="str">
        <f t="shared" si="19"/>
        <v>*</v>
      </c>
      <c r="AN197" s="67" t="str">
        <f t="shared" si="19"/>
        <v>*</v>
      </c>
      <c r="AO197" s="67" t="str">
        <f t="shared" si="19"/>
        <v>*</v>
      </c>
      <c r="AP197" s="67" t="str">
        <f t="shared" si="19"/>
        <v>*</v>
      </c>
      <c r="AQ197" s="67" t="str">
        <f t="shared" si="19"/>
        <v>*</v>
      </c>
      <c r="AR197" s="67" t="str">
        <f t="shared" si="19"/>
        <v>*</v>
      </c>
      <c r="AS197" s="67" t="str">
        <f t="shared" si="19"/>
        <v>*</v>
      </c>
      <c r="AT197" s="67" t="str">
        <f t="shared" si="19"/>
        <v>*</v>
      </c>
      <c r="AU197" s="67" t="str">
        <f t="shared" si="19"/>
        <v>*</v>
      </c>
      <c r="AV197" s="67" t="str">
        <f t="shared" si="19"/>
        <v>*</v>
      </c>
      <c r="AW197" s="67" t="str">
        <f t="shared" si="19"/>
        <v>*</v>
      </c>
      <c r="AX197" s="67" t="str">
        <f t="shared" si="19"/>
        <v>*</v>
      </c>
    </row>
    <row r="198" spans="1:50" ht="15.75" hidden="1" customHeight="1">
      <c r="A198" s="345" t="s">
        <v>16</v>
      </c>
      <c r="B198" s="65" t="s">
        <v>224</v>
      </c>
      <c r="C198" s="68" t="str">
        <f t="shared" si="19"/>
        <v>*</v>
      </c>
      <c r="D198" s="68" t="str">
        <f t="shared" si="19"/>
        <v>*</v>
      </c>
      <c r="E198" s="68" t="str">
        <f t="shared" si="19"/>
        <v>*</v>
      </c>
      <c r="F198" s="68" t="str">
        <f t="shared" si="19"/>
        <v>*</v>
      </c>
      <c r="G198" s="68" t="str">
        <f t="shared" si="19"/>
        <v>*</v>
      </c>
      <c r="H198" s="68" t="str">
        <f t="shared" si="19"/>
        <v>*</v>
      </c>
      <c r="I198" s="68" t="str">
        <f t="shared" si="19"/>
        <v/>
      </c>
      <c r="J198" s="68" t="str">
        <f t="shared" si="19"/>
        <v>*</v>
      </c>
      <c r="K198" s="68" t="str">
        <f t="shared" si="19"/>
        <v>*</v>
      </c>
      <c r="L198" s="68" t="str">
        <f t="shared" si="19"/>
        <v>*</v>
      </c>
      <c r="M198" s="68" t="str">
        <f t="shared" si="19"/>
        <v>*</v>
      </c>
      <c r="N198" s="68" t="str">
        <f t="shared" si="19"/>
        <v>*</v>
      </c>
      <c r="O198" s="68" t="str">
        <f t="shared" si="19"/>
        <v>*</v>
      </c>
      <c r="P198" s="68" t="str">
        <f t="shared" si="19"/>
        <v>*</v>
      </c>
      <c r="Q198" s="68" t="str">
        <f t="shared" si="19"/>
        <v>*</v>
      </c>
      <c r="R198" s="68" t="str">
        <f t="shared" si="19"/>
        <v>*</v>
      </c>
      <c r="S198" s="68" t="str">
        <f t="shared" si="19"/>
        <v>*</v>
      </c>
      <c r="T198" s="68" t="str">
        <f t="shared" si="19"/>
        <v>*</v>
      </c>
      <c r="U198" s="68" t="str">
        <f t="shared" si="19"/>
        <v>*</v>
      </c>
      <c r="V198" s="68" t="str">
        <f t="shared" si="19"/>
        <v>*</v>
      </c>
      <c r="W198" s="68" t="str">
        <f t="shared" si="19"/>
        <v>*</v>
      </c>
      <c r="X198" s="68" t="str">
        <f t="shared" si="19"/>
        <v>*</v>
      </c>
      <c r="Y198" s="68" t="str">
        <f t="shared" si="19"/>
        <v>*</v>
      </c>
      <c r="Z198" s="68" t="str">
        <f t="shared" si="19"/>
        <v>*</v>
      </c>
      <c r="AA198" s="68" t="str">
        <f t="shared" si="19"/>
        <v>*</v>
      </c>
      <c r="AB198" s="68" t="str">
        <f t="shared" si="19"/>
        <v>*</v>
      </c>
      <c r="AC198" s="68" t="str">
        <f t="shared" si="19"/>
        <v>*</v>
      </c>
      <c r="AD198" s="68" t="str">
        <f t="shared" si="19"/>
        <v>*</v>
      </c>
      <c r="AE198" s="68" t="str">
        <f t="shared" si="19"/>
        <v>*</v>
      </c>
      <c r="AF198" s="68" t="str">
        <f t="shared" si="19"/>
        <v>*</v>
      </c>
      <c r="AG198" s="68" t="str">
        <f t="shared" si="19"/>
        <v/>
      </c>
      <c r="AH198" s="68" t="str">
        <f t="shared" si="19"/>
        <v>*</v>
      </c>
      <c r="AI198" s="68" t="str">
        <f t="shared" si="19"/>
        <v>*</v>
      </c>
      <c r="AJ198" s="68" t="str">
        <f t="shared" si="19"/>
        <v>*</v>
      </c>
      <c r="AK198" s="68" t="str">
        <f t="shared" si="19"/>
        <v>*</v>
      </c>
      <c r="AL198" s="68" t="str">
        <f t="shared" si="19"/>
        <v>*</v>
      </c>
      <c r="AM198" s="68" t="str">
        <f t="shared" si="19"/>
        <v>*</v>
      </c>
      <c r="AN198" s="68" t="str">
        <f t="shared" si="19"/>
        <v>*</v>
      </c>
      <c r="AO198" s="68" t="str">
        <f t="shared" si="19"/>
        <v>*</v>
      </c>
      <c r="AP198" s="68" t="str">
        <f t="shared" si="19"/>
        <v>*</v>
      </c>
      <c r="AQ198" s="68" t="str">
        <f t="shared" si="19"/>
        <v>*</v>
      </c>
      <c r="AR198" s="68" t="str">
        <f t="shared" si="19"/>
        <v>*</v>
      </c>
      <c r="AS198" s="68" t="str">
        <f t="shared" si="19"/>
        <v>*</v>
      </c>
      <c r="AT198" s="68" t="str">
        <f t="shared" si="19"/>
        <v>*</v>
      </c>
      <c r="AU198" s="68" t="str">
        <f t="shared" si="19"/>
        <v>*</v>
      </c>
      <c r="AV198" s="68" t="str">
        <f t="shared" si="19"/>
        <v>*</v>
      </c>
      <c r="AW198" s="68" t="str">
        <f t="shared" si="19"/>
        <v>*</v>
      </c>
      <c r="AX198" s="68" t="str">
        <f t="shared" si="19"/>
        <v>*</v>
      </c>
    </row>
    <row r="199" spans="1:50" ht="15.75" hidden="1" customHeight="1">
      <c r="A199" s="346"/>
      <c r="B199" s="65" t="s">
        <v>225</v>
      </c>
      <c r="C199" s="68" t="str">
        <f t="shared" si="19"/>
        <v>*</v>
      </c>
      <c r="D199" s="68" t="str">
        <f t="shared" si="19"/>
        <v>*</v>
      </c>
      <c r="E199" s="68" t="str">
        <f t="shared" si="19"/>
        <v>*</v>
      </c>
      <c r="F199" s="68" t="str">
        <f t="shared" si="19"/>
        <v>*</v>
      </c>
      <c r="G199" s="68" t="str">
        <f t="shared" si="19"/>
        <v>*</v>
      </c>
      <c r="H199" s="68" t="str">
        <f t="shared" si="19"/>
        <v>*</v>
      </c>
      <c r="I199" s="68" t="str">
        <f t="shared" si="19"/>
        <v>*</v>
      </c>
      <c r="J199" s="68" t="str">
        <f t="shared" si="19"/>
        <v>*</v>
      </c>
      <c r="K199" s="68" t="str">
        <f t="shared" si="19"/>
        <v>*</v>
      </c>
      <c r="L199" s="68" t="str">
        <f t="shared" si="19"/>
        <v>*</v>
      </c>
      <c r="M199" s="68" t="str">
        <f t="shared" si="19"/>
        <v>*</v>
      </c>
      <c r="N199" s="68" t="str">
        <f t="shared" si="19"/>
        <v>*</v>
      </c>
      <c r="O199" s="68" t="str">
        <f t="shared" si="19"/>
        <v>*</v>
      </c>
      <c r="P199" s="68" t="str">
        <f t="shared" si="19"/>
        <v>*</v>
      </c>
      <c r="Q199" s="68" t="str">
        <f t="shared" si="19"/>
        <v>*</v>
      </c>
      <c r="R199" s="68" t="str">
        <f t="shared" si="19"/>
        <v>*</v>
      </c>
      <c r="S199" s="68" t="str">
        <f t="shared" si="19"/>
        <v>*</v>
      </c>
      <c r="T199" s="68" t="str">
        <f t="shared" si="19"/>
        <v>*</v>
      </c>
      <c r="U199" s="68" t="str">
        <f t="shared" si="19"/>
        <v>*</v>
      </c>
      <c r="V199" s="68" t="str">
        <f t="shared" si="19"/>
        <v>*</v>
      </c>
      <c r="W199" s="68" t="str">
        <f t="shared" si="19"/>
        <v>*</v>
      </c>
      <c r="X199" s="68" t="str">
        <f t="shared" si="19"/>
        <v>*</v>
      </c>
      <c r="Y199" s="68" t="str">
        <f t="shared" si="19"/>
        <v>*</v>
      </c>
      <c r="Z199" s="68" t="str">
        <f t="shared" si="19"/>
        <v>*</v>
      </c>
      <c r="AA199" s="68" t="str">
        <f t="shared" si="19"/>
        <v>*</v>
      </c>
      <c r="AB199" s="68" t="str">
        <f t="shared" si="19"/>
        <v>*</v>
      </c>
      <c r="AC199" s="68" t="str">
        <f t="shared" si="19"/>
        <v>*</v>
      </c>
      <c r="AD199" s="68" t="str">
        <f t="shared" si="19"/>
        <v>*</v>
      </c>
      <c r="AE199" s="68" t="str">
        <f t="shared" si="19"/>
        <v>*</v>
      </c>
      <c r="AF199" s="68" t="str">
        <f t="shared" si="19"/>
        <v>*</v>
      </c>
      <c r="AG199" s="68" t="str">
        <f t="shared" si="19"/>
        <v>*</v>
      </c>
      <c r="AH199" s="68" t="str">
        <f t="shared" si="19"/>
        <v>*</v>
      </c>
      <c r="AI199" s="68" t="str">
        <f t="shared" si="19"/>
        <v>*</v>
      </c>
      <c r="AJ199" s="68" t="str">
        <f t="shared" si="19"/>
        <v>*</v>
      </c>
      <c r="AK199" s="68" t="str">
        <f t="shared" si="19"/>
        <v>*</v>
      </c>
      <c r="AL199" s="68" t="str">
        <f t="shared" si="19"/>
        <v>*</v>
      </c>
      <c r="AM199" s="68" t="str">
        <f t="shared" si="19"/>
        <v>*</v>
      </c>
      <c r="AN199" s="68" t="str">
        <f t="shared" si="19"/>
        <v>*</v>
      </c>
      <c r="AO199" s="68" t="str">
        <f t="shared" si="19"/>
        <v>*</v>
      </c>
      <c r="AP199" s="68" t="str">
        <f t="shared" si="19"/>
        <v>*</v>
      </c>
      <c r="AQ199" s="68" t="str">
        <f t="shared" si="19"/>
        <v/>
      </c>
      <c r="AR199" s="68" t="str">
        <f t="shared" si="19"/>
        <v>*</v>
      </c>
      <c r="AS199" s="68" t="str">
        <f t="shared" si="19"/>
        <v>*</v>
      </c>
      <c r="AT199" s="68" t="str">
        <f t="shared" si="19"/>
        <v>*</v>
      </c>
      <c r="AU199" s="68" t="str">
        <f t="shared" si="19"/>
        <v>*</v>
      </c>
      <c r="AV199" s="68" t="str">
        <f t="shared" si="19"/>
        <v/>
      </c>
      <c r="AW199" s="68" t="str">
        <f t="shared" si="19"/>
        <v>*</v>
      </c>
      <c r="AX199" s="68" t="str">
        <f t="shared" si="19"/>
        <v>*</v>
      </c>
    </row>
    <row r="200" spans="1:50" ht="15.75" hidden="1" customHeight="1">
      <c r="A200" s="63" t="s">
        <v>216</v>
      </c>
      <c r="B200" s="64" t="s">
        <v>223</v>
      </c>
      <c r="C200" s="67" t="str">
        <f t="shared" si="19"/>
        <v>*</v>
      </c>
      <c r="D200" s="67" t="str">
        <f t="shared" si="19"/>
        <v>*</v>
      </c>
      <c r="E200" s="67" t="str">
        <f t="shared" si="19"/>
        <v>*</v>
      </c>
      <c r="F200" s="67" t="str">
        <f t="shared" si="19"/>
        <v>*</v>
      </c>
      <c r="G200" s="67" t="str">
        <f t="shared" si="19"/>
        <v>*</v>
      </c>
      <c r="H200" s="67" t="str">
        <f t="shared" si="19"/>
        <v>*</v>
      </c>
      <c r="I200" s="67" t="str">
        <f t="shared" si="19"/>
        <v>*</v>
      </c>
      <c r="J200" s="67" t="str">
        <f t="shared" si="19"/>
        <v>*</v>
      </c>
      <c r="K200" s="67" t="str">
        <f t="shared" si="19"/>
        <v>*</v>
      </c>
      <c r="L200" s="67" t="str">
        <f t="shared" si="19"/>
        <v>*</v>
      </c>
      <c r="M200" s="67" t="str">
        <f t="shared" si="19"/>
        <v>*</v>
      </c>
      <c r="N200" s="67" t="str">
        <f t="shared" si="19"/>
        <v>*</v>
      </c>
      <c r="O200" s="67" t="str">
        <f t="shared" si="19"/>
        <v>*</v>
      </c>
      <c r="P200" s="67" t="str">
        <f t="shared" si="19"/>
        <v>*</v>
      </c>
      <c r="Q200" s="67" t="str">
        <f t="shared" si="19"/>
        <v>*</v>
      </c>
      <c r="R200" s="67" t="str">
        <f t="shared" si="19"/>
        <v>*</v>
      </c>
      <c r="S200" s="67" t="str">
        <f t="shared" si="19"/>
        <v>*</v>
      </c>
      <c r="T200" s="67" t="str">
        <f t="shared" si="19"/>
        <v>*</v>
      </c>
      <c r="U200" s="67" t="str">
        <f t="shared" si="19"/>
        <v>*</v>
      </c>
      <c r="V200" s="67" t="str">
        <f t="shared" si="19"/>
        <v>*</v>
      </c>
      <c r="W200" s="67" t="str">
        <f t="shared" si="19"/>
        <v>*</v>
      </c>
      <c r="X200" s="67" t="str">
        <f t="shared" si="19"/>
        <v>*</v>
      </c>
      <c r="Y200" s="67" t="str">
        <f t="shared" si="19"/>
        <v>*</v>
      </c>
      <c r="Z200" s="67" t="str">
        <f t="shared" si="19"/>
        <v>*</v>
      </c>
      <c r="AA200" s="67" t="str">
        <f t="shared" si="19"/>
        <v>*</v>
      </c>
      <c r="AB200" s="67" t="str">
        <f t="shared" si="19"/>
        <v>*</v>
      </c>
      <c r="AC200" s="67" t="str">
        <f t="shared" si="19"/>
        <v>*</v>
      </c>
      <c r="AD200" s="67" t="str">
        <f t="shared" si="19"/>
        <v>*</v>
      </c>
      <c r="AE200" s="67" t="str">
        <f t="shared" si="19"/>
        <v>*</v>
      </c>
      <c r="AF200" s="67" t="str">
        <f t="shared" si="19"/>
        <v>*</v>
      </c>
      <c r="AG200" s="67" t="str">
        <f t="shared" si="19"/>
        <v>*</v>
      </c>
      <c r="AH200" s="67" t="str">
        <f t="shared" si="19"/>
        <v>*</v>
      </c>
      <c r="AI200" s="67" t="str">
        <f t="shared" si="19"/>
        <v>*</v>
      </c>
      <c r="AJ200" s="67" t="str">
        <f t="shared" si="19"/>
        <v>*</v>
      </c>
      <c r="AK200" s="67" t="str">
        <f t="shared" si="19"/>
        <v>*</v>
      </c>
      <c r="AL200" s="67" t="str">
        <f t="shared" si="19"/>
        <v>*</v>
      </c>
      <c r="AM200" s="67" t="str">
        <f t="shared" si="19"/>
        <v>*</v>
      </c>
      <c r="AN200" s="67" t="str">
        <f t="shared" si="19"/>
        <v>*</v>
      </c>
      <c r="AO200" s="67" t="str">
        <f t="shared" si="19"/>
        <v>*</v>
      </c>
      <c r="AP200" s="67" t="str">
        <f t="shared" si="19"/>
        <v>*</v>
      </c>
      <c r="AQ200" s="67" t="str">
        <f t="shared" si="19"/>
        <v>*</v>
      </c>
      <c r="AR200" s="67" t="str">
        <f t="shared" si="19"/>
        <v>*</v>
      </c>
      <c r="AS200" s="67" t="str">
        <f t="shared" si="19"/>
        <v>*</v>
      </c>
      <c r="AT200" s="67" t="str">
        <f t="shared" si="19"/>
        <v>*</v>
      </c>
      <c r="AU200" s="67" t="str">
        <f t="shared" si="19"/>
        <v>*</v>
      </c>
      <c r="AV200" s="67" t="str">
        <f t="shared" si="19"/>
        <v>*</v>
      </c>
      <c r="AW200" s="67" t="str">
        <f t="shared" si="19"/>
        <v>*</v>
      </c>
      <c r="AX200" s="67" t="str">
        <f t="shared" si="19"/>
        <v>*</v>
      </c>
    </row>
    <row r="201" spans="1:50" ht="15.75" hidden="1" customHeight="1">
      <c r="A201" s="345" t="s">
        <v>17</v>
      </c>
      <c r="B201" s="65" t="s">
        <v>224</v>
      </c>
      <c r="C201" s="68" t="str">
        <f t="shared" si="19"/>
        <v>*</v>
      </c>
      <c r="D201" s="68" t="str">
        <f t="shared" si="19"/>
        <v>*</v>
      </c>
      <c r="E201" s="68" t="str">
        <f t="shared" si="19"/>
        <v>*</v>
      </c>
      <c r="F201" s="68" t="str">
        <f t="shared" si="19"/>
        <v>*</v>
      </c>
      <c r="G201" s="68" t="str">
        <f t="shared" si="19"/>
        <v>*</v>
      </c>
      <c r="H201" s="68" t="str">
        <f t="shared" si="19"/>
        <v>*</v>
      </c>
      <c r="I201" s="68" t="str">
        <f t="shared" si="19"/>
        <v>*</v>
      </c>
      <c r="J201" s="68" t="str">
        <f t="shared" si="19"/>
        <v>*</v>
      </c>
      <c r="K201" s="68" t="str">
        <f t="shared" ref="K201:AX201" si="20">IF(K131=K56,"","*")</f>
        <v>*</v>
      </c>
      <c r="L201" s="68" t="str">
        <f t="shared" si="20"/>
        <v>*</v>
      </c>
      <c r="M201" s="68" t="str">
        <f t="shared" si="20"/>
        <v>*</v>
      </c>
      <c r="N201" s="68" t="str">
        <f t="shared" si="20"/>
        <v>*</v>
      </c>
      <c r="O201" s="68" t="str">
        <f t="shared" si="20"/>
        <v>*</v>
      </c>
      <c r="P201" s="68" t="str">
        <f t="shared" si="20"/>
        <v>*</v>
      </c>
      <c r="Q201" s="68" t="str">
        <f t="shared" si="20"/>
        <v>*</v>
      </c>
      <c r="R201" s="68" t="str">
        <f t="shared" si="20"/>
        <v>*</v>
      </c>
      <c r="S201" s="68" t="str">
        <f t="shared" si="20"/>
        <v>*</v>
      </c>
      <c r="T201" s="68" t="str">
        <f t="shared" si="20"/>
        <v>*</v>
      </c>
      <c r="U201" s="68" t="str">
        <f t="shared" si="20"/>
        <v>*</v>
      </c>
      <c r="V201" s="68" t="str">
        <f t="shared" si="20"/>
        <v>*</v>
      </c>
      <c r="W201" s="68" t="str">
        <f t="shared" si="20"/>
        <v>*</v>
      </c>
      <c r="X201" s="68" t="str">
        <f t="shared" si="20"/>
        <v>*</v>
      </c>
      <c r="Y201" s="68" t="str">
        <f t="shared" si="20"/>
        <v>*</v>
      </c>
      <c r="Z201" s="68" t="str">
        <f t="shared" si="20"/>
        <v>*</v>
      </c>
      <c r="AA201" s="68" t="str">
        <f t="shared" si="20"/>
        <v>*</v>
      </c>
      <c r="AB201" s="68" t="str">
        <f t="shared" si="20"/>
        <v>*</v>
      </c>
      <c r="AC201" s="68" t="str">
        <f t="shared" si="20"/>
        <v>*</v>
      </c>
      <c r="AD201" s="68" t="str">
        <f t="shared" si="20"/>
        <v>*</v>
      </c>
      <c r="AE201" s="68" t="str">
        <f t="shared" si="20"/>
        <v>*</v>
      </c>
      <c r="AF201" s="68" t="str">
        <f t="shared" si="20"/>
        <v>*</v>
      </c>
      <c r="AG201" s="68" t="str">
        <f t="shared" si="20"/>
        <v>*</v>
      </c>
      <c r="AH201" s="68" t="str">
        <f t="shared" si="20"/>
        <v>*</v>
      </c>
      <c r="AI201" s="68" t="str">
        <f t="shared" si="20"/>
        <v>*</v>
      </c>
      <c r="AJ201" s="68" t="str">
        <f t="shared" si="20"/>
        <v>*</v>
      </c>
      <c r="AK201" s="68" t="str">
        <f t="shared" si="20"/>
        <v>*</v>
      </c>
      <c r="AL201" s="68" t="str">
        <f t="shared" si="20"/>
        <v>*</v>
      </c>
      <c r="AM201" s="68" t="str">
        <f t="shared" si="20"/>
        <v>*</v>
      </c>
      <c r="AN201" s="68" t="str">
        <f t="shared" si="20"/>
        <v>*</v>
      </c>
      <c r="AO201" s="68" t="str">
        <f t="shared" si="20"/>
        <v>*</v>
      </c>
      <c r="AP201" s="68" t="str">
        <f t="shared" si="20"/>
        <v>*</v>
      </c>
      <c r="AQ201" s="68" t="str">
        <f t="shared" si="20"/>
        <v>*</v>
      </c>
      <c r="AR201" s="68" t="str">
        <f t="shared" si="20"/>
        <v>*</v>
      </c>
      <c r="AS201" s="68" t="str">
        <f t="shared" si="20"/>
        <v>*</v>
      </c>
      <c r="AT201" s="68" t="str">
        <f t="shared" si="20"/>
        <v>*</v>
      </c>
      <c r="AU201" s="68" t="str">
        <f t="shared" si="20"/>
        <v>*</v>
      </c>
      <c r="AV201" s="68" t="str">
        <f t="shared" si="20"/>
        <v>*</v>
      </c>
      <c r="AW201" s="68" t="str">
        <f t="shared" si="20"/>
        <v>*</v>
      </c>
      <c r="AX201" s="68" t="str">
        <f t="shared" si="20"/>
        <v>*</v>
      </c>
    </row>
    <row r="202" spans="1:50" ht="15.75" hidden="1" customHeight="1">
      <c r="A202" s="346"/>
      <c r="B202" s="65" t="s">
        <v>225</v>
      </c>
      <c r="C202" s="68" t="str">
        <f t="shared" ref="C202:AX206" si="21">IF(C132=C57,"","*")</f>
        <v>*</v>
      </c>
      <c r="D202" s="68" t="str">
        <f t="shared" si="21"/>
        <v>*</v>
      </c>
      <c r="E202" s="68" t="str">
        <f t="shared" si="21"/>
        <v>*</v>
      </c>
      <c r="F202" s="68" t="str">
        <f t="shared" si="21"/>
        <v>*</v>
      </c>
      <c r="G202" s="68" t="str">
        <f t="shared" si="21"/>
        <v>*</v>
      </c>
      <c r="H202" s="68" t="str">
        <f t="shared" si="21"/>
        <v>*</v>
      </c>
      <c r="I202" s="68" t="str">
        <f t="shared" si="21"/>
        <v>*</v>
      </c>
      <c r="J202" s="68" t="str">
        <f t="shared" si="21"/>
        <v>*</v>
      </c>
      <c r="K202" s="68" t="str">
        <f t="shared" si="21"/>
        <v>*</v>
      </c>
      <c r="L202" s="68" t="str">
        <f t="shared" si="21"/>
        <v>*</v>
      </c>
      <c r="M202" s="68" t="str">
        <f t="shared" si="21"/>
        <v>*</v>
      </c>
      <c r="N202" s="68" t="str">
        <f t="shared" si="21"/>
        <v>*</v>
      </c>
      <c r="O202" s="68" t="str">
        <f t="shared" si="21"/>
        <v>*</v>
      </c>
      <c r="P202" s="68" t="str">
        <f t="shared" si="21"/>
        <v>*</v>
      </c>
      <c r="Q202" s="68" t="str">
        <f t="shared" si="21"/>
        <v>*</v>
      </c>
      <c r="R202" s="68" t="str">
        <f t="shared" si="21"/>
        <v>*</v>
      </c>
      <c r="S202" s="68" t="str">
        <f t="shared" si="21"/>
        <v>*</v>
      </c>
      <c r="T202" s="68" t="str">
        <f t="shared" si="21"/>
        <v>*</v>
      </c>
      <c r="U202" s="68" t="str">
        <f t="shared" si="21"/>
        <v>*</v>
      </c>
      <c r="V202" s="68" t="str">
        <f t="shared" si="21"/>
        <v>*</v>
      </c>
      <c r="W202" s="68" t="str">
        <f t="shared" si="21"/>
        <v>*</v>
      </c>
      <c r="X202" s="68" t="str">
        <f t="shared" si="21"/>
        <v>*</v>
      </c>
      <c r="Y202" s="68" t="str">
        <f t="shared" si="21"/>
        <v>*</v>
      </c>
      <c r="Z202" s="68" t="str">
        <f t="shared" si="21"/>
        <v>*</v>
      </c>
      <c r="AA202" s="68" t="str">
        <f t="shared" si="21"/>
        <v>*</v>
      </c>
      <c r="AB202" s="68" t="str">
        <f t="shared" si="21"/>
        <v>*</v>
      </c>
      <c r="AC202" s="68" t="str">
        <f t="shared" si="21"/>
        <v>*</v>
      </c>
      <c r="AD202" s="68" t="str">
        <f t="shared" si="21"/>
        <v>*</v>
      </c>
      <c r="AE202" s="68" t="str">
        <f t="shared" si="21"/>
        <v>*</v>
      </c>
      <c r="AF202" s="68" t="str">
        <f t="shared" si="21"/>
        <v>*</v>
      </c>
      <c r="AG202" s="68" t="str">
        <f t="shared" si="21"/>
        <v>*</v>
      </c>
      <c r="AH202" s="68" t="str">
        <f t="shared" si="21"/>
        <v>*</v>
      </c>
      <c r="AI202" s="68" t="str">
        <f t="shared" si="21"/>
        <v>*</v>
      </c>
      <c r="AJ202" s="68" t="str">
        <f t="shared" si="21"/>
        <v>*</v>
      </c>
      <c r="AK202" s="68" t="str">
        <f t="shared" si="21"/>
        <v>*</v>
      </c>
      <c r="AL202" s="68" t="str">
        <f t="shared" si="21"/>
        <v>*</v>
      </c>
      <c r="AM202" s="68" t="str">
        <f t="shared" si="21"/>
        <v>*</v>
      </c>
      <c r="AN202" s="68" t="str">
        <f t="shared" si="21"/>
        <v>*</v>
      </c>
      <c r="AO202" s="68" t="str">
        <f t="shared" si="21"/>
        <v>*</v>
      </c>
      <c r="AP202" s="68" t="str">
        <f t="shared" si="21"/>
        <v>*</v>
      </c>
      <c r="AQ202" s="68" t="str">
        <f t="shared" si="21"/>
        <v>*</v>
      </c>
      <c r="AR202" s="68" t="str">
        <f t="shared" si="21"/>
        <v>*</v>
      </c>
      <c r="AS202" s="68" t="str">
        <f t="shared" si="21"/>
        <v>*</v>
      </c>
      <c r="AT202" s="68" t="str">
        <f t="shared" si="21"/>
        <v>*</v>
      </c>
      <c r="AU202" s="68" t="str">
        <f t="shared" si="21"/>
        <v>*</v>
      </c>
      <c r="AV202" s="68" t="str">
        <f t="shared" si="21"/>
        <v>*</v>
      </c>
      <c r="AW202" s="68" t="str">
        <f t="shared" si="21"/>
        <v>*</v>
      </c>
      <c r="AX202" s="68" t="str">
        <f t="shared" si="21"/>
        <v>*</v>
      </c>
    </row>
    <row r="203" spans="1:50" ht="15.75" hidden="1" customHeight="1">
      <c r="A203" s="63" t="s">
        <v>217</v>
      </c>
      <c r="B203" s="64" t="s">
        <v>223</v>
      </c>
      <c r="C203" s="67" t="str">
        <f t="shared" si="21"/>
        <v>*</v>
      </c>
      <c r="D203" s="67" t="str">
        <f t="shared" si="21"/>
        <v>*</v>
      </c>
      <c r="E203" s="67" t="str">
        <f t="shared" si="21"/>
        <v>*</v>
      </c>
      <c r="F203" s="67" t="str">
        <f t="shared" si="21"/>
        <v>*</v>
      </c>
      <c r="G203" s="67" t="str">
        <f t="shared" si="21"/>
        <v>*</v>
      </c>
      <c r="H203" s="67" t="str">
        <f t="shared" si="21"/>
        <v>*</v>
      </c>
      <c r="I203" s="67" t="str">
        <f t="shared" si="21"/>
        <v>*</v>
      </c>
      <c r="J203" s="67" t="str">
        <f t="shared" si="21"/>
        <v>*</v>
      </c>
      <c r="K203" s="67" t="str">
        <f t="shared" si="21"/>
        <v>*</v>
      </c>
      <c r="L203" s="67" t="str">
        <f t="shared" si="21"/>
        <v>*</v>
      </c>
      <c r="M203" s="67" t="str">
        <f t="shared" si="21"/>
        <v>*</v>
      </c>
      <c r="N203" s="67" t="str">
        <f t="shared" si="21"/>
        <v>*</v>
      </c>
      <c r="O203" s="67" t="str">
        <f t="shared" si="21"/>
        <v>*</v>
      </c>
      <c r="P203" s="67" t="str">
        <f t="shared" si="21"/>
        <v>*</v>
      </c>
      <c r="Q203" s="67" t="str">
        <f t="shared" si="21"/>
        <v>*</v>
      </c>
      <c r="R203" s="67" t="str">
        <f t="shared" si="21"/>
        <v>*</v>
      </c>
      <c r="S203" s="67" t="str">
        <f t="shared" si="21"/>
        <v/>
      </c>
      <c r="T203" s="67" t="str">
        <f t="shared" si="21"/>
        <v/>
      </c>
      <c r="U203" s="67" t="str">
        <f t="shared" si="21"/>
        <v/>
      </c>
      <c r="V203" s="67" t="str">
        <f t="shared" si="21"/>
        <v/>
      </c>
      <c r="W203" s="67" t="str">
        <f t="shared" si="21"/>
        <v>*</v>
      </c>
      <c r="X203" s="67" t="str">
        <f t="shared" si="21"/>
        <v>*</v>
      </c>
      <c r="Y203" s="67" t="str">
        <f t="shared" si="21"/>
        <v>*</v>
      </c>
      <c r="Z203" s="67" t="str">
        <f t="shared" si="21"/>
        <v>*</v>
      </c>
      <c r="AA203" s="67" t="str">
        <f t="shared" si="21"/>
        <v>*</v>
      </c>
      <c r="AB203" s="67" t="str">
        <f t="shared" si="21"/>
        <v>*</v>
      </c>
      <c r="AC203" s="67" t="str">
        <f t="shared" si="21"/>
        <v>*</v>
      </c>
      <c r="AD203" s="67" t="str">
        <f t="shared" si="21"/>
        <v>*</v>
      </c>
      <c r="AE203" s="67" t="str">
        <f t="shared" si="21"/>
        <v>*</v>
      </c>
      <c r="AF203" s="67" t="str">
        <f t="shared" si="21"/>
        <v>*</v>
      </c>
      <c r="AG203" s="67" t="str">
        <f t="shared" si="21"/>
        <v>*</v>
      </c>
      <c r="AH203" s="67" t="str">
        <f t="shared" si="21"/>
        <v>*</v>
      </c>
      <c r="AI203" s="67" t="str">
        <f t="shared" si="21"/>
        <v>*</v>
      </c>
      <c r="AJ203" s="67" t="str">
        <f t="shared" si="21"/>
        <v>*</v>
      </c>
      <c r="AK203" s="67" t="str">
        <f t="shared" si="21"/>
        <v>*</v>
      </c>
      <c r="AL203" s="67" t="str">
        <f t="shared" si="21"/>
        <v>*</v>
      </c>
      <c r="AM203" s="67" t="str">
        <f t="shared" si="21"/>
        <v>*</v>
      </c>
      <c r="AN203" s="67" t="str">
        <f t="shared" si="21"/>
        <v>*</v>
      </c>
      <c r="AO203" s="67" t="str">
        <f t="shared" si="21"/>
        <v>*</v>
      </c>
      <c r="AP203" s="67" t="str">
        <f t="shared" si="21"/>
        <v>*</v>
      </c>
      <c r="AQ203" s="67" t="str">
        <f t="shared" si="21"/>
        <v>*</v>
      </c>
      <c r="AR203" s="67" t="str">
        <f t="shared" si="21"/>
        <v>*</v>
      </c>
      <c r="AS203" s="67" t="str">
        <f t="shared" si="21"/>
        <v>*</v>
      </c>
      <c r="AT203" s="67" t="str">
        <f t="shared" si="21"/>
        <v/>
      </c>
      <c r="AU203" s="67" t="str">
        <f t="shared" si="21"/>
        <v>*</v>
      </c>
      <c r="AV203" s="67" t="str">
        <f t="shared" si="21"/>
        <v>*</v>
      </c>
      <c r="AW203" s="67" t="str">
        <f t="shared" si="21"/>
        <v>*</v>
      </c>
      <c r="AX203" s="67" t="str">
        <f t="shared" si="21"/>
        <v>*</v>
      </c>
    </row>
    <row r="204" spans="1:50" ht="15.75" hidden="1" customHeight="1">
      <c r="A204" s="345" t="s">
        <v>18</v>
      </c>
      <c r="B204" s="65" t="s">
        <v>224</v>
      </c>
      <c r="C204" s="68" t="str">
        <f t="shared" si="21"/>
        <v>*</v>
      </c>
      <c r="D204" s="68" t="str">
        <f t="shared" si="21"/>
        <v>*</v>
      </c>
      <c r="E204" s="68" t="str">
        <f t="shared" si="21"/>
        <v>*</v>
      </c>
      <c r="F204" s="68" t="str">
        <f t="shared" si="21"/>
        <v>*</v>
      </c>
      <c r="G204" s="68" t="str">
        <f t="shared" si="21"/>
        <v>*</v>
      </c>
      <c r="H204" s="68" t="str">
        <f t="shared" si="21"/>
        <v/>
      </c>
      <c r="I204" s="68" t="str">
        <f t="shared" si="21"/>
        <v>*</v>
      </c>
      <c r="J204" s="68" t="str">
        <f t="shared" si="21"/>
        <v>*</v>
      </c>
      <c r="K204" s="68" t="str">
        <f t="shared" si="21"/>
        <v>*</v>
      </c>
      <c r="L204" s="68" t="str">
        <f t="shared" si="21"/>
        <v>*</v>
      </c>
      <c r="M204" s="68" t="str">
        <f t="shared" si="21"/>
        <v>*</v>
      </c>
      <c r="N204" s="68" t="str">
        <f t="shared" si="21"/>
        <v>*</v>
      </c>
      <c r="O204" s="68" t="str">
        <f t="shared" si="21"/>
        <v>*</v>
      </c>
      <c r="P204" s="68" t="str">
        <f t="shared" si="21"/>
        <v>*</v>
      </c>
      <c r="Q204" s="68" t="str">
        <f t="shared" si="21"/>
        <v>*</v>
      </c>
      <c r="R204" s="68" t="str">
        <f t="shared" si="21"/>
        <v/>
      </c>
      <c r="S204" s="68" t="str">
        <f t="shared" si="21"/>
        <v/>
      </c>
      <c r="T204" s="68" t="str">
        <f t="shared" si="21"/>
        <v/>
      </c>
      <c r="U204" s="68" t="str">
        <f t="shared" si="21"/>
        <v/>
      </c>
      <c r="V204" s="68" t="str">
        <f t="shared" si="21"/>
        <v/>
      </c>
      <c r="W204" s="68" t="str">
        <f t="shared" si="21"/>
        <v>*</v>
      </c>
      <c r="X204" s="68" t="str">
        <f t="shared" si="21"/>
        <v>*</v>
      </c>
      <c r="Y204" s="68" t="str">
        <f t="shared" si="21"/>
        <v>*</v>
      </c>
      <c r="Z204" s="68" t="str">
        <f t="shared" si="21"/>
        <v>*</v>
      </c>
      <c r="AA204" s="68" t="str">
        <f t="shared" si="21"/>
        <v>*</v>
      </c>
      <c r="AB204" s="68" t="str">
        <f t="shared" si="21"/>
        <v>*</v>
      </c>
      <c r="AC204" s="68" t="str">
        <f t="shared" si="21"/>
        <v>*</v>
      </c>
      <c r="AD204" s="68" t="str">
        <f t="shared" si="21"/>
        <v>*</v>
      </c>
      <c r="AE204" s="68" t="str">
        <f t="shared" si="21"/>
        <v>*</v>
      </c>
      <c r="AF204" s="68" t="str">
        <f t="shared" si="21"/>
        <v>*</v>
      </c>
      <c r="AG204" s="68" t="str">
        <f t="shared" si="21"/>
        <v>*</v>
      </c>
      <c r="AH204" s="68" t="str">
        <f t="shared" si="21"/>
        <v>*</v>
      </c>
      <c r="AI204" s="68" t="str">
        <f t="shared" si="21"/>
        <v/>
      </c>
      <c r="AJ204" s="68" t="str">
        <f t="shared" si="21"/>
        <v>*</v>
      </c>
      <c r="AK204" s="68" t="str">
        <f t="shared" si="21"/>
        <v>*</v>
      </c>
      <c r="AL204" s="68" t="str">
        <f t="shared" si="21"/>
        <v>*</v>
      </c>
      <c r="AM204" s="68" t="str">
        <f t="shared" si="21"/>
        <v>*</v>
      </c>
      <c r="AN204" s="68" t="str">
        <f t="shared" si="21"/>
        <v>*</v>
      </c>
      <c r="AO204" s="68" t="str">
        <f t="shared" si="21"/>
        <v>*</v>
      </c>
      <c r="AP204" s="68" t="str">
        <f t="shared" si="21"/>
        <v>*</v>
      </c>
      <c r="AQ204" s="68" t="str">
        <f t="shared" si="21"/>
        <v/>
      </c>
      <c r="AR204" s="68" t="str">
        <f t="shared" si="21"/>
        <v/>
      </c>
      <c r="AS204" s="68" t="str">
        <f t="shared" si="21"/>
        <v/>
      </c>
      <c r="AT204" s="68" t="str">
        <f t="shared" si="21"/>
        <v/>
      </c>
      <c r="AU204" s="68" t="str">
        <f t="shared" si="21"/>
        <v>*</v>
      </c>
      <c r="AV204" s="68" t="str">
        <f t="shared" si="21"/>
        <v>*</v>
      </c>
      <c r="AW204" s="68" t="str">
        <f t="shared" si="21"/>
        <v>*</v>
      </c>
      <c r="AX204" s="68" t="str">
        <f t="shared" si="21"/>
        <v>*</v>
      </c>
    </row>
    <row r="205" spans="1:50" ht="15.75" hidden="1" customHeight="1">
      <c r="A205" s="346"/>
      <c r="B205" s="65" t="s">
        <v>225</v>
      </c>
      <c r="C205" s="68" t="str">
        <f t="shared" si="21"/>
        <v>*</v>
      </c>
      <c r="D205" s="68" t="str">
        <f t="shared" si="21"/>
        <v>*</v>
      </c>
      <c r="E205" s="68" t="str">
        <f t="shared" si="21"/>
        <v>*</v>
      </c>
      <c r="F205" s="68" t="str">
        <f t="shared" si="21"/>
        <v>*</v>
      </c>
      <c r="G205" s="68" t="str">
        <f t="shared" si="21"/>
        <v>*</v>
      </c>
      <c r="H205" s="68" t="str">
        <f t="shared" si="21"/>
        <v>*</v>
      </c>
      <c r="I205" s="68" t="str">
        <f t="shared" si="21"/>
        <v>*</v>
      </c>
      <c r="J205" s="68" t="str">
        <f t="shared" si="21"/>
        <v>*</v>
      </c>
      <c r="K205" s="68" t="str">
        <f t="shared" si="21"/>
        <v>*</v>
      </c>
      <c r="L205" s="68" t="str">
        <f t="shared" si="21"/>
        <v>*</v>
      </c>
      <c r="M205" s="68" t="str">
        <f t="shared" si="21"/>
        <v>*</v>
      </c>
      <c r="N205" s="68" t="str">
        <f t="shared" si="21"/>
        <v>*</v>
      </c>
      <c r="O205" s="68" t="str">
        <f t="shared" si="21"/>
        <v>*</v>
      </c>
      <c r="P205" s="68" t="str">
        <f t="shared" si="21"/>
        <v>*</v>
      </c>
      <c r="Q205" s="68" t="str">
        <f t="shared" si="21"/>
        <v>*</v>
      </c>
      <c r="R205" s="68" t="str">
        <f t="shared" si="21"/>
        <v>*</v>
      </c>
      <c r="S205" s="68" t="str">
        <f t="shared" si="21"/>
        <v/>
      </c>
      <c r="T205" s="68" t="str">
        <f t="shared" si="21"/>
        <v/>
      </c>
      <c r="U205" s="68" t="str">
        <f t="shared" si="21"/>
        <v/>
      </c>
      <c r="V205" s="68" t="str">
        <f t="shared" si="21"/>
        <v/>
      </c>
      <c r="W205" s="68" t="str">
        <f t="shared" si="21"/>
        <v>*</v>
      </c>
      <c r="X205" s="68" t="str">
        <f t="shared" si="21"/>
        <v>*</v>
      </c>
      <c r="Y205" s="68" t="str">
        <f t="shared" si="21"/>
        <v/>
      </c>
      <c r="Z205" s="68" t="str">
        <f t="shared" si="21"/>
        <v>*</v>
      </c>
      <c r="AA205" s="68" t="str">
        <f t="shared" si="21"/>
        <v>*</v>
      </c>
      <c r="AB205" s="68" t="str">
        <f t="shared" si="21"/>
        <v>*</v>
      </c>
      <c r="AC205" s="68" t="str">
        <f t="shared" si="21"/>
        <v>*</v>
      </c>
      <c r="AD205" s="68" t="str">
        <f t="shared" si="21"/>
        <v>*</v>
      </c>
      <c r="AE205" s="68" t="str">
        <f t="shared" si="21"/>
        <v>*</v>
      </c>
      <c r="AF205" s="68" t="str">
        <f t="shared" si="21"/>
        <v>*</v>
      </c>
      <c r="AG205" s="68" t="str">
        <f t="shared" si="21"/>
        <v>*</v>
      </c>
      <c r="AH205" s="68" t="str">
        <f t="shared" si="21"/>
        <v>*</v>
      </c>
      <c r="AI205" s="68" t="str">
        <f t="shared" si="21"/>
        <v>*</v>
      </c>
      <c r="AJ205" s="68" t="str">
        <f t="shared" si="21"/>
        <v>*</v>
      </c>
      <c r="AK205" s="68" t="str">
        <f t="shared" si="21"/>
        <v/>
      </c>
      <c r="AL205" s="68" t="str">
        <f t="shared" si="21"/>
        <v>*</v>
      </c>
      <c r="AM205" s="68" t="str">
        <f t="shared" si="21"/>
        <v>*</v>
      </c>
      <c r="AN205" s="68" t="str">
        <f t="shared" si="21"/>
        <v>*</v>
      </c>
      <c r="AO205" s="68" t="str">
        <f t="shared" si="21"/>
        <v>*</v>
      </c>
      <c r="AP205" s="68" t="str">
        <f t="shared" si="21"/>
        <v>*</v>
      </c>
      <c r="AQ205" s="68" t="str">
        <f t="shared" si="21"/>
        <v>*</v>
      </c>
      <c r="AR205" s="68" t="str">
        <f t="shared" si="21"/>
        <v>*</v>
      </c>
      <c r="AS205" s="68" t="str">
        <f t="shared" si="21"/>
        <v>*</v>
      </c>
      <c r="AT205" s="68" t="str">
        <f t="shared" si="21"/>
        <v/>
      </c>
      <c r="AU205" s="68" t="str">
        <f t="shared" si="21"/>
        <v>*</v>
      </c>
      <c r="AV205" s="68" t="str">
        <f t="shared" si="21"/>
        <v>*</v>
      </c>
      <c r="AW205" s="68" t="str">
        <f t="shared" si="21"/>
        <v>*</v>
      </c>
      <c r="AX205" s="68" t="str">
        <f t="shared" si="21"/>
        <v>*</v>
      </c>
    </row>
    <row r="206" spans="1:50" ht="15.75" hidden="1" customHeight="1">
      <c r="A206" s="63" t="s">
        <v>218</v>
      </c>
      <c r="B206" s="64" t="s">
        <v>223</v>
      </c>
      <c r="C206" s="67" t="str">
        <f t="shared" si="21"/>
        <v>*</v>
      </c>
      <c r="D206" s="67" t="str">
        <f t="shared" si="21"/>
        <v>*</v>
      </c>
      <c r="E206" s="67" t="str">
        <f t="shared" si="21"/>
        <v>*</v>
      </c>
      <c r="F206" s="67" t="str">
        <f t="shared" si="21"/>
        <v>*</v>
      </c>
      <c r="G206" s="67" t="str">
        <f t="shared" si="21"/>
        <v>*</v>
      </c>
      <c r="H206" s="67" t="str">
        <f t="shared" si="21"/>
        <v>*</v>
      </c>
      <c r="I206" s="67" t="str">
        <f t="shared" si="21"/>
        <v>*</v>
      </c>
      <c r="J206" s="67" t="str">
        <f t="shared" si="21"/>
        <v>*</v>
      </c>
      <c r="K206" s="67" t="str">
        <f t="shared" ref="K206:AX206" si="22">IF(K136=K61,"","*")</f>
        <v>*</v>
      </c>
      <c r="L206" s="67" t="str">
        <f t="shared" si="22"/>
        <v>*</v>
      </c>
      <c r="M206" s="67" t="str">
        <f t="shared" si="22"/>
        <v>*</v>
      </c>
      <c r="N206" s="67" t="str">
        <f t="shared" si="22"/>
        <v>*</v>
      </c>
      <c r="O206" s="67" t="str">
        <f t="shared" si="22"/>
        <v>*</v>
      </c>
      <c r="P206" s="67" t="str">
        <f t="shared" si="22"/>
        <v>*</v>
      </c>
      <c r="Q206" s="67" t="str">
        <f t="shared" si="22"/>
        <v>*</v>
      </c>
      <c r="R206" s="67" t="str">
        <f t="shared" si="22"/>
        <v>*</v>
      </c>
      <c r="S206" s="67" t="str">
        <f t="shared" si="22"/>
        <v/>
      </c>
      <c r="T206" s="67" t="str">
        <f t="shared" si="22"/>
        <v/>
      </c>
      <c r="U206" s="67" t="str">
        <f t="shared" si="22"/>
        <v/>
      </c>
      <c r="V206" s="67" t="str">
        <f t="shared" si="22"/>
        <v/>
      </c>
      <c r="W206" s="67" t="str">
        <f t="shared" si="22"/>
        <v>*</v>
      </c>
      <c r="X206" s="67" t="str">
        <f t="shared" si="22"/>
        <v>*</v>
      </c>
      <c r="Y206" s="67" t="str">
        <f t="shared" si="22"/>
        <v>*</v>
      </c>
      <c r="Z206" s="67" t="str">
        <f t="shared" si="22"/>
        <v>*</v>
      </c>
      <c r="AA206" s="67" t="str">
        <f t="shared" si="22"/>
        <v>*</v>
      </c>
      <c r="AB206" s="67" t="str">
        <f t="shared" si="22"/>
        <v>*</v>
      </c>
      <c r="AC206" s="67" t="str">
        <f t="shared" si="22"/>
        <v>*</v>
      </c>
      <c r="AD206" s="67" t="str">
        <f t="shared" si="22"/>
        <v>*</v>
      </c>
      <c r="AE206" s="67" t="str">
        <f t="shared" si="22"/>
        <v>*</v>
      </c>
      <c r="AF206" s="67" t="str">
        <f t="shared" si="22"/>
        <v>*</v>
      </c>
      <c r="AG206" s="67" t="str">
        <f t="shared" si="22"/>
        <v>*</v>
      </c>
      <c r="AH206" s="67" t="str">
        <f t="shared" si="22"/>
        <v>*</v>
      </c>
      <c r="AI206" s="67" t="str">
        <f t="shared" si="22"/>
        <v>*</v>
      </c>
      <c r="AJ206" s="67" t="str">
        <f t="shared" si="22"/>
        <v>*</v>
      </c>
      <c r="AK206" s="67" t="str">
        <f t="shared" si="22"/>
        <v>*</v>
      </c>
      <c r="AL206" s="67" t="str">
        <f t="shared" si="22"/>
        <v>*</v>
      </c>
      <c r="AM206" s="67" t="str">
        <f t="shared" si="22"/>
        <v>*</v>
      </c>
      <c r="AN206" s="67" t="str">
        <f t="shared" si="22"/>
        <v>*</v>
      </c>
      <c r="AO206" s="67" t="str">
        <f t="shared" si="22"/>
        <v>*</v>
      </c>
      <c r="AP206" s="67" t="str">
        <f t="shared" si="22"/>
        <v>*</v>
      </c>
      <c r="AQ206" s="67" t="str">
        <f t="shared" si="22"/>
        <v>*</v>
      </c>
      <c r="AR206" s="67" t="str">
        <f t="shared" si="22"/>
        <v/>
      </c>
      <c r="AS206" s="67" t="str">
        <f t="shared" si="22"/>
        <v/>
      </c>
      <c r="AT206" s="67" t="str">
        <f t="shared" si="22"/>
        <v>*</v>
      </c>
      <c r="AU206" s="67" t="str">
        <f t="shared" si="22"/>
        <v>*</v>
      </c>
      <c r="AV206" s="67" t="str">
        <f t="shared" si="22"/>
        <v>*</v>
      </c>
      <c r="AW206" s="67" t="str">
        <f t="shared" si="22"/>
        <v>*</v>
      </c>
      <c r="AX206" s="67" t="str">
        <f t="shared" si="22"/>
        <v>*</v>
      </c>
    </row>
    <row r="207" spans="1:50" ht="15.75" hidden="1" customHeight="1">
      <c r="A207" s="345" t="s">
        <v>19</v>
      </c>
      <c r="B207" s="65" t="s">
        <v>224</v>
      </c>
      <c r="C207" s="68" t="str">
        <f t="shared" ref="C207:AX211" si="23">IF(C137=C62,"","*")</f>
        <v>*</v>
      </c>
      <c r="D207" s="68" t="str">
        <f t="shared" si="23"/>
        <v>*</v>
      </c>
      <c r="E207" s="68" t="str">
        <f t="shared" si="23"/>
        <v>*</v>
      </c>
      <c r="F207" s="68" t="str">
        <f t="shared" si="23"/>
        <v>*</v>
      </c>
      <c r="G207" s="68" t="str">
        <f t="shared" si="23"/>
        <v>*</v>
      </c>
      <c r="H207" s="68" t="str">
        <f t="shared" si="23"/>
        <v>*</v>
      </c>
      <c r="I207" s="68" t="str">
        <f t="shared" si="23"/>
        <v>*</v>
      </c>
      <c r="J207" s="68" t="str">
        <f t="shared" si="23"/>
        <v>*</v>
      </c>
      <c r="K207" s="68" t="str">
        <f t="shared" si="23"/>
        <v>*</v>
      </c>
      <c r="L207" s="68" t="str">
        <f t="shared" si="23"/>
        <v>*</v>
      </c>
      <c r="M207" s="68" t="str">
        <f t="shared" si="23"/>
        <v>*</v>
      </c>
      <c r="N207" s="68" t="str">
        <f t="shared" si="23"/>
        <v>*</v>
      </c>
      <c r="O207" s="68" t="str">
        <f t="shared" si="23"/>
        <v>*</v>
      </c>
      <c r="P207" s="68" t="str">
        <f t="shared" si="23"/>
        <v>*</v>
      </c>
      <c r="Q207" s="68" t="str">
        <f t="shared" si="23"/>
        <v>*</v>
      </c>
      <c r="R207" s="68" t="str">
        <f t="shared" si="23"/>
        <v>*</v>
      </c>
      <c r="S207" s="68" t="str">
        <f t="shared" si="23"/>
        <v/>
      </c>
      <c r="T207" s="68" t="str">
        <f t="shared" si="23"/>
        <v/>
      </c>
      <c r="U207" s="68" t="str">
        <f t="shared" si="23"/>
        <v/>
      </c>
      <c r="V207" s="68" t="str">
        <f t="shared" si="23"/>
        <v/>
      </c>
      <c r="W207" s="68" t="str">
        <f t="shared" si="23"/>
        <v>*</v>
      </c>
      <c r="X207" s="68" t="str">
        <f t="shared" si="23"/>
        <v>*</v>
      </c>
      <c r="Y207" s="68" t="str">
        <f t="shared" si="23"/>
        <v>*</v>
      </c>
      <c r="Z207" s="68" t="str">
        <f t="shared" si="23"/>
        <v>*</v>
      </c>
      <c r="AA207" s="68" t="str">
        <f t="shared" si="23"/>
        <v>*</v>
      </c>
      <c r="AB207" s="68" t="str">
        <f t="shared" si="23"/>
        <v>*</v>
      </c>
      <c r="AC207" s="68" t="str">
        <f t="shared" si="23"/>
        <v>*</v>
      </c>
      <c r="AD207" s="68" t="str">
        <f t="shared" si="23"/>
        <v>*</v>
      </c>
      <c r="AE207" s="68" t="str">
        <f t="shared" si="23"/>
        <v>*</v>
      </c>
      <c r="AF207" s="68" t="str">
        <f t="shared" si="23"/>
        <v/>
      </c>
      <c r="AG207" s="68" t="str">
        <f t="shared" si="23"/>
        <v/>
      </c>
      <c r="AH207" s="68" t="str">
        <f t="shared" si="23"/>
        <v>*</v>
      </c>
      <c r="AI207" s="68" t="str">
        <f t="shared" si="23"/>
        <v>*</v>
      </c>
      <c r="AJ207" s="68" t="str">
        <f t="shared" si="23"/>
        <v>*</v>
      </c>
      <c r="AK207" s="68" t="str">
        <f t="shared" si="23"/>
        <v>*</v>
      </c>
      <c r="AL207" s="68" t="str">
        <f t="shared" si="23"/>
        <v>*</v>
      </c>
      <c r="AM207" s="68" t="str">
        <f t="shared" si="23"/>
        <v>*</v>
      </c>
      <c r="AN207" s="68" t="str">
        <f t="shared" si="23"/>
        <v>*</v>
      </c>
      <c r="AO207" s="68" t="str">
        <f t="shared" si="23"/>
        <v>*</v>
      </c>
      <c r="AP207" s="68" t="str">
        <f t="shared" si="23"/>
        <v>*</v>
      </c>
      <c r="AQ207" s="68" t="str">
        <f t="shared" si="23"/>
        <v>*</v>
      </c>
      <c r="AR207" s="68" t="str">
        <f t="shared" si="23"/>
        <v/>
      </c>
      <c r="AS207" s="68" t="str">
        <f t="shared" si="23"/>
        <v/>
      </c>
      <c r="AT207" s="68" t="str">
        <f t="shared" si="23"/>
        <v>*</v>
      </c>
      <c r="AU207" s="68" t="str">
        <f t="shared" si="23"/>
        <v>*</v>
      </c>
      <c r="AV207" s="68" t="str">
        <f t="shared" si="23"/>
        <v>*</v>
      </c>
      <c r="AW207" s="68" t="str">
        <f t="shared" si="23"/>
        <v/>
      </c>
      <c r="AX207" s="68" t="str">
        <f t="shared" si="23"/>
        <v>*</v>
      </c>
    </row>
    <row r="208" spans="1:50" ht="15.75" hidden="1" customHeight="1">
      <c r="A208" s="346"/>
      <c r="B208" s="65" t="s">
        <v>225</v>
      </c>
      <c r="C208" s="68" t="str">
        <f t="shared" si="23"/>
        <v>*</v>
      </c>
      <c r="D208" s="68" t="str">
        <f t="shared" si="23"/>
        <v>*</v>
      </c>
      <c r="E208" s="68" t="str">
        <f t="shared" si="23"/>
        <v>*</v>
      </c>
      <c r="F208" s="68" t="str">
        <f t="shared" si="23"/>
        <v>*</v>
      </c>
      <c r="G208" s="68" t="str">
        <f t="shared" si="23"/>
        <v>*</v>
      </c>
      <c r="H208" s="68" t="str">
        <f t="shared" si="23"/>
        <v>*</v>
      </c>
      <c r="I208" s="68" t="str">
        <f t="shared" si="23"/>
        <v>*</v>
      </c>
      <c r="J208" s="68" t="str">
        <f t="shared" si="23"/>
        <v>*</v>
      </c>
      <c r="K208" s="68" t="str">
        <f t="shared" si="23"/>
        <v>*</v>
      </c>
      <c r="L208" s="68" t="str">
        <f t="shared" si="23"/>
        <v>*</v>
      </c>
      <c r="M208" s="68" t="str">
        <f t="shared" si="23"/>
        <v>*</v>
      </c>
      <c r="N208" s="68" t="str">
        <f t="shared" si="23"/>
        <v>*</v>
      </c>
      <c r="O208" s="68" t="str">
        <f t="shared" si="23"/>
        <v>*</v>
      </c>
      <c r="P208" s="68" t="str">
        <f t="shared" si="23"/>
        <v>*</v>
      </c>
      <c r="Q208" s="68" t="str">
        <f t="shared" si="23"/>
        <v>*</v>
      </c>
      <c r="R208" s="68" t="str">
        <f t="shared" si="23"/>
        <v>*</v>
      </c>
      <c r="S208" s="68" t="str">
        <f t="shared" si="23"/>
        <v/>
      </c>
      <c r="T208" s="68" t="str">
        <f t="shared" si="23"/>
        <v/>
      </c>
      <c r="U208" s="68" t="str">
        <f t="shared" si="23"/>
        <v/>
      </c>
      <c r="V208" s="68" t="str">
        <f t="shared" si="23"/>
        <v/>
      </c>
      <c r="W208" s="68" t="str">
        <f t="shared" si="23"/>
        <v>*</v>
      </c>
      <c r="X208" s="68" t="str">
        <f t="shared" si="23"/>
        <v>*</v>
      </c>
      <c r="Y208" s="68" t="str">
        <f t="shared" si="23"/>
        <v>*</v>
      </c>
      <c r="Z208" s="68" t="str">
        <f t="shared" si="23"/>
        <v>*</v>
      </c>
      <c r="AA208" s="68" t="str">
        <f t="shared" si="23"/>
        <v>*</v>
      </c>
      <c r="AB208" s="68" t="str">
        <f t="shared" si="23"/>
        <v>*</v>
      </c>
      <c r="AC208" s="68" t="str">
        <f t="shared" si="23"/>
        <v>*</v>
      </c>
      <c r="AD208" s="68" t="str">
        <f t="shared" si="23"/>
        <v>*</v>
      </c>
      <c r="AE208" s="68" t="str">
        <f t="shared" si="23"/>
        <v>*</v>
      </c>
      <c r="AF208" s="68" t="str">
        <f t="shared" si="23"/>
        <v>*</v>
      </c>
      <c r="AG208" s="68" t="str">
        <f t="shared" si="23"/>
        <v>*</v>
      </c>
      <c r="AH208" s="68" t="str">
        <f t="shared" si="23"/>
        <v>*</v>
      </c>
      <c r="AI208" s="68" t="str">
        <f t="shared" si="23"/>
        <v>*</v>
      </c>
      <c r="AJ208" s="68" t="str">
        <f t="shared" si="23"/>
        <v>*</v>
      </c>
      <c r="AK208" s="68" t="str">
        <f t="shared" si="23"/>
        <v>*</v>
      </c>
      <c r="AL208" s="68" t="str">
        <f t="shared" si="23"/>
        <v>*</v>
      </c>
      <c r="AM208" s="68" t="str">
        <f t="shared" si="23"/>
        <v>*</v>
      </c>
      <c r="AN208" s="68" t="str">
        <f t="shared" si="23"/>
        <v>*</v>
      </c>
      <c r="AO208" s="68" t="str">
        <f t="shared" si="23"/>
        <v>*</v>
      </c>
      <c r="AP208" s="68" t="str">
        <f t="shared" si="23"/>
        <v>*</v>
      </c>
      <c r="AQ208" s="68" t="str">
        <f t="shared" si="23"/>
        <v/>
      </c>
      <c r="AR208" s="68" t="str">
        <f t="shared" si="23"/>
        <v/>
      </c>
      <c r="AS208" s="68" t="str">
        <f t="shared" si="23"/>
        <v/>
      </c>
      <c r="AT208" s="68" t="str">
        <f t="shared" si="23"/>
        <v/>
      </c>
      <c r="AU208" s="68" t="str">
        <f t="shared" si="23"/>
        <v>*</v>
      </c>
      <c r="AV208" s="68" t="str">
        <f t="shared" si="23"/>
        <v>*</v>
      </c>
      <c r="AW208" s="68" t="str">
        <f t="shared" si="23"/>
        <v>*</v>
      </c>
      <c r="AX208" s="68" t="str">
        <f t="shared" si="23"/>
        <v>*</v>
      </c>
    </row>
    <row r="209" spans="1:50" ht="15.75" hidden="1" customHeight="1">
      <c r="A209" s="63" t="s">
        <v>219</v>
      </c>
      <c r="B209" s="64" t="s">
        <v>223</v>
      </c>
      <c r="C209" s="67" t="str">
        <f t="shared" si="23"/>
        <v>*</v>
      </c>
      <c r="D209" s="67" t="str">
        <f t="shared" si="23"/>
        <v>*</v>
      </c>
      <c r="E209" s="67" t="str">
        <f t="shared" si="23"/>
        <v>*</v>
      </c>
      <c r="F209" s="67" t="str">
        <f t="shared" si="23"/>
        <v>*</v>
      </c>
      <c r="G209" s="67" t="str">
        <f t="shared" si="23"/>
        <v>*</v>
      </c>
      <c r="H209" s="67" t="str">
        <f t="shared" si="23"/>
        <v>*</v>
      </c>
      <c r="I209" s="67" t="str">
        <f t="shared" si="23"/>
        <v>*</v>
      </c>
      <c r="J209" s="67" t="str">
        <f t="shared" si="23"/>
        <v>*</v>
      </c>
      <c r="K209" s="67" t="str">
        <f t="shared" si="23"/>
        <v>*</v>
      </c>
      <c r="L209" s="67" t="str">
        <f t="shared" si="23"/>
        <v>*</v>
      </c>
      <c r="M209" s="67" t="str">
        <f t="shared" si="23"/>
        <v>*</v>
      </c>
      <c r="N209" s="67" t="str">
        <f t="shared" si="23"/>
        <v>*</v>
      </c>
      <c r="O209" s="67" t="str">
        <f t="shared" si="23"/>
        <v>*</v>
      </c>
      <c r="P209" s="67" t="str">
        <f t="shared" si="23"/>
        <v>*</v>
      </c>
      <c r="Q209" s="67" t="str">
        <f t="shared" si="23"/>
        <v>*</v>
      </c>
      <c r="R209" s="67" t="str">
        <f t="shared" si="23"/>
        <v>*</v>
      </c>
      <c r="S209" s="67" t="str">
        <f t="shared" si="23"/>
        <v>*</v>
      </c>
      <c r="T209" s="67" t="str">
        <f t="shared" si="23"/>
        <v/>
      </c>
      <c r="U209" s="67" t="str">
        <f t="shared" si="23"/>
        <v/>
      </c>
      <c r="V209" s="67" t="str">
        <f t="shared" si="23"/>
        <v>*</v>
      </c>
      <c r="W209" s="67" t="str">
        <f t="shared" si="23"/>
        <v>*</v>
      </c>
      <c r="X209" s="67" t="str">
        <f t="shared" si="23"/>
        <v>*</v>
      </c>
      <c r="Y209" s="67" t="str">
        <f t="shared" si="23"/>
        <v>*</v>
      </c>
      <c r="Z209" s="67" t="str">
        <f t="shared" si="23"/>
        <v>*</v>
      </c>
      <c r="AA209" s="67" t="str">
        <f t="shared" si="23"/>
        <v>*</v>
      </c>
      <c r="AB209" s="67" t="str">
        <f t="shared" si="23"/>
        <v>*</v>
      </c>
      <c r="AC209" s="67" t="str">
        <f t="shared" si="23"/>
        <v>*</v>
      </c>
      <c r="AD209" s="67" t="str">
        <f t="shared" si="23"/>
        <v>*</v>
      </c>
      <c r="AE209" s="67" t="str">
        <f t="shared" si="23"/>
        <v>*</v>
      </c>
      <c r="AF209" s="67" t="str">
        <f t="shared" si="23"/>
        <v>*</v>
      </c>
      <c r="AG209" s="67" t="str">
        <f t="shared" si="23"/>
        <v>*</v>
      </c>
      <c r="AH209" s="67" t="str">
        <f t="shared" si="23"/>
        <v>*</v>
      </c>
      <c r="AI209" s="67" t="str">
        <f t="shared" si="23"/>
        <v>*</v>
      </c>
      <c r="AJ209" s="67" t="str">
        <f t="shared" si="23"/>
        <v>*</v>
      </c>
      <c r="AK209" s="67" t="str">
        <f t="shared" si="23"/>
        <v>*</v>
      </c>
      <c r="AL209" s="67" t="str">
        <f t="shared" si="23"/>
        <v>*</v>
      </c>
      <c r="AM209" s="67" t="str">
        <f t="shared" si="23"/>
        <v>*</v>
      </c>
      <c r="AN209" s="67" t="str">
        <f t="shared" si="23"/>
        <v>*</v>
      </c>
      <c r="AO209" s="67" t="str">
        <f t="shared" si="23"/>
        <v>*</v>
      </c>
      <c r="AP209" s="67" t="str">
        <f t="shared" si="23"/>
        <v>*</v>
      </c>
      <c r="AQ209" s="67" t="str">
        <f t="shared" si="23"/>
        <v/>
      </c>
      <c r="AR209" s="67" t="str">
        <f t="shared" si="23"/>
        <v/>
      </c>
      <c r="AS209" s="67" t="str">
        <f t="shared" si="23"/>
        <v>*</v>
      </c>
      <c r="AT209" s="67" t="str">
        <f t="shared" si="23"/>
        <v>*</v>
      </c>
      <c r="AU209" s="67" t="str">
        <f t="shared" si="23"/>
        <v>*</v>
      </c>
      <c r="AV209" s="67" t="str">
        <f t="shared" si="23"/>
        <v>*</v>
      </c>
      <c r="AW209" s="67" t="str">
        <f t="shared" si="23"/>
        <v>*</v>
      </c>
      <c r="AX209" s="67" t="str">
        <f t="shared" si="23"/>
        <v>*</v>
      </c>
    </row>
    <row r="210" spans="1:50" ht="15.75" hidden="1" customHeight="1">
      <c r="A210" s="345" t="s">
        <v>20</v>
      </c>
      <c r="B210" s="65" t="s">
        <v>224</v>
      </c>
      <c r="C210" s="68" t="str">
        <f t="shared" si="23"/>
        <v>*</v>
      </c>
      <c r="D210" s="68" t="str">
        <f t="shared" si="23"/>
        <v>*</v>
      </c>
      <c r="E210" s="68" t="str">
        <f t="shared" si="23"/>
        <v>*</v>
      </c>
      <c r="F210" s="68" t="str">
        <f t="shared" si="23"/>
        <v>*</v>
      </c>
      <c r="G210" s="68" t="str">
        <f t="shared" si="23"/>
        <v>*</v>
      </c>
      <c r="H210" s="68" t="str">
        <f t="shared" si="23"/>
        <v>*</v>
      </c>
      <c r="I210" s="68" t="str">
        <f t="shared" si="23"/>
        <v>*</v>
      </c>
      <c r="J210" s="68" t="str">
        <f t="shared" si="23"/>
        <v>*</v>
      </c>
      <c r="K210" s="68" t="str">
        <f t="shared" si="23"/>
        <v>*</v>
      </c>
      <c r="L210" s="68" t="str">
        <f t="shared" si="23"/>
        <v>*</v>
      </c>
      <c r="M210" s="68" t="str">
        <f t="shared" si="23"/>
        <v>*</v>
      </c>
      <c r="N210" s="68" t="str">
        <f t="shared" si="23"/>
        <v>*</v>
      </c>
      <c r="O210" s="68" t="str">
        <f t="shared" si="23"/>
        <v>*</v>
      </c>
      <c r="P210" s="68" t="str">
        <f t="shared" si="23"/>
        <v>*</v>
      </c>
      <c r="Q210" s="68" t="str">
        <f t="shared" si="23"/>
        <v>*</v>
      </c>
      <c r="R210" s="68" t="str">
        <f t="shared" si="23"/>
        <v>*</v>
      </c>
      <c r="S210" s="68" t="str">
        <f t="shared" si="23"/>
        <v>*</v>
      </c>
      <c r="T210" s="68" t="str">
        <f t="shared" si="23"/>
        <v/>
      </c>
      <c r="U210" s="68" t="str">
        <f t="shared" si="23"/>
        <v/>
      </c>
      <c r="V210" s="68" t="str">
        <f t="shared" si="23"/>
        <v>*</v>
      </c>
      <c r="W210" s="68" t="str">
        <f t="shared" si="23"/>
        <v>*</v>
      </c>
      <c r="X210" s="68" t="str">
        <f t="shared" si="23"/>
        <v>*</v>
      </c>
      <c r="Y210" s="68" t="str">
        <f t="shared" si="23"/>
        <v>*</v>
      </c>
      <c r="Z210" s="68" t="str">
        <f t="shared" si="23"/>
        <v>*</v>
      </c>
      <c r="AA210" s="68" t="str">
        <f t="shared" si="23"/>
        <v>*</v>
      </c>
      <c r="AB210" s="68" t="str">
        <f t="shared" si="23"/>
        <v>*</v>
      </c>
      <c r="AC210" s="68" t="str">
        <f t="shared" si="23"/>
        <v/>
      </c>
      <c r="AD210" s="68" t="str">
        <f t="shared" si="23"/>
        <v>*</v>
      </c>
      <c r="AE210" s="68" t="str">
        <f t="shared" si="23"/>
        <v>*</v>
      </c>
      <c r="AF210" s="68" t="str">
        <f t="shared" si="23"/>
        <v>*</v>
      </c>
      <c r="AG210" s="68" t="str">
        <f t="shared" si="23"/>
        <v>*</v>
      </c>
      <c r="AH210" s="68" t="str">
        <f t="shared" si="23"/>
        <v>*</v>
      </c>
      <c r="AI210" s="68" t="str">
        <f t="shared" si="23"/>
        <v>*</v>
      </c>
      <c r="AJ210" s="68" t="str">
        <f t="shared" si="23"/>
        <v>*</v>
      </c>
      <c r="AK210" s="68" t="str">
        <f t="shared" si="23"/>
        <v>*</v>
      </c>
      <c r="AL210" s="68" t="str">
        <f t="shared" si="23"/>
        <v>*</v>
      </c>
      <c r="AM210" s="68" t="str">
        <f t="shared" si="23"/>
        <v>*</v>
      </c>
      <c r="AN210" s="68" t="str">
        <f t="shared" si="23"/>
        <v/>
      </c>
      <c r="AO210" s="68" t="str">
        <f t="shared" si="23"/>
        <v>*</v>
      </c>
      <c r="AP210" s="68" t="str">
        <f t="shared" si="23"/>
        <v>*</v>
      </c>
      <c r="AQ210" s="68" t="str">
        <f t="shared" si="23"/>
        <v/>
      </c>
      <c r="AR210" s="68" t="str">
        <f t="shared" si="23"/>
        <v/>
      </c>
      <c r="AS210" s="68" t="str">
        <f t="shared" si="23"/>
        <v>*</v>
      </c>
      <c r="AT210" s="68" t="str">
        <f t="shared" si="23"/>
        <v>*</v>
      </c>
      <c r="AU210" s="68" t="str">
        <f t="shared" si="23"/>
        <v>*</v>
      </c>
      <c r="AV210" s="68" t="str">
        <f t="shared" si="23"/>
        <v>*</v>
      </c>
      <c r="AW210" s="68" t="str">
        <f t="shared" si="23"/>
        <v>*</v>
      </c>
      <c r="AX210" s="68" t="str">
        <f t="shared" si="23"/>
        <v>*</v>
      </c>
    </row>
    <row r="211" spans="1:50" ht="15.75" hidden="1" customHeight="1">
      <c r="A211" s="346"/>
      <c r="B211" s="65" t="s">
        <v>225</v>
      </c>
      <c r="C211" s="68" t="str">
        <f t="shared" si="23"/>
        <v>*</v>
      </c>
      <c r="D211" s="68" t="str">
        <f t="shared" si="23"/>
        <v>*</v>
      </c>
      <c r="E211" s="68" t="str">
        <f t="shared" si="23"/>
        <v>*</v>
      </c>
      <c r="F211" s="68" t="str">
        <f t="shared" si="23"/>
        <v>*</v>
      </c>
      <c r="G211" s="68" t="str">
        <f t="shared" si="23"/>
        <v>*</v>
      </c>
      <c r="H211" s="68" t="str">
        <f t="shared" si="23"/>
        <v/>
      </c>
      <c r="I211" s="68" t="str">
        <f t="shared" si="23"/>
        <v>*</v>
      </c>
      <c r="J211" s="68" t="str">
        <f t="shared" si="23"/>
        <v>*</v>
      </c>
      <c r="K211" s="68" t="str">
        <f t="shared" ref="K211:AX211" si="24">IF(K141=K66,"","*")</f>
        <v>*</v>
      </c>
      <c r="L211" s="68" t="str">
        <f t="shared" si="24"/>
        <v>*</v>
      </c>
      <c r="M211" s="68" t="str">
        <f t="shared" si="24"/>
        <v>*</v>
      </c>
      <c r="N211" s="68" t="str">
        <f t="shared" si="24"/>
        <v>*</v>
      </c>
      <c r="O211" s="68" t="str">
        <f t="shared" si="24"/>
        <v>*</v>
      </c>
      <c r="P211" s="68" t="str">
        <f t="shared" si="24"/>
        <v>*</v>
      </c>
      <c r="Q211" s="68" t="str">
        <f t="shared" si="24"/>
        <v>*</v>
      </c>
      <c r="R211" s="68" t="str">
        <f t="shared" si="24"/>
        <v>*</v>
      </c>
      <c r="S211" s="68" t="str">
        <f t="shared" si="24"/>
        <v/>
      </c>
      <c r="T211" s="68" t="str">
        <f t="shared" si="24"/>
        <v/>
      </c>
      <c r="U211" s="68" t="str">
        <f t="shared" si="24"/>
        <v/>
      </c>
      <c r="V211" s="68" t="str">
        <f t="shared" si="24"/>
        <v/>
      </c>
      <c r="W211" s="68" t="str">
        <f t="shared" si="24"/>
        <v>*</v>
      </c>
      <c r="X211" s="68" t="str">
        <f t="shared" si="24"/>
        <v>*</v>
      </c>
      <c r="Y211" s="68" t="str">
        <f t="shared" si="24"/>
        <v>*</v>
      </c>
      <c r="Z211" s="68" t="str">
        <f t="shared" si="24"/>
        <v>*</v>
      </c>
      <c r="AA211" s="68" t="str">
        <f t="shared" si="24"/>
        <v>*</v>
      </c>
      <c r="AB211" s="68" t="str">
        <f t="shared" si="24"/>
        <v>*</v>
      </c>
      <c r="AC211" s="68" t="str">
        <f t="shared" si="24"/>
        <v>*</v>
      </c>
      <c r="AD211" s="68" t="str">
        <f t="shared" si="24"/>
        <v>*</v>
      </c>
      <c r="AE211" s="68" t="str">
        <f t="shared" si="24"/>
        <v>*</v>
      </c>
      <c r="AF211" s="68" t="str">
        <f t="shared" si="24"/>
        <v>*</v>
      </c>
      <c r="AG211" s="68" t="str">
        <f t="shared" si="24"/>
        <v>*</v>
      </c>
      <c r="AH211" s="68" t="str">
        <f t="shared" si="24"/>
        <v>*</v>
      </c>
      <c r="AI211" s="68" t="str">
        <f t="shared" si="24"/>
        <v>*</v>
      </c>
      <c r="AJ211" s="68" t="str">
        <f t="shared" si="24"/>
        <v/>
      </c>
      <c r="AK211" s="68" t="str">
        <f t="shared" si="24"/>
        <v>*</v>
      </c>
      <c r="AL211" s="68" t="str">
        <f t="shared" si="24"/>
        <v>*</v>
      </c>
      <c r="AM211" s="68" t="str">
        <f t="shared" si="24"/>
        <v>*</v>
      </c>
      <c r="AN211" s="68" t="str">
        <f t="shared" si="24"/>
        <v>*</v>
      </c>
      <c r="AO211" s="68" t="str">
        <f t="shared" si="24"/>
        <v>*</v>
      </c>
      <c r="AP211" s="68" t="str">
        <f t="shared" si="24"/>
        <v>*</v>
      </c>
      <c r="AQ211" s="68" t="str">
        <f t="shared" si="24"/>
        <v/>
      </c>
      <c r="AR211" s="68" t="str">
        <f t="shared" si="24"/>
        <v/>
      </c>
      <c r="AS211" s="68" t="str">
        <f t="shared" si="24"/>
        <v/>
      </c>
      <c r="AT211" s="68" t="str">
        <f t="shared" si="24"/>
        <v/>
      </c>
      <c r="AU211" s="68" t="str">
        <f t="shared" si="24"/>
        <v>*</v>
      </c>
      <c r="AV211" s="68" t="str">
        <f t="shared" si="24"/>
        <v>*</v>
      </c>
      <c r="AW211" s="68" t="str">
        <f t="shared" si="24"/>
        <v>*</v>
      </c>
      <c r="AX211" s="68" t="str">
        <f t="shared" si="24"/>
        <v>*</v>
      </c>
    </row>
    <row r="212" spans="1:50" ht="15.75" hidden="1" customHeight="1">
      <c r="A212" s="63" t="s">
        <v>220</v>
      </c>
      <c r="B212" s="64" t="s">
        <v>223</v>
      </c>
      <c r="C212" s="67" t="str">
        <f t="shared" ref="C212:AX216" si="25">IF(C142=C67,"","*")</f>
        <v>*</v>
      </c>
      <c r="D212" s="67" t="str">
        <f t="shared" si="25"/>
        <v>*</v>
      </c>
      <c r="E212" s="67" t="str">
        <f t="shared" si="25"/>
        <v>*</v>
      </c>
      <c r="F212" s="67" t="str">
        <f t="shared" si="25"/>
        <v>*</v>
      </c>
      <c r="G212" s="67" t="str">
        <f t="shared" si="25"/>
        <v>*</v>
      </c>
      <c r="H212" s="67" t="str">
        <f t="shared" si="25"/>
        <v>*</v>
      </c>
      <c r="I212" s="67" t="str">
        <f t="shared" si="25"/>
        <v>*</v>
      </c>
      <c r="J212" s="67" t="str">
        <f t="shared" si="25"/>
        <v>*</v>
      </c>
      <c r="K212" s="67" t="str">
        <f t="shared" si="25"/>
        <v>*</v>
      </c>
      <c r="L212" s="67" t="str">
        <f t="shared" si="25"/>
        <v>*</v>
      </c>
      <c r="M212" s="67" t="str">
        <f t="shared" si="25"/>
        <v>*</v>
      </c>
      <c r="N212" s="67" t="str">
        <f t="shared" si="25"/>
        <v>*</v>
      </c>
      <c r="O212" s="67" t="str">
        <f t="shared" si="25"/>
        <v>*</v>
      </c>
      <c r="P212" s="67" t="str">
        <f t="shared" si="25"/>
        <v>*</v>
      </c>
      <c r="Q212" s="67" t="str">
        <f t="shared" si="25"/>
        <v>*</v>
      </c>
      <c r="R212" s="67" t="str">
        <f t="shared" si="25"/>
        <v>*</v>
      </c>
      <c r="S212" s="67" t="str">
        <f t="shared" si="25"/>
        <v/>
      </c>
      <c r="T212" s="67" t="str">
        <f t="shared" si="25"/>
        <v/>
      </c>
      <c r="U212" s="67" t="str">
        <f t="shared" si="25"/>
        <v/>
      </c>
      <c r="V212" s="67" t="str">
        <f t="shared" si="25"/>
        <v/>
      </c>
      <c r="W212" s="67" t="str">
        <f t="shared" si="25"/>
        <v>*</v>
      </c>
      <c r="X212" s="67" t="str">
        <f t="shared" si="25"/>
        <v>*</v>
      </c>
      <c r="Y212" s="67" t="str">
        <f t="shared" si="25"/>
        <v>*</v>
      </c>
      <c r="Z212" s="67" t="str">
        <f t="shared" si="25"/>
        <v>*</v>
      </c>
      <c r="AA212" s="67" t="str">
        <f t="shared" si="25"/>
        <v>*</v>
      </c>
      <c r="AB212" s="67" t="str">
        <f t="shared" si="25"/>
        <v>*</v>
      </c>
      <c r="AC212" s="67" t="str">
        <f t="shared" si="25"/>
        <v>*</v>
      </c>
      <c r="AD212" s="67" t="str">
        <f t="shared" si="25"/>
        <v>*</v>
      </c>
      <c r="AE212" s="67" t="str">
        <f t="shared" si="25"/>
        <v>*</v>
      </c>
      <c r="AF212" s="67" t="str">
        <f t="shared" si="25"/>
        <v>*</v>
      </c>
      <c r="AG212" s="67" t="str">
        <f t="shared" si="25"/>
        <v>*</v>
      </c>
      <c r="AH212" s="67" t="str">
        <f t="shared" si="25"/>
        <v>*</v>
      </c>
      <c r="AI212" s="67" t="str">
        <f t="shared" si="25"/>
        <v>*</v>
      </c>
      <c r="AJ212" s="67" t="str">
        <f t="shared" si="25"/>
        <v>*</v>
      </c>
      <c r="AK212" s="67" t="str">
        <f t="shared" si="25"/>
        <v>*</v>
      </c>
      <c r="AL212" s="67" t="str">
        <f t="shared" si="25"/>
        <v>*</v>
      </c>
      <c r="AM212" s="67" t="str">
        <f t="shared" si="25"/>
        <v>*</v>
      </c>
      <c r="AN212" s="67" t="str">
        <f t="shared" si="25"/>
        <v>*</v>
      </c>
      <c r="AO212" s="67" t="str">
        <f t="shared" si="25"/>
        <v>*</v>
      </c>
      <c r="AP212" s="67" t="str">
        <f t="shared" si="25"/>
        <v>*</v>
      </c>
      <c r="AQ212" s="67" t="str">
        <f t="shared" si="25"/>
        <v/>
      </c>
      <c r="AR212" s="67" t="str">
        <f t="shared" si="25"/>
        <v/>
      </c>
      <c r="AS212" s="67" t="str">
        <f t="shared" si="25"/>
        <v/>
      </c>
      <c r="AT212" s="67" t="str">
        <f t="shared" si="25"/>
        <v/>
      </c>
      <c r="AU212" s="67" t="str">
        <f t="shared" si="25"/>
        <v>*</v>
      </c>
      <c r="AV212" s="67" t="str">
        <f t="shared" si="25"/>
        <v>*</v>
      </c>
      <c r="AW212" s="67" t="str">
        <f t="shared" si="25"/>
        <v>*</v>
      </c>
      <c r="AX212" s="67" t="str">
        <f t="shared" si="25"/>
        <v>*</v>
      </c>
    </row>
    <row r="213" spans="1:50" ht="15.75" hidden="1" customHeight="1">
      <c r="A213" s="345" t="s">
        <v>21</v>
      </c>
      <c r="B213" s="65" t="s">
        <v>224</v>
      </c>
      <c r="C213" s="68" t="str">
        <f t="shared" si="25"/>
        <v>*</v>
      </c>
      <c r="D213" s="68" t="str">
        <f t="shared" si="25"/>
        <v>*</v>
      </c>
      <c r="E213" s="68" t="str">
        <f t="shared" si="25"/>
        <v/>
      </c>
      <c r="F213" s="68" t="str">
        <f t="shared" si="25"/>
        <v/>
      </c>
      <c r="G213" s="68" t="str">
        <f t="shared" si="25"/>
        <v>*</v>
      </c>
      <c r="H213" s="68" t="str">
        <f t="shared" si="25"/>
        <v>*</v>
      </c>
      <c r="I213" s="68" t="str">
        <f t="shared" si="25"/>
        <v>*</v>
      </c>
      <c r="J213" s="68" t="str">
        <f t="shared" si="25"/>
        <v>*</v>
      </c>
      <c r="K213" s="68" t="str">
        <f t="shared" si="25"/>
        <v>*</v>
      </c>
      <c r="L213" s="68" t="str">
        <f t="shared" si="25"/>
        <v>*</v>
      </c>
      <c r="M213" s="68" t="str">
        <f t="shared" si="25"/>
        <v>*</v>
      </c>
      <c r="N213" s="68" t="str">
        <f t="shared" si="25"/>
        <v>*</v>
      </c>
      <c r="O213" s="68" t="str">
        <f t="shared" si="25"/>
        <v>*</v>
      </c>
      <c r="P213" s="68" t="str">
        <f t="shared" si="25"/>
        <v>*</v>
      </c>
      <c r="Q213" s="68" t="str">
        <f t="shared" si="25"/>
        <v>*</v>
      </c>
      <c r="R213" s="68" t="str">
        <f t="shared" si="25"/>
        <v>*</v>
      </c>
      <c r="S213" s="68" t="str">
        <f t="shared" si="25"/>
        <v/>
      </c>
      <c r="T213" s="68" t="str">
        <f t="shared" si="25"/>
        <v/>
      </c>
      <c r="U213" s="68" t="str">
        <f t="shared" si="25"/>
        <v/>
      </c>
      <c r="V213" s="68" t="str">
        <f t="shared" si="25"/>
        <v/>
      </c>
      <c r="W213" s="68" t="str">
        <f t="shared" si="25"/>
        <v>*</v>
      </c>
      <c r="X213" s="68" t="str">
        <f t="shared" si="25"/>
        <v>*</v>
      </c>
      <c r="Y213" s="68" t="str">
        <f t="shared" si="25"/>
        <v>*</v>
      </c>
      <c r="Z213" s="68" t="str">
        <f t="shared" si="25"/>
        <v>*</v>
      </c>
      <c r="AA213" s="68" t="str">
        <f t="shared" si="25"/>
        <v>*</v>
      </c>
      <c r="AB213" s="68" t="str">
        <f t="shared" si="25"/>
        <v>*</v>
      </c>
      <c r="AC213" s="68" t="str">
        <f t="shared" si="25"/>
        <v>*</v>
      </c>
      <c r="AD213" s="68" t="str">
        <f t="shared" si="25"/>
        <v>*</v>
      </c>
      <c r="AE213" s="68" t="str">
        <f t="shared" si="25"/>
        <v>*</v>
      </c>
      <c r="AF213" s="68" t="str">
        <f t="shared" si="25"/>
        <v>*</v>
      </c>
      <c r="AG213" s="68" t="str">
        <f t="shared" si="25"/>
        <v>*</v>
      </c>
      <c r="AH213" s="68" t="str">
        <f t="shared" si="25"/>
        <v>*</v>
      </c>
      <c r="AI213" s="68" t="str">
        <f t="shared" si="25"/>
        <v>*</v>
      </c>
      <c r="AJ213" s="68" t="str">
        <f t="shared" si="25"/>
        <v>*</v>
      </c>
      <c r="AK213" s="68" t="str">
        <f t="shared" si="25"/>
        <v>*</v>
      </c>
      <c r="AL213" s="68" t="str">
        <f t="shared" si="25"/>
        <v>*</v>
      </c>
      <c r="AM213" s="68" t="str">
        <f t="shared" si="25"/>
        <v>*</v>
      </c>
      <c r="AN213" s="68" t="str">
        <f t="shared" si="25"/>
        <v>*</v>
      </c>
      <c r="AO213" s="68" t="str">
        <f t="shared" si="25"/>
        <v>*</v>
      </c>
      <c r="AP213" s="68" t="str">
        <f t="shared" si="25"/>
        <v>*</v>
      </c>
      <c r="AQ213" s="68" t="str">
        <f t="shared" si="25"/>
        <v/>
      </c>
      <c r="AR213" s="68" t="str">
        <f t="shared" si="25"/>
        <v/>
      </c>
      <c r="AS213" s="68" t="str">
        <f t="shared" si="25"/>
        <v/>
      </c>
      <c r="AT213" s="68" t="str">
        <f t="shared" si="25"/>
        <v/>
      </c>
      <c r="AU213" s="68" t="str">
        <f t="shared" si="25"/>
        <v>*</v>
      </c>
      <c r="AV213" s="68" t="str">
        <f t="shared" si="25"/>
        <v>*</v>
      </c>
      <c r="AW213" s="68" t="str">
        <f t="shared" si="25"/>
        <v>*</v>
      </c>
      <c r="AX213" s="68" t="str">
        <f t="shared" si="25"/>
        <v>*</v>
      </c>
    </row>
    <row r="214" spans="1:50" ht="15.75" hidden="1" customHeight="1">
      <c r="A214" s="346"/>
      <c r="B214" s="65" t="s">
        <v>225</v>
      </c>
      <c r="C214" s="68" t="str">
        <f t="shared" si="25"/>
        <v>*</v>
      </c>
      <c r="D214" s="68" t="str">
        <f t="shared" si="25"/>
        <v>*</v>
      </c>
      <c r="E214" s="68" t="str">
        <f t="shared" si="25"/>
        <v>*</v>
      </c>
      <c r="F214" s="68" t="str">
        <f t="shared" si="25"/>
        <v>*</v>
      </c>
      <c r="G214" s="68" t="str">
        <f t="shared" si="25"/>
        <v>*</v>
      </c>
      <c r="H214" s="68" t="str">
        <f t="shared" si="25"/>
        <v>*</v>
      </c>
      <c r="I214" s="68" t="str">
        <f t="shared" si="25"/>
        <v>*</v>
      </c>
      <c r="J214" s="68" t="str">
        <f t="shared" si="25"/>
        <v>*</v>
      </c>
      <c r="K214" s="68" t="str">
        <f t="shared" si="25"/>
        <v>*</v>
      </c>
      <c r="L214" s="68" t="str">
        <f t="shared" si="25"/>
        <v>*</v>
      </c>
      <c r="M214" s="68" t="str">
        <f t="shared" si="25"/>
        <v>*</v>
      </c>
      <c r="N214" s="68" t="str">
        <f t="shared" si="25"/>
        <v>*</v>
      </c>
      <c r="O214" s="68" t="str">
        <f t="shared" si="25"/>
        <v>*</v>
      </c>
      <c r="P214" s="68" t="str">
        <f t="shared" si="25"/>
        <v>*</v>
      </c>
      <c r="Q214" s="68" t="str">
        <f t="shared" si="25"/>
        <v>*</v>
      </c>
      <c r="R214" s="68" t="str">
        <f t="shared" si="25"/>
        <v/>
      </c>
      <c r="S214" s="68" t="str">
        <f t="shared" si="25"/>
        <v/>
      </c>
      <c r="T214" s="68" t="str">
        <f t="shared" si="25"/>
        <v/>
      </c>
      <c r="U214" s="68" t="str">
        <f t="shared" si="25"/>
        <v/>
      </c>
      <c r="V214" s="68" t="str">
        <f t="shared" si="25"/>
        <v/>
      </c>
      <c r="W214" s="68" t="str">
        <f t="shared" si="25"/>
        <v>*</v>
      </c>
      <c r="X214" s="68" t="str">
        <f t="shared" si="25"/>
        <v>*</v>
      </c>
      <c r="Y214" s="68" t="str">
        <f t="shared" si="25"/>
        <v>*</v>
      </c>
      <c r="Z214" s="68" t="str">
        <f t="shared" si="25"/>
        <v>*</v>
      </c>
      <c r="AA214" s="68" t="str">
        <f t="shared" si="25"/>
        <v>*</v>
      </c>
      <c r="AB214" s="68" t="str">
        <f t="shared" si="25"/>
        <v>*</v>
      </c>
      <c r="AC214" s="68" t="str">
        <f t="shared" si="25"/>
        <v>*</v>
      </c>
      <c r="AD214" s="68" t="str">
        <f t="shared" si="25"/>
        <v>*</v>
      </c>
      <c r="AE214" s="68" t="str">
        <f t="shared" si="25"/>
        <v>*</v>
      </c>
      <c r="AF214" s="68" t="str">
        <f t="shared" si="25"/>
        <v>*</v>
      </c>
      <c r="AG214" s="68" t="str">
        <f t="shared" si="25"/>
        <v>*</v>
      </c>
      <c r="AH214" s="68" t="str">
        <f t="shared" si="25"/>
        <v>*</v>
      </c>
      <c r="AI214" s="68" t="str">
        <f t="shared" si="25"/>
        <v>*</v>
      </c>
      <c r="AJ214" s="68" t="str">
        <f t="shared" si="25"/>
        <v>*</v>
      </c>
      <c r="AK214" s="68" t="str">
        <f t="shared" si="25"/>
        <v>*</v>
      </c>
      <c r="AL214" s="68" t="str">
        <f t="shared" si="25"/>
        <v>*</v>
      </c>
      <c r="AM214" s="68" t="str">
        <f t="shared" si="25"/>
        <v>*</v>
      </c>
      <c r="AN214" s="68" t="str">
        <f t="shared" si="25"/>
        <v>*</v>
      </c>
      <c r="AO214" s="68" t="str">
        <f t="shared" si="25"/>
        <v>*</v>
      </c>
      <c r="AP214" s="68" t="str">
        <f t="shared" si="25"/>
        <v>*</v>
      </c>
      <c r="AQ214" s="68" t="str">
        <f t="shared" si="25"/>
        <v/>
      </c>
      <c r="AR214" s="68" t="str">
        <f t="shared" si="25"/>
        <v/>
      </c>
      <c r="AS214" s="68" t="str">
        <f t="shared" si="25"/>
        <v/>
      </c>
      <c r="AT214" s="68" t="str">
        <f t="shared" si="25"/>
        <v/>
      </c>
      <c r="AU214" s="68" t="str">
        <f t="shared" si="25"/>
        <v>*</v>
      </c>
      <c r="AV214" s="68" t="str">
        <f t="shared" si="25"/>
        <v/>
      </c>
      <c r="AW214" s="68" t="str">
        <f t="shared" si="25"/>
        <v>*</v>
      </c>
      <c r="AX214" s="68" t="str">
        <f t="shared" si="25"/>
        <v>*</v>
      </c>
    </row>
    <row r="215" spans="1:50" ht="15.75" hidden="1" customHeight="1">
      <c r="A215" s="63" t="s">
        <v>221</v>
      </c>
      <c r="B215" s="64" t="s">
        <v>223</v>
      </c>
      <c r="C215" s="67" t="str">
        <f t="shared" si="25"/>
        <v>*</v>
      </c>
      <c r="D215" s="67" t="str">
        <f t="shared" si="25"/>
        <v/>
      </c>
      <c r="E215" s="67" t="str">
        <f t="shared" si="25"/>
        <v/>
      </c>
      <c r="F215" s="67" t="str">
        <f t="shared" si="25"/>
        <v>*</v>
      </c>
      <c r="G215" s="67" t="str">
        <f t="shared" si="25"/>
        <v>*</v>
      </c>
      <c r="H215" s="67" t="str">
        <f t="shared" si="25"/>
        <v/>
      </c>
      <c r="I215" s="67" t="str">
        <f t="shared" si="25"/>
        <v/>
      </c>
      <c r="J215" s="67" t="str">
        <f t="shared" si="25"/>
        <v>*</v>
      </c>
      <c r="K215" s="67" t="str">
        <f t="shared" si="25"/>
        <v>*</v>
      </c>
      <c r="L215" s="67" t="str">
        <f t="shared" si="25"/>
        <v>*</v>
      </c>
      <c r="M215" s="67" t="str">
        <f t="shared" si="25"/>
        <v/>
      </c>
      <c r="N215" s="67" t="str">
        <f t="shared" si="25"/>
        <v>*</v>
      </c>
      <c r="O215" s="67" t="str">
        <f t="shared" si="25"/>
        <v>*</v>
      </c>
      <c r="P215" s="67" t="str">
        <f t="shared" si="25"/>
        <v>*</v>
      </c>
      <c r="Q215" s="67" t="str">
        <f t="shared" si="25"/>
        <v>*</v>
      </c>
      <c r="R215" s="67" t="str">
        <f t="shared" si="25"/>
        <v>*</v>
      </c>
      <c r="S215" s="67" t="str">
        <f t="shared" si="25"/>
        <v/>
      </c>
      <c r="T215" s="67" t="str">
        <f t="shared" si="25"/>
        <v/>
      </c>
      <c r="U215" s="67" t="str">
        <f t="shared" si="25"/>
        <v/>
      </c>
      <c r="V215" s="67" t="str">
        <f t="shared" si="25"/>
        <v/>
      </c>
      <c r="W215" s="67" t="str">
        <f t="shared" si="25"/>
        <v>*</v>
      </c>
      <c r="X215" s="67" t="str">
        <f t="shared" si="25"/>
        <v>*</v>
      </c>
      <c r="Y215" s="67" t="str">
        <f t="shared" si="25"/>
        <v>*</v>
      </c>
      <c r="Z215" s="67" t="str">
        <f t="shared" si="25"/>
        <v>*</v>
      </c>
      <c r="AA215" s="67" t="str">
        <f t="shared" si="25"/>
        <v>*</v>
      </c>
      <c r="AB215" s="67" t="str">
        <f t="shared" si="25"/>
        <v>*</v>
      </c>
      <c r="AC215" s="67" t="str">
        <f t="shared" si="25"/>
        <v>*</v>
      </c>
      <c r="AD215" s="67" t="str">
        <f t="shared" si="25"/>
        <v>*</v>
      </c>
      <c r="AE215" s="67" t="str">
        <f t="shared" si="25"/>
        <v>*</v>
      </c>
      <c r="AF215" s="67" t="str">
        <f t="shared" si="25"/>
        <v>*</v>
      </c>
      <c r="AG215" s="67" t="str">
        <f t="shared" si="25"/>
        <v/>
      </c>
      <c r="AH215" s="67" t="str">
        <f t="shared" si="25"/>
        <v>*</v>
      </c>
      <c r="AI215" s="67" t="str">
        <f t="shared" si="25"/>
        <v>*</v>
      </c>
      <c r="AJ215" s="67" t="str">
        <f t="shared" si="25"/>
        <v/>
      </c>
      <c r="AK215" s="67" t="str">
        <f t="shared" si="25"/>
        <v/>
      </c>
      <c r="AL215" s="67" t="str">
        <f t="shared" si="25"/>
        <v>*</v>
      </c>
      <c r="AM215" s="67" t="str">
        <f t="shared" si="25"/>
        <v>*</v>
      </c>
      <c r="AN215" s="67" t="str">
        <f t="shared" si="25"/>
        <v>*</v>
      </c>
      <c r="AO215" s="67" t="str">
        <f t="shared" si="25"/>
        <v>*</v>
      </c>
      <c r="AP215" s="67" t="str">
        <f t="shared" si="25"/>
        <v>*</v>
      </c>
      <c r="AQ215" s="67" t="str">
        <f t="shared" si="25"/>
        <v/>
      </c>
      <c r="AR215" s="67" t="str">
        <f t="shared" si="25"/>
        <v/>
      </c>
      <c r="AS215" s="67" t="str">
        <f t="shared" si="25"/>
        <v/>
      </c>
      <c r="AT215" s="67" t="str">
        <f t="shared" si="25"/>
        <v/>
      </c>
      <c r="AU215" s="67" t="str">
        <f t="shared" si="25"/>
        <v>*</v>
      </c>
      <c r="AV215" s="67" t="str">
        <f t="shared" si="25"/>
        <v>*</v>
      </c>
      <c r="AW215" s="67" t="str">
        <f t="shared" si="25"/>
        <v>*</v>
      </c>
      <c r="AX215" s="67" t="str">
        <f t="shared" si="25"/>
        <v>*</v>
      </c>
    </row>
    <row r="216" spans="1:50" ht="15.75" hidden="1" customHeight="1">
      <c r="A216" s="345" t="s">
        <v>22</v>
      </c>
      <c r="B216" s="65" t="s">
        <v>224</v>
      </c>
      <c r="C216" s="68" t="str">
        <f t="shared" si="25"/>
        <v>*</v>
      </c>
      <c r="D216" s="68" t="str">
        <f t="shared" si="25"/>
        <v>*</v>
      </c>
      <c r="E216" s="68" t="str">
        <f t="shared" si="25"/>
        <v/>
      </c>
      <c r="F216" s="68" t="str">
        <f t="shared" si="25"/>
        <v>*</v>
      </c>
      <c r="G216" s="68" t="str">
        <f t="shared" si="25"/>
        <v>*</v>
      </c>
      <c r="H216" s="68" t="str">
        <f t="shared" si="25"/>
        <v/>
      </c>
      <c r="I216" s="68" t="str">
        <f t="shared" si="25"/>
        <v/>
      </c>
      <c r="J216" s="68" t="str">
        <f t="shared" si="25"/>
        <v>*</v>
      </c>
      <c r="K216" s="68" t="str">
        <f t="shared" si="25"/>
        <v>*</v>
      </c>
      <c r="L216" s="68" t="str">
        <f t="shared" ref="H216:AX220" si="26">IF(L146=L71,"","*")</f>
        <v>*</v>
      </c>
      <c r="M216" s="68" t="str">
        <f t="shared" si="26"/>
        <v/>
      </c>
      <c r="N216" s="68" t="str">
        <f t="shared" si="26"/>
        <v>*</v>
      </c>
      <c r="O216" s="68" t="str">
        <f t="shared" si="26"/>
        <v>*</v>
      </c>
      <c r="P216" s="68" t="str">
        <f t="shared" si="26"/>
        <v>*</v>
      </c>
      <c r="Q216" s="68" t="str">
        <f t="shared" si="26"/>
        <v/>
      </c>
      <c r="R216" s="68" t="str">
        <f t="shared" si="26"/>
        <v>*</v>
      </c>
      <c r="S216" s="68" t="str">
        <f t="shared" si="26"/>
        <v/>
      </c>
      <c r="T216" s="68" t="str">
        <f t="shared" si="26"/>
        <v/>
      </c>
      <c r="U216" s="68" t="str">
        <f t="shared" si="26"/>
        <v/>
      </c>
      <c r="V216" s="68" t="str">
        <f t="shared" si="26"/>
        <v/>
      </c>
      <c r="W216" s="68" t="str">
        <f t="shared" si="26"/>
        <v>*</v>
      </c>
      <c r="X216" s="68" t="str">
        <f t="shared" si="26"/>
        <v>*</v>
      </c>
      <c r="Y216" s="68" t="str">
        <f t="shared" si="26"/>
        <v/>
      </c>
      <c r="Z216" s="68" t="str">
        <f t="shared" si="26"/>
        <v>*</v>
      </c>
      <c r="AA216" s="68" t="str">
        <f t="shared" si="26"/>
        <v>*</v>
      </c>
      <c r="AB216" s="68" t="str">
        <f t="shared" si="26"/>
        <v>*</v>
      </c>
      <c r="AC216" s="68" t="str">
        <f t="shared" si="26"/>
        <v>*</v>
      </c>
      <c r="AD216" s="68" t="str">
        <f t="shared" si="26"/>
        <v>*</v>
      </c>
      <c r="AE216" s="68" t="str">
        <f t="shared" si="26"/>
        <v>*</v>
      </c>
      <c r="AF216" s="68" t="str">
        <f t="shared" si="26"/>
        <v>*</v>
      </c>
      <c r="AG216" s="68" t="str">
        <f t="shared" si="26"/>
        <v/>
      </c>
      <c r="AH216" s="68" t="str">
        <f t="shared" si="26"/>
        <v>*</v>
      </c>
      <c r="AI216" s="68" t="str">
        <f t="shared" si="26"/>
        <v>*</v>
      </c>
      <c r="AJ216" s="68" t="str">
        <f t="shared" si="26"/>
        <v>*</v>
      </c>
      <c r="AK216" s="68" t="str">
        <f t="shared" si="26"/>
        <v/>
      </c>
      <c r="AL216" s="68" t="str">
        <f t="shared" si="26"/>
        <v>*</v>
      </c>
      <c r="AM216" s="68" t="str">
        <f t="shared" si="26"/>
        <v>*</v>
      </c>
      <c r="AN216" s="68" t="str">
        <f t="shared" si="26"/>
        <v>*</v>
      </c>
      <c r="AO216" s="68" t="str">
        <f t="shared" si="26"/>
        <v>*</v>
      </c>
      <c r="AP216" s="68" t="str">
        <f t="shared" si="26"/>
        <v>*</v>
      </c>
      <c r="AQ216" s="68" t="str">
        <f t="shared" si="26"/>
        <v/>
      </c>
      <c r="AR216" s="68" t="str">
        <f t="shared" si="26"/>
        <v/>
      </c>
      <c r="AS216" s="68" t="str">
        <f t="shared" si="26"/>
        <v/>
      </c>
      <c r="AT216" s="68" t="str">
        <f t="shared" si="26"/>
        <v/>
      </c>
      <c r="AU216" s="68" t="str">
        <f t="shared" si="26"/>
        <v>*</v>
      </c>
      <c r="AV216" s="68" t="str">
        <f t="shared" si="26"/>
        <v/>
      </c>
      <c r="AW216" s="68" t="str">
        <f t="shared" si="26"/>
        <v/>
      </c>
      <c r="AX216" s="68" t="str">
        <f t="shared" si="26"/>
        <v>*</v>
      </c>
    </row>
    <row r="217" spans="1:50" ht="15.75" hidden="1" customHeight="1">
      <c r="A217" s="346"/>
      <c r="B217" s="65" t="s">
        <v>225</v>
      </c>
      <c r="C217" s="68" t="str">
        <f t="shared" ref="C217:H220" si="27">IF(C147=C72,"","*")</f>
        <v>*</v>
      </c>
      <c r="D217" s="68" t="str">
        <f t="shared" si="27"/>
        <v>*</v>
      </c>
      <c r="E217" s="68" t="str">
        <f t="shared" si="27"/>
        <v/>
      </c>
      <c r="F217" s="68" t="str">
        <f t="shared" si="27"/>
        <v>*</v>
      </c>
      <c r="G217" s="68" t="str">
        <f t="shared" si="27"/>
        <v>*</v>
      </c>
      <c r="H217" s="68" t="str">
        <f t="shared" si="26"/>
        <v/>
      </c>
      <c r="I217" s="68" t="str">
        <f t="shared" si="26"/>
        <v/>
      </c>
      <c r="J217" s="68" t="str">
        <f t="shared" si="26"/>
        <v>*</v>
      </c>
      <c r="K217" s="68" t="str">
        <f t="shared" si="26"/>
        <v>*</v>
      </c>
      <c r="L217" s="68" t="str">
        <f t="shared" si="26"/>
        <v>*</v>
      </c>
      <c r="M217" s="68" t="str">
        <f t="shared" si="26"/>
        <v/>
      </c>
      <c r="N217" s="68" t="str">
        <f t="shared" si="26"/>
        <v>*</v>
      </c>
      <c r="O217" s="68" t="str">
        <f t="shared" si="26"/>
        <v>*</v>
      </c>
      <c r="P217" s="68" t="str">
        <f t="shared" si="26"/>
        <v>*</v>
      </c>
      <c r="Q217" s="68" t="str">
        <f t="shared" si="26"/>
        <v>*</v>
      </c>
      <c r="R217" s="68" t="str">
        <f t="shared" si="26"/>
        <v>*</v>
      </c>
      <c r="S217" s="68" t="str">
        <f t="shared" si="26"/>
        <v/>
      </c>
      <c r="T217" s="68" t="str">
        <f t="shared" si="26"/>
        <v/>
      </c>
      <c r="U217" s="68" t="str">
        <f t="shared" si="26"/>
        <v/>
      </c>
      <c r="V217" s="68" t="str">
        <f t="shared" si="26"/>
        <v/>
      </c>
      <c r="W217" s="68" t="str">
        <f t="shared" si="26"/>
        <v>*</v>
      </c>
      <c r="X217" s="68" t="str">
        <f t="shared" si="26"/>
        <v>*</v>
      </c>
      <c r="Y217" s="68" t="str">
        <f t="shared" si="26"/>
        <v>*</v>
      </c>
      <c r="Z217" s="68" t="str">
        <f t="shared" si="26"/>
        <v>*</v>
      </c>
      <c r="AA217" s="68" t="str">
        <f t="shared" si="26"/>
        <v>*</v>
      </c>
      <c r="AB217" s="68" t="str">
        <f t="shared" si="26"/>
        <v>*</v>
      </c>
      <c r="AC217" s="68" t="str">
        <f t="shared" si="26"/>
        <v>*</v>
      </c>
      <c r="AD217" s="68" t="str">
        <f t="shared" si="26"/>
        <v>*</v>
      </c>
      <c r="AE217" s="68" t="str">
        <f t="shared" si="26"/>
        <v>*</v>
      </c>
      <c r="AF217" s="68" t="str">
        <f t="shared" si="26"/>
        <v>*</v>
      </c>
      <c r="AG217" s="68" t="str">
        <f t="shared" si="26"/>
        <v/>
      </c>
      <c r="AH217" s="68" t="str">
        <f t="shared" si="26"/>
        <v>*</v>
      </c>
      <c r="AI217" s="68" t="str">
        <f t="shared" si="26"/>
        <v>*</v>
      </c>
      <c r="AJ217" s="68" t="str">
        <f t="shared" si="26"/>
        <v>*</v>
      </c>
      <c r="AK217" s="68" t="str">
        <f t="shared" si="26"/>
        <v/>
      </c>
      <c r="AL217" s="68" t="str">
        <f t="shared" si="26"/>
        <v>*</v>
      </c>
      <c r="AM217" s="68" t="str">
        <f t="shared" si="26"/>
        <v>*</v>
      </c>
      <c r="AN217" s="68" t="str">
        <f t="shared" si="26"/>
        <v>*</v>
      </c>
      <c r="AO217" s="68" t="str">
        <f t="shared" si="26"/>
        <v>*</v>
      </c>
      <c r="AP217" s="68" t="str">
        <f t="shared" si="26"/>
        <v>*</v>
      </c>
      <c r="AQ217" s="68" t="str">
        <f t="shared" si="26"/>
        <v/>
      </c>
      <c r="AR217" s="68" t="str">
        <f t="shared" si="26"/>
        <v/>
      </c>
      <c r="AS217" s="68" t="str">
        <f t="shared" si="26"/>
        <v/>
      </c>
      <c r="AT217" s="68" t="str">
        <f t="shared" si="26"/>
        <v/>
      </c>
      <c r="AU217" s="68" t="str">
        <f t="shared" si="26"/>
        <v>*</v>
      </c>
      <c r="AV217" s="68" t="str">
        <f t="shared" si="26"/>
        <v>*</v>
      </c>
      <c r="AW217" s="68" t="str">
        <f t="shared" si="26"/>
        <v>*</v>
      </c>
      <c r="AX217" s="68" t="str">
        <f t="shared" si="26"/>
        <v>*</v>
      </c>
    </row>
    <row r="218" spans="1:50" ht="15.75" hidden="1" customHeight="1">
      <c r="A218" s="63" t="s">
        <v>222</v>
      </c>
      <c r="B218" s="64" t="s">
        <v>223</v>
      </c>
      <c r="C218" s="67" t="str">
        <f t="shared" si="27"/>
        <v>*</v>
      </c>
      <c r="D218" s="67" t="str">
        <f t="shared" si="27"/>
        <v>*</v>
      </c>
      <c r="E218" s="67" t="str">
        <f t="shared" si="27"/>
        <v/>
      </c>
      <c r="F218" s="67" t="str">
        <f t="shared" si="27"/>
        <v>*</v>
      </c>
      <c r="G218" s="67" t="str">
        <f t="shared" si="27"/>
        <v>*</v>
      </c>
      <c r="H218" s="67" t="str">
        <f t="shared" si="27"/>
        <v>*</v>
      </c>
      <c r="I218" s="67" t="str">
        <f t="shared" si="26"/>
        <v/>
      </c>
      <c r="J218" s="67" t="str">
        <f t="shared" si="26"/>
        <v>*</v>
      </c>
      <c r="K218" s="67" t="str">
        <f t="shared" si="26"/>
        <v/>
      </c>
      <c r="L218" s="67" t="str">
        <f t="shared" si="26"/>
        <v/>
      </c>
      <c r="M218" s="67" t="str">
        <f t="shared" si="26"/>
        <v/>
      </c>
      <c r="N218" s="67" t="str">
        <f t="shared" si="26"/>
        <v/>
      </c>
      <c r="O218" s="67" t="str">
        <f t="shared" si="26"/>
        <v>*</v>
      </c>
      <c r="P218" s="67" t="str">
        <f t="shared" si="26"/>
        <v/>
      </c>
      <c r="Q218" s="67" t="str">
        <f t="shared" si="26"/>
        <v/>
      </c>
      <c r="R218" s="67" t="str">
        <f t="shared" si="26"/>
        <v>*</v>
      </c>
      <c r="S218" s="67" t="str">
        <f t="shared" si="26"/>
        <v/>
      </c>
      <c r="T218" s="67" t="str">
        <f t="shared" si="26"/>
        <v/>
      </c>
      <c r="U218" s="67" t="str">
        <f t="shared" si="26"/>
        <v/>
      </c>
      <c r="V218" s="67" t="str">
        <f t="shared" si="26"/>
        <v/>
      </c>
      <c r="W218" s="67" t="str">
        <f t="shared" si="26"/>
        <v>*</v>
      </c>
      <c r="X218" s="67" t="str">
        <f t="shared" si="26"/>
        <v>*</v>
      </c>
      <c r="Y218" s="67" t="str">
        <f t="shared" si="26"/>
        <v/>
      </c>
      <c r="Z218" s="67" t="str">
        <f t="shared" si="26"/>
        <v/>
      </c>
      <c r="AA218" s="67" t="str">
        <f t="shared" si="26"/>
        <v>*</v>
      </c>
      <c r="AB218" s="67" t="str">
        <f t="shared" si="26"/>
        <v>*</v>
      </c>
      <c r="AC218" s="67" t="str">
        <f t="shared" si="26"/>
        <v/>
      </c>
      <c r="AD218" s="67" t="str">
        <f t="shared" si="26"/>
        <v>*</v>
      </c>
      <c r="AE218" s="67" t="str">
        <f t="shared" si="26"/>
        <v/>
      </c>
      <c r="AF218" s="67" t="str">
        <f t="shared" si="26"/>
        <v/>
      </c>
      <c r="AG218" s="67" t="str">
        <f t="shared" si="26"/>
        <v/>
      </c>
      <c r="AH218" s="67" t="str">
        <f t="shared" si="26"/>
        <v/>
      </c>
      <c r="AI218" s="67" t="str">
        <f t="shared" si="26"/>
        <v/>
      </c>
      <c r="AJ218" s="67" t="str">
        <f t="shared" si="26"/>
        <v>*</v>
      </c>
      <c r="AK218" s="67" t="str">
        <f t="shared" si="26"/>
        <v/>
      </c>
      <c r="AL218" s="67" t="str">
        <f t="shared" si="26"/>
        <v>*</v>
      </c>
      <c r="AM218" s="67" t="str">
        <f t="shared" si="26"/>
        <v/>
      </c>
      <c r="AN218" s="67" t="str">
        <f t="shared" si="26"/>
        <v>*</v>
      </c>
      <c r="AO218" s="67" t="str">
        <f t="shared" si="26"/>
        <v/>
      </c>
      <c r="AP218" s="67" t="str">
        <f t="shared" si="26"/>
        <v>*</v>
      </c>
      <c r="AQ218" s="67" t="str">
        <f t="shared" si="26"/>
        <v/>
      </c>
      <c r="AR218" s="67" t="str">
        <f t="shared" si="26"/>
        <v/>
      </c>
      <c r="AS218" s="67" t="str">
        <f t="shared" si="26"/>
        <v/>
      </c>
      <c r="AT218" s="67" t="str">
        <f t="shared" si="26"/>
        <v/>
      </c>
      <c r="AU218" s="67" t="str">
        <f t="shared" si="26"/>
        <v>*</v>
      </c>
      <c r="AV218" s="67" t="str">
        <f t="shared" si="26"/>
        <v>*</v>
      </c>
      <c r="AW218" s="67" t="str">
        <f t="shared" si="26"/>
        <v/>
      </c>
      <c r="AX218" s="67" t="str">
        <f t="shared" si="26"/>
        <v/>
      </c>
    </row>
    <row r="219" spans="1:50" ht="15.75" hidden="1" customHeight="1">
      <c r="A219" s="345" t="s">
        <v>23</v>
      </c>
      <c r="B219" s="65" t="s">
        <v>224</v>
      </c>
      <c r="C219" s="68" t="str">
        <f t="shared" si="27"/>
        <v>*</v>
      </c>
      <c r="D219" s="68" t="str">
        <f t="shared" si="27"/>
        <v>*</v>
      </c>
      <c r="E219" s="68" t="str">
        <f t="shared" si="27"/>
        <v/>
      </c>
      <c r="F219" s="68" t="str">
        <f t="shared" si="27"/>
        <v>*</v>
      </c>
      <c r="G219" s="68" t="str">
        <f t="shared" si="27"/>
        <v>*</v>
      </c>
      <c r="H219" s="68" t="str">
        <f t="shared" si="27"/>
        <v>*</v>
      </c>
      <c r="I219" s="68" t="str">
        <f t="shared" si="26"/>
        <v/>
      </c>
      <c r="J219" s="68" t="str">
        <f t="shared" si="26"/>
        <v>*</v>
      </c>
      <c r="K219" s="68" t="str">
        <f t="shared" si="26"/>
        <v/>
      </c>
      <c r="L219" s="68" t="str">
        <f t="shared" si="26"/>
        <v/>
      </c>
      <c r="M219" s="68" t="str">
        <f t="shared" si="26"/>
        <v/>
      </c>
      <c r="N219" s="68" t="str">
        <f t="shared" si="26"/>
        <v/>
      </c>
      <c r="O219" s="68" t="str">
        <f t="shared" si="26"/>
        <v/>
      </c>
      <c r="P219" s="68" t="str">
        <f t="shared" si="26"/>
        <v/>
      </c>
      <c r="Q219" s="68" t="str">
        <f t="shared" si="26"/>
        <v/>
      </c>
      <c r="R219" s="68" t="str">
        <f t="shared" si="26"/>
        <v/>
      </c>
      <c r="S219" s="68" t="str">
        <f t="shared" si="26"/>
        <v/>
      </c>
      <c r="T219" s="68" t="str">
        <f t="shared" si="26"/>
        <v/>
      </c>
      <c r="U219" s="68" t="str">
        <f t="shared" si="26"/>
        <v/>
      </c>
      <c r="V219" s="68" t="str">
        <f t="shared" si="26"/>
        <v/>
      </c>
      <c r="W219" s="68" t="str">
        <f t="shared" si="26"/>
        <v>*</v>
      </c>
      <c r="X219" s="68" t="str">
        <f t="shared" si="26"/>
        <v>*</v>
      </c>
      <c r="Y219" s="68" t="str">
        <f t="shared" si="26"/>
        <v/>
      </c>
      <c r="Z219" s="68" t="str">
        <f t="shared" si="26"/>
        <v/>
      </c>
      <c r="AA219" s="68" t="str">
        <f t="shared" si="26"/>
        <v>*</v>
      </c>
      <c r="AB219" s="68" t="str">
        <f t="shared" si="26"/>
        <v>*</v>
      </c>
      <c r="AC219" s="68" t="str">
        <f t="shared" si="26"/>
        <v/>
      </c>
      <c r="AD219" s="68" t="str">
        <f t="shared" si="26"/>
        <v>*</v>
      </c>
      <c r="AE219" s="68" t="str">
        <f t="shared" si="26"/>
        <v>*</v>
      </c>
      <c r="AF219" s="68" t="str">
        <f t="shared" si="26"/>
        <v/>
      </c>
      <c r="AG219" s="68" t="str">
        <f t="shared" si="26"/>
        <v/>
      </c>
      <c r="AH219" s="68" t="str">
        <f t="shared" si="26"/>
        <v>*</v>
      </c>
      <c r="AI219" s="68" t="str">
        <f t="shared" si="26"/>
        <v>*</v>
      </c>
      <c r="AJ219" s="68" t="str">
        <f t="shared" si="26"/>
        <v>*</v>
      </c>
      <c r="AK219" s="68" t="str">
        <f t="shared" si="26"/>
        <v/>
      </c>
      <c r="AL219" s="68" t="str">
        <f t="shared" si="26"/>
        <v/>
      </c>
      <c r="AM219" s="68" t="str">
        <f t="shared" si="26"/>
        <v>*</v>
      </c>
      <c r="AN219" s="68" t="str">
        <f t="shared" si="26"/>
        <v>*</v>
      </c>
      <c r="AO219" s="68" t="str">
        <f t="shared" si="26"/>
        <v/>
      </c>
      <c r="AP219" s="68" t="str">
        <f t="shared" si="26"/>
        <v/>
      </c>
      <c r="AQ219" s="68" t="str">
        <f t="shared" si="26"/>
        <v/>
      </c>
      <c r="AR219" s="68" t="str">
        <f t="shared" si="26"/>
        <v/>
      </c>
      <c r="AS219" s="68" t="str">
        <f t="shared" si="26"/>
        <v/>
      </c>
      <c r="AT219" s="68" t="str">
        <f t="shared" si="26"/>
        <v/>
      </c>
      <c r="AU219" s="68" t="str">
        <f t="shared" si="26"/>
        <v>*</v>
      </c>
      <c r="AV219" s="68" t="str">
        <f t="shared" si="26"/>
        <v>*</v>
      </c>
      <c r="AW219" s="68" t="str">
        <f t="shared" si="26"/>
        <v/>
      </c>
      <c r="AX219" s="68" t="str">
        <f t="shared" si="26"/>
        <v/>
      </c>
    </row>
    <row r="220" spans="1:50" ht="15.75" hidden="1" customHeight="1">
      <c r="A220" s="346"/>
      <c r="B220" s="66" t="s">
        <v>225</v>
      </c>
      <c r="C220" s="69" t="str">
        <f t="shared" si="27"/>
        <v>*</v>
      </c>
      <c r="D220" s="69" t="str">
        <f t="shared" si="27"/>
        <v>*</v>
      </c>
      <c r="E220" s="69" t="str">
        <f t="shared" si="27"/>
        <v/>
      </c>
      <c r="F220" s="69" t="str">
        <f t="shared" si="27"/>
        <v>*</v>
      </c>
      <c r="G220" s="69" t="str">
        <f t="shared" si="27"/>
        <v>*</v>
      </c>
      <c r="H220" s="69" t="str">
        <f t="shared" si="27"/>
        <v>*</v>
      </c>
      <c r="I220" s="69" t="str">
        <f t="shared" si="26"/>
        <v/>
      </c>
      <c r="J220" s="69" t="str">
        <f t="shared" si="26"/>
        <v/>
      </c>
      <c r="K220" s="69" t="str">
        <f t="shared" si="26"/>
        <v/>
      </c>
      <c r="L220" s="69" t="str">
        <f t="shared" si="26"/>
        <v/>
      </c>
      <c r="M220" s="69" t="str">
        <f t="shared" si="26"/>
        <v/>
      </c>
      <c r="N220" s="69" t="str">
        <f t="shared" si="26"/>
        <v/>
      </c>
      <c r="O220" s="69" t="str">
        <f t="shared" si="26"/>
        <v>*</v>
      </c>
      <c r="P220" s="69" t="str">
        <f t="shared" si="26"/>
        <v/>
      </c>
      <c r="Q220" s="69" t="str">
        <f t="shared" si="26"/>
        <v/>
      </c>
      <c r="R220" s="69" t="str">
        <f t="shared" si="26"/>
        <v>*</v>
      </c>
      <c r="S220" s="69" t="str">
        <f t="shared" si="26"/>
        <v/>
      </c>
      <c r="T220" s="69" t="str">
        <f t="shared" si="26"/>
        <v/>
      </c>
      <c r="U220" s="69" t="str">
        <f t="shared" si="26"/>
        <v/>
      </c>
      <c r="V220" s="69" t="str">
        <f t="shared" si="26"/>
        <v/>
      </c>
      <c r="W220" s="69" t="str">
        <f t="shared" si="26"/>
        <v/>
      </c>
      <c r="X220" s="69" t="str">
        <f t="shared" si="26"/>
        <v/>
      </c>
      <c r="Y220" s="69" t="str">
        <f t="shared" si="26"/>
        <v/>
      </c>
      <c r="Z220" s="69" t="str">
        <f t="shared" si="26"/>
        <v/>
      </c>
      <c r="AA220" s="69" t="str">
        <f t="shared" si="26"/>
        <v>*</v>
      </c>
      <c r="AB220" s="69" t="str">
        <f t="shared" si="26"/>
        <v/>
      </c>
      <c r="AC220" s="69" t="str">
        <f t="shared" si="26"/>
        <v/>
      </c>
      <c r="AD220" s="69" t="str">
        <f t="shared" si="26"/>
        <v>*</v>
      </c>
      <c r="AE220" s="69" t="str">
        <f t="shared" si="26"/>
        <v>*</v>
      </c>
      <c r="AF220" s="69" t="str">
        <f t="shared" si="26"/>
        <v/>
      </c>
      <c r="AG220" s="69" t="str">
        <f t="shared" si="26"/>
        <v/>
      </c>
      <c r="AH220" s="69" t="str">
        <f t="shared" si="26"/>
        <v>*</v>
      </c>
      <c r="AI220" s="69" t="str">
        <f t="shared" si="26"/>
        <v>*</v>
      </c>
      <c r="AJ220" s="69" t="str">
        <f t="shared" si="26"/>
        <v/>
      </c>
      <c r="AK220" s="69" t="str">
        <f t="shared" si="26"/>
        <v/>
      </c>
      <c r="AL220" s="69" t="str">
        <f t="shared" si="26"/>
        <v>*</v>
      </c>
      <c r="AM220" s="69" t="str">
        <f t="shared" si="26"/>
        <v>*</v>
      </c>
      <c r="AN220" s="69" t="str">
        <f t="shared" si="26"/>
        <v/>
      </c>
      <c r="AO220" s="69" t="str">
        <f t="shared" si="26"/>
        <v/>
      </c>
      <c r="AP220" s="69" t="str">
        <f t="shared" si="26"/>
        <v>*</v>
      </c>
      <c r="AQ220" s="69" t="str">
        <f t="shared" si="26"/>
        <v/>
      </c>
      <c r="AR220" s="69" t="str">
        <f t="shared" si="26"/>
        <v/>
      </c>
      <c r="AS220" s="69" t="str">
        <f t="shared" si="26"/>
        <v/>
      </c>
      <c r="AT220" s="69" t="str">
        <f t="shared" si="26"/>
        <v/>
      </c>
      <c r="AU220" s="69" t="str">
        <f t="shared" si="26"/>
        <v/>
      </c>
      <c r="AV220" s="69" t="str">
        <f t="shared" si="26"/>
        <v/>
      </c>
      <c r="AW220" s="69" t="str">
        <f t="shared" si="26"/>
        <v/>
      </c>
      <c r="AX220" s="69" t="str">
        <f t="shared" si="26"/>
        <v/>
      </c>
    </row>
  </sheetData>
  <mergeCells count="132">
    <mergeCell ref="AM4:AP4"/>
    <mergeCell ref="AQ4:AT4"/>
    <mergeCell ref="AU4:AX4"/>
    <mergeCell ref="AA3:AX3"/>
    <mergeCell ref="C4:F4"/>
    <mergeCell ref="G4:J4"/>
    <mergeCell ref="K4:N4"/>
    <mergeCell ref="A3:B6"/>
    <mergeCell ref="C3:Z3"/>
    <mergeCell ref="O4:R4"/>
    <mergeCell ref="S4:V4"/>
    <mergeCell ref="W4:Z4"/>
    <mergeCell ref="C5:C6"/>
    <mergeCell ref="D5:D6"/>
    <mergeCell ref="E5:E6"/>
    <mergeCell ref="F5:F6"/>
    <mergeCell ref="G5:G6"/>
    <mergeCell ref="H5:H6"/>
    <mergeCell ref="I5:I6"/>
    <mergeCell ref="AA4:AD4"/>
    <mergeCell ref="AE4:AH4"/>
    <mergeCell ref="AI4:AL4"/>
    <mergeCell ref="AW5:AW6"/>
    <mergeCell ref="AX5:AX6"/>
    <mergeCell ref="A8:A9"/>
    <mergeCell ref="AN5:AN6"/>
    <mergeCell ref="AO5:AO6"/>
    <mergeCell ref="AP5:AP6"/>
    <mergeCell ref="AQ5:AQ6"/>
    <mergeCell ref="AR5:AR6"/>
    <mergeCell ref="AS5:AS6"/>
    <mergeCell ref="AH5:AH6"/>
    <mergeCell ref="AI5:AI6"/>
    <mergeCell ref="AJ5:AJ6"/>
    <mergeCell ref="AK5:AK6"/>
    <mergeCell ref="AL5:AL6"/>
    <mergeCell ref="AM5:AM6"/>
    <mergeCell ref="AB5:AB6"/>
    <mergeCell ref="AC5:AC6"/>
    <mergeCell ref="AD5:AD6"/>
    <mergeCell ref="AE5:AE6"/>
    <mergeCell ref="AF5:AF6"/>
    <mergeCell ref="AG5:AG6"/>
    <mergeCell ref="V5:V6"/>
    <mergeCell ref="W5:W6"/>
    <mergeCell ref="X5:X6"/>
    <mergeCell ref="A11:A12"/>
    <mergeCell ref="A14:A15"/>
    <mergeCell ref="A17:A18"/>
    <mergeCell ref="A20:A21"/>
    <mergeCell ref="A23:A24"/>
    <mergeCell ref="A26:A27"/>
    <mergeCell ref="AT5:AT6"/>
    <mergeCell ref="AU5:AU6"/>
    <mergeCell ref="AV5:AV6"/>
    <mergeCell ref="Y5:Y6"/>
    <mergeCell ref="Z5:Z6"/>
    <mergeCell ref="AA5:AA6"/>
    <mergeCell ref="P5:P6"/>
    <mergeCell ref="Q5:Q6"/>
    <mergeCell ref="R5:R6"/>
    <mergeCell ref="S5:S6"/>
    <mergeCell ref="T5:T6"/>
    <mergeCell ref="U5:U6"/>
    <mergeCell ref="J5:J6"/>
    <mergeCell ref="K5:K6"/>
    <mergeCell ref="L5:L6"/>
    <mergeCell ref="M5:M6"/>
    <mergeCell ref="N5:N6"/>
    <mergeCell ref="O5:O6"/>
    <mergeCell ref="A47:A48"/>
    <mergeCell ref="A50:A51"/>
    <mergeCell ref="A53:A54"/>
    <mergeCell ref="A56:A57"/>
    <mergeCell ref="A59:A60"/>
    <mergeCell ref="A62:A63"/>
    <mergeCell ref="A29:A30"/>
    <mergeCell ref="A32:A33"/>
    <mergeCell ref="A35:A36"/>
    <mergeCell ref="A38:A39"/>
    <mergeCell ref="A41:A42"/>
    <mergeCell ref="A44:A45"/>
    <mergeCell ref="A89:A90"/>
    <mergeCell ref="A92:A93"/>
    <mergeCell ref="A95:A96"/>
    <mergeCell ref="A98:A99"/>
    <mergeCell ref="A101:A102"/>
    <mergeCell ref="A104:A105"/>
    <mergeCell ref="A65:A66"/>
    <mergeCell ref="A68:A69"/>
    <mergeCell ref="A71:A72"/>
    <mergeCell ref="A74:A75"/>
    <mergeCell ref="A83:A84"/>
    <mergeCell ref="A86:A87"/>
    <mergeCell ref="A125:A126"/>
    <mergeCell ref="A128:A129"/>
    <mergeCell ref="A131:A132"/>
    <mergeCell ref="A134:A135"/>
    <mergeCell ref="A137:A138"/>
    <mergeCell ref="A140:A141"/>
    <mergeCell ref="A107:A108"/>
    <mergeCell ref="A110:A111"/>
    <mergeCell ref="A113:A114"/>
    <mergeCell ref="A116:A117"/>
    <mergeCell ref="A119:A120"/>
    <mergeCell ref="A122:A123"/>
    <mergeCell ref="A162:A163"/>
    <mergeCell ref="A165:A166"/>
    <mergeCell ref="A168:A169"/>
    <mergeCell ref="A171:A172"/>
    <mergeCell ref="A174:A175"/>
    <mergeCell ref="A177:A178"/>
    <mergeCell ref="A143:A144"/>
    <mergeCell ref="A146:A147"/>
    <mergeCell ref="A149:A150"/>
    <mergeCell ref="A153:A154"/>
    <mergeCell ref="A156:A157"/>
    <mergeCell ref="A159:A160"/>
    <mergeCell ref="A216:A217"/>
    <mergeCell ref="A219:A220"/>
    <mergeCell ref="A198:A199"/>
    <mergeCell ref="A201:A202"/>
    <mergeCell ref="A204:A205"/>
    <mergeCell ref="A207:A208"/>
    <mergeCell ref="A210:A211"/>
    <mergeCell ref="A213:A214"/>
    <mergeCell ref="A180:A181"/>
    <mergeCell ref="A183:A184"/>
    <mergeCell ref="A186:A187"/>
    <mergeCell ref="A189:A190"/>
    <mergeCell ref="A192:A193"/>
    <mergeCell ref="A195:A196"/>
  </mergeCells>
  <phoneticPr fontId="6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86" fitToWidth="10" orientation="landscape" useFirstPageNumber="1" horizontalDpi="4294967292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0.59999389629810485"/>
    <pageSetUpPr fitToPage="1"/>
  </sheetPr>
  <dimension ref="A1:BI220"/>
  <sheetViews>
    <sheetView zoomScaleNormal="100" zoomScaleSheetLayoutView="75" workbookViewId="0">
      <pane xSplit="2" ySplit="6" topLeftCell="C67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9.33203125" style="3" customWidth="1"/>
    <col min="2" max="2" width="20" style="3" customWidth="1"/>
    <col min="3" max="4" width="13.6640625" style="3" customWidth="1"/>
    <col min="5" max="5" width="11.6640625" style="3" customWidth="1"/>
    <col min="6" max="7" width="13" style="3" customWidth="1"/>
    <col min="8" max="13" width="10.1640625" style="3" customWidth="1"/>
    <col min="14" max="37" width="10.6640625" style="3" customWidth="1"/>
    <col min="38" max="61" width="10" style="3" customWidth="1"/>
    <col min="62" max="16384" width="12" style="3"/>
  </cols>
  <sheetData>
    <row r="1" spans="1:61" ht="21">
      <c r="A1" s="1" t="s">
        <v>50</v>
      </c>
      <c r="B1" s="25"/>
    </row>
    <row r="2" spans="1:61" ht="25.5" customHeight="1">
      <c r="A2" s="26" t="s">
        <v>240</v>
      </c>
      <c r="B2" s="27"/>
      <c r="D2" s="16"/>
      <c r="E2" s="16"/>
      <c r="J2" s="60"/>
      <c r="K2" s="60"/>
      <c r="L2" s="60"/>
      <c r="M2" s="60"/>
      <c r="N2" s="60" t="str">
        <f>IF(N7=SUM(N10,N13,N16,N19,N22,N25,N28,N31,N34,N37,N40,N43,N46,N49,N52,N55,N58,N61,N64,N67,N70,N73),"","*")</f>
        <v/>
      </c>
      <c r="O2" s="60" t="str">
        <f t="shared" ref="O2:BI2" si="0">IF(O7=SUM(O10,O13,O16,O19,O22,O25,O28,O31,O34,O37,O40,O43,O46,O49,O52,O55,O58,O61,O64,O67,O70,O73),"","*")</f>
        <v/>
      </c>
      <c r="P2" s="60" t="str">
        <f t="shared" si="0"/>
        <v/>
      </c>
      <c r="Q2" s="60" t="str">
        <f t="shared" si="0"/>
        <v/>
      </c>
      <c r="R2" s="60" t="str">
        <f t="shared" si="0"/>
        <v/>
      </c>
      <c r="S2" s="60" t="str">
        <f t="shared" si="0"/>
        <v/>
      </c>
      <c r="T2" s="60" t="str">
        <f t="shared" si="0"/>
        <v/>
      </c>
      <c r="U2" s="60" t="str">
        <f t="shared" si="0"/>
        <v/>
      </c>
      <c r="V2" s="60" t="str">
        <f t="shared" si="0"/>
        <v/>
      </c>
      <c r="W2" s="60" t="str">
        <f t="shared" si="0"/>
        <v/>
      </c>
      <c r="X2" s="60" t="str">
        <f t="shared" si="0"/>
        <v/>
      </c>
      <c r="Y2" s="60" t="str">
        <f t="shared" si="0"/>
        <v/>
      </c>
      <c r="Z2" s="60" t="str">
        <f t="shared" si="0"/>
        <v/>
      </c>
      <c r="AA2" s="60" t="str">
        <f t="shared" si="0"/>
        <v/>
      </c>
      <c r="AB2" s="60" t="str">
        <f t="shared" si="0"/>
        <v/>
      </c>
      <c r="AC2" s="60" t="str">
        <f t="shared" si="0"/>
        <v/>
      </c>
      <c r="AD2" s="60" t="str">
        <f t="shared" si="0"/>
        <v/>
      </c>
      <c r="AE2" s="60" t="str">
        <f t="shared" si="0"/>
        <v/>
      </c>
      <c r="AF2" s="60" t="str">
        <f t="shared" si="0"/>
        <v/>
      </c>
      <c r="AG2" s="60" t="str">
        <f t="shared" si="0"/>
        <v/>
      </c>
      <c r="AH2" s="60" t="str">
        <f t="shared" si="0"/>
        <v/>
      </c>
      <c r="AI2" s="60" t="str">
        <f t="shared" si="0"/>
        <v/>
      </c>
      <c r="AJ2" s="60" t="str">
        <f t="shared" si="0"/>
        <v/>
      </c>
      <c r="AK2" s="60" t="str">
        <f t="shared" si="0"/>
        <v/>
      </c>
      <c r="AL2" s="60" t="str">
        <f t="shared" si="0"/>
        <v/>
      </c>
      <c r="AM2" s="60" t="str">
        <f t="shared" si="0"/>
        <v/>
      </c>
      <c r="AN2" s="60" t="str">
        <f t="shared" si="0"/>
        <v/>
      </c>
      <c r="AO2" s="60" t="str">
        <f t="shared" si="0"/>
        <v/>
      </c>
      <c r="AP2" s="60" t="str">
        <f t="shared" si="0"/>
        <v/>
      </c>
      <c r="AQ2" s="60" t="str">
        <f t="shared" si="0"/>
        <v/>
      </c>
      <c r="AR2" s="60" t="str">
        <f t="shared" si="0"/>
        <v/>
      </c>
      <c r="AS2" s="60" t="str">
        <f t="shared" si="0"/>
        <v/>
      </c>
      <c r="AT2" s="60" t="str">
        <f t="shared" si="0"/>
        <v/>
      </c>
      <c r="AU2" s="60" t="str">
        <f t="shared" si="0"/>
        <v/>
      </c>
      <c r="AV2" s="60" t="str">
        <f t="shared" si="0"/>
        <v/>
      </c>
      <c r="AW2" s="60" t="str">
        <f t="shared" si="0"/>
        <v/>
      </c>
      <c r="AX2" s="60" t="str">
        <f t="shared" si="0"/>
        <v/>
      </c>
      <c r="AY2" s="60" t="str">
        <f t="shared" si="0"/>
        <v/>
      </c>
      <c r="AZ2" s="60" t="str">
        <f t="shared" si="0"/>
        <v/>
      </c>
      <c r="BA2" s="60" t="str">
        <f t="shared" si="0"/>
        <v/>
      </c>
      <c r="BB2" s="60" t="str">
        <f t="shared" si="0"/>
        <v/>
      </c>
      <c r="BC2" s="60" t="str">
        <f t="shared" si="0"/>
        <v/>
      </c>
      <c r="BD2" s="60" t="str">
        <f t="shared" si="0"/>
        <v/>
      </c>
      <c r="BE2" s="60" t="str">
        <f t="shared" si="0"/>
        <v/>
      </c>
      <c r="BF2" s="60" t="str">
        <f t="shared" si="0"/>
        <v/>
      </c>
      <c r="BG2" s="60" t="str">
        <f t="shared" si="0"/>
        <v/>
      </c>
      <c r="BH2" s="60" t="str">
        <f t="shared" si="0"/>
        <v/>
      </c>
      <c r="BI2" s="60" t="str">
        <f t="shared" si="0"/>
        <v/>
      </c>
    </row>
    <row r="3" spans="1:61" ht="20.25" customHeight="1">
      <c r="A3" s="329" t="s">
        <v>78</v>
      </c>
      <c r="B3" s="301"/>
      <c r="C3" s="322" t="s">
        <v>234</v>
      </c>
      <c r="D3" s="322" t="s">
        <v>195</v>
      </c>
      <c r="E3" s="332" t="s">
        <v>193</v>
      </c>
      <c r="F3" s="304"/>
      <c r="G3" s="305"/>
      <c r="H3" s="383" t="s">
        <v>239</v>
      </c>
      <c r="I3" s="384"/>
      <c r="J3" s="384"/>
      <c r="K3" s="384"/>
      <c r="L3" s="384"/>
      <c r="M3" s="385"/>
      <c r="N3" s="386" t="s">
        <v>56</v>
      </c>
      <c r="O3" s="304"/>
      <c r="P3" s="304"/>
      <c r="Q3" s="304"/>
      <c r="R3" s="304"/>
      <c r="S3" s="304"/>
      <c r="T3" s="304"/>
      <c r="U3" s="304"/>
      <c r="V3" s="304"/>
      <c r="W3" s="304"/>
      <c r="X3" s="304"/>
      <c r="Y3" s="304"/>
      <c r="Z3" s="304"/>
      <c r="AA3" s="304"/>
      <c r="AB3" s="304"/>
      <c r="AC3" s="304"/>
      <c r="AD3" s="304"/>
      <c r="AE3" s="304"/>
      <c r="AF3" s="304"/>
      <c r="AG3" s="304"/>
      <c r="AH3" s="304"/>
      <c r="AI3" s="304"/>
      <c r="AJ3" s="304"/>
      <c r="AK3" s="305"/>
      <c r="AL3" s="304" t="s">
        <v>196</v>
      </c>
      <c r="AM3" s="304"/>
      <c r="AN3" s="304"/>
      <c r="AO3" s="304"/>
      <c r="AP3" s="304"/>
      <c r="AQ3" s="304"/>
      <c r="AR3" s="304"/>
      <c r="AS3" s="304"/>
      <c r="AT3" s="304"/>
      <c r="AU3" s="304"/>
      <c r="AV3" s="304"/>
      <c r="AW3" s="304"/>
      <c r="AX3" s="304"/>
      <c r="AY3" s="304"/>
      <c r="AZ3" s="304"/>
      <c r="BA3" s="304"/>
      <c r="BB3" s="304"/>
      <c r="BC3" s="304"/>
      <c r="BD3" s="304"/>
      <c r="BE3" s="304"/>
      <c r="BF3" s="304"/>
      <c r="BG3" s="304"/>
      <c r="BH3" s="304"/>
      <c r="BI3" s="304"/>
    </row>
    <row r="4" spans="1:61" ht="33.75" customHeight="1">
      <c r="A4" s="364"/>
      <c r="B4" s="302"/>
      <c r="C4" s="368"/>
      <c r="D4" s="368"/>
      <c r="E4" s="369" t="s">
        <v>235</v>
      </c>
      <c r="F4" s="322" t="s">
        <v>198</v>
      </c>
      <c r="G4" s="372" t="s">
        <v>194</v>
      </c>
      <c r="H4" s="375" t="s">
        <v>236</v>
      </c>
      <c r="I4" s="376"/>
      <c r="J4" s="379" t="s">
        <v>237</v>
      </c>
      <c r="K4" s="302"/>
      <c r="L4" s="379" t="s">
        <v>238</v>
      </c>
      <c r="M4" s="380"/>
      <c r="N4" s="382" t="s">
        <v>226</v>
      </c>
      <c r="O4" s="362"/>
      <c r="P4" s="362"/>
      <c r="Q4" s="363"/>
      <c r="R4" s="359" t="s">
        <v>227</v>
      </c>
      <c r="S4" s="360"/>
      <c r="T4" s="360"/>
      <c r="U4" s="361"/>
      <c r="V4" s="359" t="s">
        <v>232</v>
      </c>
      <c r="W4" s="360"/>
      <c r="X4" s="360"/>
      <c r="Y4" s="361"/>
      <c r="Z4" s="359" t="s">
        <v>233</v>
      </c>
      <c r="AA4" s="360"/>
      <c r="AB4" s="360"/>
      <c r="AC4" s="361"/>
      <c r="AD4" s="359" t="s">
        <v>228</v>
      </c>
      <c r="AE4" s="360"/>
      <c r="AF4" s="360"/>
      <c r="AG4" s="361"/>
      <c r="AH4" s="359" t="s">
        <v>229</v>
      </c>
      <c r="AI4" s="360"/>
      <c r="AJ4" s="360"/>
      <c r="AK4" s="365"/>
      <c r="AL4" s="362" t="s">
        <v>226</v>
      </c>
      <c r="AM4" s="362"/>
      <c r="AN4" s="362"/>
      <c r="AO4" s="363"/>
      <c r="AP4" s="359" t="s">
        <v>227</v>
      </c>
      <c r="AQ4" s="360"/>
      <c r="AR4" s="360"/>
      <c r="AS4" s="361"/>
      <c r="AT4" s="359" t="s">
        <v>232</v>
      </c>
      <c r="AU4" s="360"/>
      <c r="AV4" s="360"/>
      <c r="AW4" s="361"/>
      <c r="AX4" s="359" t="s">
        <v>233</v>
      </c>
      <c r="AY4" s="360"/>
      <c r="AZ4" s="360"/>
      <c r="BA4" s="361"/>
      <c r="BB4" s="359" t="s">
        <v>228</v>
      </c>
      <c r="BC4" s="360"/>
      <c r="BD4" s="360"/>
      <c r="BE4" s="361"/>
      <c r="BF4" s="359" t="s">
        <v>229</v>
      </c>
      <c r="BG4" s="360"/>
      <c r="BH4" s="360"/>
      <c r="BI4" s="360"/>
    </row>
    <row r="5" spans="1:61" s="9" customFormat="1" ht="31.5" customHeight="1">
      <c r="A5" s="364"/>
      <c r="B5" s="302"/>
      <c r="C5" s="368"/>
      <c r="D5" s="368"/>
      <c r="E5" s="370"/>
      <c r="F5" s="368"/>
      <c r="G5" s="373"/>
      <c r="H5" s="377"/>
      <c r="I5" s="378"/>
      <c r="J5" s="330"/>
      <c r="K5" s="303"/>
      <c r="L5" s="330"/>
      <c r="M5" s="381"/>
      <c r="N5" s="387" t="s">
        <v>230</v>
      </c>
      <c r="O5" s="353" t="s">
        <v>178</v>
      </c>
      <c r="P5" s="353" t="s">
        <v>231</v>
      </c>
      <c r="Q5" s="353" t="s">
        <v>180</v>
      </c>
      <c r="R5" s="351" t="s">
        <v>230</v>
      </c>
      <c r="S5" s="353" t="s">
        <v>178</v>
      </c>
      <c r="T5" s="353" t="s">
        <v>231</v>
      </c>
      <c r="U5" s="349" t="s">
        <v>180</v>
      </c>
      <c r="V5" s="351" t="s">
        <v>230</v>
      </c>
      <c r="W5" s="353" t="s">
        <v>178</v>
      </c>
      <c r="X5" s="353" t="s">
        <v>231</v>
      </c>
      <c r="Y5" s="349" t="s">
        <v>180</v>
      </c>
      <c r="Z5" s="351" t="s">
        <v>230</v>
      </c>
      <c r="AA5" s="353" t="s">
        <v>178</v>
      </c>
      <c r="AB5" s="353" t="s">
        <v>231</v>
      </c>
      <c r="AC5" s="349" t="s">
        <v>180</v>
      </c>
      <c r="AD5" s="351" t="s">
        <v>230</v>
      </c>
      <c r="AE5" s="353" t="s">
        <v>178</v>
      </c>
      <c r="AF5" s="353" t="s">
        <v>231</v>
      </c>
      <c r="AG5" s="349" t="s">
        <v>180</v>
      </c>
      <c r="AH5" s="351" t="s">
        <v>230</v>
      </c>
      <c r="AI5" s="353" t="s">
        <v>178</v>
      </c>
      <c r="AJ5" s="353" t="s">
        <v>231</v>
      </c>
      <c r="AK5" s="355" t="s">
        <v>180</v>
      </c>
      <c r="AL5" s="351" t="s">
        <v>230</v>
      </c>
      <c r="AM5" s="353" t="s">
        <v>178</v>
      </c>
      <c r="AN5" s="353" t="s">
        <v>231</v>
      </c>
      <c r="AO5" s="353" t="s">
        <v>180</v>
      </c>
      <c r="AP5" s="351" t="s">
        <v>230</v>
      </c>
      <c r="AQ5" s="353" t="s">
        <v>178</v>
      </c>
      <c r="AR5" s="353" t="s">
        <v>231</v>
      </c>
      <c r="AS5" s="349" t="s">
        <v>180</v>
      </c>
      <c r="AT5" s="351" t="s">
        <v>230</v>
      </c>
      <c r="AU5" s="353" t="s">
        <v>178</v>
      </c>
      <c r="AV5" s="353" t="s">
        <v>231</v>
      </c>
      <c r="AW5" s="349" t="s">
        <v>180</v>
      </c>
      <c r="AX5" s="351" t="s">
        <v>230</v>
      </c>
      <c r="AY5" s="353" t="s">
        <v>178</v>
      </c>
      <c r="AZ5" s="353" t="s">
        <v>231</v>
      </c>
      <c r="BA5" s="349" t="s">
        <v>180</v>
      </c>
      <c r="BB5" s="351" t="s">
        <v>230</v>
      </c>
      <c r="BC5" s="353" t="s">
        <v>178</v>
      </c>
      <c r="BD5" s="353" t="s">
        <v>231</v>
      </c>
      <c r="BE5" s="349" t="s">
        <v>180</v>
      </c>
      <c r="BF5" s="351" t="s">
        <v>230</v>
      </c>
      <c r="BG5" s="353" t="s">
        <v>178</v>
      </c>
      <c r="BH5" s="353" t="s">
        <v>231</v>
      </c>
      <c r="BI5" s="366" t="s">
        <v>180</v>
      </c>
    </row>
    <row r="6" spans="1:61" ht="31.5" customHeight="1">
      <c r="A6" s="331"/>
      <c r="B6" s="303"/>
      <c r="C6" s="337"/>
      <c r="D6" s="337"/>
      <c r="E6" s="371"/>
      <c r="F6" s="337"/>
      <c r="G6" s="374"/>
      <c r="H6" s="43" t="s">
        <v>197</v>
      </c>
      <c r="I6" s="44" t="s">
        <v>68</v>
      </c>
      <c r="J6" s="44" t="s">
        <v>197</v>
      </c>
      <c r="K6" s="44" t="s">
        <v>68</v>
      </c>
      <c r="L6" s="44" t="s">
        <v>197</v>
      </c>
      <c r="M6" s="62" t="s">
        <v>68</v>
      </c>
      <c r="N6" s="388"/>
      <c r="O6" s="354"/>
      <c r="P6" s="354"/>
      <c r="Q6" s="354"/>
      <c r="R6" s="352"/>
      <c r="S6" s="354"/>
      <c r="T6" s="354"/>
      <c r="U6" s="350"/>
      <c r="V6" s="352"/>
      <c r="W6" s="354"/>
      <c r="X6" s="354"/>
      <c r="Y6" s="350"/>
      <c r="Z6" s="352"/>
      <c r="AA6" s="354"/>
      <c r="AB6" s="354"/>
      <c r="AC6" s="350"/>
      <c r="AD6" s="352"/>
      <c r="AE6" s="354"/>
      <c r="AF6" s="354"/>
      <c r="AG6" s="350"/>
      <c r="AH6" s="352"/>
      <c r="AI6" s="354"/>
      <c r="AJ6" s="354"/>
      <c r="AK6" s="356"/>
      <c r="AL6" s="352"/>
      <c r="AM6" s="354"/>
      <c r="AN6" s="354"/>
      <c r="AO6" s="354"/>
      <c r="AP6" s="352"/>
      <c r="AQ6" s="354"/>
      <c r="AR6" s="354"/>
      <c r="AS6" s="350"/>
      <c r="AT6" s="352"/>
      <c r="AU6" s="354"/>
      <c r="AV6" s="354"/>
      <c r="AW6" s="350"/>
      <c r="AX6" s="352"/>
      <c r="AY6" s="354"/>
      <c r="AZ6" s="354"/>
      <c r="BA6" s="350"/>
      <c r="BB6" s="352"/>
      <c r="BC6" s="354"/>
      <c r="BD6" s="354"/>
      <c r="BE6" s="350"/>
      <c r="BF6" s="352"/>
      <c r="BG6" s="354"/>
      <c r="BH6" s="354"/>
      <c r="BI6" s="367"/>
    </row>
    <row r="7" spans="1:61" s="13" customFormat="1" ht="15.75" customHeight="1">
      <c r="A7" s="63" t="s">
        <v>200</v>
      </c>
      <c r="B7" s="64" t="s">
        <v>223</v>
      </c>
      <c r="C7" s="67">
        <v>21306</v>
      </c>
      <c r="D7" s="67">
        <v>2175</v>
      </c>
      <c r="E7" s="67">
        <v>19131</v>
      </c>
      <c r="F7" s="67">
        <v>11270</v>
      </c>
      <c r="G7" s="67">
        <v>7861</v>
      </c>
      <c r="H7" s="67">
        <v>2219</v>
      </c>
      <c r="I7" s="67">
        <v>32033</v>
      </c>
      <c r="J7" s="67">
        <v>324</v>
      </c>
      <c r="K7" s="67">
        <v>1041</v>
      </c>
      <c r="L7" s="67">
        <v>1895</v>
      </c>
      <c r="M7" s="67">
        <v>30992</v>
      </c>
      <c r="N7" s="67">
        <v>105470</v>
      </c>
      <c r="O7" s="67">
        <v>22103</v>
      </c>
      <c r="P7" s="67">
        <v>11989</v>
      </c>
      <c r="Q7" s="67">
        <v>71378</v>
      </c>
      <c r="R7" s="67">
        <v>42599</v>
      </c>
      <c r="S7" s="67">
        <v>5968</v>
      </c>
      <c r="T7" s="67">
        <v>1107</v>
      </c>
      <c r="U7" s="67">
        <v>35524</v>
      </c>
      <c r="V7" s="67">
        <v>30299</v>
      </c>
      <c r="W7" s="67">
        <v>5880</v>
      </c>
      <c r="X7" s="67">
        <v>3058</v>
      </c>
      <c r="Y7" s="67">
        <v>21361</v>
      </c>
      <c r="Z7" s="67">
        <v>18434</v>
      </c>
      <c r="AA7" s="67">
        <v>6799</v>
      </c>
      <c r="AB7" s="67">
        <v>6052</v>
      </c>
      <c r="AC7" s="67">
        <v>5583</v>
      </c>
      <c r="AD7" s="67">
        <v>956</v>
      </c>
      <c r="AE7" s="67">
        <v>372</v>
      </c>
      <c r="AF7" s="67">
        <v>264</v>
      </c>
      <c r="AG7" s="67">
        <v>320</v>
      </c>
      <c r="AH7" s="67">
        <v>13182</v>
      </c>
      <c r="AI7" s="67">
        <v>3084</v>
      </c>
      <c r="AJ7" s="67">
        <v>1508</v>
      </c>
      <c r="AK7" s="67">
        <v>8590</v>
      </c>
      <c r="AL7" s="67">
        <v>193403</v>
      </c>
      <c r="AM7" s="67">
        <v>37067</v>
      </c>
      <c r="AN7" s="67">
        <v>19513</v>
      </c>
      <c r="AO7" s="67">
        <v>136823</v>
      </c>
      <c r="AP7" s="67">
        <v>82889</v>
      </c>
      <c r="AQ7" s="67">
        <v>11047</v>
      </c>
      <c r="AR7" s="67">
        <v>2811</v>
      </c>
      <c r="AS7" s="67">
        <v>69031</v>
      </c>
      <c r="AT7" s="67">
        <v>56034</v>
      </c>
      <c r="AU7" s="67">
        <v>10308</v>
      </c>
      <c r="AV7" s="67">
        <v>5232</v>
      </c>
      <c r="AW7" s="67">
        <v>40494</v>
      </c>
      <c r="AX7" s="67">
        <v>27983</v>
      </c>
      <c r="AY7" s="67">
        <v>10221</v>
      </c>
      <c r="AZ7" s="67">
        <v>8805</v>
      </c>
      <c r="BA7" s="67">
        <v>8957</v>
      </c>
      <c r="BB7" s="67">
        <v>2680</v>
      </c>
      <c r="BC7" s="67">
        <v>778</v>
      </c>
      <c r="BD7" s="67">
        <v>502</v>
      </c>
      <c r="BE7" s="67">
        <v>1400</v>
      </c>
      <c r="BF7" s="67">
        <v>23817</v>
      </c>
      <c r="BG7" s="67">
        <v>4713</v>
      </c>
      <c r="BH7" s="67">
        <v>2163</v>
      </c>
      <c r="BI7" s="67">
        <v>16941</v>
      </c>
    </row>
    <row r="8" spans="1:61" s="13" customFormat="1" ht="15.75" customHeight="1">
      <c r="A8" s="347" t="s">
        <v>199</v>
      </c>
      <c r="B8" s="65" t="s">
        <v>224</v>
      </c>
      <c r="C8" s="68">
        <v>2882</v>
      </c>
      <c r="D8" s="68">
        <v>329</v>
      </c>
      <c r="E8" s="68">
        <v>2553</v>
      </c>
      <c r="F8" s="68">
        <v>1571</v>
      </c>
      <c r="G8" s="68">
        <v>982</v>
      </c>
      <c r="H8" s="68"/>
      <c r="I8" s="68"/>
      <c r="J8" s="68"/>
      <c r="K8" s="68"/>
      <c r="L8" s="68"/>
      <c r="M8" s="68"/>
      <c r="N8" s="68">
        <v>44463</v>
      </c>
      <c r="O8" s="68">
        <v>11681</v>
      </c>
      <c r="P8" s="68">
        <v>6001</v>
      </c>
      <c r="Q8" s="68">
        <v>26781</v>
      </c>
      <c r="R8" s="68">
        <v>13828</v>
      </c>
      <c r="S8" s="68">
        <v>2335</v>
      </c>
      <c r="T8" s="68">
        <v>390</v>
      </c>
      <c r="U8" s="68">
        <v>11103</v>
      </c>
      <c r="V8" s="68">
        <v>14008</v>
      </c>
      <c r="W8" s="68">
        <v>3077</v>
      </c>
      <c r="X8" s="68">
        <v>1495</v>
      </c>
      <c r="Y8" s="68">
        <v>9436</v>
      </c>
      <c r="Z8" s="68">
        <v>10816</v>
      </c>
      <c r="AA8" s="68">
        <v>4495</v>
      </c>
      <c r="AB8" s="68">
        <v>3332</v>
      </c>
      <c r="AC8" s="68">
        <v>2989</v>
      </c>
      <c r="AD8" s="68">
        <v>575</v>
      </c>
      <c r="AE8" s="68">
        <v>283</v>
      </c>
      <c r="AF8" s="68">
        <v>145</v>
      </c>
      <c r="AG8" s="68">
        <v>147</v>
      </c>
      <c r="AH8" s="68">
        <v>5236</v>
      </c>
      <c r="AI8" s="68">
        <v>1491</v>
      </c>
      <c r="AJ8" s="68">
        <v>639</v>
      </c>
      <c r="AK8" s="68">
        <v>3106</v>
      </c>
      <c r="AL8" s="68">
        <v>82009</v>
      </c>
      <c r="AM8" s="68">
        <v>19230</v>
      </c>
      <c r="AN8" s="68">
        <v>9747</v>
      </c>
      <c r="AO8" s="68">
        <v>53032</v>
      </c>
      <c r="AP8" s="68">
        <v>28995</v>
      </c>
      <c r="AQ8" s="68">
        <v>4517</v>
      </c>
      <c r="AR8" s="68">
        <v>1146</v>
      </c>
      <c r="AS8" s="68">
        <v>23332</v>
      </c>
      <c r="AT8" s="68">
        <v>26035</v>
      </c>
      <c r="AU8" s="68">
        <v>5404</v>
      </c>
      <c r="AV8" s="68">
        <v>2568</v>
      </c>
      <c r="AW8" s="68">
        <v>18063</v>
      </c>
      <c r="AX8" s="68">
        <v>16365</v>
      </c>
      <c r="AY8" s="68">
        <v>6674</v>
      </c>
      <c r="AZ8" s="68">
        <v>4873</v>
      </c>
      <c r="BA8" s="68">
        <v>4818</v>
      </c>
      <c r="BB8" s="68">
        <v>1274</v>
      </c>
      <c r="BC8" s="68">
        <v>515</v>
      </c>
      <c r="BD8" s="68">
        <v>235</v>
      </c>
      <c r="BE8" s="68">
        <v>524</v>
      </c>
      <c r="BF8" s="68">
        <v>9340</v>
      </c>
      <c r="BG8" s="68">
        <v>2120</v>
      </c>
      <c r="BH8" s="68">
        <v>925</v>
      </c>
      <c r="BI8" s="68">
        <v>6295</v>
      </c>
    </row>
    <row r="9" spans="1:61" s="13" customFormat="1" ht="15.75" customHeight="1">
      <c r="A9" s="348"/>
      <c r="B9" s="65" t="s">
        <v>225</v>
      </c>
      <c r="C9" s="68">
        <v>18424</v>
      </c>
      <c r="D9" s="68">
        <v>1846</v>
      </c>
      <c r="E9" s="68">
        <v>16578</v>
      </c>
      <c r="F9" s="68">
        <v>9699</v>
      </c>
      <c r="G9" s="68">
        <v>6879</v>
      </c>
      <c r="H9" s="68"/>
      <c r="I9" s="68"/>
      <c r="J9" s="68"/>
      <c r="K9" s="68"/>
      <c r="L9" s="68"/>
      <c r="M9" s="68"/>
      <c r="N9" s="68">
        <v>61007</v>
      </c>
      <c r="O9" s="68">
        <v>10422</v>
      </c>
      <c r="P9" s="68">
        <v>5988</v>
      </c>
      <c r="Q9" s="68">
        <v>44597</v>
      </c>
      <c r="R9" s="68">
        <v>28771</v>
      </c>
      <c r="S9" s="68">
        <v>3633</v>
      </c>
      <c r="T9" s="68">
        <v>717</v>
      </c>
      <c r="U9" s="68">
        <v>24421</v>
      </c>
      <c r="V9" s="68">
        <v>16291</v>
      </c>
      <c r="W9" s="68">
        <v>2803</v>
      </c>
      <c r="X9" s="68">
        <v>1563</v>
      </c>
      <c r="Y9" s="68">
        <v>11925</v>
      </c>
      <c r="Z9" s="68">
        <v>7618</v>
      </c>
      <c r="AA9" s="68">
        <v>2304</v>
      </c>
      <c r="AB9" s="68">
        <v>2720</v>
      </c>
      <c r="AC9" s="68">
        <v>2594</v>
      </c>
      <c r="AD9" s="68">
        <v>381</v>
      </c>
      <c r="AE9" s="68">
        <v>89</v>
      </c>
      <c r="AF9" s="68">
        <v>119</v>
      </c>
      <c r="AG9" s="68">
        <v>173</v>
      </c>
      <c r="AH9" s="68">
        <v>7946</v>
      </c>
      <c r="AI9" s="68">
        <v>1593</v>
      </c>
      <c r="AJ9" s="68">
        <v>869</v>
      </c>
      <c r="AK9" s="68">
        <v>5484</v>
      </c>
      <c r="AL9" s="68">
        <v>111394</v>
      </c>
      <c r="AM9" s="68">
        <v>17837</v>
      </c>
      <c r="AN9" s="68">
        <v>9766</v>
      </c>
      <c r="AO9" s="68">
        <v>83791</v>
      </c>
      <c r="AP9" s="68">
        <v>53894</v>
      </c>
      <c r="AQ9" s="68">
        <v>6530</v>
      </c>
      <c r="AR9" s="68">
        <v>1665</v>
      </c>
      <c r="AS9" s="68">
        <v>45699</v>
      </c>
      <c r="AT9" s="68">
        <v>29999</v>
      </c>
      <c r="AU9" s="68">
        <v>4904</v>
      </c>
      <c r="AV9" s="68">
        <v>2664</v>
      </c>
      <c r="AW9" s="68">
        <v>22431</v>
      </c>
      <c r="AX9" s="68">
        <v>11618</v>
      </c>
      <c r="AY9" s="68">
        <v>3547</v>
      </c>
      <c r="AZ9" s="68">
        <v>3932</v>
      </c>
      <c r="BA9" s="68">
        <v>4139</v>
      </c>
      <c r="BB9" s="68">
        <v>1406</v>
      </c>
      <c r="BC9" s="68">
        <v>263</v>
      </c>
      <c r="BD9" s="68">
        <v>267</v>
      </c>
      <c r="BE9" s="68">
        <v>876</v>
      </c>
      <c r="BF9" s="68">
        <v>14477</v>
      </c>
      <c r="BG9" s="68">
        <v>2593</v>
      </c>
      <c r="BH9" s="68">
        <v>1238</v>
      </c>
      <c r="BI9" s="68">
        <v>10646</v>
      </c>
    </row>
    <row r="10" spans="1:61" s="18" customFormat="1" ht="15.75" customHeight="1">
      <c r="A10" s="63" t="s">
        <v>201</v>
      </c>
      <c r="B10" s="64" t="s">
        <v>223</v>
      </c>
      <c r="C10" s="67">
        <v>2221</v>
      </c>
      <c r="D10" s="67">
        <v>219</v>
      </c>
      <c r="E10" s="67">
        <v>2002</v>
      </c>
      <c r="F10" s="67">
        <v>1383</v>
      </c>
      <c r="G10" s="67">
        <v>619</v>
      </c>
      <c r="H10" s="67">
        <v>6</v>
      </c>
      <c r="I10" s="67">
        <v>1541</v>
      </c>
      <c r="J10" s="67">
        <v>0</v>
      </c>
      <c r="K10" s="67">
        <v>0</v>
      </c>
      <c r="L10" s="67">
        <v>6</v>
      </c>
      <c r="M10" s="67">
        <v>1541</v>
      </c>
      <c r="N10" s="67">
        <v>10762</v>
      </c>
      <c r="O10" s="67">
        <v>1705</v>
      </c>
      <c r="P10" s="67">
        <v>1434</v>
      </c>
      <c r="Q10" s="67">
        <v>7623</v>
      </c>
      <c r="R10" s="67">
        <v>3783</v>
      </c>
      <c r="S10" s="67">
        <v>375</v>
      </c>
      <c r="T10" s="67">
        <v>41</v>
      </c>
      <c r="U10" s="67">
        <v>3367</v>
      </c>
      <c r="V10" s="67">
        <v>2995</v>
      </c>
      <c r="W10" s="67">
        <v>434</v>
      </c>
      <c r="X10" s="67">
        <v>295</v>
      </c>
      <c r="Y10" s="67">
        <v>2266</v>
      </c>
      <c r="Z10" s="67">
        <v>2396</v>
      </c>
      <c r="AA10" s="67">
        <v>600</v>
      </c>
      <c r="AB10" s="67">
        <v>902</v>
      </c>
      <c r="AC10" s="67">
        <v>894</v>
      </c>
      <c r="AD10" s="67">
        <v>22</v>
      </c>
      <c r="AE10" s="67">
        <v>4</v>
      </c>
      <c r="AF10" s="67">
        <v>10</v>
      </c>
      <c r="AG10" s="67">
        <v>8</v>
      </c>
      <c r="AH10" s="67">
        <v>1566</v>
      </c>
      <c r="AI10" s="67">
        <v>292</v>
      </c>
      <c r="AJ10" s="67">
        <v>186</v>
      </c>
      <c r="AK10" s="67">
        <v>1088</v>
      </c>
      <c r="AL10" s="67">
        <v>24401</v>
      </c>
      <c r="AM10" s="67">
        <v>3332</v>
      </c>
      <c r="AN10" s="67">
        <v>2743</v>
      </c>
      <c r="AO10" s="67">
        <v>18326</v>
      </c>
      <c r="AP10" s="67">
        <v>11755</v>
      </c>
      <c r="AQ10" s="67">
        <v>1309</v>
      </c>
      <c r="AR10" s="67">
        <v>589</v>
      </c>
      <c r="AS10" s="67">
        <v>9857</v>
      </c>
      <c r="AT10" s="67">
        <v>5486</v>
      </c>
      <c r="AU10" s="67">
        <v>765</v>
      </c>
      <c r="AV10" s="67">
        <v>526</v>
      </c>
      <c r="AW10" s="67">
        <v>4195</v>
      </c>
      <c r="AX10" s="67">
        <v>3857</v>
      </c>
      <c r="AY10" s="67">
        <v>988</v>
      </c>
      <c r="AZ10" s="67">
        <v>1442</v>
      </c>
      <c r="BA10" s="67">
        <v>1427</v>
      </c>
      <c r="BB10" s="67">
        <v>31</v>
      </c>
      <c r="BC10" s="67">
        <v>9</v>
      </c>
      <c r="BD10" s="67">
        <v>10</v>
      </c>
      <c r="BE10" s="67">
        <v>12</v>
      </c>
      <c r="BF10" s="67">
        <v>3272</v>
      </c>
      <c r="BG10" s="67">
        <v>261</v>
      </c>
      <c r="BH10" s="67">
        <v>176</v>
      </c>
      <c r="BI10" s="67">
        <v>2835</v>
      </c>
    </row>
    <row r="11" spans="1:61" s="18" customFormat="1" ht="15.75" customHeight="1">
      <c r="A11" s="345" t="s">
        <v>24</v>
      </c>
      <c r="B11" s="65" t="s">
        <v>224</v>
      </c>
      <c r="C11" s="68">
        <v>359</v>
      </c>
      <c r="D11" s="68">
        <v>50</v>
      </c>
      <c r="E11" s="68">
        <v>309</v>
      </c>
      <c r="F11" s="68">
        <v>214</v>
      </c>
      <c r="G11" s="68">
        <v>95</v>
      </c>
      <c r="H11" s="68"/>
      <c r="I11" s="68"/>
      <c r="J11" s="68"/>
      <c r="K11" s="68"/>
      <c r="L11" s="68"/>
      <c r="M11" s="68"/>
      <c r="N11" s="68">
        <v>4628</v>
      </c>
      <c r="O11" s="68">
        <v>854</v>
      </c>
      <c r="P11" s="68">
        <v>744</v>
      </c>
      <c r="Q11" s="68">
        <v>3030</v>
      </c>
      <c r="R11" s="68">
        <v>1211</v>
      </c>
      <c r="S11" s="68">
        <v>123</v>
      </c>
      <c r="T11" s="68">
        <v>16</v>
      </c>
      <c r="U11" s="68">
        <v>1072</v>
      </c>
      <c r="V11" s="68">
        <v>1429</v>
      </c>
      <c r="W11" s="68">
        <v>215</v>
      </c>
      <c r="X11" s="68">
        <v>168</v>
      </c>
      <c r="Y11" s="68">
        <v>1046</v>
      </c>
      <c r="Z11" s="68">
        <v>1373</v>
      </c>
      <c r="AA11" s="68">
        <v>402</v>
      </c>
      <c r="AB11" s="68">
        <v>480</v>
      </c>
      <c r="AC11" s="68">
        <v>491</v>
      </c>
      <c r="AD11" s="68">
        <v>7</v>
      </c>
      <c r="AE11" s="68">
        <v>2</v>
      </c>
      <c r="AF11" s="68">
        <v>2</v>
      </c>
      <c r="AG11" s="68">
        <v>3</v>
      </c>
      <c r="AH11" s="68">
        <v>608</v>
      </c>
      <c r="AI11" s="68">
        <v>112</v>
      </c>
      <c r="AJ11" s="68">
        <v>78</v>
      </c>
      <c r="AK11" s="68">
        <v>418</v>
      </c>
      <c r="AL11" s="68">
        <v>10644</v>
      </c>
      <c r="AM11" s="68">
        <v>1607</v>
      </c>
      <c r="AN11" s="68">
        <v>1416</v>
      </c>
      <c r="AO11" s="68">
        <v>7621</v>
      </c>
      <c r="AP11" s="68">
        <v>4675</v>
      </c>
      <c r="AQ11" s="68">
        <v>539</v>
      </c>
      <c r="AR11" s="68">
        <v>300</v>
      </c>
      <c r="AS11" s="68">
        <v>3836</v>
      </c>
      <c r="AT11" s="68">
        <v>2572</v>
      </c>
      <c r="AU11" s="68">
        <v>354</v>
      </c>
      <c r="AV11" s="68">
        <v>273</v>
      </c>
      <c r="AW11" s="68">
        <v>1945</v>
      </c>
      <c r="AX11" s="68">
        <v>2178</v>
      </c>
      <c r="AY11" s="68">
        <v>624</v>
      </c>
      <c r="AZ11" s="68">
        <v>769</v>
      </c>
      <c r="BA11" s="68">
        <v>785</v>
      </c>
      <c r="BB11" s="68">
        <v>13</v>
      </c>
      <c r="BC11" s="68">
        <v>4</v>
      </c>
      <c r="BD11" s="68">
        <v>2</v>
      </c>
      <c r="BE11" s="68">
        <v>7</v>
      </c>
      <c r="BF11" s="68">
        <v>1206</v>
      </c>
      <c r="BG11" s="68">
        <v>86</v>
      </c>
      <c r="BH11" s="68">
        <v>72</v>
      </c>
      <c r="BI11" s="68">
        <v>1048</v>
      </c>
    </row>
    <row r="12" spans="1:61" s="18" customFormat="1" ht="15.75" customHeight="1">
      <c r="A12" s="346"/>
      <c r="B12" s="65" t="s">
        <v>225</v>
      </c>
      <c r="C12" s="68">
        <v>1862</v>
      </c>
      <c r="D12" s="68">
        <v>169</v>
      </c>
      <c r="E12" s="68">
        <v>1693</v>
      </c>
      <c r="F12" s="68">
        <v>1169</v>
      </c>
      <c r="G12" s="68">
        <v>524</v>
      </c>
      <c r="H12" s="68"/>
      <c r="I12" s="68"/>
      <c r="J12" s="68"/>
      <c r="K12" s="68"/>
      <c r="L12" s="68"/>
      <c r="M12" s="68"/>
      <c r="N12" s="68">
        <v>6134</v>
      </c>
      <c r="O12" s="68">
        <v>851</v>
      </c>
      <c r="P12" s="68">
        <v>690</v>
      </c>
      <c r="Q12" s="68">
        <v>4593</v>
      </c>
      <c r="R12" s="68">
        <v>2572</v>
      </c>
      <c r="S12" s="68">
        <v>252</v>
      </c>
      <c r="T12" s="68">
        <v>25</v>
      </c>
      <c r="U12" s="68">
        <v>2295</v>
      </c>
      <c r="V12" s="68">
        <v>1566</v>
      </c>
      <c r="W12" s="68">
        <v>219</v>
      </c>
      <c r="X12" s="68">
        <v>127</v>
      </c>
      <c r="Y12" s="68">
        <v>1220</v>
      </c>
      <c r="Z12" s="68">
        <v>1023</v>
      </c>
      <c r="AA12" s="68">
        <v>198</v>
      </c>
      <c r="AB12" s="68">
        <v>422</v>
      </c>
      <c r="AC12" s="68">
        <v>403</v>
      </c>
      <c r="AD12" s="68">
        <v>15</v>
      </c>
      <c r="AE12" s="68">
        <v>2</v>
      </c>
      <c r="AF12" s="68">
        <v>8</v>
      </c>
      <c r="AG12" s="68">
        <v>5</v>
      </c>
      <c r="AH12" s="68">
        <v>958</v>
      </c>
      <c r="AI12" s="68">
        <v>180</v>
      </c>
      <c r="AJ12" s="68">
        <v>108</v>
      </c>
      <c r="AK12" s="68">
        <v>670</v>
      </c>
      <c r="AL12" s="68">
        <v>13757</v>
      </c>
      <c r="AM12" s="68">
        <v>1725</v>
      </c>
      <c r="AN12" s="68">
        <v>1327</v>
      </c>
      <c r="AO12" s="68">
        <v>10705</v>
      </c>
      <c r="AP12" s="68">
        <v>7080</v>
      </c>
      <c r="AQ12" s="68">
        <v>770</v>
      </c>
      <c r="AR12" s="68">
        <v>289</v>
      </c>
      <c r="AS12" s="68">
        <v>6021</v>
      </c>
      <c r="AT12" s="68">
        <v>2914</v>
      </c>
      <c r="AU12" s="68">
        <v>411</v>
      </c>
      <c r="AV12" s="68">
        <v>253</v>
      </c>
      <c r="AW12" s="68">
        <v>2250</v>
      </c>
      <c r="AX12" s="68">
        <v>1679</v>
      </c>
      <c r="AY12" s="68">
        <v>364</v>
      </c>
      <c r="AZ12" s="68">
        <v>673</v>
      </c>
      <c r="BA12" s="68">
        <v>642</v>
      </c>
      <c r="BB12" s="68">
        <v>18</v>
      </c>
      <c r="BC12" s="68">
        <v>5</v>
      </c>
      <c r="BD12" s="68">
        <v>8</v>
      </c>
      <c r="BE12" s="68">
        <v>5</v>
      </c>
      <c r="BF12" s="68">
        <v>2066</v>
      </c>
      <c r="BG12" s="68">
        <v>175</v>
      </c>
      <c r="BH12" s="68">
        <v>104</v>
      </c>
      <c r="BI12" s="68">
        <v>1787</v>
      </c>
    </row>
    <row r="13" spans="1:61" s="18" customFormat="1" ht="15.75" customHeight="1">
      <c r="A13" s="63" t="s">
        <v>202</v>
      </c>
      <c r="B13" s="64" t="s">
        <v>223</v>
      </c>
      <c r="C13" s="67">
        <v>1516</v>
      </c>
      <c r="D13" s="67">
        <v>236</v>
      </c>
      <c r="E13" s="67">
        <v>1280</v>
      </c>
      <c r="F13" s="67">
        <v>1150</v>
      </c>
      <c r="G13" s="67">
        <v>130</v>
      </c>
      <c r="H13" s="67">
        <v>284</v>
      </c>
      <c r="I13" s="67">
        <v>6373</v>
      </c>
      <c r="J13" s="67">
        <v>0</v>
      </c>
      <c r="K13" s="67">
        <v>0</v>
      </c>
      <c r="L13" s="67">
        <v>284</v>
      </c>
      <c r="M13" s="67">
        <v>6373</v>
      </c>
      <c r="N13" s="67">
        <v>6219</v>
      </c>
      <c r="O13" s="67">
        <v>1355</v>
      </c>
      <c r="P13" s="67">
        <v>204</v>
      </c>
      <c r="Q13" s="67">
        <v>4660</v>
      </c>
      <c r="R13" s="67">
        <v>2430</v>
      </c>
      <c r="S13" s="67">
        <v>375</v>
      </c>
      <c r="T13" s="67">
        <v>14</v>
      </c>
      <c r="U13" s="67">
        <v>2041</v>
      </c>
      <c r="V13" s="67">
        <v>1757</v>
      </c>
      <c r="W13" s="67">
        <v>369</v>
      </c>
      <c r="X13" s="67">
        <v>58</v>
      </c>
      <c r="Y13" s="67">
        <v>1330</v>
      </c>
      <c r="Z13" s="67">
        <v>910</v>
      </c>
      <c r="AA13" s="67">
        <v>372</v>
      </c>
      <c r="AB13" s="67">
        <v>87</v>
      </c>
      <c r="AC13" s="67">
        <v>451</v>
      </c>
      <c r="AD13" s="67">
        <v>4</v>
      </c>
      <c r="AE13" s="67">
        <v>1</v>
      </c>
      <c r="AF13" s="67">
        <v>0</v>
      </c>
      <c r="AG13" s="67">
        <v>3</v>
      </c>
      <c r="AH13" s="67">
        <v>1118</v>
      </c>
      <c r="AI13" s="67">
        <v>238</v>
      </c>
      <c r="AJ13" s="67">
        <v>45</v>
      </c>
      <c r="AK13" s="67">
        <v>835</v>
      </c>
      <c r="AL13" s="67">
        <v>14081</v>
      </c>
      <c r="AM13" s="67">
        <v>2935</v>
      </c>
      <c r="AN13" s="67">
        <v>445</v>
      </c>
      <c r="AO13" s="67">
        <v>10701</v>
      </c>
      <c r="AP13" s="67">
        <v>5498</v>
      </c>
      <c r="AQ13" s="67">
        <v>834</v>
      </c>
      <c r="AR13" s="67">
        <v>34</v>
      </c>
      <c r="AS13" s="67">
        <v>4630</v>
      </c>
      <c r="AT13" s="67">
        <v>4034</v>
      </c>
      <c r="AU13" s="67">
        <v>810</v>
      </c>
      <c r="AV13" s="67">
        <v>136</v>
      </c>
      <c r="AW13" s="67">
        <v>3088</v>
      </c>
      <c r="AX13" s="67">
        <v>1874</v>
      </c>
      <c r="AY13" s="67">
        <v>757</v>
      </c>
      <c r="AZ13" s="67">
        <v>177</v>
      </c>
      <c r="BA13" s="67">
        <v>940</v>
      </c>
      <c r="BB13" s="67">
        <v>8</v>
      </c>
      <c r="BC13" s="67">
        <v>2</v>
      </c>
      <c r="BD13" s="67">
        <v>0</v>
      </c>
      <c r="BE13" s="67">
        <v>6</v>
      </c>
      <c r="BF13" s="67">
        <v>2667</v>
      </c>
      <c r="BG13" s="67">
        <v>532</v>
      </c>
      <c r="BH13" s="67">
        <v>98</v>
      </c>
      <c r="BI13" s="67">
        <v>2037</v>
      </c>
    </row>
    <row r="14" spans="1:61" s="18" customFormat="1" ht="15.75" customHeight="1">
      <c r="A14" s="345" t="s">
        <v>25</v>
      </c>
      <c r="B14" s="65" t="s">
        <v>224</v>
      </c>
      <c r="C14" s="68">
        <v>311</v>
      </c>
      <c r="D14" s="68">
        <v>48</v>
      </c>
      <c r="E14" s="68">
        <v>263</v>
      </c>
      <c r="F14" s="68">
        <v>236</v>
      </c>
      <c r="G14" s="68">
        <v>27</v>
      </c>
      <c r="H14" s="68"/>
      <c r="I14" s="68"/>
      <c r="J14" s="68"/>
      <c r="K14" s="68"/>
      <c r="L14" s="68"/>
      <c r="M14" s="68"/>
      <c r="N14" s="68">
        <v>2601</v>
      </c>
      <c r="O14" s="68">
        <v>719</v>
      </c>
      <c r="P14" s="68">
        <v>94</v>
      </c>
      <c r="Q14" s="68">
        <v>1788</v>
      </c>
      <c r="R14" s="68">
        <v>799</v>
      </c>
      <c r="S14" s="68">
        <v>175</v>
      </c>
      <c r="T14" s="68">
        <v>3</v>
      </c>
      <c r="U14" s="68">
        <v>621</v>
      </c>
      <c r="V14" s="68">
        <v>870</v>
      </c>
      <c r="W14" s="68">
        <v>210</v>
      </c>
      <c r="X14" s="68">
        <v>27</v>
      </c>
      <c r="Y14" s="68">
        <v>633</v>
      </c>
      <c r="Z14" s="68">
        <v>507</v>
      </c>
      <c r="AA14" s="68">
        <v>233</v>
      </c>
      <c r="AB14" s="68">
        <v>47</v>
      </c>
      <c r="AC14" s="68">
        <v>227</v>
      </c>
      <c r="AD14" s="68">
        <v>1</v>
      </c>
      <c r="AE14" s="68">
        <v>0</v>
      </c>
      <c r="AF14" s="68">
        <v>0</v>
      </c>
      <c r="AG14" s="68">
        <v>1</v>
      </c>
      <c r="AH14" s="68">
        <v>424</v>
      </c>
      <c r="AI14" s="68">
        <v>101</v>
      </c>
      <c r="AJ14" s="68">
        <v>17</v>
      </c>
      <c r="AK14" s="68">
        <v>306</v>
      </c>
      <c r="AL14" s="68">
        <v>6034</v>
      </c>
      <c r="AM14" s="68">
        <v>1575</v>
      </c>
      <c r="AN14" s="68">
        <v>209</v>
      </c>
      <c r="AO14" s="68">
        <v>4250</v>
      </c>
      <c r="AP14" s="68">
        <v>1877</v>
      </c>
      <c r="AQ14" s="68">
        <v>391</v>
      </c>
      <c r="AR14" s="68">
        <v>8</v>
      </c>
      <c r="AS14" s="68">
        <v>1478</v>
      </c>
      <c r="AT14" s="68">
        <v>2026</v>
      </c>
      <c r="AU14" s="68">
        <v>478</v>
      </c>
      <c r="AV14" s="68">
        <v>73</v>
      </c>
      <c r="AW14" s="68">
        <v>1475</v>
      </c>
      <c r="AX14" s="68">
        <v>1064</v>
      </c>
      <c r="AY14" s="68">
        <v>479</v>
      </c>
      <c r="AZ14" s="68">
        <v>94</v>
      </c>
      <c r="BA14" s="68">
        <v>491</v>
      </c>
      <c r="BB14" s="68">
        <v>1</v>
      </c>
      <c r="BC14" s="68">
        <v>0</v>
      </c>
      <c r="BD14" s="68">
        <v>0</v>
      </c>
      <c r="BE14" s="68">
        <v>1</v>
      </c>
      <c r="BF14" s="68">
        <v>1066</v>
      </c>
      <c r="BG14" s="68">
        <v>227</v>
      </c>
      <c r="BH14" s="68">
        <v>34</v>
      </c>
      <c r="BI14" s="68">
        <v>805</v>
      </c>
    </row>
    <row r="15" spans="1:61" s="18" customFormat="1" ht="15.75" customHeight="1">
      <c r="A15" s="346"/>
      <c r="B15" s="65" t="s">
        <v>225</v>
      </c>
      <c r="C15" s="68">
        <v>1205</v>
      </c>
      <c r="D15" s="68">
        <v>188</v>
      </c>
      <c r="E15" s="68">
        <v>1017</v>
      </c>
      <c r="F15" s="68">
        <v>914</v>
      </c>
      <c r="G15" s="68">
        <v>103</v>
      </c>
      <c r="H15" s="68"/>
      <c r="I15" s="68"/>
      <c r="J15" s="68"/>
      <c r="K15" s="68"/>
      <c r="L15" s="68"/>
      <c r="M15" s="68"/>
      <c r="N15" s="68">
        <v>3618</v>
      </c>
      <c r="O15" s="68">
        <v>636</v>
      </c>
      <c r="P15" s="68">
        <v>110</v>
      </c>
      <c r="Q15" s="68">
        <v>2872</v>
      </c>
      <c r="R15" s="68">
        <v>1631</v>
      </c>
      <c r="S15" s="68">
        <v>200</v>
      </c>
      <c r="T15" s="68">
        <v>11</v>
      </c>
      <c r="U15" s="68">
        <v>1420</v>
      </c>
      <c r="V15" s="68">
        <v>887</v>
      </c>
      <c r="W15" s="68">
        <v>159</v>
      </c>
      <c r="X15" s="68">
        <v>31</v>
      </c>
      <c r="Y15" s="68">
        <v>697</v>
      </c>
      <c r="Z15" s="68">
        <v>403</v>
      </c>
      <c r="AA15" s="68">
        <v>139</v>
      </c>
      <c r="AB15" s="68">
        <v>40</v>
      </c>
      <c r="AC15" s="68">
        <v>224</v>
      </c>
      <c r="AD15" s="68">
        <v>3</v>
      </c>
      <c r="AE15" s="68">
        <v>1</v>
      </c>
      <c r="AF15" s="68">
        <v>0</v>
      </c>
      <c r="AG15" s="68">
        <v>2</v>
      </c>
      <c r="AH15" s="68">
        <v>694</v>
      </c>
      <c r="AI15" s="68">
        <v>137</v>
      </c>
      <c r="AJ15" s="68">
        <v>28</v>
      </c>
      <c r="AK15" s="68">
        <v>529</v>
      </c>
      <c r="AL15" s="68">
        <v>8047</v>
      </c>
      <c r="AM15" s="68">
        <v>1360</v>
      </c>
      <c r="AN15" s="68">
        <v>236</v>
      </c>
      <c r="AO15" s="68">
        <v>6451</v>
      </c>
      <c r="AP15" s="68">
        <v>3621</v>
      </c>
      <c r="AQ15" s="68">
        <v>443</v>
      </c>
      <c r="AR15" s="68">
        <v>26</v>
      </c>
      <c r="AS15" s="68">
        <v>3152</v>
      </c>
      <c r="AT15" s="68">
        <v>2008</v>
      </c>
      <c r="AU15" s="68">
        <v>332</v>
      </c>
      <c r="AV15" s="68">
        <v>63</v>
      </c>
      <c r="AW15" s="68">
        <v>1613</v>
      </c>
      <c r="AX15" s="68">
        <v>810</v>
      </c>
      <c r="AY15" s="68">
        <v>278</v>
      </c>
      <c r="AZ15" s="68">
        <v>83</v>
      </c>
      <c r="BA15" s="68">
        <v>449</v>
      </c>
      <c r="BB15" s="68">
        <v>7</v>
      </c>
      <c r="BC15" s="68">
        <v>2</v>
      </c>
      <c r="BD15" s="68">
        <v>0</v>
      </c>
      <c r="BE15" s="68">
        <v>5</v>
      </c>
      <c r="BF15" s="68">
        <v>1601</v>
      </c>
      <c r="BG15" s="68">
        <v>305</v>
      </c>
      <c r="BH15" s="68">
        <v>64</v>
      </c>
      <c r="BI15" s="68">
        <v>1232</v>
      </c>
    </row>
    <row r="16" spans="1:61" s="18" customFormat="1" ht="15.75" customHeight="1">
      <c r="A16" s="63" t="s">
        <v>203</v>
      </c>
      <c r="B16" s="64" t="s">
        <v>223</v>
      </c>
      <c r="C16" s="67">
        <v>1391</v>
      </c>
      <c r="D16" s="67">
        <v>114</v>
      </c>
      <c r="E16" s="67">
        <v>1277</v>
      </c>
      <c r="F16" s="67">
        <v>658</v>
      </c>
      <c r="G16" s="67">
        <v>619</v>
      </c>
      <c r="H16" s="67">
        <v>160</v>
      </c>
      <c r="I16" s="67">
        <v>6575</v>
      </c>
      <c r="J16" s="67">
        <v>3</v>
      </c>
      <c r="K16" s="67">
        <v>133</v>
      </c>
      <c r="L16" s="67">
        <v>157</v>
      </c>
      <c r="M16" s="67">
        <v>6442</v>
      </c>
      <c r="N16" s="67">
        <v>6300</v>
      </c>
      <c r="O16" s="67">
        <v>1272</v>
      </c>
      <c r="P16" s="67">
        <v>924</v>
      </c>
      <c r="Q16" s="67">
        <v>4104</v>
      </c>
      <c r="R16" s="67">
        <v>2482</v>
      </c>
      <c r="S16" s="67">
        <v>377</v>
      </c>
      <c r="T16" s="67">
        <v>65</v>
      </c>
      <c r="U16" s="67">
        <v>2040</v>
      </c>
      <c r="V16" s="67">
        <v>1657</v>
      </c>
      <c r="W16" s="67">
        <v>311</v>
      </c>
      <c r="X16" s="67">
        <v>189</v>
      </c>
      <c r="Y16" s="67">
        <v>1157</v>
      </c>
      <c r="Z16" s="67">
        <v>1288</v>
      </c>
      <c r="AA16" s="67">
        <v>387</v>
      </c>
      <c r="AB16" s="67">
        <v>523</v>
      </c>
      <c r="AC16" s="67">
        <v>378</v>
      </c>
      <c r="AD16" s="67">
        <v>72</v>
      </c>
      <c r="AE16" s="67">
        <v>25</v>
      </c>
      <c r="AF16" s="67">
        <v>16</v>
      </c>
      <c r="AG16" s="67">
        <v>31</v>
      </c>
      <c r="AH16" s="67">
        <v>801</v>
      </c>
      <c r="AI16" s="67">
        <v>172</v>
      </c>
      <c r="AJ16" s="67">
        <v>131</v>
      </c>
      <c r="AK16" s="67">
        <v>498</v>
      </c>
      <c r="AL16" s="67">
        <v>7621</v>
      </c>
      <c r="AM16" s="67">
        <v>1433</v>
      </c>
      <c r="AN16" s="67">
        <v>1031</v>
      </c>
      <c r="AO16" s="67">
        <v>5157</v>
      </c>
      <c r="AP16" s="67">
        <v>3075</v>
      </c>
      <c r="AQ16" s="67">
        <v>434</v>
      </c>
      <c r="AR16" s="67">
        <v>74</v>
      </c>
      <c r="AS16" s="67">
        <v>2567</v>
      </c>
      <c r="AT16" s="67">
        <v>2038</v>
      </c>
      <c r="AU16" s="67">
        <v>355</v>
      </c>
      <c r="AV16" s="67">
        <v>211</v>
      </c>
      <c r="AW16" s="67">
        <v>1472</v>
      </c>
      <c r="AX16" s="67">
        <v>1439</v>
      </c>
      <c r="AY16" s="67">
        <v>423</v>
      </c>
      <c r="AZ16" s="67">
        <v>577</v>
      </c>
      <c r="BA16" s="67">
        <v>439</v>
      </c>
      <c r="BB16" s="67">
        <v>77</v>
      </c>
      <c r="BC16" s="67">
        <v>26</v>
      </c>
      <c r="BD16" s="67">
        <v>18</v>
      </c>
      <c r="BE16" s="67">
        <v>33</v>
      </c>
      <c r="BF16" s="67">
        <v>992</v>
      </c>
      <c r="BG16" s="67">
        <v>195</v>
      </c>
      <c r="BH16" s="67">
        <v>151</v>
      </c>
      <c r="BI16" s="67">
        <v>646</v>
      </c>
    </row>
    <row r="17" spans="1:61" s="18" customFormat="1" ht="15.75" customHeight="1">
      <c r="A17" s="345" t="s">
        <v>49</v>
      </c>
      <c r="B17" s="65" t="s">
        <v>224</v>
      </c>
      <c r="C17" s="68">
        <v>133</v>
      </c>
      <c r="D17" s="68">
        <v>9</v>
      </c>
      <c r="E17" s="68">
        <v>124</v>
      </c>
      <c r="F17" s="68">
        <v>61</v>
      </c>
      <c r="G17" s="68">
        <v>63</v>
      </c>
      <c r="H17" s="68"/>
      <c r="I17" s="68"/>
      <c r="J17" s="68"/>
      <c r="K17" s="68"/>
      <c r="L17" s="68"/>
      <c r="M17" s="68"/>
      <c r="N17" s="68">
        <v>2832</v>
      </c>
      <c r="O17" s="68">
        <v>674</v>
      </c>
      <c r="P17" s="68">
        <v>478</v>
      </c>
      <c r="Q17" s="68">
        <v>1680</v>
      </c>
      <c r="R17" s="68">
        <v>894</v>
      </c>
      <c r="S17" s="68">
        <v>158</v>
      </c>
      <c r="T17" s="68">
        <v>31</v>
      </c>
      <c r="U17" s="68">
        <v>705</v>
      </c>
      <c r="V17" s="68">
        <v>818</v>
      </c>
      <c r="W17" s="68">
        <v>169</v>
      </c>
      <c r="X17" s="68">
        <v>101</v>
      </c>
      <c r="Y17" s="68">
        <v>548</v>
      </c>
      <c r="Z17" s="68">
        <v>742</v>
      </c>
      <c r="AA17" s="68">
        <v>250</v>
      </c>
      <c r="AB17" s="68">
        <v>283</v>
      </c>
      <c r="AC17" s="68">
        <v>209</v>
      </c>
      <c r="AD17" s="68">
        <v>38</v>
      </c>
      <c r="AE17" s="68">
        <v>19</v>
      </c>
      <c r="AF17" s="68">
        <v>5</v>
      </c>
      <c r="AG17" s="68">
        <v>14</v>
      </c>
      <c r="AH17" s="68">
        <v>340</v>
      </c>
      <c r="AI17" s="68">
        <v>78</v>
      </c>
      <c r="AJ17" s="68">
        <v>58</v>
      </c>
      <c r="AK17" s="68">
        <v>204</v>
      </c>
      <c r="AL17" s="68">
        <v>3435</v>
      </c>
      <c r="AM17" s="68">
        <v>761</v>
      </c>
      <c r="AN17" s="68">
        <v>541</v>
      </c>
      <c r="AO17" s="68">
        <v>2133</v>
      </c>
      <c r="AP17" s="68">
        <v>1128</v>
      </c>
      <c r="AQ17" s="68">
        <v>185</v>
      </c>
      <c r="AR17" s="68">
        <v>35</v>
      </c>
      <c r="AS17" s="68">
        <v>908</v>
      </c>
      <c r="AT17" s="68">
        <v>1003</v>
      </c>
      <c r="AU17" s="68">
        <v>192</v>
      </c>
      <c r="AV17" s="68">
        <v>113</v>
      </c>
      <c r="AW17" s="68">
        <v>698</v>
      </c>
      <c r="AX17" s="68">
        <v>837</v>
      </c>
      <c r="AY17" s="68">
        <v>275</v>
      </c>
      <c r="AZ17" s="68">
        <v>317</v>
      </c>
      <c r="BA17" s="68">
        <v>245</v>
      </c>
      <c r="BB17" s="68">
        <v>39</v>
      </c>
      <c r="BC17" s="68">
        <v>19</v>
      </c>
      <c r="BD17" s="68">
        <v>6</v>
      </c>
      <c r="BE17" s="68">
        <v>14</v>
      </c>
      <c r="BF17" s="68">
        <v>428</v>
      </c>
      <c r="BG17" s="68">
        <v>90</v>
      </c>
      <c r="BH17" s="68">
        <v>70</v>
      </c>
      <c r="BI17" s="68">
        <v>268</v>
      </c>
    </row>
    <row r="18" spans="1:61" s="18" customFormat="1" ht="15.75" customHeight="1">
      <c r="A18" s="346"/>
      <c r="B18" s="65" t="s">
        <v>225</v>
      </c>
      <c r="C18" s="68">
        <v>1258</v>
      </c>
      <c r="D18" s="68">
        <v>105</v>
      </c>
      <c r="E18" s="68">
        <v>1153</v>
      </c>
      <c r="F18" s="68">
        <v>597</v>
      </c>
      <c r="G18" s="68">
        <v>556</v>
      </c>
      <c r="H18" s="68"/>
      <c r="I18" s="68"/>
      <c r="J18" s="68"/>
      <c r="K18" s="68"/>
      <c r="L18" s="68"/>
      <c r="M18" s="68"/>
      <c r="N18" s="68">
        <v>3468</v>
      </c>
      <c r="O18" s="68">
        <v>598</v>
      </c>
      <c r="P18" s="68">
        <v>446</v>
      </c>
      <c r="Q18" s="68">
        <v>2424</v>
      </c>
      <c r="R18" s="68">
        <v>1588</v>
      </c>
      <c r="S18" s="68">
        <v>219</v>
      </c>
      <c r="T18" s="68">
        <v>34</v>
      </c>
      <c r="U18" s="68">
        <v>1335</v>
      </c>
      <c r="V18" s="68">
        <v>839</v>
      </c>
      <c r="W18" s="68">
        <v>142</v>
      </c>
      <c r="X18" s="68">
        <v>88</v>
      </c>
      <c r="Y18" s="68">
        <v>609</v>
      </c>
      <c r="Z18" s="68">
        <v>546</v>
      </c>
      <c r="AA18" s="68">
        <v>137</v>
      </c>
      <c r="AB18" s="68">
        <v>240</v>
      </c>
      <c r="AC18" s="68">
        <v>169</v>
      </c>
      <c r="AD18" s="68">
        <v>34</v>
      </c>
      <c r="AE18" s="68">
        <v>6</v>
      </c>
      <c r="AF18" s="68">
        <v>11</v>
      </c>
      <c r="AG18" s="68">
        <v>17</v>
      </c>
      <c r="AH18" s="68">
        <v>461</v>
      </c>
      <c r="AI18" s="68">
        <v>94</v>
      </c>
      <c r="AJ18" s="68">
        <v>73</v>
      </c>
      <c r="AK18" s="68">
        <v>294</v>
      </c>
      <c r="AL18" s="68">
        <v>4186</v>
      </c>
      <c r="AM18" s="68">
        <v>672</v>
      </c>
      <c r="AN18" s="68">
        <v>490</v>
      </c>
      <c r="AO18" s="68">
        <v>3024</v>
      </c>
      <c r="AP18" s="68">
        <v>1947</v>
      </c>
      <c r="AQ18" s="68">
        <v>249</v>
      </c>
      <c r="AR18" s="68">
        <v>39</v>
      </c>
      <c r="AS18" s="68">
        <v>1659</v>
      </c>
      <c r="AT18" s="68">
        <v>1035</v>
      </c>
      <c r="AU18" s="68">
        <v>163</v>
      </c>
      <c r="AV18" s="68">
        <v>98</v>
      </c>
      <c r="AW18" s="68">
        <v>774</v>
      </c>
      <c r="AX18" s="68">
        <v>602</v>
      </c>
      <c r="AY18" s="68">
        <v>148</v>
      </c>
      <c r="AZ18" s="68">
        <v>260</v>
      </c>
      <c r="BA18" s="68">
        <v>194</v>
      </c>
      <c r="BB18" s="68">
        <v>38</v>
      </c>
      <c r="BC18" s="68">
        <v>7</v>
      </c>
      <c r="BD18" s="68">
        <v>12</v>
      </c>
      <c r="BE18" s="68">
        <v>19</v>
      </c>
      <c r="BF18" s="68">
        <v>564</v>
      </c>
      <c r="BG18" s="68">
        <v>105</v>
      </c>
      <c r="BH18" s="68">
        <v>81</v>
      </c>
      <c r="BI18" s="68">
        <v>378</v>
      </c>
    </row>
    <row r="19" spans="1:61" s="18" customFormat="1" ht="15.75" customHeight="1">
      <c r="A19" s="63" t="s">
        <v>204</v>
      </c>
      <c r="B19" s="64" t="s">
        <v>223</v>
      </c>
      <c r="C19" s="67">
        <v>2206</v>
      </c>
      <c r="D19" s="67">
        <v>234</v>
      </c>
      <c r="E19" s="67">
        <v>1972</v>
      </c>
      <c r="F19" s="67">
        <v>373</v>
      </c>
      <c r="G19" s="67">
        <v>1599</v>
      </c>
      <c r="H19" s="67">
        <v>354</v>
      </c>
      <c r="I19" s="67">
        <v>2126</v>
      </c>
      <c r="J19" s="67">
        <v>58</v>
      </c>
      <c r="K19" s="67">
        <v>58</v>
      </c>
      <c r="L19" s="67">
        <v>296</v>
      </c>
      <c r="M19" s="67">
        <v>2068</v>
      </c>
      <c r="N19" s="67">
        <v>13480</v>
      </c>
      <c r="O19" s="67">
        <v>4126</v>
      </c>
      <c r="P19" s="67">
        <v>887</v>
      </c>
      <c r="Q19" s="67">
        <v>8467</v>
      </c>
      <c r="R19" s="67">
        <v>5060</v>
      </c>
      <c r="S19" s="67">
        <v>892</v>
      </c>
      <c r="T19" s="67">
        <v>100</v>
      </c>
      <c r="U19" s="67">
        <v>4068</v>
      </c>
      <c r="V19" s="67">
        <v>3858</v>
      </c>
      <c r="W19" s="67">
        <v>1048</v>
      </c>
      <c r="X19" s="67">
        <v>306</v>
      </c>
      <c r="Y19" s="67">
        <v>2504</v>
      </c>
      <c r="Z19" s="67">
        <v>2686</v>
      </c>
      <c r="AA19" s="67">
        <v>1533</v>
      </c>
      <c r="AB19" s="67">
        <v>347</v>
      </c>
      <c r="AC19" s="67">
        <v>806</v>
      </c>
      <c r="AD19" s="67">
        <v>51</v>
      </c>
      <c r="AE19" s="67">
        <v>23</v>
      </c>
      <c r="AF19" s="67">
        <v>9</v>
      </c>
      <c r="AG19" s="67">
        <v>19</v>
      </c>
      <c r="AH19" s="67">
        <v>1825</v>
      </c>
      <c r="AI19" s="67">
        <v>630</v>
      </c>
      <c r="AJ19" s="67">
        <v>125</v>
      </c>
      <c r="AK19" s="67">
        <v>1070</v>
      </c>
      <c r="AL19" s="67">
        <v>29414</v>
      </c>
      <c r="AM19" s="67">
        <v>8338</v>
      </c>
      <c r="AN19" s="67">
        <v>1886</v>
      </c>
      <c r="AO19" s="67">
        <v>19190</v>
      </c>
      <c r="AP19" s="67">
        <v>10929</v>
      </c>
      <c r="AQ19" s="67">
        <v>1784</v>
      </c>
      <c r="AR19" s="67">
        <v>230</v>
      </c>
      <c r="AS19" s="67">
        <v>8915</v>
      </c>
      <c r="AT19" s="67">
        <v>8895</v>
      </c>
      <c r="AU19" s="67">
        <v>2166</v>
      </c>
      <c r="AV19" s="67">
        <v>641</v>
      </c>
      <c r="AW19" s="67">
        <v>6088</v>
      </c>
      <c r="AX19" s="67">
        <v>5452</v>
      </c>
      <c r="AY19" s="67">
        <v>3050</v>
      </c>
      <c r="AZ19" s="67">
        <v>725</v>
      </c>
      <c r="BA19" s="67">
        <v>1677</v>
      </c>
      <c r="BB19" s="67">
        <v>110</v>
      </c>
      <c r="BC19" s="67">
        <v>47</v>
      </c>
      <c r="BD19" s="67">
        <v>16</v>
      </c>
      <c r="BE19" s="67">
        <v>47</v>
      </c>
      <c r="BF19" s="67">
        <v>4028</v>
      </c>
      <c r="BG19" s="67">
        <v>1291</v>
      </c>
      <c r="BH19" s="67">
        <v>274</v>
      </c>
      <c r="BI19" s="67">
        <v>2463</v>
      </c>
    </row>
    <row r="20" spans="1:61" s="18" customFormat="1" ht="15.75" customHeight="1">
      <c r="A20" s="345" t="s">
        <v>26</v>
      </c>
      <c r="B20" s="65" t="s">
        <v>224</v>
      </c>
      <c r="C20" s="68">
        <v>455</v>
      </c>
      <c r="D20" s="68">
        <v>37</v>
      </c>
      <c r="E20" s="68">
        <v>418</v>
      </c>
      <c r="F20" s="68">
        <v>228</v>
      </c>
      <c r="G20" s="68">
        <v>190</v>
      </c>
      <c r="H20" s="68"/>
      <c r="I20" s="68"/>
      <c r="J20" s="68"/>
      <c r="K20" s="68"/>
      <c r="L20" s="68"/>
      <c r="M20" s="68"/>
      <c r="N20" s="68">
        <v>5749</v>
      </c>
      <c r="O20" s="68">
        <v>2057</v>
      </c>
      <c r="P20" s="68">
        <v>423</v>
      </c>
      <c r="Q20" s="68">
        <v>3269</v>
      </c>
      <c r="R20" s="68">
        <v>1623</v>
      </c>
      <c r="S20" s="68">
        <v>317</v>
      </c>
      <c r="T20" s="68">
        <v>27</v>
      </c>
      <c r="U20" s="68">
        <v>1279</v>
      </c>
      <c r="V20" s="68">
        <v>1827</v>
      </c>
      <c r="W20" s="68">
        <v>528</v>
      </c>
      <c r="X20" s="68">
        <v>149</v>
      </c>
      <c r="Y20" s="68">
        <v>1150</v>
      </c>
      <c r="Z20" s="68">
        <v>1529</v>
      </c>
      <c r="AA20" s="68">
        <v>914</v>
      </c>
      <c r="AB20" s="68">
        <v>189</v>
      </c>
      <c r="AC20" s="68">
        <v>426</v>
      </c>
      <c r="AD20" s="68">
        <v>27</v>
      </c>
      <c r="AE20" s="68">
        <v>11</v>
      </c>
      <c r="AF20" s="68">
        <v>5</v>
      </c>
      <c r="AG20" s="68">
        <v>11</v>
      </c>
      <c r="AH20" s="68">
        <v>743</v>
      </c>
      <c r="AI20" s="68">
        <v>287</v>
      </c>
      <c r="AJ20" s="68">
        <v>53</v>
      </c>
      <c r="AK20" s="68">
        <v>403</v>
      </c>
      <c r="AL20" s="68">
        <v>12708</v>
      </c>
      <c r="AM20" s="68">
        <v>4201</v>
      </c>
      <c r="AN20" s="68">
        <v>903</v>
      </c>
      <c r="AO20" s="68">
        <v>7604</v>
      </c>
      <c r="AP20" s="68">
        <v>3606</v>
      </c>
      <c r="AQ20" s="68">
        <v>645</v>
      </c>
      <c r="AR20" s="68">
        <v>62</v>
      </c>
      <c r="AS20" s="68">
        <v>2899</v>
      </c>
      <c r="AT20" s="68">
        <v>4266</v>
      </c>
      <c r="AU20" s="68">
        <v>1118</v>
      </c>
      <c r="AV20" s="68">
        <v>309</v>
      </c>
      <c r="AW20" s="68">
        <v>2839</v>
      </c>
      <c r="AX20" s="68">
        <v>3120</v>
      </c>
      <c r="AY20" s="68">
        <v>1829</v>
      </c>
      <c r="AZ20" s="68">
        <v>402</v>
      </c>
      <c r="BA20" s="68">
        <v>889</v>
      </c>
      <c r="BB20" s="68">
        <v>57</v>
      </c>
      <c r="BC20" s="68">
        <v>21</v>
      </c>
      <c r="BD20" s="68">
        <v>10</v>
      </c>
      <c r="BE20" s="68">
        <v>26</v>
      </c>
      <c r="BF20" s="68">
        <v>1659</v>
      </c>
      <c r="BG20" s="68">
        <v>588</v>
      </c>
      <c r="BH20" s="68">
        <v>120</v>
      </c>
      <c r="BI20" s="68">
        <v>951</v>
      </c>
    </row>
    <row r="21" spans="1:61" s="18" customFormat="1" ht="15.75" customHeight="1">
      <c r="A21" s="346"/>
      <c r="B21" s="65" t="s">
        <v>225</v>
      </c>
      <c r="C21" s="68">
        <v>1751</v>
      </c>
      <c r="D21" s="68">
        <v>197</v>
      </c>
      <c r="E21" s="68">
        <v>1554</v>
      </c>
      <c r="F21" s="68">
        <v>145</v>
      </c>
      <c r="G21" s="68">
        <v>1409</v>
      </c>
      <c r="H21" s="68"/>
      <c r="I21" s="68"/>
      <c r="J21" s="68"/>
      <c r="K21" s="68"/>
      <c r="L21" s="68"/>
      <c r="M21" s="68"/>
      <c r="N21" s="68">
        <v>7731</v>
      </c>
      <c r="O21" s="68">
        <v>2069</v>
      </c>
      <c r="P21" s="68">
        <v>464</v>
      </c>
      <c r="Q21" s="68">
        <v>5198</v>
      </c>
      <c r="R21" s="68">
        <v>3437</v>
      </c>
      <c r="S21" s="68">
        <v>575</v>
      </c>
      <c r="T21" s="68">
        <v>73</v>
      </c>
      <c r="U21" s="68">
        <v>2789</v>
      </c>
      <c r="V21" s="68">
        <v>2031</v>
      </c>
      <c r="W21" s="68">
        <v>520</v>
      </c>
      <c r="X21" s="68">
        <v>157</v>
      </c>
      <c r="Y21" s="68">
        <v>1354</v>
      </c>
      <c r="Z21" s="68">
        <v>1157</v>
      </c>
      <c r="AA21" s="68">
        <v>619</v>
      </c>
      <c r="AB21" s="68">
        <v>158</v>
      </c>
      <c r="AC21" s="68">
        <v>380</v>
      </c>
      <c r="AD21" s="68">
        <v>24</v>
      </c>
      <c r="AE21" s="68">
        <v>12</v>
      </c>
      <c r="AF21" s="68">
        <v>4</v>
      </c>
      <c r="AG21" s="68">
        <v>8</v>
      </c>
      <c r="AH21" s="68">
        <v>1082</v>
      </c>
      <c r="AI21" s="68">
        <v>343</v>
      </c>
      <c r="AJ21" s="68">
        <v>72</v>
      </c>
      <c r="AK21" s="68">
        <v>667</v>
      </c>
      <c r="AL21" s="68">
        <v>16706</v>
      </c>
      <c r="AM21" s="68">
        <v>4137</v>
      </c>
      <c r="AN21" s="68">
        <v>983</v>
      </c>
      <c r="AO21" s="68">
        <v>11586</v>
      </c>
      <c r="AP21" s="68">
        <v>7323</v>
      </c>
      <c r="AQ21" s="68">
        <v>1139</v>
      </c>
      <c r="AR21" s="68">
        <v>168</v>
      </c>
      <c r="AS21" s="68">
        <v>6016</v>
      </c>
      <c r="AT21" s="68">
        <v>4629</v>
      </c>
      <c r="AU21" s="68">
        <v>1048</v>
      </c>
      <c r="AV21" s="68">
        <v>332</v>
      </c>
      <c r="AW21" s="68">
        <v>3249</v>
      </c>
      <c r="AX21" s="68">
        <v>2332</v>
      </c>
      <c r="AY21" s="68">
        <v>1221</v>
      </c>
      <c r="AZ21" s="68">
        <v>323</v>
      </c>
      <c r="BA21" s="68">
        <v>788</v>
      </c>
      <c r="BB21" s="68">
        <v>53</v>
      </c>
      <c r="BC21" s="68">
        <v>26</v>
      </c>
      <c r="BD21" s="68">
        <v>6</v>
      </c>
      <c r="BE21" s="68">
        <v>21</v>
      </c>
      <c r="BF21" s="68">
        <v>2369</v>
      </c>
      <c r="BG21" s="68">
        <v>703</v>
      </c>
      <c r="BH21" s="68">
        <v>154</v>
      </c>
      <c r="BI21" s="68">
        <v>1512</v>
      </c>
    </row>
    <row r="22" spans="1:61" s="18" customFormat="1" ht="15.75" customHeight="1">
      <c r="A22" s="63" t="s">
        <v>205</v>
      </c>
      <c r="B22" s="64" t="s">
        <v>223</v>
      </c>
      <c r="C22" s="67">
        <v>2045</v>
      </c>
      <c r="D22" s="67">
        <v>210</v>
      </c>
      <c r="E22" s="67">
        <v>1835</v>
      </c>
      <c r="F22" s="67">
        <v>968</v>
      </c>
      <c r="G22" s="67">
        <v>867</v>
      </c>
      <c r="H22" s="67">
        <v>131</v>
      </c>
      <c r="I22" s="67">
        <v>4694</v>
      </c>
      <c r="J22" s="67">
        <v>1</v>
      </c>
      <c r="K22" s="67">
        <v>35</v>
      </c>
      <c r="L22" s="67">
        <v>130</v>
      </c>
      <c r="M22" s="67">
        <v>4659</v>
      </c>
      <c r="N22" s="67">
        <v>10123</v>
      </c>
      <c r="O22" s="67">
        <v>1631</v>
      </c>
      <c r="P22" s="67">
        <v>1339</v>
      </c>
      <c r="Q22" s="67">
        <v>7153</v>
      </c>
      <c r="R22" s="67">
        <v>4214</v>
      </c>
      <c r="S22" s="67">
        <v>471</v>
      </c>
      <c r="T22" s="67">
        <v>65</v>
      </c>
      <c r="U22" s="67">
        <v>3678</v>
      </c>
      <c r="V22" s="67">
        <v>2939</v>
      </c>
      <c r="W22" s="67">
        <v>425</v>
      </c>
      <c r="X22" s="67">
        <v>399</v>
      </c>
      <c r="Y22" s="67">
        <v>2115</v>
      </c>
      <c r="Z22" s="67">
        <v>1456</v>
      </c>
      <c r="AA22" s="67">
        <v>425</v>
      </c>
      <c r="AB22" s="67">
        <v>659</v>
      </c>
      <c r="AC22" s="67">
        <v>372</v>
      </c>
      <c r="AD22" s="67">
        <v>5</v>
      </c>
      <c r="AE22" s="67">
        <v>1</v>
      </c>
      <c r="AF22" s="67">
        <v>2</v>
      </c>
      <c r="AG22" s="67">
        <v>2</v>
      </c>
      <c r="AH22" s="67">
        <v>1509</v>
      </c>
      <c r="AI22" s="67">
        <v>309</v>
      </c>
      <c r="AJ22" s="67">
        <v>214</v>
      </c>
      <c r="AK22" s="67">
        <v>986</v>
      </c>
      <c r="AL22" s="67">
        <v>17008</v>
      </c>
      <c r="AM22" s="67">
        <v>2491</v>
      </c>
      <c r="AN22" s="67">
        <v>1994</v>
      </c>
      <c r="AO22" s="67">
        <v>12523</v>
      </c>
      <c r="AP22" s="67">
        <v>6920</v>
      </c>
      <c r="AQ22" s="67">
        <v>732</v>
      </c>
      <c r="AR22" s="67">
        <v>93</v>
      </c>
      <c r="AS22" s="67">
        <v>6095</v>
      </c>
      <c r="AT22" s="67">
        <v>5305</v>
      </c>
      <c r="AU22" s="67">
        <v>804</v>
      </c>
      <c r="AV22" s="67">
        <v>664</v>
      </c>
      <c r="AW22" s="67">
        <v>3837</v>
      </c>
      <c r="AX22" s="67">
        <v>2417</v>
      </c>
      <c r="AY22" s="67">
        <v>717</v>
      </c>
      <c r="AZ22" s="67">
        <v>1031</v>
      </c>
      <c r="BA22" s="67">
        <v>669</v>
      </c>
      <c r="BB22" s="67">
        <v>12</v>
      </c>
      <c r="BC22" s="67">
        <v>4</v>
      </c>
      <c r="BD22" s="67">
        <v>4</v>
      </c>
      <c r="BE22" s="67">
        <v>4</v>
      </c>
      <c r="BF22" s="67">
        <v>2354</v>
      </c>
      <c r="BG22" s="67">
        <v>234</v>
      </c>
      <c r="BH22" s="67">
        <v>202</v>
      </c>
      <c r="BI22" s="67">
        <v>1918</v>
      </c>
    </row>
    <row r="23" spans="1:61" s="18" customFormat="1" ht="15.75" customHeight="1">
      <c r="A23" s="345" t="s">
        <v>27</v>
      </c>
      <c r="B23" s="65" t="s">
        <v>224</v>
      </c>
      <c r="C23" s="68">
        <v>286</v>
      </c>
      <c r="D23" s="68">
        <v>24</v>
      </c>
      <c r="E23" s="68">
        <v>262</v>
      </c>
      <c r="F23" s="68">
        <v>121</v>
      </c>
      <c r="G23" s="68">
        <v>141</v>
      </c>
      <c r="H23" s="68"/>
      <c r="I23" s="68"/>
      <c r="J23" s="68"/>
      <c r="K23" s="68"/>
      <c r="L23" s="68"/>
      <c r="M23" s="68"/>
      <c r="N23" s="68">
        <v>4078</v>
      </c>
      <c r="O23" s="68">
        <v>848</v>
      </c>
      <c r="P23" s="68">
        <v>662</v>
      </c>
      <c r="Q23" s="68">
        <v>2568</v>
      </c>
      <c r="R23" s="68">
        <v>1379</v>
      </c>
      <c r="S23" s="68">
        <v>203</v>
      </c>
      <c r="T23" s="68">
        <v>15</v>
      </c>
      <c r="U23" s="68">
        <v>1161</v>
      </c>
      <c r="V23" s="68">
        <v>1255</v>
      </c>
      <c r="W23" s="68">
        <v>196</v>
      </c>
      <c r="X23" s="68">
        <v>179</v>
      </c>
      <c r="Y23" s="68">
        <v>880</v>
      </c>
      <c r="Z23" s="68">
        <v>862</v>
      </c>
      <c r="AA23" s="68">
        <v>296</v>
      </c>
      <c r="AB23" s="68">
        <v>365</v>
      </c>
      <c r="AC23" s="68">
        <v>201</v>
      </c>
      <c r="AD23" s="68">
        <v>2</v>
      </c>
      <c r="AE23" s="68">
        <v>0</v>
      </c>
      <c r="AF23" s="68">
        <v>1</v>
      </c>
      <c r="AG23" s="68">
        <v>1</v>
      </c>
      <c r="AH23" s="68">
        <v>580</v>
      </c>
      <c r="AI23" s="68">
        <v>153</v>
      </c>
      <c r="AJ23" s="68">
        <v>102</v>
      </c>
      <c r="AK23" s="68">
        <v>325</v>
      </c>
      <c r="AL23" s="68">
        <v>6857</v>
      </c>
      <c r="AM23" s="68">
        <v>1276</v>
      </c>
      <c r="AN23" s="68">
        <v>1009</v>
      </c>
      <c r="AO23" s="68">
        <v>4572</v>
      </c>
      <c r="AP23" s="68">
        <v>2306</v>
      </c>
      <c r="AQ23" s="68">
        <v>317</v>
      </c>
      <c r="AR23" s="68">
        <v>20</v>
      </c>
      <c r="AS23" s="68">
        <v>1969</v>
      </c>
      <c r="AT23" s="68">
        <v>2273</v>
      </c>
      <c r="AU23" s="68">
        <v>381</v>
      </c>
      <c r="AV23" s="68">
        <v>313</v>
      </c>
      <c r="AW23" s="68">
        <v>1579</v>
      </c>
      <c r="AX23" s="68">
        <v>1432</v>
      </c>
      <c r="AY23" s="68">
        <v>488</v>
      </c>
      <c r="AZ23" s="68">
        <v>591</v>
      </c>
      <c r="BA23" s="68">
        <v>353</v>
      </c>
      <c r="BB23" s="68">
        <v>2</v>
      </c>
      <c r="BC23" s="68">
        <v>0</v>
      </c>
      <c r="BD23" s="68">
        <v>1</v>
      </c>
      <c r="BE23" s="68">
        <v>1</v>
      </c>
      <c r="BF23" s="68">
        <v>844</v>
      </c>
      <c r="BG23" s="68">
        <v>90</v>
      </c>
      <c r="BH23" s="68">
        <v>84</v>
      </c>
      <c r="BI23" s="68">
        <v>670</v>
      </c>
    </row>
    <row r="24" spans="1:61" s="18" customFormat="1" ht="15.75" customHeight="1">
      <c r="A24" s="346"/>
      <c r="B24" s="65" t="s">
        <v>225</v>
      </c>
      <c r="C24" s="68">
        <v>1759</v>
      </c>
      <c r="D24" s="68">
        <v>186</v>
      </c>
      <c r="E24" s="68">
        <v>1573</v>
      </c>
      <c r="F24" s="68">
        <v>847</v>
      </c>
      <c r="G24" s="68">
        <v>726</v>
      </c>
      <c r="H24" s="68"/>
      <c r="I24" s="68"/>
      <c r="J24" s="68"/>
      <c r="K24" s="68"/>
      <c r="L24" s="68"/>
      <c r="M24" s="68"/>
      <c r="N24" s="68">
        <v>6045</v>
      </c>
      <c r="O24" s="68">
        <v>783</v>
      </c>
      <c r="P24" s="68">
        <v>677</v>
      </c>
      <c r="Q24" s="68">
        <v>4585</v>
      </c>
      <c r="R24" s="68">
        <v>2835</v>
      </c>
      <c r="S24" s="68">
        <v>268</v>
      </c>
      <c r="T24" s="68">
        <v>50</v>
      </c>
      <c r="U24" s="68">
        <v>2517</v>
      </c>
      <c r="V24" s="68">
        <v>1684</v>
      </c>
      <c r="W24" s="68">
        <v>229</v>
      </c>
      <c r="X24" s="68">
        <v>220</v>
      </c>
      <c r="Y24" s="68">
        <v>1235</v>
      </c>
      <c r="Z24" s="68">
        <v>594</v>
      </c>
      <c r="AA24" s="68">
        <v>129</v>
      </c>
      <c r="AB24" s="68">
        <v>294</v>
      </c>
      <c r="AC24" s="68">
        <v>171</v>
      </c>
      <c r="AD24" s="68">
        <v>3</v>
      </c>
      <c r="AE24" s="68">
        <v>1</v>
      </c>
      <c r="AF24" s="68">
        <v>1</v>
      </c>
      <c r="AG24" s="68">
        <v>1</v>
      </c>
      <c r="AH24" s="68">
        <v>929</v>
      </c>
      <c r="AI24" s="68">
        <v>156</v>
      </c>
      <c r="AJ24" s="68">
        <v>112</v>
      </c>
      <c r="AK24" s="68">
        <v>661</v>
      </c>
      <c r="AL24" s="68">
        <v>10151</v>
      </c>
      <c r="AM24" s="68">
        <v>1215</v>
      </c>
      <c r="AN24" s="68">
        <v>985</v>
      </c>
      <c r="AO24" s="68">
        <v>7951</v>
      </c>
      <c r="AP24" s="68">
        <v>4614</v>
      </c>
      <c r="AQ24" s="68">
        <v>415</v>
      </c>
      <c r="AR24" s="68">
        <v>73</v>
      </c>
      <c r="AS24" s="68">
        <v>4126</v>
      </c>
      <c r="AT24" s="68">
        <v>3032</v>
      </c>
      <c r="AU24" s="68">
        <v>423</v>
      </c>
      <c r="AV24" s="68">
        <v>351</v>
      </c>
      <c r="AW24" s="68">
        <v>2258</v>
      </c>
      <c r="AX24" s="68">
        <v>985</v>
      </c>
      <c r="AY24" s="68">
        <v>229</v>
      </c>
      <c r="AZ24" s="68">
        <v>440</v>
      </c>
      <c r="BA24" s="68">
        <v>316</v>
      </c>
      <c r="BB24" s="68">
        <v>10</v>
      </c>
      <c r="BC24" s="68">
        <v>4</v>
      </c>
      <c r="BD24" s="68">
        <v>3</v>
      </c>
      <c r="BE24" s="68">
        <v>3</v>
      </c>
      <c r="BF24" s="68">
        <v>1510</v>
      </c>
      <c r="BG24" s="68">
        <v>144</v>
      </c>
      <c r="BH24" s="68">
        <v>118</v>
      </c>
      <c r="BI24" s="68">
        <v>1248</v>
      </c>
    </row>
    <row r="25" spans="1:61" s="18" customFormat="1" ht="15.75" customHeight="1">
      <c r="A25" s="63" t="s">
        <v>206</v>
      </c>
      <c r="B25" s="64" t="s">
        <v>223</v>
      </c>
      <c r="C25" s="67">
        <v>3566</v>
      </c>
      <c r="D25" s="67">
        <v>326</v>
      </c>
      <c r="E25" s="67">
        <v>3240</v>
      </c>
      <c r="F25" s="67">
        <v>1762</v>
      </c>
      <c r="G25" s="67">
        <v>1478</v>
      </c>
      <c r="H25" s="67">
        <v>27</v>
      </c>
      <c r="I25" s="67">
        <v>1325</v>
      </c>
      <c r="J25" s="67">
        <v>8</v>
      </c>
      <c r="K25" s="67">
        <v>215</v>
      </c>
      <c r="L25" s="67">
        <v>19</v>
      </c>
      <c r="M25" s="67">
        <v>1110</v>
      </c>
      <c r="N25" s="67">
        <v>15083</v>
      </c>
      <c r="O25" s="67">
        <v>3363</v>
      </c>
      <c r="P25" s="67">
        <v>1856</v>
      </c>
      <c r="Q25" s="67">
        <v>9864</v>
      </c>
      <c r="R25" s="67">
        <v>6682</v>
      </c>
      <c r="S25" s="67">
        <v>1254</v>
      </c>
      <c r="T25" s="67">
        <v>252</v>
      </c>
      <c r="U25" s="67">
        <v>5176</v>
      </c>
      <c r="V25" s="67">
        <v>4310</v>
      </c>
      <c r="W25" s="67">
        <v>957</v>
      </c>
      <c r="X25" s="67">
        <v>438</v>
      </c>
      <c r="Y25" s="67">
        <v>2915</v>
      </c>
      <c r="Z25" s="67">
        <v>2923</v>
      </c>
      <c r="AA25" s="67">
        <v>944</v>
      </c>
      <c r="AB25" s="67">
        <v>1061</v>
      </c>
      <c r="AC25" s="67">
        <v>918</v>
      </c>
      <c r="AD25" s="67">
        <v>75</v>
      </c>
      <c r="AE25" s="67">
        <v>16</v>
      </c>
      <c r="AF25" s="67">
        <v>17</v>
      </c>
      <c r="AG25" s="67">
        <v>42</v>
      </c>
      <c r="AH25" s="67">
        <v>1093</v>
      </c>
      <c r="AI25" s="67">
        <v>192</v>
      </c>
      <c r="AJ25" s="67">
        <v>88</v>
      </c>
      <c r="AK25" s="67">
        <v>813</v>
      </c>
      <c r="AL25" s="67">
        <v>27668</v>
      </c>
      <c r="AM25" s="67">
        <v>6404</v>
      </c>
      <c r="AN25" s="67">
        <v>3436</v>
      </c>
      <c r="AO25" s="67">
        <v>17828</v>
      </c>
      <c r="AP25" s="67">
        <v>10514</v>
      </c>
      <c r="AQ25" s="67">
        <v>1976</v>
      </c>
      <c r="AR25" s="67">
        <v>278</v>
      </c>
      <c r="AS25" s="67">
        <v>8260</v>
      </c>
      <c r="AT25" s="67">
        <v>8393</v>
      </c>
      <c r="AU25" s="67">
        <v>1839</v>
      </c>
      <c r="AV25" s="67">
        <v>809</v>
      </c>
      <c r="AW25" s="67">
        <v>5745</v>
      </c>
      <c r="AX25" s="67">
        <v>4537</v>
      </c>
      <c r="AY25" s="67">
        <v>1480</v>
      </c>
      <c r="AZ25" s="67">
        <v>1719</v>
      </c>
      <c r="BA25" s="67">
        <v>1338</v>
      </c>
      <c r="BB25" s="67">
        <v>86</v>
      </c>
      <c r="BC25" s="67">
        <v>19</v>
      </c>
      <c r="BD25" s="67">
        <v>19</v>
      </c>
      <c r="BE25" s="67">
        <v>48</v>
      </c>
      <c r="BF25" s="67">
        <v>4138</v>
      </c>
      <c r="BG25" s="67">
        <v>1090</v>
      </c>
      <c r="BH25" s="67">
        <v>611</v>
      </c>
      <c r="BI25" s="67">
        <v>2437</v>
      </c>
    </row>
    <row r="26" spans="1:61" s="18" customFormat="1" ht="15.75" customHeight="1">
      <c r="A26" s="345" t="s">
        <v>28</v>
      </c>
      <c r="B26" s="65" t="s">
        <v>224</v>
      </c>
      <c r="C26" s="68">
        <v>407</v>
      </c>
      <c r="D26" s="68">
        <v>39</v>
      </c>
      <c r="E26" s="68">
        <v>368</v>
      </c>
      <c r="F26" s="68">
        <v>201</v>
      </c>
      <c r="G26" s="68">
        <v>167</v>
      </c>
      <c r="H26" s="68"/>
      <c r="I26" s="68"/>
      <c r="J26" s="68"/>
      <c r="K26" s="68"/>
      <c r="L26" s="68"/>
      <c r="M26" s="68"/>
      <c r="N26" s="68">
        <v>6364</v>
      </c>
      <c r="O26" s="68">
        <v>1606</v>
      </c>
      <c r="P26" s="68">
        <v>952</v>
      </c>
      <c r="Q26" s="68">
        <v>3806</v>
      </c>
      <c r="R26" s="68">
        <v>2292</v>
      </c>
      <c r="S26" s="68">
        <v>448</v>
      </c>
      <c r="T26" s="68">
        <v>116</v>
      </c>
      <c r="U26" s="68">
        <v>1728</v>
      </c>
      <c r="V26" s="68">
        <v>1966</v>
      </c>
      <c r="W26" s="68">
        <v>472</v>
      </c>
      <c r="X26" s="68">
        <v>211</v>
      </c>
      <c r="Y26" s="68">
        <v>1283</v>
      </c>
      <c r="Z26" s="68">
        <v>1683</v>
      </c>
      <c r="AA26" s="68">
        <v>609</v>
      </c>
      <c r="AB26" s="68">
        <v>578</v>
      </c>
      <c r="AC26" s="68">
        <v>496</v>
      </c>
      <c r="AD26" s="68">
        <v>40</v>
      </c>
      <c r="AE26" s="68">
        <v>11</v>
      </c>
      <c r="AF26" s="68">
        <v>11</v>
      </c>
      <c r="AG26" s="68">
        <v>18</v>
      </c>
      <c r="AH26" s="68">
        <v>383</v>
      </c>
      <c r="AI26" s="68">
        <v>66</v>
      </c>
      <c r="AJ26" s="68">
        <v>36</v>
      </c>
      <c r="AK26" s="68">
        <v>281</v>
      </c>
      <c r="AL26" s="68">
        <v>11700</v>
      </c>
      <c r="AM26" s="68">
        <v>3079</v>
      </c>
      <c r="AN26" s="68">
        <v>1806</v>
      </c>
      <c r="AO26" s="68">
        <v>6815</v>
      </c>
      <c r="AP26" s="68">
        <v>3431</v>
      </c>
      <c r="AQ26" s="68">
        <v>679</v>
      </c>
      <c r="AR26" s="68">
        <v>107</v>
      </c>
      <c r="AS26" s="68">
        <v>2645</v>
      </c>
      <c r="AT26" s="68">
        <v>3839</v>
      </c>
      <c r="AU26" s="68">
        <v>903</v>
      </c>
      <c r="AV26" s="68">
        <v>386</v>
      </c>
      <c r="AW26" s="68">
        <v>2550</v>
      </c>
      <c r="AX26" s="68">
        <v>2729</v>
      </c>
      <c r="AY26" s="68">
        <v>993</v>
      </c>
      <c r="AZ26" s="68">
        <v>1005</v>
      </c>
      <c r="BA26" s="68">
        <v>731</v>
      </c>
      <c r="BB26" s="68">
        <v>51</v>
      </c>
      <c r="BC26" s="68">
        <v>17</v>
      </c>
      <c r="BD26" s="68">
        <v>10</v>
      </c>
      <c r="BE26" s="68">
        <v>24</v>
      </c>
      <c r="BF26" s="68">
        <v>1650</v>
      </c>
      <c r="BG26" s="68">
        <v>487</v>
      </c>
      <c r="BH26" s="68">
        <v>298</v>
      </c>
      <c r="BI26" s="68">
        <v>865</v>
      </c>
    </row>
    <row r="27" spans="1:61" s="18" customFormat="1" ht="15.75" customHeight="1">
      <c r="A27" s="346"/>
      <c r="B27" s="65" t="s">
        <v>225</v>
      </c>
      <c r="C27" s="68">
        <v>3159</v>
      </c>
      <c r="D27" s="68">
        <v>287</v>
      </c>
      <c r="E27" s="68">
        <v>2872</v>
      </c>
      <c r="F27" s="68">
        <v>1561</v>
      </c>
      <c r="G27" s="68">
        <v>1311</v>
      </c>
      <c r="H27" s="68"/>
      <c r="I27" s="68"/>
      <c r="J27" s="68"/>
      <c r="K27" s="68"/>
      <c r="L27" s="68"/>
      <c r="M27" s="68"/>
      <c r="N27" s="68">
        <v>8719</v>
      </c>
      <c r="O27" s="68">
        <v>1757</v>
      </c>
      <c r="P27" s="68">
        <v>904</v>
      </c>
      <c r="Q27" s="68">
        <v>6058</v>
      </c>
      <c r="R27" s="68">
        <v>4390</v>
      </c>
      <c r="S27" s="68">
        <v>806</v>
      </c>
      <c r="T27" s="68">
        <v>136</v>
      </c>
      <c r="U27" s="68">
        <v>3448</v>
      </c>
      <c r="V27" s="68">
        <v>2344</v>
      </c>
      <c r="W27" s="68">
        <v>485</v>
      </c>
      <c r="X27" s="68">
        <v>227</v>
      </c>
      <c r="Y27" s="68">
        <v>1632</v>
      </c>
      <c r="Z27" s="68">
        <v>1240</v>
      </c>
      <c r="AA27" s="68">
        <v>335</v>
      </c>
      <c r="AB27" s="68">
        <v>483</v>
      </c>
      <c r="AC27" s="68">
        <v>422</v>
      </c>
      <c r="AD27" s="68">
        <v>35</v>
      </c>
      <c r="AE27" s="68">
        <v>5</v>
      </c>
      <c r="AF27" s="68">
        <v>6</v>
      </c>
      <c r="AG27" s="68">
        <v>24</v>
      </c>
      <c r="AH27" s="68">
        <v>710</v>
      </c>
      <c r="AI27" s="68">
        <v>126</v>
      </c>
      <c r="AJ27" s="68">
        <v>52</v>
      </c>
      <c r="AK27" s="68">
        <v>532</v>
      </c>
      <c r="AL27" s="68">
        <v>15968</v>
      </c>
      <c r="AM27" s="68">
        <v>3325</v>
      </c>
      <c r="AN27" s="68">
        <v>1630</v>
      </c>
      <c r="AO27" s="68">
        <v>11013</v>
      </c>
      <c r="AP27" s="68">
        <v>7083</v>
      </c>
      <c r="AQ27" s="68">
        <v>1297</v>
      </c>
      <c r="AR27" s="68">
        <v>171</v>
      </c>
      <c r="AS27" s="68">
        <v>5615</v>
      </c>
      <c r="AT27" s="68">
        <v>4554</v>
      </c>
      <c r="AU27" s="68">
        <v>936</v>
      </c>
      <c r="AV27" s="68">
        <v>423</v>
      </c>
      <c r="AW27" s="68">
        <v>3195</v>
      </c>
      <c r="AX27" s="68">
        <v>1808</v>
      </c>
      <c r="AY27" s="68">
        <v>487</v>
      </c>
      <c r="AZ27" s="68">
        <v>714</v>
      </c>
      <c r="BA27" s="68">
        <v>607</v>
      </c>
      <c r="BB27" s="68">
        <v>35</v>
      </c>
      <c r="BC27" s="68">
        <v>2</v>
      </c>
      <c r="BD27" s="68">
        <v>9</v>
      </c>
      <c r="BE27" s="68">
        <v>24</v>
      </c>
      <c r="BF27" s="68">
        <v>2488</v>
      </c>
      <c r="BG27" s="68">
        <v>603</v>
      </c>
      <c r="BH27" s="68">
        <v>313</v>
      </c>
      <c r="BI27" s="68">
        <v>1572</v>
      </c>
    </row>
    <row r="28" spans="1:61" ht="15.75" customHeight="1">
      <c r="A28" s="63" t="s">
        <v>207</v>
      </c>
      <c r="B28" s="64" t="s">
        <v>223</v>
      </c>
      <c r="C28" s="67">
        <v>504</v>
      </c>
      <c r="D28" s="67">
        <v>49</v>
      </c>
      <c r="E28" s="67">
        <v>455</v>
      </c>
      <c r="F28" s="67">
        <v>219</v>
      </c>
      <c r="G28" s="67">
        <v>236</v>
      </c>
      <c r="H28" s="67">
        <v>175</v>
      </c>
      <c r="I28" s="67">
        <v>310</v>
      </c>
      <c r="J28" s="67">
        <v>14</v>
      </c>
      <c r="K28" s="67">
        <v>45</v>
      </c>
      <c r="L28" s="67">
        <v>161</v>
      </c>
      <c r="M28" s="67">
        <v>265</v>
      </c>
      <c r="N28" s="67">
        <v>1722</v>
      </c>
      <c r="O28" s="67">
        <v>369</v>
      </c>
      <c r="P28" s="67">
        <v>219</v>
      </c>
      <c r="Q28" s="67">
        <v>1134</v>
      </c>
      <c r="R28" s="67">
        <v>509</v>
      </c>
      <c r="S28" s="67">
        <v>80</v>
      </c>
      <c r="T28" s="67">
        <v>30</v>
      </c>
      <c r="U28" s="67">
        <v>399</v>
      </c>
      <c r="V28" s="67">
        <v>658</v>
      </c>
      <c r="W28" s="67">
        <v>135</v>
      </c>
      <c r="X28" s="67">
        <v>52</v>
      </c>
      <c r="Y28" s="67">
        <v>471</v>
      </c>
      <c r="Z28" s="67">
        <v>269</v>
      </c>
      <c r="AA28" s="67">
        <v>81</v>
      </c>
      <c r="AB28" s="67">
        <v>96</v>
      </c>
      <c r="AC28" s="67">
        <v>92</v>
      </c>
      <c r="AD28" s="67">
        <v>21</v>
      </c>
      <c r="AE28" s="67">
        <v>14</v>
      </c>
      <c r="AF28" s="67">
        <v>3</v>
      </c>
      <c r="AG28" s="67">
        <v>4</v>
      </c>
      <c r="AH28" s="67">
        <v>265</v>
      </c>
      <c r="AI28" s="67">
        <v>59</v>
      </c>
      <c r="AJ28" s="67">
        <v>38</v>
      </c>
      <c r="AK28" s="67">
        <v>168</v>
      </c>
      <c r="AL28" s="67">
        <v>3899</v>
      </c>
      <c r="AM28" s="67">
        <v>796</v>
      </c>
      <c r="AN28" s="67">
        <v>405</v>
      </c>
      <c r="AO28" s="67">
        <v>2698</v>
      </c>
      <c r="AP28" s="67">
        <v>1208</v>
      </c>
      <c r="AQ28" s="67">
        <v>163</v>
      </c>
      <c r="AR28" s="67">
        <v>17</v>
      </c>
      <c r="AS28" s="67">
        <v>1028</v>
      </c>
      <c r="AT28" s="67">
        <v>1490</v>
      </c>
      <c r="AU28" s="67">
        <v>293</v>
      </c>
      <c r="AV28" s="67">
        <v>111</v>
      </c>
      <c r="AW28" s="67">
        <v>1086</v>
      </c>
      <c r="AX28" s="67">
        <v>590</v>
      </c>
      <c r="AY28" s="67">
        <v>176</v>
      </c>
      <c r="AZ28" s="67">
        <v>201</v>
      </c>
      <c r="BA28" s="67">
        <v>213</v>
      </c>
      <c r="BB28" s="67">
        <v>47</v>
      </c>
      <c r="BC28" s="67">
        <v>36</v>
      </c>
      <c r="BD28" s="67">
        <v>4</v>
      </c>
      <c r="BE28" s="67">
        <v>7</v>
      </c>
      <c r="BF28" s="67">
        <v>564</v>
      </c>
      <c r="BG28" s="67">
        <v>128</v>
      </c>
      <c r="BH28" s="67">
        <v>72</v>
      </c>
      <c r="BI28" s="67">
        <v>364</v>
      </c>
    </row>
    <row r="29" spans="1:61" ht="15.75" customHeight="1">
      <c r="A29" s="345" t="s">
        <v>7</v>
      </c>
      <c r="B29" s="65" t="s">
        <v>224</v>
      </c>
      <c r="C29" s="68">
        <v>59</v>
      </c>
      <c r="D29" s="68">
        <v>9</v>
      </c>
      <c r="E29" s="68">
        <v>50</v>
      </c>
      <c r="F29" s="68">
        <v>23</v>
      </c>
      <c r="G29" s="68">
        <v>27</v>
      </c>
      <c r="H29" s="68"/>
      <c r="I29" s="68"/>
      <c r="J29" s="68"/>
      <c r="K29" s="68"/>
      <c r="L29" s="68"/>
      <c r="M29" s="68"/>
      <c r="N29" s="68">
        <v>763</v>
      </c>
      <c r="O29" s="68">
        <v>213</v>
      </c>
      <c r="P29" s="68">
        <v>112</v>
      </c>
      <c r="Q29" s="68">
        <v>438</v>
      </c>
      <c r="R29" s="68">
        <v>174</v>
      </c>
      <c r="S29" s="68">
        <v>33</v>
      </c>
      <c r="T29" s="68">
        <v>14</v>
      </c>
      <c r="U29" s="68">
        <v>127</v>
      </c>
      <c r="V29" s="68">
        <v>318</v>
      </c>
      <c r="W29" s="68">
        <v>84</v>
      </c>
      <c r="X29" s="68">
        <v>31</v>
      </c>
      <c r="Y29" s="68">
        <v>203</v>
      </c>
      <c r="Z29" s="68">
        <v>152</v>
      </c>
      <c r="AA29" s="68">
        <v>53</v>
      </c>
      <c r="AB29" s="68">
        <v>52</v>
      </c>
      <c r="AC29" s="68">
        <v>47</v>
      </c>
      <c r="AD29" s="68">
        <v>15</v>
      </c>
      <c r="AE29" s="68">
        <v>12</v>
      </c>
      <c r="AF29" s="68">
        <v>3</v>
      </c>
      <c r="AG29" s="68">
        <v>0</v>
      </c>
      <c r="AH29" s="68">
        <v>104</v>
      </c>
      <c r="AI29" s="68">
        <v>31</v>
      </c>
      <c r="AJ29" s="68">
        <v>12</v>
      </c>
      <c r="AK29" s="68">
        <v>61</v>
      </c>
      <c r="AL29" s="68">
        <v>1755</v>
      </c>
      <c r="AM29" s="68">
        <v>464</v>
      </c>
      <c r="AN29" s="68">
        <v>211</v>
      </c>
      <c r="AO29" s="68">
        <v>1080</v>
      </c>
      <c r="AP29" s="68">
        <v>405</v>
      </c>
      <c r="AQ29" s="68">
        <v>66</v>
      </c>
      <c r="AR29" s="68">
        <v>5</v>
      </c>
      <c r="AS29" s="68">
        <v>334</v>
      </c>
      <c r="AT29" s="68">
        <v>739</v>
      </c>
      <c r="AU29" s="68">
        <v>182</v>
      </c>
      <c r="AV29" s="68">
        <v>70</v>
      </c>
      <c r="AW29" s="68">
        <v>487</v>
      </c>
      <c r="AX29" s="68">
        <v>332</v>
      </c>
      <c r="AY29" s="68">
        <v>113</v>
      </c>
      <c r="AZ29" s="68">
        <v>110</v>
      </c>
      <c r="BA29" s="68">
        <v>109</v>
      </c>
      <c r="BB29" s="68">
        <v>35</v>
      </c>
      <c r="BC29" s="68">
        <v>31</v>
      </c>
      <c r="BD29" s="68">
        <v>4</v>
      </c>
      <c r="BE29" s="68">
        <v>0</v>
      </c>
      <c r="BF29" s="68">
        <v>244</v>
      </c>
      <c r="BG29" s="68">
        <v>72</v>
      </c>
      <c r="BH29" s="68">
        <v>22</v>
      </c>
      <c r="BI29" s="68">
        <v>150</v>
      </c>
    </row>
    <row r="30" spans="1:61" ht="15.75" customHeight="1">
      <c r="A30" s="346"/>
      <c r="B30" s="65" t="s">
        <v>225</v>
      </c>
      <c r="C30" s="68">
        <v>445</v>
      </c>
      <c r="D30" s="68">
        <v>40</v>
      </c>
      <c r="E30" s="68">
        <v>405</v>
      </c>
      <c r="F30" s="68">
        <v>196</v>
      </c>
      <c r="G30" s="68">
        <v>209</v>
      </c>
      <c r="H30" s="68"/>
      <c r="I30" s="68"/>
      <c r="J30" s="68"/>
      <c r="K30" s="68"/>
      <c r="L30" s="68"/>
      <c r="M30" s="68"/>
      <c r="N30" s="68">
        <v>959</v>
      </c>
      <c r="O30" s="68">
        <v>156</v>
      </c>
      <c r="P30" s="68">
        <v>107</v>
      </c>
      <c r="Q30" s="68">
        <v>696</v>
      </c>
      <c r="R30" s="68">
        <v>335</v>
      </c>
      <c r="S30" s="68">
        <v>47</v>
      </c>
      <c r="T30" s="68">
        <v>16</v>
      </c>
      <c r="U30" s="68">
        <v>272</v>
      </c>
      <c r="V30" s="68">
        <v>340</v>
      </c>
      <c r="W30" s="68">
        <v>51</v>
      </c>
      <c r="X30" s="68">
        <v>21</v>
      </c>
      <c r="Y30" s="68">
        <v>268</v>
      </c>
      <c r="Z30" s="68">
        <v>117</v>
      </c>
      <c r="AA30" s="68">
        <v>28</v>
      </c>
      <c r="AB30" s="68">
        <v>44</v>
      </c>
      <c r="AC30" s="68">
        <v>45</v>
      </c>
      <c r="AD30" s="68">
        <v>6</v>
      </c>
      <c r="AE30" s="68">
        <v>2</v>
      </c>
      <c r="AF30" s="68">
        <v>0</v>
      </c>
      <c r="AG30" s="68">
        <v>4</v>
      </c>
      <c r="AH30" s="68">
        <v>161</v>
      </c>
      <c r="AI30" s="68">
        <v>28</v>
      </c>
      <c r="AJ30" s="68">
        <v>26</v>
      </c>
      <c r="AK30" s="68">
        <v>107</v>
      </c>
      <c r="AL30" s="68">
        <v>2144</v>
      </c>
      <c r="AM30" s="68">
        <v>332</v>
      </c>
      <c r="AN30" s="68">
        <v>194</v>
      </c>
      <c r="AO30" s="68">
        <v>1618</v>
      </c>
      <c r="AP30" s="68">
        <v>803</v>
      </c>
      <c r="AQ30" s="68">
        <v>97</v>
      </c>
      <c r="AR30" s="68">
        <v>12</v>
      </c>
      <c r="AS30" s="68">
        <v>694</v>
      </c>
      <c r="AT30" s="68">
        <v>751</v>
      </c>
      <c r="AU30" s="68">
        <v>111</v>
      </c>
      <c r="AV30" s="68">
        <v>41</v>
      </c>
      <c r="AW30" s="68">
        <v>599</v>
      </c>
      <c r="AX30" s="68">
        <v>258</v>
      </c>
      <c r="AY30" s="68">
        <v>63</v>
      </c>
      <c r="AZ30" s="68">
        <v>91</v>
      </c>
      <c r="BA30" s="68">
        <v>104</v>
      </c>
      <c r="BB30" s="68">
        <v>12</v>
      </c>
      <c r="BC30" s="68">
        <v>5</v>
      </c>
      <c r="BD30" s="68">
        <v>0</v>
      </c>
      <c r="BE30" s="68">
        <v>7</v>
      </c>
      <c r="BF30" s="68">
        <v>320</v>
      </c>
      <c r="BG30" s="68">
        <v>56</v>
      </c>
      <c r="BH30" s="68">
        <v>50</v>
      </c>
      <c r="BI30" s="68">
        <v>214</v>
      </c>
    </row>
    <row r="31" spans="1:61" ht="15.75" customHeight="1">
      <c r="A31" s="63" t="s">
        <v>208</v>
      </c>
      <c r="B31" s="64" t="s">
        <v>223</v>
      </c>
      <c r="C31" s="67">
        <v>351</v>
      </c>
      <c r="D31" s="67">
        <v>30</v>
      </c>
      <c r="E31" s="67">
        <v>321</v>
      </c>
      <c r="F31" s="67">
        <v>195</v>
      </c>
      <c r="G31" s="67">
        <v>126</v>
      </c>
      <c r="H31" s="67">
        <v>14</v>
      </c>
      <c r="I31" s="67">
        <v>362</v>
      </c>
      <c r="J31" s="67">
        <v>1</v>
      </c>
      <c r="K31" s="67">
        <v>20</v>
      </c>
      <c r="L31" s="67">
        <v>13</v>
      </c>
      <c r="M31" s="67">
        <v>342</v>
      </c>
      <c r="N31" s="67">
        <v>1304</v>
      </c>
      <c r="O31" s="67">
        <v>224</v>
      </c>
      <c r="P31" s="67">
        <v>155</v>
      </c>
      <c r="Q31" s="67">
        <v>925</v>
      </c>
      <c r="R31" s="67">
        <v>525</v>
      </c>
      <c r="S31" s="67">
        <v>59</v>
      </c>
      <c r="T31" s="67">
        <v>13</v>
      </c>
      <c r="U31" s="67">
        <v>453</v>
      </c>
      <c r="V31" s="67">
        <v>343</v>
      </c>
      <c r="W31" s="67">
        <v>63</v>
      </c>
      <c r="X31" s="67">
        <v>18</v>
      </c>
      <c r="Y31" s="67">
        <v>262</v>
      </c>
      <c r="Z31" s="67">
        <v>248</v>
      </c>
      <c r="AA31" s="67">
        <v>55</v>
      </c>
      <c r="AB31" s="67">
        <v>94</v>
      </c>
      <c r="AC31" s="67">
        <v>99</v>
      </c>
      <c r="AD31" s="67">
        <v>18</v>
      </c>
      <c r="AE31" s="67">
        <v>7</v>
      </c>
      <c r="AF31" s="67">
        <v>4</v>
      </c>
      <c r="AG31" s="67">
        <v>7</v>
      </c>
      <c r="AH31" s="67">
        <v>170</v>
      </c>
      <c r="AI31" s="67">
        <v>40</v>
      </c>
      <c r="AJ31" s="67">
        <v>26</v>
      </c>
      <c r="AK31" s="67">
        <v>104</v>
      </c>
      <c r="AL31" s="67">
        <v>2573</v>
      </c>
      <c r="AM31" s="67">
        <v>459</v>
      </c>
      <c r="AN31" s="67">
        <v>271</v>
      </c>
      <c r="AO31" s="67">
        <v>1843</v>
      </c>
      <c r="AP31" s="67">
        <v>944</v>
      </c>
      <c r="AQ31" s="67">
        <v>108</v>
      </c>
      <c r="AR31" s="67">
        <v>28</v>
      </c>
      <c r="AS31" s="67">
        <v>808</v>
      </c>
      <c r="AT31" s="67">
        <v>806</v>
      </c>
      <c r="AU31" s="67">
        <v>143</v>
      </c>
      <c r="AV31" s="67">
        <v>50</v>
      </c>
      <c r="AW31" s="67">
        <v>613</v>
      </c>
      <c r="AX31" s="67">
        <v>523</v>
      </c>
      <c r="AY31" s="67">
        <v>160</v>
      </c>
      <c r="AZ31" s="67">
        <v>164</v>
      </c>
      <c r="BA31" s="67">
        <v>199</v>
      </c>
      <c r="BB31" s="67">
        <v>57</v>
      </c>
      <c r="BC31" s="67">
        <v>20</v>
      </c>
      <c r="BD31" s="67">
        <v>13</v>
      </c>
      <c r="BE31" s="67">
        <v>24</v>
      </c>
      <c r="BF31" s="67">
        <v>243</v>
      </c>
      <c r="BG31" s="67">
        <v>28</v>
      </c>
      <c r="BH31" s="67">
        <v>16</v>
      </c>
      <c r="BI31" s="67">
        <v>199</v>
      </c>
    </row>
    <row r="32" spans="1:61" ht="15.75" customHeight="1">
      <c r="A32" s="345" t="s">
        <v>9</v>
      </c>
      <c r="B32" s="65" t="s">
        <v>224</v>
      </c>
      <c r="C32" s="68">
        <v>33</v>
      </c>
      <c r="D32" s="68">
        <v>4</v>
      </c>
      <c r="E32" s="68">
        <v>29</v>
      </c>
      <c r="F32" s="68">
        <v>17</v>
      </c>
      <c r="G32" s="68">
        <v>12</v>
      </c>
      <c r="H32" s="68"/>
      <c r="I32" s="68"/>
      <c r="J32" s="68"/>
      <c r="K32" s="68"/>
      <c r="L32" s="68"/>
      <c r="M32" s="68"/>
      <c r="N32" s="68">
        <v>581</v>
      </c>
      <c r="O32" s="68">
        <v>132</v>
      </c>
      <c r="P32" s="68">
        <v>72</v>
      </c>
      <c r="Q32" s="68">
        <v>377</v>
      </c>
      <c r="R32" s="68">
        <v>175</v>
      </c>
      <c r="S32" s="68">
        <v>26</v>
      </c>
      <c r="T32" s="68">
        <v>6</v>
      </c>
      <c r="U32" s="68">
        <v>143</v>
      </c>
      <c r="V32" s="68">
        <v>171</v>
      </c>
      <c r="W32" s="68">
        <v>34</v>
      </c>
      <c r="X32" s="68">
        <v>8</v>
      </c>
      <c r="Y32" s="68">
        <v>129</v>
      </c>
      <c r="Z32" s="68">
        <v>138</v>
      </c>
      <c r="AA32" s="68">
        <v>40</v>
      </c>
      <c r="AB32" s="68">
        <v>44</v>
      </c>
      <c r="AC32" s="68">
        <v>54</v>
      </c>
      <c r="AD32" s="68">
        <v>13</v>
      </c>
      <c r="AE32" s="68">
        <v>7</v>
      </c>
      <c r="AF32" s="68">
        <v>2</v>
      </c>
      <c r="AG32" s="68">
        <v>4</v>
      </c>
      <c r="AH32" s="68">
        <v>84</v>
      </c>
      <c r="AI32" s="68">
        <v>25</v>
      </c>
      <c r="AJ32" s="68">
        <v>12</v>
      </c>
      <c r="AK32" s="68">
        <v>47</v>
      </c>
      <c r="AL32" s="68">
        <v>1152</v>
      </c>
      <c r="AM32" s="68">
        <v>272</v>
      </c>
      <c r="AN32" s="68">
        <v>125</v>
      </c>
      <c r="AO32" s="68">
        <v>755</v>
      </c>
      <c r="AP32" s="68">
        <v>326</v>
      </c>
      <c r="AQ32" s="68">
        <v>53</v>
      </c>
      <c r="AR32" s="68">
        <v>11</v>
      </c>
      <c r="AS32" s="68">
        <v>262</v>
      </c>
      <c r="AT32" s="68">
        <v>392</v>
      </c>
      <c r="AU32" s="68">
        <v>83</v>
      </c>
      <c r="AV32" s="68">
        <v>20</v>
      </c>
      <c r="AW32" s="68">
        <v>289</v>
      </c>
      <c r="AX32" s="68">
        <v>311</v>
      </c>
      <c r="AY32" s="68">
        <v>113</v>
      </c>
      <c r="AZ32" s="68">
        <v>80</v>
      </c>
      <c r="BA32" s="68">
        <v>118</v>
      </c>
      <c r="BB32" s="68">
        <v>37</v>
      </c>
      <c r="BC32" s="68">
        <v>18</v>
      </c>
      <c r="BD32" s="68">
        <v>9</v>
      </c>
      <c r="BE32" s="68">
        <v>10</v>
      </c>
      <c r="BF32" s="68">
        <v>86</v>
      </c>
      <c r="BG32" s="68">
        <v>5</v>
      </c>
      <c r="BH32" s="68">
        <v>5</v>
      </c>
      <c r="BI32" s="68">
        <v>76</v>
      </c>
    </row>
    <row r="33" spans="1:61" ht="15.75" customHeight="1">
      <c r="A33" s="346"/>
      <c r="B33" s="65" t="s">
        <v>225</v>
      </c>
      <c r="C33" s="68">
        <v>318</v>
      </c>
      <c r="D33" s="68">
        <v>26</v>
      </c>
      <c r="E33" s="68">
        <v>292</v>
      </c>
      <c r="F33" s="68">
        <v>178</v>
      </c>
      <c r="G33" s="68">
        <v>114</v>
      </c>
      <c r="H33" s="68"/>
      <c r="I33" s="68"/>
      <c r="J33" s="68"/>
      <c r="K33" s="68"/>
      <c r="L33" s="68"/>
      <c r="M33" s="68"/>
      <c r="N33" s="68">
        <v>723</v>
      </c>
      <c r="O33" s="68">
        <v>92</v>
      </c>
      <c r="P33" s="68">
        <v>83</v>
      </c>
      <c r="Q33" s="68">
        <v>548</v>
      </c>
      <c r="R33" s="68">
        <v>350</v>
      </c>
      <c r="S33" s="68">
        <v>33</v>
      </c>
      <c r="T33" s="68">
        <v>7</v>
      </c>
      <c r="U33" s="68">
        <v>310</v>
      </c>
      <c r="V33" s="68">
        <v>172</v>
      </c>
      <c r="W33" s="68">
        <v>29</v>
      </c>
      <c r="X33" s="68">
        <v>10</v>
      </c>
      <c r="Y33" s="68">
        <v>133</v>
      </c>
      <c r="Z33" s="68">
        <v>110</v>
      </c>
      <c r="AA33" s="68">
        <v>15</v>
      </c>
      <c r="AB33" s="68">
        <v>50</v>
      </c>
      <c r="AC33" s="68">
        <v>45</v>
      </c>
      <c r="AD33" s="68">
        <v>5</v>
      </c>
      <c r="AE33" s="68">
        <v>0</v>
      </c>
      <c r="AF33" s="68">
        <v>2</v>
      </c>
      <c r="AG33" s="68">
        <v>3</v>
      </c>
      <c r="AH33" s="68">
        <v>86</v>
      </c>
      <c r="AI33" s="68">
        <v>15</v>
      </c>
      <c r="AJ33" s="68">
        <v>14</v>
      </c>
      <c r="AK33" s="68">
        <v>57</v>
      </c>
      <c r="AL33" s="68">
        <v>1421</v>
      </c>
      <c r="AM33" s="68">
        <v>187</v>
      </c>
      <c r="AN33" s="68">
        <v>146</v>
      </c>
      <c r="AO33" s="68">
        <v>1088</v>
      </c>
      <c r="AP33" s="68">
        <v>618</v>
      </c>
      <c r="AQ33" s="68">
        <v>55</v>
      </c>
      <c r="AR33" s="68">
        <v>17</v>
      </c>
      <c r="AS33" s="68">
        <v>546</v>
      </c>
      <c r="AT33" s="68">
        <v>414</v>
      </c>
      <c r="AU33" s="68">
        <v>60</v>
      </c>
      <c r="AV33" s="68">
        <v>30</v>
      </c>
      <c r="AW33" s="68">
        <v>324</v>
      </c>
      <c r="AX33" s="68">
        <v>212</v>
      </c>
      <c r="AY33" s="68">
        <v>47</v>
      </c>
      <c r="AZ33" s="68">
        <v>84</v>
      </c>
      <c r="BA33" s="68">
        <v>81</v>
      </c>
      <c r="BB33" s="68">
        <v>20</v>
      </c>
      <c r="BC33" s="68">
        <v>2</v>
      </c>
      <c r="BD33" s="68">
        <v>4</v>
      </c>
      <c r="BE33" s="68">
        <v>14</v>
      </c>
      <c r="BF33" s="68">
        <v>157</v>
      </c>
      <c r="BG33" s="68">
        <v>23</v>
      </c>
      <c r="BH33" s="68">
        <v>11</v>
      </c>
      <c r="BI33" s="68">
        <v>123</v>
      </c>
    </row>
    <row r="34" spans="1:61" ht="15.75" customHeight="1">
      <c r="A34" s="63" t="s">
        <v>209</v>
      </c>
      <c r="B34" s="64" t="s">
        <v>223</v>
      </c>
      <c r="C34" s="67">
        <v>508</v>
      </c>
      <c r="D34" s="67">
        <v>53</v>
      </c>
      <c r="E34" s="67">
        <v>455</v>
      </c>
      <c r="F34" s="67">
        <v>287</v>
      </c>
      <c r="G34" s="67">
        <v>168</v>
      </c>
      <c r="H34" s="67">
        <v>95</v>
      </c>
      <c r="I34" s="67">
        <v>890</v>
      </c>
      <c r="J34" s="67">
        <v>12</v>
      </c>
      <c r="K34" s="67">
        <v>21</v>
      </c>
      <c r="L34" s="67">
        <v>83</v>
      </c>
      <c r="M34" s="67">
        <v>869</v>
      </c>
      <c r="N34" s="67">
        <v>2523</v>
      </c>
      <c r="O34" s="67">
        <v>411</v>
      </c>
      <c r="P34" s="67">
        <v>357</v>
      </c>
      <c r="Q34" s="67">
        <v>1755</v>
      </c>
      <c r="R34" s="67">
        <v>887</v>
      </c>
      <c r="S34" s="67">
        <v>74</v>
      </c>
      <c r="T34" s="67">
        <v>17</v>
      </c>
      <c r="U34" s="67">
        <v>796</v>
      </c>
      <c r="V34" s="67">
        <v>764</v>
      </c>
      <c r="W34" s="67">
        <v>99</v>
      </c>
      <c r="X34" s="67">
        <v>99</v>
      </c>
      <c r="Y34" s="67">
        <v>566</v>
      </c>
      <c r="Z34" s="67">
        <v>405</v>
      </c>
      <c r="AA34" s="67">
        <v>136</v>
      </c>
      <c r="AB34" s="67">
        <v>160</v>
      </c>
      <c r="AC34" s="67">
        <v>109</v>
      </c>
      <c r="AD34" s="67">
        <v>13</v>
      </c>
      <c r="AE34" s="67">
        <v>0</v>
      </c>
      <c r="AF34" s="67">
        <v>8</v>
      </c>
      <c r="AG34" s="67">
        <v>5</v>
      </c>
      <c r="AH34" s="67">
        <v>454</v>
      </c>
      <c r="AI34" s="67">
        <v>102</v>
      </c>
      <c r="AJ34" s="67">
        <v>73</v>
      </c>
      <c r="AK34" s="67">
        <v>279</v>
      </c>
      <c r="AL34" s="67">
        <v>6738</v>
      </c>
      <c r="AM34" s="67">
        <v>925</v>
      </c>
      <c r="AN34" s="67">
        <v>808</v>
      </c>
      <c r="AO34" s="67">
        <v>5005</v>
      </c>
      <c r="AP34" s="67">
        <v>3274</v>
      </c>
      <c r="AQ34" s="67">
        <v>341</v>
      </c>
      <c r="AR34" s="67">
        <v>232</v>
      </c>
      <c r="AS34" s="67">
        <v>2701</v>
      </c>
      <c r="AT34" s="67">
        <v>2245</v>
      </c>
      <c r="AU34" s="67">
        <v>261</v>
      </c>
      <c r="AV34" s="67">
        <v>251</v>
      </c>
      <c r="AW34" s="67">
        <v>1733</v>
      </c>
      <c r="AX34" s="67">
        <v>778</v>
      </c>
      <c r="AY34" s="67">
        <v>273</v>
      </c>
      <c r="AZ34" s="67">
        <v>284</v>
      </c>
      <c r="BA34" s="67">
        <v>221</v>
      </c>
      <c r="BB34" s="67">
        <v>37</v>
      </c>
      <c r="BC34" s="67">
        <v>18</v>
      </c>
      <c r="BD34" s="67">
        <v>11</v>
      </c>
      <c r="BE34" s="67">
        <v>8</v>
      </c>
      <c r="BF34" s="67">
        <v>404</v>
      </c>
      <c r="BG34" s="67">
        <v>32</v>
      </c>
      <c r="BH34" s="67">
        <v>30</v>
      </c>
      <c r="BI34" s="67">
        <v>342</v>
      </c>
    </row>
    <row r="35" spans="1:61" ht="15.75" customHeight="1">
      <c r="A35" s="345" t="s">
        <v>10</v>
      </c>
      <c r="B35" s="65" t="s">
        <v>224</v>
      </c>
      <c r="C35" s="68">
        <v>56</v>
      </c>
      <c r="D35" s="68">
        <v>8</v>
      </c>
      <c r="E35" s="68">
        <v>48</v>
      </c>
      <c r="F35" s="68">
        <v>30</v>
      </c>
      <c r="G35" s="68">
        <v>18</v>
      </c>
      <c r="H35" s="68"/>
      <c r="I35" s="68"/>
      <c r="J35" s="68"/>
      <c r="K35" s="68"/>
      <c r="L35" s="68"/>
      <c r="M35" s="68"/>
      <c r="N35" s="68">
        <v>1145</v>
      </c>
      <c r="O35" s="68">
        <v>249</v>
      </c>
      <c r="P35" s="68">
        <v>191</v>
      </c>
      <c r="Q35" s="68">
        <v>705</v>
      </c>
      <c r="R35" s="68">
        <v>299</v>
      </c>
      <c r="S35" s="68">
        <v>28</v>
      </c>
      <c r="T35" s="68">
        <v>6</v>
      </c>
      <c r="U35" s="68">
        <v>265</v>
      </c>
      <c r="V35" s="68">
        <v>388</v>
      </c>
      <c r="W35" s="68">
        <v>64</v>
      </c>
      <c r="X35" s="68">
        <v>56</v>
      </c>
      <c r="Y35" s="68">
        <v>268</v>
      </c>
      <c r="Z35" s="68">
        <v>242</v>
      </c>
      <c r="AA35" s="68">
        <v>94</v>
      </c>
      <c r="AB35" s="68">
        <v>91</v>
      </c>
      <c r="AC35" s="68">
        <v>57</v>
      </c>
      <c r="AD35" s="68">
        <v>9</v>
      </c>
      <c r="AE35" s="68">
        <v>0</v>
      </c>
      <c r="AF35" s="68">
        <v>7</v>
      </c>
      <c r="AG35" s="68">
        <v>2</v>
      </c>
      <c r="AH35" s="68">
        <v>207</v>
      </c>
      <c r="AI35" s="68">
        <v>63</v>
      </c>
      <c r="AJ35" s="68">
        <v>31</v>
      </c>
      <c r="AK35" s="68">
        <v>113</v>
      </c>
      <c r="AL35" s="68">
        <v>3150</v>
      </c>
      <c r="AM35" s="68">
        <v>579</v>
      </c>
      <c r="AN35" s="68">
        <v>448</v>
      </c>
      <c r="AO35" s="68">
        <v>2123</v>
      </c>
      <c r="AP35" s="68">
        <v>1395</v>
      </c>
      <c r="AQ35" s="68">
        <v>199</v>
      </c>
      <c r="AR35" s="68">
        <v>125</v>
      </c>
      <c r="AS35" s="68">
        <v>1071</v>
      </c>
      <c r="AT35" s="68">
        <v>1095</v>
      </c>
      <c r="AU35" s="68">
        <v>162</v>
      </c>
      <c r="AV35" s="68">
        <v>138</v>
      </c>
      <c r="AW35" s="68">
        <v>795</v>
      </c>
      <c r="AX35" s="68">
        <v>473</v>
      </c>
      <c r="AY35" s="68">
        <v>193</v>
      </c>
      <c r="AZ35" s="68">
        <v>163</v>
      </c>
      <c r="BA35" s="68">
        <v>117</v>
      </c>
      <c r="BB35" s="68">
        <v>26</v>
      </c>
      <c r="BC35" s="68">
        <v>14</v>
      </c>
      <c r="BD35" s="68">
        <v>9</v>
      </c>
      <c r="BE35" s="68">
        <v>3</v>
      </c>
      <c r="BF35" s="68">
        <v>161</v>
      </c>
      <c r="BG35" s="68">
        <v>11</v>
      </c>
      <c r="BH35" s="68">
        <v>13</v>
      </c>
      <c r="BI35" s="68">
        <v>137</v>
      </c>
    </row>
    <row r="36" spans="1:61" ht="15.75" customHeight="1">
      <c r="A36" s="346"/>
      <c r="B36" s="65" t="s">
        <v>225</v>
      </c>
      <c r="C36" s="68">
        <v>452</v>
      </c>
      <c r="D36" s="68">
        <v>45</v>
      </c>
      <c r="E36" s="68">
        <v>407</v>
      </c>
      <c r="F36" s="68">
        <v>257</v>
      </c>
      <c r="G36" s="68">
        <v>150</v>
      </c>
      <c r="H36" s="68"/>
      <c r="I36" s="68"/>
      <c r="J36" s="68"/>
      <c r="K36" s="68"/>
      <c r="L36" s="68"/>
      <c r="M36" s="68"/>
      <c r="N36" s="68">
        <v>1378</v>
      </c>
      <c r="O36" s="68">
        <v>162</v>
      </c>
      <c r="P36" s="68">
        <v>166</v>
      </c>
      <c r="Q36" s="68">
        <v>1050</v>
      </c>
      <c r="R36" s="68">
        <v>588</v>
      </c>
      <c r="S36" s="68">
        <v>46</v>
      </c>
      <c r="T36" s="68">
        <v>11</v>
      </c>
      <c r="U36" s="68">
        <v>531</v>
      </c>
      <c r="V36" s="68">
        <v>376</v>
      </c>
      <c r="W36" s="68">
        <v>35</v>
      </c>
      <c r="X36" s="68">
        <v>43</v>
      </c>
      <c r="Y36" s="68">
        <v>298</v>
      </c>
      <c r="Z36" s="68">
        <v>163</v>
      </c>
      <c r="AA36" s="68">
        <v>42</v>
      </c>
      <c r="AB36" s="68">
        <v>69</v>
      </c>
      <c r="AC36" s="68">
        <v>52</v>
      </c>
      <c r="AD36" s="68">
        <v>4</v>
      </c>
      <c r="AE36" s="68">
        <v>0</v>
      </c>
      <c r="AF36" s="68">
        <v>1</v>
      </c>
      <c r="AG36" s="68">
        <v>3</v>
      </c>
      <c r="AH36" s="68">
        <v>247</v>
      </c>
      <c r="AI36" s="68">
        <v>39</v>
      </c>
      <c r="AJ36" s="68">
        <v>42</v>
      </c>
      <c r="AK36" s="68">
        <v>166</v>
      </c>
      <c r="AL36" s="68">
        <v>3588</v>
      </c>
      <c r="AM36" s="68">
        <v>346</v>
      </c>
      <c r="AN36" s="68">
        <v>360</v>
      </c>
      <c r="AO36" s="68">
        <v>2882</v>
      </c>
      <c r="AP36" s="68">
        <v>1879</v>
      </c>
      <c r="AQ36" s="68">
        <v>142</v>
      </c>
      <c r="AR36" s="68">
        <v>107</v>
      </c>
      <c r="AS36" s="68">
        <v>1630</v>
      </c>
      <c r="AT36" s="68">
        <v>1150</v>
      </c>
      <c r="AU36" s="68">
        <v>99</v>
      </c>
      <c r="AV36" s="68">
        <v>113</v>
      </c>
      <c r="AW36" s="68">
        <v>938</v>
      </c>
      <c r="AX36" s="68">
        <v>305</v>
      </c>
      <c r="AY36" s="68">
        <v>80</v>
      </c>
      <c r="AZ36" s="68">
        <v>121</v>
      </c>
      <c r="BA36" s="68">
        <v>104</v>
      </c>
      <c r="BB36" s="68">
        <v>11</v>
      </c>
      <c r="BC36" s="68">
        <v>4</v>
      </c>
      <c r="BD36" s="68">
        <v>2</v>
      </c>
      <c r="BE36" s="68">
        <v>5</v>
      </c>
      <c r="BF36" s="68">
        <v>243</v>
      </c>
      <c r="BG36" s="68">
        <v>21</v>
      </c>
      <c r="BH36" s="68">
        <v>17</v>
      </c>
      <c r="BI36" s="68">
        <v>205</v>
      </c>
    </row>
    <row r="37" spans="1:61" ht="15.75" customHeight="1">
      <c r="A37" s="63" t="s">
        <v>210</v>
      </c>
      <c r="B37" s="64" t="s">
        <v>223</v>
      </c>
      <c r="C37" s="67">
        <v>1589</v>
      </c>
      <c r="D37" s="67">
        <v>131</v>
      </c>
      <c r="E37" s="67">
        <v>1458</v>
      </c>
      <c r="F37" s="67">
        <v>939</v>
      </c>
      <c r="G37" s="67">
        <v>519</v>
      </c>
      <c r="H37" s="67">
        <v>185</v>
      </c>
      <c r="I37" s="67">
        <v>2075</v>
      </c>
      <c r="J37" s="67">
        <v>102</v>
      </c>
      <c r="K37" s="67">
        <v>155</v>
      </c>
      <c r="L37" s="67">
        <v>83</v>
      </c>
      <c r="M37" s="67">
        <v>1920</v>
      </c>
      <c r="N37" s="67">
        <v>7589</v>
      </c>
      <c r="O37" s="67">
        <v>1341</v>
      </c>
      <c r="P37" s="67">
        <v>847</v>
      </c>
      <c r="Q37" s="67">
        <v>5401</v>
      </c>
      <c r="R37" s="67">
        <v>3402</v>
      </c>
      <c r="S37" s="67">
        <v>340</v>
      </c>
      <c r="T37" s="67">
        <v>72</v>
      </c>
      <c r="U37" s="67">
        <v>2990</v>
      </c>
      <c r="V37" s="67">
        <v>2057</v>
      </c>
      <c r="W37" s="67">
        <v>279</v>
      </c>
      <c r="X37" s="67">
        <v>230</v>
      </c>
      <c r="Y37" s="67">
        <v>1548</v>
      </c>
      <c r="Z37" s="67">
        <v>1238</v>
      </c>
      <c r="AA37" s="67">
        <v>485</v>
      </c>
      <c r="AB37" s="67">
        <v>415</v>
      </c>
      <c r="AC37" s="67">
        <v>338</v>
      </c>
      <c r="AD37" s="67">
        <v>2</v>
      </c>
      <c r="AE37" s="67">
        <v>1</v>
      </c>
      <c r="AF37" s="67">
        <v>0</v>
      </c>
      <c r="AG37" s="67">
        <v>1</v>
      </c>
      <c r="AH37" s="67">
        <v>890</v>
      </c>
      <c r="AI37" s="67">
        <v>236</v>
      </c>
      <c r="AJ37" s="67">
        <v>130</v>
      </c>
      <c r="AK37" s="67">
        <v>524</v>
      </c>
      <c r="AL37" s="67">
        <v>14678</v>
      </c>
      <c r="AM37" s="67">
        <v>1434</v>
      </c>
      <c r="AN37" s="67">
        <v>1554</v>
      </c>
      <c r="AO37" s="67">
        <v>11690</v>
      </c>
      <c r="AP37" s="67">
        <v>8704</v>
      </c>
      <c r="AQ37" s="67">
        <v>754</v>
      </c>
      <c r="AR37" s="67">
        <v>475</v>
      </c>
      <c r="AS37" s="67">
        <v>7475</v>
      </c>
      <c r="AT37" s="67">
        <v>3400</v>
      </c>
      <c r="AU37" s="67">
        <v>340</v>
      </c>
      <c r="AV37" s="67">
        <v>372</v>
      </c>
      <c r="AW37" s="67">
        <v>2688</v>
      </c>
      <c r="AX37" s="67">
        <v>1361</v>
      </c>
      <c r="AY37" s="67">
        <v>225</v>
      </c>
      <c r="AZ37" s="67">
        <v>622</v>
      </c>
      <c r="BA37" s="67">
        <v>514</v>
      </c>
      <c r="BB37" s="67">
        <v>4</v>
      </c>
      <c r="BC37" s="67">
        <v>2</v>
      </c>
      <c r="BD37" s="67">
        <v>1</v>
      </c>
      <c r="BE37" s="67">
        <v>1</v>
      </c>
      <c r="BF37" s="67">
        <v>1209</v>
      </c>
      <c r="BG37" s="67">
        <v>113</v>
      </c>
      <c r="BH37" s="67">
        <v>84</v>
      </c>
      <c r="BI37" s="67">
        <v>1012</v>
      </c>
    </row>
    <row r="38" spans="1:61" ht="15.75" customHeight="1">
      <c r="A38" s="345" t="s">
        <v>11</v>
      </c>
      <c r="B38" s="65" t="s">
        <v>224</v>
      </c>
      <c r="C38" s="68">
        <v>199</v>
      </c>
      <c r="D38" s="68">
        <v>24</v>
      </c>
      <c r="E38" s="68">
        <v>175</v>
      </c>
      <c r="F38" s="68">
        <v>105</v>
      </c>
      <c r="G38" s="68">
        <v>70</v>
      </c>
      <c r="H38" s="68"/>
      <c r="I38" s="68"/>
      <c r="J38" s="68"/>
      <c r="K38" s="68"/>
      <c r="L38" s="68"/>
      <c r="M38" s="68"/>
      <c r="N38" s="68">
        <v>3001</v>
      </c>
      <c r="O38" s="68">
        <v>718</v>
      </c>
      <c r="P38" s="68">
        <v>389</v>
      </c>
      <c r="Q38" s="68">
        <v>1894</v>
      </c>
      <c r="R38" s="68">
        <v>982</v>
      </c>
      <c r="S38" s="68">
        <v>127</v>
      </c>
      <c r="T38" s="68">
        <v>13</v>
      </c>
      <c r="U38" s="68">
        <v>842</v>
      </c>
      <c r="V38" s="68">
        <v>933</v>
      </c>
      <c r="W38" s="68">
        <v>145</v>
      </c>
      <c r="X38" s="68">
        <v>105</v>
      </c>
      <c r="Y38" s="68">
        <v>683</v>
      </c>
      <c r="Z38" s="68">
        <v>722</v>
      </c>
      <c r="AA38" s="68">
        <v>316</v>
      </c>
      <c r="AB38" s="68">
        <v>219</v>
      </c>
      <c r="AC38" s="68">
        <v>187</v>
      </c>
      <c r="AD38" s="68">
        <v>1</v>
      </c>
      <c r="AE38" s="68">
        <v>0</v>
      </c>
      <c r="AF38" s="68">
        <v>0</v>
      </c>
      <c r="AG38" s="68">
        <v>1</v>
      </c>
      <c r="AH38" s="68">
        <v>363</v>
      </c>
      <c r="AI38" s="68">
        <v>130</v>
      </c>
      <c r="AJ38" s="68">
        <v>52</v>
      </c>
      <c r="AK38" s="68">
        <v>181</v>
      </c>
      <c r="AL38" s="68">
        <v>5853</v>
      </c>
      <c r="AM38" s="68">
        <v>636</v>
      </c>
      <c r="AN38" s="68">
        <v>695</v>
      </c>
      <c r="AO38" s="68">
        <v>4522</v>
      </c>
      <c r="AP38" s="68">
        <v>3138</v>
      </c>
      <c r="AQ38" s="68">
        <v>292</v>
      </c>
      <c r="AR38" s="68">
        <v>188</v>
      </c>
      <c r="AS38" s="68">
        <v>2658</v>
      </c>
      <c r="AT38" s="68">
        <v>1544</v>
      </c>
      <c r="AU38" s="68">
        <v>158</v>
      </c>
      <c r="AV38" s="68">
        <v>169</v>
      </c>
      <c r="AW38" s="68">
        <v>1217</v>
      </c>
      <c r="AX38" s="68">
        <v>718</v>
      </c>
      <c r="AY38" s="68">
        <v>133</v>
      </c>
      <c r="AZ38" s="68">
        <v>308</v>
      </c>
      <c r="BA38" s="68">
        <v>277</v>
      </c>
      <c r="BB38" s="68">
        <v>3</v>
      </c>
      <c r="BC38" s="68">
        <v>1</v>
      </c>
      <c r="BD38" s="68">
        <v>1</v>
      </c>
      <c r="BE38" s="68">
        <v>1</v>
      </c>
      <c r="BF38" s="68">
        <v>450</v>
      </c>
      <c r="BG38" s="68">
        <v>52</v>
      </c>
      <c r="BH38" s="68">
        <v>29</v>
      </c>
      <c r="BI38" s="68">
        <v>369</v>
      </c>
    </row>
    <row r="39" spans="1:61" ht="15.75" customHeight="1">
      <c r="A39" s="346"/>
      <c r="B39" s="65" t="s">
        <v>225</v>
      </c>
      <c r="C39" s="68">
        <v>1390</v>
      </c>
      <c r="D39" s="68">
        <v>107</v>
      </c>
      <c r="E39" s="68">
        <v>1283</v>
      </c>
      <c r="F39" s="68">
        <v>834</v>
      </c>
      <c r="G39" s="68">
        <v>449</v>
      </c>
      <c r="H39" s="68"/>
      <c r="I39" s="68"/>
      <c r="J39" s="68"/>
      <c r="K39" s="68"/>
      <c r="L39" s="68"/>
      <c r="M39" s="68"/>
      <c r="N39" s="68">
        <v>4588</v>
      </c>
      <c r="O39" s="68">
        <v>623</v>
      </c>
      <c r="P39" s="68">
        <v>458</v>
      </c>
      <c r="Q39" s="68">
        <v>3507</v>
      </c>
      <c r="R39" s="68">
        <v>2420</v>
      </c>
      <c r="S39" s="68">
        <v>213</v>
      </c>
      <c r="T39" s="68">
        <v>59</v>
      </c>
      <c r="U39" s="68">
        <v>2148</v>
      </c>
      <c r="V39" s="68">
        <v>1124</v>
      </c>
      <c r="W39" s="68">
        <v>134</v>
      </c>
      <c r="X39" s="68">
        <v>125</v>
      </c>
      <c r="Y39" s="68">
        <v>865</v>
      </c>
      <c r="Z39" s="68">
        <v>516</v>
      </c>
      <c r="AA39" s="68">
        <v>169</v>
      </c>
      <c r="AB39" s="68">
        <v>196</v>
      </c>
      <c r="AC39" s="68">
        <v>151</v>
      </c>
      <c r="AD39" s="68">
        <v>1</v>
      </c>
      <c r="AE39" s="68">
        <v>1</v>
      </c>
      <c r="AF39" s="68">
        <v>0</v>
      </c>
      <c r="AG39" s="68">
        <v>0</v>
      </c>
      <c r="AH39" s="68">
        <v>527</v>
      </c>
      <c r="AI39" s="68">
        <v>106</v>
      </c>
      <c r="AJ39" s="68">
        <v>78</v>
      </c>
      <c r="AK39" s="68">
        <v>343</v>
      </c>
      <c r="AL39" s="68">
        <v>8825</v>
      </c>
      <c r="AM39" s="68">
        <v>798</v>
      </c>
      <c r="AN39" s="68">
        <v>859</v>
      </c>
      <c r="AO39" s="68">
        <v>7168</v>
      </c>
      <c r="AP39" s="68">
        <v>5566</v>
      </c>
      <c r="AQ39" s="68">
        <v>462</v>
      </c>
      <c r="AR39" s="68">
        <v>287</v>
      </c>
      <c r="AS39" s="68">
        <v>4817</v>
      </c>
      <c r="AT39" s="68">
        <v>1856</v>
      </c>
      <c r="AU39" s="68">
        <v>182</v>
      </c>
      <c r="AV39" s="68">
        <v>203</v>
      </c>
      <c r="AW39" s="68">
        <v>1471</v>
      </c>
      <c r="AX39" s="68">
        <v>643</v>
      </c>
      <c r="AY39" s="68">
        <v>92</v>
      </c>
      <c r="AZ39" s="68">
        <v>314</v>
      </c>
      <c r="BA39" s="68">
        <v>237</v>
      </c>
      <c r="BB39" s="68">
        <v>1</v>
      </c>
      <c r="BC39" s="68">
        <v>1</v>
      </c>
      <c r="BD39" s="68">
        <v>0</v>
      </c>
      <c r="BE39" s="68">
        <v>0</v>
      </c>
      <c r="BF39" s="68">
        <v>759</v>
      </c>
      <c r="BG39" s="68">
        <v>61</v>
      </c>
      <c r="BH39" s="68">
        <v>55</v>
      </c>
      <c r="BI39" s="68">
        <v>643</v>
      </c>
    </row>
    <row r="40" spans="1:61" ht="15.75" customHeight="1">
      <c r="A40" s="63" t="s">
        <v>211</v>
      </c>
      <c r="B40" s="64" t="s">
        <v>223</v>
      </c>
      <c r="C40" s="67">
        <v>1078</v>
      </c>
      <c r="D40" s="67">
        <v>117</v>
      </c>
      <c r="E40" s="67">
        <v>961</v>
      </c>
      <c r="F40" s="67">
        <v>651</v>
      </c>
      <c r="G40" s="67">
        <v>310</v>
      </c>
      <c r="H40" s="67">
        <v>178</v>
      </c>
      <c r="I40" s="67">
        <v>744</v>
      </c>
      <c r="J40" s="67">
        <v>37</v>
      </c>
      <c r="K40" s="67">
        <v>64</v>
      </c>
      <c r="L40" s="67">
        <v>141</v>
      </c>
      <c r="M40" s="67">
        <v>680</v>
      </c>
      <c r="N40" s="67">
        <v>4873</v>
      </c>
      <c r="O40" s="67">
        <v>872</v>
      </c>
      <c r="P40" s="67">
        <v>624</v>
      </c>
      <c r="Q40" s="67">
        <v>3377</v>
      </c>
      <c r="R40" s="67">
        <v>2116</v>
      </c>
      <c r="S40" s="67">
        <v>251</v>
      </c>
      <c r="T40" s="67">
        <v>79</v>
      </c>
      <c r="U40" s="67">
        <v>1786</v>
      </c>
      <c r="V40" s="67">
        <v>1422</v>
      </c>
      <c r="W40" s="67">
        <v>247</v>
      </c>
      <c r="X40" s="67">
        <v>151</v>
      </c>
      <c r="Y40" s="67">
        <v>1024</v>
      </c>
      <c r="Z40" s="67">
        <v>674</v>
      </c>
      <c r="AA40" s="67">
        <v>219</v>
      </c>
      <c r="AB40" s="67">
        <v>275</v>
      </c>
      <c r="AC40" s="67">
        <v>180</v>
      </c>
      <c r="AD40" s="67">
        <v>64</v>
      </c>
      <c r="AE40" s="67">
        <v>21</v>
      </c>
      <c r="AF40" s="67">
        <v>28</v>
      </c>
      <c r="AG40" s="67">
        <v>15</v>
      </c>
      <c r="AH40" s="67">
        <v>597</v>
      </c>
      <c r="AI40" s="67">
        <v>134</v>
      </c>
      <c r="AJ40" s="67">
        <v>91</v>
      </c>
      <c r="AK40" s="67">
        <v>372</v>
      </c>
      <c r="AL40" s="67">
        <v>9820</v>
      </c>
      <c r="AM40" s="67">
        <v>1510</v>
      </c>
      <c r="AN40" s="67">
        <v>842</v>
      </c>
      <c r="AO40" s="67">
        <v>7468</v>
      </c>
      <c r="AP40" s="67">
        <v>4493</v>
      </c>
      <c r="AQ40" s="67">
        <v>518</v>
      </c>
      <c r="AR40" s="67">
        <v>159</v>
      </c>
      <c r="AS40" s="67">
        <v>3816</v>
      </c>
      <c r="AT40" s="67">
        <v>3293</v>
      </c>
      <c r="AU40" s="67">
        <v>564</v>
      </c>
      <c r="AV40" s="67">
        <v>334</v>
      </c>
      <c r="AW40" s="67">
        <v>2395</v>
      </c>
      <c r="AX40" s="67">
        <v>160</v>
      </c>
      <c r="AY40" s="67">
        <v>44</v>
      </c>
      <c r="AZ40" s="67">
        <v>64</v>
      </c>
      <c r="BA40" s="67">
        <v>52</v>
      </c>
      <c r="BB40" s="67">
        <v>1277</v>
      </c>
      <c r="BC40" s="67">
        <v>249</v>
      </c>
      <c r="BD40" s="67">
        <v>193</v>
      </c>
      <c r="BE40" s="67">
        <v>835</v>
      </c>
      <c r="BF40" s="67">
        <v>597</v>
      </c>
      <c r="BG40" s="67">
        <v>135</v>
      </c>
      <c r="BH40" s="67">
        <v>92</v>
      </c>
      <c r="BI40" s="67">
        <v>370</v>
      </c>
    </row>
    <row r="41" spans="1:61" ht="15.75" customHeight="1">
      <c r="A41" s="345" t="s">
        <v>12</v>
      </c>
      <c r="B41" s="65" t="s">
        <v>224</v>
      </c>
      <c r="C41" s="68">
        <v>74</v>
      </c>
      <c r="D41" s="68">
        <v>14</v>
      </c>
      <c r="E41" s="68">
        <v>60</v>
      </c>
      <c r="F41" s="68">
        <v>41</v>
      </c>
      <c r="G41" s="68">
        <v>19</v>
      </c>
      <c r="H41" s="68"/>
      <c r="I41" s="68"/>
      <c r="J41" s="68"/>
      <c r="K41" s="68"/>
      <c r="L41" s="68"/>
      <c r="M41" s="68"/>
      <c r="N41" s="68">
        <v>1964</v>
      </c>
      <c r="O41" s="68">
        <v>483</v>
      </c>
      <c r="P41" s="68">
        <v>307</v>
      </c>
      <c r="Q41" s="68">
        <v>1174</v>
      </c>
      <c r="R41" s="68">
        <v>654</v>
      </c>
      <c r="S41" s="68">
        <v>107</v>
      </c>
      <c r="T41" s="68">
        <v>20</v>
      </c>
      <c r="U41" s="68">
        <v>527</v>
      </c>
      <c r="V41" s="68">
        <v>626</v>
      </c>
      <c r="W41" s="68">
        <v>134</v>
      </c>
      <c r="X41" s="68">
        <v>73</v>
      </c>
      <c r="Y41" s="68">
        <v>419</v>
      </c>
      <c r="Z41" s="68">
        <v>408</v>
      </c>
      <c r="AA41" s="68">
        <v>149</v>
      </c>
      <c r="AB41" s="68">
        <v>171</v>
      </c>
      <c r="AC41" s="68">
        <v>88</v>
      </c>
      <c r="AD41" s="68">
        <v>39</v>
      </c>
      <c r="AE41" s="68">
        <v>18</v>
      </c>
      <c r="AF41" s="68">
        <v>14</v>
      </c>
      <c r="AG41" s="68">
        <v>7</v>
      </c>
      <c r="AH41" s="68">
        <v>237</v>
      </c>
      <c r="AI41" s="68">
        <v>75</v>
      </c>
      <c r="AJ41" s="68">
        <v>29</v>
      </c>
      <c r="AK41" s="68">
        <v>133</v>
      </c>
      <c r="AL41" s="68">
        <v>3678</v>
      </c>
      <c r="AM41" s="68">
        <v>782</v>
      </c>
      <c r="AN41" s="68">
        <v>328</v>
      </c>
      <c r="AO41" s="68">
        <v>2568</v>
      </c>
      <c r="AP41" s="68">
        <v>1410</v>
      </c>
      <c r="AQ41" s="68">
        <v>225</v>
      </c>
      <c r="AR41" s="68">
        <v>42</v>
      </c>
      <c r="AS41" s="68">
        <v>1143</v>
      </c>
      <c r="AT41" s="68">
        <v>1432</v>
      </c>
      <c r="AU41" s="68">
        <v>310</v>
      </c>
      <c r="AV41" s="68">
        <v>156</v>
      </c>
      <c r="AW41" s="68">
        <v>966</v>
      </c>
      <c r="AX41" s="68">
        <v>100</v>
      </c>
      <c r="AY41" s="68">
        <v>39</v>
      </c>
      <c r="AZ41" s="68">
        <v>32</v>
      </c>
      <c r="BA41" s="68">
        <v>29</v>
      </c>
      <c r="BB41" s="68">
        <v>499</v>
      </c>
      <c r="BC41" s="68">
        <v>133</v>
      </c>
      <c r="BD41" s="68">
        <v>68</v>
      </c>
      <c r="BE41" s="68">
        <v>298</v>
      </c>
      <c r="BF41" s="68">
        <v>237</v>
      </c>
      <c r="BG41" s="68">
        <v>75</v>
      </c>
      <c r="BH41" s="68">
        <v>30</v>
      </c>
      <c r="BI41" s="68">
        <v>132</v>
      </c>
    </row>
    <row r="42" spans="1:61" ht="15.75" customHeight="1">
      <c r="A42" s="346"/>
      <c r="B42" s="65" t="s">
        <v>225</v>
      </c>
      <c r="C42" s="68">
        <v>1004</v>
      </c>
      <c r="D42" s="68">
        <v>103</v>
      </c>
      <c r="E42" s="68">
        <v>901</v>
      </c>
      <c r="F42" s="68">
        <v>610</v>
      </c>
      <c r="G42" s="68">
        <v>291</v>
      </c>
      <c r="H42" s="68"/>
      <c r="I42" s="68"/>
      <c r="J42" s="68"/>
      <c r="K42" s="68"/>
      <c r="L42" s="68"/>
      <c r="M42" s="68"/>
      <c r="N42" s="68">
        <v>2909</v>
      </c>
      <c r="O42" s="68">
        <v>389</v>
      </c>
      <c r="P42" s="68">
        <v>317</v>
      </c>
      <c r="Q42" s="68">
        <v>2203</v>
      </c>
      <c r="R42" s="68">
        <v>1462</v>
      </c>
      <c r="S42" s="68">
        <v>144</v>
      </c>
      <c r="T42" s="68">
        <v>59</v>
      </c>
      <c r="U42" s="68">
        <v>1259</v>
      </c>
      <c r="V42" s="68">
        <v>796</v>
      </c>
      <c r="W42" s="68">
        <v>113</v>
      </c>
      <c r="X42" s="68">
        <v>78</v>
      </c>
      <c r="Y42" s="68">
        <v>605</v>
      </c>
      <c r="Z42" s="68">
        <v>266</v>
      </c>
      <c r="AA42" s="68">
        <v>70</v>
      </c>
      <c r="AB42" s="68">
        <v>104</v>
      </c>
      <c r="AC42" s="68">
        <v>92</v>
      </c>
      <c r="AD42" s="68">
        <v>25</v>
      </c>
      <c r="AE42" s="68">
        <v>3</v>
      </c>
      <c r="AF42" s="68">
        <v>14</v>
      </c>
      <c r="AG42" s="68">
        <v>8</v>
      </c>
      <c r="AH42" s="68">
        <v>360</v>
      </c>
      <c r="AI42" s="68">
        <v>59</v>
      </c>
      <c r="AJ42" s="68">
        <v>62</v>
      </c>
      <c r="AK42" s="68">
        <v>239</v>
      </c>
      <c r="AL42" s="68">
        <v>6142</v>
      </c>
      <c r="AM42" s="68">
        <v>728</v>
      </c>
      <c r="AN42" s="68">
        <v>514</v>
      </c>
      <c r="AO42" s="68">
        <v>4900</v>
      </c>
      <c r="AP42" s="68">
        <v>3083</v>
      </c>
      <c r="AQ42" s="68">
        <v>293</v>
      </c>
      <c r="AR42" s="68">
        <v>117</v>
      </c>
      <c r="AS42" s="68">
        <v>2673</v>
      </c>
      <c r="AT42" s="68">
        <v>1861</v>
      </c>
      <c r="AU42" s="68">
        <v>254</v>
      </c>
      <c r="AV42" s="68">
        <v>178</v>
      </c>
      <c r="AW42" s="68">
        <v>1429</v>
      </c>
      <c r="AX42" s="68">
        <v>60</v>
      </c>
      <c r="AY42" s="68">
        <v>5</v>
      </c>
      <c r="AZ42" s="68">
        <v>32</v>
      </c>
      <c r="BA42" s="68">
        <v>23</v>
      </c>
      <c r="BB42" s="68">
        <v>778</v>
      </c>
      <c r="BC42" s="68">
        <v>116</v>
      </c>
      <c r="BD42" s="68">
        <v>125</v>
      </c>
      <c r="BE42" s="68">
        <v>537</v>
      </c>
      <c r="BF42" s="68">
        <v>360</v>
      </c>
      <c r="BG42" s="68">
        <v>60</v>
      </c>
      <c r="BH42" s="68">
        <v>62</v>
      </c>
      <c r="BI42" s="68">
        <v>238</v>
      </c>
    </row>
    <row r="43" spans="1:61" ht="15.75" customHeight="1">
      <c r="A43" s="63" t="s">
        <v>212</v>
      </c>
      <c r="B43" s="64" t="s">
        <v>223</v>
      </c>
      <c r="C43" s="67">
        <v>457</v>
      </c>
      <c r="D43" s="67">
        <v>61</v>
      </c>
      <c r="E43" s="67">
        <v>396</v>
      </c>
      <c r="F43" s="67">
        <v>367</v>
      </c>
      <c r="G43" s="67">
        <v>29</v>
      </c>
      <c r="H43" s="67">
        <v>58</v>
      </c>
      <c r="I43" s="67">
        <v>860</v>
      </c>
      <c r="J43" s="67">
        <v>12</v>
      </c>
      <c r="K43" s="67">
        <v>60</v>
      </c>
      <c r="L43" s="67">
        <v>46</v>
      </c>
      <c r="M43" s="67">
        <v>800</v>
      </c>
      <c r="N43" s="67">
        <v>4286</v>
      </c>
      <c r="O43" s="67">
        <v>795</v>
      </c>
      <c r="P43" s="67">
        <v>401</v>
      </c>
      <c r="Q43" s="67">
        <v>3090</v>
      </c>
      <c r="R43" s="67">
        <v>1768</v>
      </c>
      <c r="S43" s="67">
        <v>187</v>
      </c>
      <c r="T43" s="67">
        <v>20</v>
      </c>
      <c r="U43" s="67">
        <v>1561</v>
      </c>
      <c r="V43" s="67">
        <v>1344</v>
      </c>
      <c r="W43" s="67">
        <v>236</v>
      </c>
      <c r="X43" s="67">
        <v>81</v>
      </c>
      <c r="Y43" s="67">
        <v>1027</v>
      </c>
      <c r="Z43" s="67">
        <v>615</v>
      </c>
      <c r="AA43" s="67">
        <v>241</v>
      </c>
      <c r="AB43" s="67">
        <v>240</v>
      </c>
      <c r="AC43" s="67">
        <v>134</v>
      </c>
      <c r="AD43" s="67">
        <v>0</v>
      </c>
      <c r="AE43" s="67">
        <v>0</v>
      </c>
      <c r="AF43" s="67">
        <v>0</v>
      </c>
      <c r="AG43" s="67">
        <v>0</v>
      </c>
      <c r="AH43" s="67">
        <v>559</v>
      </c>
      <c r="AI43" s="67">
        <v>131</v>
      </c>
      <c r="AJ43" s="67">
        <v>60</v>
      </c>
      <c r="AK43" s="67">
        <v>368</v>
      </c>
      <c r="AL43" s="67">
        <v>5310</v>
      </c>
      <c r="AM43" s="67">
        <v>936</v>
      </c>
      <c r="AN43" s="67">
        <v>476</v>
      </c>
      <c r="AO43" s="67">
        <v>3898</v>
      </c>
      <c r="AP43" s="67">
        <v>2174</v>
      </c>
      <c r="AQ43" s="67">
        <v>226</v>
      </c>
      <c r="AR43" s="67">
        <v>23</v>
      </c>
      <c r="AS43" s="67">
        <v>1925</v>
      </c>
      <c r="AT43" s="67">
        <v>1683</v>
      </c>
      <c r="AU43" s="67">
        <v>276</v>
      </c>
      <c r="AV43" s="67">
        <v>98</v>
      </c>
      <c r="AW43" s="67">
        <v>1309</v>
      </c>
      <c r="AX43" s="67">
        <v>712</v>
      </c>
      <c r="AY43" s="67">
        <v>268</v>
      </c>
      <c r="AZ43" s="67">
        <v>278</v>
      </c>
      <c r="BA43" s="67">
        <v>166</v>
      </c>
      <c r="BB43" s="67">
        <v>2</v>
      </c>
      <c r="BC43" s="67">
        <v>0</v>
      </c>
      <c r="BD43" s="67">
        <v>0</v>
      </c>
      <c r="BE43" s="67">
        <v>2</v>
      </c>
      <c r="BF43" s="67">
        <v>739</v>
      </c>
      <c r="BG43" s="67">
        <v>166</v>
      </c>
      <c r="BH43" s="67">
        <v>77</v>
      </c>
      <c r="BI43" s="67">
        <v>496</v>
      </c>
    </row>
    <row r="44" spans="1:61" ht="15.75" customHeight="1">
      <c r="A44" s="345" t="s">
        <v>13</v>
      </c>
      <c r="B44" s="65" t="s">
        <v>224</v>
      </c>
      <c r="C44" s="68">
        <v>41</v>
      </c>
      <c r="D44" s="68">
        <v>5</v>
      </c>
      <c r="E44" s="68">
        <v>36</v>
      </c>
      <c r="F44" s="68">
        <v>32</v>
      </c>
      <c r="G44" s="68">
        <v>4</v>
      </c>
      <c r="H44" s="68"/>
      <c r="I44" s="68"/>
      <c r="J44" s="68"/>
      <c r="K44" s="68"/>
      <c r="L44" s="68"/>
      <c r="M44" s="68"/>
      <c r="N44" s="68">
        <v>1716</v>
      </c>
      <c r="O44" s="68">
        <v>448</v>
      </c>
      <c r="P44" s="68">
        <v>204</v>
      </c>
      <c r="Q44" s="68">
        <v>1064</v>
      </c>
      <c r="R44" s="68">
        <v>524</v>
      </c>
      <c r="S44" s="68">
        <v>84</v>
      </c>
      <c r="T44" s="68">
        <v>6</v>
      </c>
      <c r="U44" s="68">
        <v>434</v>
      </c>
      <c r="V44" s="68">
        <v>589</v>
      </c>
      <c r="W44" s="68">
        <v>118</v>
      </c>
      <c r="X44" s="68">
        <v>46</v>
      </c>
      <c r="Y44" s="68">
        <v>425</v>
      </c>
      <c r="Z44" s="68">
        <v>379</v>
      </c>
      <c r="AA44" s="68">
        <v>178</v>
      </c>
      <c r="AB44" s="68">
        <v>130</v>
      </c>
      <c r="AC44" s="68">
        <v>71</v>
      </c>
      <c r="AD44" s="68">
        <v>0</v>
      </c>
      <c r="AE44" s="68">
        <v>0</v>
      </c>
      <c r="AF44" s="68">
        <v>0</v>
      </c>
      <c r="AG44" s="68">
        <v>0</v>
      </c>
      <c r="AH44" s="68">
        <v>224</v>
      </c>
      <c r="AI44" s="68">
        <v>68</v>
      </c>
      <c r="AJ44" s="68">
        <v>22</v>
      </c>
      <c r="AK44" s="68">
        <v>134</v>
      </c>
      <c r="AL44" s="68">
        <v>2154</v>
      </c>
      <c r="AM44" s="68">
        <v>528</v>
      </c>
      <c r="AN44" s="68">
        <v>240</v>
      </c>
      <c r="AO44" s="68">
        <v>1386</v>
      </c>
      <c r="AP44" s="68">
        <v>667</v>
      </c>
      <c r="AQ44" s="68">
        <v>100</v>
      </c>
      <c r="AR44" s="68">
        <v>6</v>
      </c>
      <c r="AS44" s="68">
        <v>561</v>
      </c>
      <c r="AT44" s="68">
        <v>744</v>
      </c>
      <c r="AU44" s="68">
        <v>144</v>
      </c>
      <c r="AV44" s="68">
        <v>51</v>
      </c>
      <c r="AW44" s="68">
        <v>549</v>
      </c>
      <c r="AX44" s="68">
        <v>436</v>
      </c>
      <c r="AY44" s="68">
        <v>194</v>
      </c>
      <c r="AZ44" s="68">
        <v>153</v>
      </c>
      <c r="BA44" s="68">
        <v>89</v>
      </c>
      <c r="BB44" s="68">
        <v>0</v>
      </c>
      <c r="BC44" s="68">
        <v>0</v>
      </c>
      <c r="BD44" s="68">
        <v>0</v>
      </c>
      <c r="BE44" s="68">
        <v>0</v>
      </c>
      <c r="BF44" s="68">
        <v>307</v>
      </c>
      <c r="BG44" s="68">
        <v>90</v>
      </c>
      <c r="BH44" s="68">
        <v>30</v>
      </c>
      <c r="BI44" s="68">
        <v>187</v>
      </c>
    </row>
    <row r="45" spans="1:61" ht="15.75" customHeight="1">
      <c r="A45" s="346"/>
      <c r="B45" s="65" t="s">
        <v>225</v>
      </c>
      <c r="C45" s="68">
        <v>416</v>
      </c>
      <c r="D45" s="68">
        <v>56</v>
      </c>
      <c r="E45" s="68">
        <v>360</v>
      </c>
      <c r="F45" s="68">
        <v>335</v>
      </c>
      <c r="G45" s="68">
        <v>25</v>
      </c>
      <c r="H45" s="68"/>
      <c r="I45" s="68"/>
      <c r="J45" s="68"/>
      <c r="K45" s="68"/>
      <c r="L45" s="68"/>
      <c r="M45" s="68"/>
      <c r="N45" s="68">
        <v>2570</v>
      </c>
      <c r="O45" s="68">
        <v>347</v>
      </c>
      <c r="P45" s="68">
        <v>197</v>
      </c>
      <c r="Q45" s="68">
        <v>2026</v>
      </c>
      <c r="R45" s="68">
        <v>1244</v>
      </c>
      <c r="S45" s="68">
        <v>103</v>
      </c>
      <c r="T45" s="68">
        <v>14</v>
      </c>
      <c r="U45" s="68">
        <v>1127</v>
      </c>
      <c r="V45" s="68">
        <v>755</v>
      </c>
      <c r="W45" s="68">
        <v>118</v>
      </c>
      <c r="X45" s="68">
        <v>35</v>
      </c>
      <c r="Y45" s="68">
        <v>602</v>
      </c>
      <c r="Z45" s="68">
        <v>236</v>
      </c>
      <c r="AA45" s="68">
        <v>63</v>
      </c>
      <c r="AB45" s="68">
        <v>110</v>
      </c>
      <c r="AC45" s="68">
        <v>63</v>
      </c>
      <c r="AD45" s="68">
        <v>0</v>
      </c>
      <c r="AE45" s="68">
        <v>0</v>
      </c>
      <c r="AF45" s="68">
        <v>0</v>
      </c>
      <c r="AG45" s="68">
        <v>0</v>
      </c>
      <c r="AH45" s="68">
        <v>335</v>
      </c>
      <c r="AI45" s="68">
        <v>63</v>
      </c>
      <c r="AJ45" s="68">
        <v>38</v>
      </c>
      <c r="AK45" s="68">
        <v>234</v>
      </c>
      <c r="AL45" s="68">
        <v>3156</v>
      </c>
      <c r="AM45" s="68">
        <v>408</v>
      </c>
      <c r="AN45" s="68">
        <v>236</v>
      </c>
      <c r="AO45" s="68">
        <v>2512</v>
      </c>
      <c r="AP45" s="68">
        <v>1507</v>
      </c>
      <c r="AQ45" s="68">
        <v>126</v>
      </c>
      <c r="AR45" s="68">
        <v>17</v>
      </c>
      <c r="AS45" s="68">
        <v>1364</v>
      </c>
      <c r="AT45" s="68">
        <v>939</v>
      </c>
      <c r="AU45" s="68">
        <v>132</v>
      </c>
      <c r="AV45" s="68">
        <v>47</v>
      </c>
      <c r="AW45" s="68">
        <v>760</v>
      </c>
      <c r="AX45" s="68">
        <v>276</v>
      </c>
      <c r="AY45" s="68">
        <v>74</v>
      </c>
      <c r="AZ45" s="68">
        <v>125</v>
      </c>
      <c r="BA45" s="68">
        <v>77</v>
      </c>
      <c r="BB45" s="68">
        <v>2</v>
      </c>
      <c r="BC45" s="68">
        <v>0</v>
      </c>
      <c r="BD45" s="68">
        <v>0</v>
      </c>
      <c r="BE45" s="68">
        <v>2</v>
      </c>
      <c r="BF45" s="68">
        <v>432</v>
      </c>
      <c r="BG45" s="68">
        <v>76</v>
      </c>
      <c r="BH45" s="68">
        <v>47</v>
      </c>
      <c r="BI45" s="68">
        <v>309</v>
      </c>
    </row>
    <row r="46" spans="1:61" ht="15.75" customHeight="1">
      <c r="A46" s="63" t="s">
        <v>213</v>
      </c>
      <c r="B46" s="64" t="s">
        <v>223</v>
      </c>
      <c r="C46" s="67">
        <v>635</v>
      </c>
      <c r="D46" s="67">
        <v>74</v>
      </c>
      <c r="E46" s="67">
        <v>561</v>
      </c>
      <c r="F46" s="67">
        <v>561</v>
      </c>
      <c r="G46" s="67">
        <v>0</v>
      </c>
      <c r="H46" s="67">
        <v>6</v>
      </c>
      <c r="I46" s="67">
        <v>307</v>
      </c>
      <c r="J46" s="67">
        <v>2</v>
      </c>
      <c r="K46" s="67">
        <v>41</v>
      </c>
      <c r="L46" s="67">
        <v>4</v>
      </c>
      <c r="M46" s="67">
        <v>266</v>
      </c>
      <c r="N46" s="67">
        <v>3671</v>
      </c>
      <c r="O46" s="67">
        <v>618</v>
      </c>
      <c r="P46" s="67">
        <v>421</v>
      </c>
      <c r="Q46" s="67">
        <v>2632</v>
      </c>
      <c r="R46" s="67">
        <v>1378</v>
      </c>
      <c r="S46" s="67">
        <v>160</v>
      </c>
      <c r="T46" s="67">
        <v>28</v>
      </c>
      <c r="U46" s="67">
        <v>1190</v>
      </c>
      <c r="V46" s="67">
        <v>1253</v>
      </c>
      <c r="W46" s="67">
        <v>260</v>
      </c>
      <c r="X46" s="67">
        <v>84</v>
      </c>
      <c r="Y46" s="67">
        <v>909</v>
      </c>
      <c r="Z46" s="67">
        <v>583</v>
      </c>
      <c r="AA46" s="67">
        <v>177</v>
      </c>
      <c r="AB46" s="67">
        <v>281</v>
      </c>
      <c r="AC46" s="67">
        <v>125</v>
      </c>
      <c r="AD46" s="67">
        <v>9</v>
      </c>
      <c r="AE46" s="67">
        <v>5</v>
      </c>
      <c r="AF46" s="67">
        <v>0</v>
      </c>
      <c r="AG46" s="67">
        <v>4</v>
      </c>
      <c r="AH46" s="67">
        <v>448</v>
      </c>
      <c r="AI46" s="67">
        <v>16</v>
      </c>
      <c r="AJ46" s="67">
        <v>28</v>
      </c>
      <c r="AK46" s="67">
        <v>404</v>
      </c>
      <c r="AL46" s="67">
        <v>5233</v>
      </c>
      <c r="AM46" s="67">
        <v>915</v>
      </c>
      <c r="AN46" s="67">
        <v>578</v>
      </c>
      <c r="AO46" s="67">
        <v>3740</v>
      </c>
      <c r="AP46" s="67">
        <v>1904</v>
      </c>
      <c r="AQ46" s="67">
        <v>244</v>
      </c>
      <c r="AR46" s="67">
        <v>37</v>
      </c>
      <c r="AS46" s="67">
        <v>1623</v>
      </c>
      <c r="AT46" s="67">
        <v>1897</v>
      </c>
      <c r="AU46" s="67">
        <v>380</v>
      </c>
      <c r="AV46" s="67">
        <v>124</v>
      </c>
      <c r="AW46" s="67">
        <v>1393</v>
      </c>
      <c r="AX46" s="67">
        <v>769</v>
      </c>
      <c r="AY46" s="67">
        <v>226</v>
      </c>
      <c r="AZ46" s="67">
        <v>366</v>
      </c>
      <c r="BA46" s="67">
        <v>177</v>
      </c>
      <c r="BB46" s="67">
        <v>10</v>
      </c>
      <c r="BC46" s="67">
        <v>1</v>
      </c>
      <c r="BD46" s="67">
        <v>5</v>
      </c>
      <c r="BE46" s="67">
        <v>4</v>
      </c>
      <c r="BF46" s="67">
        <v>653</v>
      </c>
      <c r="BG46" s="67">
        <v>64</v>
      </c>
      <c r="BH46" s="67">
        <v>46</v>
      </c>
      <c r="BI46" s="67">
        <v>543</v>
      </c>
    </row>
    <row r="47" spans="1:61" ht="15.75" customHeight="1">
      <c r="A47" s="345" t="s">
        <v>14</v>
      </c>
      <c r="B47" s="65" t="s">
        <v>224</v>
      </c>
      <c r="C47" s="68">
        <v>87</v>
      </c>
      <c r="D47" s="68">
        <v>13</v>
      </c>
      <c r="E47" s="68">
        <v>74</v>
      </c>
      <c r="F47" s="68">
        <v>74</v>
      </c>
      <c r="G47" s="68">
        <v>0</v>
      </c>
      <c r="H47" s="68"/>
      <c r="I47" s="68"/>
      <c r="J47" s="68"/>
      <c r="K47" s="68"/>
      <c r="L47" s="68"/>
      <c r="M47" s="68"/>
      <c r="N47" s="68">
        <v>1510</v>
      </c>
      <c r="O47" s="68">
        <v>351</v>
      </c>
      <c r="P47" s="68">
        <v>222</v>
      </c>
      <c r="Q47" s="68">
        <v>937</v>
      </c>
      <c r="R47" s="68">
        <v>424</v>
      </c>
      <c r="S47" s="68">
        <v>59</v>
      </c>
      <c r="T47" s="68">
        <v>8</v>
      </c>
      <c r="U47" s="68">
        <v>357</v>
      </c>
      <c r="V47" s="68">
        <v>569</v>
      </c>
      <c r="W47" s="68">
        <v>147</v>
      </c>
      <c r="X47" s="68">
        <v>37</v>
      </c>
      <c r="Y47" s="68">
        <v>385</v>
      </c>
      <c r="Z47" s="68">
        <v>370</v>
      </c>
      <c r="AA47" s="68">
        <v>134</v>
      </c>
      <c r="AB47" s="68">
        <v>169</v>
      </c>
      <c r="AC47" s="68">
        <v>67</v>
      </c>
      <c r="AD47" s="68">
        <v>8</v>
      </c>
      <c r="AE47" s="68">
        <v>4</v>
      </c>
      <c r="AF47" s="68">
        <v>0</v>
      </c>
      <c r="AG47" s="68">
        <v>4</v>
      </c>
      <c r="AH47" s="68">
        <v>139</v>
      </c>
      <c r="AI47" s="68">
        <v>7</v>
      </c>
      <c r="AJ47" s="68">
        <v>8</v>
      </c>
      <c r="AK47" s="68">
        <v>124</v>
      </c>
      <c r="AL47" s="68">
        <v>2176</v>
      </c>
      <c r="AM47" s="68">
        <v>520</v>
      </c>
      <c r="AN47" s="68">
        <v>298</v>
      </c>
      <c r="AO47" s="68">
        <v>1358</v>
      </c>
      <c r="AP47" s="68">
        <v>604</v>
      </c>
      <c r="AQ47" s="68">
        <v>98</v>
      </c>
      <c r="AR47" s="68">
        <v>12</v>
      </c>
      <c r="AS47" s="68">
        <v>494</v>
      </c>
      <c r="AT47" s="68">
        <v>877</v>
      </c>
      <c r="AU47" s="68">
        <v>214</v>
      </c>
      <c r="AV47" s="68">
        <v>58</v>
      </c>
      <c r="AW47" s="68">
        <v>605</v>
      </c>
      <c r="AX47" s="68">
        <v>493</v>
      </c>
      <c r="AY47" s="68">
        <v>181</v>
      </c>
      <c r="AZ47" s="68">
        <v>214</v>
      </c>
      <c r="BA47" s="68">
        <v>98</v>
      </c>
      <c r="BB47" s="68">
        <v>9</v>
      </c>
      <c r="BC47" s="68">
        <v>1</v>
      </c>
      <c r="BD47" s="68">
        <v>4</v>
      </c>
      <c r="BE47" s="68">
        <v>4</v>
      </c>
      <c r="BF47" s="68">
        <v>193</v>
      </c>
      <c r="BG47" s="68">
        <v>26</v>
      </c>
      <c r="BH47" s="68">
        <v>10</v>
      </c>
      <c r="BI47" s="68">
        <v>157</v>
      </c>
    </row>
    <row r="48" spans="1:61" ht="15.75" customHeight="1">
      <c r="A48" s="346"/>
      <c r="B48" s="65" t="s">
        <v>225</v>
      </c>
      <c r="C48" s="68">
        <v>548</v>
      </c>
      <c r="D48" s="68">
        <v>61</v>
      </c>
      <c r="E48" s="68">
        <v>487</v>
      </c>
      <c r="F48" s="68">
        <v>487</v>
      </c>
      <c r="G48" s="68">
        <v>0</v>
      </c>
      <c r="H48" s="68"/>
      <c r="I48" s="68"/>
      <c r="J48" s="68"/>
      <c r="K48" s="68"/>
      <c r="L48" s="68"/>
      <c r="M48" s="68"/>
      <c r="N48" s="68">
        <v>2161</v>
      </c>
      <c r="O48" s="68">
        <v>267</v>
      </c>
      <c r="P48" s="68">
        <v>199</v>
      </c>
      <c r="Q48" s="68">
        <v>1695</v>
      </c>
      <c r="R48" s="68">
        <v>954</v>
      </c>
      <c r="S48" s="68">
        <v>101</v>
      </c>
      <c r="T48" s="68">
        <v>20</v>
      </c>
      <c r="U48" s="68">
        <v>833</v>
      </c>
      <c r="V48" s="68">
        <v>684</v>
      </c>
      <c r="W48" s="68">
        <v>113</v>
      </c>
      <c r="X48" s="68">
        <v>47</v>
      </c>
      <c r="Y48" s="68">
        <v>524</v>
      </c>
      <c r="Z48" s="68">
        <v>213</v>
      </c>
      <c r="AA48" s="68">
        <v>43</v>
      </c>
      <c r="AB48" s="68">
        <v>112</v>
      </c>
      <c r="AC48" s="68">
        <v>58</v>
      </c>
      <c r="AD48" s="68">
        <v>1</v>
      </c>
      <c r="AE48" s="68">
        <v>1</v>
      </c>
      <c r="AF48" s="68">
        <v>0</v>
      </c>
      <c r="AG48" s="68">
        <v>0</v>
      </c>
      <c r="AH48" s="68">
        <v>309</v>
      </c>
      <c r="AI48" s="68">
        <v>9</v>
      </c>
      <c r="AJ48" s="68">
        <v>20</v>
      </c>
      <c r="AK48" s="68">
        <v>280</v>
      </c>
      <c r="AL48" s="68">
        <v>3057</v>
      </c>
      <c r="AM48" s="68">
        <v>395</v>
      </c>
      <c r="AN48" s="68">
        <v>280</v>
      </c>
      <c r="AO48" s="68">
        <v>2382</v>
      </c>
      <c r="AP48" s="68">
        <v>1300</v>
      </c>
      <c r="AQ48" s="68">
        <v>146</v>
      </c>
      <c r="AR48" s="68">
        <v>25</v>
      </c>
      <c r="AS48" s="68">
        <v>1129</v>
      </c>
      <c r="AT48" s="68">
        <v>1020</v>
      </c>
      <c r="AU48" s="68">
        <v>166</v>
      </c>
      <c r="AV48" s="68">
        <v>66</v>
      </c>
      <c r="AW48" s="68">
        <v>788</v>
      </c>
      <c r="AX48" s="68">
        <v>276</v>
      </c>
      <c r="AY48" s="68">
        <v>45</v>
      </c>
      <c r="AZ48" s="68">
        <v>152</v>
      </c>
      <c r="BA48" s="68">
        <v>79</v>
      </c>
      <c r="BB48" s="68">
        <v>1</v>
      </c>
      <c r="BC48" s="68">
        <v>0</v>
      </c>
      <c r="BD48" s="68">
        <v>1</v>
      </c>
      <c r="BE48" s="68">
        <v>0</v>
      </c>
      <c r="BF48" s="68">
        <v>460</v>
      </c>
      <c r="BG48" s="68">
        <v>38</v>
      </c>
      <c r="BH48" s="68">
        <v>36</v>
      </c>
      <c r="BI48" s="68">
        <v>386</v>
      </c>
    </row>
    <row r="49" spans="1:61" ht="15.75" customHeight="1">
      <c r="A49" s="63" t="s">
        <v>214</v>
      </c>
      <c r="B49" s="64" t="s">
        <v>223</v>
      </c>
      <c r="C49" s="67">
        <v>1482</v>
      </c>
      <c r="D49" s="67">
        <v>149</v>
      </c>
      <c r="E49" s="67">
        <v>1333</v>
      </c>
      <c r="F49" s="67">
        <v>890</v>
      </c>
      <c r="G49" s="67">
        <v>443</v>
      </c>
      <c r="H49" s="67">
        <v>32</v>
      </c>
      <c r="I49" s="67">
        <v>821</v>
      </c>
      <c r="J49" s="67">
        <v>3</v>
      </c>
      <c r="K49" s="67">
        <v>85</v>
      </c>
      <c r="L49" s="67">
        <v>29</v>
      </c>
      <c r="M49" s="67">
        <v>736</v>
      </c>
      <c r="N49" s="67">
        <v>8005</v>
      </c>
      <c r="O49" s="67">
        <v>1891</v>
      </c>
      <c r="P49" s="67">
        <v>1008</v>
      </c>
      <c r="Q49" s="67">
        <v>5106</v>
      </c>
      <c r="R49" s="67">
        <v>3322</v>
      </c>
      <c r="S49" s="67">
        <v>481</v>
      </c>
      <c r="T49" s="67">
        <v>91</v>
      </c>
      <c r="U49" s="67">
        <v>2750</v>
      </c>
      <c r="V49" s="67">
        <v>2323</v>
      </c>
      <c r="W49" s="67">
        <v>516</v>
      </c>
      <c r="X49" s="67">
        <v>295</v>
      </c>
      <c r="Y49" s="67">
        <v>1512</v>
      </c>
      <c r="Z49" s="67">
        <v>1258</v>
      </c>
      <c r="AA49" s="67">
        <v>556</v>
      </c>
      <c r="AB49" s="67">
        <v>417</v>
      </c>
      <c r="AC49" s="67">
        <v>285</v>
      </c>
      <c r="AD49" s="67">
        <v>190</v>
      </c>
      <c r="AE49" s="67">
        <v>67</v>
      </c>
      <c r="AF49" s="67">
        <v>57</v>
      </c>
      <c r="AG49" s="67">
        <v>66</v>
      </c>
      <c r="AH49" s="67">
        <v>912</v>
      </c>
      <c r="AI49" s="67">
        <v>271</v>
      </c>
      <c r="AJ49" s="67">
        <v>148</v>
      </c>
      <c r="AK49" s="67">
        <v>493</v>
      </c>
      <c r="AL49" s="67">
        <v>11612</v>
      </c>
      <c r="AM49" s="67">
        <v>2410</v>
      </c>
      <c r="AN49" s="67">
        <v>1441</v>
      </c>
      <c r="AO49" s="67">
        <v>7761</v>
      </c>
      <c r="AP49" s="67">
        <v>5666</v>
      </c>
      <c r="AQ49" s="67">
        <v>800</v>
      </c>
      <c r="AR49" s="67">
        <v>307</v>
      </c>
      <c r="AS49" s="67">
        <v>4559</v>
      </c>
      <c r="AT49" s="67">
        <v>3372</v>
      </c>
      <c r="AU49" s="67">
        <v>698</v>
      </c>
      <c r="AV49" s="67">
        <v>435</v>
      </c>
      <c r="AW49" s="67">
        <v>2239</v>
      </c>
      <c r="AX49" s="67">
        <v>1779</v>
      </c>
      <c r="AY49" s="67">
        <v>727</v>
      </c>
      <c r="AZ49" s="67">
        <v>571</v>
      </c>
      <c r="BA49" s="67">
        <v>481</v>
      </c>
      <c r="BB49" s="67">
        <v>279</v>
      </c>
      <c r="BC49" s="67">
        <v>97</v>
      </c>
      <c r="BD49" s="67">
        <v>70</v>
      </c>
      <c r="BE49" s="67">
        <v>112</v>
      </c>
      <c r="BF49" s="67">
        <v>516</v>
      </c>
      <c r="BG49" s="67">
        <v>88</v>
      </c>
      <c r="BH49" s="67">
        <v>58</v>
      </c>
      <c r="BI49" s="67">
        <v>370</v>
      </c>
    </row>
    <row r="50" spans="1:61" ht="15.75" customHeight="1">
      <c r="A50" s="345" t="s">
        <v>15</v>
      </c>
      <c r="B50" s="65" t="s">
        <v>224</v>
      </c>
      <c r="C50" s="68">
        <v>144</v>
      </c>
      <c r="D50" s="68">
        <v>18</v>
      </c>
      <c r="E50" s="68">
        <v>126</v>
      </c>
      <c r="F50" s="68">
        <v>83</v>
      </c>
      <c r="G50" s="68">
        <v>43</v>
      </c>
      <c r="H50" s="68"/>
      <c r="I50" s="68"/>
      <c r="J50" s="68"/>
      <c r="K50" s="68"/>
      <c r="L50" s="68"/>
      <c r="M50" s="68"/>
      <c r="N50" s="68">
        <v>3394</v>
      </c>
      <c r="O50" s="68">
        <v>1081</v>
      </c>
      <c r="P50" s="68">
        <v>501</v>
      </c>
      <c r="Q50" s="68">
        <v>1812</v>
      </c>
      <c r="R50" s="68">
        <v>1016</v>
      </c>
      <c r="S50" s="68">
        <v>181</v>
      </c>
      <c r="T50" s="68">
        <v>21</v>
      </c>
      <c r="U50" s="68">
        <v>814</v>
      </c>
      <c r="V50" s="68">
        <v>1058</v>
      </c>
      <c r="W50" s="68">
        <v>283</v>
      </c>
      <c r="X50" s="68">
        <v>137</v>
      </c>
      <c r="Y50" s="68">
        <v>638</v>
      </c>
      <c r="Z50" s="68">
        <v>803</v>
      </c>
      <c r="AA50" s="68">
        <v>409</v>
      </c>
      <c r="AB50" s="68">
        <v>241</v>
      </c>
      <c r="AC50" s="68">
        <v>153</v>
      </c>
      <c r="AD50" s="68">
        <v>124</v>
      </c>
      <c r="AE50" s="68">
        <v>53</v>
      </c>
      <c r="AF50" s="68">
        <v>35</v>
      </c>
      <c r="AG50" s="68">
        <v>36</v>
      </c>
      <c r="AH50" s="68">
        <v>393</v>
      </c>
      <c r="AI50" s="68">
        <v>155</v>
      </c>
      <c r="AJ50" s="68">
        <v>67</v>
      </c>
      <c r="AK50" s="68">
        <v>171</v>
      </c>
      <c r="AL50" s="68">
        <v>4959</v>
      </c>
      <c r="AM50" s="68">
        <v>1363</v>
      </c>
      <c r="AN50" s="68">
        <v>691</v>
      </c>
      <c r="AO50" s="68">
        <v>2905</v>
      </c>
      <c r="AP50" s="68">
        <v>1978</v>
      </c>
      <c r="AQ50" s="68">
        <v>356</v>
      </c>
      <c r="AR50" s="68">
        <v>118</v>
      </c>
      <c r="AS50" s="68">
        <v>1504</v>
      </c>
      <c r="AT50" s="68">
        <v>1525</v>
      </c>
      <c r="AU50" s="68">
        <v>381</v>
      </c>
      <c r="AV50" s="68">
        <v>207</v>
      </c>
      <c r="AW50" s="68">
        <v>937</v>
      </c>
      <c r="AX50" s="68">
        <v>1073</v>
      </c>
      <c r="AY50" s="68">
        <v>512</v>
      </c>
      <c r="AZ50" s="68">
        <v>307</v>
      </c>
      <c r="BA50" s="68">
        <v>254</v>
      </c>
      <c r="BB50" s="68">
        <v>174</v>
      </c>
      <c r="BC50" s="68">
        <v>75</v>
      </c>
      <c r="BD50" s="68">
        <v>37</v>
      </c>
      <c r="BE50" s="68">
        <v>62</v>
      </c>
      <c r="BF50" s="68">
        <v>209</v>
      </c>
      <c r="BG50" s="68">
        <v>39</v>
      </c>
      <c r="BH50" s="68">
        <v>22</v>
      </c>
      <c r="BI50" s="68">
        <v>148</v>
      </c>
    </row>
    <row r="51" spans="1:61" ht="15.75" customHeight="1">
      <c r="A51" s="346"/>
      <c r="B51" s="65" t="s">
        <v>225</v>
      </c>
      <c r="C51" s="68">
        <v>1338</v>
      </c>
      <c r="D51" s="68">
        <v>131</v>
      </c>
      <c r="E51" s="68">
        <v>1207</v>
      </c>
      <c r="F51" s="68">
        <v>807</v>
      </c>
      <c r="G51" s="68">
        <v>400</v>
      </c>
      <c r="H51" s="68"/>
      <c r="I51" s="68"/>
      <c r="J51" s="68"/>
      <c r="K51" s="68"/>
      <c r="L51" s="68"/>
      <c r="M51" s="68"/>
      <c r="N51" s="68">
        <v>4611</v>
      </c>
      <c r="O51" s="68">
        <v>810</v>
      </c>
      <c r="P51" s="68">
        <v>507</v>
      </c>
      <c r="Q51" s="68">
        <v>3294</v>
      </c>
      <c r="R51" s="68">
        <v>2306</v>
      </c>
      <c r="S51" s="68">
        <v>300</v>
      </c>
      <c r="T51" s="68">
        <v>70</v>
      </c>
      <c r="U51" s="68">
        <v>1936</v>
      </c>
      <c r="V51" s="68">
        <v>1265</v>
      </c>
      <c r="W51" s="68">
        <v>233</v>
      </c>
      <c r="X51" s="68">
        <v>158</v>
      </c>
      <c r="Y51" s="68">
        <v>874</v>
      </c>
      <c r="Z51" s="68">
        <v>455</v>
      </c>
      <c r="AA51" s="68">
        <v>147</v>
      </c>
      <c r="AB51" s="68">
        <v>176</v>
      </c>
      <c r="AC51" s="68">
        <v>132</v>
      </c>
      <c r="AD51" s="68">
        <v>66</v>
      </c>
      <c r="AE51" s="68">
        <v>14</v>
      </c>
      <c r="AF51" s="68">
        <v>22</v>
      </c>
      <c r="AG51" s="68">
        <v>30</v>
      </c>
      <c r="AH51" s="68">
        <v>519</v>
      </c>
      <c r="AI51" s="68">
        <v>116</v>
      </c>
      <c r="AJ51" s="68">
        <v>81</v>
      </c>
      <c r="AK51" s="68">
        <v>322</v>
      </c>
      <c r="AL51" s="68">
        <v>6653</v>
      </c>
      <c r="AM51" s="68">
        <v>1047</v>
      </c>
      <c r="AN51" s="68">
        <v>750</v>
      </c>
      <c r="AO51" s="68">
        <v>4856</v>
      </c>
      <c r="AP51" s="68">
        <v>3688</v>
      </c>
      <c r="AQ51" s="68">
        <v>444</v>
      </c>
      <c r="AR51" s="68">
        <v>189</v>
      </c>
      <c r="AS51" s="68">
        <v>3055</v>
      </c>
      <c r="AT51" s="68">
        <v>1847</v>
      </c>
      <c r="AU51" s="68">
        <v>317</v>
      </c>
      <c r="AV51" s="68">
        <v>228</v>
      </c>
      <c r="AW51" s="68">
        <v>1302</v>
      </c>
      <c r="AX51" s="68">
        <v>706</v>
      </c>
      <c r="AY51" s="68">
        <v>215</v>
      </c>
      <c r="AZ51" s="68">
        <v>264</v>
      </c>
      <c r="BA51" s="68">
        <v>227</v>
      </c>
      <c r="BB51" s="68">
        <v>105</v>
      </c>
      <c r="BC51" s="68">
        <v>22</v>
      </c>
      <c r="BD51" s="68">
        <v>33</v>
      </c>
      <c r="BE51" s="68">
        <v>50</v>
      </c>
      <c r="BF51" s="68">
        <v>307</v>
      </c>
      <c r="BG51" s="68">
        <v>49</v>
      </c>
      <c r="BH51" s="68">
        <v>36</v>
      </c>
      <c r="BI51" s="68">
        <v>222</v>
      </c>
    </row>
    <row r="52" spans="1:61" ht="15.75" customHeight="1">
      <c r="A52" s="63" t="s">
        <v>215</v>
      </c>
      <c r="B52" s="64" t="s">
        <v>223</v>
      </c>
      <c r="C52" s="67">
        <v>293</v>
      </c>
      <c r="D52" s="67">
        <v>24</v>
      </c>
      <c r="E52" s="67">
        <v>269</v>
      </c>
      <c r="F52" s="67">
        <v>228</v>
      </c>
      <c r="G52" s="67">
        <v>41</v>
      </c>
      <c r="H52" s="67">
        <v>126</v>
      </c>
      <c r="I52" s="67">
        <v>446</v>
      </c>
      <c r="J52" s="67">
        <v>0</v>
      </c>
      <c r="K52" s="67">
        <v>0</v>
      </c>
      <c r="L52" s="67">
        <v>126</v>
      </c>
      <c r="M52" s="67">
        <v>446</v>
      </c>
      <c r="N52" s="67">
        <v>1976</v>
      </c>
      <c r="O52" s="67">
        <v>660</v>
      </c>
      <c r="P52" s="67">
        <v>194</v>
      </c>
      <c r="Q52" s="67">
        <v>1122</v>
      </c>
      <c r="R52" s="67">
        <v>700</v>
      </c>
      <c r="S52" s="67">
        <v>119</v>
      </c>
      <c r="T52" s="67">
        <v>12</v>
      </c>
      <c r="U52" s="67">
        <v>569</v>
      </c>
      <c r="V52" s="67">
        <v>598</v>
      </c>
      <c r="W52" s="67">
        <v>151</v>
      </c>
      <c r="X52" s="67">
        <v>64</v>
      </c>
      <c r="Y52" s="67">
        <v>383</v>
      </c>
      <c r="Z52" s="67">
        <v>312</v>
      </c>
      <c r="AA52" s="67">
        <v>209</v>
      </c>
      <c r="AB52" s="67">
        <v>59</v>
      </c>
      <c r="AC52" s="67">
        <v>44</v>
      </c>
      <c r="AD52" s="67">
        <v>160</v>
      </c>
      <c r="AE52" s="67">
        <v>85</v>
      </c>
      <c r="AF52" s="67">
        <v>36</v>
      </c>
      <c r="AG52" s="67">
        <v>39</v>
      </c>
      <c r="AH52" s="67">
        <v>206</v>
      </c>
      <c r="AI52" s="67">
        <v>96</v>
      </c>
      <c r="AJ52" s="67">
        <v>23</v>
      </c>
      <c r="AK52" s="67">
        <v>87</v>
      </c>
      <c r="AL52" s="67">
        <v>2380</v>
      </c>
      <c r="AM52" s="67">
        <v>738</v>
      </c>
      <c r="AN52" s="67">
        <v>221</v>
      </c>
      <c r="AO52" s="67">
        <v>1421</v>
      </c>
      <c r="AP52" s="67">
        <v>866</v>
      </c>
      <c r="AQ52" s="67">
        <v>138</v>
      </c>
      <c r="AR52" s="67">
        <v>12</v>
      </c>
      <c r="AS52" s="67">
        <v>716</v>
      </c>
      <c r="AT52" s="67">
        <v>729</v>
      </c>
      <c r="AU52" s="67">
        <v>168</v>
      </c>
      <c r="AV52" s="67">
        <v>75</v>
      </c>
      <c r="AW52" s="67">
        <v>486</v>
      </c>
      <c r="AX52" s="67">
        <v>352</v>
      </c>
      <c r="AY52" s="67">
        <v>232</v>
      </c>
      <c r="AZ52" s="67">
        <v>66</v>
      </c>
      <c r="BA52" s="67">
        <v>54</v>
      </c>
      <c r="BB52" s="67">
        <v>181</v>
      </c>
      <c r="BC52" s="67">
        <v>92</v>
      </c>
      <c r="BD52" s="67">
        <v>40</v>
      </c>
      <c r="BE52" s="67">
        <v>49</v>
      </c>
      <c r="BF52" s="67">
        <v>252</v>
      </c>
      <c r="BG52" s="67">
        <v>108</v>
      </c>
      <c r="BH52" s="67">
        <v>28</v>
      </c>
      <c r="BI52" s="67">
        <v>116</v>
      </c>
    </row>
    <row r="53" spans="1:61" ht="15.75" customHeight="1">
      <c r="A53" s="345" t="s">
        <v>16</v>
      </c>
      <c r="B53" s="65" t="s">
        <v>224</v>
      </c>
      <c r="C53" s="68">
        <v>33</v>
      </c>
      <c r="D53" s="68">
        <v>3</v>
      </c>
      <c r="E53" s="68">
        <v>30</v>
      </c>
      <c r="F53" s="68">
        <v>25</v>
      </c>
      <c r="G53" s="68">
        <v>5</v>
      </c>
      <c r="H53" s="68"/>
      <c r="I53" s="68"/>
      <c r="J53" s="68"/>
      <c r="K53" s="68"/>
      <c r="L53" s="68"/>
      <c r="M53" s="68"/>
      <c r="N53" s="68">
        <v>941</v>
      </c>
      <c r="O53" s="68">
        <v>440</v>
      </c>
      <c r="P53" s="68">
        <v>92</v>
      </c>
      <c r="Q53" s="68">
        <v>409</v>
      </c>
      <c r="R53" s="68">
        <v>243</v>
      </c>
      <c r="S53" s="68">
        <v>57</v>
      </c>
      <c r="T53" s="68">
        <v>4</v>
      </c>
      <c r="U53" s="68">
        <v>182</v>
      </c>
      <c r="V53" s="68">
        <v>276</v>
      </c>
      <c r="W53" s="68">
        <v>98</v>
      </c>
      <c r="X53" s="68">
        <v>22</v>
      </c>
      <c r="Y53" s="68">
        <v>156</v>
      </c>
      <c r="Z53" s="68">
        <v>222</v>
      </c>
      <c r="AA53" s="68">
        <v>157</v>
      </c>
      <c r="AB53" s="68">
        <v>32</v>
      </c>
      <c r="AC53" s="68">
        <v>33</v>
      </c>
      <c r="AD53" s="68">
        <v>104</v>
      </c>
      <c r="AE53" s="68">
        <v>73</v>
      </c>
      <c r="AF53" s="68">
        <v>17</v>
      </c>
      <c r="AG53" s="68">
        <v>14</v>
      </c>
      <c r="AH53" s="68">
        <v>96</v>
      </c>
      <c r="AI53" s="68">
        <v>55</v>
      </c>
      <c r="AJ53" s="68">
        <v>17</v>
      </c>
      <c r="AK53" s="68">
        <v>24</v>
      </c>
      <c r="AL53" s="68">
        <v>1118</v>
      </c>
      <c r="AM53" s="68">
        <v>491</v>
      </c>
      <c r="AN53" s="68">
        <v>106</v>
      </c>
      <c r="AO53" s="68">
        <v>521</v>
      </c>
      <c r="AP53" s="68">
        <v>306</v>
      </c>
      <c r="AQ53" s="68">
        <v>68</v>
      </c>
      <c r="AR53" s="68">
        <v>4</v>
      </c>
      <c r="AS53" s="68">
        <v>234</v>
      </c>
      <c r="AT53" s="68">
        <v>337</v>
      </c>
      <c r="AU53" s="68">
        <v>111</v>
      </c>
      <c r="AV53" s="68">
        <v>27</v>
      </c>
      <c r="AW53" s="68">
        <v>199</v>
      </c>
      <c r="AX53" s="68">
        <v>246</v>
      </c>
      <c r="AY53" s="68">
        <v>174</v>
      </c>
      <c r="AZ53" s="68">
        <v>37</v>
      </c>
      <c r="BA53" s="68">
        <v>35</v>
      </c>
      <c r="BB53" s="68">
        <v>114</v>
      </c>
      <c r="BC53" s="68">
        <v>78</v>
      </c>
      <c r="BD53" s="68">
        <v>19</v>
      </c>
      <c r="BE53" s="68">
        <v>17</v>
      </c>
      <c r="BF53" s="68">
        <v>115</v>
      </c>
      <c r="BG53" s="68">
        <v>60</v>
      </c>
      <c r="BH53" s="68">
        <v>19</v>
      </c>
      <c r="BI53" s="68">
        <v>36</v>
      </c>
    </row>
    <row r="54" spans="1:61" ht="15.75" customHeight="1">
      <c r="A54" s="346"/>
      <c r="B54" s="65" t="s">
        <v>225</v>
      </c>
      <c r="C54" s="68">
        <v>260</v>
      </c>
      <c r="D54" s="68">
        <v>21</v>
      </c>
      <c r="E54" s="68">
        <v>239</v>
      </c>
      <c r="F54" s="68">
        <v>203</v>
      </c>
      <c r="G54" s="68">
        <v>36</v>
      </c>
      <c r="H54" s="68"/>
      <c r="I54" s="68"/>
      <c r="J54" s="68"/>
      <c r="K54" s="68"/>
      <c r="L54" s="68"/>
      <c r="M54" s="68"/>
      <c r="N54" s="68">
        <v>1035</v>
      </c>
      <c r="O54" s="68">
        <v>220</v>
      </c>
      <c r="P54" s="68">
        <v>102</v>
      </c>
      <c r="Q54" s="68">
        <v>713</v>
      </c>
      <c r="R54" s="68">
        <v>457</v>
      </c>
      <c r="S54" s="68">
        <v>62</v>
      </c>
      <c r="T54" s="68">
        <v>8</v>
      </c>
      <c r="U54" s="68">
        <v>387</v>
      </c>
      <c r="V54" s="68">
        <v>322</v>
      </c>
      <c r="W54" s="68">
        <v>53</v>
      </c>
      <c r="X54" s="68">
        <v>42</v>
      </c>
      <c r="Y54" s="68">
        <v>227</v>
      </c>
      <c r="Z54" s="68">
        <v>90</v>
      </c>
      <c r="AA54" s="68">
        <v>52</v>
      </c>
      <c r="AB54" s="68">
        <v>27</v>
      </c>
      <c r="AC54" s="68">
        <v>11</v>
      </c>
      <c r="AD54" s="68">
        <v>56</v>
      </c>
      <c r="AE54" s="68">
        <v>12</v>
      </c>
      <c r="AF54" s="68">
        <v>19</v>
      </c>
      <c r="AG54" s="68">
        <v>25</v>
      </c>
      <c r="AH54" s="68">
        <v>110</v>
      </c>
      <c r="AI54" s="68">
        <v>41</v>
      </c>
      <c r="AJ54" s="68">
        <v>6</v>
      </c>
      <c r="AK54" s="68">
        <v>63</v>
      </c>
      <c r="AL54" s="68">
        <v>1262</v>
      </c>
      <c r="AM54" s="68">
        <v>247</v>
      </c>
      <c r="AN54" s="68">
        <v>115</v>
      </c>
      <c r="AO54" s="68">
        <v>900</v>
      </c>
      <c r="AP54" s="68">
        <v>560</v>
      </c>
      <c r="AQ54" s="68">
        <v>70</v>
      </c>
      <c r="AR54" s="68">
        <v>8</v>
      </c>
      <c r="AS54" s="68">
        <v>482</v>
      </c>
      <c r="AT54" s="68">
        <v>392</v>
      </c>
      <c r="AU54" s="68">
        <v>57</v>
      </c>
      <c r="AV54" s="68">
        <v>48</v>
      </c>
      <c r="AW54" s="68">
        <v>287</v>
      </c>
      <c r="AX54" s="68">
        <v>106</v>
      </c>
      <c r="AY54" s="68">
        <v>58</v>
      </c>
      <c r="AZ54" s="68">
        <v>29</v>
      </c>
      <c r="BA54" s="68">
        <v>19</v>
      </c>
      <c r="BB54" s="68">
        <v>67</v>
      </c>
      <c r="BC54" s="68">
        <v>14</v>
      </c>
      <c r="BD54" s="68">
        <v>21</v>
      </c>
      <c r="BE54" s="68">
        <v>32</v>
      </c>
      <c r="BF54" s="68">
        <v>137</v>
      </c>
      <c r="BG54" s="68">
        <v>48</v>
      </c>
      <c r="BH54" s="68">
        <v>9</v>
      </c>
      <c r="BI54" s="68">
        <v>80</v>
      </c>
    </row>
    <row r="55" spans="1:61" ht="15.75" customHeight="1">
      <c r="A55" s="63" t="s">
        <v>216</v>
      </c>
      <c r="B55" s="64" t="s">
        <v>223</v>
      </c>
      <c r="C55" s="67">
        <v>608</v>
      </c>
      <c r="D55" s="67">
        <v>68</v>
      </c>
      <c r="E55" s="67">
        <v>540</v>
      </c>
      <c r="F55" s="67">
        <v>290</v>
      </c>
      <c r="G55" s="67">
        <v>250</v>
      </c>
      <c r="H55" s="67">
        <v>170</v>
      </c>
      <c r="I55" s="67">
        <v>1203</v>
      </c>
      <c r="J55" s="67">
        <v>11</v>
      </c>
      <c r="K55" s="67">
        <v>43</v>
      </c>
      <c r="L55" s="67">
        <v>159</v>
      </c>
      <c r="M55" s="67">
        <v>1160</v>
      </c>
      <c r="N55" s="67">
        <v>3037</v>
      </c>
      <c r="O55" s="67">
        <v>727</v>
      </c>
      <c r="P55" s="67">
        <v>565</v>
      </c>
      <c r="Q55" s="67">
        <v>1745</v>
      </c>
      <c r="R55" s="67">
        <v>1344</v>
      </c>
      <c r="S55" s="67">
        <v>237</v>
      </c>
      <c r="T55" s="67">
        <v>138</v>
      </c>
      <c r="U55" s="67">
        <v>969</v>
      </c>
      <c r="V55" s="67">
        <v>763</v>
      </c>
      <c r="W55" s="67">
        <v>144</v>
      </c>
      <c r="X55" s="67">
        <v>150</v>
      </c>
      <c r="Y55" s="67">
        <v>469</v>
      </c>
      <c r="Z55" s="67">
        <v>511</v>
      </c>
      <c r="AA55" s="67">
        <v>210</v>
      </c>
      <c r="AB55" s="67">
        <v>174</v>
      </c>
      <c r="AC55" s="67">
        <v>127</v>
      </c>
      <c r="AD55" s="67">
        <v>247</v>
      </c>
      <c r="AE55" s="67">
        <v>101</v>
      </c>
      <c r="AF55" s="67">
        <v>73</v>
      </c>
      <c r="AG55" s="67">
        <v>73</v>
      </c>
      <c r="AH55" s="67">
        <v>172</v>
      </c>
      <c r="AI55" s="67">
        <v>35</v>
      </c>
      <c r="AJ55" s="67">
        <v>30</v>
      </c>
      <c r="AK55" s="67">
        <v>107</v>
      </c>
      <c r="AL55" s="67">
        <v>3389</v>
      </c>
      <c r="AM55" s="67">
        <v>829</v>
      </c>
      <c r="AN55" s="67">
        <v>559</v>
      </c>
      <c r="AO55" s="67">
        <v>2001</v>
      </c>
      <c r="AP55" s="67">
        <v>1463</v>
      </c>
      <c r="AQ55" s="67">
        <v>280</v>
      </c>
      <c r="AR55" s="67">
        <v>97</v>
      </c>
      <c r="AS55" s="67">
        <v>1086</v>
      </c>
      <c r="AT55" s="67">
        <v>716</v>
      </c>
      <c r="AU55" s="67">
        <v>125</v>
      </c>
      <c r="AV55" s="67">
        <v>153</v>
      </c>
      <c r="AW55" s="67">
        <v>438</v>
      </c>
      <c r="AX55" s="67">
        <v>555</v>
      </c>
      <c r="AY55" s="67">
        <v>230</v>
      </c>
      <c r="AZ55" s="67">
        <v>187</v>
      </c>
      <c r="BA55" s="67">
        <v>138</v>
      </c>
      <c r="BB55" s="67">
        <v>456</v>
      </c>
      <c r="BC55" s="67">
        <v>154</v>
      </c>
      <c r="BD55" s="67">
        <v>95</v>
      </c>
      <c r="BE55" s="67">
        <v>207</v>
      </c>
      <c r="BF55" s="67">
        <v>199</v>
      </c>
      <c r="BG55" s="67">
        <v>40</v>
      </c>
      <c r="BH55" s="67">
        <v>27</v>
      </c>
      <c r="BI55" s="67">
        <v>132</v>
      </c>
    </row>
    <row r="56" spans="1:61" ht="15.75" customHeight="1">
      <c r="A56" s="345" t="s">
        <v>17</v>
      </c>
      <c r="B56" s="65" t="s">
        <v>224</v>
      </c>
      <c r="C56" s="68">
        <v>85</v>
      </c>
      <c r="D56" s="68">
        <v>12</v>
      </c>
      <c r="E56" s="68">
        <v>73</v>
      </c>
      <c r="F56" s="68">
        <v>40</v>
      </c>
      <c r="G56" s="68">
        <v>33</v>
      </c>
      <c r="H56" s="68"/>
      <c r="I56" s="68"/>
      <c r="J56" s="68"/>
      <c r="K56" s="68"/>
      <c r="L56" s="68"/>
      <c r="M56" s="68"/>
      <c r="N56" s="68">
        <v>1345</v>
      </c>
      <c r="O56" s="68">
        <v>426</v>
      </c>
      <c r="P56" s="68">
        <v>273</v>
      </c>
      <c r="Q56" s="68">
        <v>646</v>
      </c>
      <c r="R56" s="68">
        <v>514</v>
      </c>
      <c r="S56" s="68">
        <v>129</v>
      </c>
      <c r="T56" s="68">
        <v>51</v>
      </c>
      <c r="U56" s="68">
        <v>334</v>
      </c>
      <c r="V56" s="68">
        <v>327</v>
      </c>
      <c r="W56" s="68">
        <v>74</v>
      </c>
      <c r="X56" s="68">
        <v>69</v>
      </c>
      <c r="Y56" s="68">
        <v>184</v>
      </c>
      <c r="Z56" s="68">
        <v>289</v>
      </c>
      <c r="AA56" s="68">
        <v>132</v>
      </c>
      <c r="AB56" s="68">
        <v>95</v>
      </c>
      <c r="AC56" s="68">
        <v>62</v>
      </c>
      <c r="AD56" s="68">
        <v>147</v>
      </c>
      <c r="AE56" s="68">
        <v>73</v>
      </c>
      <c r="AF56" s="68">
        <v>43</v>
      </c>
      <c r="AG56" s="68">
        <v>31</v>
      </c>
      <c r="AH56" s="68">
        <v>68</v>
      </c>
      <c r="AI56" s="68">
        <v>18</v>
      </c>
      <c r="AJ56" s="68">
        <v>15</v>
      </c>
      <c r="AK56" s="68">
        <v>35</v>
      </c>
      <c r="AL56" s="68">
        <v>1550</v>
      </c>
      <c r="AM56" s="68">
        <v>501</v>
      </c>
      <c r="AN56" s="68">
        <v>295</v>
      </c>
      <c r="AO56" s="68">
        <v>754</v>
      </c>
      <c r="AP56" s="68">
        <v>599</v>
      </c>
      <c r="AQ56" s="68">
        <v>158</v>
      </c>
      <c r="AR56" s="68">
        <v>45</v>
      </c>
      <c r="AS56" s="68">
        <v>396</v>
      </c>
      <c r="AT56" s="68">
        <v>325</v>
      </c>
      <c r="AU56" s="68">
        <v>66</v>
      </c>
      <c r="AV56" s="68">
        <v>75</v>
      </c>
      <c r="AW56" s="68">
        <v>184</v>
      </c>
      <c r="AX56" s="68">
        <v>321</v>
      </c>
      <c r="AY56" s="68">
        <v>151</v>
      </c>
      <c r="AZ56" s="68">
        <v>103</v>
      </c>
      <c r="BA56" s="68">
        <v>67</v>
      </c>
      <c r="BB56" s="68">
        <v>213</v>
      </c>
      <c r="BC56" s="68">
        <v>103</v>
      </c>
      <c r="BD56" s="68">
        <v>54</v>
      </c>
      <c r="BE56" s="68">
        <v>56</v>
      </c>
      <c r="BF56" s="68">
        <v>92</v>
      </c>
      <c r="BG56" s="68">
        <v>23</v>
      </c>
      <c r="BH56" s="68">
        <v>18</v>
      </c>
      <c r="BI56" s="68">
        <v>51</v>
      </c>
    </row>
    <row r="57" spans="1:61" ht="15.75" customHeight="1">
      <c r="A57" s="346"/>
      <c r="B57" s="65" t="s">
        <v>225</v>
      </c>
      <c r="C57" s="68">
        <v>523</v>
      </c>
      <c r="D57" s="68">
        <v>56</v>
      </c>
      <c r="E57" s="68">
        <v>467</v>
      </c>
      <c r="F57" s="68">
        <v>250</v>
      </c>
      <c r="G57" s="68">
        <v>217</v>
      </c>
      <c r="H57" s="68"/>
      <c r="I57" s="68"/>
      <c r="J57" s="68"/>
      <c r="K57" s="68"/>
      <c r="L57" s="68"/>
      <c r="M57" s="68"/>
      <c r="N57" s="68">
        <v>1692</v>
      </c>
      <c r="O57" s="68">
        <v>301</v>
      </c>
      <c r="P57" s="68">
        <v>292</v>
      </c>
      <c r="Q57" s="68">
        <v>1099</v>
      </c>
      <c r="R57" s="68">
        <v>830</v>
      </c>
      <c r="S57" s="68">
        <v>108</v>
      </c>
      <c r="T57" s="68">
        <v>87</v>
      </c>
      <c r="U57" s="68">
        <v>635</v>
      </c>
      <c r="V57" s="68">
        <v>436</v>
      </c>
      <c r="W57" s="68">
        <v>70</v>
      </c>
      <c r="X57" s="68">
        <v>81</v>
      </c>
      <c r="Y57" s="68">
        <v>285</v>
      </c>
      <c r="Z57" s="68">
        <v>222</v>
      </c>
      <c r="AA57" s="68">
        <v>78</v>
      </c>
      <c r="AB57" s="68">
        <v>79</v>
      </c>
      <c r="AC57" s="68">
        <v>65</v>
      </c>
      <c r="AD57" s="68">
        <v>100</v>
      </c>
      <c r="AE57" s="68">
        <v>28</v>
      </c>
      <c r="AF57" s="68">
        <v>30</v>
      </c>
      <c r="AG57" s="68">
        <v>42</v>
      </c>
      <c r="AH57" s="68">
        <v>104</v>
      </c>
      <c r="AI57" s="68">
        <v>17</v>
      </c>
      <c r="AJ57" s="68">
        <v>15</v>
      </c>
      <c r="AK57" s="68">
        <v>72</v>
      </c>
      <c r="AL57" s="68">
        <v>1839</v>
      </c>
      <c r="AM57" s="68">
        <v>328</v>
      </c>
      <c r="AN57" s="68">
        <v>264</v>
      </c>
      <c r="AO57" s="68">
        <v>1247</v>
      </c>
      <c r="AP57" s="68">
        <v>864</v>
      </c>
      <c r="AQ57" s="68">
        <v>122</v>
      </c>
      <c r="AR57" s="68">
        <v>52</v>
      </c>
      <c r="AS57" s="68">
        <v>690</v>
      </c>
      <c r="AT57" s="68">
        <v>391</v>
      </c>
      <c r="AU57" s="68">
        <v>59</v>
      </c>
      <c r="AV57" s="68">
        <v>78</v>
      </c>
      <c r="AW57" s="68">
        <v>254</v>
      </c>
      <c r="AX57" s="68">
        <v>234</v>
      </c>
      <c r="AY57" s="68">
        <v>79</v>
      </c>
      <c r="AZ57" s="68">
        <v>84</v>
      </c>
      <c r="BA57" s="68">
        <v>71</v>
      </c>
      <c r="BB57" s="68">
        <v>243</v>
      </c>
      <c r="BC57" s="68">
        <v>51</v>
      </c>
      <c r="BD57" s="68">
        <v>41</v>
      </c>
      <c r="BE57" s="68">
        <v>151</v>
      </c>
      <c r="BF57" s="68">
        <v>107</v>
      </c>
      <c r="BG57" s="68">
        <v>17</v>
      </c>
      <c r="BH57" s="68">
        <v>9</v>
      </c>
      <c r="BI57" s="68">
        <v>81</v>
      </c>
    </row>
    <row r="58" spans="1:61" ht="15.75" customHeight="1">
      <c r="A58" s="63" t="s">
        <v>217</v>
      </c>
      <c r="B58" s="64" t="s">
        <v>223</v>
      </c>
      <c r="C58" s="67">
        <v>127</v>
      </c>
      <c r="D58" s="67">
        <v>11</v>
      </c>
      <c r="E58" s="67">
        <v>116</v>
      </c>
      <c r="F58" s="67">
        <v>1</v>
      </c>
      <c r="G58" s="67">
        <v>115</v>
      </c>
      <c r="H58" s="67">
        <v>3</v>
      </c>
      <c r="I58" s="67">
        <v>82</v>
      </c>
      <c r="J58" s="67">
        <v>0</v>
      </c>
      <c r="K58" s="67">
        <v>0</v>
      </c>
      <c r="L58" s="67">
        <v>3</v>
      </c>
      <c r="M58" s="67">
        <v>82</v>
      </c>
      <c r="N58" s="67">
        <v>803</v>
      </c>
      <c r="O58" s="67">
        <v>160</v>
      </c>
      <c r="P58" s="67">
        <v>80</v>
      </c>
      <c r="Q58" s="67">
        <v>563</v>
      </c>
      <c r="R58" s="67">
        <v>394</v>
      </c>
      <c r="S58" s="67">
        <v>41</v>
      </c>
      <c r="T58" s="67">
        <v>3</v>
      </c>
      <c r="U58" s="67">
        <v>350</v>
      </c>
      <c r="V58" s="67">
        <v>226</v>
      </c>
      <c r="W58" s="67">
        <v>42</v>
      </c>
      <c r="X58" s="67">
        <v>19</v>
      </c>
      <c r="Y58" s="67">
        <v>165</v>
      </c>
      <c r="Z58" s="67">
        <v>109</v>
      </c>
      <c r="AA58" s="67">
        <v>44</v>
      </c>
      <c r="AB58" s="67">
        <v>39</v>
      </c>
      <c r="AC58" s="67">
        <v>26</v>
      </c>
      <c r="AD58" s="67">
        <v>2</v>
      </c>
      <c r="AE58" s="67">
        <v>1</v>
      </c>
      <c r="AF58" s="67">
        <v>1</v>
      </c>
      <c r="AG58" s="67">
        <v>0</v>
      </c>
      <c r="AH58" s="67">
        <v>72</v>
      </c>
      <c r="AI58" s="67">
        <v>32</v>
      </c>
      <c r="AJ58" s="67">
        <v>18</v>
      </c>
      <c r="AK58" s="67">
        <v>22</v>
      </c>
      <c r="AL58" s="67">
        <v>1543</v>
      </c>
      <c r="AM58" s="67">
        <v>299</v>
      </c>
      <c r="AN58" s="67">
        <v>144</v>
      </c>
      <c r="AO58" s="67">
        <v>1100</v>
      </c>
      <c r="AP58" s="67">
        <v>736</v>
      </c>
      <c r="AQ58" s="67">
        <v>85</v>
      </c>
      <c r="AR58" s="67">
        <v>3</v>
      </c>
      <c r="AS58" s="67">
        <v>648</v>
      </c>
      <c r="AT58" s="67">
        <v>445</v>
      </c>
      <c r="AU58" s="67">
        <v>77</v>
      </c>
      <c r="AV58" s="67">
        <v>40</v>
      </c>
      <c r="AW58" s="67">
        <v>328</v>
      </c>
      <c r="AX58" s="67">
        <v>185</v>
      </c>
      <c r="AY58" s="67">
        <v>77</v>
      </c>
      <c r="AZ58" s="67">
        <v>65</v>
      </c>
      <c r="BA58" s="67">
        <v>43</v>
      </c>
      <c r="BB58" s="67">
        <v>4</v>
      </c>
      <c r="BC58" s="67">
        <v>2</v>
      </c>
      <c r="BD58" s="67">
        <v>2</v>
      </c>
      <c r="BE58" s="67">
        <v>0</v>
      </c>
      <c r="BF58" s="67">
        <v>173</v>
      </c>
      <c r="BG58" s="67">
        <v>58</v>
      </c>
      <c r="BH58" s="67">
        <v>34</v>
      </c>
      <c r="BI58" s="67">
        <v>81</v>
      </c>
    </row>
    <row r="59" spans="1:61" ht="15.75" customHeight="1">
      <c r="A59" s="345" t="s">
        <v>18</v>
      </c>
      <c r="B59" s="65" t="s">
        <v>224</v>
      </c>
      <c r="C59" s="68">
        <v>23</v>
      </c>
      <c r="D59" s="68">
        <v>4</v>
      </c>
      <c r="E59" s="68">
        <v>19</v>
      </c>
      <c r="F59" s="68">
        <v>0</v>
      </c>
      <c r="G59" s="68">
        <v>19</v>
      </c>
      <c r="H59" s="68"/>
      <c r="I59" s="68"/>
      <c r="J59" s="68"/>
      <c r="K59" s="68"/>
      <c r="L59" s="68"/>
      <c r="M59" s="68"/>
      <c r="N59" s="68">
        <v>324</v>
      </c>
      <c r="O59" s="68">
        <v>102</v>
      </c>
      <c r="P59" s="68">
        <v>40</v>
      </c>
      <c r="Q59" s="68">
        <v>182</v>
      </c>
      <c r="R59" s="68">
        <v>110</v>
      </c>
      <c r="S59" s="68">
        <v>19</v>
      </c>
      <c r="T59" s="68">
        <v>1</v>
      </c>
      <c r="U59" s="68">
        <v>90</v>
      </c>
      <c r="V59" s="68">
        <v>101</v>
      </c>
      <c r="W59" s="68">
        <v>25</v>
      </c>
      <c r="X59" s="68">
        <v>7</v>
      </c>
      <c r="Y59" s="68">
        <v>69</v>
      </c>
      <c r="Z59" s="68">
        <v>73</v>
      </c>
      <c r="AA59" s="68">
        <v>35</v>
      </c>
      <c r="AB59" s="68">
        <v>24</v>
      </c>
      <c r="AC59" s="68">
        <v>14</v>
      </c>
      <c r="AD59" s="68">
        <v>0</v>
      </c>
      <c r="AE59" s="68">
        <v>0</v>
      </c>
      <c r="AF59" s="68">
        <v>0</v>
      </c>
      <c r="AG59" s="68">
        <v>0</v>
      </c>
      <c r="AH59" s="68">
        <v>40</v>
      </c>
      <c r="AI59" s="68">
        <v>23</v>
      </c>
      <c r="AJ59" s="68">
        <v>8</v>
      </c>
      <c r="AK59" s="68">
        <v>9</v>
      </c>
      <c r="AL59" s="68">
        <v>633</v>
      </c>
      <c r="AM59" s="68">
        <v>186</v>
      </c>
      <c r="AN59" s="68">
        <v>75</v>
      </c>
      <c r="AO59" s="68">
        <v>372</v>
      </c>
      <c r="AP59" s="68">
        <v>223</v>
      </c>
      <c r="AQ59" s="68">
        <v>41</v>
      </c>
      <c r="AR59" s="68">
        <v>1</v>
      </c>
      <c r="AS59" s="68">
        <v>181</v>
      </c>
      <c r="AT59" s="68">
        <v>202</v>
      </c>
      <c r="AU59" s="68">
        <v>47</v>
      </c>
      <c r="AV59" s="68">
        <v>19</v>
      </c>
      <c r="AW59" s="68">
        <v>136</v>
      </c>
      <c r="AX59" s="68">
        <v>125</v>
      </c>
      <c r="AY59" s="68">
        <v>60</v>
      </c>
      <c r="AZ59" s="68">
        <v>41</v>
      </c>
      <c r="BA59" s="68">
        <v>24</v>
      </c>
      <c r="BB59" s="68">
        <v>0</v>
      </c>
      <c r="BC59" s="68">
        <v>0</v>
      </c>
      <c r="BD59" s="68">
        <v>0</v>
      </c>
      <c r="BE59" s="68">
        <v>0</v>
      </c>
      <c r="BF59" s="68">
        <v>83</v>
      </c>
      <c r="BG59" s="68">
        <v>38</v>
      </c>
      <c r="BH59" s="68">
        <v>14</v>
      </c>
      <c r="BI59" s="68">
        <v>31</v>
      </c>
    </row>
    <row r="60" spans="1:61" ht="15.75" customHeight="1">
      <c r="A60" s="346"/>
      <c r="B60" s="65" t="s">
        <v>225</v>
      </c>
      <c r="C60" s="68">
        <v>104</v>
      </c>
      <c r="D60" s="68">
        <v>7</v>
      </c>
      <c r="E60" s="68">
        <v>97</v>
      </c>
      <c r="F60" s="68">
        <v>1</v>
      </c>
      <c r="G60" s="68">
        <v>96</v>
      </c>
      <c r="H60" s="68"/>
      <c r="I60" s="68"/>
      <c r="J60" s="68"/>
      <c r="K60" s="68"/>
      <c r="L60" s="68"/>
      <c r="M60" s="68"/>
      <c r="N60" s="68">
        <v>479</v>
      </c>
      <c r="O60" s="68">
        <v>58</v>
      </c>
      <c r="P60" s="68">
        <v>40</v>
      </c>
      <c r="Q60" s="68">
        <v>381</v>
      </c>
      <c r="R60" s="68">
        <v>284</v>
      </c>
      <c r="S60" s="68">
        <v>22</v>
      </c>
      <c r="T60" s="68">
        <v>2</v>
      </c>
      <c r="U60" s="68">
        <v>260</v>
      </c>
      <c r="V60" s="68">
        <v>125</v>
      </c>
      <c r="W60" s="68">
        <v>17</v>
      </c>
      <c r="X60" s="68">
        <v>12</v>
      </c>
      <c r="Y60" s="68">
        <v>96</v>
      </c>
      <c r="Z60" s="68">
        <v>36</v>
      </c>
      <c r="AA60" s="68">
        <v>9</v>
      </c>
      <c r="AB60" s="68">
        <v>15</v>
      </c>
      <c r="AC60" s="68">
        <v>12</v>
      </c>
      <c r="AD60" s="68">
        <v>2</v>
      </c>
      <c r="AE60" s="68">
        <v>1</v>
      </c>
      <c r="AF60" s="68">
        <v>1</v>
      </c>
      <c r="AG60" s="68">
        <v>0</v>
      </c>
      <c r="AH60" s="68">
        <v>32</v>
      </c>
      <c r="AI60" s="68">
        <v>9</v>
      </c>
      <c r="AJ60" s="68">
        <v>10</v>
      </c>
      <c r="AK60" s="68">
        <v>13</v>
      </c>
      <c r="AL60" s="68">
        <v>910</v>
      </c>
      <c r="AM60" s="68">
        <v>113</v>
      </c>
      <c r="AN60" s="68">
        <v>69</v>
      </c>
      <c r="AO60" s="68">
        <v>728</v>
      </c>
      <c r="AP60" s="68">
        <v>513</v>
      </c>
      <c r="AQ60" s="68">
        <v>44</v>
      </c>
      <c r="AR60" s="68">
        <v>2</v>
      </c>
      <c r="AS60" s="68">
        <v>467</v>
      </c>
      <c r="AT60" s="68">
        <v>243</v>
      </c>
      <c r="AU60" s="68">
        <v>30</v>
      </c>
      <c r="AV60" s="68">
        <v>21</v>
      </c>
      <c r="AW60" s="68">
        <v>192</v>
      </c>
      <c r="AX60" s="68">
        <v>60</v>
      </c>
      <c r="AY60" s="68">
        <v>17</v>
      </c>
      <c r="AZ60" s="68">
        <v>24</v>
      </c>
      <c r="BA60" s="68">
        <v>19</v>
      </c>
      <c r="BB60" s="68">
        <v>4</v>
      </c>
      <c r="BC60" s="68">
        <v>2</v>
      </c>
      <c r="BD60" s="68">
        <v>2</v>
      </c>
      <c r="BE60" s="68">
        <v>0</v>
      </c>
      <c r="BF60" s="68">
        <v>90</v>
      </c>
      <c r="BG60" s="68">
        <v>20</v>
      </c>
      <c r="BH60" s="68">
        <v>20</v>
      </c>
      <c r="BI60" s="68">
        <v>50</v>
      </c>
    </row>
    <row r="61" spans="1:61" ht="15.75" customHeight="1">
      <c r="A61" s="63" t="s">
        <v>218</v>
      </c>
      <c r="B61" s="64" t="s">
        <v>223</v>
      </c>
      <c r="C61" s="67">
        <v>181</v>
      </c>
      <c r="D61" s="67">
        <v>18</v>
      </c>
      <c r="E61" s="67">
        <v>163</v>
      </c>
      <c r="F61" s="67">
        <v>163</v>
      </c>
      <c r="G61" s="67">
        <v>0</v>
      </c>
      <c r="H61" s="67">
        <v>64</v>
      </c>
      <c r="I61" s="67">
        <v>323</v>
      </c>
      <c r="J61" s="67">
        <v>31</v>
      </c>
      <c r="K61" s="67">
        <v>32</v>
      </c>
      <c r="L61" s="67">
        <v>33</v>
      </c>
      <c r="M61" s="67">
        <v>291</v>
      </c>
      <c r="N61" s="67">
        <v>974</v>
      </c>
      <c r="O61" s="67">
        <v>222</v>
      </c>
      <c r="P61" s="67">
        <v>184</v>
      </c>
      <c r="Q61" s="67">
        <v>568</v>
      </c>
      <c r="R61" s="67">
        <v>292</v>
      </c>
      <c r="S61" s="67">
        <v>56</v>
      </c>
      <c r="T61" s="67">
        <v>10</v>
      </c>
      <c r="U61" s="67">
        <v>226</v>
      </c>
      <c r="V61" s="67">
        <v>313</v>
      </c>
      <c r="W61" s="67">
        <v>63</v>
      </c>
      <c r="X61" s="67">
        <v>55</v>
      </c>
      <c r="Y61" s="67">
        <v>195</v>
      </c>
      <c r="Z61" s="67">
        <v>215</v>
      </c>
      <c r="AA61" s="67">
        <v>62</v>
      </c>
      <c r="AB61" s="67">
        <v>101</v>
      </c>
      <c r="AC61" s="67">
        <v>52</v>
      </c>
      <c r="AD61" s="67">
        <v>0</v>
      </c>
      <c r="AE61" s="67">
        <v>0</v>
      </c>
      <c r="AF61" s="67">
        <v>0</v>
      </c>
      <c r="AG61" s="67">
        <v>0</v>
      </c>
      <c r="AH61" s="67">
        <v>154</v>
      </c>
      <c r="AI61" s="67">
        <v>41</v>
      </c>
      <c r="AJ61" s="67">
        <v>18</v>
      </c>
      <c r="AK61" s="67">
        <v>95</v>
      </c>
      <c r="AL61" s="67">
        <v>1710</v>
      </c>
      <c r="AM61" s="67">
        <v>354</v>
      </c>
      <c r="AN61" s="67">
        <v>321</v>
      </c>
      <c r="AO61" s="67">
        <v>1035</v>
      </c>
      <c r="AP61" s="67">
        <v>561</v>
      </c>
      <c r="AQ61" s="67">
        <v>96</v>
      </c>
      <c r="AR61" s="67">
        <v>18</v>
      </c>
      <c r="AS61" s="67">
        <v>447</v>
      </c>
      <c r="AT61" s="67">
        <v>520</v>
      </c>
      <c r="AU61" s="67">
        <v>94</v>
      </c>
      <c r="AV61" s="67">
        <v>84</v>
      </c>
      <c r="AW61" s="67">
        <v>342</v>
      </c>
      <c r="AX61" s="67">
        <v>379</v>
      </c>
      <c r="AY61" s="67">
        <v>99</v>
      </c>
      <c r="AZ61" s="67">
        <v>183</v>
      </c>
      <c r="BA61" s="67">
        <v>97</v>
      </c>
      <c r="BB61" s="67">
        <v>0</v>
      </c>
      <c r="BC61" s="67">
        <v>0</v>
      </c>
      <c r="BD61" s="67">
        <v>0</v>
      </c>
      <c r="BE61" s="67">
        <v>0</v>
      </c>
      <c r="BF61" s="67">
        <v>250</v>
      </c>
      <c r="BG61" s="67">
        <v>65</v>
      </c>
      <c r="BH61" s="67">
        <v>36</v>
      </c>
      <c r="BI61" s="67">
        <v>149</v>
      </c>
    </row>
    <row r="62" spans="1:61" ht="15.75" customHeight="1">
      <c r="A62" s="345" t="s">
        <v>19</v>
      </c>
      <c r="B62" s="65" t="s">
        <v>224</v>
      </c>
      <c r="C62" s="68">
        <v>20</v>
      </c>
      <c r="D62" s="68">
        <v>4</v>
      </c>
      <c r="E62" s="68">
        <v>16</v>
      </c>
      <c r="F62" s="68">
        <v>16</v>
      </c>
      <c r="G62" s="68">
        <v>0</v>
      </c>
      <c r="H62" s="68"/>
      <c r="I62" s="68"/>
      <c r="J62" s="68"/>
      <c r="K62" s="68"/>
      <c r="L62" s="68"/>
      <c r="M62" s="68"/>
      <c r="N62" s="68">
        <v>408</v>
      </c>
      <c r="O62" s="68">
        <v>109</v>
      </c>
      <c r="P62" s="68">
        <v>98</v>
      </c>
      <c r="Q62" s="68">
        <v>201</v>
      </c>
      <c r="R62" s="68">
        <v>71</v>
      </c>
      <c r="S62" s="68">
        <v>14</v>
      </c>
      <c r="T62" s="68">
        <v>4</v>
      </c>
      <c r="U62" s="68">
        <v>53</v>
      </c>
      <c r="V62" s="68">
        <v>146</v>
      </c>
      <c r="W62" s="68">
        <v>33</v>
      </c>
      <c r="X62" s="68">
        <v>28</v>
      </c>
      <c r="Y62" s="68">
        <v>85</v>
      </c>
      <c r="Z62" s="68">
        <v>130</v>
      </c>
      <c r="AA62" s="68">
        <v>45</v>
      </c>
      <c r="AB62" s="68">
        <v>57</v>
      </c>
      <c r="AC62" s="68">
        <v>28</v>
      </c>
      <c r="AD62" s="68">
        <v>0</v>
      </c>
      <c r="AE62" s="68">
        <v>0</v>
      </c>
      <c r="AF62" s="68">
        <v>0</v>
      </c>
      <c r="AG62" s="68">
        <v>0</v>
      </c>
      <c r="AH62" s="68">
        <v>61</v>
      </c>
      <c r="AI62" s="68">
        <v>17</v>
      </c>
      <c r="AJ62" s="68">
        <v>9</v>
      </c>
      <c r="AK62" s="68">
        <v>35</v>
      </c>
      <c r="AL62" s="68">
        <v>697</v>
      </c>
      <c r="AM62" s="68">
        <v>170</v>
      </c>
      <c r="AN62" s="68">
        <v>165</v>
      </c>
      <c r="AO62" s="68">
        <v>362</v>
      </c>
      <c r="AP62" s="68">
        <v>140</v>
      </c>
      <c r="AQ62" s="68">
        <v>28</v>
      </c>
      <c r="AR62" s="68">
        <v>7</v>
      </c>
      <c r="AS62" s="68">
        <v>105</v>
      </c>
      <c r="AT62" s="68">
        <v>246</v>
      </c>
      <c r="AU62" s="68">
        <v>49</v>
      </c>
      <c r="AV62" s="68">
        <v>45</v>
      </c>
      <c r="AW62" s="68">
        <v>152</v>
      </c>
      <c r="AX62" s="68">
        <v>220</v>
      </c>
      <c r="AY62" s="68">
        <v>65</v>
      </c>
      <c r="AZ62" s="68">
        <v>97</v>
      </c>
      <c r="BA62" s="68">
        <v>58</v>
      </c>
      <c r="BB62" s="68">
        <v>0</v>
      </c>
      <c r="BC62" s="68">
        <v>0</v>
      </c>
      <c r="BD62" s="68">
        <v>0</v>
      </c>
      <c r="BE62" s="68">
        <v>0</v>
      </c>
      <c r="BF62" s="68">
        <v>91</v>
      </c>
      <c r="BG62" s="68">
        <v>28</v>
      </c>
      <c r="BH62" s="68">
        <v>16</v>
      </c>
      <c r="BI62" s="68">
        <v>47</v>
      </c>
    </row>
    <row r="63" spans="1:61" ht="15.75" customHeight="1">
      <c r="A63" s="346"/>
      <c r="B63" s="65" t="s">
        <v>225</v>
      </c>
      <c r="C63" s="68">
        <v>161</v>
      </c>
      <c r="D63" s="68">
        <v>14</v>
      </c>
      <c r="E63" s="68">
        <v>147</v>
      </c>
      <c r="F63" s="68">
        <v>147</v>
      </c>
      <c r="G63" s="68">
        <v>0</v>
      </c>
      <c r="H63" s="68"/>
      <c r="I63" s="68"/>
      <c r="J63" s="68"/>
      <c r="K63" s="68"/>
      <c r="L63" s="68"/>
      <c r="M63" s="68"/>
      <c r="N63" s="68">
        <v>566</v>
      </c>
      <c r="O63" s="68">
        <v>113</v>
      </c>
      <c r="P63" s="68">
        <v>86</v>
      </c>
      <c r="Q63" s="68">
        <v>367</v>
      </c>
      <c r="R63" s="68">
        <v>221</v>
      </c>
      <c r="S63" s="68">
        <v>42</v>
      </c>
      <c r="T63" s="68">
        <v>6</v>
      </c>
      <c r="U63" s="68">
        <v>173</v>
      </c>
      <c r="V63" s="68">
        <v>167</v>
      </c>
      <c r="W63" s="68">
        <v>30</v>
      </c>
      <c r="X63" s="68">
        <v>27</v>
      </c>
      <c r="Y63" s="68">
        <v>110</v>
      </c>
      <c r="Z63" s="68">
        <v>85</v>
      </c>
      <c r="AA63" s="68">
        <v>17</v>
      </c>
      <c r="AB63" s="68">
        <v>44</v>
      </c>
      <c r="AC63" s="68">
        <v>24</v>
      </c>
      <c r="AD63" s="68">
        <v>0</v>
      </c>
      <c r="AE63" s="68">
        <v>0</v>
      </c>
      <c r="AF63" s="68">
        <v>0</v>
      </c>
      <c r="AG63" s="68">
        <v>0</v>
      </c>
      <c r="AH63" s="68">
        <v>93</v>
      </c>
      <c r="AI63" s="68">
        <v>24</v>
      </c>
      <c r="AJ63" s="68">
        <v>9</v>
      </c>
      <c r="AK63" s="68">
        <v>60</v>
      </c>
      <c r="AL63" s="68">
        <v>1013</v>
      </c>
      <c r="AM63" s="68">
        <v>184</v>
      </c>
      <c r="AN63" s="68">
        <v>156</v>
      </c>
      <c r="AO63" s="68">
        <v>673</v>
      </c>
      <c r="AP63" s="68">
        <v>421</v>
      </c>
      <c r="AQ63" s="68">
        <v>68</v>
      </c>
      <c r="AR63" s="68">
        <v>11</v>
      </c>
      <c r="AS63" s="68">
        <v>342</v>
      </c>
      <c r="AT63" s="68">
        <v>274</v>
      </c>
      <c r="AU63" s="68">
        <v>45</v>
      </c>
      <c r="AV63" s="68">
        <v>39</v>
      </c>
      <c r="AW63" s="68">
        <v>190</v>
      </c>
      <c r="AX63" s="68">
        <v>159</v>
      </c>
      <c r="AY63" s="68">
        <v>34</v>
      </c>
      <c r="AZ63" s="68">
        <v>86</v>
      </c>
      <c r="BA63" s="68">
        <v>39</v>
      </c>
      <c r="BB63" s="68">
        <v>0</v>
      </c>
      <c r="BC63" s="68">
        <v>0</v>
      </c>
      <c r="BD63" s="68">
        <v>0</v>
      </c>
      <c r="BE63" s="68">
        <v>0</v>
      </c>
      <c r="BF63" s="68">
        <v>159</v>
      </c>
      <c r="BG63" s="68">
        <v>37</v>
      </c>
      <c r="BH63" s="68">
        <v>20</v>
      </c>
      <c r="BI63" s="68">
        <v>102</v>
      </c>
    </row>
    <row r="64" spans="1:61" ht="15.75" customHeight="1">
      <c r="A64" s="63" t="s">
        <v>219</v>
      </c>
      <c r="B64" s="64" t="s">
        <v>223</v>
      </c>
      <c r="C64" s="67">
        <v>188</v>
      </c>
      <c r="D64" s="67">
        <v>20</v>
      </c>
      <c r="E64" s="67">
        <v>168</v>
      </c>
      <c r="F64" s="67">
        <v>81</v>
      </c>
      <c r="G64" s="67">
        <v>87</v>
      </c>
      <c r="H64" s="67">
        <v>50</v>
      </c>
      <c r="I64" s="67">
        <v>376</v>
      </c>
      <c r="J64" s="67">
        <v>9</v>
      </c>
      <c r="K64" s="67">
        <v>13</v>
      </c>
      <c r="L64" s="67">
        <v>41</v>
      </c>
      <c r="M64" s="67">
        <v>363</v>
      </c>
      <c r="N64" s="67">
        <v>878</v>
      </c>
      <c r="O64" s="67">
        <v>161</v>
      </c>
      <c r="P64" s="67">
        <v>116</v>
      </c>
      <c r="Q64" s="67">
        <v>601</v>
      </c>
      <c r="R64" s="67">
        <v>308</v>
      </c>
      <c r="S64" s="67">
        <v>36</v>
      </c>
      <c r="T64" s="67">
        <v>5</v>
      </c>
      <c r="U64" s="67">
        <v>267</v>
      </c>
      <c r="V64" s="67">
        <v>254</v>
      </c>
      <c r="W64" s="67">
        <v>48</v>
      </c>
      <c r="X64" s="67">
        <v>33</v>
      </c>
      <c r="Y64" s="67">
        <v>173</v>
      </c>
      <c r="Z64" s="67">
        <v>165</v>
      </c>
      <c r="AA64" s="67">
        <v>44</v>
      </c>
      <c r="AB64" s="67">
        <v>56</v>
      </c>
      <c r="AC64" s="67">
        <v>65</v>
      </c>
      <c r="AD64" s="67">
        <v>1</v>
      </c>
      <c r="AE64" s="67">
        <v>0</v>
      </c>
      <c r="AF64" s="67">
        <v>0</v>
      </c>
      <c r="AG64" s="67">
        <v>1</v>
      </c>
      <c r="AH64" s="67">
        <v>150</v>
      </c>
      <c r="AI64" s="67">
        <v>33</v>
      </c>
      <c r="AJ64" s="67">
        <v>22</v>
      </c>
      <c r="AK64" s="67">
        <v>95</v>
      </c>
      <c r="AL64" s="67">
        <v>1192</v>
      </c>
      <c r="AM64" s="67">
        <v>210</v>
      </c>
      <c r="AN64" s="67">
        <v>167</v>
      </c>
      <c r="AO64" s="67">
        <v>815</v>
      </c>
      <c r="AP64" s="67">
        <v>405</v>
      </c>
      <c r="AQ64" s="67">
        <v>44</v>
      </c>
      <c r="AR64" s="67">
        <v>9</v>
      </c>
      <c r="AS64" s="67">
        <v>352</v>
      </c>
      <c r="AT64" s="67">
        <v>365</v>
      </c>
      <c r="AU64" s="67">
        <v>63</v>
      </c>
      <c r="AV64" s="67">
        <v>46</v>
      </c>
      <c r="AW64" s="67">
        <v>256</v>
      </c>
      <c r="AX64" s="67">
        <v>210</v>
      </c>
      <c r="AY64" s="67">
        <v>58</v>
      </c>
      <c r="AZ64" s="67">
        <v>78</v>
      </c>
      <c r="BA64" s="67">
        <v>74</v>
      </c>
      <c r="BB64" s="67">
        <v>2</v>
      </c>
      <c r="BC64" s="67">
        <v>0</v>
      </c>
      <c r="BD64" s="67">
        <v>1</v>
      </c>
      <c r="BE64" s="67">
        <v>1</v>
      </c>
      <c r="BF64" s="67">
        <v>210</v>
      </c>
      <c r="BG64" s="67">
        <v>45</v>
      </c>
      <c r="BH64" s="67">
        <v>33</v>
      </c>
      <c r="BI64" s="67">
        <v>132</v>
      </c>
    </row>
    <row r="65" spans="1:61" ht="15.75" customHeight="1">
      <c r="A65" s="345" t="s">
        <v>20</v>
      </c>
      <c r="B65" s="65" t="s">
        <v>224</v>
      </c>
      <c r="C65" s="68">
        <v>38</v>
      </c>
      <c r="D65" s="68">
        <v>1</v>
      </c>
      <c r="E65" s="68">
        <v>37</v>
      </c>
      <c r="F65" s="68">
        <v>17</v>
      </c>
      <c r="G65" s="68">
        <v>20</v>
      </c>
      <c r="H65" s="68"/>
      <c r="I65" s="68"/>
      <c r="J65" s="68"/>
      <c r="K65" s="68"/>
      <c r="L65" s="68"/>
      <c r="M65" s="68"/>
      <c r="N65" s="68">
        <v>397</v>
      </c>
      <c r="O65" s="68">
        <v>87</v>
      </c>
      <c r="P65" s="68">
        <v>58</v>
      </c>
      <c r="Q65" s="68">
        <v>252</v>
      </c>
      <c r="R65" s="68">
        <v>92</v>
      </c>
      <c r="S65" s="68">
        <v>9</v>
      </c>
      <c r="T65" s="68">
        <v>2</v>
      </c>
      <c r="U65" s="68">
        <v>81</v>
      </c>
      <c r="V65" s="68">
        <v>139</v>
      </c>
      <c r="W65" s="68">
        <v>25</v>
      </c>
      <c r="X65" s="68">
        <v>17</v>
      </c>
      <c r="Y65" s="68">
        <v>97</v>
      </c>
      <c r="Z65" s="68">
        <v>101</v>
      </c>
      <c r="AA65" s="68">
        <v>37</v>
      </c>
      <c r="AB65" s="68">
        <v>32</v>
      </c>
      <c r="AC65" s="68">
        <v>32</v>
      </c>
      <c r="AD65" s="68">
        <v>0</v>
      </c>
      <c r="AE65" s="68">
        <v>0</v>
      </c>
      <c r="AF65" s="68">
        <v>0</v>
      </c>
      <c r="AG65" s="68">
        <v>0</v>
      </c>
      <c r="AH65" s="68">
        <v>65</v>
      </c>
      <c r="AI65" s="68">
        <v>16</v>
      </c>
      <c r="AJ65" s="68">
        <v>7</v>
      </c>
      <c r="AK65" s="68">
        <v>42</v>
      </c>
      <c r="AL65" s="68">
        <v>563</v>
      </c>
      <c r="AM65" s="68">
        <v>113</v>
      </c>
      <c r="AN65" s="68">
        <v>92</v>
      </c>
      <c r="AO65" s="68">
        <v>358</v>
      </c>
      <c r="AP65" s="68">
        <v>134</v>
      </c>
      <c r="AQ65" s="68">
        <v>10</v>
      </c>
      <c r="AR65" s="68">
        <v>6</v>
      </c>
      <c r="AS65" s="68">
        <v>118</v>
      </c>
      <c r="AT65" s="68">
        <v>200</v>
      </c>
      <c r="AU65" s="68">
        <v>34</v>
      </c>
      <c r="AV65" s="68">
        <v>27</v>
      </c>
      <c r="AW65" s="68">
        <v>139</v>
      </c>
      <c r="AX65" s="68">
        <v>131</v>
      </c>
      <c r="AY65" s="68">
        <v>50</v>
      </c>
      <c r="AZ65" s="68">
        <v>46</v>
      </c>
      <c r="BA65" s="68">
        <v>35</v>
      </c>
      <c r="BB65" s="68">
        <v>1</v>
      </c>
      <c r="BC65" s="68">
        <v>0</v>
      </c>
      <c r="BD65" s="68">
        <v>1</v>
      </c>
      <c r="BE65" s="68">
        <v>0</v>
      </c>
      <c r="BF65" s="68">
        <v>97</v>
      </c>
      <c r="BG65" s="68">
        <v>19</v>
      </c>
      <c r="BH65" s="68">
        <v>12</v>
      </c>
      <c r="BI65" s="68">
        <v>66</v>
      </c>
    </row>
    <row r="66" spans="1:61" ht="15.75" customHeight="1">
      <c r="A66" s="346"/>
      <c r="B66" s="65" t="s">
        <v>225</v>
      </c>
      <c r="C66" s="68">
        <v>150</v>
      </c>
      <c r="D66" s="68">
        <v>19</v>
      </c>
      <c r="E66" s="68">
        <v>131</v>
      </c>
      <c r="F66" s="68">
        <v>64</v>
      </c>
      <c r="G66" s="68">
        <v>67</v>
      </c>
      <c r="H66" s="68"/>
      <c r="I66" s="68"/>
      <c r="J66" s="68"/>
      <c r="K66" s="68"/>
      <c r="L66" s="68"/>
      <c r="M66" s="68"/>
      <c r="N66" s="68">
        <v>481</v>
      </c>
      <c r="O66" s="68">
        <v>74</v>
      </c>
      <c r="P66" s="68">
        <v>58</v>
      </c>
      <c r="Q66" s="68">
        <v>349</v>
      </c>
      <c r="R66" s="68">
        <v>216</v>
      </c>
      <c r="S66" s="68">
        <v>27</v>
      </c>
      <c r="T66" s="68">
        <v>3</v>
      </c>
      <c r="U66" s="68">
        <v>186</v>
      </c>
      <c r="V66" s="68">
        <v>115</v>
      </c>
      <c r="W66" s="68">
        <v>23</v>
      </c>
      <c r="X66" s="68">
        <v>16</v>
      </c>
      <c r="Y66" s="68">
        <v>76</v>
      </c>
      <c r="Z66" s="68">
        <v>64</v>
      </c>
      <c r="AA66" s="68">
        <v>7</v>
      </c>
      <c r="AB66" s="68">
        <v>24</v>
      </c>
      <c r="AC66" s="68">
        <v>33</v>
      </c>
      <c r="AD66" s="68">
        <v>1</v>
      </c>
      <c r="AE66" s="68">
        <v>0</v>
      </c>
      <c r="AF66" s="68">
        <v>0</v>
      </c>
      <c r="AG66" s="68">
        <v>1</v>
      </c>
      <c r="AH66" s="68">
        <v>85</v>
      </c>
      <c r="AI66" s="68">
        <v>17</v>
      </c>
      <c r="AJ66" s="68">
        <v>15</v>
      </c>
      <c r="AK66" s="68">
        <v>53</v>
      </c>
      <c r="AL66" s="68">
        <v>629</v>
      </c>
      <c r="AM66" s="68">
        <v>97</v>
      </c>
      <c r="AN66" s="68">
        <v>75</v>
      </c>
      <c r="AO66" s="68">
        <v>457</v>
      </c>
      <c r="AP66" s="68">
        <v>271</v>
      </c>
      <c r="AQ66" s="68">
        <v>34</v>
      </c>
      <c r="AR66" s="68">
        <v>3</v>
      </c>
      <c r="AS66" s="68">
        <v>234</v>
      </c>
      <c r="AT66" s="68">
        <v>165</v>
      </c>
      <c r="AU66" s="68">
        <v>29</v>
      </c>
      <c r="AV66" s="68">
        <v>19</v>
      </c>
      <c r="AW66" s="68">
        <v>117</v>
      </c>
      <c r="AX66" s="68">
        <v>79</v>
      </c>
      <c r="AY66" s="68">
        <v>8</v>
      </c>
      <c r="AZ66" s="68">
        <v>32</v>
      </c>
      <c r="BA66" s="68">
        <v>39</v>
      </c>
      <c r="BB66" s="68">
        <v>1</v>
      </c>
      <c r="BC66" s="68">
        <v>0</v>
      </c>
      <c r="BD66" s="68">
        <v>0</v>
      </c>
      <c r="BE66" s="68">
        <v>1</v>
      </c>
      <c r="BF66" s="68">
        <v>113</v>
      </c>
      <c r="BG66" s="68">
        <v>26</v>
      </c>
      <c r="BH66" s="68">
        <v>21</v>
      </c>
      <c r="BI66" s="68">
        <v>66</v>
      </c>
    </row>
    <row r="67" spans="1:61" ht="15.75" customHeight="1">
      <c r="A67" s="63" t="s">
        <v>220</v>
      </c>
      <c r="B67" s="64" t="s">
        <v>223</v>
      </c>
      <c r="C67" s="67">
        <v>263</v>
      </c>
      <c r="D67" s="67">
        <v>26</v>
      </c>
      <c r="E67" s="67">
        <v>237</v>
      </c>
      <c r="F67" s="67">
        <v>86</v>
      </c>
      <c r="G67" s="67">
        <v>151</v>
      </c>
      <c r="H67" s="67">
        <v>90</v>
      </c>
      <c r="I67" s="67">
        <v>410</v>
      </c>
      <c r="J67" s="67">
        <v>20</v>
      </c>
      <c r="K67" s="67">
        <v>21</v>
      </c>
      <c r="L67" s="67">
        <v>70</v>
      </c>
      <c r="M67" s="67">
        <v>389</v>
      </c>
      <c r="N67" s="67">
        <v>1501</v>
      </c>
      <c r="O67" s="67">
        <v>181</v>
      </c>
      <c r="P67" s="67">
        <v>170</v>
      </c>
      <c r="Q67" s="67">
        <v>1150</v>
      </c>
      <c r="R67" s="67">
        <v>827</v>
      </c>
      <c r="S67" s="67">
        <v>99</v>
      </c>
      <c r="T67" s="67">
        <v>52</v>
      </c>
      <c r="U67" s="67">
        <v>676</v>
      </c>
      <c r="V67" s="67">
        <v>341</v>
      </c>
      <c r="W67" s="67">
        <v>46</v>
      </c>
      <c r="X67" s="67">
        <v>42</v>
      </c>
      <c r="Y67" s="67">
        <v>253</v>
      </c>
      <c r="Z67" s="67">
        <v>137</v>
      </c>
      <c r="AA67" s="67">
        <v>13</v>
      </c>
      <c r="AB67" s="67">
        <v>62</v>
      </c>
      <c r="AC67" s="67">
        <v>62</v>
      </c>
      <c r="AD67" s="67">
        <v>0</v>
      </c>
      <c r="AE67" s="67">
        <v>0</v>
      </c>
      <c r="AF67" s="67">
        <v>0</v>
      </c>
      <c r="AG67" s="67">
        <v>0</v>
      </c>
      <c r="AH67" s="67">
        <v>196</v>
      </c>
      <c r="AI67" s="67">
        <v>23</v>
      </c>
      <c r="AJ67" s="67">
        <v>14</v>
      </c>
      <c r="AK67" s="67">
        <v>159</v>
      </c>
      <c r="AL67" s="67">
        <v>2620</v>
      </c>
      <c r="AM67" s="67">
        <v>294</v>
      </c>
      <c r="AN67" s="67">
        <v>186</v>
      </c>
      <c r="AO67" s="67">
        <v>2140</v>
      </c>
      <c r="AP67" s="67">
        <v>1579</v>
      </c>
      <c r="AQ67" s="67">
        <v>176</v>
      </c>
      <c r="AR67" s="67">
        <v>96</v>
      </c>
      <c r="AS67" s="67">
        <v>1307</v>
      </c>
      <c r="AT67" s="67">
        <v>699</v>
      </c>
      <c r="AU67" s="67">
        <v>78</v>
      </c>
      <c r="AV67" s="67">
        <v>72</v>
      </c>
      <c r="AW67" s="67">
        <v>549</v>
      </c>
      <c r="AX67" s="67">
        <v>0</v>
      </c>
      <c r="AY67" s="67">
        <v>0</v>
      </c>
      <c r="AZ67" s="67">
        <v>0</v>
      </c>
      <c r="BA67" s="67">
        <v>0</v>
      </c>
      <c r="BB67" s="67">
        <v>0</v>
      </c>
      <c r="BC67" s="67">
        <v>0</v>
      </c>
      <c r="BD67" s="67">
        <v>0</v>
      </c>
      <c r="BE67" s="67">
        <v>0</v>
      </c>
      <c r="BF67" s="67">
        <v>342</v>
      </c>
      <c r="BG67" s="67">
        <v>40</v>
      </c>
      <c r="BH67" s="67">
        <v>18</v>
      </c>
      <c r="BI67" s="67">
        <v>284</v>
      </c>
    </row>
    <row r="68" spans="1:61" ht="15.75" customHeight="1">
      <c r="A68" s="345" t="s">
        <v>21</v>
      </c>
      <c r="B68" s="65" t="s">
        <v>224</v>
      </c>
      <c r="C68" s="68">
        <v>30</v>
      </c>
      <c r="D68" s="68">
        <v>2</v>
      </c>
      <c r="E68" s="68">
        <v>28</v>
      </c>
      <c r="F68" s="68">
        <v>7</v>
      </c>
      <c r="G68" s="68">
        <v>21</v>
      </c>
      <c r="H68" s="68"/>
      <c r="I68" s="68"/>
      <c r="J68" s="68"/>
      <c r="K68" s="68"/>
      <c r="L68" s="68"/>
      <c r="M68" s="68"/>
      <c r="N68" s="68">
        <v>585</v>
      </c>
      <c r="O68" s="68">
        <v>71</v>
      </c>
      <c r="P68" s="68">
        <v>86</v>
      </c>
      <c r="Q68" s="68">
        <v>428</v>
      </c>
      <c r="R68" s="68">
        <v>297</v>
      </c>
      <c r="S68" s="68">
        <v>36</v>
      </c>
      <c r="T68" s="68">
        <v>26</v>
      </c>
      <c r="U68" s="68">
        <v>235</v>
      </c>
      <c r="V68" s="68">
        <v>151</v>
      </c>
      <c r="W68" s="68">
        <v>18</v>
      </c>
      <c r="X68" s="68">
        <v>24</v>
      </c>
      <c r="Y68" s="68">
        <v>109</v>
      </c>
      <c r="Z68" s="68">
        <v>69</v>
      </c>
      <c r="AA68" s="68">
        <v>7</v>
      </c>
      <c r="AB68" s="68">
        <v>30</v>
      </c>
      <c r="AC68" s="68">
        <v>32</v>
      </c>
      <c r="AD68" s="68">
        <v>0</v>
      </c>
      <c r="AE68" s="68">
        <v>0</v>
      </c>
      <c r="AF68" s="68">
        <v>0</v>
      </c>
      <c r="AG68" s="68">
        <v>0</v>
      </c>
      <c r="AH68" s="68">
        <v>68</v>
      </c>
      <c r="AI68" s="68">
        <v>10</v>
      </c>
      <c r="AJ68" s="68">
        <v>6</v>
      </c>
      <c r="AK68" s="68">
        <v>52</v>
      </c>
      <c r="AL68" s="68">
        <v>1002</v>
      </c>
      <c r="AM68" s="68">
        <v>109</v>
      </c>
      <c r="AN68" s="68">
        <v>90</v>
      </c>
      <c r="AO68" s="68">
        <v>803</v>
      </c>
      <c r="AP68" s="68">
        <v>578</v>
      </c>
      <c r="AQ68" s="68">
        <v>64</v>
      </c>
      <c r="AR68" s="68">
        <v>44</v>
      </c>
      <c r="AS68" s="68">
        <v>470</v>
      </c>
      <c r="AT68" s="68">
        <v>304</v>
      </c>
      <c r="AU68" s="68">
        <v>31</v>
      </c>
      <c r="AV68" s="68">
        <v>39</v>
      </c>
      <c r="AW68" s="68">
        <v>234</v>
      </c>
      <c r="AX68" s="68">
        <v>0</v>
      </c>
      <c r="AY68" s="68">
        <v>0</v>
      </c>
      <c r="AZ68" s="68">
        <v>0</v>
      </c>
      <c r="BA68" s="68">
        <v>0</v>
      </c>
      <c r="BB68" s="68">
        <v>0</v>
      </c>
      <c r="BC68" s="68">
        <v>0</v>
      </c>
      <c r="BD68" s="68">
        <v>0</v>
      </c>
      <c r="BE68" s="68">
        <v>0</v>
      </c>
      <c r="BF68" s="68">
        <v>120</v>
      </c>
      <c r="BG68" s="68">
        <v>14</v>
      </c>
      <c r="BH68" s="68">
        <v>7</v>
      </c>
      <c r="BI68" s="68">
        <v>99</v>
      </c>
    </row>
    <row r="69" spans="1:61" ht="15.75" customHeight="1">
      <c r="A69" s="346"/>
      <c r="B69" s="65" t="s">
        <v>225</v>
      </c>
      <c r="C69" s="68">
        <v>233</v>
      </c>
      <c r="D69" s="68">
        <v>24</v>
      </c>
      <c r="E69" s="68">
        <v>209</v>
      </c>
      <c r="F69" s="68">
        <v>79</v>
      </c>
      <c r="G69" s="68">
        <v>130</v>
      </c>
      <c r="H69" s="68"/>
      <c r="I69" s="68"/>
      <c r="J69" s="68"/>
      <c r="K69" s="68"/>
      <c r="L69" s="68"/>
      <c r="M69" s="68"/>
      <c r="N69" s="68">
        <v>916</v>
      </c>
      <c r="O69" s="68">
        <v>110</v>
      </c>
      <c r="P69" s="68">
        <v>84</v>
      </c>
      <c r="Q69" s="68">
        <v>722</v>
      </c>
      <c r="R69" s="68">
        <v>530</v>
      </c>
      <c r="S69" s="68">
        <v>63</v>
      </c>
      <c r="T69" s="68">
        <v>26</v>
      </c>
      <c r="U69" s="68">
        <v>441</v>
      </c>
      <c r="V69" s="68">
        <v>190</v>
      </c>
      <c r="W69" s="68">
        <v>28</v>
      </c>
      <c r="X69" s="68">
        <v>18</v>
      </c>
      <c r="Y69" s="68">
        <v>144</v>
      </c>
      <c r="Z69" s="68">
        <v>68</v>
      </c>
      <c r="AA69" s="68">
        <v>6</v>
      </c>
      <c r="AB69" s="68">
        <v>32</v>
      </c>
      <c r="AC69" s="68">
        <v>30</v>
      </c>
      <c r="AD69" s="68">
        <v>0</v>
      </c>
      <c r="AE69" s="68">
        <v>0</v>
      </c>
      <c r="AF69" s="68">
        <v>0</v>
      </c>
      <c r="AG69" s="68">
        <v>0</v>
      </c>
      <c r="AH69" s="68">
        <v>128</v>
      </c>
      <c r="AI69" s="68">
        <v>13</v>
      </c>
      <c r="AJ69" s="68">
        <v>8</v>
      </c>
      <c r="AK69" s="68">
        <v>107</v>
      </c>
      <c r="AL69" s="68">
        <v>1618</v>
      </c>
      <c r="AM69" s="68">
        <v>185</v>
      </c>
      <c r="AN69" s="68">
        <v>96</v>
      </c>
      <c r="AO69" s="68">
        <v>1337</v>
      </c>
      <c r="AP69" s="68">
        <v>1001</v>
      </c>
      <c r="AQ69" s="68">
        <v>112</v>
      </c>
      <c r="AR69" s="68">
        <v>52</v>
      </c>
      <c r="AS69" s="68">
        <v>837</v>
      </c>
      <c r="AT69" s="68">
        <v>395</v>
      </c>
      <c r="AU69" s="68">
        <v>47</v>
      </c>
      <c r="AV69" s="68">
        <v>33</v>
      </c>
      <c r="AW69" s="68">
        <v>315</v>
      </c>
      <c r="AX69" s="68">
        <v>0</v>
      </c>
      <c r="AY69" s="68">
        <v>0</v>
      </c>
      <c r="AZ69" s="68">
        <v>0</v>
      </c>
      <c r="BA69" s="68">
        <v>0</v>
      </c>
      <c r="BB69" s="68">
        <v>0</v>
      </c>
      <c r="BC69" s="68">
        <v>0</v>
      </c>
      <c r="BD69" s="68">
        <v>0</v>
      </c>
      <c r="BE69" s="68">
        <v>0</v>
      </c>
      <c r="BF69" s="68">
        <v>222</v>
      </c>
      <c r="BG69" s="68">
        <v>26</v>
      </c>
      <c r="BH69" s="68">
        <v>11</v>
      </c>
      <c r="BI69" s="68">
        <v>185</v>
      </c>
    </row>
    <row r="70" spans="1:61" ht="15.75" customHeight="1">
      <c r="A70" s="63" t="s">
        <v>221</v>
      </c>
      <c r="B70" s="64" t="s">
        <v>223</v>
      </c>
      <c r="C70" s="67">
        <v>90</v>
      </c>
      <c r="D70" s="67">
        <v>5</v>
      </c>
      <c r="E70" s="67">
        <v>85</v>
      </c>
      <c r="F70" s="67">
        <v>17</v>
      </c>
      <c r="G70" s="67">
        <v>68</v>
      </c>
      <c r="H70" s="67">
        <v>11</v>
      </c>
      <c r="I70" s="67">
        <v>175</v>
      </c>
      <c r="J70" s="67">
        <v>0</v>
      </c>
      <c r="K70" s="67">
        <v>0</v>
      </c>
      <c r="L70" s="67">
        <v>11</v>
      </c>
      <c r="M70" s="67">
        <v>175</v>
      </c>
      <c r="N70" s="67">
        <v>352</v>
      </c>
      <c r="O70" s="67">
        <v>16</v>
      </c>
      <c r="P70" s="67">
        <v>3</v>
      </c>
      <c r="Q70" s="67">
        <v>333</v>
      </c>
      <c r="R70" s="67">
        <v>168</v>
      </c>
      <c r="S70" s="67">
        <v>1</v>
      </c>
      <c r="T70" s="67">
        <v>0</v>
      </c>
      <c r="U70" s="67">
        <v>167</v>
      </c>
      <c r="V70" s="67">
        <v>124</v>
      </c>
      <c r="W70" s="67">
        <v>7</v>
      </c>
      <c r="X70" s="67">
        <v>0</v>
      </c>
      <c r="Y70" s="67">
        <v>117</v>
      </c>
      <c r="Z70" s="67">
        <v>35</v>
      </c>
      <c r="AA70" s="67">
        <v>6</v>
      </c>
      <c r="AB70" s="67">
        <v>3</v>
      </c>
      <c r="AC70" s="67">
        <v>26</v>
      </c>
      <c r="AD70" s="67">
        <v>0</v>
      </c>
      <c r="AE70" s="67">
        <v>0</v>
      </c>
      <c r="AF70" s="67">
        <v>0</v>
      </c>
      <c r="AG70" s="67">
        <v>0</v>
      </c>
      <c r="AH70" s="67">
        <v>25</v>
      </c>
      <c r="AI70" s="67">
        <v>2</v>
      </c>
      <c r="AJ70" s="67">
        <v>0</v>
      </c>
      <c r="AK70" s="67">
        <v>23</v>
      </c>
      <c r="AL70" s="67">
        <v>504</v>
      </c>
      <c r="AM70" s="67">
        <v>23</v>
      </c>
      <c r="AN70" s="67">
        <v>4</v>
      </c>
      <c r="AO70" s="67">
        <v>477</v>
      </c>
      <c r="AP70" s="67">
        <v>216</v>
      </c>
      <c r="AQ70" s="67">
        <v>5</v>
      </c>
      <c r="AR70" s="67">
        <v>0</v>
      </c>
      <c r="AS70" s="67">
        <v>211</v>
      </c>
      <c r="AT70" s="67">
        <v>222</v>
      </c>
      <c r="AU70" s="67">
        <v>8</v>
      </c>
      <c r="AV70" s="67">
        <v>0</v>
      </c>
      <c r="AW70" s="67">
        <v>214</v>
      </c>
      <c r="AX70" s="67">
        <v>51</v>
      </c>
      <c r="AY70" s="67">
        <v>10</v>
      </c>
      <c r="AZ70" s="67">
        <v>4</v>
      </c>
      <c r="BA70" s="67">
        <v>37</v>
      </c>
      <c r="BB70" s="67">
        <v>0</v>
      </c>
      <c r="BC70" s="67">
        <v>0</v>
      </c>
      <c r="BD70" s="67">
        <v>0</v>
      </c>
      <c r="BE70" s="67">
        <v>0</v>
      </c>
      <c r="BF70" s="67">
        <v>15</v>
      </c>
      <c r="BG70" s="67">
        <v>0</v>
      </c>
      <c r="BH70" s="67">
        <v>0</v>
      </c>
      <c r="BI70" s="67">
        <v>15</v>
      </c>
    </row>
    <row r="71" spans="1:61" ht="15.75" customHeight="1">
      <c r="A71" s="345" t="s">
        <v>22</v>
      </c>
      <c r="B71" s="65" t="s">
        <v>224</v>
      </c>
      <c r="C71" s="68">
        <v>8</v>
      </c>
      <c r="D71" s="68">
        <v>1</v>
      </c>
      <c r="E71" s="68">
        <v>7</v>
      </c>
      <c r="F71" s="68">
        <v>0</v>
      </c>
      <c r="G71" s="68">
        <v>7</v>
      </c>
      <c r="H71" s="68"/>
      <c r="I71" s="68"/>
      <c r="J71" s="68"/>
      <c r="K71" s="68"/>
      <c r="L71" s="68"/>
      <c r="M71" s="68"/>
      <c r="N71" s="68">
        <v>132</v>
      </c>
      <c r="O71" s="68">
        <v>11</v>
      </c>
      <c r="P71" s="68">
        <v>2</v>
      </c>
      <c r="Q71" s="68">
        <v>119</v>
      </c>
      <c r="R71" s="68">
        <v>51</v>
      </c>
      <c r="S71" s="68">
        <v>0</v>
      </c>
      <c r="T71" s="68">
        <v>0</v>
      </c>
      <c r="U71" s="68">
        <v>51</v>
      </c>
      <c r="V71" s="68">
        <v>51</v>
      </c>
      <c r="W71" s="68">
        <v>5</v>
      </c>
      <c r="X71" s="68">
        <v>0</v>
      </c>
      <c r="Y71" s="68">
        <v>46</v>
      </c>
      <c r="Z71" s="68">
        <v>21</v>
      </c>
      <c r="AA71" s="68">
        <v>5</v>
      </c>
      <c r="AB71" s="68">
        <v>2</v>
      </c>
      <c r="AC71" s="68">
        <v>14</v>
      </c>
      <c r="AD71" s="68">
        <v>0</v>
      </c>
      <c r="AE71" s="68">
        <v>0</v>
      </c>
      <c r="AF71" s="68">
        <v>0</v>
      </c>
      <c r="AG71" s="68">
        <v>0</v>
      </c>
      <c r="AH71" s="68">
        <v>9</v>
      </c>
      <c r="AI71" s="68">
        <v>1</v>
      </c>
      <c r="AJ71" s="68">
        <v>0</v>
      </c>
      <c r="AK71" s="68">
        <v>8</v>
      </c>
      <c r="AL71" s="68">
        <v>186</v>
      </c>
      <c r="AM71" s="68">
        <v>15</v>
      </c>
      <c r="AN71" s="68">
        <v>3</v>
      </c>
      <c r="AO71" s="68">
        <v>168</v>
      </c>
      <c r="AP71" s="68">
        <v>67</v>
      </c>
      <c r="AQ71" s="68">
        <v>3</v>
      </c>
      <c r="AR71" s="68">
        <v>0</v>
      </c>
      <c r="AS71" s="68">
        <v>64</v>
      </c>
      <c r="AT71" s="68">
        <v>93</v>
      </c>
      <c r="AU71" s="68">
        <v>5</v>
      </c>
      <c r="AV71" s="68">
        <v>0</v>
      </c>
      <c r="AW71" s="68">
        <v>88</v>
      </c>
      <c r="AX71" s="68">
        <v>24</v>
      </c>
      <c r="AY71" s="68">
        <v>7</v>
      </c>
      <c r="AZ71" s="68">
        <v>3</v>
      </c>
      <c r="BA71" s="68">
        <v>14</v>
      </c>
      <c r="BB71" s="68">
        <v>0</v>
      </c>
      <c r="BC71" s="68">
        <v>0</v>
      </c>
      <c r="BD71" s="68">
        <v>0</v>
      </c>
      <c r="BE71" s="68">
        <v>0</v>
      </c>
      <c r="BF71" s="68">
        <v>2</v>
      </c>
      <c r="BG71" s="68">
        <v>0</v>
      </c>
      <c r="BH71" s="68">
        <v>0</v>
      </c>
      <c r="BI71" s="68">
        <v>2</v>
      </c>
    </row>
    <row r="72" spans="1:61" ht="15.75" customHeight="1">
      <c r="A72" s="346"/>
      <c r="B72" s="65" t="s">
        <v>225</v>
      </c>
      <c r="C72" s="68">
        <v>82</v>
      </c>
      <c r="D72" s="68">
        <v>4</v>
      </c>
      <c r="E72" s="68">
        <v>78</v>
      </c>
      <c r="F72" s="68">
        <v>17</v>
      </c>
      <c r="G72" s="68">
        <v>61</v>
      </c>
      <c r="H72" s="68"/>
      <c r="I72" s="68"/>
      <c r="J72" s="68"/>
      <c r="K72" s="68"/>
      <c r="L72" s="68"/>
      <c r="M72" s="68"/>
      <c r="N72" s="68">
        <v>220</v>
      </c>
      <c r="O72" s="68">
        <v>5</v>
      </c>
      <c r="P72" s="68">
        <v>1</v>
      </c>
      <c r="Q72" s="68">
        <v>214</v>
      </c>
      <c r="R72" s="68">
        <v>117</v>
      </c>
      <c r="S72" s="68">
        <v>1</v>
      </c>
      <c r="T72" s="68">
        <v>0</v>
      </c>
      <c r="U72" s="68">
        <v>116</v>
      </c>
      <c r="V72" s="68">
        <v>73</v>
      </c>
      <c r="W72" s="68">
        <v>2</v>
      </c>
      <c r="X72" s="68">
        <v>0</v>
      </c>
      <c r="Y72" s="68">
        <v>71</v>
      </c>
      <c r="Z72" s="68">
        <v>14</v>
      </c>
      <c r="AA72" s="68">
        <v>1</v>
      </c>
      <c r="AB72" s="68">
        <v>1</v>
      </c>
      <c r="AC72" s="68">
        <v>12</v>
      </c>
      <c r="AD72" s="68">
        <v>0</v>
      </c>
      <c r="AE72" s="68">
        <v>0</v>
      </c>
      <c r="AF72" s="68">
        <v>0</v>
      </c>
      <c r="AG72" s="68">
        <v>0</v>
      </c>
      <c r="AH72" s="68">
        <v>16</v>
      </c>
      <c r="AI72" s="68">
        <v>1</v>
      </c>
      <c r="AJ72" s="68">
        <v>0</v>
      </c>
      <c r="AK72" s="68">
        <v>15</v>
      </c>
      <c r="AL72" s="68">
        <v>318</v>
      </c>
      <c r="AM72" s="68">
        <v>8</v>
      </c>
      <c r="AN72" s="68">
        <v>1</v>
      </c>
      <c r="AO72" s="68">
        <v>309</v>
      </c>
      <c r="AP72" s="68">
        <v>149</v>
      </c>
      <c r="AQ72" s="68">
        <v>2</v>
      </c>
      <c r="AR72" s="68">
        <v>0</v>
      </c>
      <c r="AS72" s="68">
        <v>147</v>
      </c>
      <c r="AT72" s="68">
        <v>129</v>
      </c>
      <c r="AU72" s="68">
        <v>3</v>
      </c>
      <c r="AV72" s="68">
        <v>0</v>
      </c>
      <c r="AW72" s="68">
        <v>126</v>
      </c>
      <c r="AX72" s="68">
        <v>27</v>
      </c>
      <c r="AY72" s="68">
        <v>3</v>
      </c>
      <c r="AZ72" s="68">
        <v>1</v>
      </c>
      <c r="BA72" s="68">
        <v>23</v>
      </c>
      <c r="BB72" s="68">
        <v>0</v>
      </c>
      <c r="BC72" s="68">
        <v>0</v>
      </c>
      <c r="BD72" s="68">
        <v>0</v>
      </c>
      <c r="BE72" s="68">
        <v>0</v>
      </c>
      <c r="BF72" s="68">
        <v>13</v>
      </c>
      <c r="BG72" s="68">
        <v>0</v>
      </c>
      <c r="BH72" s="68">
        <v>0</v>
      </c>
      <c r="BI72" s="68">
        <v>13</v>
      </c>
    </row>
    <row r="73" spans="1:61" ht="15.75" customHeight="1">
      <c r="A73" s="63" t="s">
        <v>222</v>
      </c>
      <c r="B73" s="64" t="s">
        <v>223</v>
      </c>
      <c r="C73" s="67">
        <v>7</v>
      </c>
      <c r="D73" s="67">
        <v>0</v>
      </c>
      <c r="E73" s="67">
        <v>7</v>
      </c>
      <c r="F73" s="67">
        <v>1</v>
      </c>
      <c r="G73" s="67">
        <v>6</v>
      </c>
      <c r="H73" s="67">
        <v>0</v>
      </c>
      <c r="I73" s="67">
        <v>15</v>
      </c>
      <c r="J73" s="67">
        <v>0</v>
      </c>
      <c r="K73" s="67">
        <v>0</v>
      </c>
      <c r="L73" s="67">
        <v>0</v>
      </c>
      <c r="M73" s="67">
        <v>15</v>
      </c>
      <c r="N73" s="67">
        <v>9</v>
      </c>
      <c r="O73" s="67">
        <v>3</v>
      </c>
      <c r="P73" s="67">
        <v>1</v>
      </c>
      <c r="Q73" s="67">
        <v>5</v>
      </c>
      <c r="R73" s="67">
        <v>8</v>
      </c>
      <c r="S73" s="67">
        <v>3</v>
      </c>
      <c r="T73" s="67">
        <v>0</v>
      </c>
      <c r="U73" s="67">
        <v>5</v>
      </c>
      <c r="V73" s="67">
        <v>0</v>
      </c>
      <c r="W73" s="67">
        <v>0</v>
      </c>
      <c r="X73" s="67">
        <v>0</v>
      </c>
      <c r="Y73" s="67">
        <v>0</v>
      </c>
      <c r="Z73" s="67">
        <v>1</v>
      </c>
      <c r="AA73" s="67">
        <v>0</v>
      </c>
      <c r="AB73" s="67">
        <v>1</v>
      </c>
      <c r="AC73" s="67">
        <v>0</v>
      </c>
      <c r="AD73" s="67">
        <v>0</v>
      </c>
      <c r="AE73" s="67">
        <v>0</v>
      </c>
      <c r="AF73" s="67">
        <v>0</v>
      </c>
      <c r="AG73" s="67">
        <v>0</v>
      </c>
      <c r="AH73" s="67">
        <v>0</v>
      </c>
      <c r="AI73" s="67">
        <v>0</v>
      </c>
      <c r="AJ73" s="67">
        <v>0</v>
      </c>
      <c r="AK73" s="67">
        <v>0</v>
      </c>
      <c r="AL73" s="67">
        <v>9</v>
      </c>
      <c r="AM73" s="67">
        <v>2</v>
      </c>
      <c r="AN73" s="67">
        <v>1</v>
      </c>
      <c r="AO73" s="67">
        <v>6</v>
      </c>
      <c r="AP73" s="67">
        <v>5</v>
      </c>
      <c r="AQ73" s="67">
        <v>0</v>
      </c>
      <c r="AR73" s="67">
        <v>0</v>
      </c>
      <c r="AS73" s="67">
        <v>5</v>
      </c>
      <c r="AT73" s="67">
        <v>1</v>
      </c>
      <c r="AU73" s="67">
        <v>1</v>
      </c>
      <c r="AV73" s="67">
        <v>0</v>
      </c>
      <c r="AW73" s="67">
        <v>0</v>
      </c>
      <c r="AX73" s="67">
        <v>3</v>
      </c>
      <c r="AY73" s="67">
        <v>1</v>
      </c>
      <c r="AZ73" s="67">
        <v>1</v>
      </c>
      <c r="BA73" s="67">
        <v>1</v>
      </c>
      <c r="BB73" s="67">
        <v>0</v>
      </c>
      <c r="BC73" s="67">
        <v>0</v>
      </c>
      <c r="BD73" s="67">
        <v>0</v>
      </c>
      <c r="BE73" s="67">
        <v>0</v>
      </c>
      <c r="BF73" s="67">
        <v>0</v>
      </c>
      <c r="BG73" s="67">
        <v>0</v>
      </c>
      <c r="BH73" s="67">
        <v>0</v>
      </c>
      <c r="BI73" s="67">
        <v>0</v>
      </c>
    </row>
    <row r="74" spans="1:61" ht="15.75" customHeight="1">
      <c r="A74" s="345" t="s">
        <v>23</v>
      </c>
      <c r="B74" s="65" t="s">
        <v>224</v>
      </c>
      <c r="C74" s="68">
        <v>1</v>
      </c>
      <c r="D74" s="68">
        <v>0</v>
      </c>
      <c r="E74" s="68">
        <v>1</v>
      </c>
      <c r="F74" s="68">
        <v>0</v>
      </c>
      <c r="G74" s="68">
        <v>1</v>
      </c>
      <c r="H74" s="68">
        <v>0</v>
      </c>
      <c r="I74" s="68">
        <v>0</v>
      </c>
      <c r="J74" s="68">
        <v>0</v>
      </c>
      <c r="K74" s="68">
        <v>0</v>
      </c>
      <c r="L74" s="68">
        <v>0</v>
      </c>
      <c r="M74" s="68">
        <v>0</v>
      </c>
      <c r="N74" s="68">
        <v>5</v>
      </c>
      <c r="O74" s="68">
        <v>2</v>
      </c>
      <c r="P74" s="68">
        <v>1</v>
      </c>
      <c r="Q74" s="68">
        <v>2</v>
      </c>
      <c r="R74" s="68">
        <v>4</v>
      </c>
      <c r="S74" s="68">
        <v>2</v>
      </c>
      <c r="T74" s="68">
        <v>0</v>
      </c>
      <c r="U74" s="68">
        <v>2</v>
      </c>
      <c r="V74" s="68">
        <v>0</v>
      </c>
      <c r="W74" s="68">
        <v>0</v>
      </c>
      <c r="X74" s="68">
        <v>0</v>
      </c>
      <c r="Y74" s="68">
        <v>0</v>
      </c>
      <c r="Z74" s="68">
        <v>1</v>
      </c>
      <c r="AA74" s="68">
        <v>0</v>
      </c>
      <c r="AB74" s="68">
        <v>1</v>
      </c>
      <c r="AC74" s="68">
        <v>0</v>
      </c>
      <c r="AD74" s="68">
        <v>0</v>
      </c>
      <c r="AE74" s="68">
        <v>0</v>
      </c>
      <c r="AF74" s="68">
        <v>0</v>
      </c>
      <c r="AG74" s="68">
        <v>0</v>
      </c>
      <c r="AH74" s="68">
        <v>0</v>
      </c>
      <c r="AI74" s="68">
        <v>0</v>
      </c>
      <c r="AJ74" s="68">
        <v>0</v>
      </c>
      <c r="AK74" s="68">
        <v>0</v>
      </c>
      <c r="AL74" s="68">
        <v>5</v>
      </c>
      <c r="AM74" s="68">
        <v>2</v>
      </c>
      <c r="AN74" s="68">
        <v>1</v>
      </c>
      <c r="AO74" s="68">
        <v>2</v>
      </c>
      <c r="AP74" s="68">
        <v>2</v>
      </c>
      <c r="AQ74" s="68">
        <v>0</v>
      </c>
      <c r="AR74" s="68">
        <v>0</v>
      </c>
      <c r="AS74" s="68">
        <v>2</v>
      </c>
      <c r="AT74" s="68">
        <v>1</v>
      </c>
      <c r="AU74" s="68">
        <v>1</v>
      </c>
      <c r="AV74" s="68">
        <v>0</v>
      </c>
      <c r="AW74" s="68">
        <v>0</v>
      </c>
      <c r="AX74" s="68">
        <v>2</v>
      </c>
      <c r="AY74" s="68">
        <v>1</v>
      </c>
      <c r="AZ74" s="68">
        <v>1</v>
      </c>
      <c r="BA74" s="68">
        <v>0</v>
      </c>
      <c r="BB74" s="68">
        <v>0</v>
      </c>
      <c r="BC74" s="68">
        <v>0</v>
      </c>
      <c r="BD74" s="68">
        <v>0</v>
      </c>
      <c r="BE74" s="68">
        <v>0</v>
      </c>
      <c r="BF74" s="68">
        <v>0</v>
      </c>
      <c r="BG74" s="68">
        <v>0</v>
      </c>
      <c r="BH74" s="68">
        <v>0</v>
      </c>
      <c r="BI74" s="68">
        <v>0</v>
      </c>
    </row>
    <row r="75" spans="1:61" ht="15.75" customHeight="1">
      <c r="A75" s="346"/>
      <c r="B75" s="66" t="s">
        <v>225</v>
      </c>
      <c r="C75" s="69">
        <v>6</v>
      </c>
      <c r="D75" s="69">
        <v>0</v>
      </c>
      <c r="E75" s="69">
        <v>6</v>
      </c>
      <c r="F75" s="69">
        <v>1</v>
      </c>
      <c r="G75" s="69">
        <v>5</v>
      </c>
      <c r="H75" s="69">
        <v>0</v>
      </c>
      <c r="I75" s="69">
        <v>0</v>
      </c>
      <c r="J75" s="69">
        <v>0</v>
      </c>
      <c r="K75" s="69">
        <v>0</v>
      </c>
      <c r="L75" s="69">
        <v>0</v>
      </c>
      <c r="M75" s="69">
        <v>0</v>
      </c>
      <c r="N75" s="69">
        <v>4</v>
      </c>
      <c r="O75" s="69">
        <v>1</v>
      </c>
      <c r="P75" s="69">
        <v>0</v>
      </c>
      <c r="Q75" s="69">
        <v>3</v>
      </c>
      <c r="R75" s="69">
        <v>4</v>
      </c>
      <c r="S75" s="69">
        <v>1</v>
      </c>
      <c r="T75" s="69">
        <v>0</v>
      </c>
      <c r="U75" s="69">
        <v>3</v>
      </c>
      <c r="V75" s="69">
        <v>0</v>
      </c>
      <c r="W75" s="69">
        <v>0</v>
      </c>
      <c r="X75" s="69">
        <v>0</v>
      </c>
      <c r="Y75" s="69">
        <v>0</v>
      </c>
      <c r="Z75" s="69">
        <v>0</v>
      </c>
      <c r="AA75" s="69">
        <v>0</v>
      </c>
      <c r="AB75" s="69">
        <v>0</v>
      </c>
      <c r="AC75" s="69">
        <v>0</v>
      </c>
      <c r="AD75" s="69">
        <v>0</v>
      </c>
      <c r="AE75" s="69">
        <v>0</v>
      </c>
      <c r="AF75" s="69">
        <v>0</v>
      </c>
      <c r="AG75" s="69">
        <v>0</v>
      </c>
      <c r="AH75" s="69">
        <v>0</v>
      </c>
      <c r="AI75" s="69">
        <v>0</v>
      </c>
      <c r="AJ75" s="69">
        <v>0</v>
      </c>
      <c r="AK75" s="69">
        <v>0</v>
      </c>
      <c r="AL75" s="69">
        <v>4</v>
      </c>
      <c r="AM75" s="69">
        <v>0</v>
      </c>
      <c r="AN75" s="69">
        <v>0</v>
      </c>
      <c r="AO75" s="69">
        <v>4</v>
      </c>
      <c r="AP75" s="69">
        <v>3</v>
      </c>
      <c r="AQ75" s="69">
        <v>0</v>
      </c>
      <c r="AR75" s="69">
        <v>0</v>
      </c>
      <c r="AS75" s="69">
        <v>3</v>
      </c>
      <c r="AT75" s="69">
        <v>0</v>
      </c>
      <c r="AU75" s="69">
        <v>0</v>
      </c>
      <c r="AV75" s="69">
        <v>0</v>
      </c>
      <c r="AW75" s="69">
        <v>0</v>
      </c>
      <c r="AX75" s="69">
        <v>1</v>
      </c>
      <c r="AY75" s="69">
        <v>0</v>
      </c>
      <c r="AZ75" s="69">
        <v>0</v>
      </c>
      <c r="BA75" s="69">
        <v>1</v>
      </c>
      <c r="BB75" s="69">
        <v>0</v>
      </c>
      <c r="BC75" s="69">
        <v>0</v>
      </c>
      <c r="BD75" s="69">
        <v>0</v>
      </c>
      <c r="BE75" s="69">
        <v>0</v>
      </c>
      <c r="BF75" s="69">
        <v>0</v>
      </c>
      <c r="BG75" s="69">
        <v>0</v>
      </c>
      <c r="BH75" s="69">
        <v>0</v>
      </c>
      <c r="BI75" s="69">
        <v>0</v>
      </c>
    </row>
    <row r="76" spans="1:61" ht="15" customHeight="1">
      <c r="A76" s="14" t="s">
        <v>77</v>
      </c>
      <c r="B76" s="24"/>
    </row>
    <row r="77" spans="1:61" ht="15" customHeight="1">
      <c r="A77" s="61" t="s">
        <v>192</v>
      </c>
      <c r="B77" s="24"/>
    </row>
    <row r="78" spans="1:61" ht="15" customHeight="1">
      <c r="A78" s="15" t="s">
        <v>2</v>
      </c>
      <c r="B78" s="15"/>
    </row>
    <row r="80" spans="1:61">
      <c r="A80" s="31" t="s">
        <v>241</v>
      </c>
    </row>
    <row r="82" spans="1:61" s="13" customFormat="1" ht="15.75" hidden="1" customHeight="1">
      <c r="A82" s="63" t="s">
        <v>200</v>
      </c>
      <c r="B82" s="64" t="s">
        <v>223</v>
      </c>
      <c r="C82" s="67">
        <v>21306</v>
      </c>
      <c r="D82" s="67">
        <v>2175</v>
      </c>
      <c r="E82" s="67">
        <v>19131</v>
      </c>
      <c r="F82" s="67">
        <v>11270</v>
      </c>
      <c r="G82" s="67">
        <v>7861</v>
      </c>
      <c r="H82" s="67">
        <v>2219</v>
      </c>
      <c r="I82" s="67">
        <v>32033</v>
      </c>
      <c r="J82" s="67">
        <v>324</v>
      </c>
      <c r="K82" s="67">
        <v>1041</v>
      </c>
      <c r="L82" s="67">
        <v>1895</v>
      </c>
      <c r="M82" s="67">
        <v>30992</v>
      </c>
      <c r="N82" s="67">
        <v>105470</v>
      </c>
      <c r="O82" s="67">
        <v>22103</v>
      </c>
      <c r="P82" s="67">
        <v>11989</v>
      </c>
      <c r="Q82" s="67">
        <v>71378</v>
      </c>
      <c r="R82" s="67">
        <v>42599</v>
      </c>
      <c r="S82" s="67">
        <v>5968</v>
      </c>
      <c r="T82" s="67">
        <v>1107</v>
      </c>
      <c r="U82" s="67">
        <v>35524</v>
      </c>
      <c r="V82" s="67">
        <v>30299</v>
      </c>
      <c r="W82" s="67">
        <v>5880</v>
      </c>
      <c r="X82" s="67">
        <v>3058</v>
      </c>
      <c r="Y82" s="67">
        <v>21361</v>
      </c>
      <c r="Z82" s="67">
        <v>18434</v>
      </c>
      <c r="AA82" s="67">
        <v>6799</v>
      </c>
      <c r="AB82" s="67">
        <v>6052</v>
      </c>
      <c r="AC82" s="67">
        <v>5583</v>
      </c>
      <c r="AD82" s="67">
        <v>956</v>
      </c>
      <c r="AE82" s="67">
        <v>372</v>
      </c>
      <c r="AF82" s="67">
        <v>264</v>
      </c>
      <c r="AG82" s="67">
        <v>320</v>
      </c>
      <c r="AH82" s="67">
        <v>13182</v>
      </c>
      <c r="AI82" s="67">
        <v>3084</v>
      </c>
      <c r="AJ82" s="67">
        <v>1508</v>
      </c>
      <c r="AK82" s="67">
        <v>8590</v>
      </c>
      <c r="AL82" s="67">
        <v>193657</v>
      </c>
      <c r="AM82" s="67">
        <v>37124</v>
      </c>
      <c r="AN82" s="67">
        <v>19559</v>
      </c>
      <c r="AO82" s="67">
        <v>136974</v>
      </c>
      <c r="AP82" s="67">
        <v>82944</v>
      </c>
      <c r="AQ82" s="67">
        <v>11060</v>
      </c>
      <c r="AR82" s="67">
        <v>2814</v>
      </c>
      <c r="AS82" s="67">
        <v>69070</v>
      </c>
      <c r="AT82" s="67">
        <v>56154</v>
      </c>
      <c r="AU82" s="67">
        <v>10326</v>
      </c>
      <c r="AV82" s="67">
        <v>5258</v>
      </c>
      <c r="AW82" s="67">
        <v>40570</v>
      </c>
      <c r="AX82" s="67">
        <v>28025</v>
      </c>
      <c r="AY82" s="67">
        <v>10241</v>
      </c>
      <c r="AZ82" s="67">
        <v>8818</v>
      </c>
      <c r="BA82" s="67">
        <v>8966</v>
      </c>
      <c r="BB82" s="67">
        <v>2681</v>
      </c>
      <c r="BC82" s="67">
        <v>778</v>
      </c>
      <c r="BD82" s="67">
        <v>502</v>
      </c>
      <c r="BE82" s="67">
        <v>1401</v>
      </c>
      <c r="BF82" s="67">
        <v>23853</v>
      </c>
      <c r="BG82" s="67">
        <v>4719</v>
      </c>
      <c r="BH82" s="67">
        <v>2167</v>
      </c>
      <c r="BI82" s="67">
        <v>16967</v>
      </c>
    </row>
    <row r="83" spans="1:61" s="13" customFormat="1" ht="15.75" hidden="1" customHeight="1">
      <c r="A83" s="347" t="s">
        <v>199</v>
      </c>
      <c r="B83" s="65" t="s">
        <v>224</v>
      </c>
      <c r="C83" s="68">
        <v>2882</v>
      </c>
      <c r="D83" s="68">
        <v>329</v>
      </c>
      <c r="E83" s="68">
        <v>2553</v>
      </c>
      <c r="F83" s="68">
        <v>1571</v>
      </c>
      <c r="G83" s="68">
        <v>982</v>
      </c>
      <c r="H83" s="68"/>
      <c r="I83" s="68"/>
      <c r="J83" s="68"/>
      <c r="K83" s="68"/>
      <c r="L83" s="68"/>
      <c r="M83" s="68"/>
      <c r="N83" s="68">
        <v>44463</v>
      </c>
      <c r="O83" s="68">
        <v>11681</v>
      </c>
      <c r="P83" s="68">
        <v>6001</v>
      </c>
      <c r="Q83" s="68">
        <v>26781</v>
      </c>
      <c r="R83" s="68">
        <v>13828</v>
      </c>
      <c r="S83" s="68">
        <v>2335</v>
      </c>
      <c r="T83" s="68">
        <v>390</v>
      </c>
      <c r="U83" s="68">
        <v>11103</v>
      </c>
      <c r="V83" s="68">
        <v>14008</v>
      </c>
      <c r="W83" s="68">
        <v>3077</v>
      </c>
      <c r="X83" s="68">
        <v>1495</v>
      </c>
      <c r="Y83" s="68">
        <v>9436</v>
      </c>
      <c r="Z83" s="68">
        <v>10816</v>
      </c>
      <c r="AA83" s="68">
        <v>4495</v>
      </c>
      <c r="AB83" s="68">
        <v>3332</v>
      </c>
      <c r="AC83" s="68">
        <v>2989</v>
      </c>
      <c r="AD83" s="68">
        <v>575</v>
      </c>
      <c r="AE83" s="68">
        <v>283</v>
      </c>
      <c r="AF83" s="68">
        <v>145</v>
      </c>
      <c r="AG83" s="68">
        <v>147</v>
      </c>
      <c r="AH83" s="68">
        <v>5236</v>
      </c>
      <c r="AI83" s="68">
        <v>1491</v>
      </c>
      <c r="AJ83" s="68">
        <v>639</v>
      </c>
      <c r="AK83" s="68">
        <v>3106</v>
      </c>
      <c r="AL83" s="68">
        <v>82010</v>
      </c>
      <c r="AM83" s="68">
        <v>19230</v>
      </c>
      <c r="AN83" s="68">
        <v>9747</v>
      </c>
      <c r="AO83" s="68">
        <v>53033</v>
      </c>
      <c r="AP83" s="68">
        <v>28995</v>
      </c>
      <c r="AQ83" s="68">
        <v>4517</v>
      </c>
      <c r="AR83" s="68">
        <v>1146</v>
      </c>
      <c r="AS83" s="68">
        <v>23332</v>
      </c>
      <c r="AT83" s="68">
        <v>26035</v>
      </c>
      <c r="AU83" s="68">
        <v>5404</v>
      </c>
      <c r="AV83" s="68">
        <v>2568</v>
      </c>
      <c r="AW83" s="68">
        <v>18063</v>
      </c>
      <c r="AX83" s="68">
        <v>16365</v>
      </c>
      <c r="AY83" s="68">
        <v>6674</v>
      </c>
      <c r="AZ83" s="68">
        <v>4873</v>
      </c>
      <c r="BA83" s="68">
        <v>4818</v>
      </c>
      <c r="BB83" s="68">
        <v>1275</v>
      </c>
      <c r="BC83" s="68">
        <v>515</v>
      </c>
      <c r="BD83" s="68">
        <v>235</v>
      </c>
      <c r="BE83" s="68">
        <v>525</v>
      </c>
      <c r="BF83" s="68">
        <v>9340</v>
      </c>
      <c r="BG83" s="68">
        <v>2120</v>
      </c>
      <c r="BH83" s="68">
        <v>925</v>
      </c>
      <c r="BI83" s="68">
        <v>6295</v>
      </c>
    </row>
    <row r="84" spans="1:61" s="13" customFormat="1" ht="15.75" hidden="1" customHeight="1">
      <c r="A84" s="348"/>
      <c r="B84" s="65" t="s">
        <v>225</v>
      </c>
      <c r="C84" s="68">
        <v>18424</v>
      </c>
      <c r="D84" s="68">
        <v>1846</v>
      </c>
      <c r="E84" s="68">
        <v>16578</v>
      </c>
      <c r="F84" s="68">
        <v>9699</v>
      </c>
      <c r="G84" s="68">
        <v>6879</v>
      </c>
      <c r="H84" s="68"/>
      <c r="I84" s="68"/>
      <c r="J84" s="68"/>
      <c r="K84" s="68"/>
      <c r="L84" s="68"/>
      <c r="M84" s="68"/>
      <c r="N84" s="68">
        <v>61007</v>
      </c>
      <c r="O84" s="68">
        <v>10422</v>
      </c>
      <c r="P84" s="68">
        <v>5988</v>
      </c>
      <c r="Q84" s="68">
        <v>44597</v>
      </c>
      <c r="R84" s="68">
        <v>28771</v>
      </c>
      <c r="S84" s="68">
        <v>3633</v>
      </c>
      <c r="T84" s="68">
        <v>717</v>
      </c>
      <c r="U84" s="68">
        <v>24421</v>
      </c>
      <c r="V84" s="68">
        <v>16291</v>
      </c>
      <c r="W84" s="68">
        <v>2803</v>
      </c>
      <c r="X84" s="68">
        <v>1563</v>
      </c>
      <c r="Y84" s="68">
        <v>11925</v>
      </c>
      <c r="Z84" s="68">
        <v>7618</v>
      </c>
      <c r="AA84" s="68">
        <v>2304</v>
      </c>
      <c r="AB84" s="68">
        <v>2720</v>
      </c>
      <c r="AC84" s="68">
        <v>2594</v>
      </c>
      <c r="AD84" s="68">
        <v>381</v>
      </c>
      <c r="AE84" s="68">
        <v>89</v>
      </c>
      <c r="AF84" s="68">
        <v>119</v>
      </c>
      <c r="AG84" s="68">
        <v>173</v>
      </c>
      <c r="AH84" s="68">
        <v>7946</v>
      </c>
      <c r="AI84" s="68">
        <v>1593</v>
      </c>
      <c r="AJ84" s="68">
        <v>869</v>
      </c>
      <c r="AK84" s="68">
        <v>5484</v>
      </c>
      <c r="AL84" s="68">
        <v>111394</v>
      </c>
      <c r="AM84" s="68">
        <v>17837</v>
      </c>
      <c r="AN84" s="68">
        <v>9766</v>
      </c>
      <c r="AO84" s="68">
        <v>83791</v>
      </c>
      <c r="AP84" s="68">
        <v>53894</v>
      </c>
      <c r="AQ84" s="68">
        <v>6530</v>
      </c>
      <c r="AR84" s="68">
        <v>1665</v>
      </c>
      <c r="AS84" s="68">
        <v>45699</v>
      </c>
      <c r="AT84" s="68">
        <v>29999</v>
      </c>
      <c r="AU84" s="68">
        <v>4904</v>
      </c>
      <c r="AV84" s="68">
        <v>2664</v>
      </c>
      <c r="AW84" s="68">
        <v>22431</v>
      </c>
      <c r="AX84" s="68">
        <v>11618</v>
      </c>
      <c r="AY84" s="68">
        <v>3547</v>
      </c>
      <c r="AZ84" s="68">
        <v>3932</v>
      </c>
      <c r="BA84" s="68">
        <v>4139</v>
      </c>
      <c r="BB84" s="68">
        <v>1406</v>
      </c>
      <c r="BC84" s="68">
        <v>263</v>
      </c>
      <c r="BD84" s="68">
        <v>267</v>
      </c>
      <c r="BE84" s="68">
        <v>876</v>
      </c>
      <c r="BF84" s="68">
        <v>14477</v>
      </c>
      <c r="BG84" s="68">
        <v>2593</v>
      </c>
      <c r="BH84" s="68">
        <v>1238</v>
      </c>
      <c r="BI84" s="68">
        <v>10646</v>
      </c>
    </row>
    <row r="85" spans="1:61" s="18" customFormat="1" ht="15.75" hidden="1" customHeight="1">
      <c r="A85" s="63" t="s">
        <v>201</v>
      </c>
      <c r="B85" s="64" t="s">
        <v>223</v>
      </c>
      <c r="C85" s="67">
        <v>2221</v>
      </c>
      <c r="D85" s="67">
        <v>219</v>
      </c>
      <c r="E85" s="67">
        <v>2002</v>
      </c>
      <c r="F85" s="67">
        <v>1383</v>
      </c>
      <c r="G85" s="67">
        <v>619</v>
      </c>
      <c r="H85" s="67">
        <v>6</v>
      </c>
      <c r="I85" s="67">
        <v>1541</v>
      </c>
      <c r="J85" s="67">
        <v>0</v>
      </c>
      <c r="K85" s="67">
        <v>0</v>
      </c>
      <c r="L85" s="67">
        <v>6</v>
      </c>
      <c r="M85" s="67">
        <v>1541</v>
      </c>
      <c r="N85" s="67">
        <v>10762</v>
      </c>
      <c r="O85" s="67">
        <v>1705</v>
      </c>
      <c r="P85" s="67">
        <v>1434</v>
      </c>
      <c r="Q85" s="67">
        <v>7623</v>
      </c>
      <c r="R85" s="67">
        <v>3783</v>
      </c>
      <c r="S85" s="67">
        <v>375</v>
      </c>
      <c r="T85" s="67">
        <v>41</v>
      </c>
      <c r="U85" s="67">
        <v>3367</v>
      </c>
      <c r="V85" s="67">
        <v>2995</v>
      </c>
      <c r="W85" s="67">
        <v>434</v>
      </c>
      <c r="X85" s="67">
        <v>295</v>
      </c>
      <c r="Y85" s="67">
        <v>2266</v>
      </c>
      <c r="Z85" s="67">
        <v>2396</v>
      </c>
      <c r="AA85" s="67">
        <v>600</v>
      </c>
      <c r="AB85" s="67">
        <v>902</v>
      </c>
      <c r="AC85" s="67">
        <v>894</v>
      </c>
      <c r="AD85" s="67">
        <v>22</v>
      </c>
      <c r="AE85" s="67">
        <v>4</v>
      </c>
      <c r="AF85" s="67">
        <v>10</v>
      </c>
      <c r="AG85" s="67">
        <v>8</v>
      </c>
      <c r="AH85" s="67">
        <v>1566</v>
      </c>
      <c r="AI85" s="67">
        <v>292</v>
      </c>
      <c r="AJ85" s="67">
        <v>186</v>
      </c>
      <c r="AK85" s="67">
        <v>1088</v>
      </c>
      <c r="AL85" s="67">
        <v>24401</v>
      </c>
      <c r="AM85" s="67">
        <v>3332</v>
      </c>
      <c r="AN85" s="67">
        <v>2743</v>
      </c>
      <c r="AO85" s="67">
        <v>18326</v>
      </c>
      <c r="AP85" s="67">
        <v>11755</v>
      </c>
      <c r="AQ85" s="67">
        <v>1309</v>
      </c>
      <c r="AR85" s="67">
        <v>589</v>
      </c>
      <c r="AS85" s="67">
        <v>9857</v>
      </c>
      <c r="AT85" s="67">
        <v>5486</v>
      </c>
      <c r="AU85" s="67">
        <v>765</v>
      </c>
      <c r="AV85" s="67">
        <v>526</v>
      </c>
      <c r="AW85" s="67">
        <v>4195</v>
      </c>
      <c r="AX85" s="67">
        <v>3857</v>
      </c>
      <c r="AY85" s="67">
        <v>988</v>
      </c>
      <c r="AZ85" s="67">
        <v>1442</v>
      </c>
      <c r="BA85" s="67">
        <v>1427</v>
      </c>
      <c r="BB85" s="67">
        <v>31</v>
      </c>
      <c r="BC85" s="67">
        <v>9</v>
      </c>
      <c r="BD85" s="67">
        <v>10</v>
      </c>
      <c r="BE85" s="67">
        <v>12</v>
      </c>
      <c r="BF85" s="67">
        <v>3272</v>
      </c>
      <c r="BG85" s="67">
        <v>261</v>
      </c>
      <c r="BH85" s="67">
        <v>176</v>
      </c>
      <c r="BI85" s="67">
        <v>2835</v>
      </c>
    </row>
    <row r="86" spans="1:61" s="18" customFormat="1" ht="15.75" hidden="1" customHeight="1">
      <c r="A86" s="345" t="s">
        <v>24</v>
      </c>
      <c r="B86" s="65" t="s">
        <v>224</v>
      </c>
      <c r="C86" s="68">
        <v>359</v>
      </c>
      <c r="D86" s="68">
        <v>50</v>
      </c>
      <c r="E86" s="68">
        <v>309</v>
      </c>
      <c r="F86" s="68">
        <v>214</v>
      </c>
      <c r="G86" s="68">
        <v>95</v>
      </c>
      <c r="H86" s="68"/>
      <c r="I86" s="68"/>
      <c r="J86" s="68"/>
      <c r="K86" s="68"/>
      <c r="L86" s="68"/>
      <c r="M86" s="68"/>
      <c r="N86" s="68">
        <v>4628</v>
      </c>
      <c r="O86" s="68">
        <v>854</v>
      </c>
      <c r="P86" s="68">
        <v>744</v>
      </c>
      <c r="Q86" s="68">
        <v>3030</v>
      </c>
      <c r="R86" s="68">
        <v>1211</v>
      </c>
      <c r="S86" s="68">
        <v>123</v>
      </c>
      <c r="T86" s="68">
        <v>16</v>
      </c>
      <c r="U86" s="68">
        <v>1072</v>
      </c>
      <c r="V86" s="68">
        <v>1429</v>
      </c>
      <c r="W86" s="68">
        <v>215</v>
      </c>
      <c r="X86" s="68">
        <v>168</v>
      </c>
      <c r="Y86" s="68">
        <v>1046</v>
      </c>
      <c r="Z86" s="68">
        <v>1373</v>
      </c>
      <c r="AA86" s="68">
        <v>402</v>
      </c>
      <c r="AB86" s="68">
        <v>480</v>
      </c>
      <c r="AC86" s="68">
        <v>491</v>
      </c>
      <c r="AD86" s="68">
        <v>7</v>
      </c>
      <c r="AE86" s="68">
        <v>2</v>
      </c>
      <c r="AF86" s="68">
        <v>2</v>
      </c>
      <c r="AG86" s="68">
        <v>3</v>
      </c>
      <c r="AH86" s="68">
        <v>608</v>
      </c>
      <c r="AI86" s="68">
        <v>112</v>
      </c>
      <c r="AJ86" s="68">
        <v>78</v>
      </c>
      <c r="AK86" s="68">
        <v>418</v>
      </c>
      <c r="AL86" s="68">
        <v>10644</v>
      </c>
      <c r="AM86" s="68">
        <v>1607</v>
      </c>
      <c r="AN86" s="68">
        <v>1416</v>
      </c>
      <c r="AO86" s="68">
        <v>7621</v>
      </c>
      <c r="AP86" s="68">
        <v>4675</v>
      </c>
      <c r="AQ86" s="68">
        <v>539</v>
      </c>
      <c r="AR86" s="68">
        <v>300</v>
      </c>
      <c r="AS86" s="68">
        <v>3836</v>
      </c>
      <c r="AT86" s="68">
        <v>2572</v>
      </c>
      <c r="AU86" s="68">
        <v>354</v>
      </c>
      <c r="AV86" s="68">
        <v>273</v>
      </c>
      <c r="AW86" s="68">
        <v>1945</v>
      </c>
      <c r="AX86" s="68">
        <v>2178</v>
      </c>
      <c r="AY86" s="68">
        <v>624</v>
      </c>
      <c r="AZ86" s="68">
        <v>769</v>
      </c>
      <c r="BA86" s="68">
        <v>785</v>
      </c>
      <c r="BB86" s="68">
        <v>13</v>
      </c>
      <c r="BC86" s="68">
        <v>4</v>
      </c>
      <c r="BD86" s="68">
        <v>2</v>
      </c>
      <c r="BE86" s="68">
        <v>7</v>
      </c>
      <c r="BF86" s="68">
        <v>1206</v>
      </c>
      <c r="BG86" s="68">
        <v>86</v>
      </c>
      <c r="BH86" s="68">
        <v>72</v>
      </c>
      <c r="BI86" s="68">
        <v>1048</v>
      </c>
    </row>
    <row r="87" spans="1:61" s="18" customFormat="1" ht="15.75" hidden="1" customHeight="1">
      <c r="A87" s="346"/>
      <c r="B87" s="65" t="s">
        <v>225</v>
      </c>
      <c r="C87" s="68">
        <v>1862</v>
      </c>
      <c r="D87" s="68">
        <v>169</v>
      </c>
      <c r="E87" s="68">
        <v>1693</v>
      </c>
      <c r="F87" s="68">
        <v>1169</v>
      </c>
      <c r="G87" s="68">
        <v>524</v>
      </c>
      <c r="H87" s="68"/>
      <c r="I87" s="68"/>
      <c r="J87" s="68"/>
      <c r="K87" s="68"/>
      <c r="L87" s="68"/>
      <c r="M87" s="68"/>
      <c r="N87" s="68">
        <v>6134</v>
      </c>
      <c r="O87" s="68">
        <v>851</v>
      </c>
      <c r="P87" s="68">
        <v>690</v>
      </c>
      <c r="Q87" s="68">
        <v>4593</v>
      </c>
      <c r="R87" s="68">
        <v>2572</v>
      </c>
      <c r="S87" s="68">
        <v>252</v>
      </c>
      <c r="T87" s="68">
        <v>25</v>
      </c>
      <c r="U87" s="68">
        <v>2295</v>
      </c>
      <c r="V87" s="68">
        <v>1566</v>
      </c>
      <c r="W87" s="68">
        <v>219</v>
      </c>
      <c r="X87" s="68">
        <v>127</v>
      </c>
      <c r="Y87" s="68">
        <v>1220</v>
      </c>
      <c r="Z87" s="68">
        <v>1023</v>
      </c>
      <c r="AA87" s="68">
        <v>198</v>
      </c>
      <c r="AB87" s="68">
        <v>422</v>
      </c>
      <c r="AC87" s="68">
        <v>403</v>
      </c>
      <c r="AD87" s="68">
        <v>15</v>
      </c>
      <c r="AE87" s="68">
        <v>2</v>
      </c>
      <c r="AF87" s="68">
        <v>8</v>
      </c>
      <c r="AG87" s="68">
        <v>5</v>
      </c>
      <c r="AH87" s="68">
        <v>958</v>
      </c>
      <c r="AI87" s="68">
        <v>180</v>
      </c>
      <c r="AJ87" s="68">
        <v>108</v>
      </c>
      <c r="AK87" s="68">
        <v>670</v>
      </c>
      <c r="AL87" s="68">
        <v>13757</v>
      </c>
      <c r="AM87" s="68">
        <v>1725</v>
      </c>
      <c r="AN87" s="68">
        <v>1327</v>
      </c>
      <c r="AO87" s="68">
        <v>10705</v>
      </c>
      <c r="AP87" s="68">
        <v>7080</v>
      </c>
      <c r="AQ87" s="68">
        <v>770</v>
      </c>
      <c r="AR87" s="68">
        <v>289</v>
      </c>
      <c r="AS87" s="68">
        <v>6021</v>
      </c>
      <c r="AT87" s="68">
        <v>2914</v>
      </c>
      <c r="AU87" s="68">
        <v>411</v>
      </c>
      <c r="AV87" s="68">
        <v>253</v>
      </c>
      <c r="AW87" s="68">
        <v>2250</v>
      </c>
      <c r="AX87" s="68">
        <v>1679</v>
      </c>
      <c r="AY87" s="68">
        <v>364</v>
      </c>
      <c r="AZ87" s="68">
        <v>673</v>
      </c>
      <c r="BA87" s="68">
        <v>642</v>
      </c>
      <c r="BB87" s="68">
        <v>18</v>
      </c>
      <c r="BC87" s="68">
        <v>5</v>
      </c>
      <c r="BD87" s="68">
        <v>8</v>
      </c>
      <c r="BE87" s="68">
        <v>5</v>
      </c>
      <c r="BF87" s="68">
        <v>2066</v>
      </c>
      <c r="BG87" s="68">
        <v>175</v>
      </c>
      <c r="BH87" s="68">
        <v>104</v>
      </c>
      <c r="BI87" s="68">
        <v>1787</v>
      </c>
    </row>
    <row r="88" spans="1:61" s="18" customFormat="1" ht="15.75" hidden="1" customHeight="1">
      <c r="A88" s="63" t="s">
        <v>202</v>
      </c>
      <c r="B88" s="64" t="s">
        <v>223</v>
      </c>
      <c r="C88" s="67">
        <v>1516</v>
      </c>
      <c r="D88" s="67">
        <v>236</v>
      </c>
      <c r="E88" s="67">
        <v>1280</v>
      </c>
      <c r="F88" s="67">
        <v>1150</v>
      </c>
      <c r="G88" s="67">
        <v>130</v>
      </c>
      <c r="H88" s="67">
        <v>284</v>
      </c>
      <c r="I88" s="67">
        <v>6373</v>
      </c>
      <c r="J88" s="67">
        <v>0</v>
      </c>
      <c r="K88" s="67">
        <v>0</v>
      </c>
      <c r="L88" s="67">
        <v>284</v>
      </c>
      <c r="M88" s="67">
        <v>6373</v>
      </c>
      <c r="N88" s="67">
        <v>6219</v>
      </c>
      <c r="O88" s="67">
        <v>1355</v>
      </c>
      <c r="P88" s="67">
        <v>204</v>
      </c>
      <c r="Q88" s="67">
        <v>4660</v>
      </c>
      <c r="R88" s="67">
        <v>2430</v>
      </c>
      <c r="S88" s="67">
        <v>375</v>
      </c>
      <c r="T88" s="67">
        <v>14</v>
      </c>
      <c r="U88" s="67">
        <v>2041</v>
      </c>
      <c r="V88" s="67">
        <v>1757</v>
      </c>
      <c r="W88" s="67">
        <v>369</v>
      </c>
      <c r="X88" s="67">
        <v>58</v>
      </c>
      <c r="Y88" s="67">
        <v>1330</v>
      </c>
      <c r="Z88" s="67">
        <v>910</v>
      </c>
      <c r="AA88" s="67">
        <v>372</v>
      </c>
      <c r="AB88" s="67">
        <v>87</v>
      </c>
      <c r="AC88" s="67">
        <v>451</v>
      </c>
      <c r="AD88" s="67">
        <v>4</v>
      </c>
      <c r="AE88" s="67">
        <v>1</v>
      </c>
      <c r="AF88" s="67">
        <v>0</v>
      </c>
      <c r="AG88" s="67">
        <v>3</v>
      </c>
      <c r="AH88" s="67">
        <v>1118</v>
      </c>
      <c r="AI88" s="67">
        <v>238</v>
      </c>
      <c r="AJ88" s="67">
        <v>45</v>
      </c>
      <c r="AK88" s="67">
        <v>835</v>
      </c>
      <c r="AL88" s="67">
        <v>14081</v>
      </c>
      <c r="AM88" s="67">
        <v>2935</v>
      </c>
      <c r="AN88" s="67">
        <v>445</v>
      </c>
      <c r="AO88" s="67">
        <v>10701</v>
      </c>
      <c r="AP88" s="67">
        <v>5498</v>
      </c>
      <c r="AQ88" s="67">
        <v>834</v>
      </c>
      <c r="AR88" s="67">
        <v>34</v>
      </c>
      <c r="AS88" s="67">
        <v>4630</v>
      </c>
      <c r="AT88" s="67">
        <v>4034</v>
      </c>
      <c r="AU88" s="67">
        <v>810</v>
      </c>
      <c r="AV88" s="67">
        <v>136</v>
      </c>
      <c r="AW88" s="67">
        <v>3088</v>
      </c>
      <c r="AX88" s="67">
        <v>1874</v>
      </c>
      <c r="AY88" s="67">
        <v>757</v>
      </c>
      <c r="AZ88" s="67">
        <v>177</v>
      </c>
      <c r="BA88" s="67">
        <v>940</v>
      </c>
      <c r="BB88" s="67">
        <v>8</v>
      </c>
      <c r="BC88" s="67">
        <v>2</v>
      </c>
      <c r="BD88" s="67">
        <v>0</v>
      </c>
      <c r="BE88" s="67">
        <v>6</v>
      </c>
      <c r="BF88" s="67">
        <v>2667</v>
      </c>
      <c r="BG88" s="67">
        <v>532</v>
      </c>
      <c r="BH88" s="67">
        <v>98</v>
      </c>
      <c r="BI88" s="67">
        <v>2037</v>
      </c>
    </row>
    <row r="89" spans="1:61" s="18" customFormat="1" ht="15.75" hidden="1" customHeight="1">
      <c r="A89" s="345" t="s">
        <v>25</v>
      </c>
      <c r="B89" s="65" t="s">
        <v>224</v>
      </c>
      <c r="C89" s="68">
        <v>311</v>
      </c>
      <c r="D89" s="68">
        <v>48</v>
      </c>
      <c r="E89" s="68">
        <v>263</v>
      </c>
      <c r="F89" s="68">
        <v>236</v>
      </c>
      <c r="G89" s="68">
        <v>27</v>
      </c>
      <c r="H89" s="68"/>
      <c r="I89" s="68"/>
      <c r="J89" s="68"/>
      <c r="K89" s="68"/>
      <c r="L89" s="68"/>
      <c r="M89" s="68"/>
      <c r="N89" s="68">
        <v>2601</v>
      </c>
      <c r="O89" s="68">
        <v>719</v>
      </c>
      <c r="P89" s="68">
        <v>94</v>
      </c>
      <c r="Q89" s="68">
        <v>1788</v>
      </c>
      <c r="R89" s="68">
        <v>799</v>
      </c>
      <c r="S89" s="68">
        <v>175</v>
      </c>
      <c r="T89" s="68">
        <v>3</v>
      </c>
      <c r="U89" s="68">
        <v>621</v>
      </c>
      <c r="V89" s="68">
        <v>870</v>
      </c>
      <c r="W89" s="68">
        <v>210</v>
      </c>
      <c r="X89" s="68">
        <v>27</v>
      </c>
      <c r="Y89" s="68">
        <v>633</v>
      </c>
      <c r="Z89" s="68">
        <v>507</v>
      </c>
      <c r="AA89" s="68">
        <v>233</v>
      </c>
      <c r="AB89" s="68">
        <v>47</v>
      </c>
      <c r="AC89" s="68">
        <v>227</v>
      </c>
      <c r="AD89" s="68">
        <v>1</v>
      </c>
      <c r="AE89" s="68">
        <v>0</v>
      </c>
      <c r="AF89" s="68">
        <v>0</v>
      </c>
      <c r="AG89" s="68">
        <v>1</v>
      </c>
      <c r="AH89" s="68">
        <v>424</v>
      </c>
      <c r="AI89" s="68">
        <v>101</v>
      </c>
      <c r="AJ89" s="68">
        <v>17</v>
      </c>
      <c r="AK89" s="68">
        <v>306</v>
      </c>
      <c r="AL89" s="68">
        <v>6034</v>
      </c>
      <c r="AM89" s="68">
        <v>1575</v>
      </c>
      <c r="AN89" s="68">
        <v>209</v>
      </c>
      <c r="AO89" s="68">
        <v>4250</v>
      </c>
      <c r="AP89" s="68">
        <v>1877</v>
      </c>
      <c r="AQ89" s="68">
        <v>391</v>
      </c>
      <c r="AR89" s="68">
        <v>8</v>
      </c>
      <c r="AS89" s="68">
        <v>1478</v>
      </c>
      <c r="AT89" s="68">
        <v>2026</v>
      </c>
      <c r="AU89" s="68">
        <v>478</v>
      </c>
      <c r="AV89" s="68">
        <v>73</v>
      </c>
      <c r="AW89" s="68">
        <v>1475</v>
      </c>
      <c r="AX89" s="68">
        <v>1064</v>
      </c>
      <c r="AY89" s="68">
        <v>479</v>
      </c>
      <c r="AZ89" s="68">
        <v>94</v>
      </c>
      <c r="BA89" s="68">
        <v>491</v>
      </c>
      <c r="BB89" s="68">
        <v>1</v>
      </c>
      <c r="BC89" s="68">
        <v>0</v>
      </c>
      <c r="BD89" s="68">
        <v>0</v>
      </c>
      <c r="BE89" s="68">
        <v>1</v>
      </c>
      <c r="BF89" s="68">
        <v>1066</v>
      </c>
      <c r="BG89" s="68">
        <v>227</v>
      </c>
      <c r="BH89" s="68">
        <v>34</v>
      </c>
      <c r="BI89" s="68">
        <v>805</v>
      </c>
    </row>
    <row r="90" spans="1:61" s="18" customFormat="1" ht="15.75" hidden="1" customHeight="1">
      <c r="A90" s="346"/>
      <c r="B90" s="65" t="s">
        <v>225</v>
      </c>
      <c r="C90" s="68">
        <v>1205</v>
      </c>
      <c r="D90" s="68">
        <v>188</v>
      </c>
      <c r="E90" s="68">
        <v>1017</v>
      </c>
      <c r="F90" s="68">
        <v>914</v>
      </c>
      <c r="G90" s="68">
        <v>103</v>
      </c>
      <c r="H90" s="68"/>
      <c r="I90" s="68"/>
      <c r="J90" s="68"/>
      <c r="K90" s="68"/>
      <c r="L90" s="68"/>
      <c r="M90" s="68"/>
      <c r="N90" s="68">
        <v>3618</v>
      </c>
      <c r="O90" s="68">
        <v>636</v>
      </c>
      <c r="P90" s="68">
        <v>110</v>
      </c>
      <c r="Q90" s="68">
        <v>2872</v>
      </c>
      <c r="R90" s="68">
        <v>1631</v>
      </c>
      <c r="S90" s="68">
        <v>200</v>
      </c>
      <c r="T90" s="68">
        <v>11</v>
      </c>
      <c r="U90" s="68">
        <v>1420</v>
      </c>
      <c r="V90" s="68">
        <v>887</v>
      </c>
      <c r="W90" s="68">
        <v>159</v>
      </c>
      <c r="X90" s="68">
        <v>31</v>
      </c>
      <c r="Y90" s="68">
        <v>697</v>
      </c>
      <c r="Z90" s="68">
        <v>403</v>
      </c>
      <c r="AA90" s="68">
        <v>139</v>
      </c>
      <c r="AB90" s="68">
        <v>40</v>
      </c>
      <c r="AC90" s="68">
        <v>224</v>
      </c>
      <c r="AD90" s="68">
        <v>3</v>
      </c>
      <c r="AE90" s="68">
        <v>1</v>
      </c>
      <c r="AF90" s="68">
        <v>0</v>
      </c>
      <c r="AG90" s="68">
        <v>2</v>
      </c>
      <c r="AH90" s="68">
        <v>694</v>
      </c>
      <c r="AI90" s="68">
        <v>137</v>
      </c>
      <c r="AJ90" s="68">
        <v>28</v>
      </c>
      <c r="AK90" s="68">
        <v>529</v>
      </c>
      <c r="AL90" s="68">
        <v>8047</v>
      </c>
      <c r="AM90" s="68">
        <v>1360</v>
      </c>
      <c r="AN90" s="68">
        <v>236</v>
      </c>
      <c r="AO90" s="68">
        <v>6451</v>
      </c>
      <c r="AP90" s="68">
        <v>3621</v>
      </c>
      <c r="AQ90" s="68">
        <v>443</v>
      </c>
      <c r="AR90" s="68">
        <v>26</v>
      </c>
      <c r="AS90" s="68">
        <v>3152</v>
      </c>
      <c r="AT90" s="68">
        <v>2008</v>
      </c>
      <c r="AU90" s="68">
        <v>332</v>
      </c>
      <c r="AV90" s="68">
        <v>63</v>
      </c>
      <c r="AW90" s="68">
        <v>1613</v>
      </c>
      <c r="AX90" s="68">
        <v>810</v>
      </c>
      <c r="AY90" s="68">
        <v>278</v>
      </c>
      <c r="AZ90" s="68">
        <v>83</v>
      </c>
      <c r="BA90" s="68">
        <v>449</v>
      </c>
      <c r="BB90" s="68">
        <v>7</v>
      </c>
      <c r="BC90" s="68">
        <v>2</v>
      </c>
      <c r="BD90" s="68">
        <v>0</v>
      </c>
      <c r="BE90" s="68">
        <v>5</v>
      </c>
      <c r="BF90" s="68">
        <v>1601</v>
      </c>
      <c r="BG90" s="68">
        <v>305</v>
      </c>
      <c r="BH90" s="68">
        <v>64</v>
      </c>
      <c r="BI90" s="68">
        <v>1232</v>
      </c>
    </row>
    <row r="91" spans="1:61" s="18" customFormat="1" ht="15.75" hidden="1" customHeight="1">
      <c r="A91" s="63" t="s">
        <v>203</v>
      </c>
      <c r="B91" s="64" t="s">
        <v>223</v>
      </c>
      <c r="C91" s="67">
        <v>1391</v>
      </c>
      <c r="D91" s="67">
        <v>114</v>
      </c>
      <c r="E91" s="67">
        <v>1277</v>
      </c>
      <c r="F91" s="67">
        <v>658</v>
      </c>
      <c r="G91" s="67">
        <v>619</v>
      </c>
      <c r="H91" s="67">
        <v>160</v>
      </c>
      <c r="I91" s="67">
        <v>6575</v>
      </c>
      <c r="J91" s="67">
        <v>3</v>
      </c>
      <c r="K91" s="67">
        <v>133</v>
      </c>
      <c r="L91" s="67">
        <v>157</v>
      </c>
      <c r="M91" s="67">
        <v>6442</v>
      </c>
      <c r="N91" s="67">
        <v>6300</v>
      </c>
      <c r="O91" s="67">
        <v>1272</v>
      </c>
      <c r="P91" s="67">
        <v>924</v>
      </c>
      <c r="Q91" s="67">
        <v>4104</v>
      </c>
      <c r="R91" s="67">
        <v>2482</v>
      </c>
      <c r="S91" s="67">
        <v>377</v>
      </c>
      <c r="T91" s="67">
        <v>65</v>
      </c>
      <c r="U91" s="67">
        <v>2040</v>
      </c>
      <c r="V91" s="67">
        <v>1657</v>
      </c>
      <c r="W91" s="67">
        <v>311</v>
      </c>
      <c r="X91" s="67">
        <v>189</v>
      </c>
      <c r="Y91" s="67">
        <v>1157</v>
      </c>
      <c r="Z91" s="67">
        <v>1288</v>
      </c>
      <c r="AA91" s="67">
        <v>387</v>
      </c>
      <c r="AB91" s="67">
        <v>523</v>
      </c>
      <c r="AC91" s="67">
        <v>378</v>
      </c>
      <c r="AD91" s="67">
        <v>72</v>
      </c>
      <c r="AE91" s="67">
        <v>25</v>
      </c>
      <c r="AF91" s="67">
        <v>16</v>
      </c>
      <c r="AG91" s="67">
        <v>31</v>
      </c>
      <c r="AH91" s="67">
        <v>801</v>
      </c>
      <c r="AI91" s="67">
        <v>172</v>
      </c>
      <c r="AJ91" s="67">
        <v>131</v>
      </c>
      <c r="AK91" s="67">
        <v>498</v>
      </c>
      <c r="AL91" s="67">
        <v>7621</v>
      </c>
      <c r="AM91" s="67">
        <v>1433</v>
      </c>
      <c r="AN91" s="67">
        <v>1031</v>
      </c>
      <c r="AO91" s="67">
        <v>5157</v>
      </c>
      <c r="AP91" s="67">
        <v>3075</v>
      </c>
      <c r="AQ91" s="67">
        <v>434</v>
      </c>
      <c r="AR91" s="67">
        <v>74</v>
      </c>
      <c r="AS91" s="67">
        <v>2567</v>
      </c>
      <c r="AT91" s="67">
        <v>2038</v>
      </c>
      <c r="AU91" s="67">
        <v>355</v>
      </c>
      <c r="AV91" s="67">
        <v>211</v>
      </c>
      <c r="AW91" s="67">
        <v>1472</v>
      </c>
      <c r="AX91" s="67">
        <v>1439</v>
      </c>
      <c r="AY91" s="67">
        <v>423</v>
      </c>
      <c r="AZ91" s="67">
        <v>577</v>
      </c>
      <c r="BA91" s="67">
        <v>439</v>
      </c>
      <c r="BB91" s="67">
        <v>77</v>
      </c>
      <c r="BC91" s="67">
        <v>26</v>
      </c>
      <c r="BD91" s="67">
        <v>18</v>
      </c>
      <c r="BE91" s="67">
        <v>33</v>
      </c>
      <c r="BF91" s="67">
        <v>992</v>
      </c>
      <c r="BG91" s="67">
        <v>195</v>
      </c>
      <c r="BH91" s="67">
        <v>151</v>
      </c>
      <c r="BI91" s="67">
        <v>646</v>
      </c>
    </row>
    <row r="92" spans="1:61" s="18" customFormat="1" ht="15.75" hidden="1" customHeight="1">
      <c r="A92" s="345" t="s">
        <v>49</v>
      </c>
      <c r="B92" s="65" t="s">
        <v>224</v>
      </c>
      <c r="C92" s="68">
        <v>133</v>
      </c>
      <c r="D92" s="68">
        <v>9</v>
      </c>
      <c r="E92" s="68">
        <v>124</v>
      </c>
      <c r="F92" s="68">
        <v>61</v>
      </c>
      <c r="G92" s="68">
        <v>63</v>
      </c>
      <c r="H92" s="68"/>
      <c r="I92" s="68"/>
      <c r="J92" s="68"/>
      <c r="K92" s="68"/>
      <c r="L92" s="68"/>
      <c r="M92" s="68"/>
      <c r="N92" s="68">
        <v>2832</v>
      </c>
      <c r="O92" s="68">
        <v>674</v>
      </c>
      <c r="P92" s="68">
        <v>478</v>
      </c>
      <c r="Q92" s="68">
        <v>1680</v>
      </c>
      <c r="R92" s="68">
        <v>894</v>
      </c>
      <c r="S92" s="68">
        <v>158</v>
      </c>
      <c r="T92" s="68">
        <v>31</v>
      </c>
      <c r="U92" s="68">
        <v>705</v>
      </c>
      <c r="V92" s="68">
        <v>818</v>
      </c>
      <c r="W92" s="68">
        <v>169</v>
      </c>
      <c r="X92" s="68">
        <v>101</v>
      </c>
      <c r="Y92" s="68">
        <v>548</v>
      </c>
      <c r="Z92" s="68">
        <v>742</v>
      </c>
      <c r="AA92" s="68">
        <v>250</v>
      </c>
      <c r="AB92" s="68">
        <v>283</v>
      </c>
      <c r="AC92" s="68">
        <v>209</v>
      </c>
      <c r="AD92" s="68">
        <v>38</v>
      </c>
      <c r="AE92" s="68">
        <v>19</v>
      </c>
      <c r="AF92" s="68">
        <v>5</v>
      </c>
      <c r="AG92" s="68">
        <v>14</v>
      </c>
      <c r="AH92" s="68">
        <v>340</v>
      </c>
      <c r="AI92" s="68">
        <v>78</v>
      </c>
      <c r="AJ92" s="68">
        <v>58</v>
      </c>
      <c r="AK92" s="68">
        <v>204</v>
      </c>
      <c r="AL92" s="68">
        <v>3435</v>
      </c>
      <c r="AM92" s="68">
        <v>761</v>
      </c>
      <c r="AN92" s="68">
        <v>541</v>
      </c>
      <c r="AO92" s="68">
        <v>2133</v>
      </c>
      <c r="AP92" s="68">
        <v>1128</v>
      </c>
      <c r="AQ92" s="68">
        <v>185</v>
      </c>
      <c r="AR92" s="68">
        <v>35</v>
      </c>
      <c r="AS92" s="68">
        <v>908</v>
      </c>
      <c r="AT92" s="68">
        <v>1003</v>
      </c>
      <c r="AU92" s="68">
        <v>192</v>
      </c>
      <c r="AV92" s="68">
        <v>113</v>
      </c>
      <c r="AW92" s="68">
        <v>698</v>
      </c>
      <c r="AX92" s="68">
        <v>837</v>
      </c>
      <c r="AY92" s="68">
        <v>275</v>
      </c>
      <c r="AZ92" s="68">
        <v>317</v>
      </c>
      <c r="BA92" s="68">
        <v>245</v>
      </c>
      <c r="BB92" s="68">
        <v>39</v>
      </c>
      <c r="BC92" s="68">
        <v>19</v>
      </c>
      <c r="BD92" s="68">
        <v>6</v>
      </c>
      <c r="BE92" s="68">
        <v>14</v>
      </c>
      <c r="BF92" s="68">
        <v>428</v>
      </c>
      <c r="BG92" s="68">
        <v>90</v>
      </c>
      <c r="BH92" s="68">
        <v>70</v>
      </c>
      <c r="BI92" s="68">
        <v>268</v>
      </c>
    </row>
    <row r="93" spans="1:61" s="18" customFormat="1" ht="15.75" hidden="1" customHeight="1">
      <c r="A93" s="346"/>
      <c r="B93" s="65" t="s">
        <v>225</v>
      </c>
      <c r="C93" s="68">
        <v>1258</v>
      </c>
      <c r="D93" s="68">
        <v>105</v>
      </c>
      <c r="E93" s="68">
        <v>1153</v>
      </c>
      <c r="F93" s="68">
        <v>597</v>
      </c>
      <c r="G93" s="68">
        <v>556</v>
      </c>
      <c r="H93" s="68"/>
      <c r="I93" s="68"/>
      <c r="J93" s="68"/>
      <c r="K93" s="68"/>
      <c r="L93" s="68"/>
      <c r="M93" s="68"/>
      <c r="N93" s="68">
        <v>3468</v>
      </c>
      <c r="O93" s="68">
        <v>598</v>
      </c>
      <c r="P93" s="68">
        <v>446</v>
      </c>
      <c r="Q93" s="68">
        <v>2424</v>
      </c>
      <c r="R93" s="68">
        <v>1588</v>
      </c>
      <c r="S93" s="68">
        <v>219</v>
      </c>
      <c r="T93" s="68">
        <v>34</v>
      </c>
      <c r="U93" s="68">
        <v>1335</v>
      </c>
      <c r="V93" s="68">
        <v>839</v>
      </c>
      <c r="W93" s="68">
        <v>142</v>
      </c>
      <c r="X93" s="68">
        <v>88</v>
      </c>
      <c r="Y93" s="68">
        <v>609</v>
      </c>
      <c r="Z93" s="68">
        <v>546</v>
      </c>
      <c r="AA93" s="68">
        <v>137</v>
      </c>
      <c r="AB93" s="68">
        <v>240</v>
      </c>
      <c r="AC93" s="68">
        <v>169</v>
      </c>
      <c r="AD93" s="68">
        <v>34</v>
      </c>
      <c r="AE93" s="68">
        <v>6</v>
      </c>
      <c r="AF93" s="68">
        <v>11</v>
      </c>
      <c r="AG93" s="68">
        <v>17</v>
      </c>
      <c r="AH93" s="68">
        <v>461</v>
      </c>
      <c r="AI93" s="68">
        <v>94</v>
      </c>
      <c r="AJ93" s="68">
        <v>73</v>
      </c>
      <c r="AK93" s="68">
        <v>294</v>
      </c>
      <c r="AL93" s="68">
        <v>4186</v>
      </c>
      <c r="AM93" s="68">
        <v>672</v>
      </c>
      <c r="AN93" s="68">
        <v>490</v>
      </c>
      <c r="AO93" s="68">
        <v>3024</v>
      </c>
      <c r="AP93" s="68">
        <v>1947</v>
      </c>
      <c r="AQ93" s="68">
        <v>249</v>
      </c>
      <c r="AR93" s="68">
        <v>39</v>
      </c>
      <c r="AS93" s="68">
        <v>1659</v>
      </c>
      <c r="AT93" s="68">
        <v>1035</v>
      </c>
      <c r="AU93" s="68">
        <v>163</v>
      </c>
      <c r="AV93" s="68">
        <v>98</v>
      </c>
      <c r="AW93" s="68">
        <v>774</v>
      </c>
      <c r="AX93" s="68">
        <v>602</v>
      </c>
      <c r="AY93" s="68">
        <v>148</v>
      </c>
      <c r="AZ93" s="68">
        <v>260</v>
      </c>
      <c r="BA93" s="68">
        <v>194</v>
      </c>
      <c r="BB93" s="68">
        <v>38</v>
      </c>
      <c r="BC93" s="68">
        <v>7</v>
      </c>
      <c r="BD93" s="68">
        <v>12</v>
      </c>
      <c r="BE93" s="68">
        <v>19</v>
      </c>
      <c r="BF93" s="68">
        <v>564</v>
      </c>
      <c r="BG93" s="68">
        <v>105</v>
      </c>
      <c r="BH93" s="68">
        <v>81</v>
      </c>
      <c r="BI93" s="68">
        <v>378</v>
      </c>
    </row>
    <row r="94" spans="1:61" s="18" customFormat="1" ht="15.75" hidden="1" customHeight="1">
      <c r="A94" s="63" t="s">
        <v>204</v>
      </c>
      <c r="B94" s="64" t="s">
        <v>223</v>
      </c>
      <c r="C94" s="67">
        <v>2206</v>
      </c>
      <c r="D94" s="67">
        <v>234</v>
      </c>
      <c r="E94" s="67">
        <v>1972</v>
      </c>
      <c r="F94" s="67">
        <v>373</v>
      </c>
      <c r="G94" s="67">
        <v>1599</v>
      </c>
      <c r="H94" s="67">
        <v>354</v>
      </c>
      <c r="I94" s="67">
        <v>2126</v>
      </c>
      <c r="J94" s="67">
        <v>58</v>
      </c>
      <c r="K94" s="67">
        <v>58</v>
      </c>
      <c r="L94" s="67">
        <v>296</v>
      </c>
      <c r="M94" s="67">
        <v>2068</v>
      </c>
      <c r="N94" s="67">
        <v>13480</v>
      </c>
      <c r="O94" s="67">
        <v>4126</v>
      </c>
      <c r="P94" s="67">
        <v>887</v>
      </c>
      <c r="Q94" s="67">
        <v>8467</v>
      </c>
      <c r="R94" s="67">
        <v>5060</v>
      </c>
      <c r="S94" s="67">
        <v>892</v>
      </c>
      <c r="T94" s="67">
        <v>100</v>
      </c>
      <c r="U94" s="67">
        <v>4068</v>
      </c>
      <c r="V94" s="67">
        <v>3858</v>
      </c>
      <c r="W94" s="67">
        <v>1048</v>
      </c>
      <c r="X94" s="67">
        <v>306</v>
      </c>
      <c r="Y94" s="67">
        <v>2504</v>
      </c>
      <c r="Z94" s="67">
        <v>2686</v>
      </c>
      <c r="AA94" s="67">
        <v>1533</v>
      </c>
      <c r="AB94" s="67">
        <v>347</v>
      </c>
      <c r="AC94" s="67">
        <v>806</v>
      </c>
      <c r="AD94" s="67">
        <v>51</v>
      </c>
      <c r="AE94" s="67">
        <v>23</v>
      </c>
      <c r="AF94" s="67">
        <v>9</v>
      </c>
      <c r="AG94" s="67">
        <v>19</v>
      </c>
      <c r="AH94" s="67">
        <v>1825</v>
      </c>
      <c r="AI94" s="67">
        <v>630</v>
      </c>
      <c r="AJ94" s="67">
        <v>125</v>
      </c>
      <c r="AK94" s="67">
        <v>1070</v>
      </c>
      <c r="AL94" s="67">
        <v>29414</v>
      </c>
      <c r="AM94" s="67">
        <v>8338</v>
      </c>
      <c r="AN94" s="67">
        <v>1886</v>
      </c>
      <c r="AO94" s="67">
        <v>19190</v>
      </c>
      <c r="AP94" s="67">
        <v>10929</v>
      </c>
      <c r="AQ94" s="67">
        <v>1784</v>
      </c>
      <c r="AR94" s="67">
        <v>230</v>
      </c>
      <c r="AS94" s="67">
        <v>8915</v>
      </c>
      <c r="AT94" s="67">
        <v>8895</v>
      </c>
      <c r="AU94" s="67">
        <v>2166</v>
      </c>
      <c r="AV94" s="67">
        <v>641</v>
      </c>
      <c r="AW94" s="67">
        <v>6088</v>
      </c>
      <c r="AX94" s="67">
        <v>5452</v>
      </c>
      <c r="AY94" s="67">
        <v>3050</v>
      </c>
      <c r="AZ94" s="67">
        <v>725</v>
      </c>
      <c r="BA94" s="67">
        <v>1677</v>
      </c>
      <c r="BB94" s="67">
        <v>110</v>
      </c>
      <c r="BC94" s="67">
        <v>47</v>
      </c>
      <c r="BD94" s="67">
        <v>16</v>
      </c>
      <c r="BE94" s="67">
        <v>47</v>
      </c>
      <c r="BF94" s="67">
        <v>4028</v>
      </c>
      <c r="BG94" s="67">
        <v>1291</v>
      </c>
      <c r="BH94" s="67">
        <v>274</v>
      </c>
      <c r="BI94" s="67">
        <v>2463</v>
      </c>
    </row>
    <row r="95" spans="1:61" s="18" customFormat="1" ht="15.75" hidden="1" customHeight="1">
      <c r="A95" s="345" t="s">
        <v>26</v>
      </c>
      <c r="B95" s="65" t="s">
        <v>224</v>
      </c>
      <c r="C95" s="68">
        <v>455</v>
      </c>
      <c r="D95" s="68">
        <v>37</v>
      </c>
      <c r="E95" s="68">
        <v>418</v>
      </c>
      <c r="F95" s="68">
        <v>228</v>
      </c>
      <c r="G95" s="68">
        <v>190</v>
      </c>
      <c r="H95" s="68"/>
      <c r="I95" s="68"/>
      <c r="J95" s="68"/>
      <c r="K95" s="68"/>
      <c r="L95" s="68"/>
      <c r="M95" s="68"/>
      <c r="N95" s="68">
        <v>5749</v>
      </c>
      <c r="O95" s="68">
        <v>2057</v>
      </c>
      <c r="P95" s="68">
        <v>423</v>
      </c>
      <c r="Q95" s="68">
        <v>3269</v>
      </c>
      <c r="R95" s="68">
        <v>1623</v>
      </c>
      <c r="S95" s="68">
        <v>317</v>
      </c>
      <c r="T95" s="68">
        <v>27</v>
      </c>
      <c r="U95" s="68">
        <v>1279</v>
      </c>
      <c r="V95" s="68">
        <v>1827</v>
      </c>
      <c r="W95" s="68">
        <v>528</v>
      </c>
      <c r="X95" s="68">
        <v>149</v>
      </c>
      <c r="Y95" s="68">
        <v>1150</v>
      </c>
      <c r="Z95" s="68">
        <v>1529</v>
      </c>
      <c r="AA95" s="68">
        <v>914</v>
      </c>
      <c r="AB95" s="68">
        <v>189</v>
      </c>
      <c r="AC95" s="68">
        <v>426</v>
      </c>
      <c r="AD95" s="68">
        <v>27</v>
      </c>
      <c r="AE95" s="68">
        <v>11</v>
      </c>
      <c r="AF95" s="68">
        <v>5</v>
      </c>
      <c r="AG95" s="68">
        <v>11</v>
      </c>
      <c r="AH95" s="68">
        <v>743</v>
      </c>
      <c r="AI95" s="68">
        <v>287</v>
      </c>
      <c r="AJ95" s="68">
        <v>53</v>
      </c>
      <c r="AK95" s="68">
        <v>403</v>
      </c>
      <c r="AL95" s="68">
        <v>12708</v>
      </c>
      <c r="AM95" s="68">
        <v>4201</v>
      </c>
      <c r="AN95" s="68">
        <v>903</v>
      </c>
      <c r="AO95" s="68">
        <v>7604</v>
      </c>
      <c r="AP95" s="68">
        <v>3606</v>
      </c>
      <c r="AQ95" s="68">
        <v>645</v>
      </c>
      <c r="AR95" s="68">
        <v>62</v>
      </c>
      <c r="AS95" s="68">
        <v>2899</v>
      </c>
      <c r="AT95" s="68">
        <v>4266</v>
      </c>
      <c r="AU95" s="68">
        <v>1118</v>
      </c>
      <c r="AV95" s="68">
        <v>309</v>
      </c>
      <c r="AW95" s="68">
        <v>2839</v>
      </c>
      <c r="AX95" s="68">
        <v>3120</v>
      </c>
      <c r="AY95" s="68">
        <v>1829</v>
      </c>
      <c r="AZ95" s="68">
        <v>402</v>
      </c>
      <c r="BA95" s="68">
        <v>889</v>
      </c>
      <c r="BB95" s="68">
        <v>57</v>
      </c>
      <c r="BC95" s="68">
        <v>21</v>
      </c>
      <c r="BD95" s="68">
        <v>10</v>
      </c>
      <c r="BE95" s="68">
        <v>26</v>
      </c>
      <c r="BF95" s="68">
        <v>1659</v>
      </c>
      <c r="BG95" s="68">
        <v>588</v>
      </c>
      <c r="BH95" s="68">
        <v>120</v>
      </c>
      <c r="BI95" s="68">
        <v>951</v>
      </c>
    </row>
    <row r="96" spans="1:61" s="18" customFormat="1" ht="15.75" hidden="1" customHeight="1">
      <c r="A96" s="346"/>
      <c r="B96" s="65" t="s">
        <v>225</v>
      </c>
      <c r="C96" s="68">
        <v>1751</v>
      </c>
      <c r="D96" s="68">
        <v>197</v>
      </c>
      <c r="E96" s="68">
        <v>1554</v>
      </c>
      <c r="F96" s="68">
        <v>145</v>
      </c>
      <c r="G96" s="68">
        <v>1409</v>
      </c>
      <c r="H96" s="68"/>
      <c r="I96" s="68"/>
      <c r="J96" s="68"/>
      <c r="K96" s="68"/>
      <c r="L96" s="68"/>
      <c r="M96" s="68"/>
      <c r="N96" s="68">
        <v>7731</v>
      </c>
      <c r="O96" s="68">
        <v>2069</v>
      </c>
      <c r="P96" s="68">
        <v>464</v>
      </c>
      <c r="Q96" s="68">
        <v>5198</v>
      </c>
      <c r="R96" s="68">
        <v>3437</v>
      </c>
      <c r="S96" s="68">
        <v>575</v>
      </c>
      <c r="T96" s="68">
        <v>73</v>
      </c>
      <c r="U96" s="68">
        <v>2789</v>
      </c>
      <c r="V96" s="68">
        <v>2031</v>
      </c>
      <c r="W96" s="68">
        <v>520</v>
      </c>
      <c r="X96" s="68">
        <v>157</v>
      </c>
      <c r="Y96" s="68">
        <v>1354</v>
      </c>
      <c r="Z96" s="68">
        <v>1157</v>
      </c>
      <c r="AA96" s="68">
        <v>619</v>
      </c>
      <c r="AB96" s="68">
        <v>158</v>
      </c>
      <c r="AC96" s="68">
        <v>380</v>
      </c>
      <c r="AD96" s="68">
        <v>24</v>
      </c>
      <c r="AE96" s="68">
        <v>12</v>
      </c>
      <c r="AF96" s="68">
        <v>4</v>
      </c>
      <c r="AG96" s="68">
        <v>8</v>
      </c>
      <c r="AH96" s="68">
        <v>1082</v>
      </c>
      <c r="AI96" s="68">
        <v>343</v>
      </c>
      <c r="AJ96" s="68">
        <v>72</v>
      </c>
      <c r="AK96" s="68">
        <v>667</v>
      </c>
      <c r="AL96" s="68">
        <v>16706</v>
      </c>
      <c r="AM96" s="68">
        <v>4137</v>
      </c>
      <c r="AN96" s="68">
        <v>983</v>
      </c>
      <c r="AO96" s="68">
        <v>11586</v>
      </c>
      <c r="AP96" s="68">
        <v>7323</v>
      </c>
      <c r="AQ96" s="68">
        <v>1139</v>
      </c>
      <c r="AR96" s="68">
        <v>168</v>
      </c>
      <c r="AS96" s="68">
        <v>6016</v>
      </c>
      <c r="AT96" s="68">
        <v>4629</v>
      </c>
      <c r="AU96" s="68">
        <v>1048</v>
      </c>
      <c r="AV96" s="68">
        <v>332</v>
      </c>
      <c r="AW96" s="68">
        <v>3249</v>
      </c>
      <c r="AX96" s="68">
        <v>2332</v>
      </c>
      <c r="AY96" s="68">
        <v>1221</v>
      </c>
      <c r="AZ96" s="68">
        <v>323</v>
      </c>
      <c r="BA96" s="68">
        <v>788</v>
      </c>
      <c r="BB96" s="68">
        <v>53</v>
      </c>
      <c r="BC96" s="68">
        <v>26</v>
      </c>
      <c r="BD96" s="68">
        <v>6</v>
      </c>
      <c r="BE96" s="68">
        <v>21</v>
      </c>
      <c r="BF96" s="68">
        <v>2369</v>
      </c>
      <c r="BG96" s="68">
        <v>703</v>
      </c>
      <c r="BH96" s="68">
        <v>154</v>
      </c>
      <c r="BI96" s="68">
        <v>1512</v>
      </c>
    </row>
    <row r="97" spans="1:61" s="18" customFormat="1" ht="15.75" hidden="1" customHeight="1">
      <c r="A97" s="63" t="s">
        <v>205</v>
      </c>
      <c r="B97" s="64" t="s">
        <v>223</v>
      </c>
      <c r="C97" s="67">
        <v>2045</v>
      </c>
      <c r="D97" s="67">
        <v>210</v>
      </c>
      <c r="E97" s="67">
        <v>1835</v>
      </c>
      <c r="F97" s="67">
        <v>968</v>
      </c>
      <c r="G97" s="67">
        <v>867</v>
      </c>
      <c r="H97" s="67">
        <v>131</v>
      </c>
      <c r="I97" s="67">
        <v>4694</v>
      </c>
      <c r="J97" s="67">
        <v>1</v>
      </c>
      <c r="K97" s="67">
        <v>35</v>
      </c>
      <c r="L97" s="67">
        <v>130</v>
      </c>
      <c r="M97" s="67">
        <v>4659</v>
      </c>
      <c r="N97" s="67">
        <v>10123</v>
      </c>
      <c r="O97" s="67">
        <v>1631</v>
      </c>
      <c r="P97" s="67">
        <v>1339</v>
      </c>
      <c r="Q97" s="67">
        <v>7153</v>
      </c>
      <c r="R97" s="67">
        <v>4214</v>
      </c>
      <c r="S97" s="67">
        <v>471</v>
      </c>
      <c r="T97" s="67">
        <v>65</v>
      </c>
      <c r="U97" s="67">
        <v>3678</v>
      </c>
      <c r="V97" s="67">
        <v>2939</v>
      </c>
      <c r="W97" s="67">
        <v>425</v>
      </c>
      <c r="X97" s="67">
        <v>399</v>
      </c>
      <c r="Y97" s="67">
        <v>2115</v>
      </c>
      <c r="Z97" s="67">
        <v>1456</v>
      </c>
      <c r="AA97" s="67">
        <v>425</v>
      </c>
      <c r="AB97" s="67">
        <v>659</v>
      </c>
      <c r="AC97" s="67">
        <v>372</v>
      </c>
      <c r="AD97" s="67">
        <v>5</v>
      </c>
      <c r="AE97" s="67">
        <v>1</v>
      </c>
      <c r="AF97" s="67">
        <v>2</v>
      </c>
      <c r="AG97" s="67">
        <v>2</v>
      </c>
      <c r="AH97" s="67">
        <v>1509</v>
      </c>
      <c r="AI97" s="67">
        <v>309</v>
      </c>
      <c r="AJ97" s="67">
        <v>214</v>
      </c>
      <c r="AK97" s="67">
        <v>986</v>
      </c>
      <c r="AL97" s="67">
        <v>17008</v>
      </c>
      <c r="AM97" s="67">
        <v>2491</v>
      </c>
      <c r="AN97" s="67">
        <v>1994</v>
      </c>
      <c r="AO97" s="67">
        <v>12523</v>
      </c>
      <c r="AP97" s="67">
        <v>6920</v>
      </c>
      <c r="AQ97" s="67">
        <v>732</v>
      </c>
      <c r="AR97" s="67">
        <v>93</v>
      </c>
      <c r="AS97" s="67">
        <v>6095</v>
      </c>
      <c r="AT97" s="67">
        <v>5305</v>
      </c>
      <c r="AU97" s="67">
        <v>804</v>
      </c>
      <c r="AV97" s="67">
        <v>664</v>
      </c>
      <c r="AW97" s="67">
        <v>3837</v>
      </c>
      <c r="AX97" s="67">
        <v>2417</v>
      </c>
      <c r="AY97" s="67">
        <v>717</v>
      </c>
      <c r="AZ97" s="67">
        <v>1031</v>
      </c>
      <c r="BA97" s="67">
        <v>669</v>
      </c>
      <c r="BB97" s="67">
        <v>12</v>
      </c>
      <c r="BC97" s="67">
        <v>4</v>
      </c>
      <c r="BD97" s="67">
        <v>4</v>
      </c>
      <c r="BE97" s="67">
        <v>4</v>
      </c>
      <c r="BF97" s="67">
        <v>2354</v>
      </c>
      <c r="BG97" s="67">
        <v>234</v>
      </c>
      <c r="BH97" s="67">
        <v>202</v>
      </c>
      <c r="BI97" s="67">
        <v>1918</v>
      </c>
    </row>
    <row r="98" spans="1:61" s="18" customFormat="1" ht="15.75" hidden="1" customHeight="1">
      <c r="A98" s="345" t="s">
        <v>27</v>
      </c>
      <c r="B98" s="65" t="s">
        <v>224</v>
      </c>
      <c r="C98" s="68">
        <v>286</v>
      </c>
      <c r="D98" s="68">
        <v>24</v>
      </c>
      <c r="E98" s="68">
        <v>262</v>
      </c>
      <c r="F98" s="68">
        <v>121</v>
      </c>
      <c r="G98" s="68">
        <v>141</v>
      </c>
      <c r="H98" s="68"/>
      <c r="I98" s="68"/>
      <c r="J98" s="68"/>
      <c r="K98" s="68"/>
      <c r="L98" s="68"/>
      <c r="M98" s="68"/>
      <c r="N98" s="68">
        <v>4078</v>
      </c>
      <c r="O98" s="68">
        <v>848</v>
      </c>
      <c r="P98" s="68">
        <v>662</v>
      </c>
      <c r="Q98" s="68">
        <v>2568</v>
      </c>
      <c r="R98" s="68">
        <v>1379</v>
      </c>
      <c r="S98" s="68">
        <v>203</v>
      </c>
      <c r="T98" s="68">
        <v>15</v>
      </c>
      <c r="U98" s="68">
        <v>1161</v>
      </c>
      <c r="V98" s="68">
        <v>1255</v>
      </c>
      <c r="W98" s="68">
        <v>196</v>
      </c>
      <c r="X98" s="68">
        <v>179</v>
      </c>
      <c r="Y98" s="68">
        <v>880</v>
      </c>
      <c r="Z98" s="68">
        <v>862</v>
      </c>
      <c r="AA98" s="68">
        <v>296</v>
      </c>
      <c r="AB98" s="68">
        <v>365</v>
      </c>
      <c r="AC98" s="68">
        <v>201</v>
      </c>
      <c r="AD98" s="68">
        <v>2</v>
      </c>
      <c r="AE98" s="68">
        <v>0</v>
      </c>
      <c r="AF98" s="68">
        <v>1</v>
      </c>
      <c r="AG98" s="68">
        <v>1</v>
      </c>
      <c r="AH98" s="68">
        <v>580</v>
      </c>
      <c r="AI98" s="68">
        <v>153</v>
      </c>
      <c r="AJ98" s="68">
        <v>102</v>
      </c>
      <c r="AK98" s="68">
        <v>325</v>
      </c>
      <c r="AL98" s="68">
        <v>6857</v>
      </c>
      <c r="AM98" s="68">
        <v>1276</v>
      </c>
      <c r="AN98" s="68">
        <v>1009</v>
      </c>
      <c r="AO98" s="68">
        <v>4572</v>
      </c>
      <c r="AP98" s="68">
        <v>2306</v>
      </c>
      <c r="AQ98" s="68">
        <v>317</v>
      </c>
      <c r="AR98" s="68">
        <v>20</v>
      </c>
      <c r="AS98" s="68">
        <v>1969</v>
      </c>
      <c r="AT98" s="68">
        <v>2273</v>
      </c>
      <c r="AU98" s="68">
        <v>381</v>
      </c>
      <c r="AV98" s="68">
        <v>313</v>
      </c>
      <c r="AW98" s="68">
        <v>1579</v>
      </c>
      <c r="AX98" s="68">
        <v>1432</v>
      </c>
      <c r="AY98" s="68">
        <v>488</v>
      </c>
      <c r="AZ98" s="68">
        <v>591</v>
      </c>
      <c r="BA98" s="68">
        <v>353</v>
      </c>
      <c r="BB98" s="68">
        <v>2</v>
      </c>
      <c r="BC98" s="68">
        <v>0</v>
      </c>
      <c r="BD98" s="68">
        <v>1</v>
      </c>
      <c r="BE98" s="68">
        <v>1</v>
      </c>
      <c r="BF98" s="68">
        <v>844</v>
      </c>
      <c r="BG98" s="68">
        <v>90</v>
      </c>
      <c r="BH98" s="68">
        <v>84</v>
      </c>
      <c r="BI98" s="68">
        <v>670</v>
      </c>
    </row>
    <row r="99" spans="1:61" s="18" customFormat="1" ht="15.75" hidden="1" customHeight="1">
      <c r="A99" s="346"/>
      <c r="B99" s="65" t="s">
        <v>225</v>
      </c>
      <c r="C99" s="68">
        <v>1759</v>
      </c>
      <c r="D99" s="68">
        <v>186</v>
      </c>
      <c r="E99" s="68">
        <v>1573</v>
      </c>
      <c r="F99" s="68">
        <v>847</v>
      </c>
      <c r="G99" s="68">
        <v>726</v>
      </c>
      <c r="H99" s="68"/>
      <c r="I99" s="68"/>
      <c r="J99" s="68"/>
      <c r="K99" s="68"/>
      <c r="L99" s="68"/>
      <c r="M99" s="68"/>
      <c r="N99" s="68">
        <v>6045</v>
      </c>
      <c r="O99" s="68">
        <v>783</v>
      </c>
      <c r="P99" s="68">
        <v>677</v>
      </c>
      <c r="Q99" s="68">
        <v>4585</v>
      </c>
      <c r="R99" s="68">
        <v>2835</v>
      </c>
      <c r="S99" s="68">
        <v>268</v>
      </c>
      <c r="T99" s="68">
        <v>50</v>
      </c>
      <c r="U99" s="68">
        <v>2517</v>
      </c>
      <c r="V99" s="68">
        <v>1684</v>
      </c>
      <c r="W99" s="68">
        <v>229</v>
      </c>
      <c r="X99" s="68">
        <v>220</v>
      </c>
      <c r="Y99" s="68">
        <v>1235</v>
      </c>
      <c r="Z99" s="68">
        <v>594</v>
      </c>
      <c r="AA99" s="68">
        <v>129</v>
      </c>
      <c r="AB99" s="68">
        <v>294</v>
      </c>
      <c r="AC99" s="68">
        <v>171</v>
      </c>
      <c r="AD99" s="68">
        <v>3</v>
      </c>
      <c r="AE99" s="68">
        <v>1</v>
      </c>
      <c r="AF99" s="68">
        <v>1</v>
      </c>
      <c r="AG99" s="68">
        <v>1</v>
      </c>
      <c r="AH99" s="68">
        <v>929</v>
      </c>
      <c r="AI99" s="68">
        <v>156</v>
      </c>
      <c r="AJ99" s="68">
        <v>112</v>
      </c>
      <c r="AK99" s="68">
        <v>661</v>
      </c>
      <c r="AL99" s="68">
        <v>10151</v>
      </c>
      <c r="AM99" s="68">
        <v>1215</v>
      </c>
      <c r="AN99" s="68">
        <v>985</v>
      </c>
      <c r="AO99" s="68">
        <v>7951</v>
      </c>
      <c r="AP99" s="68">
        <v>4614</v>
      </c>
      <c r="AQ99" s="68">
        <v>415</v>
      </c>
      <c r="AR99" s="68">
        <v>73</v>
      </c>
      <c r="AS99" s="68">
        <v>4126</v>
      </c>
      <c r="AT99" s="68">
        <v>3032</v>
      </c>
      <c r="AU99" s="68">
        <v>423</v>
      </c>
      <c r="AV99" s="68">
        <v>351</v>
      </c>
      <c r="AW99" s="68">
        <v>2258</v>
      </c>
      <c r="AX99" s="68">
        <v>985</v>
      </c>
      <c r="AY99" s="68">
        <v>229</v>
      </c>
      <c r="AZ99" s="68">
        <v>440</v>
      </c>
      <c r="BA99" s="68">
        <v>316</v>
      </c>
      <c r="BB99" s="68">
        <v>10</v>
      </c>
      <c r="BC99" s="68">
        <v>4</v>
      </c>
      <c r="BD99" s="68">
        <v>3</v>
      </c>
      <c r="BE99" s="68">
        <v>3</v>
      </c>
      <c r="BF99" s="68">
        <v>1510</v>
      </c>
      <c r="BG99" s="68">
        <v>144</v>
      </c>
      <c r="BH99" s="68">
        <v>118</v>
      </c>
      <c r="BI99" s="68">
        <v>1248</v>
      </c>
    </row>
    <row r="100" spans="1:61" s="18" customFormat="1" ht="15.75" hidden="1" customHeight="1">
      <c r="A100" s="63" t="s">
        <v>206</v>
      </c>
      <c r="B100" s="64" t="s">
        <v>223</v>
      </c>
      <c r="C100" s="67">
        <v>3566</v>
      </c>
      <c r="D100" s="67">
        <v>326</v>
      </c>
      <c r="E100" s="67">
        <v>3240</v>
      </c>
      <c r="F100" s="67">
        <v>1762</v>
      </c>
      <c r="G100" s="67">
        <v>1478</v>
      </c>
      <c r="H100" s="67">
        <v>27</v>
      </c>
      <c r="I100" s="67">
        <v>1325</v>
      </c>
      <c r="J100" s="67">
        <v>8</v>
      </c>
      <c r="K100" s="67">
        <v>215</v>
      </c>
      <c r="L100" s="67">
        <v>19</v>
      </c>
      <c r="M100" s="67">
        <v>1110</v>
      </c>
      <c r="N100" s="67">
        <v>15083</v>
      </c>
      <c r="O100" s="67">
        <v>3363</v>
      </c>
      <c r="P100" s="67">
        <v>1856</v>
      </c>
      <c r="Q100" s="67">
        <v>9864</v>
      </c>
      <c r="R100" s="67">
        <v>6682</v>
      </c>
      <c r="S100" s="67">
        <v>1254</v>
      </c>
      <c r="T100" s="67">
        <v>252</v>
      </c>
      <c r="U100" s="67">
        <v>5176</v>
      </c>
      <c r="V100" s="67">
        <v>4310</v>
      </c>
      <c r="W100" s="67">
        <v>957</v>
      </c>
      <c r="X100" s="67">
        <v>438</v>
      </c>
      <c r="Y100" s="67">
        <v>2915</v>
      </c>
      <c r="Z100" s="67">
        <v>2923</v>
      </c>
      <c r="AA100" s="67">
        <v>944</v>
      </c>
      <c r="AB100" s="67">
        <v>1061</v>
      </c>
      <c r="AC100" s="67">
        <v>918</v>
      </c>
      <c r="AD100" s="67">
        <v>75</v>
      </c>
      <c r="AE100" s="67">
        <v>16</v>
      </c>
      <c r="AF100" s="67">
        <v>17</v>
      </c>
      <c r="AG100" s="67">
        <v>42</v>
      </c>
      <c r="AH100" s="67">
        <v>1093</v>
      </c>
      <c r="AI100" s="67">
        <v>192</v>
      </c>
      <c r="AJ100" s="67">
        <v>88</v>
      </c>
      <c r="AK100" s="67">
        <v>813</v>
      </c>
      <c r="AL100" s="67">
        <v>27668</v>
      </c>
      <c r="AM100" s="67">
        <v>6404</v>
      </c>
      <c r="AN100" s="67">
        <v>3436</v>
      </c>
      <c r="AO100" s="67">
        <v>17828</v>
      </c>
      <c r="AP100" s="67">
        <v>10514</v>
      </c>
      <c r="AQ100" s="67">
        <v>1976</v>
      </c>
      <c r="AR100" s="67">
        <v>278</v>
      </c>
      <c r="AS100" s="67">
        <v>8260</v>
      </c>
      <c r="AT100" s="67">
        <v>8393</v>
      </c>
      <c r="AU100" s="67">
        <v>1839</v>
      </c>
      <c r="AV100" s="67">
        <v>809</v>
      </c>
      <c r="AW100" s="67">
        <v>5745</v>
      </c>
      <c r="AX100" s="67">
        <v>4537</v>
      </c>
      <c r="AY100" s="67">
        <v>1480</v>
      </c>
      <c r="AZ100" s="67">
        <v>1719</v>
      </c>
      <c r="BA100" s="67">
        <v>1338</v>
      </c>
      <c r="BB100" s="67">
        <v>86</v>
      </c>
      <c r="BC100" s="67">
        <v>19</v>
      </c>
      <c r="BD100" s="67">
        <v>19</v>
      </c>
      <c r="BE100" s="67">
        <v>48</v>
      </c>
      <c r="BF100" s="67">
        <v>4138</v>
      </c>
      <c r="BG100" s="67">
        <v>1090</v>
      </c>
      <c r="BH100" s="67">
        <v>611</v>
      </c>
      <c r="BI100" s="67">
        <v>2437</v>
      </c>
    </row>
    <row r="101" spans="1:61" s="18" customFormat="1" ht="15.75" hidden="1" customHeight="1">
      <c r="A101" s="345" t="s">
        <v>28</v>
      </c>
      <c r="B101" s="65" t="s">
        <v>224</v>
      </c>
      <c r="C101" s="68">
        <v>407</v>
      </c>
      <c r="D101" s="68">
        <v>39</v>
      </c>
      <c r="E101" s="68">
        <v>368</v>
      </c>
      <c r="F101" s="68">
        <v>201</v>
      </c>
      <c r="G101" s="68">
        <v>167</v>
      </c>
      <c r="H101" s="68"/>
      <c r="I101" s="68"/>
      <c r="J101" s="68"/>
      <c r="K101" s="68"/>
      <c r="L101" s="68"/>
      <c r="M101" s="68"/>
      <c r="N101" s="68">
        <v>6364</v>
      </c>
      <c r="O101" s="68">
        <v>1606</v>
      </c>
      <c r="P101" s="68">
        <v>952</v>
      </c>
      <c r="Q101" s="68">
        <v>3806</v>
      </c>
      <c r="R101" s="68">
        <v>2292</v>
      </c>
      <c r="S101" s="68">
        <v>448</v>
      </c>
      <c r="T101" s="68">
        <v>116</v>
      </c>
      <c r="U101" s="68">
        <v>1728</v>
      </c>
      <c r="V101" s="68">
        <v>1966</v>
      </c>
      <c r="W101" s="68">
        <v>472</v>
      </c>
      <c r="X101" s="68">
        <v>211</v>
      </c>
      <c r="Y101" s="68">
        <v>1283</v>
      </c>
      <c r="Z101" s="68">
        <v>1683</v>
      </c>
      <c r="AA101" s="68">
        <v>609</v>
      </c>
      <c r="AB101" s="68">
        <v>578</v>
      </c>
      <c r="AC101" s="68">
        <v>496</v>
      </c>
      <c r="AD101" s="68">
        <v>40</v>
      </c>
      <c r="AE101" s="68">
        <v>11</v>
      </c>
      <c r="AF101" s="68">
        <v>11</v>
      </c>
      <c r="AG101" s="68">
        <v>18</v>
      </c>
      <c r="AH101" s="68">
        <v>383</v>
      </c>
      <c r="AI101" s="68">
        <v>66</v>
      </c>
      <c r="AJ101" s="68">
        <v>36</v>
      </c>
      <c r="AK101" s="68">
        <v>281</v>
      </c>
      <c r="AL101" s="68">
        <v>11700</v>
      </c>
      <c r="AM101" s="68">
        <v>3079</v>
      </c>
      <c r="AN101" s="68">
        <v>1806</v>
      </c>
      <c r="AO101" s="68">
        <v>6815</v>
      </c>
      <c r="AP101" s="68">
        <v>3431</v>
      </c>
      <c r="AQ101" s="68">
        <v>679</v>
      </c>
      <c r="AR101" s="68">
        <v>107</v>
      </c>
      <c r="AS101" s="68">
        <v>2645</v>
      </c>
      <c r="AT101" s="68">
        <v>3839</v>
      </c>
      <c r="AU101" s="68">
        <v>903</v>
      </c>
      <c r="AV101" s="68">
        <v>386</v>
      </c>
      <c r="AW101" s="68">
        <v>2550</v>
      </c>
      <c r="AX101" s="68">
        <v>2729</v>
      </c>
      <c r="AY101" s="68">
        <v>993</v>
      </c>
      <c r="AZ101" s="68">
        <v>1005</v>
      </c>
      <c r="BA101" s="68">
        <v>731</v>
      </c>
      <c r="BB101" s="68">
        <v>51</v>
      </c>
      <c r="BC101" s="68">
        <v>17</v>
      </c>
      <c r="BD101" s="68">
        <v>10</v>
      </c>
      <c r="BE101" s="68">
        <v>24</v>
      </c>
      <c r="BF101" s="68">
        <v>1650</v>
      </c>
      <c r="BG101" s="68">
        <v>487</v>
      </c>
      <c r="BH101" s="68">
        <v>298</v>
      </c>
      <c r="BI101" s="68">
        <v>865</v>
      </c>
    </row>
    <row r="102" spans="1:61" s="18" customFormat="1" ht="15.75" hidden="1" customHeight="1">
      <c r="A102" s="346"/>
      <c r="B102" s="65" t="s">
        <v>225</v>
      </c>
      <c r="C102" s="68">
        <v>3159</v>
      </c>
      <c r="D102" s="68">
        <v>287</v>
      </c>
      <c r="E102" s="68">
        <v>2872</v>
      </c>
      <c r="F102" s="68">
        <v>1561</v>
      </c>
      <c r="G102" s="68">
        <v>1311</v>
      </c>
      <c r="H102" s="68"/>
      <c r="I102" s="68"/>
      <c r="J102" s="68"/>
      <c r="K102" s="68"/>
      <c r="L102" s="68"/>
      <c r="M102" s="68"/>
      <c r="N102" s="68">
        <v>8719</v>
      </c>
      <c r="O102" s="68">
        <v>1757</v>
      </c>
      <c r="P102" s="68">
        <v>904</v>
      </c>
      <c r="Q102" s="68">
        <v>6058</v>
      </c>
      <c r="R102" s="68">
        <v>4390</v>
      </c>
      <c r="S102" s="68">
        <v>806</v>
      </c>
      <c r="T102" s="68">
        <v>136</v>
      </c>
      <c r="U102" s="68">
        <v>3448</v>
      </c>
      <c r="V102" s="68">
        <v>2344</v>
      </c>
      <c r="W102" s="68">
        <v>485</v>
      </c>
      <c r="X102" s="68">
        <v>227</v>
      </c>
      <c r="Y102" s="68">
        <v>1632</v>
      </c>
      <c r="Z102" s="68">
        <v>1240</v>
      </c>
      <c r="AA102" s="68">
        <v>335</v>
      </c>
      <c r="AB102" s="68">
        <v>483</v>
      </c>
      <c r="AC102" s="68">
        <v>422</v>
      </c>
      <c r="AD102" s="68">
        <v>35</v>
      </c>
      <c r="AE102" s="68">
        <v>5</v>
      </c>
      <c r="AF102" s="68">
        <v>6</v>
      </c>
      <c r="AG102" s="68">
        <v>24</v>
      </c>
      <c r="AH102" s="68">
        <v>710</v>
      </c>
      <c r="AI102" s="68">
        <v>126</v>
      </c>
      <c r="AJ102" s="68">
        <v>52</v>
      </c>
      <c r="AK102" s="68">
        <v>532</v>
      </c>
      <c r="AL102" s="68">
        <v>15968</v>
      </c>
      <c r="AM102" s="68">
        <v>3325</v>
      </c>
      <c r="AN102" s="68">
        <v>1630</v>
      </c>
      <c r="AO102" s="68">
        <v>11013</v>
      </c>
      <c r="AP102" s="68">
        <v>7083</v>
      </c>
      <c r="AQ102" s="68">
        <v>1297</v>
      </c>
      <c r="AR102" s="68">
        <v>171</v>
      </c>
      <c r="AS102" s="68">
        <v>5615</v>
      </c>
      <c r="AT102" s="68">
        <v>4554</v>
      </c>
      <c r="AU102" s="68">
        <v>936</v>
      </c>
      <c r="AV102" s="68">
        <v>423</v>
      </c>
      <c r="AW102" s="68">
        <v>3195</v>
      </c>
      <c r="AX102" s="68">
        <v>1808</v>
      </c>
      <c r="AY102" s="68">
        <v>487</v>
      </c>
      <c r="AZ102" s="68">
        <v>714</v>
      </c>
      <c r="BA102" s="68">
        <v>607</v>
      </c>
      <c r="BB102" s="68">
        <v>35</v>
      </c>
      <c r="BC102" s="68">
        <v>2</v>
      </c>
      <c r="BD102" s="68">
        <v>9</v>
      </c>
      <c r="BE102" s="68">
        <v>24</v>
      </c>
      <c r="BF102" s="68">
        <v>2488</v>
      </c>
      <c r="BG102" s="68">
        <v>603</v>
      </c>
      <c r="BH102" s="68">
        <v>313</v>
      </c>
      <c r="BI102" s="68">
        <v>1572</v>
      </c>
    </row>
    <row r="103" spans="1:61" ht="15.75" hidden="1" customHeight="1">
      <c r="A103" s="63" t="s">
        <v>207</v>
      </c>
      <c r="B103" s="64" t="s">
        <v>223</v>
      </c>
      <c r="C103" s="67">
        <v>504</v>
      </c>
      <c r="D103" s="67">
        <v>49</v>
      </c>
      <c r="E103" s="67">
        <v>455</v>
      </c>
      <c r="F103" s="67">
        <v>219</v>
      </c>
      <c r="G103" s="67">
        <v>236</v>
      </c>
      <c r="H103" s="67">
        <v>175</v>
      </c>
      <c r="I103" s="67">
        <v>310</v>
      </c>
      <c r="J103" s="67">
        <v>14</v>
      </c>
      <c r="K103" s="67">
        <v>45</v>
      </c>
      <c r="L103" s="67">
        <v>161</v>
      </c>
      <c r="M103" s="67">
        <v>265</v>
      </c>
      <c r="N103" s="67">
        <v>1722</v>
      </c>
      <c r="O103" s="67">
        <v>369</v>
      </c>
      <c r="P103" s="67">
        <v>219</v>
      </c>
      <c r="Q103" s="67">
        <v>1134</v>
      </c>
      <c r="R103" s="67">
        <v>509</v>
      </c>
      <c r="S103" s="67">
        <v>80</v>
      </c>
      <c r="T103" s="67">
        <v>30</v>
      </c>
      <c r="U103" s="67">
        <v>399</v>
      </c>
      <c r="V103" s="67">
        <v>658</v>
      </c>
      <c r="W103" s="67">
        <v>135</v>
      </c>
      <c r="X103" s="67">
        <v>52</v>
      </c>
      <c r="Y103" s="67">
        <v>471</v>
      </c>
      <c r="Z103" s="67">
        <v>269</v>
      </c>
      <c r="AA103" s="67">
        <v>81</v>
      </c>
      <c r="AB103" s="67">
        <v>96</v>
      </c>
      <c r="AC103" s="67">
        <v>92</v>
      </c>
      <c r="AD103" s="67">
        <v>21</v>
      </c>
      <c r="AE103" s="67">
        <v>14</v>
      </c>
      <c r="AF103" s="67">
        <v>3</v>
      </c>
      <c r="AG103" s="67">
        <v>4</v>
      </c>
      <c r="AH103" s="67">
        <v>265</v>
      </c>
      <c r="AI103" s="67">
        <v>59</v>
      </c>
      <c r="AJ103" s="67">
        <v>38</v>
      </c>
      <c r="AK103" s="67">
        <v>168</v>
      </c>
      <c r="AL103" s="67">
        <v>3899</v>
      </c>
      <c r="AM103" s="67">
        <v>796</v>
      </c>
      <c r="AN103" s="67">
        <v>405</v>
      </c>
      <c r="AO103" s="67">
        <v>2698</v>
      </c>
      <c r="AP103" s="67">
        <v>1208</v>
      </c>
      <c r="AQ103" s="67">
        <v>163</v>
      </c>
      <c r="AR103" s="67">
        <v>17</v>
      </c>
      <c r="AS103" s="67">
        <v>1028</v>
      </c>
      <c r="AT103" s="67">
        <v>1490</v>
      </c>
      <c r="AU103" s="67">
        <v>293</v>
      </c>
      <c r="AV103" s="67">
        <v>111</v>
      </c>
      <c r="AW103" s="67">
        <v>1086</v>
      </c>
      <c r="AX103" s="67">
        <v>590</v>
      </c>
      <c r="AY103" s="67">
        <v>176</v>
      </c>
      <c r="AZ103" s="67">
        <v>201</v>
      </c>
      <c r="BA103" s="67">
        <v>213</v>
      </c>
      <c r="BB103" s="67">
        <v>47</v>
      </c>
      <c r="BC103" s="67">
        <v>36</v>
      </c>
      <c r="BD103" s="67">
        <v>4</v>
      </c>
      <c r="BE103" s="67">
        <v>7</v>
      </c>
      <c r="BF103" s="67">
        <v>564</v>
      </c>
      <c r="BG103" s="67">
        <v>128</v>
      </c>
      <c r="BH103" s="67">
        <v>72</v>
      </c>
      <c r="BI103" s="67">
        <v>364</v>
      </c>
    </row>
    <row r="104" spans="1:61" ht="15.75" hidden="1" customHeight="1">
      <c r="A104" s="345" t="s">
        <v>7</v>
      </c>
      <c r="B104" s="65" t="s">
        <v>224</v>
      </c>
      <c r="C104" s="68">
        <v>59</v>
      </c>
      <c r="D104" s="68">
        <v>9</v>
      </c>
      <c r="E104" s="68">
        <v>50</v>
      </c>
      <c r="F104" s="68">
        <v>23</v>
      </c>
      <c r="G104" s="68">
        <v>27</v>
      </c>
      <c r="H104" s="68"/>
      <c r="I104" s="68"/>
      <c r="J104" s="68"/>
      <c r="K104" s="68"/>
      <c r="L104" s="68"/>
      <c r="M104" s="68"/>
      <c r="N104" s="68">
        <v>763</v>
      </c>
      <c r="O104" s="68">
        <v>213</v>
      </c>
      <c r="P104" s="68">
        <v>112</v>
      </c>
      <c r="Q104" s="68">
        <v>438</v>
      </c>
      <c r="R104" s="68">
        <v>174</v>
      </c>
      <c r="S104" s="68">
        <v>33</v>
      </c>
      <c r="T104" s="68">
        <v>14</v>
      </c>
      <c r="U104" s="68">
        <v>127</v>
      </c>
      <c r="V104" s="68">
        <v>318</v>
      </c>
      <c r="W104" s="68">
        <v>84</v>
      </c>
      <c r="X104" s="68">
        <v>31</v>
      </c>
      <c r="Y104" s="68">
        <v>203</v>
      </c>
      <c r="Z104" s="68">
        <v>152</v>
      </c>
      <c r="AA104" s="68">
        <v>53</v>
      </c>
      <c r="AB104" s="68">
        <v>52</v>
      </c>
      <c r="AC104" s="68">
        <v>47</v>
      </c>
      <c r="AD104" s="68">
        <v>15</v>
      </c>
      <c r="AE104" s="68">
        <v>12</v>
      </c>
      <c r="AF104" s="68">
        <v>3</v>
      </c>
      <c r="AG104" s="68">
        <v>0</v>
      </c>
      <c r="AH104" s="68">
        <v>104</v>
      </c>
      <c r="AI104" s="68">
        <v>31</v>
      </c>
      <c r="AJ104" s="68">
        <v>12</v>
      </c>
      <c r="AK104" s="68">
        <v>61</v>
      </c>
      <c r="AL104" s="68">
        <v>1755</v>
      </c>
      <c r="AM104" s="68">
        <v>464</v>
      </c>
      <c r="AN104" s="68">
        <v>211</v>
      </c>
      <c r="AO104" s="68">
        <v>1080</v>
      </c>
      <c r="AP104" s="68">
        <v>405</v>
      </c>
      <c r="AQ104" s="68">
        <v>66</v>
      </c>
      <c r="AR104" s="68">
        <v>5</v>
      </c>
      <c r="AS104" s="68">
        <v>334</v>
      </c>
      <c r="AT104" s="68">
        <v>739</v>
      </c>
      <c r="AU104" s="68">
        <v>182</v>
      </c>
      <c r="AV104" s="68">
        <v>70</v>
      </c>
      <c r="AW104" s="68">
        <v>487</v>
      </c>
      <c r="AX104" s="68">
        <v>332</v>
      </c>
      <c r="AY104" s="68">
        <v>113</v>
      </c>
      <c r="AZ104" s="68">
        <v>110</v>
      </c>
      <c r="BA104" s="68">
        <v>109</v>
      </c>
      <c r="BB104" s="68">
        <v>35</v>
      </c>
      <c r="BC104" s="68">
        <v>31</v>
      </c>
      <c r="BD104" s="68">
        <v>4</v>
      </c>
      <c r="BE104" s="68">
        <v>0</v>
      </c>
      <c r="BF104" s="68">
        <v>244</v>
      </c>
      <c r="BG104" s="68">
        <v>72</v>
      </c>
      <c r="BH104" s="68">
        <v>22</v>
      </c>
      <c r="BI104" s="68">
        <v>150</v>
      </c>
    </row>
    <row r="105" spans="1:61" ht="15.75" hidden="1" customHeight="1">
      <c r="A105" s="346"/>
      <c r="B105" s="65" t="s">
        <v>225</v>
      </c>
      <c r="C105" s="68">
        <v>445</v>
      </c>
      <c r="D105" s="68">
        <v>40</v>
      </c>
      <c r="E105" s="68">
        <v>405</v>
      </c>
      <c r="F105" s="68">
        <v>196</v>
      </c>
      <c r="G105" s="68">
        <v>209</v>
      </c>
      <c r="H105" s="68"/>
      <c r="I105" s="68"/>
      <c r="J105" s="68"/>
      <c r="K105" s="68"/>
      <c r="L105" s="68"/>
      <c r="M105" s="68"/>
      <c r="N105" s="68">
        <v>959</v>
      </c>
      <c r="O105" s="68">
        <v>156</v>
      </c>
      <c r="P105" s="68">
        <v>107</v>
      </c>
      <c r="Q105" s="68">
        <v>696</v>
      </c>
      <c r="R105" s="68">
        <v>335</v>
      </c>
      <c r="S105" s="68">
        <v>47</v>
      </c>
      <c r="T105" s="68">
        <v>16</v>
      </c>
      <c r="U105" s="68">
        <v>272</v>
      </c>
      <c r="V105" s="68">
        <v>340</v>
      </c>
      <c r="W105" s="68">
        <v>51</v>
      </c>
      <c r="X105" s="68">
        <v>21</v>
      </c>
      <c r="Y105" s="68">
        <v>268</v>
      </c>
      <c r="Z105" s="68">
        <v>117</v>
      </c>
      <c r="AA105" s="68">
        <v>28</v>
      </c>
      <c r="AB105" s="68">
        <v>44</v>
      </c>
      <c r="AC105" s="68">
        <v>45</v>
      </c>
      <c r="AD105" s="68">
        <v>6</v>
      </c>
      <c r="AE105" s="68">
        <v>2</v>
      </c>
      <c r="AF105" s="68">
        <v>0</v>
      </c>
      <c r="AG105" s="68">
        <v>4</v>
      </c>
      <c r="AH105" s="68">
        <v>161</v>
      </c>
      <c r="AI105" s="68">
        <v>28</v>
      </c>
      <c r="AJ105" s="68">
        <v>26</v>
      </c>
      <c r="AK105" s="68">
        <v>107</v>
      </c>
      <c r="AL105" s="68">
        <v>2144</v>
      </c>
      <c r="AM105" s="68">
        <v>332</v>
      </c>
      <c r="AN105" s="68">
        <v>194</v>
      </c>
      <c r="AO105" s="68">
        <v>1618</v>
      </c>
      <c r="AP105" s="68">
        <v>803</v>
      </c>
      <c r="AQ105" s="68">
        <v>97</v>
      </c>
      <c r="AR105" s="68">
        <v>12</v>
      </c>
      <c r="AS105" s="68">
        <v>694</v>
      </c>
      <c r="AT105" s="68">
        <v>751</v>
      </c>
      <c r="AU105" s="68">
        <v>111</v>
      </c>
      <c r="AV105" s="68">
        <v>41</v>
      </c>
      <c r="AW105" s="68">
        <v>599</v>
      </c>
      <c r="AX105" s="68">
        <v>258</v>
      </c>
      <c r="AY105" s="68">
        <v>63</v>
      </c>
      <c r="AZ105" s="68">
        <v>91</v>
      </c>
      <c r="BA105" s="68">
        <v>104</v>
      </c>
      <c r="BB105" s="68">
        <v>12</v>
      </c>
      <c r="BC105" s="68">
        <v>5</v>
      </c>
      <c r="BD105" s="68">
        <v>0</v>
      </c>
      <c r="BE105" s="68">
        <v>7</v>
      </c>
      <c r="BF105" s="68">
        <v>320</v>
      </c>
      <c r="BG105" s="68">
        <v>56</v>
      </c>
      <c r="BH105" s="68">
        <v>50</v>
      </c>
      <c r="BI105" s="68">
        <v>214</v>
      </c>
    </row>
    <row r="106" spans="1:61" ht="15.75" hidden="1" customHeight="1">
      <c r="A106" s="63" t="s">
        <v>208</v>
      </c>
      <c r="B106" s="64" t="s">
        <v>223</v>
      </c>
      <c r="C106" s="67">
        <v>351</v>
      </c>
      <c r="D106" s="67">
        <v>30</v>
      </c>
      <c r="E106" s="67">
        <v>321</v>
      </c>
      <c r="F106" s="67">
        <v>195</v>
      </c>
      <c r="G106" s="67">
        <v>126</v>
      </c>
      <c r="H106" s="67">
        <v>14</v>
      </c>
      <c r="I106" s="67">
        <v>362</v>
      </c>
      <c r="J106" s="67">
        <v>1</v>
      </c>
      <c r="K106" s="67">
        <v>20</v>
      </c>
      <c r="L106" s="67">
        <v>13</v>
      </c>
      <c r="M106" s="67">
        <v>342</v>
      </c>
      <c r="N106" s="67">
        <v>1304</v>
      </c>
      <c r="O106" s="67">
        <v>224</v>
      </c>
      <c r="P106" s="67">
        <v>155</v>
      </c>
      <c r="Q106" s="67">
        <v>925</v>
      </c>
      <c r="R106" s="67">
        <v>525</v>
      </c>
      <c r="S106" s="67">
        <v>59</v>
      </c>
      <c r="T106" s="67">
        <v>13</v>
      </c>
      <c r="U106" s="67">
        <v>453</v>
      </c>
      <c r="V106" s="67">
        <v>343</v>
      </c>
      <c r="W106" s="67">
        <v>63</v>
      </c>
      <c r="X106" s="67">
        <v>18</v>
      </c>
      <c r="Y106" s="67">
        <v>262</v>
      </c>
      <c r="Z106" s="67">
        <v>248</v>
      </c>
      <c r="AA106" s="67">
        <v>55</v>
      </c>
      <c r="AB106" s="67">
        <v>94</v>
      </c>
      <c r="AC106" s="67">
        <v>99</v>
      </c>
      <c r="AD106" s="67">
        <v>18</v>
      </c>
      <c r="AE106" s="67">
        <v>7</v>
      </c>
      <c r="AF106" s="67">
        <v>4</v>
      </c>
      <c r="AG106" s="67">
        <v>7</v>
      </c>
      <c r="AH106" s="67">
        <v>170</v>
      </c>
      <c r="AI106" s="67">
        <v>40</v>
      </c>
      <c r="AJ106" s="67">
        <v>26</v>
      </c>
      <c r="AK106" s="67">
        <v>104</v>
      </c>
      <c r="AL106" s="67">
        <v>2573</v>
      </c>
      <c r="AM106" s="67">
        <v>459</v>
      </c>
      <c r="AN106" s="67">
        <v>271</v>
      </c>
      <c r="AO106" s="67">
        <v>1843</v>
      </c>
      <c r="AP106" s="67">
        <v>944</v>
      </c>
      <c r="AQ106" s="67">
        <v>108</v>
      </c>
      <c r="AR106" s="67">
        <v>28</v>
      </c>
      <c r="AS106" s="67">
        <v>808</v>
      </c>
      <c r="AT106" s="67">
        <v>806</v>
      </c>
      <c r="AU106" s="67">
        <v>143</v>
      </c>
      <c r="AV106" s="67">
        <v>50</v>
      </c>
      <c r="AW106" s="67">
        <v>613</v>
      </c>
      <c r="AX106" s="67">
        <v>523</v>
      </c>
      <c r="AY106" s="67">
        <v>160</v>
      </c>
      <c r="AZ106" s="67">
        <v>164</v>
      </c>
      <c r="BA106" s="67">
        <v>199</v>
      </c>
      <c r="BB106" s="67">
        <v>57</v>
      </c>
      <c r="BC106" s="67">
        <v>20</v>
      </c>
      <c r="BD106" s="67">
        <v>13</v>
      </c>
      <c r="BE106" s="67">
        <v>24</v>
      </c>
      <c r="BF106" s="67">
        <v>243</v>
      </c>
      <c r="BG106" s="67">
        <v>28</v>
      </c>
      <c r="BH106" s="67">
        <v>16</v>
      </c>
      <c r="BI106" s="67">
        <v>199</v>
      </c>
    </row>
    <row r="107" spans="1:61" ht="15.75" hidden="1" customHeight="1">
      <c r="A107" s="345" t="s">
        <v>9</v>
      </c>
      <c r="B107" s="65" t="s">
        <v>224</v>
      </c>
      <c r="C107" s="68">
        <v>33</v>
      </c>
      <c r="D107" s="68">
        <v>4</v>
      </c>
      <c r="E107" s="68">
        <v>29</v>
      </c>
      <c r="F107" s="68">
        <v>17</v>
      </c>
      <c r="G107" s="68">
        <v>12</v>
      </c>
      <c r="H107" s="68"/>
      <c r="I107" s="68"/>
      <c r="J107" s="68"/>
      <c r="K107" s="68"/>
      <c r="L107" s="68"/>
      <c r="M107" s="68"/>
      <c r="N107" s="68">
        <v>581</v>
      </c>
      <c r="O107" s="68">
        <v>132</v>
      </c>
      <c r="P107" s="68">
        <v>72</v>
      </c>
      <c r="Q107" s="68">
        <v>377</v>
      </c>
      <c r="R107" s="68">
        <v>175</v>
      </c>
      <c r="S107" s="68">
        <v>26</v>
      </c>
      <c r="T107" s="68">
        <v>6</v>
      </c>
      <c r="U107" s="68">
        <v>143</v>
      </c>
      <c r="V107" s="68">
        <v>171</v>
      </c>
      <c r="W107" s="68">
        <v>34</v>
      </c>
      <c r="X107" s="68">
        <v>8</v>
      </c>
      <c r="Y107" s="68">
        <v>129</v>
      </c>
      <c r="Z107" s="68">
        <v>138</v>
      </c>
      <c r="AA107" s="68">
        <v>40</v>
      </c>
      <c r="AB107" s="68">
        <v>44</v>
      </c>
      <c r="AC107" s="68">
        <v>54</v>
      </c>
      <c r="AD107" s="68">
        <v>13</v>
      </c>
      <c r="AE107" s="68">
        <v>7</v>
      </c>
      <c r="AF107" s="68">
        <v>2</v>
      </c>
      <c r="AG107" s="68">
        <v>4</v>
      </c>
      <c r="AH107" s="68">
        <v>84</v>
      </c>
      <c r="AI107" s="68">
        <v>25</v>
      </c>
      <c r="AJ107" s="68">
        <v>12</v>
      </c>
      <c r="AK107" s="68">
        <v>47</v>
      </c>
      <c r="AL107" s="68">
        <v>1152</v>
      </c>
      <c r="AM107" s="68">
        <v>272</v>
      </c>
      <c r="AN107" s="68">
        <v>125</v>
      </c>
      <c r="AO107" s="68">
        <v>755</v>
      </c>
      <c r="AP107" s="68">
        <v>326</v>
      </c>
      <c r="AQ107" s="68">
        <v>53</v>
      </c>
      <c r="AR107" s="68">
        <v>11</v>
      </c>
      <c r="AS107" s="68">
        <v>262</v>
      </c>
      <c r="AT107" s="68">
        <v>392</v>
      </c>
      <c r="AU107" s="68">
        <v>83</v>
      </c>
      <c r="AV107" s="68">
        <v>20</v>
      </c>
      <c r="AW107" s="68">
        <v>289</v>
      </c>
      <c r="AX107" s="68">
        <v>311</v>
      </c>
      <c r="AY107" s="68">
        <v>113</v>
      </c>
      <c r="AZ107" s="68">
        <v>80</v>
      </c>
      <c r="BA107" s="68">
        <v>118</v>
      </c>
      <c r="BB107" s="68">
        <v>37</v>
      </c>
      <c r="BC107" s="68">
        <v>18</v>
      </c>
      <c r="BD107" s="68">
        <v>9</v>
      </c>
      <c r="BE107" s="68">
        <v>10</v>
      </c>
      <c r="BF107" s="68">
        <v>86</v>
      </c>
      <c r="BG107" s="68">
        <v>5</v>
      </c>
      <c r="BH107" s="68">
        <v>5</v>
      </c>
      <c r="BI107" s="68">
        <v>76</v>
      </c>
    </row>
    <row r="108" spans="1:61" ht="15.75" hidden="1" customHeight="1">
      <c r="A108" s="346"/>
      <c r="B108" s="65" t="s">
        <v>225</v>
      </c>
      <c r="C108" s="68">
        <v>318</v>
      </c>
      <c r="D108" s="68">
        <v>26</v>
      </c>
      <c r="E108" s="68">
        <v>292</v>
      </c>
      <c r="F108" s="68">
        <v>178</v>
      </c>
      <c r="G108" s="68">
        <v>114</v>
      </c>
      <c r="H108" s="68"/>
      <c r="I108" s="68"/>
      <c r="J108" s="68"/>
      <c r="K108" s="68"/>
      <c r="L108" s="68"/>
      <c r="M108" s="68"/>
      <c r="N108" s="68">
        <v>723</v>
      </c>
      <c r="O108" s="68">
        <v>92</v>
      </c>
      <c r="P108" s="68">
        <v>83</v>
      </c>
      <c r="Q108" s="68">
        <v>548</v>
      </c>
      <c r="R108" s="68">
        <v>350</v>
      </c>
      <c r="S108" s="68">
        <v>33</v>
      </c>
      <c r="T108" s="68">
        <v>7</v>
      </c>
      <c r="U108" s="68">
        <v>310</v>
      </c>
      <c r="V108" s="68">
        <v>172</v>
      </c>
      <c r="W108" s="68">
        <v>29</v>
      </c>
      <c r="X108" s="68">
        <v>10</v>
      </c>
      <c r="Y108" s="68">
        <v>133</v>
      </c>
      <c r="Z108" s="68">
        <v>110</v>
      </c>
      <c r="AA108" s="68">
        <v>15</v>
      </c>
      <c r="AB108" s="68">
        <v>50</v>
      </c>
      <c r="AC108" s="68">
        <v>45</v>
      </c>
      <c r="AD108" s="68">
        <v>5</v>
      </c>
      <c r="AE108" s="68">
        <v>0</v>
      </c>
      <c r="AF108" s="68">
        <v>2</v>
      </c>
      <c r="AG108" s="68">
        <v>3</v>
      </c>
      <c r="AH108" s="68">
        <v>86</v>
      </c>
      <c r="AI108" s="68">
        <v>15</v>
      </c>
      <c r="AJ108" s="68">
        <v>14</v>
      </c>
      <c r="AK108" s="68">
        <v>57</v>
      </c>
      <c r="AL108" s="68">
        <v>1421</v>
      </c>
      <c r="AM108" s="68">
        <v>187</v>
      </c>
      <c r="AN108" s="68">
        <v>146</v>
      </c>
      <c r="AO108" s="68">
        <v>1088</v>
      </c>
      <c r="AP108" s="68">
        <v>618</v>
      </c>
      <c r="AQ108" s="68">
        <v>55</v>
      </c>
      <c r="AR108" s="68">
        <v>17</v>
      </c>
      <c r="AS108" s="68">
        <v>546</v>
      </c>
      <c r="AT108" s="68">
        <v>414</v>
      </c>
      <c r="AU108" s="68">
        <v>60</v>
      </c>
      <c r="AV108" s="68">
        <v>30</v>
      </c>
      <c r="AW108" s="68">
        <v>324</v>
      </c>
      <c r="AX108" s="68">
        <v>212</v>
      </c>
      <c r="AY108" s="68">
        <v>47</v>
      </c>
      <c r="AZ108" s="68">
        <v>84</v>
      </c>
      <c r="BA108" s="68">
        <v>81</v>
      </c>
      <c r="BB108" s="68">
        <v>20</v>
      </c>
      <c r="BC108" s="68">
        <v>2</v>
      </c>
      <c r="BD108" s="68">
        <v>4</v>
      </c>
      <c r="BE108" s="68">
        <v>14</v>
      </c>
      <c r="BF108" s="68">
        <v>157</v>
      </c>
      <c r="BG108" s="68">
        <v>23</v>
      </c>
      <c r="BH108" s="68">
        <v>11</v>
      </c>
      <c r="BI108" s="68">
        <v>123</v>
      </c>
    </row>
    <row r="109" spans="1:61" ht="15.75" hidden="1" customHeight="1">
      <c r="A109" s="63" t="s">
        <v>209</v>
      </c>
      <c r="B109" s="64" t="s">
        <v>223</v>
      </c>
      <c r="C109" s="67">
        <v>508</v>
      </c>
      <c r="D109" s="67">
        <v>53</v>
      </c>
      <c r="E109" s="67">
        <v>455</v>
      </c>
      <c r="F109" s="67">
        <v>287</v>
      </c>
      <c r="G109" s="67">
        <v>168</v>
      </c>
      <c r="H109" s="67">
        <v>95</v>
      </c>
      <c r="I109" s="67">
        <v>890</v>
      </c>
      <c r="J109" s="67">
        <v>12</v>
      </c>
      <c r="K109" s="67">
        <v>21</v>
      </c>
      <c r="L109" s="67">
        <v>83</v>
      </c>
      <c r="M109" s="67">
        <v>869</v>
      </c>
      <c r="N109" s="67">
        <v>2523</v>
      </c>
      <c r="O109" s="67">
        <v>411</v>
      </c>
      <c r="P109" s="67">
        <v>357</v>
      </c>
      <c r="Q109" s="67">
        <v>1755</v>
      </c>
      <c r="R109" s="67">
        <v>887</v>
      </c>
      <c r="S109" s="67">
        <v>74</v>
      </c>
      <c r="T109" s="67">
        <v>17</v>
      </c>
      <c r="U109" s="67">
        <v>796</v>
      </c>
      <c r="V109" s="67">
        <v>764</v>
      </c>
      <c r="W109" s="67">
        <v>99</v>
      </c>
      <c r="X109" s="67">
        <v>99</v>
      </c>
      <c r="Y109" s="67">
        <v>566</v>
      </c>
      <c r="Z109" s="67">
        <v>405</v>
      </c>
      <c r="AA109" s="67">
        <v>136</v>
      </c>
      <c r="AB109" s="67">
        <v>160</v>
      </c>
      <c r="AC109" s="67">
        <v>109</v>
      </c>
      <c r="AD109" s="67">
        <v>13</v>
      </c>
      <c r="AE109" s="67">
        <v>0</v>
      </c>
      <c r="AF109" s="67">
        <v>8</v>
      </c>
      <c r="AG109" s="67">
        <v>5</v>
      </c>
      <c r="AH109" s="67">
        <v>454</v>
      </c>
      <c r="AI109" s="67">
        <v>102</v>
      </c>
      <c r="AJ109" s="67">
        <v>73</v>
      </c>
      <c r="AK109" s="67">
        <v>279</v>
      </c>
      <c r="AL109" s="67">
        <v>6738</v>
      </c>
      <c r="AM109" s="67">
        <v>925</v>
      </c>
      <c r="AN109" s="67">
        <v>808</v>
      </c>
      <c r="AO109" s="67">
        <v>5005</v>
      </c>
      <c r="AP109" s="67">
        <v>3274</v>
      </c>
      <c r="AQ109" s="67">
        <v>341</v>
      </c>
      <c r="AR109" s="67">
        <v>232</v>
      </c>
      <c r="AS109" s="67">
        <v>2701</v>
      </c>
      <c r="AT109" s="67">
        <v>2245</v>
      </c>
      <c r="AU109" s="67">
        <v>261</v>
      </c>
      <c r="AV109" s="67">
        <v>251</v>
      </c>
      <c r="AW109" s="67">
        <v>1733</v>
      </c>
      <c r="AX109" s="67">
        <v>778</v>
      </c>
      <c r="AY109" s="67">
        <v>273</v>
      </c>
      <c r="AZ109" s="67">
        <v>284</v>
      </c>
      <c r="BA109" s="67">
        <v>221</v>
      </c>
      <c r="BB109" s="67">
        <v>37</v>
      </c>
      <c r="BC109" s="67">
        <v>18</v>
      </c>
      <c r="BD109" s="67">
        <v>11</v>
      </c>
      <c r="BE109" s="67">
        <v>8</v>
      </c>
      <c r="BF109" s="67">
        <v>404</v>
      </c>
      <c r="BG109" s="67">
        <v>32</v>
      </c>
      <c r="BH109" s="67">
        <v>30</v>
      </c>
      <c r="BI109" s="67">
        <v>342</v>
      </c>
    </row>
    <row r="110" spans="1:61" ht="15.75" hidden="1" customHeight="1">
      <c r="A110" s="345" t="s">
        <v>10</v>
      </c>
      <c r="B110" s="65" t="s">
        <v>224</v>
      </c>
      <c r="C110" s="68">
        <v>56</v>
      </c>
      <c r="D110" s="68">
        <v>8</v>
      </c>
      <c r="E110" s="68">
        <v>48</v>
      </c>
      <c r="F110" s="68">
        <v>30</v>
      </c>
      <c r="G110" s="68">
        <v>18</v>
      </c>
      <c r="H110" s="68"/>
      <c r="I110" s="68"/>
      <c r="J110" s="68"/>
      <c r="K110" s="68"/>
      <c r="L110" s="68"/>
      <c r="M110" s="68"/>
      <c r="N110" s="68">
        <v>1145</v>
      </c>
      <c r="O110" s="68">
        <v>249</v>
      </c>
      <c r="P110" s="68">
        <v>191</v>
      </c>
      <c r="Q110" s="68">
        <v>705</v>
      </c>
      <c r="R110" s="68">
        <v>299</v>
      </c>
      <c r="S110" s="68">
        <v>28</v>
      </c>
      <c r="T110" s="68">
        <v>6</v>
      </c>
      <c r="U110" s="68">
        <v>265</v>
      </c>
      <c r="V110" s="68">
        <v>388</v>
      </c>
      <c r="W110" s="68">
        <v>64</v>
      </c>
      <c r="X110" s="68">
        <v>56</v>
      </c>
      <c r="Y110" s="68">
        <v>268</v>
      </c>
      <c r="Z110" s="68">
        <v>242</v>
      </c>
      <c r="AA110" s="68">
        <v>94</v>
      </c>
      <c r="AB110" s="68">
        <v>91</v>
      </c>
      <c r="AC110" s="68">
        <v>57</v>
      </c>
      <c r="AD110" s="68">
        <v>9</v>
      </c>
      <c r="AE110" s="68">
        <v>0</v>
      </c>
      <c r="AF110" s="68">
        <v>7</v>
      </c>
      <c r="AG110" s="68">
        <v>2</v>
      </c>
      <c r="AH110" s="68">
        <v>207</v>
      </c>
      <c r="AI110" s="68">
        <v>63</v>
      </c>
      <c r="AJ110" s="68">
        <v>31</v>
      </c>
      <c r="AK110" s="68">
        <v>113</v>
      </c>
      <c r="AL110" s="68">
        <v>3150</v>
      </c>
      <c r="AM110" s="68">
        <v>579</v>
      </c>
      <c r="AN110" s="68">
        <v>448</v>
      </c>
      <c r="AO110" s="68">
        <v>2123</v>
      </c>
      <c r="AP110" s="68">
        <v>1395</v>
      </c>
      <c r="AQ110" s="68">
        <v>199</v>
      </c>
      <c r="AR110" s="68">
        <v>125</v>
      </c>
      <c r="AS110" s="68">
        <v>1071</v>
      </c>
      <c r="AT110" s="68">
        <v>1095</v>
      </c>
      <c r="AU110" s="68">
        <v>162</v>
      </c>
      <c r="AV110" s="68">
        <v>138</v>
      </c>
      <c r="AW110" s="68">
        <v>795</v>
      </c>
      <c r="AX110" s="68">
        <v>473</v>
      </c>
      <c r="AY110" s="68">
        <v>193</v>
      </c>
      <c r="AZ110" s="68">
        <v>163</v>
      </c>
      <c r="BA110" s="68">
        <v>117</v>
      </c>
      <c r="BB110" s="68">
        <v>26</v>
      </c>
      <c r="BC110" s="68">
        <v>14</v>
      </c>
      <c r="BD110" s="68">
        <v>9</v>
      </c>
      <c r="BE110" s="68">
        <v>3</v>
      </c>
      <c r="BF110" s="68">
        <v>161</v>
      </c>
      <c r="BG110" s="68">
        <v>11</v>
      </c>
      <c r="BH110" s="68">
        <v>13</v>
      </c>
      <c r="BI110" s="68">
        <v>137</v>
      </c>
    </row>
    <row r="111" spans="1:61" ht="15.75" hidden="1" customHeight="1">
      <c r="A111" s="346"/>
      <c r="B111" s="65" t="s">
        <v>225</v>
      </c>
      <c r="C111" s="68">
        <v>452</v>
      </c>
      <c r="D111" s="68">
        <v>45</v>
      </c>
      <c r="E111" s="68">
        <v>407</v>
      </c>
      <c r="F111" s="68">
        <v>257</v>
      </c>
      <c r="G111" s="68">
        <v>150</v>
      </c>
      <c r="H111" s="68"/>
      <c r="I111" s="68"/>
      <c r="J111" s="68"/>
      <c r="K111" s="68"/>
      <c r="L111" s="68"/>
      <c r="M111" s="68"/>
      <c r="N111" s="68">
        <v>1378</v>
      </c>
      <c r="O111" s="68">
        <v>162</v>
      </c>
      <c r="P111" s="68">
        <v>166</v>
      </c>
      <c r="Q111" s="68">
        <v>1050</v>
      </c>
      <c r="R111" s="68">
        <v>588</v>
      </c>
      <c r="S111" s="68">
        <v>46</v>
      </c>
      <c r="T111" s="68">
        <v>11</v>
      </c>
      <c r="U111" s="68">
        <v>531</v>
      </c>
      <c r="V111" s="68">
        <v>376</v>
      </c>
      <c r="W111" s="68">
        <v>35</v>
      </c>
      <c r="X111" s="68">
        <v>43</v>
      </c>
      <c r="Y111" s="68">
        <v>298</v>
      </c>
      <c r="Z111" s="68">
        <v>163</v>
      </c>
      <c r="AA111" s="68">
        <v>42</v>
      </c>
      <c r="AB111" s="68">
        <v>69</v>
      </c>
      <c r="AC111" s="68">
        <v>52</v>
      </c>
      <c r="AD111" s="68">
        <v>4</v>
      </c>
      <c r="AE111" s="68">
        <v>0</v>
      </c>
      <c r="AF111" s="68">
        <v>1</v>
      </c>
      <c r="AG111" s="68">
        <v>3</v>
      </c>
      <c r="AH111" s="68">
        <v>247</v>
      </c>
      <c r="AI111" s="68">
        <v>39</v>
      </c>
      <c r="AJ111" s="68">
        <v>42</v>
      </c>
      <c r="AK111" s="68">
        <v>166</v>
      </c>
      <c r="AL111" s="68">
        <v>3588</v>
      </c>
      <c r="AM111" s="68">
        <v>346</v>
      </c>
      <c r="AN111" s="68">
        <v>360</v>
      </c>
      <c r="AO111" s="68">
        <v>2882</v>
      </c>
      <c r="AP111" s="68">
        <v>1879</v>
      </c>
      <c r="AQ111" s="68">
        <v>142</v>
      </c>
      <c r="AR111" s="68">
        <v>107</v>
      </c>
      <c r="AS111" s="68">
        <v>1630</v>
      </c>
      <c r="AT111" s="68">
        <v>1150</v>
      </c>
      <c r="AU111" s="68">
        <v>99</v>
      </c>
      <c r="AV111" s="68">
        <v>113</v>
      </c>
      <c r="AW111" s="68">
        <v>938</v>
      </c>
      <c r="AX111" s="68">
        <v>305</v>
      </c>
      <c r="AY111" s="68">
        <v>80</v>
      </c>
      <c r="AZ111" s="68">
        <v>121</v>
      </c>
      <c r="BA111" s="68">
        <v>104</v>
      </c>
      <c r="BB111" s="68">
        <v>11</v>
      </c>
      <c r="BC111" s="68">
        <v>4</v>
      </c>
      <c r="BD111" s="68">
        <v>2</v>
      </c>
      <c r="BE111" s="68">
        <v>5</v>
      </c>
      <c r="BF111" s="68">
        <v>243</v>
      </c>
      <c r="BG111" s="68">
        <v>21</v>
      </c>
      <c r="BH111" s="68">
        <v>17</v>
      </c>
      <c r="BI111" s="68">
        <v>205</v>
      </c>
    </row>
    <row r="112" spans="1:61" ht="15.75" hidden="1" customHeight="1">
      <c r="A112" s="63" t="s">
        <v>210</v>
      </c>
      <c r="B112" s="64" t="s">
        <v>223</v>
      </c>
      <c r="C112" s="67">
        <v>1589</v>
      </c>
      <c r="D112" s="67">
        <v>131</v>
      </c>
      <c r="E112" s="67">
        <v>1458</v>
      </c>
      <c r="F112" s="67">
        <v>939</v>
      </c>
      <c r="G112" s="67">
        <v>519</v>
      </c>
      <c r="H112" s="67">
        <v>185</v>
      </c>
      <c r="I112" s="67">
        <v>2075</v>
      </c>
      <c r="J112" s="67">
        <v>102</v>
      </c>
      <c r="K112" s="67">
        <v>155</v>
      </c>
      <c r="L112" s="67">
        <v>83</v>
      </c>
      <c r="M112" s="67">
        <v>1920</v>
      </c>
      <c r="N112" s="67">
        <v>7589</v>
      </c>
      <c r="O112" s="67">
        <v>1341</v>
      </c>
      <c r="P112" s="67">
        <v>847</v>
      </c>
      <c r="Q112" s="67">
        <v>5401</v>
      </c>
      <c r="R112" s="67">
        <v>3402</v>
      </c>
      <c r="S112" s="67">
        <v>340</v>
      </c>
      <c r="T112" s="67">
        <v>72</v>
      </c>
      <c r="U112" s="67">
        <v>2990</v>
      </c>
      <c r="V112" s="67">
        <v>2057</v>
      </c>
      <c r="W112" s="67">
        <v>279</v>
      </c>
      <c r="X112" s="67">
        <v>230</v>
      </c>
      <c r="Y112" s="67">
        <v>1548</v>
      </c>
      <c r="Z112" s="67">
        <v>1238</v>
      </c>
      <c r="AA112" s="67">
        <v>485</v>
      </c>
      <c r="AB112" s="67">
        <v>415</v>
      </c>
      <c r="AC112" s="67">
        <v>338</v>
      </c>
      <c r="AD112" s="67">
        <v>2</v>
      </c>
      <c r="AE112" s="67">
        <v>1</v>
      </c>
      <c r="AF112" s="67">
        <v>0</v>
      </c>
      <c r="AG112" s="67">
        <v>1</v>
      </c>
      <c r="AH112" s="67">
        <v>890</v>
      </c>
      <c r="AI112" s="67">
        <v>236</v>
      </c>
      <c r="AJ112" s="67">
        <v>130</v>
      </c>
      <c r="AK112" s="67">
        <v>524</v>
      </c>
      <c r="AL112" s="67">
        <v>14678</v>
      </c>
      <c r="AM112" s="67">
        <v>1434</v>
      </c>
      <c r="AN112" s="67">
        <v>1554</v>
      </c>
      <c r="AO112" s="67">
        <v>11690</v>
      </c>
      <c r="AP112" s="67">
        <v>8704</v>
      </c>
      <c r="AQ112" s="67">
        <v>754</v>
      </c>
      <c r="AR112" s="67">
        <v>475</v>
      </c>
      <c r="AS112" s="67">
        <v>7475</v>
      </c>
      <c r="AT112" s="67">
        <v>3400</v>
      </c>
      <c r="AU112" s="67">
        <v>340</v>
      </c>
      <c r="AV112" s="67">
        <v>372</v>
      </c>
      <c r="AW112" s="67">
        <v>2688</v>
      </c>
      <c r="AX112" s="67">
        <v>1361</v>
      </c>
      <c r="AY112" s="67">
        <v>225</v>
      </c>
      <c r="AZ112" s="67">
        <v>622</v>
      </c>
      <c r="BA112" s="67">
        <v>514</v>
      </c>
      <c r="BB112" s="67">
        <v>4</v>
      </c>
      <c r="BC112" s="67">
        <v>2</v>
      </c>
      <c r="BD112" s="67">
        <v>1</v>
      </c>
      <c r="BE112" s="67">
        <v>1</v>
      </c>
      <c r="BF112" s="67">
        <v>1209</v>
      </c>
      <c r="BG112" s="67">
        <v>113</v>
      </c>
      <c r="BH112" s="67">
        <v>84</v>
      </c>
      <c r="BI112" s="67">
        <v>1012</v>
      </c>
    </row>
    <row r="113" spans="1:61" ht="15.75" hidden="1" customHeight="1">
      <c r="A113" s="345" t="s">
        <v>11</v>
      </c>
      <c r="B113" s="65" t="s">
        <v>224</v>
      </c>
      <c r="C113" s="68">
        <v>199</v>
      </c>
      <c r="D113" s="68">
        <v>24</v>
      </c>
      <c r="E113" s="68">
        <v>175</v>
      </c>
      <c r="F113" s="68">
        <v>105</v>
      </c>
      <c r="G113" s="68">
        <v>70</v>
      </c>
      <c r="H113" s="68"/>
      <c r="I113" s="68"/>
      <c r="J113" s="68"/>
      <c r="K113" s="68"/>
      <c r="L113" s="68"/>
      <c r="M113" s="68"/>
      <c r="N113" s="68">
        <v>3001</v>
      </c>
      <c r="O113" s="68">
        <v>718</v>
      </c>
      <c r="P113" s="68">
        <v>389</v>
      </c>
      <c r="Q113" s="68">
        <v>1894</v>
      </c>
      <c r="R113" s="68">
        <v>982</v>
      </c>
      <c r="S113" s="68">
        <v>127</v>
      </c>
      <c r="T113" s="68">
        <v>13</v>
      </c>
      <c r="U113" s="68">
        <v>842</v>
      </c>
      <c r="V113" s="68">
        <v>933</v>
      </c>
      <c r="W113" s="68">
        <v>145</v>
      </c>
      <c r="X113" s="68">
        <v>105</v>
      </c>
      <c r="Y113" s="68">
        <v>683</v>
      </c>
      <c r="Z113" s="68">
        <v>722</v>
      </c>
      <c r="AA113" s="68">
        <v>316</v>
      </c>
      <c r="AB113" s="68">
        <v>219</v>
      </c>
      <c r="AC113" s="68">
        <v>187</v>
      </c>
      <c r="AD113" s="68">
        <v>1</v>
      </c>
      <c r="AE113" s="68">
        <v>0</v>
      </c>
      <c r="AF113" s="68">
        <v>0</v>
      </c>
      <c r="AG113" s="68">
        <v>1</v>
      </c>
      <c r="AH113" s="68">
        <v>363</v>
      </c>
      <c r="AI113" s="68">
        <v>130</v>
      </c>
      <c r="AJ113" s="68">
        <v>52</v>
      </c>
      <c r="AK113" s="68">
        <v>181</v>
      </c>
      <c r="AL113" s="68">
        <v>5853</v>
      </c>
      <c r="AM113" s="68">
        <v>636</v>
      </c>
      <c r="AN113" s="68">
        <v>695</v>
      </c>
      <c r="AO113" s="68">
        <v>4522</v>
      </c>
      <c r="AP113" s="68">
        <v>3138</v>
      </c>
      <c r="AQ113" s="68">
        <v>292</v>
      </c>
      <c r="AR113" s="68">
        <v>188</v>
      </c>
      <c r="AS113" s="68">
        <v>2658</v>
      </c>
      <c r="AT113" s="68">
        <v>1544</v>
      </c>
      <c r="AU113" s="68">
        <v>158</v>
      </c>
      <c r="AV113" s="68">
        <v>169</v>
      </c>
      <c r="AW113" s="68">
        <v>1217</v>
      </c>
      <c r="AX113" s="68">
        <v>718</v>
      </c>
      <c r="AY113" s="68">
        <v>133</v>
      </c>
      <c r="AZ113" s="68">
        <v>308</v>
      </c>
      <c r="BA113" s="68">
        <v>277</v>
      </c>
      <c r="BB113" s="68">
        <v>3</v>
      </c>
      <c r="BC113" s="68">
        <v>1</v>
      </c>
      <c r="BD113" s="68">
        <v>1</v>
      </c>
      <c r="BE113" s="68">
        <v>1</v>
      </c>
      <c r="BF113" s="68">
        <v>450</v>
      </c>
      <c r="BG113" s="68">
        <v>52</v>
      </c>
      <c r="BH113" s="68">
        <v>29</v>
      </c>
      <c r="BI113" s="68">
        <v>369</v>
      </c>
    </row>
    <row r="114" spans="1:61" ht="15.75" hidden="1" customHeight="1">
      <c r="A114" s="346"/>
      <c r="B114" s="65" t="s">
        <v>225</v>
      </c>
      <c r="C114" s="68">
        <v>1390</v>
      </c>
      <c r="D114" s="68">
        <v>107</v>
      </c>
      <c r="E114" s="68">
        <v>1283</v>
      </c>
      <c r="F114" s="68">
        <v>834</v>
      </c>
      <c r="G114" s="68">
        <v>449</v>
      </c>
      <c r="H114" s="68"/>
      <c r="I114" s="68"/>
      <c r="J114" s="68"/>
      <c r="K114" s="68"/>
      <c r="L114" s="68"/>
      <c r="M114" s="68"/>
      <c r="N114" s="68">
        <v>4588</v>
      </c>
      <c r="O114" s="68">
        <v>623</v>
      </c>
      <c r="P114" s="68">
        <v>458</v>
      </c>
      <c r="Q114" s="68">
        <v>3507</v>
      </c>
      <c r="R114" s="68">
        <v>2420</v>
      </c>
      <c r="S114" s="68">
        <v>213</v>
      </c>
      <c r="T114" s="68">
        <v>59</v>
      </c>
      <c r="U114" s="68">
        <v>2148</v>
      </c>
      <c r="V114" s="68">
        <v>1124</v>
      </c>
      <c r="W114" s="68">
        <v>134</v>
      </c>
      <c r="X114" s="68">
        <v>125</v>
      </c>
      <c r="Y114" s="68">
        <v>865</v>
      </c>
      <c r="Z114" s="68">
        <v>516</v>
      </c>
      <c r="AA114" s="68">
        <v>169</v>
      </c>
      <c r="AB114" s="68">
        <v>196</v>
      </c>
      <c r="AC114" s="68">
        <v>151</v>
      </c>
      <c r="AD114" s="68">
        <v>1</v>
      </c>
      <c r="AE114" s="68">
        <v>1</v>
      </c>
      <c r="AF114" s="68">
        <v>0</v>
      </c>
      <c r="AG114" s="68">
        <v>0</v>
      </c>
      <c r="AH114" s="68">
        <v>527</v>
      </c>
      <c r="AI114" s="68">
        <v>106</v>
      </c>
      <c r="AJ114" s="68">
        <v>78</v>
      </c>
      <c r="AK114" s="68">
        <v>343</v>
      </c>
      <c r="AL114" s="68">
        <v>8825</v>
      </c>
      <c r="AM114" s="68">
        <v>798</v>
      </c>
      <c r="AN114" s="68">
        <v>859</v>
      </c>
      <c r="AO114" s="68">
        <v>7168</v>
      </c>
      <c r="AP114" s="68">
        <v>5566</v>
      </c>
      <c r="AQ114" s="68">
        <v>462</v>
      </c>
      <c r="AR114" s="68">
        <v>287</v>
      </c>
      <c r="AS114" s="68">
        <v>4817</v>
      </c>
      <c r="AT114" s="68">
        <v>1856</v>
      </c>
      <c r="AU114" s="68">
        <v>182</v>
      </c>
      <c r="AV114" s="68">
        <v>203</v>
      </c>
      <c r="AW114" s="68">
        <v>1471</v>
      </c>
      <c r="AX114" s="68">
        <v>643</v>
      </c>
      <c r="AY114" s="68">
        <v>92</v>
      </c>
      <c r="AZ114" s="68">
        <v>314</v>
      </c>
      <c r="BA114" s="68">
        <v>237</v>
      </c>
      <c r="BB114" s="68">
        <v>1</v>
      </c>
      <c r="BC114" s="68">
        <v>1</v>
      </c>
      <c r="BD114" s="68">
        <v>0</v>
      </c>
      <c r="BE114" s="68">
        <v>0</v>
      </c>
      <c r="BF114" s="68">
        <v>759</v>
      </c>
      <c r="BG114" s="68">
        <v>61</v>
      </c>
      <c r="BH114" s="68">
        <v>55</v>
      </c>
      <c r="BI114" s="68">
        <v>643</v>
      </c>
    </row>
    <row r="115" spans="1:61" ht="15.75" hidden="1" customHeight="1">
      <c r="A115" s="63" t="s">
        <v>211</v>
      </c>
      <c r="B115" s="64" t="s">
        <v>223</v>
      </c>
      <c r="C115" s="67">
        <v>1078</v>
      </c>
      <c r="D115" s="67">
        <v>117</v>
      </c>
      <c r="E115" s="67">
        <v>961</v>
      </c>
      <c r="F115" s="67">
        <v>651</v>
      </c>
      <c r="G115" s="67">
        <v>310</v>
      </c>
      <c r="H115" s="67">
        <v>178</v>
      </c>
      <c r="I115" s="67">
        <v>744</v>
      </c>
      <c r="J115" s="67">
        <v>37</v>
      </c>
      <c r="K115" s="67">
        <v>64</v>
      </c>
      <c r="L115" s="67">
        <v>141</v>
      </c>
      <c r="M115" s="67">
        <v>680</v>
      </c>
      <c r="N115" s="67">
        <v>4873</v>
      </c>
      <c r="O115" s="67">
        <v>872</v>
      </c>
      <c r="P115" s="67">
        <v>624</v>
      </c>
      <c r="Q115" s="67">
        <v>3377</v>
      </c>
      <c r="R115" s="67">
        <v>2116</v>
      </c>
      <c r="S115" s="67">
        <v>251</v>
      </c>
      <c r="T115" s="67">
        <v>79</v>
      </c>
      <c r="U115" s="67">
        <v>1786</v>
      </c>
      <c r="V115" s="67">
        <v>1422</v>
      </c>
      <c r="W115" s="67">
        <v>247</v>
      </c>
      <c r="X115" s="67">
        <v>151</v>
      </c>
      <c r="Y115" s="67">
        <v>1024</v>
      </c>
      <c r="Z115" s="67">
        <v>674</v>
      </c>
      <c r="AA115" s="67">
        <v>219</v>
      </c>
      <c r="AB115" s="67">
        <v>275</v>
      </c>
      <c r="AC115" s="67">
        <v>180</v>
      </c>
      <c r="AD115" s="67">
        <v>64</v>
      </c>
      <c r="AE115" s="67">
        <v>21</v>
      </c>
      <c r="AF115" s="67">
        <v>28</v>
      </c>
      <c r="AG115" s="67">
        <v>15</v>
      </c>
      <c r="AH115" s="67">
        <v>597</v>
      </c>
      <c r="AI115" s="67">
        <v>134</v>
      </c>
      <c r="AJ115" s="67">
        <v>91</v>
      </c>
      <c r="AK115" s="67">
        <v>372</v>
      </c>
      <c r="AL115" s="67">
        <v>9820</v>
      </c>
      <c r="AM115" s="67">
        <v>1510</v>
      </c>
      <c r="AN115" s="67">
        <v>842</v>
      </c>
      <c r="AO115" s="67">
        <v>7468</v>
      </c>
      <c r="AP115" s="67">
        <v>4493</v>
      </c>
      <c r="AQ115" s="67">
        <v>518</v>
      </c>
      <c r="AR115" s="67">
        <v>159</v>
      </c>
      <c r="AS115" s="67">
        <v>3816</v>
      </c>
      <c r="AT115" s="67">
        <v>3293</v>
      </c>
      <c r="AU115" s="67">
        <v>564</v>
      </c>
      <c r="AV115" s="67">
        <v>334</v>
      </c>
      <c r="AW115" s="67">
        <v>2395</v>
      </c>
      <c r="AX115" s="67">
        <v>160</v>
      </c>
      <c r="AY115" s="67">
        <v>44</v>
      </c>
      <c r="AZ115" s="67">
        <v>64</v>
      </c>
      <c r="BA115" s="67">
        <v>52</v>
      </c>
      <c r="BB115" s="67">
        <v>1277</v>
      </c>
      <c r="BC115" s="67">
        <v>249</v>
      </c>
      <c r="BD115" s="67">
        <v>193</v>
      </c>
      <c r="BE115" s="67">
        <v>835</v>
      </c>
      <c r="BF115" s="67">
        <v>597</v>
      </c>
      <c r="BG115" s="67">
        <v>135</v>
      </c>
      <c r="BH115" s="67">
        <v>92</v>
      </c>
      <c r="BI115" s="67">
        <v>370</v>
      </c>
    </row>
    <row r="116" spans="1:61" ht="15.75" hidden="1" customHeight="1">
      <c r="A116" s="345" t="s">
        <v>12</v>
      </c>
      <c r="B116" s="65" t="s">
        <v>224</v>
      </c>
      <c r="C116" s="68">
        <v>74</v>
      </c>
      <c r="D116" s="68">
        <v>14</v>
      </c>
      <c r="E116" s="68">
        <v>60</v>
      </c>
      <c r="F116" s="68">
        <v>41</v>
      </c>
      <c r="G116" s="68">
        <v>19</v>
      </c>
      <c r="H116" s="68"/>
      <c r="I116" s="68"/>
      <c r="J116" s="68"/>
      <c r="K116" s="68"/>
      <c r="L116" s="68"/>
      <c r="M116" s="68"/>
      <c r="N116" s="68">
        <v>1964</v>
      </c>
      <c r="O116" s="68">
        <v>483</v>
      </c>
      <c r="P116" s="68">
        <v>307</v>
      </c>
      <c r="Q116" s="68">
        <v>1174</v>
      </c>
      <c r="R116" s="68">
        <v>654</v>
      </c>
      <c r="S116" s="68">
        <v>107</v>
      </c>
      <c r="T116" s="68">
        <v>20</v>
      </c>
      <c r="U116" s="68">
        <v>527</v>
      </c>
      <c r="V116" s="68">
        <v>626</v>
      </c>
      <c r="W116" s="68">
        <v>134</v>
      </c>
      <c r="X116" s="68">
        <v>73</v>
      </c>
      <c r="Y116" s="68">
        <v>419</v>
      </c>
      <c r="Z116" s="68">
        <v>408</v>
      </c>
      <c r="AA116" s="68">
        <v>149</v>
      </c>
      <c r="AB116" s="68">
        <v>171</v>
      </c>
      <c r="AC116" s="68">
        <v>88</v>
      </c>
      <c r="AD116" s="68">
        <v>39</v>
      </c>
      <c r="AE116" s="68">
        <v>18</v>
      </c>
      <c r="AF116" s="68">
        <v>14</v>
      </c>
      <c r="AG116" s="68">
        <v>7</v>
      </c>
      <c r="AH116" s="68">
        <v>237</v>
      </c>
      <c r="AI116" s="68">
        <v>75</v>
      </c>
      <c r="AJ116" s="68">
        <v>29</v>
      </c>
      <c r="AK116" s="68">
        <v>133</v>
      </c>
      <c r="AL116" s="68">
        <v>3678</v>
      </c>
      <c r="AM116" s="68">
        <v>782</v>
      </c>
      <c r="AN116" s="68">
        <v>328</v>
      </c>
      <c r="AO116" s="68">
        <v>2568</v>
      </c>
      <c r="AP116" s="68">
        <v>1410</v>
      </c>
      <c r="AQ116" s="68">
        <v>225</v>
      </c>
      <c r="AR116" s="68">
        <v>42</v>
      </c>
      <c r="AS116" s="68">
        <v>1143</v>
      </c>
      <c r="AT116" s="68">
        <v>1432</v>
      </c>
      <c r="AU116" s="68">
        <v>310</v>
      </c>
      <c r="AV116" s="68">
        <v>156</v>
      </c>
      <c r="AW116" s="68">
        <v>966</v>
      </c>
      <c r="AX116" s="68">
        <v>100</v>
      </c>
      <c r="AY116" s="68">
        <v>39</v>
      </c>
      <c r="AZ116" s="68">
        <v>32</v>
      </c>
      <c r="BA116" s="68">
        <v>29</v>
      </c>
      <c r="BB116" s="68">
        <v>499</v>
      </c>
      <c r="BC116" s="68">
        <v>133</v>
      </c>
      <c r="BD116" s="68">
        <v>68</v>
      </c>
      <c r="BE116" s="68">
        <v>298</v>
      </c>
      <c r="BF116" s="68">
        <v>237</v>
      </c>
      <c r="BG116" s="68">
        <v>75</v>
      </c>
      <c r="BH116" s="68">
        <v>30</v>
      </c>
      <c r="BI116" s="68">
        <v>132</v>
      </c>
    </row>
    <row r="117" spans="1:61" ht="15.75" hidden="1" customHeight="1">
      <c r="A117" s="346"/>
      <c r="B117" s="65" t="s">
        <v>225</v>
      </c>
      <c r="C117" s="68">
        <v>1004</v>
      </c>
      <c r="D117" s="68">
        <v>103</v>
      </c>
      <c r="E117" s="68">
        <v>901</v>
      </c>
      <c r="F117" s="68">
        <v>610</v>
      </c>
      <c r="G117" s="68">
        <v>291</v>
      </c>
      <c r="H117" s="68"/>
      <c r="I117" s="68"/>
      <c r="J117" s="68"/>
      <c r="K117" s="68"/>
      <c r="L117" s="68"/>
      <c r="M117" s="68"/>
      <c r="N117" s="68">
        <v>2909</v>
      </c>
      <c r="O117" s="68">
        <v>389</v>
      </c>
      <c r="P117" s="68">
        <v>317</v>
      </c>
      <c r="Q117" s="68">
        <v>2203</v>
      </c>
      <c r="R117" s="68">
        <v>1462</v>
      </c>
      <c r="S117" s="68">
        <v>144</v>
      </c>
      <c r="T117" s="68">
        <v>59</v>
      </c>
      <c r="U117" s="68">
        <v>1259</v>
      </c>
      <c r="V117" s="68">
        <v>796</v>
      </c>
      <c r="W117" s="68">
        <v>113</v>
      </c>
      <c r="X117" s="68">
        <v>78</v>
      </c>
      <c r="Y117" s="68">
        <v>605</v>
      </c>
      <c r="Z117" s="68">
        <v>266</v>
      </c>
      <c r="AA117" s="68">
        <v>70</v>
      </c>
      <c r="AB117" s="68">
        <v>104</v>
      </c>
      <c r="AC117" s="68">
        <v>92</v>
      </c>
      <c r="AD117" s="68">
        <v>25</v>
      </c>
      <c r="AE117" s="68">
        <v>3</v>
      </c>
      <c r="AF117" s="68">
        <v>14</v>
      </c>
      <c r="AG117" s="68">
        <v>8</v>
      </c>
      <c r="AH117" s="68">
        <v>360</v>
      </c>
      <c r="AI117" s="68">
        <v>59</v>
      </c>
      <c r="AJ117" s="68">
        <v>62</v>
      </c>
      <c r="AK117" s="68">
        <v>239</v>
      </c>
      <c r="AL117" s="68">
        <v>6142</v>
      </c>
      <c r="AM117" s="68">
        <v>728</v>
      </c>
      <c r="AN117" s="68">
        <v>514</v>
      </c>
      <c r="AO117" s="68">
        <v>4900</v>
      </c>
      <c r="AP117" s="68">
        <v>3083</v>
      </c>
      <c r="AQ117" s="68">
        <v>293</v>
      </c>
      <c r="AR117" s="68">
        <v>117</v>
      </c>
      <c r="AS117" s="68">
        <v>2673</v>
      </c>
      <c r="AT117" s="68">
        <v>1861</v>
      </c>
      <c r="AU117" s="68">
        <v>254</v>
      </c>
      <c r="AV117" s="68">
        <v>178</v>
      </c>
      <c r="AW117" s="68">
        <v>1429</v>
      </c>
      <c r="AX117" s="68">
        <v>60</v>
      </c>
      <c r="AY117" s="68">
        <v>5</v>
      </c>
      <c r="AZ117" s="68">
        <v>32</v>
      </c>
      <c r="BA117" s="68">
        <v>23</v>
      </c>
      <c r="BB117" s="68">
        <v>778</v>
      </c>
      <c r="BC117" s="68">
        <v>116</v>
      </c>
      <c r="BD117" s="68">
        <v>125</v>
      </c>
      <c r="BE117" s="68">
        <v>537</v>
      </c>
      <c r="BF117" s="68">
        <v>360</v>
      </c>
      <c r="BG117" s="68">
        <v>60</v>
      </c>
      <c r="BH117" s="68">
        <v>62</v>
      </c>
      <c r="BI117" s="68">
        <v>238</v>
      </c>
    </row>
    <row r="118" spans="1:61" ht="15.75" hidden="1" customHeight="1">
      <c r="A118" s="63" t="s">
        <v>212</v>
      </c>
      <c r="B118" s="64" t="s">
        <v>223</v>
      </c>
      <c r="C118" s="67">
        <v>457</v>
      </c>
      <c r="D118" s="67">
        <v>61</v>
      </c>
      <c r="E118" s="67">
        <v>396</v>
      </c>
      <c r="F118" s="67">
        <v>367</v>
      </c>
      <c r="G118" s="67">
        <v>29</v>
      </c>
      <c r="H118" s="67">
        <v>58</v>
      </c>
      <c r="I118" s="67">
        <v>860</v>
      </c>
      <c r="J118" s="67">
        <v>12</v>
      </c>
      <c r="K118" s="67">
        <v>60</v>
      </c>
      <c r="L118" s="67">
        <v>46</v>
      </c>
      <c r="M118" s="67">
        <v>800</v>
      </c>
      <c r="N118" s="67">
        <v>4286</v>
      </c>
      <c r="O118" s="67">
        <v>795</v>
      </c>
      <c r="P118" s="67">
        <v>401</v>
      </c>
      <c r="Q118" s="67">
        <v>3090</v>
      </c>
      <c r="R118" s="67">
        <v>1768</v>
      </c>
      <c r="S118" s="67">
        <v>187</v>
      </c>
      <c r="T118" s="67">
        <v>20</v>
      </c>
      <c r="U118" s="67">
        <v>1561</v>
      </c>
      <c r="V118" s="67">
        <v>1344</v>
      </c>
      <c r="W118" s="67">
        <v>236</v>
      </c>
      <c r="X118" s="67">
        <v>81</v>
      </c>
      <c r="Y118" s="67">
        <v>1027</v>
      </c>
      <c r="Z118" s="67">
        <v>615</v>
      </c>
      <c r="AA118" s="67">
        <v>241</v>
      </c>
      <c r="AB118" s="67">
        <v>240</v>
      </c>
      <c r="AC118" s="67">
        <v>134</v>
      </c>
      <c r="AD118" s="67">
        <v>0</v>
      </c>
      <c r="AE118" s="67">
        <v>0</v>
      </c>
      <c r="AF118" s="67">
        <v>0</v>
      </c>
      <c r="AG118" s="67">
        <v>0</v>
      </c>
      <c r="AH118" s="67">
        <v>559</v>
      </c>
      <c r="AI118" s="67">
        <v>131</v>
      </c>
      <c r="AJ118" s="67">
        <v>60</v>
      </c>
      <c r="AK118" s="67">
        <v>368</v>
      </c>
      <c r="AL118" s="67">
        <v>5310</v>
      </c>
      <c r="AM118" s="67">
        <v>936</v>
      </c>
      <c r="AN118" s="67">
        <v>476</v>
      </c>
      <c r="AO118" s="67">
        <v>3898</v>
      </c>
      <c r="AP118" s="67">
        <v>2174</v>
      </c>
      <c r="AQ118" s="67">
        <v>226</v>
      </c>
      <c r="AR118" s="67">
        <v>23</v>
      </c>
      <c r="AS118" s="67">
        <v>1925</v>
      </c>
      <c r="AT118" s="67">
        <v>1683</v>
      </c>
      <c r="AU118" s="67">
        <v>276</v>
      </c>
      <c r="AV118" s="67">
        <v>98</v>
      </c>
      <c r="AW118" s="67">
        <v>1309</v>
      </c>
      <c r="AX118" s="67">
        <v>712</v>
      </c>
      <c r="AY118" s="67">
        <v>268</v>
      </c>
      <c r="AZ118" s="67">
        <v>278</v>
      </c>
      <c r="BA118" s="67">
        <v>166</v>
      </c>
      <c r="BB118" s="67">
        <v>2</v>
      </c>
      <c r="BC118" s="67">
        <v>0</v>
      </c>
      <c r="BD118" s="67">
        <v>0</v>
      </c>
      <c r="BE118" s="67">
        <v>2</v>
      </c>
      <c r="BF118" s="67">
        <v>739</v>
      </c>
      <c r="BG118" s="67">
        <v>166</v>
      </c>
      <c r="BH118" s="67">
        <v>77</v>
      </c>
      <c r="BI118" s="67">
        <v>496</v>
      </c>
    </row>
    <row r="119" spans="1:61" ht="15.75" hidden="1" customHeight="1">
      <c r="A119" s="345" t="s">
        <v>13</v>
      </c>
      <c r="B119" s="65" t="s">
        <v>224</v>
      </c>
      <c r="C119" s="68">
        <v>41</v>
      </c>
      <c r="D119" s="68">
        <v>5</v>
      </c>
      <c r="E119" s="68">
        <v>36</v>
      </c>
      <c r="F119" s="68">
        <v>32</v>
      </c>
      <c r="G119" s="68">
        <v>4</v>
      </c>
      <c r="H119" s="68"/>
      <c r="I119" s="68"/>
      <c r="J119" s="68"/>
      <c r="K119" s="68"/>
      <c r="L119" s="68"/>
      <c r="M119" s="68"/>
      <c r="N119" s="68">
        <v>1716</v>
      </c>
      <c r="O119" s="68">
        <v>448</v>
      </c>
      <c r="P119" s="68">
        <v>204</v>
      </c>
      <c r="Q119" s="68">
        <v>1064</v>
      </c>
      <c r="R119" s="68">
        <v>524</v>
      </c>
      <c r="S119" s="68">
        <v>84</v>
      </c>
      <c r="T119" s="68">
        <v>6</v>
      </c>
      <c r="U119" s="68">
        <v>434</v>
      </c>
      <c r="V119" s="68">
        <v>589</v>
      </c>
      <c r="W119" s="68">
        <v>118</v>
      </c>
      <c r="X119" s="68">
        <v>46</v>
      </c>
      <c r="Y119" s="68">
        <v>425</v>
      </c>
      <c r="Z119" s="68">
        <v>379</v>
      </c>
      <c r="AA119" s="68">
        <v>178</v>
      </c>
      <c r="AB119" s="68">
        <v>130</v>
      </c>
      <c r="AC119" s="68">
        <v>71</v>
      </c>
      <c r="AD119" s="68">
        <v>0</v>
      </c>
      <c r="AE119" s="68">
        <v>0</v>
      </c>
      <c r="AF119" s="68">
        <v>0</v>
      </c>
      <c r="AG119" s="68">
        <v>0</v>
      </c>
      <c r="AH119" s="68">
        <v>224</v>
      </c>
      <c r="AI119" s="68">
        <v>68</v>
      </c>
      <c r="AJ119" s="68">
        <v>22</v>
      </c>
      <c r="AK119" s="68">
        <v>134</v>
      </c>
      <c r="AL119" s="68">
        <v>2154</v>
      </c>
      <c r="AM119" s="68">
        <v>528</v>
      </c>
      <c r="AN119" s="68">
        <v>240</v>
      </c>
      <c r="AO119" s="68">
        <v>1386</v>
      </c>
      <c r="AP119" s="68">
        <v>667</v>
      </c>
      <c r="AQ119" s="68">
        <v>100</v>
      </c>
      <c r="AR119" s="68">
        <v>6</v>
      </c>
      <c r="AS119" s="68">
        <v>561</v>
      </c>
      <c r="AT119" s="68">
        <v>744</v>
      </c>
      <c r="AU119" s="68">
        <v>144</v>
      </c>
      <c r="AV119" s="68">
        <v>51</v>
      </c>
      <c r="AW119" s="68">
        <v>549</v>
      </c>
      <c r="AX119" s="68">
        <v>436</v>
      </c>
      <c r="AY119" s="68">
        <v>194</v>
      </c>
      <c r="AZ119" s="68">
        <v>153</v>
      </c>
      <c r="BA119" s="68">
        <v>89</v>
      </c>
      <c r="BB119" s="68">
        <v>0</v>
      </c>
      <c r="BC119" s="68">
        <v>0</v>
      </c>
      <c r="BD119" s="68">
        <v>0</v>
      </c>
      <c r="BE119" s="68">
        <v>0</v>
      </c>
      <c r="BF119" s="68">
        <v>307</v>
      </c>
      <c r="BG119" s="68">
        <v>90</v>
      </c>
      <c r="BH119" s="68">
        <v>30</v>
      </c>
      <c r="BI119" s="68">
        <v>187</v>
      </c>
    </row>
    <row r="120" spans="1:61" ht="15.75" hidden="1" customHeight="1">
      <c r="A120" s="346"/>
      <c r="B120" s="65" t="s">
        <v>225</v>
      </c>
      <c r="C120" s="68">
        <v>416</v>
      </c>
      <c r="D120" s="68">
        <v>56</v>
      </c>
      <c r="E120" s="68">
        <v>360</v>
      </c>
      <c r="F120" s="68">
        <v>335</v>
      </c>
      <c r="G120" s="68">
        <v>25</v>
      </c>
      <c r="H120" s="68"/>
      <c r="I120" s="68"/>
      <c r="J120" s="68"/>
      <c r="K120" s="68"/>
      <c r="L120" s="68"/>
      <c r="M120" s="68"/>
      <c r="N120" s="68">
        <v>2570</v>
      </c>
      <c r="O120" s="68">
        <v>347</v>
      </c>
      <c r="P120" s="68">
        <v>197</v>
      </c>
      <c r="Q120" s="68">
        <v>2026</v>
      </c>
      <c r="R120" s="68">
        <v>1244</v>
      </c>
      <c r="S120" s="68">
        <v>103</v>
      </c>
      <c r="T120" s="68">
        <v>14</v>
      </c>
      <c r="U120" s="68">
        <v>1127</v>
      </c>
      <c r="V120" s="68">
        <v>755</v>
      </c>
      <c r="W120" s="68">
        <v>118</v>
      </c>
      <c r="X120" s="68">
        <v>35</v>
      </c>
      <c r="Y120" s="68">
        <v>602</v>
      </c>
      <c r="Z120" s="68">
        <v>236</v>
      </c>
      <c r="AA120" s="68">
        <v>63</v>
      </c>
      <c r="AB120" s="68">
        <v>110</v>
      </c>
      <c r="AC120" s="68">
        <v>63</v>
      </c>
      <c r="AD120" s="68">
        <v>0</v>
      </c>
      <c r="AE120" s="68">
        <v>0</v>
      </c>
      <c r="AF120" s="68">
        <v>0</v>
      </c>
      <c r="AG120" s="68">
        <v>0</v>
      </c>
      <c r="AH120" s="68">
        <v>335</v>
      </c>
      <c r="AI120" s="68">
        <v>63</v>
      </c>
      <c r="AJ120" s="68">
        <v>38</v>
      </c>
      <c r="AK120" s="68">
        <v>234</v>
      </c>
      <c r="AL120" s="68">
        <v>3156</v>
      </c>
      <c r="AM120" s="68">
        <v>408</v>
      </c>
      <c r="AN120" s="68">
        <v>236</v>
      </c>
      <c r="AO120" s="68">
        <v>2512</v>
      </c>
      <c r="AP120" s="68">
        <v>1507</v>
      </c>
      <c r="AQ120" s="68">
        <v>126</v>
      </c>
      <c r="AR120" s="68">
        <v>17</v>
      </c>
      <c r="AS120" s="68">
        <v>1364</v>
      </c>
      <c r="AT120" s="68">
        <v>939</v>
      </c>
      <c r="AU120" s="68">
        <v>132</v>
      </c>
      <c r="AV120" s="68">
        <v>47</v>
      </c>
      <c r="AW120" s="68">
        <v>760</v>
      </c>
      <c r="AX120" s="68">
        <v>276</v>
      </c>
      <c r="AY120" s="68">
        <v>74</v>
      </c>
      <c r="AZ120" s="68">
        <v>125</v>
      </c>
      <c r="BA120" s="68">
        <v>77</v>
      </c>
      <c r="BB120" s="68">
        <v>2</v>
      </c>
      <c r="BC120" s="68">
        <v>0</v>
      </c>
      <c r="BD120" s="68">
        <v>0</v>
      </c>
      <c r="BE120" s="68">
        <v>2</v>
      </c>
      <c r="BF120" s="68">
        <v>432</v>
      </c>
      <c r="BG120" s="68">
        <v>76</v>
      </c>
      <c r="BH120" s="68">
        <v>47</v>
      </c>
      <c r="BI120" s="68">
        <v>309</v>
      </c>
    </row>
    <row r="121" spans="1:61" ht="15.75" hidden="1" customHeight="1">
      <c r="A121" s="63" t="s">
        <v>213</v>
      </c>
      <c r="B121" s="64" t="s">
        <v>223</v>
      </c>
      <c r="C121" s="67">
        <v>635</v>
      </c>
      <c r="D121" s="67">
        <v>74</v>
      </c>
      <c r="E121" s="67">
        <v>561</v>
      </c>
      <c r="F121" s="67">
        <v>561</v>
      </c>
      <c r="G121" s="67">
        <v>0</v>
      </c>
      <c r="H121" s="67">
        <v>6</v>
      </c>
      <c r="I121" s="67">
        <v>307</v>
      </c>
      <c r="J121" s="67">
        <v>2</v>
      </c>
      <c r="K121" s="67">
        <v>41</v>
      </c>
      <c r="L121" s="67">
        <v>4</v>
      </c>
      <c r="M121" s="67">
        <v>266</v>
      </c>
      <c r="N121" s="67">
        <v>3671</v>
      </c>
      <c r="O121" s="67">
        <v>618</v>
      </c>
      <c r="P121" s="67">
        <v>421</v>
      </c>
      <c r="Q121" s="67">
        <v>2632</v>
      </c>
      <c r="R121" s="67">
        <v>1378</v>
      </c>
      <c r="S121" s="67">
        <v>160</v>
      </c>
      <c r="T121" s="67">
        <v>28</v>
      </c>
      <c r="U121" s="67">
        <v>1190</v>
      </c>
      <c r="V121" s="67">
        <v>1253</v>
      </c>
      <c r="W121" s="67">
        <v>260</v>
      </c>
      <c r="X121" s="67">
        <v>84</v>
      </c>
      <c r="Y121" s="67">
        <v>909</v>
      </c>
      <c r="Z121" s="67">
        <v>583</v>
      </c>
      <c r="AA121" s="67">
        <v>177</v>
      </c>
      <c r="AB121" s="67">
        <v>281</v>
      </c>
      <c r="AC121" s="67">
        <v>125</v>
      </c>
      <c r="AD121" s="67">
        <v>9</v>
      </c>
      <c r="AE121" s="67">
        <v>5</v>
      </c>
      <c r="AF121" s="67">
        <v>0</v>
      </c>
      <c r="AG121" s="67">
        <v>4</v>
      </c>
      <c r="AH121" s="67">
        <v>448</v>
      </c>
      <c r="AI121" s="67">
        <v>16</v>
      </c>
      <c r="AJ121" s="67">
        <v>28</v>
      </c>
      <c r="AK121" s="67">
        <v>404</v>
      </c>
      <c r="AL121" s="67">
        <v>5233</v>
      </c>
      <c r="AM121" s="67">
        <v>915</v>
      </c>
      <c r="AN121" s="67">
        <v>578</v>
      </c>
      <c r="AO121" s="67">
        <v>3740</v>
      </c>
      <c r="AP121" s="67">
        <v>1904</v>
      </c>
      <c r="AQ121" s="67">
        <v>244</v>
      </c>
      <c r="AR121" s="67">
        <v>37</v>
      </c>
      <c r="AS121" s="67">
        <v>1623</v>
      </c>
      <c r="AT121" s="67">
        <v>1897</v>
      </c>
      <c r="AU121" s="67">
        <v>380</v>
      </c>
      <c r="AV121" s="67">
        <v>124</v>
      </c>
      <c r="AW121" s="67">
        <v>1393</v>
      </c>
      <c r="AX121" s="67">
        <v>769</v>
      </c>
      <c r="AY121" s="67">
        <v>226</v>
      </c>
      <c r="AZ121" s="67">
        <v>366</v>
      </c>
      <c r="BA121" s="67">
        <v>177</v>
      </c>
      <c r="BB121" s="67">
        <v>10</v>
      </c>
      <c r="BC121" s="67">
        <v>1</v>
      </c>
      <c r="BD121" s="67">
        <v>5</v>
      </c>
      <c r="BE121" s="67">
        <v>4</v>
      </c>
      <c r="BF121" s="67">
        <v>653</v>
      </c>
      <c r="BG121" s="67">
        <v>64</v>
      </c>
      <c r="BH121" s="67">
        <v>46</v>
      </c>
      <c r="BI121" s="67">
        <v>543</v>
      </c>
    </row>
    <row r="122" spans="1:61" ht="15.75" hidden="1" customHeight="1">
      <c r="A122" s="345" t="s">
        <v>14</v>
      </c>
      <c r="B122" s="65" t="s">
        <v>224</v>
      </c>
      <c r="C122" s="68">
        <v>87</v>
      </c>
      <c r="D122" s="68">
        <v>13</v>
      </c>
      <c r="E122" s="68">
        <v>74</v>
      </c>
      <c r="F122" s="68">
        <v>74</v>
      </c>
      <c r="G122" s="68">
        <v>0</v>
      </c>
      <c r="H122" s="68"/>
      <c r="I122" s="68"/>
      <c r="J122" s="68"/>
      <c r="K122" s="68"/>
      <c r="L122" s="68"/>
      <c r="M122" s="68"/>
      <c r="N122" s="68">
        <v>1510</v>
      </c>
      <c r="O122" s="68">
        <v>351</v>
      </c>
      <c r="P122" s="68">
        <v>222</v>
      </c>
      <c r="Q122" s="68">
        <v>937</v>
      </c>
      <c r="R122" s="68">
        <v>424</v>
      </c>
      <c r="S122" s="68">
        <v>59</v>
      </c>
      <c r="T122" s="68">
        <v>8</v>
      </c>
      <c r="U122" s="68">
        <v>357</v>
      </c>
      <c r="V122" s="68">
        <v>569</v>
      </c>
      <c r="W122" s="68">
        <v>147</v>
      </c>
      <c r="X122" s="68">
        <v>37</v>
      </c>
      <c r="Y122" s="68">
        <v>385</v>
      </c>
      <c r="Z122" s="68">
        <v>370</v>
      </c>
      <c r="AA122" s="68">
        <v>134</v>
      </c>
      <c r="AB122" s="68">
        <v>169</v>
      </c>
      <c r="AC122" s="68">
        <v>67</v>
      </c>
      <c r="AD122" s="68">
        <v>8</v>
      </c>
      <c r="AE122" s="68">
        <v>4</v>
      </c>
      <c r="AF122" s="68">
        <v>0</v>
      </c>
      <c r="AG122" s="68">
        <v>4</v>
      </c>
      <c r="AH122" s="68">
        <v>139</v>
      </c>
      <c r="AI122" s="68">
        <v>7</v>
      </c>
      <c r="AJ122" s="68">
        <v>8</v>
      </c>
      <c r="AK122" s="68">
        <v>124</v>
      </c>
      <c r="AL122" s="68">
        <v>2176</v>
      </c>
      <c r="AM122" s="68">
        <v>520</v>
      </c>
      <c r="AN122" s="68">
        <v>298</v>
      </c>
      <c r="AO122" s="68">
        <v>1358</v>
      </c>
      <c r="AP122" s="68">
        <v>604</v>
      </c>
      <c r="AQ122" s="68">
        <v>98</v>
      </c>
      <c r="AR122" s="68">
        <v>12</v>
      </c>
      <c r="AS122" s="68">
        <v>494</v>
      </c>
      <c r="AT122" s="68">
        <v>877</v>
      </c>
      <c r="AU122" s="68">
        <v>214</v>
      </c>
      <c r="AV122" s="68">
        <v>58</v>
      </c>
      <c r="AW122" s="68">
        <v>605</v>
      </c>
      <c r="AX122" s="68">
        <v>493</v>
      </c>
      <c r="AY122" s="68">
        <v>181</v>
      </c>
      <c r="AZ122" s="68">
        <v>214</v>
      </c>
      <c r="BA122" s="68">
        <v>98</v>
      </c>
      <c r="BB122" s="68">
        <v>9</v>
      </c>
      <c r="BC122" s="68">
        <v>1</v>
      </c>
      <c r="BD122" s="68">
        <v>4</v>
      </c>
      <c r="BE122" s="68">
        <v>4</v>
      </c>
      <c r="BF122" s="68">
        <v>193</v>
      </c>
      <c r="BG122" s="68">
        <v>26</v>
      </c>
      <c r="BH122" s="68">
        <v>10</v>
      </c>
      <c r="BI122" s="68">
        <v>157</v>
      </c>
    </row>
    <row r="123" spans="1:61" ht="15.75" hidden="1" customHeight="1">
      <c r="A123" s="346"/>
      <c r="B123" s="65" t="s">
        <v>225</v>
      </c>
      <c r="C123" s="68">
        <v>548</v>
      </c>
      <c r="D123" s="68">
        <v>61</v>
      </c>
      <c r="E123" s="68">
        <v>487</v>
      </c>
      <c r="F123" s="68">
        <v>487</v>
      </c>
      <c r="G123" s="68">
        <v>0</v>
      </c>
      <c r="H123" s="68"/>
      <c r="I123" s="68"/>
      <c r="J123" s="68"/>
      <c r="K123" s="68"/>
      <c r="L123" s="68"/>
      <c r="M123" s="68"/>
      <c r="N123" s="68">
        <v>2161</v>
      </c>
      <c r="O123" s="68">
        <v>267</v>
      </c>
      <c r="P123" s="68">
        <v>199</v>
      </c>
      <c r="Q123" s="68">
        <v>1695</v>
      </c>
      <c r="R123" s="68">
        <v>954</v>
      </c>
      <c r="S123" s="68">
        <v>101</v>
      </c>
      <c r="T123" s="68">
        <v>20</v>
      </c>
      <c r="U123" s="68">
        <v>833</v>
      </c>
      <c r="V123" s="68">
        <v>684</v>
      </c>
      <c r="W123" s="68">
        <v>113</v>
      </c>
      <c r="X123" s="68">
        <v>47</v>
      </c>
      <c r="Y123" s="68">
        <v>524</v>
      </c>
      <c r="Z123" s="68">
        <v>213</v>
      </c>
      <c r="AA123" s="68">
        <v>43</v>
      </c>
      <c r="AB123" s="68">
        <v>112</v>
      </c>
      <c r="AC123" s="68">
        <v>58</v>
      </c>
      <c r="AD123" s="68">
        <v>1</v>
      </c>
      <c r="AE123" s="68">
        <v>1</v>
      </c>
      <c r="AF123" s="68">
        <v>0</v>
      </c>
      <c r="AG123" s="68">
        <v>0</v>
      </c>
      <c r="AH123" s="68">
        <v>309</v>
      </c>
      <c r="AI123" s="68">
        <v>9</v>
      </c>
      <c r="AJ123" s="68">
        <v>20</v>
      </c>
      <c r="AK123" s="68">
        <v>280</v>
      </c>
      <c r="AL123" s="68">
        <v>3057</v>
      </c>
      <c r="AM123" s="68">
        <v>395</v>
      </c>
      <c r="AN123" s="68">
        <v>280</v>
      </c>
      <c r="AO123" s="68">
        <v>2382</v>
      </c>
      <c r="AP123" s="68">
        <v>1300</v>
      </c>
      <c r="AQ123" s="68">
        <v>146</v>
      </c>
      <c r="AR123" s="68">
        <v>25</v>
      </c>
      <c r="AS123" s="68">
        <v>1129</v>
      </c>
      <c r="AT123" s="68">
        <v>1020</v>
      </c>
      <c r="AU123" s="68">
        <v>166</v>
      </c>
      <c r="AV123" s="68">
        <v>66</v>
      </c>
      <c r="AW123" s="68">
        <v>788</v>
      </c>
      <c r="AX123" s="68">
        <v>276</v>
      </c>
      <c r="AY123" s="68">
        <v>45</v>
      </c>
      <c r="AZ123" s="68">
        <v>152</v>
      </c>
      <c r="BA123" s="68">
        <v>79</v>
      </c>
      <c r="BB123" s="68">
        <v>1</v>
      </c>
      <c r="BC123" s="68">
        <v>0</v>
      </c>
      <c r="BD123" s="68">
        <v>1</v>
      </c>
      <c r="BE123" s="68">
        <v>0</v>
      </c>
      <c r="BF123" s="68">
        <v>460</v>
      </c>
      <c r="BG123" s="68">
        <v>38</v>
      </c>
      <c r="BH123" s="68">
        <v>36</v>
      </c>
      <c r="BI123" s="68">
        <v>386</v>
      </c>
    </row>
    <row r="124" spans="1:61" ht="15.75" hidden="1" customHeight="1">
      <c r="A124" s="63" t="s">
        <v>214</v>
      </c>
      <c r="B124" s="64" t="s">
        <v>223</v>
      </c>
      <c r="C124" s="67">
        <v>1482</v>
      </c>
      <c r="D124" s="67">
        <v>149</v>
      </c>
      <c r="E124" s="67">
        <v>1333</v>
      </c>
      <c r="F124" s="67">
        <v>890</v>
      </c>
      <c r="G124" s="67">
        <v>443</v>
      </c>
      <c r="H124" s="67">
        <v>32</v>
      </c>
      <c r="I124" s="67">
        <v>821</v>
      </c>
      <c r="J124" s="67">
        <v>3</v>
      </c>
      <c r="K124" s="67">
        <v>85</v>
      </c>
      <c r="L124" s="67">
        <v>29</v>
      </c>
      <c r="M124" s="67">
        <v>736</v>
      </c>
      <c r="N124" s="67">
        <v>8005</v>
      </c>
      <c r="O124" s="67">
        <v>1891</v>
      </c>
      <c r="P124" s="67">
        <v>1008</v>
      </c>
      <c r="Q124" s="67">
        <v>5106</v>
      </c>
      <c r="R124" s="67">
        <v>3322</v>
      </c>
      <c r="S124" s="67">
        <v>481</v>
      </c>
      <c r="T124" s="67">
        <v>91</v>
      </c>
      <c r="U124" s="67">
        <v>2750</v>
      </c>
      <c r="V124" s="67">
        <v>2323</v>
      </c>
      <c r="W124" s="67">
        <v>516</v>
      </c>
      <c r="X124" s="67">
        <v>295</v>
      </c>
      <c r="Y124" s="67">
        <v>1512</v>
      </c>
      <c r="Z124" s="67">
        <v>1258</v>
      </c>
      <c r="AA124" s="67">
        <v>556</v>
      </c>
      <c r="AB124" s="67">
        <v>417</v>
      </c>
      <c r="AC124" s="67">
        <v>285</v>
      </c>
      <c r="AD124" s="67">
        <v>190</v>
      </c>
      <c r="AE124" s="67">
        <v>67</v>
      </c>
      <c r="AF124" s="67">
        <v>57</v>
      </c>
      <c r="AG124" s="67">
        <v>66</v>
      </c>
      <c r="AH124" s="67">
        <v>912</v>
      </c>
      <c r="AI124" s="67">
        <v>271</v>
      </c>
      <c r="AJ124" s="67">
        <v>148</v>
      </c>
      <c r="AK124" s="67">
        <v>493</v>
      </c>
      <c r="AL124" s="67">
        <v>11612</v>
      </c>
      <c r="AM124" s="67">
        <v>2410</v>
      </c>
      <c r="AN124" s="67">
        <v>1441</v>
      </c>
      <c r="AO124" s="67">
        <v>7761</v>
      </c>
      <c r="AP124" s="67">
        <v>5666</v>
      </c>
      <c r="AQ124" s="67">
        <v>800</v>
      </c>
      <c r="AR124" s="67">
        <v>307</v>
      </c>
      <c r="AS124" s="67">
        <v>4559</v>
      </c>
      <c r="AT124" s="67">
        <v>3372</v>
      </c>
      <c r="AU124" s="67">
        <v>698</v>
      </c>
      <c r="AV124" s="67">
        <v>435</v>
      </c>
      <c r="AW124" s="67">
        <v>2239</v>
      </c>
      <c r="AX124" s="67">
        <v>1779</v>
      </c>
      <c r="AY124" s="67">
        <v>727</v>
      </c>
      <c r="AZ124" s="67">
        <v>571</v>
      </c>
      <c r="BA124" s="67">
        <v>481</v>
      </c>
      <c r="BB124" s="67">
        <v>279</v>
      </c>
      <c r="BC124" s="67">
        <v>97</v>
      </c>
      <c r="BD124" s="67">
        <v>70</v>
      </c>
      <c r="BE124" s="67">
        <v>112</v>
      </c>
      <c r="BF124" s="67">
        <v>516</v>
      </c>
      <c r="BG124" s="67">
        <v>88</v>
      </c>
      <c r="BH124" s="67">
        <v>58</v>
      </c>
      <c r="BI124" s="67">
        <v>370</v>
      </c>
    </row>
    <row r="125" spans="1:61" ht="15.75" hidden="1" customHeight="1">
      <c r="A125" s="345" t="s">
        <v>15</v>
      </c>
      <c r="B125" s="65" t="s">
        <v>224</v>
      </c>
      <c r="C125" s="68">
        <v>144</v>
      </c>
      <c r="D125" s="68">
        <v>18</v>
      </c>
      <c r="E125" s="68">
        <v>126</v>
      </c>
      <c r="F125" s="68">
        <v>83</v>
      </c>
      <c r="G125" s="68">
        <v>43</v>
      </c>
      <c r="H125" s="68"/>
      <c r="I125" s="68"/>
      <c r="J125" s="68"/>
      <c r="K125" s="68"/>
      <c r="L125" s="68"/>
      <c r="M125" s="68"/>
      <c r="N125" s="68">
        <v>3394</v>
      </c>
      <c r="O125" s="68">
        <v>1081</v>
      </c>
      <c r="P125" s="68">
        <v>501</v>
      </c>
      <c r="Q125" s="68">
        <v>1812</v>
      </c>
      <c r="R125" s="68">
        <v>1016</v>
      </c>
      <c r="S125" s="68">
        <v>181</v>
      </c>
      <c r="T125" s="68">
        <v>21</v>
      </c>
      <c r="U125" s="68">
        <v>814</v>
      </c>
      <c r="V125" s="68">
        <v>1058</v>
      </c>
      <c r="W125" s="68">
        <v>283</v>
      </c>
      <c r="X125" s="68">
        <v>137</v>
      </c>
      <c r="Y125" s="68">
        <v>638</v>
      </c>
      <c r="Z125" s="68">
        <v>803</v>
      </c>
      <c r="AA125" s="68">
        <v>409</v>
      </c>
      <c r="AB125" s="68">
        <v>241</v>
      </c>
      <c r="AC125" s="68">
        <v>153</v>
      </c>
      <c r="AD125" s="68">
        <v>124</v>
      </c>
      <c r="AE125" s="68">
        <v>53</v>
      </c>
      <c r="AF125" s="68">
        <v>35</v>
      </c>
      <c r="AG125" s="68">
        <v>36</v>
      </c>
      <c r="AH125" s="68">
        <v>393</v>
      </c>
      <c r="AI125" s="68">
        <v>155</v>
      </c>
      <c r="AJ125" s="68">
        <v>67</v>
      </c>
      <c r="AK125" s="68">
        <v>171</v>
      </c>
      <c r="AL125" s="68">
        <v>4959</v>
      </c>
      <c r="AM125" s="68">
        <v>1363</v>
      </c>
      <c r="AN125" s="68">
        <v>691</v>
      </c>
      <c r="AO125" s="68">
        <v>2905</v>
      </c>
      <c r="AP125" s="68">
        <v>1978</v>
      </c>
      <c r="AQ125" s="68">
        <v>356</v>
      </c>
      <c r="AR125" s="68">
        <v>118</v>
      </c>
      <c r="AS125" s="68">
        <v>1504</v>
      </c>
      <c r="AT125" s="68">
        <v>1525</v>
      </c>
      <c r="AU125" s="68">
        <v>381</v>
      </c>
      <c r="AV125" s="68">
        <v>207</v>
      </c>
      <c r="AW125" s="68">
        <v>937</v>
      </c>
      <c r="AX125" s="68">
        <v>1073</v>
      </c>
      <c r="AY125" s="68">
        <v>512</v>
      </c>
      <c r="AZ125" s="68">
        <v>307</v>
      </c>
      <c r="BA125" s="68">
        <v>254</v>
      </c>
      <c r="BB125" s="68">
        <v>174</v>
      </c>
      <c r="BC125" s="68">
        <v>75</v>
      </c>
      <c r="BD125" s="68">
        <v>37</v>
      </c>
      <c r="BE125" s="68">
        <v>62</v>
      </c>
      <c r="BF125" s="68">
        <v>209</v>
      </c>
      <c r="BG125" s="68">
        <v>39</v>
      </c>
      <c r="BH125" s="68">
        <v>22</v>
      </c>
      <c r="BI125" s="68">
        <v>148</v>
      </c>
    </row>
    <row r="126" spans="1:61" ht="15.75" hidden="1" customHeight="1">
      <c r="A126" s="346"/>
      <c r="B126" s="65" t="s">
        <v>225</v>
      </c>
      <c r="C126" s="68">
        <v>1338</v>
      </c>
      <c r="D126" s="68">
        <v>131</v>
      </c>
      <c r="E126" s="68">
        <v>1207</v>
      </c>
      <c r="F126" s="68">
        <v>807</v>
      </c>
      <c r="G126" s="68">
        <v>400</v>
      </c>
      <c r="H126" s="68"/>
      <c r="I126" s="68"/>
      <c r="J126" s="68"/>
      <c r="K126" s="68"/>
      <c r="L126" s="68"/>
      <c r="M126" s="68"/>
      <c r="N126" s="68">
        <v>4611</v>
      </c>
      <c r="O126" s="68">
        <v>810</v>
      </c>
      <c r="P126" s="68">
        <v>507</v>
      </c>
      <c r="Q126" s="68">
        <v>3294</v>
      </c>
      <c r="R126" s="68">
        <v>2306</v>
      </c>
      <c r="S126" s="68">
        <v>300</v>
      </c>
      <c r="T126" s="68">
        <v>70</v>
      </c>
      <c r="U126" s="68">
        <v>1936</v>
      </c>
      <c r="V126" s="68">
        <v>1265</v>
      </c>
      <c r="W126" s="68">
        <v>233</v>
      </c>
      <c r="X126" s="68">
        <v>158</v>
      </c>
      <c r="Y126" s="68">
        <v>874</v>
      </c>
      <c r="Z126" s="68">
        <v>455</v>
      </c>
      <c r="AA126" s="68">
        <v>147</v>
      </c>
      <c r="AB126" s="68">
        <v>176</v>
      </c>
      <c r="AC126" s="68">
        <v>132</v>
      </c>
      <c r="AD126" s="68">
        <v>66</v>
      </c>
      <c r="AE126" s="68">
        <v>14</v>
      </c>
      <c r="AF126" s="68">
        <v>22</v>
      </c>
      <c r="AG126" s="68">
        <v>30</v>
      </c>
      <c r="AH126" s="68">
        <v>519</v>
      </c>
      <c r="AI126" s="68">
        <v>116</v>
      </c>
      <c r="AJ126" s="68">
        <v>81</v>
      </c>
      <c r="AK126" s="68">
        <v>322</v>
      </c>
      <c r="AL126" s="68">
        <v>6653</v>
      </c>
      <c r="AM126" s="68">
        <v>1047</v>
      </c>
      <c r="AN126" s="68">
        <v>750</v>
      </c>
      <c r="AO126" s="68">
        <v>4856</v>
      </c>
      <c r="AP126" s="68">
        <v>3688</v>
      </c>
      <c r="AQ126" s="68">
        <v>444</v>
      </c>
      <c r="AR126" s="68">
        <v>189</v>
      </c>
      <c r="AS126" s="68">
        <v>3055</v>
      </c>
      <c r="AT126" s="68">
        <v>1847</v>
      </c>
      <c r="AU126" s="68">
        <v>317</v>
      </c>
      <c r="AV126" s="68">
        <v>228</v>
      </c>
      <c r="AW126" s="68">
        <v>1302</v>
      </c>
      <c r="AX126" s="68">
        <v>706</v>
      </c>
      <c r="AY126" s="68">
        <v>215</v>
      </c>
      <c r="AZ126" s="68">
        <v>264</v>
      </c>
      <c r="BA126" s="68">
        <v>227</v>
      </c>
      <c r="BB126" s="68">
        <v>105</v>
      </c>
      <c r="BC126" s="68">
        <v>22</v>
      </c>
      <c r="BD126" s="68">
        <v>33</v>
      </c>
      <c r="BE126" s="68">
        <v>50</v>
      </c>
      <c r="BF126" s="68">
        <v>307</v>
      </c>
      <c r="BG126" s="68">
        <v>49</v>
      </c>
      <c r="BH126" s="68">
        <v>36</v>
      </c>
      <c r="BI126" s="68">
        <v>222</v>
      </c>
    </row>
    <row r="127" spans="1:61" ht="15.75" hidden="1" customHeight="1">
      <c r="A127" s="63" t="s">
        <v>215</v>
      </c>
      <c r="B127" s="64" t="s">
        <v>223</v>
      </c>
      <c r="C127" s="67">
        <v>293</v>
      </c>
      <c r="D127" s="67">
        <v>24</v>
      </c>
      <c r="E127" s="67">
        <v>269</v>
      </c>
      <c r="F127" s="67">
        <v>228</v>
      </c>
      <c r="G127" s="67">
        <v>41</v>
      </c>
      <c r="H127" s="67">
        <v>126</v>
      </c>
      <c r="I127" s="67">
        <v>446</v>
      </c>
      <c r="J127" s="67">
        <v>0</v>
      </c>
      <c r="K127" s="67">
        <v>0</v>
      </c>
      <c r="L127" s="67">
        <v>126</v>
      </c>
      <c r="M127" s="67">
        <v>446</v>
      </c>
      <c r="N127" s="67">
        <v>1976</v>
      </c>
      <c r="O127" s="67">
        <v>660</v>
      </c>
      <c r="P127" s="67">
        <v>194</v>
      </c>
      <c r="Q127" s="67">
        <v>1122</v>
      </c>
      <c r="R127" s="67">
        <v>700</v>
      </c>
      <c r="S127" s="67">
        <v>119</v>
      </c>
      <c r="T127" s="67">
        <v>12</v>
      </c>
      <c r="U127" s="67">
        <v>569</v>
      </c>
      <c r="V127" s="67">
        <v>598</v>
      </c>
      <c r="W127" s="67">
        <v>151</v>
      </c>
      <c r="X127" s="67">
        <v>64</v>
      </c>
      <c r="Y127" s="67">
        <v>383</v>
      </c>
      <c r="Z127" s="67">
        <v>312</v>
      </c>
      <c r="AA127" s="67">
        <v>209</v>
      </c>
      <c r="AB127" s="67">
        <v>59</v>
      </c>
      <c r="AC127" s="67">
        <v>44</v>
      </c>
      <c r="AD127" s="67">
        <v>160</v>
      </c>
      <c r="AE127" s="67">
        <v>85</v>
      </c>
      <c r="AF127" s="67">
        <v>36</v>
      </c>
      <c r="AG127" s="67">
        <v>39</v>
      </c>
      <c r="AH127" s="67">
        <v>206</v>
      </c>
      <c r="AI127" s="67">
        <v>96</v>
      </c>
      <c r="AJ127" s="67">
        <v>23</v>
      </c>
      <c r="AK127" s="67">
        <v>87</v>
      </c>
      <c r="AL127" s="67">
        <v>2380</v>
      </c>
      <c r="AM127" s="67">
        <v>738</v>
      </c>
      <c r="AN127" s="67">
        <v>221</v>
      </c>
      <c r="AO127" s="67">
        <v>1421</v>
      </c>
      <c r="AP127" s="67">
        <v>866</v>
      </c>
      <c r="AQ127" s="67">
        <v>138</v>
      </c>
      <c r="AR127" s="67">
        <v>12</v>
      </c>
      <c r="AS127" s="67">
        <v>716</v>
      </c>
      <c r="AT127" s="67">
        <v>729</v>
      </c>
      <c r="AU127" s="67">
        <v>168</v>
      </c>
      <c r="AV127" s="67">
        <v>75</v>
      </c>
      <c r="AW127" s="67">
        <v>486</v>
      </c>
      <c r="AX127" s="67">
        <v>352</v>
      </c>
      <c r="AY127" s="67">
        <v>232</v>
      </c>
      <c r="AZ127" s="67">
        <v>66</v>
      </c>
      <c r="BA127" s="67">
        <v>54</v>
      </c>
      <c r="BB127" s="67">
        <v>181</v>
      </c>
      <c r="BC127" s="67">
        <v>92</v>
      </c>
      <c r="BD127" s="67">
        <v>40</v>
      </c>
      <c r="BE127" s="67">
        <v>49</v>
      </c>
      <c r="BF127" s="67">
        <v>252</v>
      </c>
      <c r="BG127" s="67">
        <v>108</v>
      </c>
      <c r="BH127" s="67">
        <v>28</v>
      </c>
      <c r="BI127" s="67">
        <v>116</v>
      </c>
    </row>
    <row r="128" spans="1:61" ht="15.75" hidden="1" customHeight="1">
      <c r="A128" s="345" t="s">
        <v>16</v>
      </c>
      <c r="B128" s="65" t="s">
        <v>224</v>
      </c>
      <c r="C128" s="68">
        <v>33</v>
      </c>
      <c r="D128" s="68">
        <v>3</v>
      </c>
      <c r="E128" s="68">
        <v>30</v>
      </c>
      <c r="F128" s="68">
        <v>25</v>
      </c>
      <c r="G128" s="68">
        <v>5</v>
      </c>
      <c r="H128" s="68"/>
      <c r="I128" s="68"/>
      <c r="J128" s="68"/>
      <c r="K128" s="68"/>
      <c r="L128" s="68"/>
      <c r="M128" s="68"/>
      <c r="N128" s="68">
        <v>941</v>
      </c>
      <c r="O128" s="68">
        <v>440</v>
      </c>
      <c r="P128" s="68">
        <v>92</v>
      </c>
      <c r="Q128" s="68">
        <v>409</v>
      </c>
      <c r="R128" s="68">
        <v>243</v>
      </c>
      <c r="S128" s="68">
        <v>57</v>
      </c>
      <c r="T128" s="68">
        <v>4</v>
      </c>
      <c r="U128" s="68">
        <v>182</v>
      </c>
      <c r="V128" s="68">
        <v>276</v>
      </c>
      <c r="W128" s="68">
        <v>98</v>
      </c>
      <c r="X128" s="68">
        <v>22</v>
      </c>
      <c r="Y128" s="68">
        <v>156</v>
      </c>
      <c r="Z128" s="68">
        <v>222</v>
      </c>
      <c r="AA128" s="68">
        <v>157</v>
      </c>
      <c r="AB128" s="68">
        <v>32</v>
      </c>
      <c r="AC128" s="68">
        <v>33</v>
      </c>
      <c r="AD128" s="68">
        <v>104</v>
      </c>
      <c r="AE128" s="68">
        <v>73</v>
      </c>
      <c r="AF128" s="68">
        <v>17</v>
      </c>
      <c r="AG128" s="68">
        <v>14</v>
      </c>
      <c r="AH128" s="68">
        <v>96</v>
      </c>
      <c r="AI128" s="68">
        <v>55</v>
      </c>
      <c r="AJ128" s="68">
        <v>17</v>
      </c>
      <c r="AK128" s="68">
        <v>24</v>
      </c>
      <c r="AL128" s="68">
        <v>1118</v>
      </c>
      <c r="AM128" s="68">
        <v>491</v>
      </c>
      <c r="AN128" s="68">
        <v>106</v>
      </c>
      <c r="AO128" s="68">
        <v>521</v>
      </c>
      <c r="AP128" s="68">
        <v>306</v>
      </c>
      <c r="AQ128" s="68">
        <v>68</v>
      </c>
      <c r="AR128" s="68">
        <v>4</v>
      </c>
      <c r="AS128" s="68">
        <v>234</v>
      </c>
      <c r="AT128" s="68">
        <v>337</v>
      </c>
      <c r="AU128" s="68">
        <v>111</v>
      </c>
      <c r="AV128" s="68">
        <v>27</v>
      </c>
      <c r="AW128" s="68">
        <v>199</v>
      </c>
      <c r="AX128" s="68">
        <v>246</v>
      </c>
      <c r="AY128" s="68">
        <v>174</v>
      </c>
      <c r="AZ128" s="68">
        <v>37</v>
      </c>
      <c r="BA128" s="68">
        <v>35</v>
      </c>
      <c r="BB128" s="68">
        <v>114</v>
      </c>
      <c r="BC128" s="68">
        <v>78</v>
      </c>
      <c r="BD128" s="68">
        <v>19</v>
      </c>
      <c r="BE128" s="68">
        <v>17</v>
      </c>
      <c r="BF128" s="68">
        <v>115</v>
      </c>
      <c r="BG128" s="68">
        <v>60</v>
      </c>
      <c r="BH128" s="68">
        <v>19</v>
      </c>
      <c r="BI128" s="68">
        <v>36</v>
      </c>
    </row>
    <row r="129" spans="1:61" ht="15.75" hidden="1" customHeight="1">
      <c r="A129" s="346"/>
      <c r="B129" s="65" t="s">
        <v>225</v>
      </c>
      <c r="C129" s="68">
        <v>260</v>
      </c>
      <c r="D129" s="68">
        <v>21</v>
      </c>
      <c r="E129" s="68">
        <v>239</v>
      </c>
      <c r="F129" s="68">
        <v>203</v>
      </c>
      <c r="G129" s="68">
        <v>36</v>
      </c>
      <c r="H129" s="68"/>
      <c r="I129" s="68"/>
      <c r="J129" s="68"/>
      <c r="K129" s="68"/>
      <c r="L129" s="68"/>
      <c r="M129" s="68"/>
      <c r="N129" s="68">
        <v>1035</v>
      </c>
      <c r="O129" s="68">
        <v>220</v>
      </c>
      <c r="P129" s="68">
        <v>102</v>
      </c>
      <c r="Q129" s="68">
        <v>713</v>
      </c>
      <c r="R129" s="68">
        <v>457</v>
      </c>
      <c r="S129" s="68">
        <v>62</v>
      </c>
      <c r="T129" s="68">
        <v>8</v>
      </c>
      <c r="U129" s="68">
        <v>387</v>
      </c>
      <c r="V129" s="68">
        <v>322</v>
      </c>
      <c r="W129" s="68">
        <v>53</v>
      </c>
      <c r="X129" s="68">
        <v>42</v>
      </c>
      <c r="Y129" s="68">
        <v>227</v>
      </c>
      <c r="Z129" s="68">
        <v>90</v>
      </c>
      <c r="AA129" s="68">
        <v>52</v>
      </c>
      <c r="AB129" s="68">
        <v>27</v>
      </c>
      <c r="AC129" s="68">
        <v>11</v>
      </c>
      <c r="AD129" s="68">
        <v>56</v>
      </c>
      <c r="AE129" s="68">
        <v>12</v>
      </c>
      <c r="AF129" s="68">
        <v>19</v>
      </c>
      <c r="AG129" s="68">
        <v>25</v>
      </c>
      <c r="AH129" s="68">
        <v>110</v>
      </c>
      <c r="AI129" s="68">
        <v>41</v>
      </c>
      <c r="AJ129" s="68">
        <v>6</v>
      </c>
      <c r="AK129" s="68">
        <v>63</v>
      </c>
      <c r="AL129" s="68">
        <v>1262</v>
      </c>
      <c r="AM129" s="68">
        <v>247</v>
      </c>
      <c r="AN129" s="68">
        <v>115</v>
      </c>
      <c r="AO129" s="68">
        <v>900</v>
      </c>
      <c r="AP129" s="68">
        <v>560</v>
      </c>
      <c r="AQ129" s="68">
        <v>70</v>
      </c>
      <c r="AR129" s="68">
        <v>8</v>
      </c>
      <c r="AS129" s="68">
        <v>482</v>
      </c>
      <c r="AT129" s="68">
        <v>392</v>
      </c>
      <c r="AU129" s="68">
        <v>57</v>
      </c>
      <c r="AV129" s="68">
        <v>48</v>
      </c>
      <c r="AW129" s="68">
        <v>287</v>
      </c>
      <c r="AX129" s="68">
        <v>106</v>
      </c>
      <c r="AY129" s="68">
        <v>58</v>
      </c>
      <c r="AZ129" s="68">
        <v>29</v>
      </c>
      <c r="BA129" s="68">
        <v>19</v>
      </c>
      <c r="BB129" s="68">
        <v>67</v>
      </c>
      <c r="BC129" s="68">
        <v>14</v>
      </c>
      <c r="BD129" s="68">
        <v>21</v>
      </c>
      <c r="BE129" s="68">
        <v>32</v>
      </c>
      <c r="BF129" s="68">
        <v>137</v>
      </c>
      <c r="BG129" s="68">
        <v>48</v>
      </c>
      <c r="BH129" s="68">
        <v>9</v>
      </c>
      <c r="BI129" s="68">
        <v>80</v>
      </c>
    </row>
    <row r="130" spans="1:61" ht="15.75" hidden="1" customHeight="1">
      <c r="A130" s="63" t="s">
        <v>216</v>
      </c>
      <c r="B130" s="64" t="s">
        <v>223</v>
      </c>
      <c r="C130" s="67">
        <v>608</v>
      </c>
      <c r="D130" s="67">
        <v>68</v>
      </c>
      <c r="E130" s="67">
        <v>540</v>
      </c>
      <c r="F130" s="67">
        <v>290</v>
      </c>
      <c r="G130" s="67">
        <v>250</v>
      </c>
      <c r="H130" s="67">
        <v>170</v>
      </c>
      <c r="I130" s="67">
        <v>1203</v>
      </c>
      <c r="J130" s="67">
        <v>11</v>
      </c>
      <c r="K130" s="67">
        <v>43</v>
      </c>
      <c r="L130" s="67">
        <v>159</v>
      </c>
      <c r="M130" s="67">
        <v>1160</v>
      </c>
      <c r="N130" s="67">
        <v>3037</v>
      </c>
      <c r="O130" s="67">
        <v>727</v>
      </c>
      <c r="P130" s="67">
        <v>565</v>
      </c>
      <c r="Q130" s="67">
        <v>1745</v>
      </c>
      <c r="R130" s="67">
        <v>1344</v>
      </c>
      <c r="S130" s="67">
        <v>237</v>
      </c>
      <c r="T130" s="67">
        <v>138</v>
      </c>
      <c r="U130" s="67">
        <v>969</v>
      </c>
      <c r="V130" s="67">
        <v>763</v>
      </c>
      <c r="W130" s="67">
        <v>144</v>
      </c>
      <c r="X130" s="67">
        <v>150</v>
      </c>
      <c r="Y130" s="67">
        <v>469</v>
      </c>
      <c r="Z130" s="67">
        <v>511</v>
      </c>
      <c r="AA130" s="67">
        <v>210</v>
      </c>
      <c r="AB130" s="67">
        <v>174</v>
      </c>
      <c r="AC130" s="67">
        <v>127</v>
      </c>
      <c r="AD130" s="67">
        <v>247</v>
      </c>
      <c r="AE130" s="67">
        <v>101</v>
      </c>
      <c r="AF130" s="67">
        <v>73</v>
      </c>
      <c r="AG130" s="67">
        <v>73</v>
      </c>
      <c r="AH130" s="67">
        <v>172</v>
      </c>
      <c r="AI130" s="67">
        <v>35</v>
      </c>
      <c r="AJ130" s="67">
        <v>30</v>
      </c>
      <c r="AK130" s="67">
        <v>107</v>
      </c>
      <c r="AL130" s="67">
        <v>3389</v>
      </c>
      <c r="AM130" s="67">
        <v>829</v>
      </c>
      <c r="AN130" s="67">
        <v>559</v>
      </c>
      <c r="AO130" s="67">
        <v>2001</v>
      </c>
      <c r="AP130" s="67">
        <v>1463</v>
      </c>
      <c r="AQ130" s="67">
        <v>280</v>
      </c>
      <c r="AR130" s="67">
        <v>97</v>
      </c>
      <c r="AS130" s="67">
        <v>1086</v>
      </c>
      <c r="AT130" s="67">
        <v>716</v>
      </c>
      <c r="AU130" s="67">
        <v>125</v>
      </c>
      <c r="AV130" s="67">
        <v>153</v>
      </c>
      <c r="AW130" s="67">
        <v>438</v>
      </c>
      <c r="AX130" s="67">
        <v>555</v>
      </c>
      <c r="AY130" s="67">
        <v>230</v>
      </c>
      <c r="AZ130" s="67">
        <v>187</v>
      </c>
      <c r="BA130" s="67">
        <v>138</v>
      </c>
      <c r="BB130" s="67">
        <v>456</v>
      </c>
      <c r="BC130" s="67">
        <v>154</v>
      </c>
      <c r="BD130" s="67">
        <v>95</v>
      </c>
      <c r="BE130" s="67">
        <v>207</v>
      </c>
      <c r="BF130" s="67">
        <v>199</v>
      </c>
      <c r="BG130" s="67">
        <v>40</v>
      </c>
      <c r="BH130" s="67">
        <v>27</v>
      </c>
      <c r="BI130" s="67">
        <v>132</v>
      </c>
    </row>
    <row r="131" spans="1:61" ht="15.75" hidden="1" customHeight="1">
      <c r="A131" s="345" t="s">
        <v>17</v>
      </c>
      <c r="B131" s="65" t="s">
        <v>224</v>
      </c>
      <c r="C131" s="68">
        <v>85</v>
      </c>
      <c r="D131" s="68">
        <v>12</v>
      </c>
      <c r="E131" s="68">
        <v>73</v>
      </c>
      <c r="F131" s="68">
        <v>40</v>
      </c>
      <c r="G131" s="68">
        <v>33</v>
      </c>
      <c r="H131" s="68"/>
      <c r="I131" s="68"/>
      <c r="J131" s="68"/>
      <c r="K131" s="68"/>
      <c r="L131" s="68"/>
      <c r="M131" s="68"/>
      <c r="N131" s="68">
        <v>1345</v>
      </c>
      <c r="O131" s="68">
        <v>426</v>
      </c>
      <c r="P131" s="68">
        <v>273</v>
      </c>
      <c r="Q131" s="68">
        <v>646</v>
      </c>
      <c r="R131" s="68">
        <v>514</v>
      </c>
      <c r="S131" s="68">
        <v>129</v>
      </c>
      <c r="T131" s="68">
        <v>51</v>
      </c>
      <c r="U131" s="68">
        <v>334</v>
      </c>
      <c r="V131" s="68">
        <v>327</v>
      </c>
      <c r="W131" s="68">
        <v>74</v>
      </c>
      <c r="X131" s="68">
        <v>69</v>
      </c>
      <c r="Y131" s="68">
        <v>184</v>
      </c>
      <c r="Z131" s="68">
        <v>289</v>
      </c>
      <c r="AA131" s="68">
        <v>132</v>
      </c>
      <c r="AB131" s="68">
        <v>95</v>
      </c>
      <c r="AC131" s="68">
        <v>62</v>
      </c>
      <c r="AD131" s="68">
        <v>147</v>
      </c>
      <c r="AE131" s="68">
        <v>73</v>
      </c>
      <c r="AF131" s="68">
        <v>43</v>
      </c>
      <c r="AG131" s="68">
        <v>31</v>
      </c>
      <c r="AH131" s="68">
        <v>68</v>
      </c>
      <c r="AI131" s="68">
        <v>18</v>
      </c>
      <c r="AJ131" s="68">
        <v>15</v>
      </c>
      <c r="AK131" s="68">
        <v>35</v>
      </c>
      <c r="AL131" s="68">
        <v>1550</v>
      </c>
      <c r="AM131" s="68">
        <v>501</v>
      </c>
      <c r="AN131" s="68">
        <v>295</v>
      </c>
      <c r="AO131" s="68">
        <v>754</v>
      </c>
      <c r="AP131" s="68">
        <v>599</v>
      </c>
      <c r="AQ131" s="68">
        <v>158</v>
      </c>
      <c r="AR131" s="68">
        <v>45</v>
      </c>
      <c r="AS131" s="68">
        <v>396</v>
      </c>
      <c r="AT131" s="68">
        <v>325</v>
      </c>
      <c r="AU131" s="68">
        <v>66</v>
      </c>
      <c r="AV131" s="68">
        <v>75</v>
      </c>
      <c r="AW131" s="68">
        <v>184</v>
      </c>
      <c r="AX131" s="68">
        <v>321</v>
      </c>
      <c r="AY131" s="68">
        <v>151</v>
      </c>
      <c r="AZ131" s="68">
        <v>103</v>
      </c>
      <c r="BA131" s="68">
        <v>67</v>
      </c>
      <c r="BB131" s="68">
        <v>213</v>
      </c>
      <c r="BC131" s="68">
        <v>103</v>
      </c>
      <c r="BD131" s="68">
        <v>54</v>
      </c>
      <c r="BE131" s="68">
        <v>56</v>
      </c>
      <c r="BF131" s="68">
        <v>92</v>
      </c>
      <c r="BG131" s="68">
        <v>23</v>
      </c>
      <c r="BH131" s="68">
        <v>18</v>
      </c>
      <c r="BI131" s="68">
        <v>51</v>
      </c>
    </row>
    <row r="132" spans="1:61" ht="15.75" hidden="1" customHeight="1">
      <c r="A132" s="346"/>
      <c r="B132" s="65" t="s">
        <v>225</v>
      </c>
      <c r="C132" s="68">
        <v>523</v>
      </c>
      <c r="D132" s="68">
        <v>56</v>
      </c>
      <c r="E132" s="68">
        <v>467</v>
      </c>
      <c r="F132" s="68">
        <v>250</v>
      </c>
      <c r="G132" s="68">
        <v>217</v>
      </c>
      <c r="H132" s="68"/>
      <c r="I132" s="68"/>
      <c r="J132" s="68"/>
      <c r="K132" s="68"/>
      <c r="L132" s="68"/>
      <c r="M132" s="68"/>
      <c r="N132" s="68">
        <v>1692</v>
      </c>
      <c r="O132" s="68">
        <v>301</v>
      </c>
      <c r="P132" s="68">
        <v>292</v>
      </c>
      <c r="Q132" s="68">
        <v>1099</v>
      </c>
      <c r="R132" s="68">
        <v>830</v>
      </c>
      <c r="S132" s="68">
        <v>108</v>
      </c>
      <c r="T132" s="68">
        <v>87</v>
      </c>
      <c r="U132" s="68">
        <v>635</v>
      </c>
      <c r="V132" s="68">
        <v>436</v>
      </c>
      <c r="W132" s="68">
        <v>70</v>
      </c>
      <c r="X132" s="68">
        <v>81</v>
      </c>
      <c r="Y132" s="68">
        <v>285</v>
      </c>
      <c r="Z132" s="68">
        <v>222</v>
      </c>
      <c r="AA132" s="68">
        <v>78</v>
      </c>
      <c r="AB132" s="68">
        <v>79</v>
      </c>
      <c r="AC132" s="68">
        <v>65</v>
      </c>
      <c r="AD132" s="68">
        <v>100</v>
      </c>
      <c r="AE132" s="68">
        <v>28</v>
      </c>
      <c r="AF132" s="68">
        <v>30</v>
      </c>
      <c r="AG132" s="68">
        <v>42</v>
      </c>
      <c r="AH132" s="68">
        <v>104</v>
      </c>
      <c r="AI132" s="68">
        <v>17</v>
      </c>
      <c r="AJ132" s="68">
        <v>15</v>
      </c>
      <c r="AK132" s="68">
        <v>72</v>
      </c>
      <c r="AL132" s="68">
        <v>1839</v>
      </c>
      <c r="AM132" s="68">
        <v>328</v>
      </c>
      <c r="AN132" s="68">
        <v>264</v>
      </c>
      <c r="AO132" s="68">
        <v>1247</v>
      </c>
      <c r="AP132" s="68">
        <v>864</v>
      </c>
      <c r="AQ132" s="68">
        <v>122</v>
      </c>
      <c r="AR132" s="68">
        <v>52</v>
      </c>
      <c r="AS132" s="68">
        <v>690</v>
      </c>
      <c r="AT132" s="68">
        <v>391</v>
      </c>
      <c r="AU132" s="68">
        <v>59</v>
      </c>
      <c r="AV132" s="68">
        <v>78</v>
      </c>
      <c r="AW132" s="68">
        <v>254</v>
      </c>
      <c r="AX132" s="68">
        <v>234</v>
      </c>
      <c r="AY132" s="68">
        <v>79</v>
      </c>
      <c r="AZ132" s="68">
        <v>84</v>
      </c>
      <c r="BA132" s="68">
        <v>71</v>
      </c>
      <c r="BB132" s="68">
        <v>243</v>
      </c>
      <c r="BC132" s="68">
        <v>51</v>
      </c>
      <c r="BD132" s="68">
        <v>41</v>
      </c>
      <c r="BE132" s="68">
        <v>151</v>
      </c>
      <c r="BF132" s="68">
        <v>107</v>
      </c>
      <c r="BG132" s="68">
        <v>17</v>
      </c>
      <c r="BH132" s="68">
        <v>9</v>
      </c>
      <c r="BI132" s="68">
        <v>81</v>
      </c>
    </row>
    <row r="133" spans="1:61" ht="15.75" hidden="1" customHeight="1">
      <c r="A133" s="63" t="s">
        <v>217</v>
      </c>
      <c r="B133" s="64" t="s">
        <v>223</v>
      </c>
      <c r="C133" s="67">
        <v>127</v>
      </c>
      <c r="D133" s="67">
        <v>11</v>
      </c>
      <c r="E133" s="67">
        <v>116</v>
      </c>
      <c r="F133" s="67">
        <v>1</v>
      </c>
      <c r="G133" s="67">
        <v>115</v>
      </c>
      <c r="H133" s="67">
        <v>3</v>
      </c>
      <c r="I133" s="67">
        <v>82</v>
      </c>
      <c r="J133" s="67">
        <v>0</v>
      </c>
      <c r="K133" s="67">
        <v>0</v>
      </c>
      <c r="L133" s="67">
        <v>3</v>
      </c>
      <c r="M133" s="67">
        <v>82</v>
      </c>
      <c r="N133" s="67">
        <v>803</v>
      </c>
      <c r="O133" s="67">
        <v>160</v>
      </c>
      <c r="P133" s="67">
        <v>80</v>
      </c>
      <c r="Q133" s="67">
        <v>563</v>
      </c>
      <c r="R133" s="67">
        <v>394</v>
      </c>
      <c r="S133" s="67">
        <v>41</v>
      </c>
      <c r="T133" s="67">
        <v>3</v>
      </c>
      <c r="U133" s="67">
        <v>350</v>
      </c>
      <c r="V133" s="67">
        <v>226</v>
      </c>
      <c r="W133" s="67">
        <v>42</v>
      </c>
      <c r="X133" s="67">
        <v>19</v>
      </c>
      <c r="Y133" s="67">
        <v>165</v>
      </c>
      <c r="Z133" s="67">
        <v>109</v>
      </c>
      <c r="AA133" s="67">
        <v>44</v>
      </c>
      <c r="AB133" s="67">
        <v>39</v>
      </c>
      <c r="AC133" s="67">
        <v>26</v>
      </c>
      <c r="AD133" s="67">
        <v>2</v>
      </c>
      <c r="AE133" s="67">
        <v>1</v>
      </c>
      <c r="AF133" s="67">
        <v>1</v>
      </c>
      <c r="AG133" s="67">
        <v>0</v>
      </c>
      <c r="AH133" s="67">
        <v>72</v>
      </c>
      <c r="AI133" s="67">
        <v>32</v>
      </c>
      <c r="AJ133" s="67">
        <v>18</v>
      </c>
      <c r="AK133" s="67">
        <v>22</v>
      </c>
      <c r="AL133" s="67">
        <v>1543</v>
      </c>
      <c r="AM133" s="67">
        <v>299</v>
      </c>
      <c r="AN133" s="67">
        <v>144</v>
      </c>
      <c r="AO133" s="67">
        <v>1100</v>
      </c>
      <c r="AP133" s="67">
        <v>736</v>
      </c>
      <c r="AQ133" s="67">
        <v>85</v>
      </c>
      <c r="AR133" s="67">
        <v>3</v>
      </c>
      <c r="AS133" s="67">
        <v>648</v>
      </c>
      <c r="AT133" s="67">
        <v>445</v>
      </c>
      <c r="AU133" s="67">
        <v>77</v>
      </c>
      <c r="AV133" s="67">
        <v>40</v>
      </c>
      <c r="AW133" s="67">
        <v>328</v>
      </c>
      <c r="AX133" s="67">
        <v>185</v>
      </c>
      <c r="AY133" s="67">
        <v>77</v>
      </c>
      <c r="AZ133" s="67">
        <v>65</v>
      </c>
      <c r="BA133" s="67">
        <v>43</v>
      </c>
      <c r="BB133" s="67">
        <v>4</v>
      </c>
      <c r="BC133" s="67">
        <v>2</v>
      </c>
      <c r="BD133" s="67">
        <v>2</v>
      </c>
      <c r="BE133" s="67">
        <v>0</v>
      </c>
      <c r="BF133" s="67">
        <v>173</v>
      </c>
      <c r="BG133" s="67">
        <v>58</v>
      </c>
      <c r="BH133" s="67">
        <v>34</v>
      </c>
      <c r="BI133" s="67">
        <v>81</v>
      </c>
    </row>
    <row r="134" spans="1:61" ht="15.75" hidden="1" customHeight="1">
      <c r="A134" s="345" t="s">
        <v>18</v>
      </c>
      <c r="B134" s="65" t="s">
        <v>224</v>
      </c>
      <c r="C134" s="68">
        <v>23</v>
      </c>
      <c r="D134" s="68">
        <v>4</v>
      </c>
      <c r="E134" s="68">
        <v>19</v>
      </c>
      <c r="F134" s="68">
        <v>0</v>
      </c>
      <c r="G134" s="68">
        <v>19</v>
      </c>
      <c r="H134" s="68"/>
      <c r="I134" s="68"/>
      <c r="J134" s="68"/>
      <c r="K134" s="68"/>
      <c r="L134" s="68"/>
      <c r="M134" s="68"/>
      <c r="N134" s="68">
        <v>324</v>
      </c>
      <c r="O134" s="68">
        <v>102</v>
      </c>
      <c r="P134" s="68">
        <v>40</v>
      </c>
      <c r="Q134" s="68">
        <v>182</v>
      </c>
      <c r="R134" s="68">
        <v>110</v>
      </c>
      <c r="S134" s="68">
        <v>19</v>
      </c>
      <c r="T134" s="68">
        <v>1</v>
      </c>
      <c r="U134" s="68">
        <v>90</v>
      </c>
      <c r="V134" s="68">
        <v>101</v>
      </c>
      <c r="W134" s="68">
        <v>25</v>
      </c>
      <c r="X134" s="68">
        <v>7</v>
      </c>
      <c r="Y134" s="68">
        <v>69</v>
      </c>
      <c r="Z134" s="68">
        <v>73</v>
      </c>
      <c r="AA134" s="68">
        <v>35</v>
      </c>
      <c r="AB134" s="68">
        <v>24</v>
      </c>
      <c r="AC134" s="68">
        <v>14</v>
      </c>
      <c r="AD134" s="68">
        <v>0</v>
      </c>
      <c r="AE134" s="68">
        <v>0</v>
      </c>
      <c r="AF134" s="68">
        <v>0</v>
      </c>
      <c r="AG134" s="68">
        <v>0</v>
      </c>
      <c r="AH134" s="68">
        <v>40</v>
      </c>
      <c r="AI134" s="68">
        <v>23</v>
      </c>
      <c r="AJ134" s="68">
        <v>8</v>
      </c>
      <c r="AK134" s="68">
        <v>9</v>
      </c>
      <c r="AL134" s="68">
        <v>633</v>
      </c>
      <c r="AM134" s="68">
        <v>186</v>
      </c>
      <c r="AN134" s="68">
        <v>75</v>
      </c>
      <c r="AO134" s="68">
        <v>372</v>
      </c>
      <c r="AP134" s="68">
        <v>223</v>
      </c>
      <c r="AQ134" s="68">
        <v>41</v>
      </c>
      <c r="AR134" s="68">
        <v>1</v>
      </c>
      <c r="AS134" s="68">
        <v>181</v>
      </c>
      <c r="AT134" s="68">
        <v>202</v>
      </c>
      <c r="AU134" s="68">
        <v>47</v>
      </c>
      <c r="AV134" s="68">
        <v>19</v>
      </c>
      <c r="AW134" s="68">
        <v>136</v>
      </c>
      <c r="AX134" s="68">
        <v>125</v>
      </c>
      <c r="AY134" s="68">
        <v>60</v>
      </c>
      <c r="AZ134" s="68">
        <v>41</v>
      </c>
      <c r="BA134" s="68">
        <v>24</v>
      </c>
      <c r="BB134" s="68">
        <v>0</v>
      </c>
      <c r="BC134" s="68">
        <v>0</v>
      </c>
      <c r="BD134" s="68">
        <v>0</v>
      </c>
      <c r="BE134" s="68">
        <v>0</v>
      </c>
      <c r="BF134" s="68">
        <v>83</v>
      </c>
      <c r="BG134" s="68">
        <v>38</v>
      </c>
      <c r="BH134" s="68">
        <v>14</v>
      </c>
      <c r="BI134" s="68">
        <v>31</v>
      </c>
    </row>
    <row r="135" spans="1:61" ht="15.75" hidden="1" customHeight="1">
      <c r="A135" s="346"/>
      <c r="B135" s="65" t="s">
        <v>225</v>
      </c>
      <c r="C135" s="68">
        <v>104</v>
      </c>
      <c r="D135" s="68">
        <v>7</v>
      </c>
      <c r="E135" s="68">
        <v>97</v>
      </c>
      <c r="F135" s="68">
        <v>1</v>
      </c>
      <c r="G135" s="68">
        <v>96</v>
      </c>
      <c r="H135" s="68"/>
      <c r="I135" s="68"/>
      <c r="J135" s="68"/>
      <c r="K135" s="68"/>
      <c r="L135" s="68"/>
      <c r="M135" s="68"/>
      <c r="N135" s="68">
        <v>479</v>
      </c>
      <c r="O135" s="68">
        <v>58</v>
      </c>
      <c r="P135" s="68">
        <v>40</v>
      </c>
      <c r="Q135" s="68">
        <v>381</v>
      </c>
      <c r="R135" s="68">
        <v>284</v>
      </c>
      <c r="S135" s="68">
        <v>22</v>
      </c>
      <c r="T135" s="68">
        <v>2</v>
      </c>
      <c r="U135" s="68">
        <v>260</v>
      </c>
      <c r="V135" s="68">
        <v>125</v>
      </c>
      <c r="W135" s="68">
        <v>17</v>
      </c>
      <c r="X135" s="68">
        <v>12</v>
      </c>
      <c r="Y135" s="68">
        <v>96</v>
      </c>
      <c r="Z135" s="68">
        <v>36</v>
      </c>
      <c r="AA135" s="68">
        <v>9</v>
      </c>
      <c r="AB135" s="68">
        <v>15</v>
      </c>
      <c r="AC135" s="68">
        <v>12</v>
      </c>
      <c r="AD135" s="68">
        <v>2</v>
      </c>
      <c r="AE135" s="68">
        <v>1</v>
      </c>
      <c r="AF135" s="68">
        <v>1</v>
      </c>
      <c r="AG135" s="68">
        <v>0</v>
      </c>
      <c r="AH135" s="68">
        <v>32</v>
      </c>
      <c r="AI135" s="68">
        <v>9</v>
      </c>
      <c r="AJ135" s="68">
        <v>10</v>
      </c>
      <c r="AK135" s="68">
        <v>13</v>
      </c>
      <c r="AL135" s="68">
        <v>910</v>
      </c>
      <c r="AM135" s="68">
        <v>113</v>
      </c>
      <c r="AN135" s="68">
        <v>69</v>
      </c>
      <c r="AO135" s="68">
        <v>728</v>
      </c>
      <c r="AP135" s="68">
        <v>513</v>
      </c>
      <c r="AQ135" s="68">
        <v>44</v>
      </c>
      <c r="AR135" s="68">
        <v>2</v>
      </c>
      <c r="AS135" s="68">
        <v>467</v>
      </c>
      <c r="AT135" s="68">
        <v>243</v>
      </c>
      <c r="AU135" s="68">
        <v>30</v>
      </c>
      <c r="AV135" s="68">
        <v>21</v>
      </c>
      <c r="AW135" s="68">
        <v>192</v>
      </c>
      <c r="AX135" s="68">
        <v>60</v>
      </c>
      <c r="AY135" s="68">
        <v>17</v>
      </c>
      <c r="AZ135" s="68">
        <v>24</v>
      </c>
      <c r="BA135" s="68">
        <v>19</v>
      </c>
      <c r="BB135" s="68">
        <v>4</v>
      </c>
      <c r="BC135" s="68">
        <v>2</v>
      </c>
      <c r="BD135" s="68">
        <v>2</v>
      </c>
      <c r="BE135" s="68">
        <v>0</v>
      </c>
      <c r="BF135" s="68">
        <v>90</v>
      </c>
      <c r="BG135" s="68">
        <v>20</v>
      </c>
      <c r="BH135" s="68">
        <v>20</v>
      </c>
      <c r="BI135" s="68">
        <v>50</v>
      </c>
    </row>
    <row r="136" spans="1:61" ht="15.75" hidden="1" customHeight="1">
      <c r="A136" s="63" t="s">
        <v>218</v>
      </c>
      <c r="B136" s="64" t="s">
        <v>223</v>
      </c>
      <c r="C136" s="67">
        <v>181</v>
      </c>
      <c r="D136" s="67">
        <v>18</v>
      </c>
      <c r="E136" s="67">
        <v>163</v>
      </c>
      <c r="F136" s="67">
        <v>163</v>
      </c>
      <c r="G136" s="67">
        <v>0</v>
      </c>
      <c r="H136" s="67">
        <v>64</v>
      </c>
      <c r="I136" s="67">
        <v>323</v>
      </c>
      <c r="J136" s="67">
        <v>31</v>
      </c>
      <c r="K136" s="67">
        <v>32</v>
      </c>
      <c r="L136" s="67">
        <v>33</v>
      </c>
      <c r="M136" s="67">
        <v>291</v>
      </c>
      <c r="N136" s="67">
        <v>974</v>
      </c>
      <c r="O136" s="67">
        <v>222</v>
      </c>
      <c r="P136" s="67">
        <v>184</v>
      </c>
      <c r="Q136" s="67">
        <v>568</v>
      </c>
      <c r="R136" s="67">
        <v>292</v>
      </c>
      <c r="S136" s="67">
        <v>56</v>
      </c>
      <c r="T136" s="67">
        <v>10</v>
      </c>
      <c r="U136" s="67">
        <v>226</v>
      </c>
      <c r="V136" s="67">
        <v>313</v>
      </c>
      <c r="W136" s="67">
        <v>63</v>
      </c>
      <c r="X136" s="67">
        <v>55</v>
      </c>
      <c r="Y136" s="67">
        <v>195</v>
      </c>
      <c r="Z136" s="67">
        <v>215</v>
      </c>
      <c r="AA136" s="67">
        <v>62</v>
      </c>
      <c r="AB136" s="67">
        <v>101</v>
      </c>
      <c r="AC136" s="67">
        <v>52</v>
      </c>
      <c r="AD136" s="67">
        <v>0</v>
      </c>
      <c r="AE136" s="67">
        <v>0</v>
      </c>
      <c r="AF136" s="67">
        <v>0</v>
      </c>
      <c r="AG136" s="67">
        <v>0</v>
      </c>
      <c r="AH136" s="67">
        <v>154</v>
      </c>
      <c r="AI136" s="67">
        <v>41</v>
      </c>
      <c r="AJ136" s="67">
        <v>18</v>
      </c>
      <c r="AK136" s="67">
        <v>95</v>
      </c>
      <c r="AL136" s="67">
        <v>1964</v>
      </c>
      <c r="AM136" s="67">
        <v>411</v>
      </c>
      <c r="AN136" s="67">
        <v>367</v>
      </c>
      <c r="AO136" s="67">
        <v>1186</v>
      </c>
      <c r="AP136" s="67">
        <v>616</v>
      </c>
      <c r="AQ136" s="67">
        <v>109</v>
      </c>
      <c r="AR136" s="67">
        <v>21</v>
      </c>
      <c r="AS136" s="67">
        <v>486</v>
      </c>
      <c r="AT136" s="67">
        <v>640</v>
      </c>
      <c r="AU136" s="67">
        <v>112</v>
      </c>
      <c r="AV136" s="67">
        <v>110</v>
      </c>
      <c r="AW136" s="67">
        <v>418</v>
      </c>
      <c r="AX136" s="67">
        <v>421</v>
      </c>
      <c r="AY136" s="67">
        <v>119</v>
      </c>
      <c r="AZ136" s="67">
        <v>196</v>
      </c>
      <c r="BA136" s="67">
        <v>106</v>
      </c>
      <c r="BB136" s="67">
        <v>1</v>
      </c>
      <c r="BC136" s="67">
        <v>0</v>
      </c>
      <c r="BD136" s="67">
        <v>0</v>
      </c>
      <c r="BE136" s="67">
        <v>1</v>
      </c>
      <c r="BF136" s="67">
        <v>286</v>
      </c>
      <c r="BG136" s="67">
        <v>71</v>
      </c>
      <c r="BH136" s="67">
        <v>40</v>
      </c>
      <c r="BI136" s="67">
        <v>175</v>
      </c>
    </row>
    <row r="137" spans="1:61" ht="15.75" hidden="1" customHeight="1">
      <c r="A137" s="345" t="s">
        <v>19</v>
      </c>
      <c r="B137" s="65" t="s">
        <v>224</v>
      </c>
      <c r="C137" s="68">
        <v>20</v>
      </c>
      <c r="D137" s="68">
        <v>4</v>
      </c>
      <c r="E137" s="68">
        <v>16</v>
      </c>
      <c r="F137" s="68">
        <v>16</v>
      </c>
      <c r="G137" s="68">
        <v>0</v>
      </c>
      <c r="H137" s="68"/>
      <c r="I137" s="68"/>
      <c r="J137" s="68"/>
      <c r="K137" s="68"/>
      <c r="L137" s="68"/>
      <c r="M137" s="68"/>
      <c r="N137" s="68">
        <v>408</v>
      </c>
      <c r="O137" s="68">
        <v>109</v>
      </c>
      <c r="P137" s="68">
        <v>98</v>
      </c>
      <c r="Q137" s="68">
        <v>201</v>
      </c>
      <c r="R137" s="68">
        <v>71</v>
      </c>
      <c r="S137" s="68">
        <v>14</v>
      </c>
      <c r="T137" s="68">
        <v>4</v>
      </c>
      <c r="U137" s="68">
        <v>53</v>
      </c>
      <c r="V137" s="68">
        <v>146</v>
      </c>
      <c r="W137" s="68">
        <v>33</v>
      </c>
      <c r="X137" s="68">
        <v>28</v>
      </c>
      <c r="Y137" s="68">
        <v>85</v>
      </c>
      <c r="Z137" s="68">
        <v>130</v>
      </c>
      <c r="AA137" s="68">
        <v>45</v>
      </c>
      <c r="AB137" s="68">
        <v>57</v>
      </c>
      <c r="AC137" s="68">
        <v>28</v>
      </c>
      <c r="AD137" s="68">
        <v>0</v>
      </c>
      <c r="AE137" s="68">
        <v>0</v>
      </c>
      <c r="AF137" s="68">
        <v>0</v>
      </c>
      <c r="AG137" s="68">
        <v>0</v>
      </c>
      <c r="AH137" s="68">
        <v>61</v>
      </c>
      <c r="AI137" s="68">
        <v>17</v>
      </c>
      <c r="AJ137" s="68">
        <v>9</v>
      </c>
      <c r="AK137" s="68">
        <v>35</v>
      </c>
      <c r="AL137" s="68">
        <v>698</v>
      </c>
      <c r="AM137" s="68">
        <v>170</v>
      </c>
      <c r="AN137" s="68">
        <v>165</v>
      </c>
      <c r="AO137" s="68">
        <v>363</v>
      </c>
      <c r="AP137" s="68">
        <v>140</v>
      </c>
      <c r="AQ137" s="68">
        <v>28</v>
      </c>
      <c r="AR137" s="68">
        <v>7</v>
      </c>
      <c r="AS137" s="68">
        <v>105</v>
      </c>
      <c r="AT137" s="68">
        <v>246</v>
      </c>
      <c r="AU137" s="68">
        <v>49</v>
      </c>
      <c r="AV137" s="68">
        <v>45</v>
      </c>
      <c r="AW137" s="68">
        <v>152</v>
      </c>
      <c r="AX137" s="68">
        <v>220</v>
      </c>
      <c r="AY137" s="68">
        <v>65</v>
      </c>
      <c r="AZ137" s="68">
        <v>97</v>
      </c>
      <c r="BA137" s="68">
        <v>58</v>
      </c>
      <c r="BB137" s="68">
        <v>1</v>
      </c>
      <c r="BC137" s="68">
        <v>0</v>
      </c>
      <c r="BD137" s="68">
        <v>0</v>
      </c>
      <c r="BE137" s="68">
        <v>1</v>
      </c>
      <c r="BF137" s="68">
        <v>91</v>
      </c>
      <c r="BG137" s="68">
        <v>28</v>
      </c>
      <c r="BH137" s="68">
        <v>16</v>
      </c>
      <c r="BI137" s="68">
        <v>47</v>
      </c>
    </row>
    <row r="138" spans="1:61" ht="15.75" hidden="1" customHeight="1">
      <c r="A138" s="346"/>
      <c r="B138" s="65" t="s">
        <v>225</v>
      </c>
      <c r="C138" s="68">
        <v>161</v>
      </c>
      <c r="D138" s="68">
        <v>14</v>
      </c>
      <c r="E138" s="68">
        <v>147</v>
      </c>
      <c r="F138" s="68">
        <v>147</v>
      </c>
      <c r="G138" s="68">
        <v>0</v>
      </c>
      <c r="H138" s="68"/>
      <c r="I138" s="68"/>
      <c r="J138" s="68"/>
      <c r="K138" s="68"/>
      <c r="L138" s="68"/>
      <c r="M138" s="68"/>
      <c r="N138" s="68">
        <v>566</v>
      </c>
      <c r="O138" s="68">
        <v>113</v>
      </c>
      <c r="P138" s="68">
        <v>86</v>
      </c>
      <c r="Q138" s="68">
        <v>367</v>
      </c>
      <c r="R138" s="68">
        <v>221</v>
      </c>
      <c r="S138" s="68">
        <v>42</v>
      </c>
      <c r="T138" s="68">
        <v>6</v>
      </c>
      <c r="U138" s="68">
        <v>173</v>
      </c>
      <c r="V138" s="68">
        <v>167</v>
      </c>
      <c r="W138" s="68">
        <v>30</v>
      </c>
      <c r="X138" s="68">
        <v>27</v>
      </c>
      <c r="Y138" s="68">
        <v>110</v>
      </c>
      <c r="Z138" s="68">
        <v>85</v>
      </c>
      <c r="AA138" s="68">
        <v>17</v>
      </c>
      <c r="AB138" s="68">
        <v>44</v>
      </c>
      <c r="AC138" s="68">
        <v>24</v>
      </c>
      <c r="AD138" s="68">
        <v>0</v>
      </c>
      <c r="AE138" s="68">
        <v>0</v>
      </c>
      <c r="AF138" s="68">
        <v>0</v>
      </c>
      <c r="AG138" s="68">
        <v>0</v>
      </c>
      <c r="AH138" s="68">
        <v>93</v>
      </c>
      <c r="AI138" s="68">
        <v>24</v>
      </c>
      <c r="AJ138" s="68">
        <v>9</v>
      </c>
      <c r="AK138" s="68">
        <v>60</v>
      </c>
      <c r="AL138" s="68">
        <v>1013</v>
      </c>
      <c r="AM138" s="68">
        <v>184</v>
      </c>
      <c r="AN138" s="68">
        <v>156</v>
      </c>
      <c r="AO138" s="68">
        <v>673</v>
      </c>
      <c r="AP138" s="68">
        <v>421</v>
      </c>
      <c r="AQ138" s="68">
        <v>68</v>
      </c>
      <c r="AR138" s="68">
        <v>11</v>
      </c>
      <c r="AS138" s="68">
        <v>342</v>
      </c>
      <c r="AT138" s="68">
        <v>274</v>
      </c>
      <c r="AU138" s="68">
        <v>45</v>
      </c>
      <c r="AV138" s="68">
        <v>39</v>
      </c>
      <c r="AW138" s="68">
        <v>190</v>
      </c>
      <c r="AX138" s="68">
        <v>159</v>
      </c>
      <c r="AY138" s="68">
        <v>34</v>
      </c>
      <c r="AZ138" s="68">
        <v>86</v>
      </c>
      <c r="BA138" s="68">
        <v>39</v>
      </c>
      <c r="BB138" s="68">
        <v>0</v>
      </c>
      <c r="BC138" s="68">
        <v>0</v>
      </c>
      <c r="BD138" s="68">
        <v>0</v>
      </c>
      <c r="BE138" s="68">
        <v>0</v>
      </c>
      <c r="BF138" s="68">
        <v>159</v>
      </c>
      <c r="BG138" s="68">
        <v>37</v>
      </c>
      <c r="BH138" s="68">
        <v>20</v>
      </c>
      <c r="BI138" s="68">
        <v>102</v>
      </c>
    </row>
    <row r="139" spans="1:61" ht="15.75" hidden="1" customHeight="1">
      <c r="A139" s="63" t="s">
        <v>219</v>
      </c>
      <c r="B139" s="64" t="s">
        <v>223</v>
      </c>
      <c r="C139" s="67">
        <v>188</v>
      </c>
      <c r="D139" s="67">
        <v>20</v>
      </c>
      <c r="E139" s="67">
        <v>168</v>
      </c>
      <c r="F139" s="67">
        <v>81</v>
      </c>
      <c r="G139" s="67">
        <v>87</v>
      </c>
      <c r="H139" s="67">
        <v>50</v>
      </c>
      <c r="I139" s="67">
        <v>376</v>
      </c>
      <c r="J139" s="67">
        <v>9</v>
      </c>
      <c r="K139" s="67">
        <v>13</v>
      </c>
      <c r="L139" s="67">
        <v>41</v>
      </c>
      <c r="M139" s="67">
        <v>363</v>
      </c>
      <c r="N139" s="67">
        <v>878</v>
      </c>
      <c r="O139" s="67">
        <v>161</v>
      </c>
      <c r="P139" s="67">
        <v>116</v>
      </c>
      <c r="Q139" s="67">
        <v>601</v>
      </c>
      <c r="R139" s="67">
        <v>308</v>
      </c>
      <c r="S139" s="67">
        <v>36</v>
      </c>
      <c r="T139" s="67">
        <v>5</v>
      </c>
      <c r="U139" s="67">
        <v>267</v>
      </c>
      <c r="V139" s="67">
        <v>254</v>
      </c>
      <c r="W139" s="67">
        <v>48</v>
      </c>
      <c r="X139" s="67">
        <v>33</v>
      </c>
      <c r="Y139" s="67">
        <v>173</v>
      </c>
      <c r="Z139" s="67">
        <v>165</v>
      </c>
      <c r="AA139" s="67">
        <v>44</v>
      </c>
      <c r="AB139" s="67">
        <v>56</v>
      </c>
      <c r="AC139" s="67">
        <v>65</v>
      </c>
      <c r="AD139" s="67">
        <v>1</v>
      </c>
      <c r="AE139" s="67">
        <v>0</v>
      </c>
      <c r="AF139" s="67">
        <v>0</v>
      </c>
      <c r="AG139" s="67">
        <v>1</v>
      </c>
      <c r="AH139" s="67">
        <v>150</v>
      </c>
      <c r="AI139" s="67">
        <v>33</v>
      </c>
      <c r="AJ139" s="67">
        <v>22</v>
      </c>
      <c r="AK139" s="67">
        <v>95</v>
      </c>
      <c r="AL139" s="67">
        <v>1192</v>
      </c>
      <c r="AM139" s="67">
        <v>210</v>
      </c>
      <c r="AN139" s="67">
        <v>167</v>
      </c>
      <c r="AO139" s="67">
        <v>815</v>
      </c>
      <c r="AP139" s="67">
        <v>405</v>
      </c>
      <c r="AQ139" s="67">
        <v>44</v>
      </c>
      <c r="AR139" s="67">
        <v>9</v>
      </c>
      <c r="AS139" s="67">
        <v>352</v>
      </c>
      <c r="AT139" s="67">
        <v>365</v>
      </c>
      <c r="AU139" s="67">
        <v>63</v>
      </c>
      <c r="AV139" s="67">
        <v>46</v>
      </c>
      <c r="AW139" s="67">
        <v>256</v>
      </c>
      <c r="AX139" s="67">
        <v>210</v>
      </c>
      <c r="AY139" s="67">
        <v>58</v>
      </c>
      <c r="AZ139" s="67">
        <v>78</v>
      </c>
      <c r="BA139" s="67">
        <v>74</v>
      </c>
      <c r="BB139" s="67">
        <v>2</v>
      </c>
      <c r="BC139" s="67">
        <v>0</v>
      </c>
      <c r="BD139" s="67">
        <v>1</v>
      </c>
      <c r="BE139" s="67">
        <v>1</v>
      </c>
      <c r="BF139" s="67">
        <v>210</v>
      </c>
      <c r="BG139" s="67">
        <v>45</v>
      </c>
      <c r="BH139" s="67">
        <v>33</v>
      </c>
      <c r="BI139" s="67">
        <v>132</v>
      </c>
    </row>
    <row r="140" spans="1:61" ht="15.75" hidden="1" customHeight="1">
      <c r="A140" s="345" t="s">
        <v>20</v>
      </c>
      <c r="B140" s="65" t="s">
        <v>224</v>
      </c>
      <c r="C140" s="68">
        <v>38</v>
      </c>
      <c r="D140" s="68">
        <v>1</v>
      </c>
      <c r="E140" s="68">
        <v>37</v>
      </c>
      <c r="F140" s="68">
        <v>17</v>
      </c>
      <c r="G140" s="68">
        <v>20</v>
      </c>
      <c r="H140" s="68"/>
      <c r="I140" s="68"/>
      <c r="J140" s="68"/>
      <c r="K140" s="68"/>
      <c r="L140" s="68"/>
      <c r="M140" s="68"/>
      <c r="N140" s="68">
        <v>397</v>
      </c>
      <c r="O140" s="68">
        <v>87</v>
      </c>
      <c r="P140" s="68">
        <v>58</v>
      </c>
      <c r="Q140" s="68">
        <v>252</v>
      </c>
      <c r="R140" s="68">
        <v>92</v>
      </c>
      <c r="S140" s="68">
        <v>9</v>
      </c>
      <c r="T140" s="68">
        <v>2</v>
      </c>
      <c r="U140" s="68">
        <v>81</v>
      </c>
      <c r="V140" s="68">
        <v>139</v>
      </c>
      <c r="W140" s="68">
        <v>25</v>
      </c>
      <c r="X140" s="68">
        <v>17</v>
      </c>
      <c r="Y140" s="68">
        <v>97</v>
      </c>
      <c r="Z140" s="68">
        <v>101</v>
      </c>
      <c r="AA140" s="68">
        <v>37</v>
      </c>
      <c r="AB140" s="68">
        <v>32</v>
      </c>
      <c r="AC140" s="68">
        <v>32</v>
      </c>
      <c r="AD140" s="68">
        <v>0</v>
      </c>
      <c r="AE140" s="68">
        <v>0</v>
      </c>
      <c r="AF140" s="68">
        <v>0</v>
      </c>
      <c r="AG140" s="68">
        <v>0</v>
      </c>
      <c r="AH140" s="68">
        <v>65</v>
      </c>
      <c r="AI140" s="68">
        <v>16</v>
      </c>
      <c r="AJ140" s="68">
        <v>7</v>
      </c>
      <c r="AK140" s="68">
        <v>42</v>
      </c>
      <c r="AL140" s="68">
        <v>563</v>
      </c>
      <c r="AM140" s="68">
        <v>113</v>
      </c>
      <c r="AN140" s="68">
        <v>92</v>
      </c>
      <c r="AO140" s="68">
        <v>358</v>
      </c>
      <c r="AP140" s="68">
        <v>134</v>
      </c>
      <c r="AQ140" s="68">
        <v>10</v>
      </c>
      <c r="AR140" s="68">
        <v>6</v>
      </c>
      <c r="AS140" s="68">
        <v>118</v>
      </c>
      <c r="AT140" s="68">
        <v>200</v>
      </c>
      <c r="AU140" s="68">
        <v>34</v>
      </c>
      <c r="AV140" s="68">
        <v>27</v>
      </c>
      <c r="AW140" s="68">
        <v>139</v>
      </c>
      <c r="AX140" s="68">
        <v>131</v>
      </c>
      <c r="AY140" s="68">
        <v>50</v>
      </c>
      <c r="AZ140" s="68">
        <v>46</v>
      </c>
      <c r="BA140" s="68">
        <v>35</v>
      </c>
      <c r="BB140" s="68">
        <v>1</v>
      </c>
      <c r="BC140" s="68">
        <v>0</v>
      </c>
      <c r="BD140" s="68">
        <v>1</v>
      </c>
      <c r="BE140" s="68">
        <v>0</v>
      </c>
      <c r="BF140" s="68">
        <v>97</v>
      </c>
      <c r="BG140" s="68">
        <v>19</v>
      </c>
      <c r="BH140" s="68">
        <v>12</v>
      </c>
      <c r="BI140" s="68">
        <v>66</v>
      </c>
    </row>
    <row r="141" spans="1:61" ht="15.75" hidden="1" customHeight="1">
      <c r="A141" s="346"/>
      <c r="B141" s="65" t="s">
        <v>225</v>
      </c>
      <c r="C141" s="68">
        <v>150</v>
      </c>
      <c r="D141" s="68">
        <v>19</v>
      </c>
      <c r="E141" s="68">
        <v>131</v>
      </c>
      <c r="F141" s="68">
        <v>64</v>
      </c>
      <c r="G141" s="68">
        <v>67</v>
      </c>
      <c r="H141" s="68"/>
      <c r="I141" s="68"/>
      <c r="J141" s="68"/>
      <c r="K141" s="68"/>
      <c r="L141" s="68"/>
      <c r="M141" s="68"/>
      <c r="N141" s="68">
        <v>481</v>
      </c>
      <c r="O141" s="68">
        <v>74</v>
      </c>
      <c r="P141" s="68">
        <v>58</v>
      </c>
      <c r="Q141" s="68">
        <v>349</v>
      </c>
      <c r="R141" s="68">
        <v>216</v>
      </c>
      <c r="S141" s="68">
        <v>27</v>
      </c>
      <c r="T141" s="68">
        <v>3</v>
      </c>
      <c r="U141" s="68">
        <v>186</v>
      </c>
      <c r="V141" s="68">
        <v>115</v>
      </c>
      <c r="W141" s="68">
        <v>23</v>
      </c>
      <c r="X141" s="68">
        <v>16</v>
      </c>
      <c r="Y141" s="68">
        <v>76</v>
      </c>
      <c r="Z141" s="68">
        <v>64</v>
      </c>
      <c r="AA141" s="68">
        <v>7</v>
      </c>
      <c r="AB141" s="68">
        <v>24</v>
      </c>
      <c r="AC141" s="68">
        <v>33</v>
      </c>
      <c r="AD141" s="68">
        <v>1</v>
      </c>
      <c r="AE141" s="68">
        <v>0</v>
      </c>
      <c r="AF141" s="68">
        <v>0</v>
      </c>
      <c r="AG141" s="68">
        <v>1</v>
      </c>
      <c r="AH141" s="68">
        <v>85</v>
      </c>
      <c r="AI141" s="68">
        <v>17</v>
      </c>
      <c r="AJ141" s="68">
        <v>15</v>
      </c>
      <c r="AK141" s="68">
        <v>53</v>
      </c>
      <c r="AL141" s="68">
        <v>629</v>
      </c>
      <c r="AM141" s="68">
        <v>97</v>
      </c>
      <c r="AN141" s="68">
        <v>75</v>
      </c>
      <c r="AO141" s="68">
        <v>457</v>
      </c>
      <c r="AP141" s="68">
        <v>271</v>
      </c>
      <c r="AQ141" s="68">
        <v>34</v>
      </c>
      <c r="AR141" s="68">
        <v>3</v>
      </c>
      <c r="AS141" s="68">
        <v>234</v>
      </c>
      <c r="AT141" s="68">
        <v>165</v>
      </c>
      <c r="AU141" s="68">
        <v>29</v>
      </c>
      <c r="AV141" s="68">
        <v>19</v>
      </c>
      <c r="AW141" s="68">
        <v>117</v>
      </c>
      <c r="AX141" s="68">
        <v>79</v>
      </c>
      <c r="AY141" s="68">
        <v>8</v>
      </c>
      <c r="AZ141" s="68">
        <v>32</v>
      </c>
      <c r="BA141" s="68">
        <v>39</v>
      </c>
      <c r="BB141" s="68">
        <v>1</v>
      </c>
      <c r="BC141" s="68">
        <v>0</v>
      </c>
      <c r="BD141" s="68">
        <v>0</v>
      </c>
      <c r="BE141" s="68">
        <v>1</v>
      </c>
      <c r="BF141" s="68">
        <v>113</v>
      </c>
      <c r="BG141" s="68">
        <v>26</v>
      </c>
      <c r="BH141" s="68">
        <v>21</v>
      </c>
      <c r="BI141" s="68">
        <v>66</v>
      </c>
    </row>
    <row r="142" spans="1:61" ht="15.75" hidden="1" customHeight="1">
      <c r="A142" s="63" t="s">
        <v>220</v>
      </c>
      <c r="B142" s="64" t="s">
        <v>223</v>
      </c>
      <c r="C142" s="67">
        <v>263</v>
      </c>
      <c r="D142" s="67">
        <v>26</v>
      </c>
      <c r="E142" s="67">
        <v>237</v>
      </c>
      <c r="F142" s="67">
        <v>86</v>
      </c>
      <c r="G142" s="67">
        <v>151</v>
      </c>
      <c r="H142" s="67">
        <v>90</v>
      </c>
      <c r="I142" s="67">
        <v>410</v>
      </c>
      <c r="J142" s="67">
        <v>20</v>
      </c>
      <c r="K142" s="67">
        <v>21</v>
      </c>
      <c r="L142" s="67">
        <v>70</v>
      </c>
      <c r="M142" s="67">
        <v>389</v>
      </c>
      <c r="N142" s="67">
        <v>1501</v>
      </c>
      <c r="O142" s="67">
        <v>181</v>
      </c>
      <c r="P142" s="67">
        <v>170</v>
      </c>
      <c r="Q142" s="67">
        <v>1150</v>
      </c>
      <c r="R142" s="67">
        <v>827</v>
      </c>
      <c r="S142" s="67">
        <v>99</v>
      </c>
      <c r="T142" s="67">
        <v>52</v>
      </c>
      <c r="U142" s="67">
        <v>676</v>
      </c>
      <c r="V142" s="67">
        <v>341</v>
      </c>
      <c r="W142" s="67">
        <v>46</v>
      </c>
      <c r="X142" s="67">
        <v>42</v>
      </c>
      <c r="Y142" s="67">
        <v>253</v>
      </c>
      <c r="Z142" s="67">
        <v>137</v>
      </c>
      <c r="AA142" s="67">
        <v>13</v>
      </c>
      <c r="AB142" s="67">
        <v>62</v>
      </c>
      <c r="AC142" s="67">
        <v>62</v>
      </c>
      <c r="AD142" s="67">
        <v>0</v>
      </c>
      <c r="AE142" s="67">
        <v>0</v>
      </c>
      <c r="AF142" s="67">
        <v>0</v>
      </c>
      <c r="AG142" s="67">
        <v>0</v>
      </c>
      <c r="AH142" s="67">
        <v>196</v>
      </c>
      <c r="AI142" s="67">
        <v>23</v>
      </c>
      <c r="AJ142" s="67">
        <v>14</v>
      </c>
      <c r="AK142" s="67">
        <v>159</v>
      </c>
      <c r="AL142" s="67">
        <v>2620</v>
      </c>
      <c r="AM142" s="67">
        <v>294</v>
      </c>
      <c r="AN142" s="67">
        <v>186</v>
      </c>
      <c r="AO142" s="67">
        <v>2140</v>
      </c>
      <c r="AP142" s="67">
        <v>1579</v>
      </c>
      <c r="AQ142" s="67">
        <v>176</v>
      </c>
      <c r="AR142" s="67">
        <v>96</v>
      </c>
      <c r="AS142" s="67">
        <v>1307</v>
      </c>
      <c r="AT142" s="67">
        <v>699</v>
      </c>
      <c r="AU142" s="67">
        <v>78</v>
      </c>
      <c r="AV142" s="67">
        <v>72</v>
      </c>
      <c r="AW142" s="67">
        <v>549</v>
      </c>
      <c r="AX142" s="67">
        <v>0</v>
      </c>
      <c r="AY142" s="67">
        <v>0</v>
      </c>
      <c r="AZ142" s="67">
        <v>0</v>
      </c>
      <c r="BA142" s="67">
        <v>0</v>
      </c>
      <c r="BB142" s="67">
        <v>0</v>
      </c>
      <c r="BC142" s="67">
        <v>0</v>
      </c>
      <c r="BD142" s="67">
        <v>0</v>
      </c>
      <c r="BE142" s="67">
        <v>0</v>
      </c>
      <c r="BF142" s="67">
        <v>342</v>
      </c>
      <c r="BG142" s="67">
        <v>40</v>
      </c>
      <c r="BH142" s="67">
        <v>18</v>
      </c>
      <c r="BI142" s="67">
        <v>284</v>
      </c>
    </row>
    <row r="143" spans="1:61" ht="15.75" hidden="1" customHeight="1">
      <c r="A143" s="345" t="s">
        <v>21</v>
      </c>
      <c r="B143" s="65" t="s">
        <v>224</v>
      </c>
      <c r="C143" s="68">
        <v>30</v>
      </c>
      <c r="D143" s="68">
        <v>2</v>
      </c>
      <c r="E143" s="68">
        <v>28</v>
      </c>
      <c r="F143" s="68">
        <v>7</v>
      </c>
      <c r="G143" s="68">
        <v>21</v>
      </c>
      <c r="H143" s="68"/>
      <c r="I143" s="68"/>
      <c r="J143" s="68"/>
      <c r="K143" s="68"/>
      <c r="L143" s="68"/>
      <c r="M143" s="68"/>
      <c r="N143" s="68">
        <v>585</v>
      </c>
      <c r="O143" s="68">
        <v>71</v>
      </c>
      <c r="P143" s="68">
        <v>86</v>
      </c>
      <c r="Q143" s="68">
        <v>428</v>
      </c>
      <c r="R143" s="68">
        <v>297</v>
      </c>
      <c r="S143" s="68">
        <v>36</v>
      </c>
      <c r="T143" s="68">
        <v>26</v>
      </c>
      <c r="U143" s="68">
        <v>235</v>
      </c>
      <c r="V143" s="68">
        <v>151</v>
      </c>
      <c r="W143" s="68">
        <v>18</v>
      </c>
      <c r="X143" s="68">
        <v>24</v>
      </c>
      <c r="Y143" s="68">
        <v>109</v>
      </c>
      <c r="Z143" s="68">
        <v>69</v>
      </c>
      <c r="AA143" s="68">
        <v>7</v>
      </c>
      <c r="AB143" s="68">
        <v>30</v>
      </c>
      <c r="AC143" s="68">
        <v>32</v>
      </c>
      <c r="AD143" s="68">
        <v>0</v>
      </c>
      <c r="AE143" s="68">
        <v>0</v>
      </c>
      <c r="AF143" s="68">
        <v>0</v>
      </c>
      <c r="AG143" s="68">
        <v>0</v>
      </c>
      <c r="AH143" s="68">
        <v>68</v>
      </c>
      <c r="AI143" s="68">
        <v>10</v>
      </c>
      <c r="AJ143" s="68">
        <v>6</v>
      </c>
      <c r="AK143" s="68">
        <v>52</v>
      </c>
      <c r="AL143" s="68">
        <v>1002</v>
      </c>
      <c r="AM143" s="68">
        <v>109</v>
      </c>
      <c r="AN143" s="68">
        <v>90</v>
      </c>
      <c r="AO143" s="68">
        <v>803</v>
      </c>
      <c r="AP143" s="68">
        <v>578</v>
      </c>
      <c r="AQ143" s="68">
        <v>64</v>
      </c>
      <c r="AR143" s="68">
        <v>44</v>
      </c>
      <c r="AS143" s="68">
        <v>470</v>
      </c>
      <c r="AT143" s="68">
        <v>304</v>
      </c>
      <c r="AU143" s="68">
        <v>31</v>
      </c>
      <c r="AV143" s="68">
        <v>39</v>
      </c>
      <c r="AW143" s="68">
        <v>234</v>
      </c>
      <c r="AX143" s="68">
        <v>0</v>
      </c>
      <c r="AY143" s="68">
        <v>0</v>
      </c>
      <c r="AZ143" s="68">
        <v>0</v>
      </c>
      <c r="BA143" s="68">
        <v>0</v>
      </c>
      <c r="BB143" s="68">
        <v>0</v>
      </c>
      <c r="BC143" s="68">
        <v>0</v>
      </c>
      <c r="BD143" s="68">
        <v>0</v>
      </c>
      <c r="BE143" s="68">
        <v>0</v>
      </c>
      <c r="BF143" s="68">
        <v>120</v>
      </c>
      <c r="BG143" s="68">
        <v>14</v>
      </c>
      <c r="BH143" s="68">
        <v>7</v>
      </c>
      <c r="BI143" s="68">
        <v>99</v>
      </c>
    </row>
    <row r="144" spans="1:61" ht="15.75" hidden="1" customHeight="1">
      <c r="A144" s="346"/>
      <c r="B144" s="65" t="s">
        <v>225</v>
      </c>
      <c r="C144" s="68">
        <v>233</v>
      </c>
      <c r="D144" s="68">
        <v>24</v>
      </c>
      <c r="E144" s="68">
        <v>209</v>
      </c>
      <c r="F144" s="68">
        <v>79</v>
      </c>
      <c r="G144" s="68">
        <v>130</v>
      </c>
      <c r="H144" s="68"/>
      <c r="I144" s="68"/>
      <c r="J144" s="68"/>
      <c r="K144" s="68"/>
      <c r="L144" s="68"/>
      <c r="M144" s="68"/>
      <c r="N144" s="68">
        <v>916</v>
      </c>
      <c r="O144" s="68">
        <v>110</v>
      </c>
      <c r="P144" s="68">
        <v>84</v>
      </c>
      <c r="Q144" s="68">
        <v>722</v>
      </c>
      <c r="R144" s="68">
        <v>530</v>
      </c>
      <c r="S144" s="68">
        <v>63</v>
      </c>
      <c r="T144" s="68">
        <v>26</v>
      </c>
      <c r="U144" s="68">
        <v>441</v>
      </c>
      <c r="V144" s="68">
        <v>190</v>
      </c>
      <c r="W144" s="68">
        <v>28</v>
      </c>
      <c r="X144" s="68">
        <v>18</v>
      </c>
      <c r="Y144" s="68">
        <v>144</v>
      </c>
      <c r="Z144" s="68">
        <v>68</v>
      </c>
      <c r="AA144" s="68">
        <v>6</v>
      </c>
      <c r="AB144" s="68">
        <v>32</v>
      </c>
      <c r="AC144" s="68">
        <v>30</v>
      </c>
      <c r="AD144" s="68">
        <v>0</v>
      </c>
      <c r="AE144" s="68">
        <v>0</v>
      </c>
      <c r="AF144" s="68">
        <v>0</v>
      </c>
      <c r="AG144" s="68">
        <v>0</v>
      </c>
      <c r="AH144" s="68">
        <v>128</v>
      </c>
      <c r="AI144" s="68">
        <v>13</v>
      </c>
      <c r="AJ144" s="68">
        <v>8</v>
      </c>
      <c r="AK144" s="68">
        <v>107</v>
      </c>
      <c r="AL144" s="68">
        <v>1618</v>
      </c>
      <c r="AM144" s="68">
        <v>185</v>
      </c>
      <c r="AN144" s="68">
        <v>96</v>
      </c>
      <c r="AO144" s="68">
        <v>1337</v>
      </c>
      <c r="AP144" s="68">
        <v>1001</v>
      </c>
      <c r="AQ144" s="68">
        <v>112</v>
      </c>
      <c r="AR144" s="68">
        <v>52</v>
      </c>
      <c r="AS144" s="68">
        <v>837</v>
      </c>
      <c r="AT144" s="68">
        <v>395</v>
      </c>
      <c r="AU144" s="68">
        <v>47</v>
      </c>
      <c r="AV144" s="68">
        <v>33</v>
      </c>
      <c r="AW144" s="68">
        <v>315</v>
      </c>
      <c r="AX144" s="68">
        <v>0</v>
      </c>
      <c r="AY144" s="68">
        <v>0</v>
      </c>
      <c r="AZ144" s="68">
        <v>0</v>
      </c>
      <c r="BA144" s="68">
        <v>0</v>
      </c>
      <c r="BB144" s="68">
        <v>0</v>
      </c>
      <c r="BC144" s="68">
        <v>0</v>
      </c>
      <c r="BD144" s="68">
        <v>0</v>
      </c>
      <c r="BE144" s="68">
        <v>0</v>
      </c>
      <c r="BF144" s="68">
        <v>222</v>
      </c>
      <c r="BG144" s="68">
        <v>26</v>
      </c>
      <c r="BH144" s="68">
        <v>11</v>
      </c>
      <c r="BI144" s="68">
        <v>185</v>
      </c>
    </row>
    <row r="145" spans="1:61" ht="15.75" hidden="1" customHeight="1">
      <c r="A145" s="63" t="s">
        <v>221</v>
      </c>
      <c r="B145" s="64" t="s">
        <v>223</v>
      </c>
      <c r="C145" s="67">
        <v>90</v>
      </c>
      <c r="D145" s="67">
        <v>5</v>
      </c>
      <c r="E145" s="67">
        <v>85</v>
      </c>
      <c r="F145" s="67">
        <v>17</v>
      </c>
      <c r="G145" s="67">
        <v>68</v>
      </c>
      <c r="H145" s="67">
        <v>11</v>
      </c>
      <c r="I145" s="67">
        <v>175</v>
      </c>
      <c r="J145" s="67">
        <v>0</v>
      </c>
      <c r="K145" s="67">
        <v>0</v>
      </c>
      <c r="L145" s="67">
        <v>11</v>
      </c>
      <c r="M145" s="67">
        <v>175</v>
      </c>
      <c r="N145" s="67">
        <v>352</v>
      </c>
      <c r="O145" s="67">
        <v>16</v>
      </c>
      <c r="P145" s="67">
        <v>3</v>
      </c>
      <c r="Q145" s="67">
        <v>333</v>
      </c>
      <c r="R145" s="67">
        <v>168</v>
      </c>
      <c r="S145" s="67">
        <v>1</v>
      </c>
      <c r="T145" s="67">
        <v>0</v>
      </c>
      <c r="U145" s="67">
        <v>167</v>
      </c>
      <c r="V145" s="67">
        <v>124</v>
      </c>
      <c r="W145" s="67">
        <v>7</v>
      </c>
      <c r="X145" s="67">
        <v>0</v>
      </c>
      <c r="Y145" s="67">
        <v>117</v>
      </c>
      <c r="Z145" s="67">
        <v>35</v>
      </c>
      <c r="AA145" s="67">
        <v>6</v>
      </c>
      <c r="AB145" s="67">
        <v>3</v>
      </c>
      <c r="AC145" s="67">
        <v>26</v>
      </c>
      <c r="AD145" s="67">
        <v>0</v>
      </c>
      <c r="AE145" s="67">
        <v>0</v>
      </c>
      <c r="AF145" s="67">
        <v>0</v>
      </c>
      <c r="AG145" s="67">
        <v>0</v>
      </c>
      <c r="AH145" s="67">
        <v>25</v>
      </c>
      <c r="AI145" s="67">
        <v>2</v>
      </c>
      <c r="AJ145" s="67">
        <v>0</v>
      </c>
      <c r="AK145" s="67">
        <v>23</v>
      </c>
      <c r="AL145" s="67">
        <v>504</v>
      </c>
      <c r="AM145" s="67">
        <v>23</v>
      </c>
      <c r="AN145" s="67">
        <v>4</v>
      </c>
      <c r="AO145" s="67">
        <v>477</v>
      </c>
      <c r="AP145" s="67">
        <v>216</v>
      </c>
      <c r="AQ145" s="67">
        <v>5</v>
      </c>
      <c r="AR145" s="67">
        <v>0</v>
      </c>
      <c r="AS145" s="67">
        <v>211</v>
      </c>
      <c r="AT145" s="67">
        <v>222</v>
      </c>
      <c r="AU145" s="67">
        <v>8</v>
      </c>
      <c r="AV145" s="67">
        <v>0</v>
      </c>
      <c r="AW145" s="67">
        <v>214</v>
      </c>
      <c r="AX145" s="67">
        <v>51</v>
      </c>
      <c r="AY145" s="67">
        <v>10</v>
      </c>
      <c r="AZ145" s="67">
        <v>4</v>
      </c>
      <c r="BA145" s="67">
        <v>37</v>
      </c>
      <c r="BB145" s="67">
        <v>0</v>
      </c>
      <c r="BC145" s="67">
        <v>0</v>
      </c>
      <c r="BD145" s="67">
        <v>0</v>
      </c>
      <c r="BE145" s="67">
        <v>0</v>
      </c>
      <c r="BF145" s="67">
        <v>15</v>
      </c>
      <c r="BG145" s="67">
        <v>0</v>
      </c>
      <c r="BH145" s="67">
        <v>0</v>
      </c>
      <c r="BI145" s="67">
        <v>15</v>
      </c>
    </row>
    <row r="146" spans="1:61" ht="15.75" hidden="1" customHeight="1">
      <c r="A146" s="345" t="s">
        <v>22</v>
      </c>
      <c r="B146" s="65" t="s">
        <v>224</v>
      </c>
      <c r="C146" s="68">
        <v>8</v>
      </c>
      <c r="D146" s="68">
        <v>1</v>
      </c>
      <c r="E146" s="68">
        <v>7</v>
      </c>
      <c r="F146" s="68">
        <v>0</v>
      </c>
      <c r="G146" s="68">
        <v>7</v>
      </c>
      <c r="H146" s="68"/>
      <c r="I146" s="68"/>
      <c r="J146" s="68"/>
      <c r="K146" s="68"/>
      <c r="L146" s="68"/>
      <c r="M146" s="68"/>
      <c r="N146" s="68">
        <v>132</v>
      </c>
      <c r="O146" s="68">
        <v>11</v>
      </c>
      <c r="P146" s="68">
        <v>2</v>
      </c>
      <c r="Q146" s="68">
        <v>119</v>
      </c>
      <c r="R146" s="68">
        <v>51</v>
      </c>
      <c r="S146" s="68">
        <v>0</v>
      </c>
      <c r="T146" s="68">
        <v>0</v>
      </c>
      <c r="U146" s="68">
        <v>51</v>
      </c>
      <c r="V146" s="68">
        <v>51</v>
      </c>
      <c r="W146" s="68">
        <v>5</v>
      </c>
      <c r="X146" s="68">
        <v>0</v>
      </c>
      <c r="Y146" s="68">
        <v>46</v>
      </c>
      <c r="Z146" s="68">
        <v>21</v>
      </c>
      <c r="AA146" s="68">
        <v>5</v>
      </c>
      <c r="AB146" s="68">
        <v>2</v>
      </c>
      <c r="AC146" s="68">
        <v>14</v>
      </c>
      <c r="AD146" s="68">
        <v>0</v>
      </c>
      <c r="AE146" s="68">
        <v>0</v>
      </c>
      <c r="AF146" s="68">
        <v>0</v>
      </c>
      <c r="AG146" s="68">
        <v>0</v>
      </c>
      <c r="AH146" s="68">
        <v>9</v>
      </c>
      <c r="AI146" s="68">
        <v>1</v>
      </c>
      <c r="AJ146" s="68">
        <v>0</v>
      </c>
      <c r="AK146" s="68">
        <v>8</v>
      </c>
      <c r="AL146" s="68">
        <v>186</v>
      </c>
      <c r="AM146" s="68">
        <v>15</v>
      </c>
      <c r="AN146" s="68">
        <v>3</v>
      </c>
      <c r="AO146" s="68">
        <v>168</v>
      </c>
      <c r="AP146" s="68">
        <v>67</v>
      </c>
      <c r="AQ146" s="68">
        <v>3</v>
      </c>
      <c r="AR146" s="68">
        <v>0</v>
      </c>
      <c r="AS146" s="68">
        <v>64</v>
      </c>
      <c r="AT146" s="68">
        <v>93</v>
      </c>
      <c r="AU146" s="68">
        <v>5</v>
      </c>
      <c r="AV146" s="68">
        <v>0</v>
      </c>
      <c r="AW146" s="68">
        <v>88</v>
      </c>
      <c r="AX146" s="68">
        <v>24</v>
      </c>
      <c r="AY146" s="68">
        <v>7</v>
      </c>
      <c r="AZ146" s="68">
        <v>3</v>
      </c>
      <c r="BA146" s="68">
        <v>14</v>
      </c>
      <c r="BB146" s="68">
        <v>0</v>
      </c>
      <c r="BC146" s="68">
        <v>0</v>
      </c>
      <c r="BD146" s="68">
        <v>0</v>
      </c>
      <c r="BE146" s="68">
        <v>0</v>
      </c>
      <c r="BF146" s="68">
        <v>2</v>
      </c>
      <c r="BG146" s="68">
        <v>0</v>
      </c>
      <c r="BH146" s="68">
        <v>0</v>
      </c>
      <c r="BI146" s="68">
        <v>2</v>
      </c>
    </row>
    <row r="147" spans="1:61" ht="15.75" hidden="1" customHeight="1">
      <c r="A147" s="346"/>
      <c r="B147" s="65" t="s">
        <v>225</v>
      </c>
      <c r="C147" s="68">
        <v>82</v>
      </c>
      <c r="D147" s="68">
        <v>4</v>
      </c>
      <c r="E147" s="68">
        <v>78</v>
      </c>
      <c r="F147" s="68">
        <v>17</v>
      </c>
      <c r="G147" s="68">
        <v>61</v>
      </c>
      <c r="H147" s="68"/>
      <c r="I147" s="68"/>
      <c r="J147" s="68"/>
      <c r="K147" s="68"/>
      <c r="L147" s="68"/>
      <c r="M147" s="68"/>
      <c r="N147" s="68">
        <v>220</v>
      </c>
      <c r="O147" s="68">
        <v>5</v>
      </c>
      <c r="P147" s="68">
        <v>1</v>
      </c>
      <c r="Q147" s="68">
        <v>214</v>
      </c>
      <c r="R147" s="68">
        <v>117</v>
      </c>
      <c r="S147" s="68">
        <v>1</v>
      </c>
      <c r="T147" s="68">
        <v>0</v>
      </c>
      <c r="U147" s="68">
        <v>116</v>
      </c>
      <c r="V147" s="68">
        <v>73</v>
      </c>
      <c r="W147" s="68">
        <v>2</v>
      </c>
      <c r="X147" s="68">
        <v>0</v>
      </c>
      <c r="Y147" s="68">
        <v>71</v>
      </c>
      <c r="Z147" s="68">
        <v>14</v>
      </c>
      <c r="AA147" s="68">
        <v>1</v>
      </c>
      <c r="AB147" s="68">
        <v>1</v>
      </c>
      <c r="AC147" s="68">
        <v>12</v>
      </c>
      <c r="AD147" s="68">
        <v>0</v>
      </c>
      <c r="AE147" s="68">
        <v>0</v>
      </c>
      <c r="AF147" s="68">
        <v>0</v>
      </c>
      <c r="AG147" s="68">
        <v>0</v>
      </c>
      <c r="AH147" s="68">
        <v>16</v>
      </c>
      <c r="AI147" s="68">
        <v>1</v>
      </c>
      <c r="AJ147" s="68">
        <v>0</v>
      </c>
      <c r="AK147" s="68">
        <v>15</v>
      </c>
      <c r="AL147" s="68">
        <v>318</v>
      </c>
      <c r="AM147" s="68">
        <v>8</v>
      </c>
      <c r="AN147" s="68">
        <v>1</v>
      </c>
      <c r="AO147" s="68">
        <v>309</v>
      </c>
      <c r="AP147" s="68">
        <v>149</v>
      </c>
      <c r="AQ147" s="68">
        <v>2</v>
      </c>
      <c r="AR147" s="68">
        <v>0</v>
      </c>
      <c r="AS147" s="68">
        <v>147</v>
      </c>
      <c r="AT147" s="68">
        <v>129</v>
      </c>
      <c r="AU147" s="68">
        <v>3</v>
      </c>
      <c r="AV147" s="68">
        <v>0</v>
      </c>
      <c r="AW147" s="68">
        <v>126</v>
      </c>
      <c r="AX147" s="68">
        <v>27</v>
      </c>
      <c r="AY147" s="68">
        <v>3</v>
      </c>
      <c r="AZ147" s="68">
        <v>1</v>
      </c>
      <c r="BA147" s="68">
        <v>23</v>
      </c>
      <c r="BB147" s="68">
        <v>0</v>
      </c>
      <c r="BC147" s="68">
        <v>0</v>
      </c>
      <c r="BD147" s="68">
        <v>0</v>
      </c>
      <c r="BE147" s="68">
        <v>0</v>
      </c>
      <c r="BF147" s="68">
        <v>13</v>
      </c>
      <c r="BG147" s="68">
        <v>0</v>
      </c>
      <c r="BH147" s="68">
        <v>0</v>
      </c>
      <c r="BI147" s="68">
        <v>13</v>
      </c>
    </row>
    <row r="148" spans="1:61" ht="15.75" hidden="1" customHeight="1">
      <c r="A148" s="63" t="s">
        <v>222</v>
      </c>
      <c r="B148" s="64" t="s">
        <v>223</v>
      </c>
      <c r="C148" s="67">
        <v>7</v>
      </c>
      <c r="D148" s="67">
        <v>0</v>
      </c>
      <c r="E148" s="67">
        <v>7</v>
      </c>
      <c r="F148" s="67">
        <v>1</v>
      </c>
      <c r="G148" s="67">
        <v>6</v>
      </c>
      <c r="H148" s="67">
        <v>0</v>
      </c>
      <c r="I148" s="67">
        <v>15</v>
      </c>
      <c r="J148" s="67">
        <v>0</v>
      </c>
      <c r="K148" s="67">
        <v>0</v>
      </c>
      <c r="L148" s="67">
        <v>0</v>
      </c>
      <c r="M148" s="67">
        <v>15</v>
      </c>
      <c r="N148" s="67">
        <v>9</v>
      </c>
      <c r="O148" s="67">
        <v>3</v>
      </c>
      <c r="P148" s="67">
        <v>1</v>
      </c>
      <c r="Q148" s="67">
        <v>5</v>
      </c>
      <c r="R148" s="67">
        <v>8</v>
      </c>
      <c r="S148" s="67">
        <v>3</v>
      </c>
      <c r="T148" s="67">
        <v>0</v>
      </c>
      <c r="U148" s="67">
        <v>5</v>
      </c>
      <c r="V148" s="67">
        <v>0</v>
      </c>
      <c r="W148" s="67">
        <v>0</v>
      </c>
      <c r="X148" s="67">
        <v>0</v>
      </c>
      <c r="Y148" s="67">
        <v>0</v>
      </c>
      <c r="Z148" s="67">
        <v>1</v>
      </c>
      <c r="AA148" s="67">
        <v>0</v>
      </c>
      <c r="AB148" s="67">
        <v>1</v>
      </c>
      <c r="AC148" s="67">
        <v>0</v>
      </c>
      <c r="AD148" s="67">
        <v>0</v>
      </c>
      <c r="AE148" s="67">
        <v>0</v>
      </c>
      <c r="AF148" s="67">
        <v>0</v>
      </c>
      <c r="AG148" s="67">
        <v>0</v>
      </c>
      <c r="AH148" s="67">
        <v>0</v>
      </c>
      <c r="AI148" s="67">
        <v>0</v>
      </c>
      <c r="AJ148" s="67">
        <v>0</v>
      </c>
      <c r="AK148" s="67">
        <v>0</v>
      </c>
      <c r="AL148" s="67">
        <v>9</v>
      </c>
      <c r="AM148" s="67">
        <v>2</v>
      </c>
      <c r="AN148" s="67">
        <v>1</v>
      </c>
      <c r="AO148" s="67">
        <v>6</v>
      </c>
      <c r="AP148" s="67">
        <v>5</v>
      </c>
      <c r="AQ148" s="67">
        <v>0</v>
      </c>
      <c r="AR148" s="67">
        <v>0</v>
      </c>
      <c r="AS148" s="67">
        <v>5</v>
      </c>
      <c r="AT148" s="67">
        <v>1</v>
      </c>
      <c r="AU148" s="67">
        <v>1</v>
      </c>
      <c r="AV148" s="67">
        <v>0</v>
      </c>
      <c r="AW148" s="67">
        <v>0</v>
      </c>
      <c r="AX148" s="67">
        <v>3</v>
      </c>
      <c r="AY148" s="67">
        <v>1</v>
      </c>
      <c r="AZ148" s="67">
        <v>1</v>
      </c>
      <c r="BA148" s="67">
        <v>1</v>
      </c>
      <c r="BB148" s="67">
        <v>0</v>
      </c>
      <c r="BC148" s="67">
        <v>0</v>
      </c>
      <c r="BD148" s="67">
        <v>0</v>
      </c>
      <c r="BE148" s="67">
        <v>0</v>
      </c>
      <c r="BF148" s="67">
        <v>0</v>
      </c>
      <c r="BG148" s="67">
        <v>0</v>
      </c>
      <c r="BH148" s="67">
        <v>0</v>
      </c>
      <c r="BI148" s="67">
        <v>0</v>
      </c>
    </row>
    <row r="149" spans="1:61" ht="15.75" hidden="1" customHeight="1">
      <c r="A149" s="345" t="s">
        <v>23</v>
      </c>
      <c r="B149" s="65" t="s">
        <v>224</v>
      </c>
      <c r="C149" s="68">
        <v>1</v>
      </c>
      <c r="D149" s="68">
        <v>0</v>
      </c>
      <c r="E149" s="68">
        <v>1</v>
      </c>
      <c r="F149" s="68">
        <v>0</v>
      </c>
      <c r="G149" s="68">
        <v>1</v>
      </c>
      <c r="H149" s="68"/>
      <c r="I149" s="68"/>
      <c r="J149" s="68"/>
      <c r="K149" s="68"/>
      <c r="L149" s="68"/>
      <c r="M149" s="68"/>
      <c r="N149" s="68">
        <v>5</v>
      </c>
      <c r="O149" s="68">
        <v>2</v>
      </c>
      <c r="P149" s="68">
        <v>1</v>
      </c>
      <c r="Q149" s="68">
        <v>2</v>
      </c>
      <c r="R149" s="68">
        <v>4</v>
      </c>
      <c r="S149" s="68">
        <v>2</v>
      </c>
      <c r="T149" s="68">
        <v>0</v>
      </c>
      <c r="U149" s="68">
        <v>2</v>
      </c>
      <c r="V149" s="68">
        <v>0</v>
      </c>
      <c r="W149" s="68">
        <v>0</v>
      </c>
      <c r="X149" s="68">
        <v>0</v>
      </c>
      <c r="Y149" s="68">
        <v>0</v>
      </c>
      <c r="Z149" s="68">
        <v>1</v>
      </c>
      <c r="AA149" s="68">
        <v>0</v>
      </c>
      <c r="AB149" s="68">
        <v>1</v>
      </c>
      <c r="AC149" s="68">
        <v>0</v>
      </c>
      <c r="AD149" s="68">
        <v>0</v>
      </c>
      <c r="AE149" s="68">
        <v>0</v>
      </c>
      <c r="AF149" s="68">
        <v>0</v>
      </c>
      <c r="AG149" s="68">
        <v>0</v>
      </c>
      <c r="AH149" s="68">
        <v>0</v>
      </c>
      <c r="AI149" s="68">
        <v>0</v>
      </c>
      <c r="AJ149" s="68">
        <v>0</v>
      </c>
      <c r="AK149" s="68">
        <v>0</v>
      </c>
      <c r="AL149" s="68">
        <v>5</v>
      </c>
      <c r="AM149" s="68">
        <v>2</v>
      </c>
      <c r="AN149" s="68">
        <v>1</v>
      </c>
      <c r="AO149" s="68">
        <v>2</v>
      </c>
      <c r="AP149" s="68">
        <v>2</v>
      </c>
      <c r="AQ149" s="68">
        <v>0</v>
      </c>
      <c r="AR149" s="68">
        <v>0</v>
      </c>
      <c r="AS149" s="68">
        <v>2</v>
      </c>
      <c r="AT149" s="68">
        <v>1</v>
      </c>
      <c r="AU149" s="68">
        <v>1</v>
      </c>
      <c r="AV149" s="68">
        <v>0</v>
      </c>
      <c r="AW149" s="68">
        <v>0</v>
      </c>
      <c r="AX149" s="68">
        <v>2</v>
      </c>
      <c r="AY149" s="68">
        <v>1</v>
      </c>
      <c r="AZ149" s="68">
        <v>1</v>
      </c>
      <c r="BA149" s="68">
        <v>0</v>
      </c>
      <c r="BB149" s="68">
        <v>0</v>
      </c>
      <c r="BC149" s="68">
        <v>0</v>
      </c>
      <c r="BD149" s="68">
        <v>0</v>
      </c>
      <c r="BE149" s="68">
        <v>0</v>
      </c>
      <c r="BF149" s="68">
        <v>0</v>
      </c>
      <c r="BG149" s="68">
        <v>0</v>
      </c>
      <c r="BH149" s="68">
        <v>0</v>
      </c>
      <c r="BI149" s="68">
        <v>0</v>
      </c>
    </row>
    <row r="150" spans="1:61" ht="15.75" hidden="1" customHeight="1">
      <c r="A150" s="346"/>
      <c r="B150" s="66" t="s">
        <v>225</v>
      </c>
      <c r="C150" s="69">
        <v>6</v>
      </c>
      <c r="D150" s="69">
        <v>0</v>
      </c>
      <c r="E150" s="69">
        <v>6</v>
      </c>
      <c r="F150" s="69">
        <v>1</v>
      </c>
      <c r="G150" s="69">
        <v>5</v>
      </c>
      <c r="H150" s="69"/>
      <c r="I150" s="69"/>
      <c r="J150" s="69"/>
      <c r="K150" s="69"/>
      <c r="L150" s="69"/>
      <c r="M150" s="69"/>
      <c r="N150" s="69">
        <v>4</v>
      </c>
      <c r="O150" s="69">
        <v>1</v>
      </c>
      <c r="P150" s="69">
        <v>0</v>
      </c>
      <c r="Q150" s="69">
        <v>3</v>
      </c>
      <c r="R150" s="69">
        <v>4</v>
      </c>
      <c r="S150" s="69">
        <v>1</v>
      </c>
      <c r="T150" s="69">
        <v>0</v>
      </c>
      <c r="U150" s="69">
        <v>3</v>
      </c>
      <c r="V150" s="69">
        <v>0</v>
      </c>
      <c r="W150" s="69">
        <v>0</v>
      </c>
      <c r="X150" s="69">
        <v>0</v>
      </c>
      <c r="Y150" s="69">
        <v>0</v>
      </c>
      <c r="Z150" s="69">
        <v>0</v>
      </c>
      <c r="AA150" s="69">
        <v>0</v>
      </c>
      <c r="AB150" s="69">
        <v>0</v>
      </c>
      <c r="AC150" s="69">
        <v>0</v>
      </c>
      <c r="AD150" s="69">
        <v>0</v>
      </c>
      <c r="AE150" s="69">
        <v>0</v>
      </c>
      <c r="AF150" s="69">
        <v>0</v>
      </c>
      <c r="AG150" s="69">
        <v>0</v>
      </c>
      <c r="AH150" s="69">
        <v>0</v>
      </c>
      <c r="AI150" s="69">
        <v>0</v>
      </c>
      <c r="AJ150" s="69">
        <v>0</v>
      </c>
      <c r="AK150" s="69">
        <v>0</v>
      </c>
      <c r="AL150" s="69">
        <v>4</v>
      </c>
      <c r="AM150" s="69">
        <v>0</v>
      </c>
      <c r="AN150" s="69">
        <v>0</v>
      </c>
      <c r="AO150" s="69">
        <v>4</v>
      </c>
      <c r="AP150" s="69">
        <v>3</v>
      </c>
      <c r="AQ150" s="69">
        <v>0</v>
      </c>
      <c r="AR150" s="69">
        <v>0</v>
      </c>
      <c r="AS150" s="69">
        <v>3</v>
      </c>
      <c r="AT150" s="69">
        <v>0</v>
      </c>
      <c r="AU150" s="69">
        <v>0</v>
      </c>
      <c r="AV150" s="69">
        <v>0</v>
      </c>
      <c r="AW150" s="69">
        <v>0</v>
      </c>
      <c r="AX150" s="69">
        <v>1</v>
      </c>
      <c r="AY150" s="69">
        <v>0</v>
      </c>
      <c r="AZ150" s="69">
        <v>0</v>
      </c>
      <c r="BA150" s="69">
        <v>1</v>
      </c>
      <c r="BB150" s="69">
        <v>0</v>
      </c>
      <c r="BC150" s="69">
        <v>0</v>
      </c>
      <c r="BD150" s="69">
        <v>0</v>
      </c>
      <c r="BE150" s="69">
        <v>0</v>
      </c>
      <c r="BF150" s="69">
        <v>0</v>
      </c>
      <c r="BG150" s="69">
        <v>0</v>
      </c>
      <c r="BH150" s="69">
        <v>0</v>
      </c>
      <c r="BI150" s="69">
        <v>0</v>
      </c>
    </row>
    <row r="151" spans="1:61" hidden="1"/>
    <row r="152" spans="1:61" s="13" customFormat="1" ht="15.75" hidden="1" customHeight="1">
      <c r="A152" s="63" t="s">
        <v>200</v>
      </c>
      <c r="B152" s="64" t="s">
        <v>223</v>
      </c>
      <c r="C152" s="67" t="str">
        <f t="shared" ref="C152:C183" si="1">IF(C82=C7,"","*")</f>
        <v/>
      </c>
      <c r="D152" s="67" t="str">
        <f t="shared" ref="D152:BI156" si="2">IF(D82=D7,"","*")</f>
        <v/>
      </c>
      <c r="E152" s="67" t="str">
        <f t="shared" si="2"/>
        <v/>
      </c>
      <c r="F152" s="67" t="str">
        <f t="shared" si="2"/>
        <v/>
      </c>
      <c r="G152" s="67" t="str">
        <f t="shared" si="2"/>
        <v/>
      </c>
      <c r="H152" s="67" t="str">
        <f t="shared" si="2"/>
        <v/>
      </c>
      <c r="I152" s="67" t="str">
        <f t="shared" si="2"/>
        <v/>
      </c>
      <c r="J152" s="67" t="str">
        <f t="shared" si="2"/>
        <v/>
      </c>
      <c r="K152" s="67" t="str">
        <f t="shared" si="2"/>
        <v/>
      </c>
      <c r="L152" s="67" t="str">
        <f t="shared" si="2"/>
        <v/>
      </c>
      <c r="M152" s="67" t="str">
        <f t="shared" si="2"/>
        <v/>
      </c>
      <c r="N152" s="67" t="str">
        <f t="shared" si="2"/>
        <v/>
      </c>
      <c r="O152" s="67" t="str">
        <f t="shared" si="2"/>
        <v/>
      </c>
      <c r="P152" s="67" t="str">
        <f t="shared" si="2"/>
        <v/>
      </c>
      <c r="Q152" s="67" t="str">
        <f t="shared" si="2"/>
        <v/>
      </c>
      <c r="R152" s="67" t="str">
        <f t="shared" si="2"/>
        <v/>
      </c>
      <c r="S152" s="67" t="str">
        <f t="shared" si="2"/>
        <v/>
      </c>
      <c r="T152" s="67" t="str">
        <f t="shared" si="2"/>
        <v/>
      </c>
      <c r="U152" s="67" t="str">
        <f t="shared" si="2"/>
        <v/>
      </c>
      <c r="V152" s="67" t="str">
        <f t="shared" si="2"/>
        <v/>
      </c>
      <c r="W152" s="67" t="str">
        <f t="shared" si="2"/>
        <v/>
      </c>
      <c r="X152" s="67" t="str">
        <f t="shared" si="2"/>
        <v/>
      </c>
      <c r="Y152" s="67" t="str">
        <f t="shared" si="2"/>
        <v/>
      </c>
      <c r="Z152" s="67" t="str">
        <f t="shared" si="2"/>
        <v/>
      </c>
      <c r="AA152" s="67" t="str">
        <f t="shared" si="2"/>
        <v/>
      </c>
      <c r="AB152" s="67" t="str">
        <f t="shared" si="2"/>
        <v/>
      </c>
      <c r="AC152" s="67" t="str">
        <f t="shared" si="2"/>
        <v/>
      </c>
      <c r="AD152" s="67" t="str">
        <f t="shared" si="2"/>
        <v/>
      </c>
      <c r="AE152" s="67" t="str">
        <f t="shared" si="2"/>
        <v/>
      </c>
      <c r="AF152" s="67" t="str">
        <f t="shared" si="2"/>
        <v/>
      </c>
      <c r="AG152" s="67" t="str">
        <f t="shared" si="2"/>
        <v/>
      </c>
      <c r="AH152" s="67" t="str">
        <f t="shared" si="2"/>
        <v/>
      </c>
      <c r="AI152" s="67" t="str">
        <f t="shared" si="2"/>
        <v/>
      </c>
      <c r="AJ152" s="67" t="str">
        <f t="shared" si="2"/>
        <v/>
      </c>
      <c r="AK152" s="67" t="str">
        <f t="shared" si="2"/>
        <v/>
      </c>
      <c r="AL152" s="67" t="str">
        <f t="shared" si="2"/>
        <v>*</v>
      </c>
      <c r="AM152" s="67" t="str">
        <f t="shared" si="2"/>
        <v>*</v>
      </c>
      <c r="AN152" s="67" t="str">
        <f t="shared" si="2"/>
        <v>*</v>
      </c>
      <c r="AO152" s="67" t="str">
        <f t="shared" si="2"/>
        <v>*</v>
      </c>
      <c r="AP152" s="67" t="str">
        <f t="shared" si="2"/>
        <v>*</v>
      </c>
      <c r="AQ152" s="67" t="str">
        <f t="shared" si="2"/>
        <v>*</v>
      </c>
      <c r="AR152" s="67" t="str">
        <f t="shared" si="2"/>
        <v>*</v>
      </c>
      <c r="AS152" s="67" t="str">
        <f t="shared" si="2"/>
        <v>*</v>
      </c>
      <c r="AT152" s="67" t="str">
        <f t="shared" si="2"/>
        <v>*</v>
      </c>
      <c r="AU152" s="67" t="str">
        <f t="shared" si="2"/>
        <v>*</v>
      </c>
      <c r="AV152" s="67" t="str">
        <f t="shared" si="2"/>
        <v>*</v>
      </c>
      <c r="AW152" s="67" t="str">
        <f t="shared" si="2"/>
        <v>*</v>
      </c>
      <c r="AX152" s="67" t="str">
        <f t="shared" si="2"/>
        <v>*</v>
      </c>
      <c r="AY152" s="67" t="str">
        <f t="shared" si="2"/>
        <v>*</v>
      </c>
      <c r="AZ152" s="67" t="str">
        <f t="shared" si="2"/>
        <v>*</v>
      </c>
      <c r="BA152" s="67" t="str">
        <f t="shared" si="2"/>
        <v>*</v>
      </c>
      <c r="BB152" s="67" t="str">
        <f t="shared" si="2"/>
        <v>*</v>
      </c>
      <c r="BC152" s="67" t="str">
        <f t="shared" si="2"/>
        <v/>
      </c>
      <c r="BD152" s="67" t="str">
        <f t="shared" si="2"/>
        <v/>
      </c>
      <c r="BE152" s="67" t="str">
        <f t="shared" si="2"/>
        <v>*</v>
      </c>
      <c r="BF152" s="67" t="str">
        <f t="shared" si="2"/>
        <v>*</v>
      </c>
      <c r="BG152" s="67" t="str">
        <f t="shared" si="2"/>
        <v>*</v>
      </c>
      <c r="BH152" s="67" t="str">
        <f t="shared" si="2"/>
        <v>*</v>
      </c>
      <c r="BI152" s="67" t="str">
        <f t="shared" si="2"/>
        <v>*</v>
      </c>
    </row>
    <row r="153" spans="1:61" s="13" customFormat="1" ht="15.75" hidden="1" customHeight="1">
      <c r="A153" s="347" t="s">
        <v>199</v>
      </c>
      <c r="B153" s="65" t="s">
        <v>224</v>
      </c>
      <c r="C153" s="68" t="str">
        <f t="shared" si="1"/>
        <v/>
      </c>
      <c r="D153" s="68" t="str">
        <f t="shared" ref="D153:R153" si="3">IF(D83=D8,"","*")</f>
        <v/>
      </c>
      <c r="E153" s="68" t="str">
        <f t="shared" si="3"/>
        <v/>
      </c>
      <c r="F153" s="68" t="str">
        <f t="shared" si="3"/>
        <v/>
      </c>
      <c r="G153" s="68" t="str">
        <f t="shared" si="3"/>
        <v/>
      </c>
      <c r="H153" s="68" t="str">
        <f t="shared" si="3"/>
        <v/>
      </c>
      <c r="I153" s="68" t="str">
        <f t="shared" si="3"/>
        <v/>
      </c>
      <c r="J153" s="68" t="str">
        <f t="shared" si="3"/>
        <v/>
      </c>
      <c r="K153" s="68" t="str">
        <f t="shared" si="3"/>
        <v/>
      </c>
      <c r="L153" s="68" t="str">
        <f t="shared" si="3"/>
        <v/>
      </c>
      <c r="M153" s="68" t="str">
        <f t="shared" si="3"/>
        <v/>
      </c>
      <c r="N153" s="68" t="str">
        <f t="shared" si="3"/>
        <v/>
      </c>
      <c r="O153" s="68" t="str">
        <f t="shared" si="3"/>
        <v/>
      </c>
      <c r="P153" s="68" t="str">
        <f t="shared" si="3"/>
        <v/>
      </c>
      <c r="Q153" s="68" t="str">
        <f t="shared" si="3"/>
        <v/>
      </c>
      <c r="R153" s="68" t="str">
        <f t="shared" si="3"/>
        <v/>
      </c>
      <c r="S153" s="68" t="str">
        <f t="shared" si="2"/>
        <v/>
      </c>
      <c r="T153" s="68" t="str">
        <f t="shared" si="2"/>
        <v/>
      </c>
      <c r="U153" s="68" t="str">
        <f t="shared" si="2"/>
        <v/>
      </c>
      <c r="V153" s="68" t="str">
        <f t="shared" si="2"/>
        <v/>
      </c>
      <c r="W153" s="68" t="str">
        <f t="shared" si="2"/>
        <v/>
      </c>
      <c r="X153" s="68" t="str">
        <f t="shared" si="2"/>
        <v/>
      </c>
      <c r="Y153" s="68" t="str">
        <f t="shared" si="2"/>
        <v/>
      </c>
      <c r="Z153" s="68" t="str">
        <f t="shared" si="2"/>
        <v/>
      </c>
      <c r="AA153" s="68" t="str">
        <f t="shared" si="2"/>
        <v/>
      </c>
      <c r="AB153" s="68" t="str">
        <f t="shared" si="2"/>
        <v/>
      </c>
      <c r="AC153" s="68" t="str">
        <f t="shared" si="2"/>
        <v/>
      </c>
      <c r="AD153" s="68" t="str">
        <f t="shared" si="2"/>
        <v/>
      </c>
      <c r="AE153" s="68" t="str">
        <f t="shared" si="2"/>
        <v/>
      </c>
      <c r="AF153" s="68" t="str">
        <f t="shared" si="2"/>
        <v/>
      </c>
      <c r="AG153" s="68" t="str">
        <f t="shared" si="2"/>
        <v/>
      </c>
      <c r="AH153" s="68" t="str">
        <f t="shared" si="2"/>
        <v/>
      </c>
      <c r="AI153" s="68" t="str">
        <f t="shared" si="2"/>
        <v/>
      </c>
      <c r="AJ153" s="68" t="str">
        <f t="shared" si="2"/>
        <v/>
      </c>
      <c r="AK153" s="68" t="str">
        <f t="shared" si="2"/>
        <v/>
      </c>
      <c r="AL153" s="68" t="str">
        <f t="shared" si="2"/>
        <v>*</v>
      </c>
      <c r="AM153" s="68" t="str">
        <f t="shared" si="2"/>
        <v/>
      </c>
      <c r="AN153" s="68" t="str">
        <f t="shared" si="2"/>
        <v/>
      </c>
      <c r="AO153" s="68" t="str">
        <f t="shared" si="2"/>
        <v>*</v>
      </c>
      <c r="AP153" s="68" t="str">
        <f t="shared" si="2"/>
        <v/>
      </c>
      <c r="AQ153" s="68" t="str">
        <f t="shared" si="2"/>
        <v/>
      </c>
      <c r="AR153" s="68" t="str">
        <f t="shared" si="2"/>
        <v/>
      </c>
      <c r="AS153" s="68" t="str">
        <f t="shared" si="2"/>
        <v/>
      </c>
      <c r="AT153" s="68" t="str">
        <f t="shared" si="2"/>
        <v/>
      </c>
      <c r="AU153" s="68" t="str">
        <f t="shared" si="2"/>
        <v/>
      </c>
      <c r="AV153" s="68" t="str">
        <f t="shared" si="2"/>
        <v/>
      </c>
      <c r="AW153" s="68" t="str">
        <f t="shared" si="2"/>
        <v/>
      </c>
      <c r="AX153" s="68" t="str">
        <f t="shared" si="2"/>
        <v/>
      </c>
      <c r="AY153" s="68" t="str">
        <f t="shared" si="2"/>
        <v/>
      </c>
      <c r="AZ153" s="68" t="str">
        <f t="shared" si="2"/>
        <v/>
      </c>
      <c r="BA153" s="68" t="str">
        <f t="shared" si="2"/>
        <v/>
      </c>
      <c r="BB153" s="68" t="str">
        <f t="shared" si="2"/>
        <v>*</v>
      </c>
      <c r="BC153" s="68" t="str">
        <f t="shared" si="2"/>
        <v/>
      </c>
      <c r="BD153" s="68" t="str">
        <f t="shared" si="2"/>
        <v/>
      </c>
      <c r="BE153" s="68" t="str">
        <f t="shared" si="2"/>
        <v>*</v>
      </c>
      <c r="BF153" s="68" t="str">
        <f t="shared" si="2"/>
        <v/>
      </c>
      <c r="BG153" s="68" t="str">
        <f t="shared" si="2"/>
        <v/>
      </c>
      <c r="BH153" s="68" t="str">
        <f t="shared" si="2"/>
        <v/>
      </c>
      <c r="BI153" s="68" t="str">
        <f t="shared" si="2"/>
        <v/>
      </c>
    </row>
    <row r="154" spans="1:61" s="13" customFormat="1" ht="15.75" hidden="1" customHeight="1">
      <c r="A154" s="348"/>
      <c r="B154" s="65" t="s">
        <v>225</v>
      </c>
      <c r="C154" s="68" t="str">
        <f t="shared" si="1"/>
        <v/>
      </c>
      <c r="D154" s="68" t="str">
        <f t="shared" si="2"/>
        <v/>
      </c>
      <c r="E154" s="68" t="str">
        <f t="shared" si="2"/>
        <v/>
      </c>
      <c r="F154" s="68" t="str">
        <f t="shared" si="2"/>
        <v/>
      </c>
      <c r="G154" s="68" t="str">
        <f t="shared" si="2"/>
        <v/>
      </c>
      <c r="H154" s="68" t="str">
        <f t="shared" si="2"/>
        <v/>
      </c>
      <c r="I154" s="68" t="str">
        <f t="shared" si="2"/>
        <v/>
      </c>
      <c r="J154" s="68" t="str">
        <f t="shared" si="2"/>
        <v/>
      </c>
      <c r="K154" s="68" t="str">
        <f t="shared" si="2"/>
        <v/>
      </c>
      <c r="L154" s="68" t="str">
        <f t="shared" si="2"/>
        <v/>
      </c>
      <c r="M154" s="68" t="str">
        <f t="shared" si="2"/>
        <v/>
      </c>
      <c r="N154" s="68" t="str">
        <f t="shared" si="2"/>
        <v/>
      </c>
      <c r="O154" s="68" t="str">
        <f t="shared" si="2"/>
        <v/>
      </c>
      <c r="P154" s="68" t="str">
        <f t="shared" si="2"/>
        <v/>
      </c>
      <c r="Q154" s="68" t="str">
        <f t="shared" si="2"/>
        <v/>
      </c>
      <c r="R154" s="68" t="str">
        <f t="shared" si="2"/>
        <v/>
      </c>
      <c r="S154" s="68" t="str">
        <f t="shared" si="2"/>
        <v/>
      </c>
      <c r="T154" s="68" t="str">
        <f t="shared" si="2"/>
        <v/>
      </c>
      <c r="U154" s="68" t="str">
        <f t="shared" si="2"/>
        <v/>
      </c>
      <c r="V154" s="68" t="str">
        <f t="shared" si="2"/>
        <v/>
      </c>
      <c r="W154" s="68" t="str">
        <f t="shared" si="2"/>
        <v/>
      </c>
      <c r="X154" s="68" t="str">
        <f t="shared" si="2"/>
        <v/>
      </c>
      <c r="Y154" s="68" t="str">
        <f t="shared" si="2"/>
        <v/>
      </c>
      <c r="Z154" s="68" t="str">
        <f t="shared" si="2"/>
        <v/>
      </c>
      <c r="AA154" s="68" t="str">
        <f t="shared" si="2"/>
        <v/>
      </c>
      <c r="AB154" s="68" t="str">
        <f t="shared" si="2"/>
        <v/>
      </c>
      <c r="AC154" s="68" t="str">
        <f t="shared" si="2"/>
        <v/>
      </c>
      <c r="AD154" s="68" t="str">
        <f t="shared" si="2"/>
        <v/>
      </c>
      <c r="AE154" s="68" t="str">
        <f t="shared" si="2"/>
        <v/>
      </c>
      <c r="AF154" s="68" t="str">
        <f t="shared" si="2"/>
        <v/>
      </c>
      <c r="AG154" s="68" t="str">
        <f t="shared" si="2"/>
        <v/>
      </c>
      <c r="AH154" s="68" t="str">
        <f t="shared" si="2"/>
        <v/>
      </c>
      <c r="AI154" s="68" t="str">
        <f t="shared" si="2"/>
        <v/>
      </c>
      <c r="AJ154" s="68" t="str">
        <f t="shared" si="2"/>
        <v/>
      </c>
      <c r="AK154" s="68" t="str">
        <f t="shared" si="2"/>
        <v/>
      </c>
      <c r="AL154" s="68" t="str">
        <f t="shared" si="2"/>
        <v/>
      </c>
      <c r="AM154" s="68" t="str">
        <f t="shared" si="2"/>
        <v/>
      </c>
      <c r="AN154" s="68" t="str">
        <f t="shared" si="2"/>
        <v/>
      </c>
      <c r="AO154" s="68" t="str">
        <f t="shared" si="2"/>
        <v/>
      </c>
      <c r="AP154" s="68" t="str">
        <f t="shared" si="2"/>
        <v/>
      </c>
      <c r="AQ154" s="68" t="str">
        <f t="shared" si="2"/>
        <v/>
      </c>
      <c r="AR154" s="68" t="str">
        <f t="shared" si="2"/>
        <v/>
      </c>
      <c r="AS154" s="68" t="str">
        <f t="shared" si="2"/>
        <v/>
      </c>
      <c r="AT154" s="68" t="str">
        <f t="shared" si="2"/>
        <v/>
      </c>
      <c r="AU154" s="68" t="str">
        <f t="shared" si="2"/>
        <v/>
      </c>
      <c r="AV154" s="68" t="str">
        <f t="shared" si="2"/>
        <v/>
      </c>
      <c r="AW154" s="68" t="str">
        <f t="shared" si="2"/>
        <v/>
      </c>
      <c r="AX154" s="68" t="str">
        <f t="shared" si="2"/>
        <v/>
      </c>
      <c r="AY154" s="68" t="str">
        <f t="shared" si="2"/>
        <v/>
      </c>
      <c r="AZ154" s="68" t="str">
        <f t="shared" si="2"/>
        <v/>
      </c>
      <c r="BA154" s="68" t="str">
        <f t="shared" si="2"/>
        <v/>
      </c>
      <c r="BB154" s="68" t="str">
        <f t="shared" si="2"/>
        <v/>
      </c>
      <c r="BC154" s="68" t="str">
        <f t="shared" si="2"/>
        <v/>
      </c>
      <c r="BD154" s="68" t="str">
        <f t="shared" si="2"/>
        <v/>
      </c>
      <c r="BE154" s="68" t="str">
        <f t="shared" si="2"/>
        <v/>
      </c>
      <c r="BF154" s="68" t="str">
        <f t="shared" si="2"/>
        <v/>
      </c>
      <c r="BG154" s="68" t="str">
        <f t="shared" si="2"/>
        <v/>
      </c>
      <c r="BH154" s="68" t="str">
        <f t="shared" si="2"/>
        <v/>
      </c>
      <c r="BI154" s="68" t="str">
        <f t="shared" si="2"/>
        <v/>
      </c>
    </row>
    <row r="155" spans="1:61" s="18" customFormat="1" ht="15.75" hidden="1" customHeight="1">
      <c r="A155" s="63" t="s">
        <v>201</v>
      </c>
      <c r="B155" s="64" t="s">
        <v>223</v>
      </c>
      <c r="C155" s="67" t="str">
        <f t="shared" si="1"/>
        <v/>
      </c>
      <c r="D155" s="67" t="str">
        <f t="shared" si="2"/>
        <v/>
      </c>
      <c r="E155" s="67" t="str">
        <f t="shared" si="2"/>
        <v/>
      </c>
      <c r="F155" s="67" t="str">
        <f t="shared" si="2"/>
        <v/>
      </c>
      <c r="G155" s="67" t="str">
        <f t="shared" si="2"/>
        <v/>
      </c>
      <c r="H155" s="67" t="str">
        <f t="shared" si="2"/>
        <v/>
      </c>
      <c r="I155" s="67" t="str">
        <f t="shared" si="2"/>
        <v/>
      </c>
      <c r="J155" s="67" t="str">
        <f t="shared" si="2"/>
        <v/>
      </c>
      <c r="K155" s="67" t="str">
        <f t="shared" si="2"/>
        <v/>
      </c>
      <c r="L155" s="67" t="str">
        <f t="shared" si="2"/>
        <v/>
      </c>
      <c r="M155" s="67" t="str">
        <f t="shared" si="2"/>
        <v/>
      </c>
      <c r="N155" s="67" t="str">
        <f t="shared" si="2"/>
        <v/>
      </c>
      <c r="O155" s="67" t="str">
        <f t="shared" si="2"/>
        <v/>
      </c>
      <c r="P155" s="67" t="str">
        <f t="shared" si="2"/>
        <v/>
      </c>
      <c r="Q155" s="67" t="str">
        <f t="shared" si="2"/>
        <v/>
      </c>
      <c r="R155" s="67" t="str">
        <f t="shared" si="2"/>
        <v/>
      </c>
      <c r="S155" s="67" t="str">
        <f t="shared" si="2"/>
        <v/>
      </c>
      <c r="T155" s="67" t="str">
        <f t="shared" si="2"/>
        <v/>
      </c>
      <c r="U155" s="67" t="str">
        <f t="shared" si="2"/>
        <v/>
      </c>
      <c r="V155" s="67" t="str">
        <f t="shared" si="2"/>
        <v/>
      </c>
      <c r="W155" s="67" t="str">
        <f t="shared" si="2"/>
        <v/>
      </c>
      <c r="X155" s="67" t="str">
        <f t="shared" si="2"/>
        <v/>
      </c>
      <c r="Y155" s="67" t="str">
        <f t="shared" si="2"/>
        <v/>
      </c>
      <c r="Z155" s="67" t="str">
        <f t="shared" si="2"/>
        <v/>
      </c>
      <c r="AA155" s="67" t="str">
        <f t="shared" si="2"/>
        <v/>
      </c>
      <c r="AB155" s="67" t="str">
        <f t="shared" si="2"/>
        <v/>
      </c>
      <c r="AC155" s="67" t="str">
        <f t="shared" si="2"/>
        <v/>
      </c>
      <c r="AD155" s="67" t="str">
        <f t="shared" si="2"/>
        <v/>
      </c>
      <c r="AE155" s="67" t="str">
        <f t="shared" si="2"/>
        <v/>
      </c>
      <c r="AF155" s="67" t="str">
        <f t="shared" si="2"/>
        <v/>
      </c>
      <c r="AG155" s="67" t="str">
        <f t="shared" si="2"/>
        <v/>
      </c>
      <c r="AH155" s="67" t="str">
        <f t="shared" si="2"/>
        <v/>
      </c>
      <c r="AI155" s="67" t="str">
        <f t="shared" si="2"/>
        <v/>
      </c>
      <c r="AJ155" s="67" t="str">
        <f t="shared" si="2"/>
        <v/>
      </c>
      <c r="AK155" s="67" t="str">
        <f t="shared" si="2"/>
        <v/>
      </c>
      <c r="AL155" s="67" t="str">
        <f t="shared" si="2"/>
        <v/>
      </c>
      <c r="AM155" s="67" t="str">
        <f t="shared" si="2"/>
        <v/>
      </c>
      <c r="AN155" s="67" t="str">
        <f t="shared" si="2"/>
        <v/>
      </c>
      <c r="AO155" s="67" t="str">
        <f t="shared" si="2"/>
        <v/>
      </c>
      <c r="AP155" s="67" t="str">
        <f t="shared" si="2"/>
        <v/>
      </c>
      <c r="AQ155" s="67" t="str">
        <f t="shared" si="2"/>
        <v/>
      </c>
      <c r="AR155" s="67" t="str">
        <f t="shared" si="2"/>
        <v/>
      </c>
      <c r="AS155" s="67" t="str">
        <f t="shared" si="2"/>
        <v/>
      </c>
      <c r="AT155" s="67" t="str">
        <f t="shared" si="2"/>
        <v/>
      </c>
      <c r="AU155" s="67" t="str">
        <f t="shared" si="2"/>
        <v/>
      </c>
      <c r="AV155" s="67" t="str">
        <f t="shared" si="2"/>
        <v/>
      </c>
      <c r="AW155" s="67" t="str">
        <f t="shared" si="2"/>
        <v/>
      </c>
      <c r="AX155" s="67" t="str">
        <f t="shared" si="2"/>
        <v/>
      </c>
      <c r="AY155" s="67" t="str">
        <f t="shared" si="2"/>
        <v/>
      </c>
      <c r="AZ155" s="67" t="str">
        <f t="shared" si="2"/>
        <v/>
      </c>
      <c r="BA155" s="67" t="str">
        <f t="shared" si="2"/>
        <v/>
      </c>
      <c r="BB155" s="67" t="str">
        <f t="shared" si="2"/>
        <v/>
      </c>
      <c r="BC155" s="67" t="str">
        <f t="shared" si="2"/>
        <v/>
      </c>
      <c r="BD155" s="67" t="str">
        <f t="shared" si="2"/>
        <v/>
      </c>
      <c r="BE155" s="67" t="str">
        <f t="shared" si="2"/>
        <v/>
      </c>
      <c r="BF155" s="67" t="str">
        <f t="shared" si="2"/>
        <v/>
      </c>
      <c r="BG155" s="67" t="str">
        <f t="shared" si="2"/>
        <v/>
      </c>
      <c r="BH155" s="67" t="str">
        <f t="shared" si="2"/>
        <v/>
      </c>
      <c r="BI155" s="67" t="str">
        <f t="shared" si="2"/>
        <v/>
      </c>
    </row>
    <row r="156" spans="1:61" s="18" customFormat="1" ht="15.75" hidden="1" customHeight="1">
      <c r="A156" s="345" t="s">
        <v>24</v>
      </c>
      <c r="B156" s="65" t="s">
        <v>224</v>
      </c>
      <c r="C156" s="68" t="str">
        <f t="shared" si="1"/>
        <v/>
      </c>
      <c r="D156" s="68" t="str">
        <f t="shared" si="2"/>
        <v/>
      </c>
      <c r="E156" s="68" t="str">
        <f t="shared" si="2"/>
        <v/>
      </c>
      <c r="F156" s="68" t="str">
        <f t="shared" si="2"/>
        <v/>
      </c>
      <c r="G156" s="68" t="str">
        <f t="shared" si="2"/>
        <v/>
      </c>
      <c r="H156" s="68" t="str">
        <f t="shared" si="2"/>
        <v/>
      </c>
      <c r="I156" s="68" t="str">
        <f t="shared" si="2"/>
        <v/>
      </c>
      <c r="J156" s="68" t="str">
        <f t="shared" si="2"/>
        <v/>
      </c>
      <c r="K156" s="68" t="str">
        <f t="shared" si="2"/>
        <v/>
      </c>
      <c r="L156" s="68" t="str">
        <f t="shared" si="2"/>
        <v/>
      </c>
      <c r="M156" s="68" t="str">
        <f t="shared" si="2"/>
        <v/>
      </c>
      <c r="N156" s="68" t="str">
        <f t="shared" si="2"/>
        <v/>
      </c>
      <c r="O156" s="68" t="str">
        <f t="shared" si="2"/>
        <v/>
      </c>
      <c r="P156" s="68" t="str">
        <f t="shared" si="2"/>
        <v/>
      </c>
      <c r="Q156" s="68" t="str">
        <f t="shared" si="2"/>
        <v/>
      </c>
      <c r="R156" s="68" t="str">
        <f t="shared" si="2"/>
        <v/>
      </c>
      <c r="S156" s="68" t="str">
        <f t="shared" si="2"/>
        <v/>
      </c>
      <c r="T156" s="68" t="str">
        <f t="shared" si="2"/>
        <v/>
      </c>
      <c r="U156" s="68" t="str">
        <f t="shared" si="2"/>
        <v/>
      </c>
      <c r="V156" s="68" t="str">
        <f t="shared" si="2"/>
        <v/>
      </c>
      <c r="W156" s="68" t="str">
        <f t="shared" si="2"/>
        <v/>
      </c>
      <c r="X156" s="68" t="str">
        <f t="shared" si="2"/>
        <v/>
      </c>
      <c r="Y156" s="68" t="str">
        <f t="shared" si="2"/>
        <v/>
      </c>
      <c r="Z156" s="68" t="str">
        <f t="shared" si="2"/>
        <v/>
      </c>
      <c r="AA156" s="68" t="str">
        <f t="shared" si="2"/>
        <v/>
      </c>
      <c r="AB156" s="68" t="str">
        <f t="shared" si="2"/>
        <v/>
      </c>
      <c r="AC156" s="68" t="str">
        <f t="shared" si="2"/>
        <v/>
      </c>
      <c r="AD156" s="68" t="str">
        <f t="shared" si="2"/>
        <v/>
      </c>
      <c r="AE156" s="68" t="str">
        <f t="shared" si="2"/>
        <v/>
      </c>
      <c r="AF156" s="68" t="str">
        <f t="shared" si="2"/>
        <v/>
      </c>
      <c r="AG156" s="68" t="str">
        <f t="shared" si="2"/>
        <v/>
      </c>
      <c r="AH156" s="68" t="str">
        <f t="shared" si="2"/>
        <v/>
      </c>
      <c r="AI156" s="68" t="str">
        <f t="shared" si="2"/>
        <v/>
      </c>
      <c r="AJ156" s="68" t="str">
        <f t="shared" si="2"/>
        <v/>
      </c>
      <c r="AK156" s="68" t="str">
        <f t="shared" si="2"/>
        <v/>
      </c>
      <c r="AL156" s="68" t="str">
        <f t="shared" si="2"/>
        <v/>
      </c>
      <c r="AM156" s="68" t="str">
        <f t="shared" si="2"/>
        <v/>
      </c>
      <c r="AN156" s="68" t="str">
        <f t="shared" si="2"/>
        <v/>
      </c>
      <c r="AO156" s="68" t="str">
        <f t="shared" si="2"/>
        <v/>
      </c>
      <c r="AP156" s="68" t="str">
        <f t="shared" ref="D156:BI161" si="4">IF(AP86=AP11,"","*")</f>
        <v/>
      </c>
      <c r="AQ156" s="68" t="str">
        <f t="shared" si="4"/>
        <v/>
      </c>
      <c r="AR156" s="68" t="str">
        <f t="shared" si="4"/>
        <v/>
      </c>
      <c r="AS156" s="68" t="str">
        <f t="shared" si="4"/>
        <v/>
      </c>
      <c r="AT156" s="68" t="str">
        <f t="shared" si="4"/>
        <v/>
      </c>
      <c r="AU156" s="68" t="str">
        <f t="shared" si="4"/>
        <v/>
      </c>
      <c r="AV156" s="68" t="str">
        <f t="shared" si="4"/>
        <v/>
      </c>
      <c r="AW156" s="68" t="str">
        <f t="shared" si="4"/>
        <v/>
      </c>
      <c r="AX156" s="68" t="str">
        <f t="shared" si="4"/>
        <v/>
      </c>
      <c r="AY156" s="68" t="str">
        <f t="shared" si="4"/>
        <v/>
      </c>
      <c r="AZ156" s="68" t="str">
        <f t="shared" si="4"/>
        <v/>
      </c>
      <c r="BA156" s="68" t="str">
        <f t="shared" si="4"/>
        <v/>
      </c>
      <c r="BB156" s="68" t="str">
        <f t="shared" si="4"/>
        <v/>
      </c>
      <c r="BC156" s="68" t="str">
        <f t="shared" si="4"/>
        <v/>
      </c>
      <c r="BD156" s="68" t="str">
        <f t="shared" si="4"/>
        <v/>
      </c>
      <c r="BE156" s="68" t="str">
        <f t="shared" si="4"/>
        <v/>
      </c>
      <c r="BF156" s="68" t="str">
        <f t="shared" si="4"/>
        <v/>
      </c>
      <c r="BG156" s="68" t="str">
        <f t="shared" si="4"/>
        <v/>
      </c>
      <c r="BH156" s="68" t="str">
        <f t="shared" si="4"/>
        <v/>
      </c>
      <c r="BI156" s="68" t="str">
        <f t="shared" si="4"/>
        <v/>
      </c>
    </row>
    <row r="157" spans="1:61" s="18" customFormat="1" ht="15.75" hidden="1" customHeight="1">
      <c r="A157" s="346"/>
      <c r="B157" s="65" t="s">
        <v>225</v>
      </c>
      <c r="C157" s="68" t="str">
        <f t="shared" si="1"/>
        <v/>
      </c>
      <c r="D157" s="68" t="str">
        <f t="shared" si="4"/>
        <v/>
      </c>
      <c r="E157" s="68" t="str">
        <f t="shared" si="4"/>
        <v/>
      </c>
      <c r="F157" s="68" t="str">
        <f t="shared" si="4"/>
        <v/>
      </c>
      <c r="G157" s="68" t="str">
        <f t="shared" si="4"/>
        <v/>
      </c>
      <c r="H157" s="68" t="str">
        <f t="shared" si="4"/>
        <v/>
      </c>
      <c r="I157" s="68" t="str">
        <f t="shared" si="4"/>
        <v/>
      </c>
      <c r="J157" s="68" t="str">
        <f t="shared" si="4"/>
        <v/>
      </c>
      <c r="K157" s="68" t="str">
        <f t="shared" si="4"/>
        <v/>
      </c>
      <c r="L157" s="68" t="str">
        <f t="shared" si="4"/>
        <v/>
      </c>
      <c r="M157" s="68" t="str">
        <f t="shared" si="4"/>
        <v/>
      </c>
      <c r="N157" s="68" t="str">
        <f t="shared" si="4"/>
        <v/>
      </c>
      <c r="O157" s="68" t="str">
        <f t="shared" si="4"/>
        <v/>
      </c>
      <c r="P157" s="68" t="str">
        <f t="shared" si="4"/>
        <v/>
      </c>
      <c r="Q157" s="68" t="str">
        <f t="shared" si="4"/>
        <v/>
      </c>
      <c r="R157" s="68" t="str">
        <f t="shared" si="4"/>
        <v/>
      </c>
      <c r="S157" s="68" t="str">
        <f t="shared" si="4"/>
        <v/>
      </c>
      <c r="T157" s="68" t="str">
        <f t="shared" si="4"/>
        <v/>
      </c>
      <c r="U157" s="68" t="str">
        <f t="shared" si="4"/>
        <v/>
      </c>
      <c r="V157" s="68" t="str">
        <f t="shared" si="4"/>
        <v/>
      </c>
      <c r="W157" s="68" t="str">
        <f t="shared" si="4"/>
        <v/>
      </c>
      <c r="X157" s="68" t="str">
        <f t="shared" si="4"/>
        <v/>
      </c>
      <c r="Y157" s="68" t="str">
        <f t="shared" si="4"/>
        <v/>
      </c>
      <c r="Z157" s="68" t="str">
        <f t="shared" si="4"/>
        <v/>
      </c>
      <c r="AA157" s="68" t="str">
        <f t="shared" si="4"/>
        <v/>
      </c>
      <c r="AB157" s="68" t="str">
        <f t="shared" si="4"/>
        <v/>
      </c>
      <c r="AC157" s="68" t="str">
        <f t="shared" si="4"/>
        <v/>
      </c>
      <c r="AD157" s="68" t="str">
        <f t="shared" si="4"/>
        <v/>
      </c>
      <c r="AE157" s="68" t="str">
        <f t="shared" si="4"/>
        <v/>
      </c>
      <c r="AF157" s="68" t="str">
        <f t="shared" si="4"/>
        <v/>
      </c>
      <c r="AG157" s="68" t="str">
        <f t="shared" si="4"/>
        <v/>
      </c>
      <c r="AH157" s="68" t="str">
        <f t="shared" si="4"/>
        <v/>
      </c>
      <c r="AI157" s="68" t="str">
        <f t="shared" si="4"/>
        <v/>
      </c>
      <c r="AJ157" s="68" t="str">
        <f t="shared" si="4"/>
        <v/>
      </c>
      <c r="AK157" s="68" t="str">
        <f t="shared" si="4"/>
        <v/>
      </c>
      <c r="AL157" s="68" t="str">
        <f t="shared" si="4"/>
        <v/>
      </c>
      <c r="AM157" s="68" t="str">
        <f t="shared" si="4"/>
        <v/>
      </c>
      <c r="AN157" s="68" t="str">
        <f t="shared" si="4"/>
        <v/>
      </c>
      <c r="AO157" s="68" t="str">
        <f t="shared" si="4"/>
        <v/>
      </c>
      <c r="AP157" s="68" t="str">
        <f t="shared" si="4"/>
        <v/>
      </c>
      <c r="AQ157" s="68" t="str">
        <f t="shared" si="4"/>
        <v/>
      </c>
      <c r="AR157" s="68" t="str">
        <f t="shared" si="4"/>
        <v/>
      </c>
      <c r="AS157" s="68" t="str">
        <f t="shared" si="4"/>
        <v/>
      </c>
      <c r="AT157" s="68" t="str">
        <f t="shared" si="4"/>
        <v/>
      </c>
      <c r="AU157" s="68" t="str">
        <f t="shared" si="4"/>
        <v/>
      </c>
      <c r="AV157" s="68" t="str">
        <f t="shared" si="4"/>
        <v/>
      </c>
      <c r="AW157" s="68" t="str">
        <f t="shared" si="4"/>
        <v/>
      </c>
      <c r="AX157" s="68" t="str">
        <f t="shared" si="4"/>
        <v/>
      </c>
      <c r="AY157" s="68" t="str">
        <f t="shared" si="4"/>
        <v/>
      </c>
      <c r="AZ157" s="68" t="str">
        <f t="shared" si="4"/>
        <v/>
      </c>
      <c r="BA157" s="68" t="str">
        <f t="shared" si="4"/>
        <v/>
      </c>
      <c r="BB157" s="68" t="str">
        <f t="shared" si="4"/>
        <v/>
      </c>
      <c r="BC157" s="68" t="str">
        <f t="shared" si="4"/>
        <v/>
      </c>
      <c r="BD157" s="68" t="str">
        <f t="shared" si="4"/>
        <v/>
      </c>
      <c r="BE157" s="68" t="str">
        <f t="shared" si="4"/>
        <v/>
      </c>
      <c r="BF157" s="68" t="str">
        <f t="shared" si="4"/>
        <v/>
      </c>
      <c r="BG157" s="68" t="str">
        <f t="shared" si="4"/>
        <v/>
      </c>
      <c r="BH157" s="68" t="str">
        <f t="shared" si="4"/>
        <v/>
      </c>
      <c r="BI157" s="68" t="str">
        <f t="shared" si="4"/>
        <v/>
      </c>
    </row>
    <row r="158" spans="1:61" s="18" customFormat="1" ht="15.75" hidden="1" customHeight="1">
      <c r="A158" s="63" t="s">
        <v>202</v>
      </c>
      <c r="B158" s="64" t="s">
        <v>223</v>
      </c>
      <c r="C158" s="67" t="str">
        <f t="shared" si="1"/>
        <v/>
      </c>
      <c r="D158" s="67" t="str">
        <f t="shared" si="4"/>
        <v/>
      </c>
      <c r="E158" s="67" t="str">
        <f t="shared" si="4"/>
        <v/>
      </c>
      <c r="F158" s="67" t="str">
        <f t="shared" si="4"/>
        <v/>
      </c>
      <c r="G158" s="67" t="str">
        <f t="shared" si="4"/>
        <v/>
      </c>
      <c r="H158" s="67" t="str">
        <f t="shared" si="4"/>
        <v/>
      </c>
      <c r="I158" s="67" t="str">
        <f t="shared" si="4"/>
        <v/>
      </c>
      <c r="J158" s="67" t="str">
        <f t="shared" si="4"/>
        <v/>
      </c>
      <c r="K158" s="67" t="str">
        <f t="shared" si="4"/>
        <v/>
      </c>
      <c r="L158" s="67" t="str">
        <f t="shared" si="4"/>
        <v/>
      </c>
      <c r="M158" s="67" t="str">
        <f t="shared" si="4"/>
        <v/>
      </c>
      <c r="N158" s="67" t="str">
        <f t="shared" si="4"/>
        <v/>
      </c>
      <c r="O158" s="67" t="str">
        <f t="shared" si="4"/>
        <v/>
      </c>
      <c r="P158" s="67" t="str">
        <f t="shared" si="4"/>
        <v/>
      </c>
      <c r="Q158" s="67" t="str">
        <f t="shared" si="4"/>
        <v/>
      </c>
      <c r="R158" s="67" t="str">
        <f t="shared" si="4"/>
        <v/>
      </c>
      <c r="S158" s="67" t="str">
        <f t="shared" si="4"/>
        <v/>
      </c>
      <c r="T158" s="67" t="str">
        <f t="shared" si="4"/>
        <v/>
      </c>
      <c r="U158" s="67" t="str">
        <f t="shared" si="4"/>
        <v/>
      </c>
      <c r="V158" s="67" t="str">
        <f t="shared" si="4"/>
        <v/>
      </c>
      <c r="W158" s="67" t="str">
        <f t="shared" si="4"/>
        <v/>
      </c>
      <c r="X158" s="67" t="str">
        <f t="shared" si="4"/>
        <v/>
      </c>
      <c r="Y158" s="67" t="str">
        <f t="shared" si="4"/>
        <v/>
      </c>
      <c r="Z158" s="67" t="str">
        <f t="shared" si="4"/>
        <v/>
      </c>
      <c r="AA158" s="67" t="str">
        <f t="shared" si="4"/>
        <v/>
      </c>
      <c r="AB158" s="67" t="str">
        <f t="shared" si="4"/>
        <v/>
      </c>
      <c r="AC158" s="67" t="str">
        <f t="shared" si="4"/>
        <v/>
      </c>
      <c r="AD158" s="67" t="str">
        <f t="shared" si="4"/>
        <v/>
      </c>
      <c r="AE158" s="67" t="str">
        <f t="shared" si="4"/>
        <v/>
      </c>
      <c r="AF158" s="67" t="str">
        <f t="shared" si="4"/>
        <v/>
      </c>
      <c r="AG158" s="67" t="str">
        <f t="shared" si="4"/>
        <v/>
      </c>
      <c r="AH158" s="67" t="str">
        <f t="shared" si="4"/>
        <v/>
      </c>
      <c r="AI158" s="67" t="str">
        <f t="shared" si="4"/>
        <v/>
      </c>
      <c r="AJ158" s="67" t="str">
        <f t="shared" si="4"/>
        <v/>
      </c>
      <c r="AK158" s="67" t="str">
        <f t="shared" si="4"/>
        <v/>
      </c>
      <c r="AL158" s="67" t="str">
        <f t="shared" si="4"/>
        <v/>
      </c>
      <c r="AM158" s="67" t="str">
        <f t="shared" si="4"/>
        <v/>
      </c>
      <c r="AN158" s="67" t="str">
        <f t="shared" si="4"/>
        <v/>
      </c>
      <c r="AO158" s="67" t="str">
        <f t="shared" si="4"/>
        <v/>
      </c>
      <c r="AP158" s="67" t="str">
        <f t="shared" si="4"/>
        <v/>
      </c>
      <c r="AQ158" s="67" t="str">
        <f t="shared" si="4"/>
        <v/>
      </c>
      <c r="AR158" s="67" t="str">
        <f t="shared" si="4"/>
        <v/>
      </c>
      <c r="AS158" s="67" t="str">
        <f t="shared" si="4"/>
        <v/>
      </c>
      <c r="AT158" s="67" t="str">
        <f t="shared" si="4"/>
        <v/>
      </c>
      <c r="AU158" s="67" t="str">
        <f t="shared" si="4"/>
        <v/>
      </c>
      <c r="AV158" s="67" t="str">
        <f t="shared" si="4"/>
        <v/>
      </c>
      <c r="AW158" s="67" t="str">
        <f t="shared" si="4"/>
        <v/>
      </c>
      <c r="AX158" s="67" t="str">
        <f t="shared" si="4"/>
        <v/>
      </c>
      <c r="AY158" s="67" t="str">
        <f t="shared" si="4"/>
        <v/>
      </c>
      <c r="AZ158" s="67" t="str">
        <f t="shared" si="4"/>
        <v/>
      </c>
      <c r="BA158" s="67" t="str">
        <f t="shared" si="4"/>
        <v/>
      </c>
      <c r="BB158" s="67" t="str">
        <f t="shared" si="4"/>
        <v/>
      </c>
      <c r="BC158" s="67" t="str">
        <f t="shared" si="4"/>
        <v/>
      </c>
      <c r="BD158" s="67" t="str">
        <f t="shared" si="4"/>
        <v/>
      </c>
      <c r="BE158" s="67" t="str">
        <f t="shared" si="4"/>
        <v/>
      </c>
      <c r="BF158" s="67" t="str">
        <f t="shared" si="4"/>
        <v/>
      </c>
      <c r="BG158" s="67" t="str">
        <f t="shared" si="4"/>
        <v/>
      </c>
      <c r="BH158" s="67" t="str">
        <f t="shared" si="4"/>
        <v/>
      </c>
      <c r="BI158" s="67" t="str">
        <f t="shared" si="4"/>
        <v/>
      </c>
    </row>
    <row r="159" spans="1:61" s="18" customFormat="1" ht="15.75" hidden="1" customHeight="1">
      <c r="A159" s="345" t="s">
        <v>25</v>
      </c>
      <c r="B159" s="65" t="s">
        <v>224</v>
      </c>
      <c r="C159" s="68" t="str">
        <f t="shared" si="1"/>
        <v/>
      </c>
      <c r="D159" s="68" t="str">
        <f t="shared" si="4"/>
        <v/>
      </c>
      <c r="E159" s="68" t="str">
        <f t="shared" si="4"/>
        <v/>
      </c>
      <c r="F159" s="68" t="str">
        <f t="shared" si="4"/>
        <v/>
      </c>
      <c r="G159" s="68" t="str">
        <f t="shared" si="4"/>
        <v/>
      </c>
      <c r="H159" s="68" t="str">
        <f t="shared" si="4"/>
        <v/>
      </c>
      <c r="I159" s="68" t="str">
        <f t="shared" si="4"/>
        <v/>
      </c>
      <c r="J159" s="68" t="str">
        <f t="shared" si="4"/>
        <v/>
      </c>
      <c r="K159" s="68" t="str">
        <f t="shared" si="4"/>
        <v/>
      </c>
      <c r="L159" s="68" t="str">
        <f t="shared" si="4"/>
        <v/>
      </c>
      <c r="M159" s="68" t="str">
        <f t="shared" si="4"/>
        <v/>
      </c>
      <c r="N159" s="68" t="str">
        <f t="shared" si="4"/>
        <v/>
      </c>
      <c r="O159" s="68" t="str">
        <f t="shared" si="4"/>
        <v/>
      </c>
      <c r="P159" s="68" t="str">
        <f t="shared" si="4"/>
        <v/>
      </c>
      <c r="Q159" s="68" t="str">
        <f t="shared" si="4"/>
        <v/>
      </c>
      <c r="R159" s="68" t="str">
        <f t="shared" si="4"/>
        <v/>
      </c>
      <c r="S159" s="68" t="str">
        <f t="shared" si="4"/>
        <v/>
      </c>
      <c r="T159" s="68" t="str">
        <f t="shared" si="4"/>
        <v/>
      </c>
      <c r="U159" s="68" t="str">
        <f t="shared" si="4"/>
        <v/>
      </c>
      <c r="V159" s="68" t="str">
        <f t="shared" si="4"/>
        <v/>
      </c>
      <c r="W159" s="68" t="str">
        <f t="shared" si="4"/>
        <v/>
      </c>
      <c r="X159" s="68" t="str">
        <f t="shared" si="4"/>
        <v/>
      </c>
      <c r="Y159" s="68" t="str">
        <f t="shared" si="4"/>
        <v/>
      </c>
      <c r="Z159" s="68" t="str">
        <f t="shared" si="4"/>
        <v/>
      </c>
      <c r="AA159" s="68" t="str">
        <f t="shared" si="4"/>
        <v/>
      </c>
      <c r="AB159" s="68" t="str">
        <f t="shared" si="4"/>
        <v/>
      </c>
      <c r="AC159" s="68" t="str">
        <f t="shared" si="4"/>
        <v/>
      </c>
      <c r="AD159" s="68" t="str">
        <f t="shared" si="4"/>
        <v/>
      </c>
      <c r="AE159" s="68" t="str">
        <f t="shared" si="4"/>
        <v/>
      </c>
      <c r="AF159" s="68" t="str">
        <f t="shared" si="4"/>
        <v/>
      </c>
      <c r="AG159" s="68" t="str">
        <f t="shared" si="4"/>
        <v/>
      </c>
      <c r="AH159" s="68" t="str">
        <f t="shared" si="4"/>
        <v/>
      </c>
      <c r="AI159" s="68" t="str">
        <f t="shared" si="4"/>
        <v/>
      </c>
      <c r="AJ159" s="68" t="str">
        <f t="shared" si="4"/>
        <v/>
      </c>
      <c r="AK159" s="68" t="str">
        <f t="shared" si="4"/>
        <v/>
      </c>
      <c r="AL159" s="68" t="str">
        <f t="shared" si="4"/>
        <v/>
      </c>
      <c r="AM159" s="68" t="str">
        <f t="shared" si="4"/>
        <v/>
      </c>
      <c r="AN159" s="68" t="str">
        <f t="shared" si="4"/>
        <v/>
      </c>
      <c r="AO159" s="68" t="str">
        <f t="shared" si="4"/>
        <v/>
      </c>
      <c r="AP159" s="68" t="str">
        <f t="shared" si="4"/>
        <v/>
      </c>
      <c r="AQ159" s="68" t="str">
        <f t="shared" si="4"/>
        <v/>
      </c>
      <c r="AR159" s="68" t="str">
        <f t="shared" si="4"/>
        <v/>
      </c>
      <c r="AS159" s="68" t="str">
        <f t="shared" si="4"/>
        <v/>
      </c>
      <c r="AT159" s="68" t="str">
        <f t="shared" si="4"/>
        <v/>
      </c>
      <c r="AU159" s="68" t="str">
        <f t="shared" si="4"/>
        <v/>
      </c>
      <c r="AV159" s="68" t="str">
        <f t="shared" si="4"/>
        <v/>
      </c>
      <c r="AW159" s="68" t="str">
        <f t="shared" si="4"/>
        <v/>
      </c>
      <c r="AX159" s="68" t="str">
        <f t="shared" si="4"/>
        <v/>
      </c>
      <c r="AY159" s="68" t="str">
        <f t="shared" si="4"/>
        <v/>
      </c>
      <c r="AZ159" s="68" t="str">
        <f t="shared" si="4"/>
        <v/>
      </c>
      <c r="BA159" s="68" t="str">
        <f t="shared" si="4"/>
        <v/>
      </c>
      <c r="BB159" s="68" t="str">
        <f t="shared" si="4"/>
        <v/>
      </c>
      <c r="BC159" s="68" t="str">
        <f t="shared" si="4"/>
        <v/>
      </c>
      <c r="BD159" s="68" t="str">
        <f t="shared" si="4"/>
        <v/>
      </c>
      <c r="BE159" s="68" t="str">
        <f t="shared" si="4"/>
        <v/>
      </c>
      <c r="BF159" s="68" t="str">
        <f t="shared" si="4"/>
        <v/>
      </c>
      <c r="BG159" s="68" t="str">
        <f t="shared" si="4"/>
        <v/>
      </c>
      <c r="BH159" s="68" t="str">
        <f t="shared" si="4"/>
        <v/>
      </c>
      <c r="BI159" s="68" t="str">
        <f t="shared" si="4"/>
        <v/>
      </c>
    </row>
    <row r="160" spans="1:61" s="18" customFormat="1" ht="15.75" hidden="1" customHeight="1">
      <c r="A160" s="346"/>
      <c r="B160" s="65" t="s">
        <v>225</v>
      </c>
      <c r="C160" s="68" t="str">
        <f t="shared" si="1"/>
        <v/>
      </c>
      <c r="D160" s="68" t="str">
        <f t="shared" si="4"/>
        <v/>
      </c>
      <c r="E160" s="68" t="str">
        <f t="shared" si="4"/>
        <v/>
      </c>
      <c r="F160" s="68" t="str">
        <f t="shared" si="4"/>
        <v/>
      </c>
      <c r="G160" s="68" t="str">
        <f t="shared" si="4"/>
        <v/>
      </c>
      <c r="H160" s="68" t="str">
        <f t="shared" si="4"/>
        <v/>
      </c>
      <c r="I160" s="68" t="str">
        <f t="shared" si="4"/>
        <v/>
      </c>
      <c r="J160" s="68" t="str">
        <f t="shared" si="4"/>
        <v/>
      </c>
      <c r="K160" s="68" t="str">
        <f t="shared" si="4"/>
        <v/>
      </c>
      <c r="L160" s="68" t="str">
        <f t="shared" si="4"/>
        <v/>
      </c>
      <c r="M160" s="68" t="str">
        <f t="shared" si="4"/>
        <v/>
      </c>
      <c r="N160" s="68" t="str">
        <f t="shared" si="4"/>
        <v/>
      </c>
      <c r="O160" s="68" t="str">
        <f t="shared" si="4"/>
        <v/>
      </c>
      <c r="P160" s="68" t="str">
        <f t="shared" si="4"/>
        <v/>
      </c>
      <c r="Q160" s="68" t="str">
        <f t="shared" si="4"/>
        <v/>
      </c>
      <c r="R160" s="68" t="str">
        <f t="shared" si="4"/>
        <v/>
      </c>
      <c r="S160" s="68" t="str">
        <f t="shared" si="4"/>
        <v/>
      </c>
      <c r="T160" s="68" t="str">
        <f t="shared" si="4"/>
        <v/>
      </c>
      <c r="U160" s="68" t="str">
        <f t="shared" si="4"/>
        <v/>
      </c>
      <c r="V160" s="68" t="str">
        <f t="shared" si="4"/>
        <v/>
      </c>
      <c r="W160" s="68" t="str">
        <f t="shared" si="4"/>
        <v/>
      </c>
      <c r="X160" s="68" t="str">
        <f t="shared" si="4"/>
        <v/>
      </c>
      <c r="Y160" s="68" t="str">
        <f t="shared" si="4"/>
        <v/>
      </c>
      <c r="Z160" s="68" t="str">
        <f t="shared" si="4"/>
        <v/>
      </c>
      <c r="AA160" s="68" t="str">
        <f t="shared" si="4"/>
        <v/>
      </c>
      <c r="AB160" s="68" t="str">
        <f t="shared" si="4"/>
        <v/>
      </c>
      <c r="AC160" s="68" t="str">
        <f t="shared" si="4"/>
        <v/>
      </c>
      <c r="AD160" s="68" t="str">
        <f t="shared" si="4"/>
        <v/>
      </c>
      <c r="AE160" s="68" t="str">
        <f t="shared" si="4"/>
        <v/>
      </c>
      <c r="AF160" s="68" t="str">
        <f t="shared" si="4"/>
        <v/>
      </c>
      <c r="AG160" s="68" t="str">
        <f t="shared" si="4"/>
        <v/>
      </c>
      <c r="AH160" s="68" t="str">
        <f t="shared" si="4"/>
        <v/>
      </c>
      <c r="AI160" s="68" t="str">
        <f t="shared" si="4"/>
        <v/>
      </c>
      <c r="AJ160" s="68" t="str">
        <f t="shared" si="4"/>
        <v/>
      </c>
      <c r="AK160" s="68" t="str">
        <f t="shared" si="4"/>
        <v/>
      </c>
      <c r="AL160" s="68" t="str">
        <f t="shared" si="4"/>
        <v/>
      </c>
      <c r="AM160" s="68" t="str">
        <f t="shared" si="4"/>
        <v/>
      </c>
      <c r="AN160" s="68" t="str">
        <f t="shared" si="4"/>
        <v/>
      </c>
      <c r="AO160" s="68" t="str">
        <f t="shared" si="4"/>
        <v/>
      </c>
      <c r="AP160" s="68" t="str">
        <f t="shared" si="4"/>
        <v/>
      </c>
      <c r="AQ160" s="68" t="str">
        <f t="shared" si="4"/>
        <v/>
      </c>
      <c r="AR160" s="68" t="str">
        <f t="shared" si="4"/>
        <v/>
      </c>
      <c r="AS160" s="68" t="str">
        <f t="shared" si="4"/>
        <v/>
      </c>
      <c r="AT160" s="68" t="str">
        <f t="shared" si="4"/>
        <v/>
      </c>
      <c r="AU160" s="68" t="str">
        <f t="shared" si="4"/>
        <v/>
      </c>
      <c r="AV160" s="68" t="str">
        <f t="shared" si="4"/>
        <v/>
      </c>
      <c r="AW160" s="68" t="str">
        <f t="shared" si="4"/>
        <v/>
      </c>
      <c r="AX160" s="68" t="str">
        <f t="shared" si="4"/>
        <v/>
      </c>
      <c r="AY160" s="68" t="str">
        <f t="shared" si="4"/>
        <v/>
      </c>
      <c r="AZ160" s="68" t="str">
        <f t="shared" si="4"/>
        <v/>
      </c>
      <c r="BA160" s="68" t="str">
        <f t="shared" si="4"/>
        <v/>
      </c>
      <c r="BB160" s="68" t="str">
        <f t="shared" si="4"/>
        <v/>
      </c>
      <c r="BC160" s="68" t="str">
        <f t="shared" si="4"/>
        <v/>
      </c>
      <c r="BD160" s="68" t="str">
        <f t="shared" si="4"/>
        <v/>
      </c>
      <c r="BE160" s="68" t="str">
        <f t="shared" si="4"/>
        <v/>
      </c>
      <c r="BF160" s="68" t="str">
        <f t="shared" si="4"/>
        <v/>
      </c>
      <c r="BG160" s="68" t="str">
        <f t="shared" si="4"/>
        <v/>
      </c>
      <c r="BH160" s="68" t="str">
        <f t="shared" si="4"/>
        <v/>
      </c>
      <c r="BI160" s="68" t="str">
        <f t="shared" si="4"/>
        <v/>
      </c>
    </row>
    <row r="161" spans="1:61" s="18" customFormat="1" ht="15.75" hidden="1" customHeight="1">
      <c r="A161" s="63" t="s">
        <v>203</v>
      </c>
      <c r="B161" s="64" t="s">
        <v>223</v>
      </c>
      <c r="C161" s="67" t="str">
        <f t="shared" si="1"/>
        <v/>
      </c>
      <c r="D161" s="67" t="str">
        <f t="shared" si="4"/>
        <v/>
      </c>
      <c r="E161" s="67" t="str">
        <f t="shared" si="4"/>
        <v/>
      </c>
      <c r="F161" s="67" t="str">
        <f t="shared" si="4"/>
        <v/>
      </c>
      <c r="G161" s="67" t="str">
        <f t="shared" ref="D161:BI165" si="5">IF(G91=G16,"","*")</f>
        <v/>
      </c>
      <c r="H161" s="67" t="str">
        <f t="shared" si="5"/>
        <v/>
      </c>
      <c r="I161" s="67" t="str">
        <f t="shared" si="5"/>
        <v/>
      </c>
      <c r="J161" s="67" t="str">
        <f t="shared" si="5"/>
        <v/>
      </c>
      <c r="K161" s="67" t="str">
        <f t="shared" si="5"/>
        <v/>
      </c>
      <c r="L161" s="67" t="str">
        <f t="shared" si="5"/>
        <v/>
      </c>
      <c r="M161" s="67" t="str">
        <f t="shared" si="5"/>
        <v/>
      </c>
      <c r="N161" s="67" t="str">
        <f t="shared" si="5"/>
        <v/>
      </c>
      <c r="O161" s="67" t="str">
        <f t="shared" si="5"/>
        <v/>
      </c>
      <c r="P161" s="67" t="str">
        <f t="shared" si="5"/>
        <v/>
      </c>
      <c r="Q161" s="67" t="str">
        <f t="shared" si="5"/>
        <v/>
      </c>
      <c r="R161" s="67" t="str">
        <f t="shared" si="5"/>
        <v/>
      </c>
      <c r="S161" s="67" t="str">
        <f t="shared" si="5"/>
        <v/>
      </c>
      <c r="T161" s="67" t="str">
        <f t="shared" si="5"/>
        <v/>
      </c>
      <c r="U161" s="67" t="str">
        <f t="shared" si="5"/>
        <v/>
      </c>
      <c r="V161" s="67" t="str">
        <f t="shared" si="5"/>
        <v/>
      </c>
      <c r="W161" s="67" t="str">
        <f t="shared" si="5"/>
        <v/>
      </c>
      <c r="X161" s="67" t="str">
        <f t="shared" si="5"/>
        <v/>
      </c>
      <c r="Y161" s="67" t="str">
        <f t="shared" si="5"/>
        <v/>
      </c>
      <c r="Z161" s="67" t="str">
        <f t="shared" si="5"/>
        <v/>
      </c>
      <c r="AA161" s="67" t="str">
        <f t="shared" si="5"/>
        <v/>
      </c>
      <c r="AB161" s="67" t="str">
        <f t="shared" si="5"/>
        <v/>
      </c>
      <c r="AC161" s="67" t="str">
        <f t="shared" si="5"/>
        <v/>
      </c>
      <c r="AD161" s="67" t="str">
        <f t="shared" si="5"/>
        <v/>
      </c>
      <c r="AE161" s="67" t="str">
        <f t="shared" si="5"/>
        <v/>
      </c>
      <c r="AF161" s="67" t="str">
        <f t="shared" si="5"/>
        <v/>
      </c>
      <c r="AG161" s="67" t="str">
        <f t="shared" si="5"/>
        <v/>
      </c>
      <c r="AH161" s="67" t="str">
        <f t="shared" si="5"/>
        <v/>
      </c>
      <c r="AI161" s="67" t="str">
        <f t="shared" si="5"/>
        <v/>
      </c>
      <c r="AJ161" s="67" t="str">
        <f t="shared" si="5"/>
        <v/>
      </c>
      <c r="AK161" s="67" t="str">
        <f t="shared" si="5"/>
        <v/>
      </c>
      <c r="AL161" s="67" t="str">
        <f t="shared" si="5"/>
        <v/>
      </c>
      <c r="AM161" s="67" t="str">
        <f t="shared" si="5"/>
        <v/>
      </c>
      <c r="AN161" s="67" t="str">
        <f t="shared" si="5"/>
        <v/>
      </c>
      <c r="AO161" s="67" t="str">
        <f t="shared" si="5"/>
        <v/>
      </c>
      <c r="AP161" s="67" t="str">
        <f t="shared" si="5"/>
        <v/>
      </c>
      <c r="AQ161" s="67" t="str">
        <f t="shared" si="5"/>
        <v/>
      </c>
      <c r="AR161" s="67" t="str">
        <f t="shared" si="5"/>
        <v/>
      </c>
      <c r="AS161" s="67" t="str">
        <f t="shared" si="5"/>
        <v/>
      </c>
      <c r="AT161" s="67" t="str">
        <f t="shared" si="5"/>
        <v/>
      </c>
      <c r="AU161" s="67" t="str">
        <f t="shared" si="5"/>
        <v/>
      </c>
      <c r="AV161" s="67" t="str">
        <f t="shared" si="5"/>
        <v/>
      </c>
      <c r="AW161" s="67" t="str">
        <f t="shared" si="5"/>
        <v/>
      </c>
      <c r="AX161" s="67" t="str">
        <f t="shared" si="5"/>
        <v/>
      </c>
      <c r="AY161" s="67" t="str">
        <f t="shared" si="5"/>
        <v/>
      </c>
      <c r="AZ161" s="67" t="str">
        <f t="shared" si="5"/>
        <v/>
      </c>
      <c r="BA161" s="67" t="str">
        <f t="shared" si="5"/>
        <v/>
      </c>
      <c r="BB161" s="67" t="str">
        <f t="shared" si="5"/>
        <v/>
      </c>
      <c r="BC161" s="67" t="str">
        <f t="shared" si="5"/>
        <v/>
      </c>
      <c r="BD161" s="67" t="str">
        <f t="shared" si="5"/>
        <v/>
      </c>
      <c r="BE161" s="67" t="str">
        <f t="shared" si="5"/>
        <v/>
      </c>
      <c r="BF161" s="67" t="str">
        <f t="shared" si="5"/>
        <v/>
      </c>
      <c r="BG161" s="67" t="str">
        <f t="shared" si="5"/>
        <v/>
      </c>
      <c r="BH161" s="67" t="str">
        <f t="shared" si="5"/>
        <v/>
      </c>
      <c r="BI161" s="67" t="str">
        <f t="shared" si="5"/>
        <v/>
      </c>
    </row>
    <row r="162" spans="1:61" s="18" customFormat="1" ht="15.75" hidden="1" customHeight="1">
      <c r="A162" s="345" t="s">
        <v>49</v>
      </c>
      <c r="B162" s="65" t="s">
        <v>224</v>
      </c>
      <c r="C162" s="68" t="str">
        <f t="shared" si="1"/>
        <v/>
      </c>
      <c r="D162" s="68" t="str">
        <f t="shared" si="5"/>
        <v/>
      </c>
      <c r="E162" s="68" t="str">
        <f t="shared" si="5"/>
        <v/>
      </c>
      <c r="F162" s="68" t="str">
        <f t="shared" si="5"/>
        <v/>
      </c>
      <c r="G162" s="68" t="str">
        <f t="shared" si="5"/>
        <v/>
      </c>
      <c r="H162" s="68" t="str">
        <f t="shared" si="5"/>
        <v/>
      </c>
      <c r="I162" s="68" t="str">
        <f t="shared" si="5"/>
        <v/>
      </c>
      <c r="J162" s="68" t="str">
        <f t="shared" si="5"/>
        <v/>
      </c>
      <c r="K162" s="68" t="str">
        <f t="shared" si="5"/>
        <v/>
      </c>
      <c r="L162" s="68" t="str">
        <f t="shared" si="5"/>
        <v/>
      </c>
      <c r="M162" s="68" t="str">
        <f t="shared" si="5"/>
        <v/>
      </c>
      <c r="N162" s="68" t="str">
        <f t="shared" si="5"/>
        <v/>
      </c>
      <c r="O162" s="68" t="str">
        <f t="shared" si="5"/>
        <v/>
      </c>
      <c r="P162" s="68" t="str">
        <f t="shared" si="5"/>
        <v/>
      </c>
      <c r="Q162" s="68" t="str">
        <f t="shared" si="5"/>
        <v/>
      </c>
      <c r="R162" s="68" t="str">
        <f t="shared" si="5"/>
        <v/>
      </c>
      <c r="S162" s="68" t="str">
        <f t="shared" si="5"/>
        <v/>
      </c>
      <c r="T162" s="68" t="str">
        <f t="shared" si="5"/>
        <v/>
      </c>
      <c r="U162" s="68" t="str">
        <f t="shared" si="5"/>
        <v/>
      </c>
      <c r="V162" s="68" t="str">
        <f t="shared" si="5"/>
        <v/>
      </c>
      <c r="W162" s="68" t="str">
        <f t="shared" si="5"/>
        <v/>
      </c>
      <c r="X162" s="68" t="str">
        <f t="shared" si="5"/>
        <v/>
      </c>
      <c r="Y162" s="68" t="str">
        <f t="shared" si="5"/>
        <v/>
      </c>
      <c r="Z162" s="68" t="str">
        <f t="shared" si="5"/>
        <v/>
      </c>
      <c r="AA162" s="68" t="str">
        <f t="shared" si="5"/>
        <v/>
      </c>
      <c r="AB162" s="68" t="str">
        <f t="shared" si="5"/>
        <v/>
      </c>
      <c r="AC162" s="68" t="str">
        <f t="shared" si="5"/>
        <v/>
      </c>
      <c r="AD162" s="68" t="str">
        <f t="shared" si="5"/>
        <v/>
      </c>
      <c r="AE162" s="68" t="str">
        <f t="shared" si="5"/>
        <v/>
      </c>
      <c r="AF162" s="68" t="str">
        <f t="shared" si="5"/>
        <v/>
      </c>
      <c r="AG162" s="68" t="str">
        <f t="shared" si="5"/>
        <v/>
      </c>
      <c r="AH162" s="68" t="str">
        <f t="shared" si="5"/>
        <v/>
      </c>
      <c r="AI162" s="68" t="str">
        <f t="shared" si="5"/>
        <v/>
      </c>
      <c r="AJ162" s="68" t="str">
        <f t="shared" si="5"/>
        <v/>
      </c>
      <c r="AK162" s="68" t="str">
        <f t="shared" si="5"/>
        <v/>
      </c>
      <c r="AL162" s="68" t="str">
        <f t="shared" si="5"/>
        <v/>
      </c>
      <c r="AM162" s="68" t="str">
        <f t="shared" si="5"/>
        <v/>
      </c>
      <c r="AN162" s="68" t="str">
        <f t="shared" si="5"/>
        <v/>
      </c>
      <c r="AO162" s="68" t="str">
        <f t="shared" si="5"/>
        <v/>
      </c>
      <c r="AP162" s="68" t="str">
        <f t="shared" si="5"/>
        <v/>
      </c>
      <c r="AQ162" s="68" t="str">
        <f t="shared" si="5"/>
        <v/>
      </c>
      <c r="AR162" s="68" t="str">
        <f t="shared" si="5"/>
        <v/>
      </c>
      <c r="AS162" s="68" t="str">
        <f t="shared" si="5"/>
        <v/>
      </c>
      <c r="AT162" s="68" t="str">
        <f t="shared" si="5"/>
        <v/>
      </c>
      <c r="AU162" s="68" t="str">
        <f t="shared" si="5"/>
        <v/>
      </c>
      <c r="AV162" s="68" t="str">
        <f t="shared" si="5"/>
        <v/>
      </c>
      <c r="AW162" s="68" t="str">
        <f t="shared" si="5"/>
        <v/>
      </c>
      <c r="AX162" s="68" t="str">
        <f t="shared" si="5"/>
        <v/>
      </c>
      <c r="AY162" s="68" t="str">
        <f t="shared" si="5"/>
        <v/>
      </c>
      <c r="AZ162" s="68" t="str">
        <f t="shared" si="5"/>
        <v/>
      </c>
      <c r="BA162" s="68" t="str">
        <f t="shared" si="5"/>
        <v/>
      </c>
      <c r="BB162" s="68" t="str">
        <f t="shared" si="5"/>
        <v/>
      </c>
      <c r="BC162" s="68" t="str">
        <f t="shared" si="5"/>
        <v/>
      </c>
      <c r="BD162" s="68" t="str">
        <f t="shared" si="5"/>
        <v/>
      </c>
      <c r="BE162" s="68" t="str">
        <f t="shared" si="5"/>
        <v/>
      </c>
      <c r="BF162" s="68" t="str">
        <f t="shared" si="5"/>
        <v/>
      </c>
      <c r="BG162" s="68" t="str">
        <f t="shared" si="5"/>
        <v/>
      </c>
      <c r="BH162" s="68" t="str">
        <f t="shared" si="5"/>
        <v/>
      </c>
      <c r="BI162" s="68" t="str">
        <f t="shared" si="5"/>
        <v/>
      </c>
    </row>
    <row r="163" spans="1:61" s="18" customFormat="1" ht="15.75" hidden="1" customHeight="1">
      <c r="A163" s="346"/>
      <c r="B163" s="65" t="s">
        <v>225</v>
      </c>
      <c r="C163" s="68" t="str">
        <f t="shared" si="1"/>
        <v/>
      </c>
      <c r="D163" s="68" t="str">
        <f t="shared" si="5"/>
        <v/>
      </c>
      <c r="E163" s="68" t="str">
        <f t="shared" si="5"/>
        <v/>
      </c>
      <c r="F163" s="68" t="str">
        <f t="shared" si="5"/>
        <v/>
      </c>
      <c r="G163" s="68" t="str">
        <f t="shared" si="5"/>
        <v/>
      </c>
      <c r="H163" s="68" t="str">
        <f t="shared" si="5"/>
        <v/>
      </c>
      <c r="I163" s="68" t="str">
        <f t="shared" si="5"/>
        <v/>
      </c>
      <c r="J163" s="68" t="str">
        <f t="shared" si="5"/>
        <v/>
      </c>
      <c r="K163" s="68" t="str">
        <f t="shared" si="5"/>
        <v/>
      </c>
      <c r="L163" s="68" t="str">
        <f t="shared" si="5"/>
        <v/>
      </c>
      <c r="M163" s="68" t="str">
        <f t="shared" si="5"/>
        <v/>
      </c>
      <c r="N163" s="68" t="str">
        <f t="shared" si="5"/>
        <v/>
      </c>
      <c r="O163" s="68" t="str">
        <f t="shared" si="5"/>
        <v/>
      </c>
      <c r="P163" s="68" t="str">
        <f t="shared" si="5"/>
        <v/>
      </c>
      <c r="Q163" s="68" t="str">
        <f t="shared" si="5"/>
        <v/>
      </c>
      <c r="R163" s="68" t="str">
        <f t="shared" si="5"/>
        <v/>
      </c>
      <c r="S163" s="68" t="str">
        <f t="shared" si="5"/>
        <v/>
      </c>
      <c r="T163" s="68" t="str">
        <f t="shared" si="5"/>
        <v/>
      </c>
      <c r="U163" s="68" t="str">
        <f t="shared" si="5"/>
        <v/>
      </c>
      <c r="V163" s="68" t="str">
        <f t="shared" si="5"/>
        <v/>
      </c>
      <c r="W163" s="68" t="str">
        <f t="shared" si="5"/>
        <v/>
      </c>
      <c r="X163" s="68" t="str">
        <f t="shared" si="5"/>
        <v/>
      </c>
      <c r="Y163" s="68" t="str">
        <f t="shared" si="5"/>
        <v/>
      </c>
      <c r="Z163" s="68" t="str">
        <f t="shared" si="5"/>
        <v/>
      </c>
      <c r="AA163" s="68" t="str">
        <f t="shared" si="5"/>
        <v/>
      </c>
      <c r="AB163" s="68" t="str">
        <f t="shared" si="5"/>
        <v/>
      </c>
      <c r="AC163" s="68" t="str">
        <f t="shared" si="5"/>
        <v/>
      </c>
      <c r="AD163" s="68" t="str">
        <f t="shared" si="5"/>
        <v/>
      </c>
      <c r="AE163" s="68" t="str">
        <f t="shared" si="5"/>
        <v/>
      </c>
      <c r="AF163" s="68" t="str">
        <f t="shared" si="5"/>
        <v/>
      </c>
      <c r="AG163" s="68" t="str">
        <f t="shared" si="5"/>
        <v/>
      </c>
      <c r="AH163" s="68" t="str">
        <f t="shared" si="5"/>
        <v/>
      </c>
      <c r="AI163" s="68" t="str">
        <f t="shared" si="5"/>
        <v/>
      </c>
      <c r="AJ163" s="68" t="str">
        <f t="shared" si="5"/>
        <v/>
      </c>
      <c r="AK163" s="68" t="str">
        <f t="shared" si="5"/>
        <v/>
      </c>
      <c r="AL163" s="68" t="str">
        <f t="shared" si="5"/>
        <v/>
      </c>
      <c r="AM163" s="68" t="str">
        <f t="shared" si="5"/>
        <v/>
      </c>
      <c r="AN163" s="68" t="str">
        <f t="shared" si="5"/>
        <v/>
      </c>
      <c r="AO163" s="68" t="str">
        <f t="shared" si="5"/>
        <v/>
      </c>
      <c r="AP163" s="68" t="str">
        <f t="shared" si="5"/>
        <v/>
      </c>
      <c r="AQ163" s="68" t="str">
        <f t="shared" si="5"/>
        <v/>
      </c>
      <c r="AR163" s="68" t="str">
        <f t="shared" si="5"/>
        <v/>
      </c>
      <c r="AS163" s="68" t="str">
        <f t="shared" si="5"/>
        <v/>
      </c>
      <c r="AT163" s="68" t="str">
        <f t="shared" si="5"/>
        <v/>
      </c>
      <c r="AU163" s="68" t="str">
        <f t="shared" si="5"/>
        <v/>
      </c>
      <c r="AV163" s="68" t="str">
        <f t="shared" si="5"/>
        <v/>
      </c>
      <c r="AW163" s="68" t="str">
        <f t="shared" si="5"/>
        <v/>
      </c>
      <c r="AX163" s="68" t="str">
        <f t="shared" si="5"/>
        <v/>
      </c>
      <c r="AY163" s="68" t="str">
        <f t="shared" si="5"/>
        <v/>
      </c>
      <c r="AZ163" s="68" t="str">
        <f t="shared" si="5"/>
        <v/>
      </c>
      <c r="BA163" s="68" t="str">
        <f t="shared" si="5"/>
        <v/>
      </c>
      <c r="BB163" s="68" t="str">
        <f t="shared" si="5"/>
        <v/>
      </c>
      <c r="BC163" s="68" t="str">
        <f t="shared" si="5"/>
        <v/>
      </c>
      <c r="BD163" s="68" t="str">
        <f t="shared" si="5"/>
        <v/>
      </c>
      <c r="BE163" s="68" t="str">
        <f t="shared" si="5"/>
        <v/>
      </c>
      <c r="BF163" s="68" t="str">
        <f t="shared" si="5"/>
        <v/>
      </c>
      <c r="BG163" s="68" t="str">
        <f t="shared" si="5"/>
        <v/>
      </c>
      <c r="BH163" s="68" t="str">
        <f t="shared" si="5"/>
        <v/>
      </c>
      <c r="BI163" s="68" t="str">
        <f t="shared" si="5"/>
        <v/>
      </c>
    </row>
    <row r="164" spans="1:61" s="18" customFormat="1" ht="15.75" hidden="1" customHeight="1">
      <c r="A164" s="63" t="s">
        <v>204</v>
      </c>
      <c r="B164" s="64" t="s">
        <v>223</v>
      </c>
      <c r="C164" s="67" t="str">
        <f t="shared" si="1"/>
        <v/>
      </c>
      <c r="D164" s="67" t="str">
        <f t="shared" si="5"/>
        <v/>
      </c>
      <c r="E164" s="67" t="str">
        <f t="shared" si="5"/>
        <v/>
      </c>
      <c r="F164" s="67" t="str">
        <f t="shared" si="5"/>
        <v/>
      </c>
      <c r="G164" s="67" t="str">
        <f t="shared" si="5"/>
        <v/>
      </c>
      <c r="H164" s="67" t="str">
        <f t="shared" si="5"/>
        <v/>
      </c>
      <c r="I164" s="67" t="str">
        <f t="shared" si="5"/>
        <v/>
      </c>
      <c r="J164" s="67" t="str">
        <f t="shared" si="5"/>
        <v/>
      </c>
      <c r="K164" s="67" t="str">
        <f t="shared" si="5"/>
        <v/>
      </c>
      <c r="L164" s="67" t="str">
        <f t="shared" si="5"/>
        <v/>
      </c>
      <c r="M164" s="67" t="str">
        <f t="shared" si="5"/>
        <v/>
      </c>
      <c r="N164" s="67" t="str">
        <f t="shared" si="5"/>
        <v/>
      </c>
      <c r="O164" s="67" t="str">
        <f t="shared" si="5"/>
        <v/>
      </c>
      <c r="P164" s="67" t="str">
        <f t="shared" si="5"/>
        <v/>
      </c>
      <c r="Q164" s="67" t="str">
        <f t="shared" si="5"/>
        <v/>
      </c>
      <c r="R164" s="67" t="str">
        <f t="shared" si="5"/>
        <v/>
      </c>
      <c r="S164" s="67" t="str">
        <f t="shared" si="5"/>
        <v/>
      </c>
      <c r="T164" s="67" t="str">
        <f t="shared" si="5"/>
        <v/>
      </c>
      <c r="U164" s="67" t="str">
        <f t="shared" si="5"/>
        <v/>
      </c>
      <c r="V164" s="67" t="str">
        <f t="shared" si="5"/>
        <v/>
      </c>
      <c r="W164" s="67" t="str">
        <f t="shared" si="5"/>
        <v/>
      </c>
      <c r="X164" s="67" t="str">
        <f t="shared" si="5"/>
        <v/>
      </c>
      <c r="Y164" s="67" t="str">
        <f t="shared" si="5"/>
        <v/>
      </c>
      <c r="Z164" s="67" t="str">
        <f t="shared" si="5"/>
        <v/>
      </c>
      <c r="AA164" s="67" t="str">
        <f t="shared" si="5"/>
        <v/>
      </c>
      <c r="AB164" s="67" t="str">
        <f t="shared" si="5"/>
        <v/>
      </c>
      <c r="AC164" s="67" t="str">
        <f t="shared" si="5"/>
        <v/>
      </c>
      <c r="AD164" s="67" t="str">
        <f t="shared" si="5"/>
        <v/>
      </c>
      <c r="AE164" s="67" t="str">
        <f t="shared" si="5"/>
        <v/>
      </c>
      <c r="AF164" s="67" t="str">
        <f t="shared" si="5"/>
        <v/>
      </c>
      <c r="AG164" s="67" t="str">
        <f t="shared" si="5"/>
        <v/>
      </c>
      <c r="AH164" s="67" t="str">
        <f t="shared" si="5"/>
        <v/>
      </c>
      <c r="AI164" s="67" t="str">
        <f t="shared" si="5"/>
        <v/>
      </c>
      <c r="AJ164" s="67" t="str">
        <f t="shared" si="5"/>
        <v/>
      </c>
      <c r="AK164" s="67" t="str">
        <f t="shared" si="5"/>
        <v/>
      </c>
      <c r="AL164" s="67" t="str">
        <f t="shared" si="5"/>
        <v/>
      </c>
      <c r="AM164" s="67" t="str">
        <f t="shared" si="5"/>
        <v/>
      </c>
      <c r="AN164" s="67" t="str">
        <f t="shared" si="5"/>
        <v/>
      </c>
      <c r="AO164" s="67" t="str">
        <f t="shared" si="5"/>
        <v/>
      </c>
      <c r="AP164" s="67" t="str">
        <f t="shared" si="5"/>
        <v/>
      </c>
      <c r="AQ164" s="67" t="str">
        <f t="shared" si="5"/>
        <v/>
      </c>
      <c r="AR164" s="67" t="str">
        <f t="shared" si="5"/>
        <v/>
      </c>
      <c r="AS164" s="67" t="str">
        <f t="shared" si="5"/>
        <v/>
      </c>
      <c r="AT164" s="67" t="str">
        <f t="shared" si="5"/>
        <v/>
      </c>
      <c r="AU164" s="67" t="str">
        <f t="shared" si="5"/>
        <v/>
      </c>
      <c r="AV164" s="67" t="str">
        <f t="shared" si="5"/>
        <v/>
      </c>
      <c r="AW164" s="67" t="str">
        <f t="shared" si="5"/>
        <v/>
      </c>
      <c r="AX164" s="67" t="str">
        <f t="shared" si="5"/>
        <v/>
      </c>
      <c r="AY164" s="67" t="str">
        <f t="shared" si="5"/>
        <v/>
      </c>
      <c r="AZ164" s="67" t="str">
        <f t="shared" si="5"/>
        <v/>
      </c>
      <c r="BA164" s="67" t="str">
        <f t="shared" si="5"/>
        <v/>
      </c>
      <c r="BB164" s="67" t="str">
        <f t="shared" si="5"/>
        <v/>
      </c>
      <c r="BC164" s="67" t="str">
        <f t="shared" si="5"/>
        <v/>
      </c>
      <c r="BD164" s="67" t="str">
        <f t="shared" si="5"/>
        <v/>
      </c>
      <c r="BE164" s="67" t="str">
        <f t="shared" si="5"/>
        <v/>
      </c>
      <c r="BF164" s="67" t="str">
        <f t="shared" si="5"/>
        <v/>
      </c>
      <c r="BG164" s="67" t="str">
        <f t="shared" si="5"/>
        <v/>
      </c>
      <c r="BH164" s="67" t="str">
        <f t="shared" si="5"/>
        <v/>
      </c>
      <c r="BI164" s="67" t="str">
        <f t="shared" si="5"/>
        <v/>
      </c>
    </row>
    <row r="165" spans="1:61" s="18" customFormat="1" ht="15.75" hidden="1" customHeight="1">
      <c r="A165" s="345" t="s">
        <v>26</v>
      </c>
      <c r="B165" s="65" t="s">
        <v>224</v>
      </c>
      <c r="C165" s="68" t="str">
        <f t="shared" si="1"/>
        <v/>
      </c>
      <c r="D165" s="68" t="str">
        <f t="shared" si="5"/>
        <v/>
      </c>
      <c r="E165" s="68" t="str">
        <f t="shared" si="5"/>
        <v/>
      </c>
      <c r="F165" s="68" t="str">
        <f t="shared" si="5"/>
        <v/>
      </c>
      <c r="G165" s="68" t="str">
        <f t="shared" si="5"/>
        <v/>
      </c>
      <c r="H165" s="68" t="str">
        <f t="shared" si="5"/>
        <v/>
      </c>
      <c r="I165" s="68" t="str">
        <f t="shared" si="5"/>
        <v/>
      </c>
      <c r="J165" s="68" t="str">
        <f t="shared" si="5"/>
        <v/>
      </c>
      <c r="K165" s="68" t="str">
        <f t="shared" si="5"/>
        <v/>
      </c>
      <c r="L165" s="68" t="str">
        <f t="shared" si="5"/>
        <v/>
      </c>
      <c r="M165" s="68" t="str">
        <f t="shared" si="5"/>
        <v/>
      </c>
      <c r="N165" s="68" t="str">
        <f t="shared" si="5"/>
        <v/>
      </c>
      <c r="O165" s="68" t="str">
        <f t="shared" si="5"/>
        <v/>
      </c>
      <c r="P165" s="68" t="str">
        <f t="shared" si="5"/>
        <v/>
      </c>
      <c r="Q165" s="68" t="str">
        <f t="shared" si="5"/>
        <v/>
      </c>
      <c r="R165" s="68" t="str">
        <f t="shared" si="5"/>
        <v/>
      </c>
      <c r="S165" s="68" t="str">
        <f t="shared" si="5"/>
        <v/>
      </c>
      <c r="T165" s="68" t="str">
        <f t="shared" si="5"/>
        <v/>
      </c>
      <c r="U165" s="68" t="str">
        <f t="shared" si="5"/>
        <v/>
      </c>
      <c r="V165" s="68" t="str">
        <f t="shared" si="5"/>
        <v/>
      </c>
      <c r="W165" s="68" t="str">
        <f t="shared" si="5"/>
        <v/>
      </c>
      <c r="X165" s="68" t="str">
        <f t="shared" si="5"/>
        <v/>
      </c>
      <c r="Y165" s="68" t="str">
        <f t="shared" si="5"/>
        <v/>
      </c>
      <c r="Z165" s="68" t="str">
        <f t="shared" si="5"/>
        <v/>
      </c>
      <c r="AA165" s="68" t="str">
        <f t="shared" si="5"/>
        <v/>
      </c>
      <c r="AB165" s="68" t="str">
        <f t="shared" si="5"/>
        <v/>
      </c>
      <c r="AC165" s="68" t="str">
        <f t="shared" si="5"/>
        <v/>
      </c>
      <c r="AD165" s="68" t="str">
        <f t="shared" ref="D165:BI169" si="6">IF(AD95=AD20,"","*")</f>
        <v/>
      </c>
      <c r="AE165" s="68" t="str">
        <f t="shared" si="6"/>
        <v/>
      </c>
      <c r="AF165" s="68" t="str">
        <f t="shared" si="6"/>
        <v/>
      </c>
      <c r="AG165" s="68" t="str">
        <f t="shared" si="6"/>
        <v/>
      </c>
      <c r="AH165" s="68" t="str">
        <f t="shared" si="6"/>
        <v/>
      </c>
      <c r="AI165" s="68" t="str">
        <f t="shared" si="6"/>
        <v/>
      </c>
      <c r="AJ165" s="68" t="str">
        <f t="shared" si="6"/>
        <v/>
      </c>
      <c r="AK165" s="68" t="str">
        <f t="shared" si="6"/>
        <v/>
      </c>
      <c r="AL165" s="68" t="str">
        <f t="shared" si="6"/>
        <v/>
      </c>
      <c r="AM165" s="68" t="str">
        <f t="shared" si="6"/>
        <v/>
      </c>
      <c r="AN165" s="68" t="str">
        <f t="shared" si="6"/>
        <v/>
      </c>
      <c r="AO165" s="68" t="str">
        <f t="shared" si="6"/>
        <v/>
      </c>
      <c r="AP165" s="68" t="str">
        <f t="shared" si="6"/>
        <v/>
      </c>
      <c r="AQ165" s="68" t="str">
        <f t="shared" si="6"/>
        <v/>
      </c>
      <c r="AR165" s="68" t="str">
        <f t="shared" si="6"/>
        <v/>
      </c>
      <c r="AS165" s="68" t="str">
        <f t="shared" si="6"/>
        <v/>
      </c>
      <c r="AT165" s="68" t="str">
        <f t="shared" si="6"/>
        <v/>
      </c>
      <c r="AU165" s="68" t="str">
        <f t="shared" si="6"/>
        <v/>
      </c>
      <c r="AV165" s="68" t="str">
        <f t="shared" si="6"/>
        <v/>
      </c>
      <c r="AW165" s="68" t="str">
        <f t="shared" si="6"/>
        <v/>
      </c>
      <c r="AX165" s="68" t="str">
        <f t="shared" si="6"/>
        <v/>
      </c>
      <c r="AY165" s="68" t="str">
        <f t="shared" si="6"/>
        <v/>
      </c>
      <c r="AZ165" s="68" t="str">
        <f t="shared" si="6"/>
        <v/>
      </c>
      <c r="BA165" s="68" t="str">
        <f t="shared" si="6"/>
        <v/>
      </c>
      <c r="BB165" s="68" t="str">
        <f t="shared" si="6"/>
        <v/>
      </c>
      <c r="BC165" s="68" t="str">
        <f t="shared" si="6"/>
        <v/>
      </c>
      <c r="BD165" s="68" t="str">
        <f t="shared" si="6"/>
        <v/>
      </c>
      <c r="BE165" s="68" t="str">
        <f t="shared" si="6"/>
        <v/>
      </c>
      <c r="BF165" s="68" t="str">
        <f t="shared" si="6"/>
        <v/>
      </c>
      <c r="BG165" s="68" t="str">
        <f t="shared" si="6"/>
        <v/>
      </c>
      <c r="BH165" s="68" t="str">
        <f t="shared" si="6"/>
        <v/>
      </c>
      <c r="BI165" s="68" t="str">
        <f t="shared" si="6"/>
        <v/>
      </c>
    </row>
    <row r="166" spans="1:61" s="18" customFormat="1" ht="15.75" hidden="1" customHeight="1">
      <c r="A166" s="346"/>
      <c r="B166" s="65" t="s">
        <v>225</v>
      </c>
      <c r="C166" s="68" t="str">
        <f t="shared" si="1"/>
        <v/>
      </c>
      <c r="D166" s="68" t="str">
        <f t="shared" si="6"/>
        <v/>
      </c>
      <c r="E166" s="68" t="str">
        <f t="shared" si="6"/>
        <v/>
      </c>
      <c r="F166" s="68" t="str">
        <f t="shared" si="6"/>
        <v/>
      </c>
      <c r="G166" s="68" t="str">
        <f t="shared" si="6"/>
        <v/>
      </c>
      <c r="H166" s="68" t="str">
        <f t="shared" si="6"/>
        <v/>
      </c>
      <c r="I166" s="68" t="str">
        <f t="shared" si="6"/>
        <v/>
      </c>
      <c r="J166" s="68" t="str">
        <f t="shared" si="6"/>
        <v/>
      </c>
      <c r="K166" s="68" t="str">
        <f t="shared" si="6"/>
        <v/>
      </c>
      <c r="L166" s="68" t="str">
        <f t="shared" si="6"/>
        <v/>
      </c>
      <c r="M166" s="68" t="str">
        <f t="shared" si="6"/>
        <v/>
      </c>
      <c r="N166" s="68" t="str">
        <f t="shared" si="6"/>
        <v/>
      </c>
      <c r="O166" s="68" t="str">
        <f t="shared" si="6"/>
        <v/>
      </c>
      <c r="P166" s="68" t="str">
        <f t="shared" si="6"/>
        <v/>
      </c>
      <c r="Q166" s="68" t="str">
        <f t="shared" si="6"/>
        <v/>
      </c>
      <c r="R166" s="68" t="str">
        <f t="shared" si="6"/>
        <v/>
      </c>
      <c r="S166" s="68" t="str">
        <f t="shared" si="6"/>
        <v/>
      </c>
      <c r="T166" s="68" t="str">
        <f t="shared" si="6"/>
        <v/>
      </c>
      <c r="U166" s="68" t="str">
        <f t="shared" si="6"/>
        <v/>
      </c>
      <c r="V166" s="68" t="str">
        <f t="shared" si="6"/>
        <v/>
      </c>
      <c r="W166" s="68" t="str">
        <f t="shared" si="6"/>
        <v/>
      </c>
      <c r="X166" s="68" t="str">
        <f t="shared" si="6"/>
        <v/>
      </c>
      <c r="Y166" s="68" t="str">
        <f t="shared" si="6"/>
        <v/>
      </c>
      <c r="Z166" s="68" t="str">
        <f t="shared" si="6"/>
        <v/>
      </c>
      <c r="AA166" s="68" t="str">
        <f t="shared" si="6"/>
        <v/>
      </c>
      <c r="AB166" s="68" t="str">
        <f t="shared" si="6"/>
        <v/>
      </c>
      <c r="AC166" s="68" t="str">
        <f t="shared" si="6"/>
        <v/>
      </c>
      <c r="AD166" s="68" t="str">
        <f t="shared" si="6"/>
        <v/>
      </c>
      <c r="AE166" s="68" t="str">
        <f t="shared" si="6"/>
        <v/>
      </c>
      <c r="AF166" s="68" t="str">
        <f t="shared" si="6"/>
        <v/>
      </c>
      <c r="AG166" s="68" t="str">
        <f t="shared" si="6"/>
        <v/>
      </c>
      <c r="AH166" s="68" t="str">
        <f t="shared" si="6"/>
        <v/>
      </c>
      <c r="AI166" s="68" t="str">
        <f t="shared" si="6"/>
        <v/>
      </c>
      <c r="AJ166" s="68" t="str">
        <f t="shared" si="6"/>
        <v/>
      </c>
      <c r="AK166" s="68" t="str">
        <f t="shared" si="6"/>
        <v/>
      </c>
      <c r="AL166" s="68" t="str">
        <f t="shared" si="6"/>
        <v/>
      </c>
      <c r="AM166" s="68" t="str">
        <f t="shared" si="6"/>
        <v/>
      </c>
      <c r="AN166" s="68" t="str">
        <f t="shared" si="6"/>
        <v/>
      </c>
      <c r="AO166" s="68" t="str">
        <f t="shared" si="6"/>
        <v/>
      </c>
      <c r="AP166" s="68" t="str">
        <f t="shared" si="6"/>
        <v/>
      </c>
      <c r="AQ166" s="68" t="str">
        <f t="shared" si="6"/>
        <v/>
      </c>
      <c r="AR166" s="68" t="str">
        <f t="shared" si="6"/>
        <v/>
      </c>
      <c r="AS166" s="68" t="str">
        <f t="shared" si="6"/>
        <v/>
      </c>
      <c r="AT166" s="68" t="str">
        <f t="shared" si="6"/>
        <v/>
      </c>
      <c r="AU166" s="68" t="str">
        <f t="shared" si="6"/>
        <v/>
      </c>
      <c r="AV166" s="68" t="str">
        <f t="shared" si="6"/>
        <v/>
      </c>
      <c r="AW166" s="68" t="str">
        <f t="shared" si="6"/>
        <v/>
      </c>
      <c r="AX166" s="68" t="str">
        <f t="shared" si="6"/>
        <v/>
      </c>
      <c r="AY166" s="68" t="str">
        <f t="shared" si="6"/>
        <v/>
      </c>
      <c r="AZ166" s="68" t="str">
        <f t="shared" si="6"/>
        <v/>
      </c>
      <c r="BA166" s="68" t="str">
        <f t="shared" si="6"/>
        <v/>
      </c>
      <c r="BB166" s="68" t="str">
        <f t="shared" si="6"/>
        <v/>
      </c>
      <c r="BC166" s="68" t="str">
        <f t="shared" si="6"/>
        <v/>
      </c>
      <c r="BD166" s="68" t="str">
        <f t="shared" si="6"/>
        <v/>
      </c>
      <c r="BE166" s="68" t="str">
        <f t="shared" si="6"/>
        <v/>
      </c>
      <c r="BF166" s="68" t="str">
        <f t="shared" si="6"/>
        <v/>
      </c>
      <c r="BG166" s="68" t="str">
        <f t="shared" si="6"/>
        <v/>
      </c>
      <c r="BH166" s="68" t="str">
        <f t="shared" si="6"/>
        <v/>
      </c>
      <c r="BI166" s="68" t="str">
        <f t="shared" si="6"/>
        <v/>
      </c>
    </row>
    <row r="167" spans="1:61" s="18" customFormat="1" ht="15.75" hidden="1" customHeight="1">
      <c r="A167" s="63" t="s">
        <v>205</v>
      </c>
      <c r="B167" s="64" t="s">
        <v>223</v>
      </c>
      <c r="C167" s="67" t="str">
        <f t="shared" si="1"/>
        <v/>
      </c>
      <c r="D167" s="67" t="str">
        <f t="shared" si="6"/>
        <v/>
      </c>
      <c r="E167" s="67" t="str">
        <f t="shared" si="6"/>
        <v/>
      </c>
      <c r="F167" s="67" t="str">
        <f t="shared" si="6"/>
        <v/>
      </c>
      <c r="G167" s="67" t="str">
        <f t="shared" si="6"/>
        <v/>
      </c>
      <c r="H167" s="67" t="str">
        <f t="shared" si="6"/>
        <v/>
      </c>
      <c r="I167" s="67" t="str">
        <f t="shared" si="6"/>
        <v/>
      </c>
      <c r="J167" s="67" t="str">
        <f t="shared" si="6"/>
        <v/>
      </c>
      <c r="K167" s="67" t="str">
        <f t="shared" si="6"/>
        <v/>
      </c>
      <c r="L167" s="67" t="str">
        <f t="shared" si="6"/>
        <v/>
      </c>
      <c r="M167" s="67" t="str">
        <f t="shared" si="6"/>
        <v/>
      </c>
      <c r="N167" s="67" t="str">
        <f t="shared" si="6"/>
        <v/>
      </c>
      <c r="O167" s="67" t="str">
        <f t="shared" si="6"/>
        <v/>
      </c>
      <c r="P167" s="67" t="str">
        <f t="shared" si="6"/>
        <v/>
      </c>
      <c r="Q167" s="67" t="str">
        <f t="shared" si="6"/>
        <v/>
      </c>
      <c r="R167" s="67" t="str">
        <f t="shared" si="6"/>
        <v/>
      </c>
      <c r="S167" s="67" t="str">
        <f t="shared" si="6"/>
        <v/>
      </c>
      <c r="T167" s="67" t="str">
        <f t="shared" si="6"/>
        <v/>
      </c>
      <c r="U167" s="67" t="str">
        <f t="shared" si="6"/>
        <v/>
      </c>
      <c r="V167" s="67" t="str">
        <f t="shared" si="6"/>
        <v/>
      </c>
      <c r="W167" s="67" t="str">
        <f t="shared" si="6"/>
        <v/>
      </c>
      <c r="X167" s="67" t="str">
        <f t="shared" si="6"/>
        <v/>
      </c>
      <c r="Y167" s="67" t="str">
        <f t="shared" si="6"/>
        <v/>
      </c>
      <c r="Z167" s="67" t="str">
        <f t="shared" si="6"/>
        <v/>
      </c>
      <c r="AA167" s="67" t="str">
        <f t="shared" si="6"/>
        <v/>
      </c>
      <c r="AB167" s="67" t="str">
        <f t="shared" si="6"/>
        <v/>
      </c>
      <c r="AC167" s="67" t="str">
        <f t="shared" si="6"/>
        <v/>
      </c>
      <c r="AD167" s="67" t="str">
        <f t="shared" si="6"/>
        <v/>
      </c>
      <c r="AE167" s="67" t="str">
        <f t="shared" si="6"/>
        <v/>
      </c>
      <c r="AF167" s="67" t="str">
        <f t="shared" si="6"/>
        <v/>
      </c>
      <c r="AG167" s="67" t="str">
        <f t="shared" si="6"/>
        <v/>
      </c>
      <c r="AH167" s="67" t="str">
        <f t="shared" si="6"/>
        <v/>
      </c>
      <c r="AI167" s="67" t="str">
        <f t="shared" si="6"/>
        <v/>
      </c>
      <c r="AJ167" s="67" t="str">
        <f t="shared" si="6"/>
        <v/>
      </c>
      <c r="AK167" s="67" t="str">
        <f t="shared" si="6"/>
        <v/>
      </c>
      <c r="AL167" s="67" t="str">
        <f t="shared" si="6"/>
        <v/>
      </c>
      <c r="AM167" s="67" t="str">
        <f t="shared" si="6"/>
        <v/>
      </c>
      <c r="AN167" s="67" t="str">
        <f t="shared" si="6"/>
        <v/>
      </c>
      <c r="AO167" s="67" t="str">
        <f t="shared" si="6"/>
        <v/>
      </c>
      <c r="AP167" s="67" t="str">
        <f t="shared" si="6"/>
        <v/>
      </c>
      <c r="AQ167" s="67" t="str">
        <f t="shared" si="6"/>
        <v/>
      </c>
      <c r="AR167" s="67" t="str">
        <f t="shared" si="6"/>
        <v/>
      </c>
      <c r="AS167" s="67" t="str">
        <f t="shared" si="6"/>
        <v/>
      </c>
      <c r="AT167" s="67" t="str">
        <f t="shared" si="6"/>
        <v/>
      </c>
      <c r="AU167" s="67" t="str">
        <f t="shared" si="6"/>
        <v/>
      </c>
      <c r="AV167" s="67" t="str">
        <f t="shared" si="6"/>
        <v/>
      </c>
      <c r="AW167" s="67" t="str">
        <f t="shared" si="6"/>
        <v/>
      </c>
      <c r="AX167" s="67" t="str">
        <f t="shared" si="6"/>
        <v/>
      </c>
      <c r="AY167" s="67" t="str">
        <f t="shared" si="6"/>
        <v/>
      </c>
      <c r="AZ167" s="67" t="str">
        <f t="shared" si="6"/>
        <v/>
      </c>
      <c r="BA167" s="67" t="str">
        <f t="shared" si="6"/>
        <v/>
      </c>
      <c r="BB167" s="67" t="str">
        <f t="shared" si="6"/>
        <v/>
      </c>
      <c r="BC167" s="67" t="str">
        <f t="shared" si="6"/>
        <v/>
      </c>
      <c r="BD167" s="67" t="str">
        <f t="shared" si="6"/>
        <v/>
      </c>
      <c r="BE167" s="67" t="str">
        <f t="shared" si="6"/>
        <v/>
      </c>
      <c r="BF167" s="67" t="str">
        <f t="shared" si="6"/>
        <v/>
      </c>
      <c r="BG167" s="67" t="str">
        <f t="shared" si="6"/>
        <v/>
      </c>
      <c r="BH167" s="67" t="str">
        <f t="shared" si="6"/>
        <v/>
      </c>
      <c r="BI167" s="67" t="str">
        <f t="shared" si="6"/>
        <v/>
      </c>
    </row>
    <row r="168" spans="1:61" s="18" customFormat="1" ht="15.75" hidden="1" customHeight="1">
      <c r="A168" s="345" t="s">
        <v>27</v>
      </c>
      <c r="B168" s="65" t="s">
        <v>224</v>
      </c>
      <c r="C168" s="68" t="str">
        <f t="shared" si="1"/>
        <v/>
      </c>
      <c r="D168" s="68" t="str">
        <f t="shared" si="6"/>
        <v/>
      </c>
      <c r="E168" s="68" t="str">
        <f t="shared" si="6"/>
        <v/>
      </c>
      <c r="F168" s="68" t="str">
        <f t="shared" si="6"/>
        <v/>
      </c>
      <c r="G168" s="68" t="str">
        <f t="shared" si="6"/>
        <v/>
      </c>
      <c r="H168" s="68" t="str">
        <f t="shared" si="6"/>
        <v/>
      </c>
      <c r="I168" s="68" t="str">
        <f t="shared" si="6"/>
        <v/>
      </c>
      <c r="J168" s="68" t="str">
        <f t="shared" si="6"/>
        <v/>
      </c>
      <c r="K168" s="68" t="str">
        <f t="shared" si="6"/>
        <v/>
      </c>
      <c r="L168" s="68" t="str">
        <f t="shared" si="6"/>
        <v/>
      </c>
      <c r="M168" s="68" t="str">
        <f t="shared" si="6"/>
        <v/>
      </c>
      <c r="N168" s="68" t="str">
        <f t="shared" si="6"/>
        <v/>
      </c>
      <c r="O168" s="68" t="str">
        <f t="shared" si="6"/>
        <v/>
      </c>
      <c r="P168" s="68" t="str">
        <f t="shared" si="6"/>
        <v/>
      </c>
      <c r="Q168" s="68" t="str">
        <f t="shared" si="6"/>
        <v/>
      </c>
      <c r="R168" s="68" t="str">
        <f t="shared" si="6"/>
        <v/>
      </c>
      <c r="S168" s="68" t="str">
        <f t="shared" si="6"/>
        <v/>
      </c>
      <c r="T168" s="68" t="str">
        <f t="shared" si="6"/>
        <v/>
      </c>
      <c r="U168" s="68" t="str">
        <f t="shared" si="6"/>
        <v/>
      </c>
      <c r="V168" s="68" t="str">
        <f t="shared" si="6"/>
        <v/>
      </c>
      <c r="W168" s="68" t="str">
        <f t="shared" si="6"/>
        <v/>
      </c>
      <c r="X168" s="68" t="str">
        <f t="shared" si="6"/>
        <v/>
      </c>
      <c r="Y168" s="68" t="str">
        <f t="shared" si="6"/>
        <v/>
      </c>
      <c r="Z168" s="68" t="str">
        <f t="shared" si="6"/>
        <v/>
      </c>
      <c r="AA168" s="68" t="str">
        <f t="shared" si="6"/>
        <v/>
      </c>
      <c r="AB168" s="68" t="str">
        <f t="shared" si="6"/>
        <v/>
      </c>
      <c r="AC168" s="68" t="str">
        <f t="shared" si="6"/>
        <v/>
      </c>
      <c r="AD168" s="68" t="str">
        <f t="shared" si="6"/>
        <v/>
      </c>
      <c r="AE168" s="68" t="str">
        <f t="shared" si="6"/>
        <v/>
      </c>
      <c r="AF168" s="68" t="str">
        <f t="shared" si="6"/>
        <v/>
      </c>
      <c r="AG168" s="68" t="str">
        <f t="shared" si="6"/>
        <v/>
      </c>
      <c r="AH168" s="68" t="str">
        <f t="shared" si="6"/>
        <v/>
      </c>
      <c r="AI168" s="68" t="str">
        <f t="shared" si="6"/>
        <v/>
      </c>
      <c r="AJ168" s="68" t="str">
        <f t="shared" si="6"/>
        <v/>
      </c>
      <c r="AK168" s="68" t="str">
        <f t="shared" si="6"/>
        <v/>
      </c>
      <c r="AL168" s="68" t="str">
        <f t="shared" si="6"/>
        <v/>
      </c>
      <c r="AM168" s="68" t="str">
        <f t="shared" si="6"/>
        <v/>
      </c>
      <c r="AN168" s="68" t="str">
        <f t="shared" si="6"/>
        <v/>
      </c>
      <c r="AO168" s="68" t="str">
        <f t="shared" si="6"/>
        <v/>
      </c>
      <c r="AP168" s="68" t="str">
        <f t="shared" si="6"/>
        <v/>
      </c>
      <c r="AQ168" s="68" t="str">
        <f t="shared" si="6"/>
        <v/>
      </c>
      <c r="AR168" s="68" t="str">
        <f t="shared" si="6"/>
        <v/>
      </c>
      <c r="AS168" s="68" t="str">
        <f t="shared" si="6"/>
        <v/>
      </c>
      <c r="AT168" s="68" t="str">
        <f t="shared" si="6"/>
        <v/>
      </c>
      <c r="AU168" s="68" t="str">
        <f t="shared" si="6"/>
        <v/>
      </c>
      <c r="AV168" s="68" t="str">
        <f t="shared" si="6"/>
        <v/>
      </c>
      <c r="AW168" s="68" t="str">
        <f t="shared" si="6"/>
        <v/>
      </c>
      <c r="AX168" s="68" t="str">
        <f t="shared" si="6"/>
        <v/>
      </c>
      <c r="AY168" s="68" t="str">
        <f t="shared" si="6"/>
        <v/>
      </c>
      <c r="AZ168" s="68" t="str">
        <f t="shared" si="6"/>
        <v/>
      </c>
      <c r="BA168" s="68" t="str">
        <f t="shared" si="6"/>
        <v/>
      </c>
      <c r="BB168" s="68" t="str">
        <f t="shared" si="6"/>
        <v/>
      </c>
      <c r="BC168" s="68" t="str">
        <f t="shared" si="6"/>
        <v/>
      </c>
      <c r="BD168" s="68" t="str">
        <f t="shared" si="6"/>
        <v/>
      </c>
      <c r="BE168" s="68" t="str">
        <f t="shared" si="6"/>
        <v/>
      </c>
      <c r="BF168" s="68" t="str">
        <f t="shared" si="6"/>
        <v/>
      </c>
      <c r="BG168" s="68" t="str">
        <f t="shared" si="6"/>
        <v/>
      </c>
      <c r="BH168" s="68" t="str">
        <f t="shared" si="6"/>
        <v/>
      </c>
      <c r="BI168" s="68" t="str">
        <f t="shared" si="6"/>
        <v/>
      </c>
    </row>
    <row r="169" spans="1:61" s="18" customFormat="1" ht="15.75" hidden="1" customHeight="1">
      <c r="A169" s="346"/>
      <c r="B169" s="65" t="s">
        <v>225</v>
      </c>
      <c r="C169" s="68" t="str">
        <f t="shared" si="1"/>
        <v/>
      </c>
      <c r="D169" s="68" t="str">
        <f t="shared" si="6"/>
        <v/>
      </c>
      <c r="E169" s="68" t="str">
        <f t="shared" si="6"/>
        <v/>
      </c>
      <c r="F169" s="68" t="str">
        <f t="shared" si="6"/>
        <v/>
      </c>
      <c r="G169" s="68" t="str">
        <f t="shared" si="6"/>
        <v/>
      </c>
      <c r="H169" s="68" t="str">
        <f t="shared" si="6"/>
        <v/>
      </c>
      <c r="I169" s="68" t="str">
        <f t="shared" si="6"/>
        <v/>
      </c>
      <c r="J169" s="68" t="str">
        <f t="shared" si="6"/>
        <v/>
      </c>
      <c r="K169" s="68" t="str">
        <f t="shared" si="6"/>
        <v/>
      </c>
      <c r="L169" s="68" t="str">
        <f t="shared" si="6"/>
        <v/>
      </c>
      <c r="M169" s="68" t="str">
        <f t="shared" si="6"/>
        <v/>
      </c>
      <c r="N169" s="68" t="str">
        <f t="shared" si="6"/>
        <v/>
      </c>
      <c r="O169" s="68" t="str">
        <f t="shared" si="6"/>
        <v/>
      </c>
      <c r="P169" s="68" t="str">
        <f t="shared" si="6"/>
        <v/>
      </c>
      <c r="Q169" s="68" t="str">
        <f t="shared" si="6"/>
        <v/>
      </c>
      <c r="R169" s="68" t="str">
        <f t="shared" si="6"/>
        <v/>
      </c>
      <c r="S169" s="68" t="str">
        <f t="shared" si="6"/>
        <v/>
      </c>
      <c r="T169" s="68" t="str">
        <f t="shared" si="6"/>
        <v/>
      </c>
      <c r="U169" s="68" t="str">
        <f t="shared" si="6"/>
        <v/>
      </c>
      <c r="V169" s="68" t="str">
        <f t="shared" si="6"/>
        <v/>
      </c>
      <c r="W169" s="68" t="str">
        <f t="shared" si="6"/>
        <v/>
      </c>
      <c r="X169" s="68" t="str">
        <f t="shared" si="6"/>
        <v/>
      </c>
      <c r="Y169" s="68" t="str">
        <f t="shared" si="6"/>
        <v/>
      </c>
      <c r="Z169" s="68" t="str">
        <f t="shared" si="6"/>
        <v/>
      </c>
      <c r="AA169" s="68" t="str">
        <f t="shared" si="6"/>
        <v/>
      </c>
      <c r="AB169" s="68" t="str">
        <f t="shared" si="6"/>
        <v/>
      </c>
      <c r="AC169" s="68" t="str">
        <f t="shared" si="6"/>
        <v/>
      </c>
      <c r="AD169" s="68" t="str">
        <f t="shared" si="6"/>
        <v/>
      </c>
      <c r="AE169" s="68" t="str">
        <f t="shared" si="6"/>
        <v/>
      </c>
      <c r="AF169" s="68" t="str">
        <f t="shared" si="6"/>
        <v/>
      </c>
      <c r="AG169" s="68" t="str">
        <f t="shared" si="6"/>
        <v/>
      </c>
      <c r="AH169" s="68" t="str">
        <f t="shared" si="6"/>
        <v/>
      </c>
      <c r="AI169" s="68" t="str">
        <f t="shared" si="6"/>
        <v/>
      </c>
      <c r="AJ169" s="68" t="str">
        <f t="shared" si="6"/>
        <v/>
      </c>
      <c r="AK169" s="68" t="str">
        <f t="shared" si="6"/>
        <v/>
      </c>
      <c r="AL169" s="68" t="str">
        <f t="shared" si="6"/>
        <v/>
      </c>
      <c r="AM169" s="68" t="str">
        <f t="shared" si="6"/>
        <v/>
      </c>
      <c r="AN169" s="68" t="str">
        <f t="shared" si="6"/>
        <v/>
      </c>
      <c r="AO169" s="68" t="str">
        <f t="shared" si="6"/>
        <v/>
      </c>
      <c r="AP169" s="68" t="str">
        <f t="shared" si="6"/>
        <v/>
      </c>
      <c r="AQ169" s="68" t="str">
        <f t="shared" si="6"/>
        <v/>
      </c>
      <c r="AR169" s="68" t="str">
        <f t="shared" si="6"/>
        <v/>
      </c>
      <c r="AS169" s="68" t="str">
        <f t="shared" si="6"/>
        <v/>
      </c>
      <c r="AT169" s="68" t="str">
        <f t="shared" si="6"/>
        <v/>
      </c>
      <c r="AU169" s="68" t="str">
        <f t="shared" si="6"/>
        <v/>
      </c>
      <c r="AV169" s="68" t="str">
        <f t="shared" si="6"/>
        <v/>
      </c>
      <c r="AW169" s="68" t="str">
        <f t="shared" si="6"/>
        <v/>
      </c>
      <c r="AX169" s="68" t="str">
        <f t="shared" si="6"/>
        <v/>
      </c>
      <c r="AY169" s="68" t="str">
        <f t="shared" si="6"/>
        <v/>
      </c>
      <c r="AZ169" s="68" t="str">
        <f t="shared" si="6"/>
        <v/>
      </c>
      <c r="BA169" s="68" t="str">
        <f t="shared" ref="D169:BI174" si="7">IF(BA99=BA24,"","*")</f>
        <v/>
      </c>
      <c r="BB169" s="68" t="str">
        <f t="shared" si="7"/>
        <v/>
      </c>
      <c r="BC169" s="68" t="str">
        <f t="shared" si="7"/>
        <v/>
      </c>
      <c r="BD169" s="68" t="str">
        <f t="shared" si="7"/>
        <v/>
      </c>
      <c r="BE169" s="68" t="str">
        <f t="shared" si="7"/>
        <v/>
      </c>
      <c r="BF169" s="68" t="str">
        <f t="shared" si="7"/>
        <v/>
      </c>
      <c r="BG169" s="68" t="str">
        <f t="shared" si="7"/>
        <v/>
      </c>
      <c r="BH169" s="68" t="str">
        <f t="shared" si="7"/>
        <v/>
      </c>
      <c r="BI169" s="68" t="str">
        <f t="shared" si="7"/>
        <v/>
      </c>
    </row>
    <row r="170" spans="1:61" s="18" customFormat="1" ht="15.75" hidden="1" customHeight="1">
      <c r="A170" s="63" t="s">
        <v>206</v>
      </c>
      <c r="B170" s="64" t="s">
        <v>223</v>
      </c>
      <c r="C170" s="67" t="str">
        <f t="shared" si="1"/>
        <v/>
      </c>
      <c r="D170" s="67" t="str">
        <f t="shared" si="7"/>
        <v/>
      </c>
      <c r="E170" s="67" t="str">
        <f t="shared" si="7"/>
        <v/>
      </c>
      <c r="F170" s="67" t="str">
        <f t="shared" si="7"/>
        <v/>
      </c>
      <c r="G170" s="67" t="str">
        <f t="shared" si="7"/>
        <v/>
      </c>
      <c r="H170" s="67" t="str">
        <f t="shared" si="7"/>
        <v/>
      </c>
      <c r="I170" s="67" t="str">
        <f t="shared" si="7"/>
        <v/>
      </c>
      <c r="J170" s="67" t="str">
        <f t="shared" si="7"/>
        <v/>
      </c>
      <c r="K170" s="67" t="str">
        <f t="shared" si="7"/>
        <v/>
      </c>
      <c r="L170" s="67" t="str">
        <f t="shared" si="7"/>
        <v/>
      </c>
      <c r="M170" s="67" t="str">
        <f t="shared" si="7"/>
        <v/>
      </c>
      <c r="N170" s="67" t="str">
        <f t="shared" si="7"/>
        <v/>
      </c>
      <c r="O170" s="67" t="str">
        <f t="shared" si="7"/>
        <v/>
      </c>
      <c r="P170" s="67" t="str">
        <f t="shared" si="7"/>
        <v/>
      </c>
      <c r="Q170" s="67" t="str">
        <f t="shared" si="7"/>
        <v/>
      </c>
      <c r="R170" s="67" t="str">
        <f t="shared" si="7"/>
        <v/>
      </c>
      <c r="S170" s="67" t="str">
        <f t="shared" si="7"/>
        <v/>
      </c>
      <c r="T170" s="67" t="str">
        <f t="shared" si="7"/>
        <v/>
      </c>
      <c r="U170" s="67" t="str">
        <f t="shared" si="7"/>
        <v/>
      </c>
      <c r="V170" s="67" t="str">
        <f t="shared" si="7"/>
        <v/>
      </c>
      <c r="W170" s="67" t="str">
        <f t="shared" si="7"/>
        <v/>
      </c>
      <c r="X170" s="67" t="str">
        <f t="shared" si="7"/>
        <v/>
      </c>
      <c r="Y170" s="67" t="str">
        <f t="shared" si="7"/>
        <v/>
      </c>
      <c r="Z170" s="67" t="str">
        <f t="shared" si="7"/>
        <v/>
      </c>
      <c r="AA170" s="67" t="str">
        <f t="shared" si="7"/>
        <v/>
      </c>
      <c r="AB170" s="67" t="str">
        <f t="shared" si="7"/>
        <v/>
      </c>
      <c r="AC170" s="67" t="str">
        <f t="shared" si="7"/>
        <v/>
      </c>
      <c r="AD170" s="67" t="str">
        <f t="shared" si="7"/>
        <v/>
      </c>
      <c r="AE170" s="67" t="str">
        <f t="shared" si="7"/>
        <v/>
      </c>
      <c r="AF170" s="67" t="str">
        <f t="shared" si="7"/>
        <v/>
      </c>
      <c r="AG170" s="67" t="str">
        <f t="shared" si="7"/>
        <v/>
      </c>
      <c r="AH170" s="67" t="str">
        <f t="shared" si="7"/>
        <v/>
      </c>
      <c r="AI170" s="67" t="str">
        <f t="shared" si="7"/>
        <v/>
      </c>
      <c r="AJ170" s="67" t="str">
        <f t="shared" si="7"/>
        <v/>
      </c>
      <c r="AK170" s="67" t="str">
        <f t="shared" si="7"/>
        <v/>
      </c>
      <c r="AL170" s="67" t="str">
        <f t="shared" si="7"/>
        <v/>
      </c>
      <c r="AM170" s="67" t="str">
        <f t="shared" si="7"/>
        <v/>
      </c>
      <c r="AN170" s="67" t="str">
        <f t="shared" si="7"/>
        <v/>
      </c>
      <c r="AO170" s="67" t="str">
        <f t="shared" si="7"/>
        <v/>
      </c>
      <c r="AP170" s="67" t="str">
        <f t="shared" si="7"/>
        <v/>
      </c>
      <c r="AQ170" s="67" t="str">
        <f t="shared" si="7"/>
        <v/>
      </c>
      <c r="AR170" s="67" t="str">
        <f t="shared" si="7"/>
        <v/>
      </c>
      <c r="AS170" s="67" t="str">
        <f t="shared" si="7"/>
        <v/>
      </c>
      <c r="AT170" s="67" t="str">
        <f t="shared" si="7"/>
        <v/>
      </c>
      <c r="AU170" s="67" t="str">
        <f t="shared" si="7"/>
        <v/>
      </c>
      <c r="AV170" s="67" t="str">
        <f t="shared" si="7"/>
        <v/>
      </c>
      <c r="AW170" s="67" t="str">
        <f t="shared" si="7"/>
        <v/>
      </c>
      <c r="AX170" s="67" t="str">
        <f t="shared" si="7"/>
        <v/>
      </c>
      <c r="AY170" s="67" t="str">
        <f t="shared" si="7"/>
        <v/>
      </c>
      <c r="AZ170" s="67" t="str">
        <f t="shared" si="7"/>
        <v/>
      </c>
      <c r="BA170" s="67" t="str">
        <f t="shared" si="7"/>
        <v/>
      </c>
      <c r="BB170" s="67" t="str">
        <f t="shared" si="7"/>
        <v/>
      </c>
      <c r="BC170" s="67" t="str">
        <f t="shared" si="7"/>
        <v/>
      </c>
      <c r="BD170" s="67" t="str">
        <f t="shared" si="7"/>
        <v/>
      </c>
      <c r="BE170" s="67" t="str">
        <f t="shared" si="7"/>
        <v/>
      </c>
      <c r="BF170" s="67" t="str">
        <f t="shared" si="7"/>
        <v/>
      </c>
      <c r="BG170" s="67" t="str">
        <f t="shared" si="7"/>
        <v/>
      </c>
      <c r="BH170" s="67" t="str">
        <f t="shared" si="7"/>
        <v/>
      </c>
      <c r="BI170" s="67" t="str">
        <f t="shared" si="7"/>
        <v/>
      </c>
    </row>
    <row r="171" spans="1:61" s="18" customFormat="1" ht="15.75" hidden="1" customHeight="1">
      <c r="A171" s="345" t="s">
        <v>28</v>
      </c>
      <c r="B171" s="65" t="s">
        <v>224</v>
      </c>
      <c r="C171" s="68" t="str">
        <f t="shared" si="1"/>
        <v/>
      </c>
      <c r="D171" s="68" t="str">
        <f t="shared" si="7"/>
        <v/>
      </c>
      <c r="E171" s="68" t="str">
        <f t="shared" si="7"/>
        <v/>
      </c>
      <c r="F171" s="68" t="str">
        <f t="shared" si="7"/>
        <v/>
      </c>
      <c r="G171" s="68" t="str">
        <f t="shared" si="7"/>
        <v/>
      </c>
      <c r="H171" s="68" t="str">
        <f t="shared" si="7"/>
        <v/>
      </c>
      <c r="I171" s="68" t="str">
        <f t="shared" si="7"/>
        <v/>
      </c>
      <c r="J171" s="68" t="str">
        <f t="shared" si="7"/>
        <v/>
      </c>
      <c r="K171" s="68" t="str">
        <f t="shared" si="7"/>
        <v/>
      </c>
      <c r="L171" s="68" t="str">
        <f t="shared" si="7"/>
        <v/>
      </c>
      <c r="M171" s="68" t="str">
        <f t="shared" si="7"/>
        <v/>
      </c>
      <c r="N171" s="68" t="str">
        <f t="shared" si="7"/>
        <v/>
      </c>
      <c r="O171" s="68" t="str">
        <f t="shared" si="7"/>
        <v/>
      </c>
      <c r="P171" s="68" t="str">
        <f t="shared" si="7"/>
        <v/>
      </c>
      <c r="Q171" s="68" t="str">
        <f t="shared" si="7"/>
        <v/>
      </c>
      <c r="R171" s="68" t="str">
        <f t="shared" si="7"/>
        <v/>
      </c>
      <c r="S171" s="68" t="str">
        <f t="shared" si="7"/>
        <v/>
      </c>
      <c r="T171" s="68" t="str">
        <f t="shared" si="7"/>
        <v/>
      </c>
      <c r="U171" s="68" t="str">
        <f t="shared" si="7"/>
        <v/>
      </c>
      <c r="V171" s="68" t="str">
        <f t="shared" si="7"/>
        <v/>
      </c>
      <c r="W171" s="68" t="str">
        <f t="shared" si="7"/>
        <v/>
      </c>
      <c r="X171" s="68" t="str">
        <f t="shared" si="7"/>
        <v/>
      </c>
      <c r="Y171" s="68" t="str">
        <f t="shared" si="7"/>
        <v/>
      </c>
      <c r="Z171" s="68" t="str">
        <f t="shared" si="7"/>
        <v/>
      </c>
      <c r="AA171" s="68" t="str">
        <f t="shared" si="7"/>
        <v/>
      </c>
      <c r="AB171" s="68" t="str">
        <f t="shared" si="7"/>
        <v/>
      </c>
      <c r="AC171" s="68" t="str">
        <f t="shared" si="7"/>
        <v/>
      </c>
      <c r="AD171" s="68" t="str">
        <f t="shared" si="7"/>
        <v/>
      </c>
      <c r="AE171" s="68" t="str">
        <f t="shared" si="7"/>
        <v/>
      </c>
      <c r="AF171" s="68" t="str">
        <f t="shared" si="7"/>
        <v/>
      </c>
      <c r="AG171" s="68" t="str">
        <f t="shared" si="7"/>
        <v/>
      </c>
      <c r="AH171" s="68" t="str">
        <f t="shared" si="7"/>
        <v/>
      </c>
      <c r="AI171" s="68" t="str">
        <f t="shared" si="7"/>
        <v/>
      </c>
      <c r="AJ171" s="68" t="str">
        <f t="shared" si="7"/>
        <v/>
      </c>
      <c r="AK171" s="68" t="str">
        <f t="shared" si="7"/>
        <v/>
      </c>
      <c r="AL171" s="68" t="str">
        <f t="shared" si="7"/>
        <v/>
      </c>
      <c r="AM171" s="68" t="str">
        <f t="shared" si="7"/>
        <v/>
      </c>
      <c r="AN171" s="68" t="str">
        <f t="shared" si="7"/>
        <v/>
      </c>
      <c r="AO171" s="68" t="str">
        <f t="shared" si="7"/>
        <v/>
      </c>
      <c r="AP171" s="68" t="str">
        <f t="shared" si="7"/>
        <v/>
      </c>
      <c r="AQ171" s="68" t="str">
        <f t="shared" si="7"/>
        <v/>
      </c>
      <c r="AR171" s="68" t="str">
        <f t="shared" si="7"/>
        <v/>
      </c>
      <c r="AS171" s="68" t="str">
        <f t="shared" si="7"/>
        <v/>
      </c>
      <c r="AT171" s="68" t="str">
        <f t="shared" si="7"/>
        <v/>
      </c>
      <c r="AU171" s="68" t="str">
        <f t="shared" si="7"/>
        <v/>
      </c>
      <c r="AV171" s="68" t="str">
        <f t="shared" si="7"/>
        <v/>
      </c>
      <c r="AW171" s="68" t="str">
        <f t="shared" si="7"/>
        <v/>
      </c>
      <c r="AX171" s="68" t="str">
        <f t="shared" si="7"/>
        <v/>
      </c>
      <c r="AY171" s="68" t="str">
        <f t="shared" si="7"/>
        <v/>
      </c>
      <c r="AZ171" s="68" t="str">
        <f t="shared" si="7"/>
        <v/>
      </c>
      <c r="BA171" s="68" t="str">
        <f t="shared" si="7"/>
        <v/>
      </c>
      <c r="BB171" s="68" t="str">
        <f t="shared" si="7"/>
        <v/>
      </c>
      <c r="BC171" s="68" t="str">
        <f t="shared" si="7"/>
        <v/>
      </c>
      <c r="BD171" s="68" t="str">
        <f t="shared" si="7"/>
        <v/>
      </c>
      <c r="BE171" s="68" t="str">
        <f t="shared" si="7"/>
        <v/>
      </c>
      <c r="BF171" s="68" t="str">
        <f t="shared" si="7"/>
        <v/>
      </c>
      <c r="BG171" s="68" t="str">
        <f t="shared" si="7"/>
        <v/>
      </c>
      <c r="BH171" s="68" t="str">
        <f t="shared" si="7"/>
        <v/>
      </c>
      <c r="BI171" s="68" t="str">
        <f t="shared" si="7"/>
        <v/>
      </c>
    </row>
    <row r="172" spans="1:61" s="18" customFormat="1" ht="15.75" hidden="1" customHeight="1">
      <c r="A172" s="346"/>
      <c r="B172" s="65" t="s">
        <v>225</v>
      </c>
      <c r="C172" s="68" t="str">
        <f t="shared" si="1"/>
        <v/>
      </c>
      <c r="D172" s="68" t="str">
        <f t="shared" si="7"/>
        <v/>
      </c>
      <c r="E172" s="68" t="str">
        <f t="shared" si="7"/>
        <v/>
      </c>
      <c r="F172" s="68" t="str">
        <f t="shared" si="7"/>
        <v/>
      </c>
      <c r="G172" s="68" t="str">
        <f t="shared" si="7"/>
        <v/>
      </c>
      <c r="H172" s="68" t="str">
        <f t="shared" si="7"/>
        <v/>
      </c>
      <c r="I172" s="68" t="str">
        <f t="shared" si="7"/>
        <v/>
      </c>
      <c r="J172" s="68" t="str">
        <f t="shared" si="7"/>
        <v/>
      </c>
      <c r="K172" s="68" t="str">
        <f t="shared" si="7"/>
        <v/>
      </c>
      <c r="L172" s="68" t="str">
        <f t="shared" si="7"/>
        <v/>
      </c>
      <c r="M172" s="68" t="str">
        <f t="shared" si="7"/>
        <v/>
      </c>
      <c r="N172" s="68" t="str">
        <f t="shared" si="7"/>
        <v/>
      </c>
      <c r="O172" s="68" t="str">
        <f t="shared" si="7"/>
        <v/>
      </c>
      <c r="P172" s="68" t="str">
        <f t="shared" si="7"/>
        <v/>
      </c>
      <c r="Q172" s="68" t="str">
        <f t="shared" si="7"/>
        <v/>
      </c>
      <c r="R172" s="68" t="str">
        <f t="shared" si="7"/>
        <v/>
      </c>
      <c r="S172" s="68" t="str">
        <f t="shared" si="7"/>
        <v/>
      </c>
      <c r="T172" s="68" t="str">
        <f t="shared" si="7"/>
        <v/>
      </c>
      <c r="U172" s="68" t="str">
        <f t="shared" si="7"/>
        <v/>
      </c>
      <c r="V172" s="68" t="str">
        <f t="shared" si="7"/>
        <v/>
      </c>
      <c r="W172" s="68" t="str">
        <f t="shared" si="7"/>
        <v/>
      </c>
      <c r="X172" s="68" t="str">
        <f t="shared" si="7"/>
        <v/>
      </c>
      <c r="Y172" s="68" t="str">
        <f t="shared" si="7"/>
        <v/>
      </c>
      <c r="Z172" s="68" t="str">
        <f t="shared" si="7"/>
        <v/>
      </c>
      <c r="AA172" s="68" t="str">
        <f t="shared" si="7"/>
        <v/>
      </c>
      <c r="AB172" s="68" t="str">
        <f t="shared" si="7"/>
        <v/>
      </c>
      <c r="AC172" s="68" t="str">
        <f t="shared" si="7"/>
        <v/>
      </c>
      <c r="AD172" s="68" t="str">
        <f t="shared" si="7"/>
        <v/>
      </c>
      <c r="AE172" s="68" t="str">
        <f t="shared" si="7"/>
        <v/>
      </c>
      <c r="AF172" s="68" t="str">
        <f t="shared" si="7"/>
        <v/>
      </c>
      <c r="AG172" s="68" t="str">
        <f t="shared" si="7"/>
        <v/>
      </c>
      <c r="AH172" s="68" t="str">
        <f t="shared" si="7"/>
        <v/>
      </c>
      <c r="AI172" s="68" t="str">
        <f t="shared" si="7"/>
        <v/>
      </c>
      <c r="AJ172" s="68" t="str">
        <f t="shared" si="7"/>
        <v/>
      </c>
      <c r="AK172" s="68" t="str">
        <f t="shared" si="7"/>
        <v/>
      </c>
      <c r="AL172" s="68" t="str">
        <f t="shared" si="7"/>
        <v/>
      </c>
      <c r="AM172" s="68" t="str">
        <f t="shared" si="7"/>
        <v/>
      </c>
      <c r="AN172" s="68" t="str">
        <f t="shared" si="7"/>
        <v/>
      </c>
      <c r="AO172" s="68" t="str">
        <f t="shared" si="7"/>
        <v/>
      </c>
      <c r="AP172" s="68" t="str">
        <f t="shared" si="7"/>
        <v/>
      </c>
      <c r="AQ172" s="68" t="str">
        <f t="shared" si="7"/>
        <v/>
      </c>
      <c r="AR172" s="68" t="str">
        <f t="shared" si="7"/>
        <v/>
      </c>
      <c r="AS172" s="68" t="str">
        <f t="shared" si="7"/>
        <v/>
      </c>
      <c r="AT172" s="68" t="str">
        <f t="shared" si="7"/>
        <v/>
      </c>
      <c r="AU172" s="68" t="str">
        <f t="shared" si="7"/>
        <v/>
      </c>
      <c r="AV172" s="68" t="str">
        <f t="shared" si="7"/>
        <v/>
      </c>
      <c r="AW172" s="68" t="str">
        <f t="shared" si="7"/>
        <v/>
      </c>
      <c r="AX172" s="68" t="str">
        <f t="shared" si="7"/>
        <v/>
      </c>
      <c r="AY172" s="68" t="str">
        <f t="shared" si="7"/>
        <v/>
      </c>
      <c r="AZ172" s="68" t="str">
        <f t="shared" si="7"/>
        <v/>
      </c>
      <c r="BA172" s="68" t="str">
        <f t="shared" si="7"/>
        <v/>
      </c>
      <c r="BB172" s="68" t="str">
        <f t="shared" si="7"/>
        <v/>
      </c>
      <c r="BC172" s="68" t="str">
        <f t="shared" si="7"/>
        <v/>
      </c>
      <c r="BD172" s="68" t="str">
        <f t="shared" si="7"/>
        <v/>
      </c>
      <c r="BE172" s="68" t="str">
        <f t="shared" si="7"/>
        <v/>
      </c>
      <c r="BF172" s="68" t="str">
        <f t="shared" si="7"/>
        <v/>
      </c>
      <c r="BG172" s="68" t="str">
        <f t="shared" si="7"/>
        <v/>
      </c>
      <c r="BH172" s="68" t="str">
        <f t="shared" si="7"/>
        <v/>
      </c>
      <c r="BI172" s="68" t="str">
        <f t="shared" si="7"/>
        <v/>
      </c>
    </row>
    <row r="173" spans="1:61" ht="15.75" hidden="1" customHeight="1">
      <c r="A173" s="63" t="s">
        <v>207</v>
      </c>
      <c r="B173" s="64" t="s">
        <v>223</v>
      </c>
      <c r="C173" s="67" t="str">
        <f t="shared" si="1"/>
        <v/>
      </c>
      <c r="D173" s="67" t="str">
        <f t="shared" si="7"/>
        <v/>
      </c>
      <c r="E173" s="67" t="str">
        <f t="shared" si="7"/>
        <v/>
      </c>
      <c r="F173" s="67" t="str">
        <f t="shared" si="7"/>
        <v/>
      </c>
      <c r="G173" s="67" t="str">
        <f t="shared" si="7"/>
        <v/>
      </c>
      <c r="H173" s="67" t="str">
        <f t="shared" si="7"/>
        <v/>
      </c>
      <c r="I173" s="67" t="str">
        <f t="shared" si="7"/>
        <v/>
      </c>
      <c r="J173" s="67" t="str">
        <f t="shared" si="7"/>
        <v/>
      </c>
      <c r="K173" s="67" t="str">
        <f t="shared" si="7"/>
        <v/>
      </c>
      <c r="L173" s="67" t="str">
        <f t="shared" si="7"/>
        <v/>
      </c>
      <c r="M173" s="67" t="str">
        <f t="shared" si="7"/>
        <v/>
      </c>
      <c r="N173" s="67" t="str">
        <f t="shared" si="7"/>
        <v/>
      </c>
      <c r="O173" s="67" t="str">
        <f t="shared" si="7"/>
        <v/>
      </c>
      <c r="P173" s="67" t="str">
        <f t="shared" si="7"/>
        <v/>
      </c>
      <c r="Q173" s="67" t="str">
        <f t="shared" si="7"/>
        <v/>
      </c>
      <c r="R173" s="67" t="str">
        <f t="shared" si="7"/>
        <v/>
      </c>
      <c r="S173" s="67" t="str">
        <f t="shared" si="7"/>
        <v/>
      </c>
      <c r="T173" s="67" t="str">
        <f t="shared" si="7"/>
        <v/>
      </c>
      <c r="U173" s="67" t="str">
        <f t="shared" si="7"/>
        <v/>
      </c>
      <c r="V173" s="67" t="str">
        <f t="shared" si="7"/>
        <v/>
      </c>
      <c r="W173" s="67" t="str">
        <f t="shared" si="7"/>
        <v/>
      </c>
      <c r="X173" s="67" t="str">
        <f t="shared" si="7"/>
        <v/>
      </c>
      <c r="Y173" s="67" t="str">
        <f t="shared" si="7"/>
        <v/>
      </c>
      <c r="Z173" s="67" t="str">
        <f t="shared" si="7"/>
        <v/>
      </c>
      <c r="AA173" s="67" t="str">
        <f t="shared" si="7"/>
        <v/>
      </c>
      <c r="AB173" s="67" t="str">
        <f t="shared" si="7"/>
        <v/>
      </c>
      <c r="AC173" s="67" t="str">
        <f t="shared" si="7"/>
        <v/>
      </c>
      <c r="AD173" s="67" t="str">
        <f t="shared" si="7"/>
        <v/>
      </c>
      <c r="AE173" s="67" t="str">
        <f t="shared" si="7"/>
        <v/>
      </c>
      <c r="AF173" s="67" t="str">
        <f t="shared" si="7"/>
        <v/>
      </c>
      <c r="AG173" s="67" t="str">
        <f t="shared" si="7"/>
        <v/>
      </c>
      <c r="AH173" s="67" t="str">
        <f t="shared" si="7"/>
        <v/>
      </c>
      <c r="AI173" s="67" t="str">
        <f t="shared" si="7"/>
        <v/>
      </c>
      <c r="AJ173" s="67" t="str">
        <f t="shared" si="7"/>
        <v/>
      </c>
      <c r="AK173" s="67" t="str">
        <f t="shared" si="7"/>
        <v/>
      </c>
      <c r="AL173" s="67" t="str">
        <f t="shared" si="7"/>
        <v/>
      </c>
      <c r="AM173" s="67" t="str">
        <f t="shared" si="7"/>
        <v/>
      </c>
      <c r="AN173" s="67" t="str">
        <f t="shared" si="7"/>
        <v/>
      </c>
      <c r="AO173" s="67" t="str">
        <f t="shared" si="7"/>
        <v/>
      </c>
      <c r="AP173" s="67" t="str">
        <f t="shared" si="7"/>
        <v/>
      </c>
      <c r="AQ173" s="67" t="str">
        <f t="shared" si="7"/>
        <v/>
      </c>
      <c r="AR173" s="67" t="str">
        <f t="shared" si="7"/>
        <v/>
      </c>
      <c r="AS173" s="67" t="str">
        <f t="shared" si="7"/>
        <v/>
      </c>
      <c r="AT173" s="67" t="str">
        <f t="shared" si="7"/>
        <v/>
      </c>
      <c r="AU173" s="67" t="str">
        <f t="shared" si="7"/>
        <v/>
      </c>
      <c r="AV173" s="67" t="str">
        <f t="shared" si="7"/>
        <v/>
      </c>
      <c r="AW173" s="67" t="str">
        <f t="shared" si="7"/>
        <v/>
      </c>
      <c r="AX173" s="67" t="str">
        <f t="shared" si="7"/>
        <v/>
      </c>
      <c r="AY173" s="67" t="str">
        <f t="shared" si="7"/>
        <v/>
      </c>
      <c r="AZ173" s="67" t="str">
        <f t="shared" si="7"/>
        <v/>
      </c>
      <c r="BA173" s="67" t="str">
        <f t="shared" si="7"/>
        <v/>
      </c>
      <c r="BB173" s="67" t="str">
        <f t="shared" si="7"/>
        <v/>
      </c>
      <c r="BC173" s="67" t="str">
        <f t="shared" si="7"/>
        <v/>
      </c>
      <c r="BD173" s="67" t="str">
        <f t="shared" si="7"/>
        <v/>
      </c>
      <c r="BE173" s="67" t="str">
        <f t="shared" si="7"/>
        <v/>
      </c>
      <c r="BF173" s="67" t="str">
        <f t="shared" si="7"/>
        <v/>
      </c>
      <c r="BG173" s="67" t="str">
        <f t="shared" si="7"/>
        <v/>
      </c>
      <c r="BH173" s="67" t="str">
        <f t="shared" si="7"/>
        <v/>
      </c>
      <c r="BI173" s="67" t="str">
        <f t="shared" si="7"/>
        <v/>
      </c>
    </row>
    <row r="174" spans="1:61" ht="15.75" hidden="1" customHeight="1">
      <c r="A174" s="345" t="s">
        <v>7</v>
      </c>
      <c r="B174" s="65" t="s">
        <v>224</v>
      </c>
      <c r="C174" s="68" t="str">
        <f t="shared" si="1"/>
        <v/>
      </c>
      <c r="D174" s="68" t="str">
        <f t="shared" si="7"/>
        <v/>
      </c>
      <c r="E174" s="68" t="str">
        <f t="shared" si="7"/>
        <v/>
      </c>
      <c r="F174" s="68" t="str">
        <f t="shared" si="7"/>
        <v/>
      </c>
      <c r="G174" s="68" t="str">
        <f t="shared" si="7"/>
        <v/>
      </c>
      <c r="H174" s="68" t="str">
        <f t="shared" si="7"/>
        <v/>
      </c>
      <c r="I174" s="68" t="str">
        <f t="shared" si="7"/>
        <v/>
      </c>
      <c r="J174" s="68" t="str">
        <f t="shared" si="7"/>
        <v/>
      </c>
      <c r="K174" s="68" t="str">
        <f t="shared" si="7"/>
        <v/>
      </c>
      <c r="L174" s="68" t="str">
        <f t="shared" si="7"/>
        <v/>
      </c>
      <c r="M174" s="68" t="str">
        <f t="shared" si="7"/>
        <v/>
      </c>
      <c r="N174" s="68" t="str">
        <f t="shared" si="7"/>
        <v/>
      </c>
      <c r="O174" s="68" t="str">
        <f t="shared" si="7"/>
        <v/>
      </c>
      <c r="P174" s="68" t="str">
        <f t="shared" si="7"/>
        <v/>
      </c>
      <c r="Q174" s="68" t="str">
        <f t="shared" si="7"/>
        <v/>
      </c>
      <c r="R174" s="68" t="str">
        <f t="shared" ref="D174:BI178" si="8">IF(R104=R29,"","*")</f>
        <v/>
      </c>
      <c r="S174" s="68" t="str">
        <f t="shared" si="8"/>
        <v/>
      </c>
      <c r="T174" s="68" t="str">
        <f t="shared" si="8"/>
        <v/>
      </c>
      <c r="U174" s="68" t="str">
        <f t="shared" si="8"/>
        <v/>
      </c>
      <c r="V174" s="68" t="str">
        <f t="shared" si="8"/>
        <v/>
      </c>
      <c r="W174" s="68" t="str">
        <f t="shared" si="8"/>
        <v/>
      </c>
      <c r="X174" s="68" t="str">
        <f t="shared" si="8"/>
        <v/>
      </c>
      <c r="Y174" s="68" t="str">
        <f t="shared" si="8"/>
        <v/>
      </c>
      <c r="Z174" s="68" t="str">
        <f t="shared" si="8"/>
        <v/>
      </c>
      <c r="AA174" s="68" t="str">
        <f t="shared" si="8"/>
        <v/>
      </c>
      <c r="AB174" s="68" t="str">
        <f t="shared" si="8"/>
        <v/>
      </c>
      <c r="AC174" s="68" t="str">
        <f t="shared" si="8"/>
        <v/>
      </c>
      <c r="AD174" s="68" t="str">
        <f t="shared" si="8"/>
        <v/>
      </c>
      <c r="AE174" s="68" t="str">
        <f t="shared" si="8"/>
        <v/>
      </c>
      <c r="AF174" s="68" t="str">
        <f t="shared" si="8"/>
        <v/>
      </c>
      <c r="AG174" s="68" t="str">
        <f t="shared" si="8"/>
        <v/>
      </c>
      <c r="AH174" s="68" t="str">
        <f t="shared" si="8"/>
        <v/>
      </c>
      <c r="AI174" s="68" t="str">
        <f t="shared" si="8"/>
        <v/>
      </c>
      <c r="AJ174" s="68" t="str">
        <f t="shared" si="8"/>
        <v/>
      </c>
      <c r="AK174" s="68" t="str">
        <f t="shared" si="8"/>
        <v/>
      </c>
      <c r="AL174" s="68" t="str">
        <f t="shared" si="8"/>
        <v/>
      </c>
      <c r="AM174" s="68" t="str">
        <f t="shared" si="8"/>
        <v/>
      </c>
      <c r="AN174" s="68" t="str">
        <f t="shared" si="8"/>
        <v/>
      </c>
      <c r="AO174" s="68" t="str">
        <f t="shared" si="8"/>
        <v/>
      </c>
      <c r="AP174" s="68" t="str">
        <f t="shared" si="8"/>
        <v/>
      </c>
      <c r="AQ174" s="68" t="str">
        <f t="shared" si="8"/>
        <v/>
      </c>
      <c r="AR174" s="68" t="str">
        <f t="shared" si="8"/>
        <v/>
      </c>
      <c r="AS174" s="68" t="str">
        <f t="shared" si="8"/>
        <v/>
      </c>
      <c r="AT174" s="68" t="str">
        <f t="shared" si="8"/>
        <v/>
      </c>
      <c r="AU174" s="68" t="str">
        <f t="shared" si="8"/>
        <v/>
      </c>
      <c r="AV174" s="68" t="str">
        <f t="shared" si="8"/>
        <v/>
      </c>
      <c r="AW174" s="68" t="str">
        <f t="shared" si="8"/>
        <v/>
      </c>
      <c r="AX174" s="68" t="str">
        <f t="shared" si="8"/>
        <v/>
      </c>
      <c r="AY174" s="68" t="str">
        <f t="shared" si="8"/>
        <v/>
      </c>
      <c r="AZ174" s="68" t="str">
        <f t="shared" si="8"/>
        <v/>
      </c>
      <c r="BA174" s="68" t="str">
        <f t="shared" si="8"/>
        <v/>
      </c>
      <c r="BB174" s="68" t="str">
        <f t="shared" si="8"/>
        <v/>
      </c>
      <c r="BC174" s="68" t="str">
        <f t="shared" si="8"/>
        <v/>
      </c>
      <c r="BD174" s="68" t="str">
        <f t="shared" si="8"/>
        <v/>
      </c>
      <c r="BE174" s="68" t="str">
        <f t="shared" si="8"/>
        <v/>
      </c>
      <c r="BF174" s="68" t="str">
        <f t="shared" si="8"/>
        <v/>
      </c>
      <c r="BG174" s="68" t="str">
        <f t="shared" si="8"/>
        <v/>
      </c>
      <c r="BH174" s="68" t="str">
        <f t="shared" si="8"/>
        <v/>
      </c>
      <c r="BI174" s="68" t="str">
        <f t="shared" si="8"/>
        <v/>
      </c>
    </row>
    <row r="175" spans="1:61" ht="15.75" hidden="1" customHeight="1">
      <c r="A175" s="346"/>
      <c r="B175" s="65" t="s">
        <v>225</v>
      </c>
      <c r="C175" s="68" t="str">
        <f t="shared" si="1"/>
        <v/>
      </c>
      <c r="D175" s="68" t="str">
        <f t="shared" si="8"/>
        <v/>
      </c>
      <c r="E175" s="68" t="str">
        <f t="shared" si="8"/>
        <v/>
      </c>
      <c r="F175" s="68" t="str">
        <f t="shared" si="8"/>
        <v/>
      </c>
      <c r="G175" s="68" t="str">
        <f t="shared" si="8"/>
        <v/>
      </c>
      <c r="H175" s="68" t="str">
        <f t="shared" si="8"/>
        <v/>
      </c>
      <c r="I175" s="68" t="str">
        <f t="shared" si="8"/>
        <v/>
      </c>
      <c r="J175" s="68" t="str">
        <f t="shared" si="8"/>
        <v/>
      </c>
      <c r="K175" s="68" t="str">
        <f t="shared" si="8"/>
        <v/>
      </c>
      <c r="L175" s="68" t="str">
        <f t="shared" si="8"/>
        <v/>
      </c>
      <c r="M175" s="68" t="str">
        <f t="shared" si="8"/>
        <v/>
      </c>
      <c r="N175" s="68" t="str">
        <f t="shared" si="8"/>
        <v/>
      </c>
      <c r="O175" s="68" t="str">
        <f t="shared" si="8"/>
        <v/>
      </c>
      <c r="P175" s="68" t="str">
        <f t="shared" si="8"/>
        <v/>
      </c>
      <c r="Q175" s="68" t="str">
        <f t="shared" si="8"/>
        <v/>
      </c>
      <c r="R175" s="68" t="str">
        <f t="shared" si="8"/>
        <v/>
      </c>
      <c r="S175" s="68" t="str">
        <f t="shared" si="8"/>
        <v/>
      </c>
      <c r="T175" s="68" t="str">
        <f t="shared" si="8"/>
        <v/>
      </c>
      <c r="U175" s="68" t="str">
        <f t="shared" si="8"/>
        <v/>
      </c>
      <c r="V175" s="68" t="str">
        <f t="shared" si="8"/>
        <v/>
      </c>
      <c r="W175" s="68" t="str">
        <f t="shared" si="8"/>
        <v/>
      </c>
      <c r="X175" s="68" t="str">
        <f t="shared" si="8"/>
        <v/>
      </c>
      <c r="Y175" s="68" t="str">
        <f t="shared" si="8"/>
        <v/>
      </c>
      <c r="Z175" s="68" t="str">
        <f t="shared" si="8"/>
        <v/>
      </c>
      <c r="AA175" s="68" t="str">
        <f t="shared" si="8"/>
        <v/>
      </c>
      <c r="AB175" s="68" t="str">
        <f t="shared" si="8"/>
        <v/>
      </c>
      <c r="AC175" s="68" t="str">
        <f t="shared" si="8"/>
        <v/>
      </c>
      <c r="AD175" s="68" t="str">
        <f t="shared" si="8"/>
        <v/>
      </c>
      <c r="AE175" s="68" t="str">
        <f t="shared" si="8"/>
        <v/>
      </c>
      <c r="AF175" s="68" t="str">
        <f t="shared" si="8"/>
        <v/>
      </c>
      <c r="AG175" s="68" t="str">
        <f t="shared" si="8"/>
        <v/>
      </c>
      <c r="AH175" s="68" t="str">
        <f t="shared" si="8"/>
        <v/>
      </c>
      <c r="AI175" s="68" t="str">
        <f t="shared" si="8"/>
        <v/>
      </c>
      <c r="AJ175" s="68" t="str">
        <f t="shared" si="8"/>
        <v/>
      </c>
      <c r="AK175" s="68" t="str">
        <f t="shared" si="8"/>
        <v/>
      </c>
      <c r="AL175" s="68" t="str">
        <f t="shared" si="8"/>
        <v/>
      </c>
      <c r="AM175" s="68" t="str">
        <f t="shared" si="8"/>
        <v/>
      </c>
      <c r="AN175" s="68" t="str">
        <f t="shared" si="8"/>
        <v/>
      </c>
      <c r="AO175" s="68" t="str">
        <f t="shared" si="8"/>
        <v/>
      </c>
      <c r="AP175" s="68" t="str">
        <f t="shared" si="8"/>
        <v/>
      </c>
      <c r="AQ175" s="68" t="str">
        <f t="shared" si="8"/>
        <v/>
      </c>
      <c r="AR175" s="68" t="str">
        <f t="shared" si="8"/>
        <v/>
      </c>
      <c r="AS175" s="68" t="str">
        <f t="shared" si="8"/>
        <v/>
      </c>
      <c r="AT175" s="68" t="str">
        <f t="shared" si="8"/>
        <v/>
      </c>
      <c r="AU175" s="68" t="str">
        <f t="shared" si="8"/>
        <v/>
      </c>
      <c r="AV175" s="68" t="str">
        <f t="shared" si="8"/>
        <v/>
      </c>
      <c r="AW175" s="68" t="str">
        <f t="shared" si="8"/>
        <v/>
      </c>
      <c r="AX175" s="68" t="str">
        <f t="shared" si="8"/>
        <v/>
      </c>
      <c r="AY175" s="68" t="str">
        <f t="shared" si="8"/>
        <v/>
      </c>
      <c r="AZ175" s="68" t="str">
        <f t="shared" si="8"/>
        <v/>
      </c>
      <c r="BA175" s="68" t="str">
        <f t="shared" si="8"/>
        <v/>
      </c>
      <c r="BB175" s="68" t="str">
        <f t="shared" si="8"/>
        <v/>
      </c>
      <c r="BC175" s="68" t="str">
        <f t="shared" si="8"/>
        <v/>
      </c>
      <c r="BD175" s="68" t="str">
        <f t="shared" si="8"/>
        <v/>
      </c>
      <c r="BE175" s="68" t="str">
        <f t="shared" si="8"/>
        <v/>
      </c>
      <c r="BF175" s="68" t="str">
        <f t="shared" si="8"/>
        <v/>
      </c>
      <c r="BG175" s="68" t="str">
        <f t="shared" si="8"/>
        <v/>
      </c>
      <c r="BH175" s="68" t="str">
        <f t="shared" si="8"/>
        <v/>
      </c>
      <c r="BI175" s="68" t="str">
        <f t="shared" si="8"/>
        <v/>
      </c>
    </row>
    <row r="176" spans="1:61" ht="15.75" hidden="1" customHeight="1">
      <c r="A176" s="63" t="s">
        <v>208</v>
      </c>
      <c r="B176" s="64" t="s">
        <v>223</v>
      </c>
      <c r="C176" s="67" t="str">
        <f t="shared" si="1"/>
        <v/>
      </c>
      <c r="D176" s="67" t="str">
        <f t="shared" si="8"/>
        <v/>
      </c>
      <c r="E176" s="67" t="str">
        <f t="shared" si="8"/>
        <v/>
      </c>
      <c r="F176" s="67" t="str">
        <f t="shared" si="8"/>
        <v/>
      </c>
      <c r="G176" s="67" t="str">
        <f t="shared" si="8"/>
        <v/>
      </c>
      <c r="H176" s="67" t="str">
        <f t="shared" si="8"/>
        <v/>
      </c>
      <c r="I176" s="67" t="str">
        <f t="shared" si="8"/>
        <v/>
      </c>
      <c r="J176" s="67" t="str">
        <f t="shared" si="8"/>
        <v/>
      </c>
      <c r="K176" s="67" t="str">
        <f t="shared" si="8"/>
        <v/>
      </c>
      <c r="L176" s="67" t="str">
        <f t="shared" si="8"/>
        <v/>
      </c>
      <c r="M176" s="67" t="str">
        <f t="shared" si="8"/>
        <v/>
      </c>
      <c r="N176" s="67" t="str">
        <f t="shared" si="8"/>
        <v/>
      </c>
      <c r="O176" s="67" t="str">
        <f t="shared" si="8"/>
        <v/>
      </c>
      <c r="P176" s="67" t="str">
        <f t="shared" si="8"/>
        <v/>
      </c>
      <c r="Q176" s="67" t="str">
        <f t="shared" si="8"/>
        <v/>
      </c>
      <c r="R176" s="67" t="str">
        <f t="shared" si="8"/>
        <v/>
      </c>
      <c r="S176" s="67" t="str">
        <f t="shared" si="8"/>
        <v/>
      </c>
      <c r="T176" s="67" t="str">
        <f t="shared" si="8"/>
        <v/>
      </c>
      <c r="U176" s="67" t="str">
        <f t="shared" si="8"/>
        <v/>
      </c>
      <c r="V176" s="67" t="str">
        <f t="shared" si="8"/>
        <v/>
      </c>
      <c r="W176" s="67" t="str">
        <f t="shared" si="8"/>
        <v/>
      </c>
      <c r="X176" s="67" t="str">
        <f t="shared" si="8"/>
        <v/>
      </c>
      <c r="Y176" s="67" t="str">
        <f t="shared" si="8"/>
        <v/>
      </c>
      <c r="Z176" s="67" t="str">
        <f t="shared" si="8"/>
        <v/>
      </c>
      <c r="AA176" s="67" t="str">
        <f t="shared" si="8"/>
        <v/>
      </c>
      <c r="AB176" s="67" t="str">
        <f t="shared" si="8"/>
        <v/>
      </c>
      <c r="AC176" s="67" t="str">
        <f t="shared" si="8"/>
        <v/>
      </c>
      <c r="AD176" s="67" t="str">
        <f t="shared" si="8"/>
        <v/>
      </c>
      <c r="AE176" s="67" t="str">
        <f t="shared" si="8"/>
        <v/>
      </c>
      <c r="AF176" s="67" t="str">
        <f t="shared" si="8"/>
        <v/>
      </c>
      <c r="AG176" s="67" t="str">
        <f t="shared" si="8"/>
        <v/>
      </c>
      <c r="AH176" s="67" t="str">
        <f t="shared" si="8"/>
        <v/>
      </c>
      <c r="AI176" s="67" t="str">
        <f t="shared" si="8"/>
        <v/>
      </c>
      <c r="AJ176" s="67" t="str">
        <f t="shared" si="8"/>
        <v/>
      </c>
      <c r="AK176" s="67" t="str">
        <f t="shared" si="8"/>
        <v/>
      </c>
      <c r="AL176" s="67" t="str">
        <f t="shared" si="8"/>
        <v/>
      </c>
      <c r="AM176" s="67" t="str">
        <f t="shared" si="8"/>
        <v/>
      </c>
      <c r="AN176" s="67" t="str">
        <f t="shared" si="8"/>
        <v/>
      </c>
      <c r="AO176" s="67" t="str">
        <f t="shared" si="8"/>
        <v/>
      </c>
      <c r="AP176" s="67" t="str">
        <f t="shared" si="8"/>
        <v/>
      </c>
      <c r="AQ176" s="67" t="str">
        <f t="shared" si="8"/>
        <v/>
      </c>
      <c r="AR176" s="67" t="str">
        <f t="shared" si="8"/>
        <v/>
      </c>
      <c r="AS176" s="67" t="str">
        <f t="shared" si="8"/>
        <v/>
      </c>
      <c r="AT176" s="67" t="str">
        <f t="shared" si="8"/>
        <v/>
      </c>
      <c r="AU176" s="67" t="str">
        <f t="shared" si="8"/>
        <v/>
      </c>
      <c r="AV176" s="67" t="str">
        <f t="shared" si="8"/>
        <v/>
      </c>
      <c r="AW176" s="67" t="str">
        <f t="shared" si="8"/>
        <v/>
      </c>
      <c r="AX176" s="67" t="str">
        <f t="shared" si="8"/>
        <v/>
      </c>
      <c r="AY176" s="67" t="str">
        <f t="shared" si="8"/>
        <v/>
      </c>
      <c r="AZ176" s="67" t="str">
        <f t="shared" si="8"/>
        <v/>
      </c>
      <c r="BA176" s="67" t="str">
        <f t="shared" si="8"/>
        <v/>
      </c>
      <c r="BB176" s="67" t="str">
        <f t="shared" si="8"/>
        <v/>
      </c>
      <c r="BC176" s="67" t="str">
        <f t="shared" si="8"/>
        <v/>
      </c>
      <c r="BD176" s="67" t="str">
        <f t="shared" si="8"/>
        <v/>
      </c>
      <c r="BE176" s="67" t="str">
        <f t="shared" si="8"/>
        <v/>
      </c>
      <c r="BF176" s="67" t="str">
        <f t="shared" si="8"/>
        <v/>
      </c>
      <c r="BG176" s="67" t="str">
        <f t="shared" si="8"/>
        <v/>
      </c>
      <c r="BH176" s="67" t="str">
        <f t="shared" si="8"/>
        <v/>
      </c>
      <c r="BI176" s="67" t="str">
        <f t="shared" si="8"/>
        <v/>
      </c>
    </row>
    <row r="177" spans="1:61" ht="15.75" hidden="1" customHeight="1">
      <c r="A177" s="345" t="s">
        <v>9</v>
      </c>
      <c r="B177" s="65" t="s">
        <v>224</v>
      </c>
      <c r="C177" s="68" t="str">
        <f t="shared" si="1"/>
        <v/>
      </c>
      <c r="D177" s="68" t="str">
        <f t="shared" si="8"/>
        <v/>
      </c>
      <c r="E177" s="68" t="str">
        <f t="shared" si="8"/>
        <v/>
      </c>
      <c r="F177" s="68" t="str">
        <f t="shared" si="8"/>
        <v/>
      </c>
      <c r="G177" s="68" t="str">
        <f t="shared" si="8"/>
        <v/>
      </c>
      <c r="H177" s="68" t="str">
        <f t="shared" si="8"/>
        <v/>
      </c>
      <c r="I177" s="68" t="str">
        <f t="shared" si="8"/>
        <v/>
      </c>
      <c r="J177" s="68" t="str">
        <f t="shared" si="8"/>
        <v/>
      </c>
      <c r="K177" s="68" t="str">
        <f t="shared" si="8"/>
        <v/>
      </c>
      <c r="L177" s="68" t="str">
        <f t="shared" si="8"/>
        <v/>
      </c>
      <c r="M177" s="68" t="str">
        <f t="shared" si="8"/>
        <v/>
      </c>
      <c r="N177" s="68" t="str">
        <f t="shared" si="8"/>
        <v/>
      </c>
      <c r="O177" s="68" t="str">
        <f t="shared" si="8"/>
        <v/>
      </c>
      <c r="P177" s="68" t="str">
        <f t="shared" si="8"/>
        <v/>
      </c>
      <c r="Q177" s="68" t="str">
        <f t="shared" si="8"/>
        <v/>
      </c>
      <c r="R177" s="68" t="str">
        <f t="shared" si="8"/>
        <v/>
      </c>
      <c r="S177" s="68" t="str">
        <f t="shared" si="8"/>
        <v/>
      </c>
      <c r="T177" s="68" t="str">
        <f t="shared" si="8"/>
        <v/>
      </c>
      <c r="U177" s="68" t="str">
        <f t="shared" si="8"/>
        <v/>
      </c>
      <c r="V177" s="68" t="str">
        <f t="shared" si="8"/>
        <v/>
      </c>
      <c r="W177" s="68" t="str">
        <f t="shared" si="8"/>
        <v/>
      </c>
      <c r="X177" s="68" t="str">
        <f t="shared" si="8"/>
        <v/>
      </c>
      <c r="Y177" s="68" t="str">
        <f t="shared" si="8"/>
        <v/>
      </c>
      <c r="Z177" s="68" t="str">
        <f t="shared" si="8"/>
        <v/>
      </c>
      <c r="AA177" s="68" t="str">
        <f t="shared" si="8"/>
        <v/>
      </c>
      <c r="AB177" s="68" t="str">
        <f t="shared" si="8"/>
        <v/>
      </c>
      <c r="AC177" s="68" t="str">
        <f t="shared" si="8"/>
        <v/>
      </c>
      <c r="AD177" s="68" t="str">
        <f t="shared" si="8"/>
        <v/>
      </c>
      <c r="AE177" s="68" t="str">
        <f t="shared" si="8"/>
        <v/>
      </c>
      <c r="AF177" s="68" t="str">
        <f t="shared" si="8"/>
        <v/>
      </c>
      <c r="AG177" s="68" t="str">
        <f t="shared" si="8"/>
        <v/>
      </c>
      <c r="AH177" s="68" t="str">
        <f t="shared" si="8"/>
        <v/>
      </c>
      <c r="AI177" s="68" t="str">
        <f t="shared" si="8"/>
        <v/>
      </c>
      <c r="AJ177" s="68" t="str">
        <f t="shared" si="8"/>
        <v/>
      </c>
      <c r="AK177" s="68" t="str">
        <f t="shared" si="8"/>
        <v/>
      </c>
      <c r="AL177" s="68" t="str">
        <f t="shared" si="8"/>
        <v/>
      </c>
      <c r="AM177" s="68" t="str">
        <f t="shared" si="8"/>
        <v/>
      </c>
      <c r="AN177" s="68" t="str">
        <f t="shared" si="8"/>
        <v/>
      </c>
      <c r="AO177" s="68" t="str">
        <f t="shared" si="8"/>
        <v/>
      </c>
      <c r="AP177" s="68" t="str">
        <f t="shared" si="8"/>
        <v/>
      </c>
      <c r="AQ177" s="68" t="str">
        <f t="shared" si="8"/>
        <v/>
      </c>
      <c r="AR177" s="68" t="str">
        <f t="shared" si="8"/>
        <v/>
      </c>
      <c r="AS177" s="68" t="str">
        <f t="shared" si="8"/>
        <v/>
      </c>
      <c r="AT177" s="68" t="str">
        <f t="shared" si="8"/>
        <v/>
      </c>
      <c r="AU177" s="68" t="str">
        <f t="shared" si="8"/>
        <v/>
      </c>
      <c r="AV177" s="68" t="str">
        <f t="shared" si="8"/>
        <v/>
      </c>
      <c r="AW177" s="68" t="str">
        <f t="shared" si="8"/>
        <v/>
      </c>
      <c r="AX177" s="68" t="str">
        <f t="shared" si="8"/>
        <v/>
      </c>
      <c r="AY177" s="68" t="str">
        <f t="shared" si="8"/>
        <v/>
      </c>
      <c r="AZ177" s="68" t="str">
        <f t="shared" si="8"/>
        <v/>
      </c>
      <c r="BA177" s="68" t="str">
        <f t="shared" si="8"/>
        <v/>
      </c>
      <c r="BB177" s="68" t="str">
        <f t="shared" si="8"/>
        <v/>
      </c>
      <c r="BC177" s="68" t="str">
        <f t="shared" si="8"/>
        <v/>
      </c>
      <c r="BD177" s="68" t="str">
        <f t="shared" si="8"/>
        <v/>
      </c>
      <c r="BE177" s="68" t="str">
        <f t="shared" si="8"/>
        <v/>
      </c>
      <c r="BF177" s="68" t="str">
        <f t="shared" si="8"/>
        <v/>
      </c>
      <c r="BG177" s="68" t="str">
        <f t="shared" si="8"/>
        <v/>
      </c>
      <c r="BH177" s="68" t="str">
        <f t="shared" si="8"/>
        <v/>
      </c>
      <c r="BI177" s="68" t="str">
        <f t="shared" si="8"/>
        <v/>
      </c>
    </row>
    <row r="178" spans="1:61" ht="15.75" hidden="1" customHeight="1">
      <c r="A178" s="346"/>
      <c r="B178" s="65" t="s">
        <v>225</v>
      </c>
      <c r="C178" s="68" t="str">
        <f t="shared" si="1"/>
        <v/>
      </c>
      <c r="D178" s="68" t="str">
        <f t="shared" si="8"/>
        <v/>
      </c>
      <c r="E178" s="68" t="str">
        <f t="shared" si="8"/>
        <v/>
      </c>
      <c r="F178" s="68" t="str">
        <f t="shared" si="8"/>
        <v/>
      </c>
      <c r="G178" s="68" t="str">
        <f t="shared" si="8"/>
        <v/>
      </c>
      <c r="H178" s="68" t="str">
        <f t="shared" si="8"/>
        <v/>
      </c>
      <c r="I178" s="68" t="str">
        <f t="shared" si="8"/>
        <v/>
      </c>
      <c r="J178" s="68" t="str">
        <f t="shared" si="8"/>
        <v/>
      </c>
      <c r="K178" s="68" t="str">
        <f t="shared" si="8"/>
        <v/>
      </c>
      <c r="L178" s="68" t="str">
        <f t="shared" si="8"/>
        <v/>
      </c>
      <c r="M178" s="68" t="str">
        <f t="shared" si="8"/>
        <v/>
      </c>
      <c r="N178" s="68" t="str">
        <f t="shared" si="8"/>
        <v/>
      </c>
      <c r="O178" s="68" t="str">
        <f t="shared" si="8"/>
        <v/>
      </c>
      <c r="P178" s="68" t="str">
        <f t="shared" si="8"/>
        <v/>
      </c>
      <c r="Q178" s="68" t="str">
        <f t="shared" si="8"/>
        <v/>
      </c>
      <c r="R178" s="68" t="str">
        <f t="shared" si="8"/>
        <v/>
      </c>
      <c r="S178" s="68" t="str">
        <f t="shared" si="8"/>
        <v/>
      </c>
      <c r="T178" s="68" t="str">
        <f t="shared" si="8"/>
        <v/>
      </c>
      <c r="U178" s="68" t="str">
        <f t="shared" si="8"/>
        <v/>
      </c>
      <c r="V178" s="68" t="str">
        <f t="shared" si="8"/>
        <v/>
      </c>
      <c r="W178" s="68" t="str">
        <f t="shared" si="8"/>
        <v/>
      </c>
      <c r="X178" s="68" t="str">
        <f t="shared" si="8"/>
        <v/>
      </c>
      <c r="Y178" s="68" t="str">
        <f t="shared" si="8"/>
        <v/>
      </c>
      <c r="Z178" s="68" t="str">
        <f t="shared" si="8"/>
        <v/>
      </c>
      <c r="AA178" s="68" t="str">
        <f t="shared" si="8"/>
        <v/>
      </c>
      <c r="AB178" s="68" t="str">
        <f t="shared" si="8"/>
        <v/>
      </c>
      <c r="AC178" s="68" t="str">
        <f t="shared" si="8"/>
        <v/>
      </c>
      <c r="AD178" s="68" t="str">
        <f t="shared" si="8"/>
        <v/>
      </c>
      <c r="AE178" s="68" t="str">
        <f t="shared" si="8"/>
        <v/>
      </c>
      <c r="AF178" s="68" t="str">
        <f t="shared" si="8"/>
        <v/>
      </c>
      <c r="AG178" s="68" t="str">
        <f t="shared" si="8"/>
        <v/>
      </c>
      <c r="AH178" s="68" t="str">
        <f t="shared" si="8"/>
        <v/>
      </c>
      <c r="AI178" s="68" t="str">
        <f t="shared" si="8"/>
        <v/>
      </c>
      <c r="AJ178" s="68" t="str">
        <f t="shared" si="8"/>
        <v/>
      </c>
      <c r="AK178" s="68" t="str">
        <f t="shared" si="8"/>
        <v/>
      </c>
      <c r="AL178" s="68" t="str">
        <f t="shared" si="8"/>
        <v/>
      </c>
      <c r="AM178" s="68" t="str">
        <f t="shared" si="8"/>
        <v/>
      </c>
      <c r="AN178" s="68" t="str">
        <f t="shared" si="8"/>
        <v/>
      </c>
      <c r="AO178" s="68" t="str">
        <f t="shared" ref="D178:BI183" si="9">IF(AO108=AO33,"","*")</f>
        <v/>
      </c>
      <c r="AP178" s="68" t="str">
        <f t="shared" si="9"/>
        <v/>
      </c>
      <c r="AQ178" s="68" t="str">
        <f t="shared" si="9"/>
        <v/>
      </c>
      <c r="AR178" s="68" t="str">
        <f t="shared" si="9"/>
        <v/>
      </c>
      <c r="AS178" s="68" t="str">
        <f t="shared" si="9"/>
        <v/>
      </c>
      <c r="AT178" s="68" t="str">
        <f t="shared" si="9"/>
        <v/>
      </c>
      <c r="AU178" s="68" t="str">
        <f t="shared" si="9"/>
        <v/>
      </c>
      <c r="AV178" s="68" t="str">
        <f t="shared" si="9"/>
        <v/>
      </c>
      <c r="AW178" s="68" t="str">
        <f t="shared" si="9"/>
        <v/>
      </c>
      <c r="AX178" s="68" t="str">
        <f t="shared" si="9"/>
        <v/>
      </c>
      <c r="AY178" s="68" t="str">
        <f t="shared" si="9"/>
        <v/>
      </c>
      <c r="AZ178" s="68" t="str">
        <f t="shared" si="9"/>
        <v/>
      </c>
      <c r="BA178" s="68" t="str">
        <f t="shared" si="9"/>
        <v/>
      </c>
      <c r="BB178" s="68" t="str">
        <f t="shared" si="9"/>
        <v/>
      </c>
      <c r="BC178" s="68" t="str">
        <f t="shared" si="9"/>
        <v/>
      </c>
      <c r="BD178" s="68" t="str">
        <f t="shared" si="9"/>
        <v/>
      </c>
      <c r="BE178" s="68" t="str">
        <f t="shared" si="9"/>
        <v/>
      </c>
      <c r="BF178" s="68" t="str">
        <f t="shared" si="9"/>
        <v/>
      </c>
      <c r="BG178" s="68" t="str">
        <f t="shared" si="9"/>
        <v/>
      </c>
      <c r="BH178" s="68" t="str">
        <f t="shared" si="9"/>
        <v/>
      </c>
      <c r="BI178" s="68" t="str">
        <f t="shared" si="9"/>
        <v/>
      </c>
    </row>
    <row r="179" spans="1:61" ht="15.75" hidden="1" customHeight="1">
      <c r="A179" s="63" t="s">
        <v>209</v>
      </c>
      <c r="B179" s="64" t="s">
        <v>223</v>
      </c>
      <c r="C179" s="67" t="str">
        <f t="shared" si="1"/>
        <v/>
      </c>
      <c r="D179" s="67" t="str">
        <f t="shared" si="9"/>
        <v/>
      </c>
      <c r="E179" s="67" t="str">
        <f t="shared" si="9"/>
        <v/>
      </c>
      <c r="F179" s="67" t="str">
        <f t="shared" si="9"/>
        <v/>
      </c>
      <c r="G179" s="67" t="str">
        <f t="shared" si="9"/>
        <v/>
      </c>
      <c r="H179" s="67" t="str">
        <f t="shared" si="9"/>
        <v/>
      </c>
      <c r="I179" s="67" t="str">
        <f t="shared" si="9"/>
        <v/>
      </c>
      <c r="J179" s="67" t="str">
        <f t="shared" si="9"/>
        <v/>
      </c>
      <c r="K179" s="67" t="str">
        <f t="shared" si="9"/>
        <v/>
      </c>
      <c r="L179" s="67" t="str">
        <f t="shared" si="9"/>
        <v/>
      </c>
      <c r="M179" s="67" t="str">
        <f t="shared" si="9"/>
        <v/>
      </c>
      <c r="N179" s="67" t="str">
        <f t="shared" si="9"/>
        <v/>
      </c>
      <c r="O179" s="67" t="str">
        <f t="shared" si="9"/>
        <v/>
      </c>
      <c r="P179" s="67" t="str">
        <f t="shared" si="9"/>
        <v/>
      </c>
      <c r="Q179" s="67" t="str">
        <f t="shared" si="9"/>
        <v/>
      </c>
      <c r="R179" s="67" t="str">
        <f t="shared" si="9"/>
        <v/>
      </c>
      <c r="S179" s="67" t="str">
        <f t="shared" si="9"/>
        <v/>
      </c>
      <c r="T179" s="67" t="str">
        <f t="shared" si="9"/>
        <v/>
      </c>
      <c r="U179" s="67" t="str">
        <f t="shared" si="9"/>
        <v/>
      </c>
      <c r="V179" s="67" t="str">
        <f t="shared" si="9"/>
        <v/>
      </c>
      <c r="W179" s="67" t="str">
        <f t="shared" si="9"/>
        <v/>
      </c>
      <c r="X179" s="67" t="str">
        <f t="shared" si="9"/>
        <v/>
      </c>
      <c r="Y179" s="67" t="str">
        <f t="shared" si="9"/>
        <v/>
      </c>
      <c r="Z179" s="67" t="str">
        <f t="shared" si="9"/>
        <v/>
      </c>
      <c r="AA179" s="67" t="str">
        <f t="shared" si="9"/>
        <v/>
      </c>
      <c r="AB179" s="67" t="str">
        <f t="shared" si="9"/>
        <v/>
      </c>
      <c r="AC179" s="67" t="str">
        <f t="shared" si="9"/>
        <v/>
      </c>
      <c r="AD179" s="67" t="str">
        <f t="shared" si="9"/>
        <v/>
      </c>
      <c r="AE179" s="67" t="str">
        <f t="shared" si="9"/>
        <v/>
      </c>
      <c r="AF179" s="67" t="str">
        <f t="shared" si="9"/>
        <v/>
      </c>
      <c r="AG179" s="67" t="str">
        <f t="shared" si="9"/>
        <v/>
      </c>
      <c r="AH179" s="67" t="str">
        <f t="shared" si="9"/>
        <v/>
      </c>
      <c r="AI179" s="67" t="str">
        <f t="shared" si="9"/>
        <v/>
      </c>
      <c r="AJ179" s="67" t="str">
        <f t="shared" si="9"/>
        <v/>
      </c>
      <c r="AK179" s="67" t="str">
        <f t="shared" si="9"/>
        <v/>
      </c>
      <c r="AL179" s="67" t="str">
        <f t="shared" si="9"/>
        <v/>
      </c>
      <c r="AM179" s="67" t="str">
        <f t="shared" si="9"/>
        <v/>
      </c>
      <c r="AN179" s="67" t="str">
        <f t="shared" si="9"/>
        <v/>
      </c>
      <c r="AO179" s="67" t="str">
        <f t="shared" si="9"/>
        <v/>
      </c>
      <c r="AP179" s="67" t="str">
        <f t="shared" si="9"/>
        <v/>
      </c>
      <c r="AQ179" s="67" t="str">
        <f t="shared" si="9"/>
        <v/>
      </c>
      <c r="AR179" s="67" t="str">
        <f t="shared" si="9"/>
        <v/>
      </c>
      <c r="AS179" s="67" t="str">
        <f t="shared" si="9"/>
        <v/>
      </c>
      <c r="AT179" s="67" t="str">
        <f t="shared" si="9"/>
        <v/>
      </c>
      <c r="AU179" s="67" t="str">
        <f t="shared" si="9"/>
        <v/>
      </c>
      <c r="AV179" s="67" t="str">
        <f t="shared" si="9"/>
        <v/>
      </c>
      <c r="AW179" s="67" t="str">
        <f t="shared" si="9"/>
        <v/>
      </c>
      <c r="AX179" s="67" t="str">
        <f t="shared" si="9"/>
        <v/>
      </c>
      <c r="AY179" s="67" t="str">
        <f t="shared" si="9"/>
        <v/>
      </c>
      <c r="AZ179" s="67" t="str">
        <f t="shared" si="9"/>
        <v/>
      </c>
      <c r="BA179" s="67" t="str">
        <f t="shared" si="9"/>
        <v/>
      </c>
      <c r="BB179" s="67" t="str">
        <f t="shared" si="9"/>
        <v/>
      </c>
      <c r="BC179" s="67" t="str">
        <f t="shared" si="9"/>
        <v/>
      </c>
      <c r="BD179" s="67" t="str">
        <f t="shared" si="9"/>
        <v/>
      </c>
      <c r="BE179" s="67" t="str">
        <f t="shared" si="9"/>
        <v/>
      </c>
      <c r="BF179" s="67" t="str">
        <f t="shared" si="9"/>
        <v/>
      </c>
      <c r="BG179" s="67" t="str">
        <f t="shared" si="9"/>
        <v/>
      </c>
      <c r="BH179" s="67" t="str">
        <f t="shared" si="9"/>
        <v/>
      </c>
      <c r="BI179" s="67" t="str">
        <f t="shared" si="9"/>
        <v/>
      </c>
    </row>
    <row r="180" spans="1:61" ht="15.75" hidden="1" customHeight="1">
      <c r="A180" s="345" t="s">
        <v>10</v>
      </c>
      <c r="B180" s="65" t="s">
        <v>224</v>
      </c>
      <c r="C180" s="68" t="str">
        <f t="shared" si="1"/>
        <v/>
      </c>
      <c r="D180" s="68" t="str">
        <f t="shared" si="9"/>
        <v/>
      </c>
      <c r="E180" s="68" t="str">
        <f t="shared" si="9"/>
        <v/>
      </c>
      <c r="F180" s="68" t="str">
        <f t="shared" si="9"/>
        <v/>
      </c>
      <c r="G180" s="68" t="str">
        <f t="shared" si="9"/>
        <v/>
      </c>
      <c r="H180" s="68" t="str">
        <f t="shared" si="9"/>
        <v/>
      </c>
      <c r="I180" s="68" t="str">
        <f t="shared" si="9"/>
        <v/>
      </c>
      <c r="J180" s="68" t="str">
        <f t="shared" si="9"/>
        <v/>
      </c>
      <c r="K180" s="68" t="str">
        <f t="shared" si="9"/>
        <v/>
      </c>
      <c r="L180" s="68" t="str">
        <f t="shared" si="9"/>
        <v/>
      </c>
      <c r="M180" s="68" t="str">
        <f t="shared" si="9"/>
        <v/>
      </c>
      <c r="N180" s="68" t="str">
        <f t="shared" si="9"/>
        <v/>
      </c>
      <c r="O180" s="68" t="str">
        <f t="shared" si="9"/>
        <v/>
      </c>
      <c r="P180" s="68" t="str">
        <f t="shared" si="9"/>
        <v/>
      </c>
      <c r="Q180" s="68" t="str">
        <f t="shared" si="9"/>
        <v/>
      </c>
      <c r="R180" s="68" t="str">
        <f t="shared" si="9"/>
        <v/>
      </c>
      <c r="S180" s="68" t="str">
        <f t="shared" si="9"/>
        <v/>
      </c>
      <c r="T180" s="68" t="str">
        <f t="shared" si="9"/>
        <v/>
      </c>
      <c r="U180" s="68" t="str">
        <f t="shared" si="9"/>
        <v/>
      </c>
      <c r="V180" s="68" t="str">
        <f t="shared" si="9"/>
        <v/>
      </c>
      <c r="W180" s="68" t="str">
        <f t="shared" si="9"/>
        <v/>
      </c>
      <c r="X180" s="68" t="str">
        <f t="shared" si="9"/>
        <v/>
      </c>
      <c r="Y180" s="68" t="str">
        <f t="shared" si="9"/>
        <v/>
      </c>
      <c r="Z180" s="68" t="str">
        <f t="shared" si="9"/>
        <v/>
      </c>
      <c r="AA180" s="68" t="str">
        <f t="shared" si="9"/>
        <v/>
      </c>
      <c r="AB180" s="68" t="str">
        <f t="shared" si="9"/>
        <v/>
      </c>
      <c r="AC180" s="68" t="str">
        <f t="shared" si="9"/>
        <v/>
      </c>
      <c r="AD180" s="68" t="str">
        <f t="shared" si="9"/>
        <v/>
      </c>
      <c r="AE180" s="68" t="str">
        <f t="shared" si="9"/>
        <v/>
      </c>
      <c r="AF180" s="68" t="str">
        <f t="shared" si="9"/>
        <v/>
      </c>
      <c r="AG180" s="68" t="str">
        <f t="shared" si="9"/>
        <v/>
      </c>
      <c r="AH180" s="68" t="str">
        <f t="shared" si="9"/>
        <v/>
      </c>
      <c r="AI180" s="68" t="str">
        <f t="shared" si="9"/>
        <v/>
      </c>
      <c r="AJ180" s="68" t="str">
        <f t="shared" si="9"/>
        <v/>
      </c>
      <c r="AK180" s="68" t="str">
        <f t="shared" si="9"/>
        <v/>
      </c>
      <c r="AL180" s="68" t="str">
        <f t="shared" si="9"/>
        <v/>
      </c>
      <c r="AM180" s="68" t="str">
        <f t="shared" si="9"/>
        <v/>
      </c>
      <c r="AN180" s="68" t="str">
        <f t="shared" si="9"/>
        <v/>
      </c>
      <c r="AO180" s="68" t="str">
        <f t="shared" si="9"/>
        <v/>
      </c>
      <c r="AP180" s="68" t="str">
        <f t="shared" si="9"/>
        <v/>
      </c>
      <c r="AQ180" s="68" t="str">
        <f t="shared" si="9"/>
        <v/>
      </c>
      <c r="AR180" s="68" t="str">
        <f t="shared" si="9"/>
        <v/>
      </c>
      <c r="AS180" s="68" t="str">
        <f t="shared" si="9"/>
        <v/>
      </c>
      <c r="AT180" s="68" t="str">
        <f t="shared" si="9"/>
        <v/>
      </c>
      <c r="AU180" s="68" t="str">
        <f t="shared" si="9"/>
        <v/>
      </c>
      <c r="AV180" s="68" t="str">
        <f t="shared" si="9"/>
        <v/>
      </c>
      <c r="AW180" s="68" t="str">
        <f t="shared" si="9"/>
        <v/>
      </c>
      <c r="AX180" s="68" t="str">
        <f t="shared" si="9"/>
        <v/>
      </c>
      <c r="AY180" s="68" t="str">
        <f t="shared" si="9"/>
        <v/>
      </c>
      <c r="AZ180" s="68" t="str">
        <f t="shared" si="9"/>
        <v/>
      </c>
      <c r="BA180" s="68" t="str">
        <f t="shared" si="9"/>
        <v/>
      </c>
      <c r="BB180" s="68" t="str">
        <f t="shared" si="9"/>
        <v/>
      </c>
      <c r="BC180" s="68" t="str">
        <f t="shared" si="9"/>
        <v/>
      </c>
      <c r="BD180" s="68" t="str">
        <f t="shared" si="9"/>
        <v/>
      </c>
      <c r="BE180" s="68" t="str">
        <f t="shared" si="9"/>
        <v/>
      </c>
      <c r="BF180" s="68" t="str">
        <f t="shared" si="9"/>
        <v/>
      </c>
      <c r="BG180" s="68" t="str">
        <f t="shared" si="9"/>
        <v/>
      </c>
      <c r="BH180" s="68" t="str">
        <f t="shared" si="9"/>
        <v/>
      </c>
      <c r="BI180" s="68" t="str">
        <f t="shared" si="9"/>
        <v/>
      </c>
    </row>
    <row r="181" spans="1:61" ht="15.75" hidden="1" customHeight="1">
      <c r="A181" s="346"/>
      <c r="B181" s="65" t="s">
        <v>225</v>
      </c>
      <c r="C181" s="68" t="str">
        <f t="shared" si="1"/>
        <v/>
      </c>
      <c r="D181" s="68" t="str">
        <f t="shared" si="9"/>
        <v/>
      </c>
      <c r="E181" s="68" t="str">
        <f t="shared" si="9"/>
        <v/>
      </c>
      <c r="F181" s="68" t="str">
        <f t="shared" si="9"/>
        <v/>
      </c>
      <c r="G181" s="68" t="str">
        <f t="shared" si="9"/>
        <v/>
      </c>
      <c r="H181" s="68" t="str">
        <f t="shared" si="9"/>
        <v/>
      </c>
      <c r="I181" s="68" t="str">
        <f t="shared" si="9"/>
        <v/>
      </c>
      <c r="J181" s="68" t="str">
        <f t="shared" si="9"/>
        <v/>
      </c>
      <c r="K181" s="68" t="str">
        <f t="shared" si="9"/>
        <v/>
      </c>
      <c r="L181" s="68" t="str">
        <f t="shared" si="9"/>
        <v/>
      </c>
      <c r="M181" s="68" t="str">
        <f t="shared" si="9"/>
        <v/>
      </c>
      <c r="N181" s="68" t="str">
        <f t="shared" si="9"/>
        <v/>
      </c>
      <c r="O181" s="68" t="str">
        <f t="shared" si="9"/>
        <v/>
      </c>
      <c r="P181" s="68" t="str">
        <f t="shared" si="9"/>
        <v/>
      </c>
      <c r="Q181" s="68" t="str">
        <f t="shared" si="9"/>
        <v/>
      </c>
      <c r="R181" s="68" t="str">
        <f t="shared" si="9"/>
        <v/>
      </c>
      <c r="S181" s="68" t="str">
        <f t="shared" si="9"/>
        <v/>
      </c>
      <c r="T181" s="68" t="str">
        <f t="shared" si="9"/>
        <v/>
      </c>
      <c r="U181" s="68" t="str">
        <f t="shared" si="9"/>
        <v/>
      </c>
      <c r="V181" s="68" t="str">
        <f t="shared" si="9"/>
        <v/>
      </c>
      <c r="W181" s="68" t="str">
        <f t="shared" si="9"/>
        <v/>
      </c>
      <c r="X181" s="68" t="str">
        <f t="shared" si="9"/>
        <v/>
      </c>
      <c r="Y181" s="68" t="str">
        <f t="shared" si="9"/>
        <v/>
      </c>
      <c r="Z181" s="68" t="str">
        <f t="shared" si="9"/>
        <v/>
      </c>
      <c r="AA181" s="68" t="str">
        <f t="shared" si="9"/>
        <v/>
      </c>
      <c r="AB181" s="68" t="str">
        <f t="shared" si="9"/>
        <v/>
      </c>
      <c r="AC181" s="68" t="str">
        <f t="shared" si="9"/>
        <v/>
      </c>
      <c r="AD181" s="68" t="str">
        <f t="shared" si="9"/>
        <v/>
      </c>
      <c r="AE181" s="68" t="str">
        <f t="shared" si="9"/>
        <v/>
      </c>
      <c r="AF181" s="68" t="str">
        <f t="shared" si="9"/>
        <v/>
      </c>
      <c r="AG181" s="68" t="str">
        <f t="shared" si="9"/>
        <v/>
      </c>
      <c r="AH181" s="68" t="str">
        <f t="shared" si="9"/>
        <v/>
      </c>
      <c r="AI181" s="68" t="str">
        <f t="shared" si="9"/>
        <v/>
      </c>
      <c r="AJ181" s="68" t="str">
        <f t="shared" si="9"/>
        <v/>
      </c>
      <c r="AK181" s="68" t="str">
        <f t="shared" si="9"/>
        <v/>
      </c>
      <c r="AL181" s="68" t="str">
        <f t="shared" si="9"/>
        <v/>
      </c>
      <c r="AM181" s="68" t="str">
        <f t="shared" si="9"/>
        <v/>
      </c>
      <c r="AN181" s="68" t="str">
        <f t="shared" si="9"/>
        <v/>
      </c>
      <c r="AO181" s="68" t="str">
        <f t="shared" si="9"/>
        <v/>
      </c>
      <c r="AP181" s="68" t="str">
        <f t="shared" si="9"/>
        <v/>
      </c>
      <c r="AQ181" s="68" t="str">
        <f t="shared" si="9"/>
        <v/>
      </c>
      <c r="AR181" s="68" t="str">
        <f t="shared" si="9"/>
        <v/>
      </c>
      <c r="AS181" s="68" t="str">
        <f t="shared" si="9"/>
        <v/>
      </c>
      <c r="AT181" s="68" t="str">
        <f t="shared" si="9"/>
        <v/>
      </c>
      <c r="AU181" s="68" t="str">
        <f t="shared" si="9"/>
        <v/>
      </c>
      <c r="AV181" s="68" t="str">
        <f t="shared" si="9"/>
        <v/>
      </c>
      <c r="AW181" s="68" t="str">
        <f t="shared" si="9"/>
        <v/>
      </c>
      <c r="AX181" s="68" t="str">
        <f t="shared" si="9"/>
        <v/>
      </c>
      <c r="AY181" s="68" t="str">
        <f t="shared" si="9"/>
        <v/>
      </c>
      <c r="AZ181" s="68" t="str">
        <f t="shared" si="9"/>
        <v/>
      </c>
      <c r="BA181" s="68" t="str">
        <f t="shared" si="9"/>
        <v/>
      </c>
      <c r="BB181" s="68" t="str">
        <f t="shared" si="9"/>
        <v/>
      </c>
      <c r="BC181" s="68" t="str">
        <f t="shared" si="9"/>
        <v/>
      </c>
      <c r="BD181" s="68" t="str">
        <f t="shared" si="9"/>
        <v/>
      </c>
      <c r="BE181" s="68" t="str">
        <f t="shared" si="9"/>
        <v/>
      </c>
      <c r="BF181" s="68" t="str">
        <f t="shared" si="9"/>
        <v/>
      </c>
      <c r="BG181" s="68" t="str">
        <f t="shared" si="9"/>
        <v/>
      </c>
      <c r="BH181" s="68" t="str">
        <f t="shared" si="9"/>
        <v/>
      </c>
      <c r="BI181" s="68" t="str">
        <f t="shared" si="9"/>
        <v/>
      </c>
    </row>
    <row r="182" spans="1:61" ht="15.75" hidden="1" customHeight="1">
      <c r="A182" s="63" t="s">
        <v>210</v>
      </c>
      <c r="B182" s="64" t="s">
        <v>223</v>
      </c>
      <c r="C182" s="67" t="str">
        <f t="shared" si="1"/>
        <v/>
      </c>
      <c r="D182" s="67" t="str">
        <f t="shared" si="9"/>
        <v/>
      </c>
      <c r="E182" s="67" t="str">
        <f t="shared" si="9"/>
        <v/>
      </c>
      <c r="F182" s="67" t="str">
        <f t="shared" si="9"/>
        <v/>
      </c>
      <c r="G182" s="67" t="str">
        <f t="shared" si="9"/>
        <v/>
      </c>
      <c r="H182" s="67" t="str">
        <f t="shared" si="9"/>
        <v/>
      </c>
      <c r="I182" s="67" t="str">
        <f t="shared" si="9"/>
        <v/>
      </c>
      <c r="J182" s="67" t="str">
        <f t="shared" si="9"/>
        <v/>
      </c>
      <c r="K182" s="67" t="str">
        <f t="shared" si="9"/>
        <v/>
      </c>
      <c r="L182" s="67" t="str">
        <f t="shared" si="9"/>
        <v/>
      </c>
      <c r="M182" s="67" t="str">
        <f t="shared" si="9"/>
        <v/>
      </c>
      <c r="N182" s="67" t="str">
        <f t="shared" si="9"/>
        <v/>
      </c>
      <c r="O182" s="67" t="str">
        <f t="shared" si="9"/>
        <v/>
      </c>
      <c r="P182" s="67" t="str">
        <f t="shared" si="9"/>
        <v/>
      </c>
      <c r="Q182" s="67" t="str">
        <f t="shared" si="9"/>
        <v/>
      </c>
      <c r="R182" s="67" t="str">
        <f t="shared" si="9"/>
        <v/>
      </c>
      <c r="S182" s="67" t="str">
        <f t="shared" si="9"/>
        <v/>
      </c>
      <c r="T182" s="67" t="str">
        <f t="shared" si="9"/>
        <v/>
      </c>
      <c r="U182" s="67" t="str">
        <f t="shared" si="9"/>
        <v/>
      </c>
      <c r="V182" s="67" t="str">
        <f t="shared" si="9"/>
        <v/>
      </c>
      <c r="W182" s="67" t="str">
        <f t="shared" si="9"/>
        <v/>
      </c>
      <c r="X182" s="67" t="str">
        <f t="shared" si="9"/>
        <v/>
      </c>
      <c r="Y182" s="67" t="str">
        <f t="shared" si="9"/>
        <v/>
      </c>
      <c r="Z182" s="67" t="str">
        <f t="shared" si="9"/>
        <v/>
      </c>
      <c r="AA182" s="67" t="str">
        <f t="shared" si="9"/>
        <v/>
      </c>
      <c r="AB182" s="67" t="str">
        <f t="shared" si="9"/>
        <v/>
      </c>
      <c r="AC182" s="67" t="str">
        <f t="shared" si="9"/>
        <v/>
      </c>
      <c r="AD182" s="67" t="str">
        <f t="shared" si="9"/>
        <v/>
      </c>
      <c r="AE182" s="67" t="str">
        <f t="shared" si="9"/>
        <v/>
      </c>
      <c r="AF182" s="67" t="str">
        <f t="shared" si="9"/>
        <v/>
      </c>
      <c r="AG182" s="67" t="str">
        <f t="shared" si="9"/>
        <v/>
      </c>
      <c r="AH182" s="67" t="str">
        <f t="shared" si="9"/>
        <v/>
      </c>
      <c r="AI182" s="67" t="str">
        <f t="shared" si="9"/>
        <v/>
      </c>
      <c r="AJ182" s="67" t="str">
        <f t="shared" si="9"/>
        <v/>
      </c>
      <c r="AK182" s="67" t="str">
        <f t="shared" si="9"/>
        <v/>
      </c>
      <c r="AL182" s="67" t="str">
        <f t="shared" si="9"/>
        <v/>
      </c>
      <c r="AM182" s="67" t="str">
        <f t="shared" si="9"/>
        <v/>
      </c>
      <c r="AN182" s="67" t="str">
        <f t="shared" si="9"/>
        <v/>
      </c>
      <c r="AO182" s="67" t="str">
        <f t="shared" si="9"/>
        <v/>
      </c>
      <c r="AP182" s="67" t="str">
        <f t="shared" si="9"/>
        <v/>
      </c>
      <c r="AQ182" s="67" t="str">
        <f t="shared" si="9"/>
        <v/>
      </c>
      <c r="AR182" s="67" t="str">
        <f t="shared" si="9"/>
        <v/>
      </c>
      <c r="AS182" s="67" t="str">
        <f t="shared" si="9"/>
        <v/>
      </c>
      <c r="AT182" s="67" t="str">
        <f t="shared" si="9"/>
        <v/>
      </c>
      <c r="AU182" s="67" t="str">
        <f t="shared" si="9"/>
        <v/>
      </c>
      <c r="AV182" s="67" t="str">
        <f t="shared" si="9"/>
        <v/>
      </c>
      <c r="AW182" s="67" t="str">
        <f t="shared" si="9"/>
        <v/>
      </c>
      <c r="AX182" s="67" t="str">
        <f t="shared" si="9"/>
        <v/>
      </c>
      <c r="AY182" s="67" t="str">
        <f t="shared" si="9"/>
        <v/>
      </c>
      <c r="AZ182" s="67" t="str">
        <f t="shared" si="9"/>
        <v/>
      </c>
      <c r="BA182" s="67" t="str">
        <f t="shared" si="9"/>
        <v/>
      </c>
      <c r="BB182" s="67" t="str">
        <f t="shared" si="9"/>
        <v/>
      </c>
      <c r="BC182" s="67" t="str">
        <f t="shared" si="9"/>
        <v/>
      </c>
      <c r="BD182" s="67" t="str">
        <f t="shared" si="9"/>
        <v/>
      </c>
      <c r="BE182" s="67" t="str">
        <f t="shared" si="9"/>
        <v/>
      </c>
      <c r="BF182" s="67" t="str">
        <f t="shared" si="9"/>
        <v/>
      </c>
      <c r="BG182" s="67" t="str">
        <f t="shared" si="9"/>
        <v/>
      </c>
      <c r="BH182" s="67" t="str">
        <f t="shared" si="9"/>
        <v/>
      </c>
      <c r="BI182" s="67" t="str">
        <f t="shared" si="9"/>
        <v/>
      </c>
    </row>
    <row r="183" spans="1:61" ht="15.75" hidden="1" customHeight="1">
      <c r="A183" s="345" t="s">
        <v>11</v>
      </c>
      <c r="B183" s="65" t="s">
        <v>224</v>
      </c>
      <c r="C183" s="68" t="str">
        <f t="shared" si="1"/>
        <v/>
      </c>
      <c r="D183" s="68" t="str">
        <f t="shared" si="9"/>
        <v/>
      </c>
      <c r="E183" s="68" t="str">
        <f t="shared" si="9"/>
        <v/>
      </c>
      <c r="F183" s="68" t="str">
        <f t="shared" ref="D183:BI187" si="10">IF(F113=F38,"","*")</f>
        <v/>
      </c>
      <c r="G183" s="68" t="str">
        <f t="shared" si="10"/>
        <v/>
      </c>
      <c r="H183" s="68" t="str">
        <f t="shared" si="10"/>
        <v/>
      </c>
      <c r="I183" s="68" t="str">
        <f t="shared" si="10"/>
        <v/>
      </c>
      <c r="J183" s="68" t="str">
        <f t="shared" si="10"/>
        <v/>
      </c>
      <c r="K183" s="68" t="str">
        <f t="shared" si="10"/>
        <v/>
      </c>
      <c r="L183" s="68" t="str">
        <f t="shared" si="10"/>
        <v/>
      </c>
      <c r="M183" s="68" t="str">
        <f t="shared" si="10"/>
        <v/>
      </c>
      <c r="N183" s="68" t="str">
        <f t="shared" si="10"/>
        <v/>
      </c>
      <c r="O183" s="68" t="str">
        <f t="shared" si="10"/>
        <v/>
      </c>
      <c r="P183" s="68" t="str">
        <f t="shared" si="10"/>
        <v/>
      </c>
      <c r="Q183" s="68" t="str">
        <f t="shared" si="10"/>
        <v/>
      </c>
      <c r="R183" s="68" t="str">
        <f t="shared" si="10"/>
        <v/>
      </c>
      <c r="S183" s="68" t="str">
        <f t="shared" si="10"/>
        <v/>
      </c>
      <c r="T183" s="68" t="str">
        <f t="shared" si="10"/>
        <v/>
      </c>
      <c r="U183" s="68" t="str">
        <f t="shared" si="10"/>
        <v/>
      </c>
      <c r="V183" s="68" t="str">
        <f t="shared" si="10"/>
        <v/>
      </c>
      <c r="W183" s="68" t="str">
        <f t="shared" si="10"/>
        <v/>
      </c>
      <c r="X183" s="68" t="str">
        <f t="shared" si="10"/>
        <v/>
      </c>
      <c r="Y183" s="68" t="str">
        <f t="shared" si="10"/>
        <v/>
      </c>
      <c r="Z183" s="68" t="str">
        <f t="shared" si="10"/>
        <v/>
      </c>
      <c r="AA183" s="68" t="str">
        <f t="shared" si="10"/>
        <v/>
      </c>
      <c r="AB183" s="68" t="str">
        <f t="shared" si="10"/>
        <v/>
      </c>
      <c r="AC183" s="68" t="str">
        <f t="shared" si="10"/>
        <v/>
      </c>
      <c r="AD183" s="68" t="str">
        <f t="shared" si="10"/>
        <v/>
      </c>
      <c r="AE183" s="68" t="str">
        <f t="shared" si="10"/>
        <v/>
      </c>
      <c r="AF183" s="68" t="str">
        <f t="shared" si="10"/>
        <v/>
      </c>
      <c r="AG183" s="68" t="str">
        <f t="shared" si="10"/>
        <v/>
      </c>
      <c r="AH183" s="68" t="str">
        <f t="shared" si="10"/>
        <v/>
      </c>
      <c r="AI183" s="68" t="str">
        <f t="shared" si="10"/>
        <v/>
      </c>
      <c r="AJ183" s="68" t="str">
        <f t="shared" si="10"/>
        <v/>
      </c>
      <c r="AK183" s="68" t="str">
        <f t="shared" si="10"/>
        <v/>
      </c>
      <c r="AL183" s="68" t="str">
        <f t="shared" si="10"/>
        <v/>
      </c>
      <c r="AM183" s="68" t="str">
        <f t="shared" si="10"/>
        <v/>
      </c>
      <c r="AN183" s="68" t="str">
        <f t="shared" si="10"/>
        <v/>
      </c>
      <c r="AO183" s="68" t="str">
        <f t="shared" si="10"/>
        <v/>
      </c>
      <c r="AP183" s="68" t="str">
        <f t="shared" si="10"/>
        <v/>
      </c>
      <c r="AQ183" s="68" t="str">
        <f t="shared" si="10"/>
        <v/>
      </c>
      <c r="AR183" s="68" t="str">
        <f t="shared" si="10"/>
        <v/>
      </c>
      <c r="AS183" s="68" t="str">
        <f t="shared" si="10"/>
        <v/>
      </c>
      <c r="AT183" s="68" t="str">
        <f t="shared" si="10"/>
        <v/>
      </c>
      <c r="AU183" s="68" t="str">
        <f t="shared" si="10"/>
        <v/>
      </c>
      <c r="AV183" s="68" t="str">
        <f t="shared" si="10"/>
        <v/>
      </c>
      <c r="AW183" s="68" t="str">
        <f t="shared" si="10"/>
        <v/>
      </c>
      <c r="AX183" s="68" t="str">
        <f t="shared" si="10"/>
        <v/>
      </c>
      <c r="AY183" s="68" t="str">
        <f t="shared" si="10"/>
        <v/>
      </c>
      <c r="AZ183" s="68" t="str">
        <f t="shared" si="10"/>
        <v/>
      </c>
      <c r="BA183" s="68" t="str">
        <f t="shared" si="10"/>
        <v/>
      </c>
      <c r="BB183" s="68" t="str">
        <f t="shared" si="10"/>
        <v/>
      </c>
      <c r="BC183" s="68" t="str">
        <f t="shared" si="10"/>
        <v/>
      </c>
      <c r="BD183" s="68" t="str">
        <f t="shared" si="10"/>
        <v/>
      </c>
      <c r="BE183" s="68" t="str">
        <f t="shared" si="10"/>
        <v/>
      </c>
      <c r="BF183" s="68" t="str">
        <f t="shared" si="10"/>
        <v/>
      </c>
      <c r="BG183" s="68" t="str">
        <f t="shared" si="10"/>
        <v/>
      </c>
      <c r="BH183" s="68" t="str">
        <f t="shared" si="10"/>
        <v/>
      </c>
      <c r="BI183" s="68" t="str">
        <f t="shared" si="10"/>
        <v/>
      </c>
    </row>
    <row r="184" spans="1:61" ht="15.75" hidden="1" customHeight="1">
      <c r="A184" s="346"/>
      <c r="B184" s="65" t="s">
        <v>225</v>
      </c>
      <c r="C184" s="68" t="str">
        <f t="shared" ref="C184:C215" si="11">IF(C114=C39,"","*")</f>
        <v/>
      </c>
      <c r="D184" s="68" t="str">
        <f t="shared" si="10"/>
        <v/>
      </c>
      <c r="E184" s="68" t="str">
        <f t="shared" si="10"/>
        <v/>
      </c>
      <c r="F184" s="68" t="str">
        <f t="shared" si="10"/>
        <v/>
      </c>
      <c r="G184" s="68" t="str">
        <f t="shared" si="10"/>
        <v/>
      </c>
      <c r="H184" s="68" t="str">
        <f t="shared" si="10"/>
        <v/>
      </c>
      <c r="I184" s="68" t="str">
        <f t="shared" si="10"/>
        <v/>
      </c>
      <c r="J184" s="68" t="str">
        <f t="shared" si="10"/>
        <v/>
      </c>
      <c r="K184" s="68" t="str">
        <f t="shared" si="10"/>
        <v/>
      </c>
      <c r="L184" s="68" t="str">
        <f t="shared" si="10"/>
        <v/>
      </c>
      <c r="M184" s="68" t="str">
        <f t="shared" si="10"/>
        <v/>
      </c>
      <c r="N184" s="68" t="str">
        <f t="shared" si="10"/>
        <v/>
      </c>
      <c r="O184" s="68" t="str">
        <f t="shared" si="10"/>
        <v/>
      </c>
      <c r="P184" s="68" t="str">
        <f t="shared" si="10"/>
        <v/>
      </c>
      <c r="Q184" s="68" t="str">
        <f t="shared" si="10"/>
        <v/>
      </c>
      <c r="R184" s="68" t="str">
        <f t="shared" si="10"/>
        <v/>
      </c>
      <c r="S184" s="68" t="str">
        <f t="shared" si="10"/>
        <v/>
      </c>
      <c r="T184" s="68" t="str">
        <f t="shared" si="10"/>
        <v/>
      </c>
      <c r="U184" s="68" t="str">
        <f t="shared" si="10"/>
        <v/>
      </c>
      <c r="V184" s="68" t="str">
        <f t="shared" si="10"/>
        <v/>
      </c>
      <c r="W184" s="68" t="str">
        <f t="shared" si="10"/>
        <v/>
      </c>
      <c r="X184" s="68" t="str">
        <f t="shared" si="10"/>
        <v/>
      </c>
      <c r="Y184" s="68" t="str">
        <f t="shared" si="10"/>
        <v/>
      </c>
      <c r="Z184" s="68" t="str">
        <f t="shared" si="10"/>
        <v/>
      </c>
      <c r="AA184" s="68" t="str">
        <f t="shared" si="10"/>
        <v/>
      </c>
      <c r="AB184" s="68" t="str">
        <f t="shared" si="10"/>
        <v/>
      </c>
      <c r="AC184" s="68" t="str">
        <f t="shared" si="10"/>
        <v/>
      </c>
      <c r="AD184" s="68" t="str">
        <f t="shared" si="10"/>
        <v/>
      </c>
      <c r="AE184" s="68" t="str">
        <f t="shared" si="10"/>
        <v/>
      </c>
      <c r="AF184" s="68" t="str">
        <f t="shared" si="10"/>
        <v/>
      </c>
      <c r="AG184" s="68" t="str">
        <f t="shared" si="10"/>
        <v/>
      </c>
      <c r="AH184" s="68" t="str">
        <f t="shared" si="10"/>
        <v/>
      </c>
      <c r="AI184" s="68" t="str">
        <f t="shared" si="10"/>
        <v/>
      </c>
      <c r="AJ184" s="68" t="str">
        <f t="shared" si="10"/>
        <v/>
      </c>
      <c r="AK184" s="68" t="str">
        <f t="shared" si="10"/>
        <v/>
      </c>
      <c r="AL184" s="68" t="str">
        <f t="shared" si="10"/>
        <v/>
      </c>
      <c r="AM184" s="68" t="str">
        <f t="shared" si="10"/>
        <v/>
      </c>
      <c r="AN184" s="68" t="str">
        <f t="shared" si="10"/>
        <v/>
      </c>
      <c r="AO184" s="68" t="str">
        <f t="shared" si="10"/>
        <v/>
      </c>
      <c r="AP184" s="68" t="str">
        <f t="shared" si="10"/>
        <v/>
      </c>
      <c r="AQ184" s="68" t="str">
        <f t="shared" si="10"/>
        <v/>
      </c>
      <c r="AR184" s="68" t="str">
        <f t="shared" si="10"/>
        <v/>
      </c>
      <c r="AS184" s="68" t="str">
        <f t="shared" si="10"/>
        <v/>
      </c>
      <c r="AT184" s="68" t="str">
        <f t="shared" si="10"/>
        <v/>
      </c>
      <c r="AU184" s="68" t="str">
        <f t="shared" si="10"/>
        <v/>
      </c>
      <c r="AV184" s="68" t="str">
        <f t="shared" si="10"/>
        <v/>
      </c>
      <c r="AW184" s="68" t="str">
        <f t="shared" si="10"/>
        <v/>
      </c>
      <c r="AX184" s="68" t="str">
        <f t="shared" si="10"/>
        <v/>
      </c>
      <c r="AY184" s="68" t="str">
        <f t="shared" si="10"/>
        <v/>
      </c>
      <c r="AZ184" s="68" t="str">
        <f t="shared" si="10"/>
        <v/>
      </c>
      <c r="BA184" s="68" t="str">
        <f t="shared" si="10"/>
        <v/>
      </c>
      <c r="BB184" s="68" t="str">
        <f t="shared" si="10"/>
        <v/>
      </c>
      <c r="BC184" s="68" t="str">
        <f t="shared" si="10"/>
        <v/>
      </c>
      <c r="BD184" s="68" t="str">
        <f t="shared" si="10"/>
        <v/>
      </c>
      <c r="BE184" s="68" t="str">
        <f t="shared" si="10"/>
        <v/>
      </c>
      <c r="BF184" s="68" t="str">
        <f t="shared" si="10"/>
        <v/>
      </c>
      <c r="BG184" s="68" t="str">
        <f t="shared" si="10"/>
        <v/>
      </c>
      <c r="BH184" s="68" t="str">
        <f t="shared" si="10"/>
        <v/>
      </c>
      <c r="BI184" s="68" t="str">
        <f t="shared" si="10"/>
        <v/>
      </c>
    </row>
    <row r="185" spans="1:61" ht="15.75" hidden="1" customHeight="1">
      <c r="A185" s="63" t="s">
        <v>211</v>
      </c>
      <c r="B185" s="64" t="s">
        <v>223</v>
      </c>
      <c r="C185" s="67" t="str">
        <f t="shared" si="11"/>
        <v/>
      </c>
      <c r="D185" s="67" t="str">
        <f t="shared" si="10"/>
        <v/>
      </c>
      <c r="E185" s="67" t="str">
        <f t="shared" si="10"/>
        <v/>
      </c>
      <c r="F185" s="67" t="str">
        <f t="shared" si="10"/>
        <v/>
      </c>
      <c r="G185" s="67" t="str">
        <f t="shared" si="10"/>
        <v/>
      </c>
      <c r="H185" s="67" t="str">
        <f t="shared" si="10"/>
        <v/>
      </c>
      <c r="I185" s="67" t="str">
        <f t="shared" si="10"/>
        <v/>
      </c>
      <c r="J185" s="67" t="str">
        <f t="shared" si="10"/>
        <v/>
      </c>
      <c r="K185" s="67" t="str">
        <f t="shared" si="10"/>
        <v/>
      </c>
      <c r="L185" s="67" t="str">
        <f t="shared" si="10"/>
        <v/>
      </c>
      <c r="M185" s="67" t="str">
        <f t="shared" si="10"/>
        <v/>
      </c>
      <c r="N185" s="67" t="str">
        <f t="shared" si="10"/>
        <v/>
      </c>
      <c r="O185" s="67" t="str">
        <f t="shared" si="10"/>
        <v/>
      </c>
      <c r="P185" s="67" t="str">
        <f t="shared" si="10"/>
        <v/>
      </c>
      <c r="Q185" s="67" t="str">
        <f t="shared" si="10"/>
        <v/>
      </c>
      <c r="R185" s="67" t="str">
        <f t="shared" si="10"/>
        <v/>
      </c>
      <c r="S185" s="67" t="str">
        <f t="shared" si="10"/>
        <v/>
      </c>
      <c r="T185" s="67" t="str">
        <f t="shared" si="10"/>
        <v/>
      </c>
      <c r="U185" s="67" t="str">
        <f t="shared" si="10"/>
        <v/>
      </c>
      <c r="V185" s="67" t="str">
        <f t="shared" si="10"/>
        <v/>
      </c>
      <c r="W185" s="67" t="str">
        <f t="shared" si="10"/>
        <v/>
      </c>
      <c r="X185" s="67" t="str">
        <f t="shared" si="10"/>
        <v/>
      </c>
      <c r="Y185" s="67" t="str">
        <f t="shared" si="10"/>
        <v/>
      </c>
      <c r="Z185" s="67" t="str">
        <f t="shared" si="10"/>
        <v/>
      </c>
      <c r="AA185" s="67" t="str">
        <f t="shared" si="10"/>
        <v/>
      </c>
      <c r="AB185" s="67" t="str">
        <f t="shared" si="10"/>
        <v/>
      </c>
      <c r="AC185" s="67" t="str">
        <f t="shared" si="10"/>
        <v/>
      </c>
      <c r="AD185" s="67" t="str">
        <f t="shared" si="10"/>
        <v/>
      </c>
      <c r="AE185" s="67" t="str">
        <f t="shared" si="10"/>
        <v/>
      </c>
      <c r="AF185" s="67" t="str">
        <f t="shared" si="10"/>
        <v/>
      </c>
      <c r="AG185" s="67" t="str">
        <f t="shared" si="10"/>
        <v/>
      </c>
      <c r="AH185" s="67" t="str">
        <f t="shared" si="10"/>
        <v/>
      </c>
      <c r="AI185" s="67" t="str">
        <f t="shared" si="10"/>
        <v/>
      </c>
      <c r="AJ185" s="67" t="str">
        <f t="shared" si="10"/>
        <v/>
      </c>
      <c r="AK185" s="67" t="str">
        <f t="shared" si="10"/>
        <v/>
      </c>
      <c r="AL185" s="67" t="str">
        <f t="shared" si="10"/>
        <v/>
      </c>
      <c r="AM185" s="67" t="str">
        <f t="shared" si="10"/>
        <v/>
      </c>
      <c r="AN185" s="67" t="str">
        <f t="shared" si="10"/>
        <v/>
      </c>
      <c r="AO185" s="67" t="str">
        <f t="shared" si="10"/>
        <v/>
      </c>
      <c r="AP185" s="67" t="str">
        <f t="shared" si="10"/>
        <v/>
      </c>
      <c r="AQ185" s="67" t="str">
        <f t="shared" si="10"/>
        <v/>
      </c>
      <c r="AR185" s="67" t="str">
        <f t="shared" si="10"/>
        <v/>
      </c>
      <c r="AS185" s="67" t="str">
        <f t="shared" si="10"/>
        <v/>
      </c>
      <c r="AT185" s="67" t="str">
        <f t="shared" si="10"/>
        <v/>
      </c>
      <c r="AU185" s="67" t="str">
        <f t="shared" si="10"/>
        <v/>
      </c>
      <c r="AV185" s="67" t="str">
        <f t="shared" si="10"/>
        <v/>
      </c>
      <c r="AW185" s="67" t="str">
        <f t="shared" si="10"/>
        <v/>
      </c>
      <c r="AX185" s="67" t="str">
        <f t="shared" si="10"/>
        <v/>
      </c>
      <c r="AY185" s="67" t="str">
        <f t="shared" si="10"/>
        <v/>
      </c>
      <c r="AZ185" s="67" t="str">
        <f t="shared" si="10"/>
        <v/>
      </c>
      <c r="BA185" s="67" t="str">
        <f t="shared" si="10"/>
        <v/>
      </c>
      <c r="BB185" s="67" t="str">
        <f t="shared" si="10"/>
        <v/>
      </c>
      <c r="BC185" s="67" t="str">
        <f t="shared" si="10"/>
        <v/>
      </c>
      <c r="BD185" s="67" t="str">
        <f t="shared" si="10"/>
        <v/>
      </c>
      <c r="BE185" s="67" t="str">
        <f t="shared" si="10"/>
        <v/>
      </c>
      <c r="BF185" s="67" t="str">
        <f t="shared" si="10"/>
        <v/>
      </c>
      <c r="BG185" s="67" t="str">
        <f t="shared" si="10"/>
        <v/>
      </c>
      <c r="BH185" s="67" t="str">
        <f t="shared" si="10"/>
        <v/>
      </c>
      <c r="BI185" s="67" t="str">
        <f t="shared" si="10"/>
        <v/>
      </c>
    </row>
    <row r="186" spans="1:61" ht="15.75" hidden="1" customHeight="1">
      <c r="A186" s="345" t="s">
        <v>12</v>
      </c>
      <c r="B186" s="65" t="s">
        <v>224</v>
      </c>
      <c r="C186" s="68" t="str">
        <f t="shared" si="11"/>
        <v/>
      </c>
      <c r="D186" s="68" t="str">
        <f t="shared" si="10"/>
        <v/>
      </c>
      <c r="E186" s="68" t="str">
        <f t="shared" si="10"/>
        <v/>
      </c>
      <c r="F186" s="68" t="str">
        <f t="shared" si="10"/>
        <v/>
      </c>
      <c r="G186" s="68" t="str">
        <f t="shared" si="10"/>
        <v/>
      </c>
      <c r="H186" s="68" t="str">
        <f t="shared" si="10"/>
        <v/>
      </c>
      <c r="I186" s="68" t="str">
        <f t="shared" si="10"/>
        <v/>
      </c>
      <c r="J186" s="68" t="str">
        <f t="shared" si="10"/>
        <v/>
      </c>
      <c r="K186" s="68" t="str">
        <f t="shared" si="10"/>
        <v/>
      </c>
      <c r="L186" s="68" t="str">
        <f t="shared" si="10"/>
        <v/>
      </c>
      <c r="M186" s="68" t="str">
        <f t="shared" si="10"/>
        <v/>
      </c>
      <c r="N186" s="68" t="str">
        <f t="shared" si="10"/>
        <v/>
      </c>
      <c r="O186" s="68" t="str">
        <f t="shared" si="10"/>
        <v/>
      </c>
      <c r="P186" s="68" t="str">
        <f t="shared" si="10"/>
        <v/>
      </c>
      <c r="Q186" s="68" t="str">
        <f t="shared" si="10"/>
        <v/>
      </c>
      <c r="R186" s="68" t="str">
        <f t="shared" si="10"/>
        <v/>
      </c>
      <c r="S186" s="68" t="str">
        <f t="shared" si="10"/>
        <v/>
      </c>
      <c r="T186" s="68" t="str">
        <f t="shared" si="10"/>
        <v/>
      </c>
      <c r="U186" s="68" t="str">
        <f t="shared" si="10"/>
        <v/>
      </c>
      <c r="V186" s="68" t="str">
        <f t="shared" si="10"/>
        <v/>
      </c>
      <c r="W186" s="68" t="str">
        <f t="shared" si="10"/>
        <v/>
      </c>
      <c r="X186" s="68" t="str">
        <f t="shared" si="10"/>
        <v/>
      </c>
      <c r="Y186" s="68" t="str">
        <f t="shared" si="10"/>
        <v/>
      </c>
      <c r="Z186" s="68" t="str">
        <f t="shared" si="10"/>
        <v/>
      </c>
      <c r="AA186" s="68" t="str">
        <f t="shared" si="10"/>
        <v/>
      </c>
      <c r="AB186" s="68" t="str">
        <f t="shared" si="10"/>
        <v/>
      </c>
      <c r="AC186" s="68" t="str">
        <f t="shared" si="10"/>
        <v/>
      </c>
      <c r="AD186" s="68" t="str">
        <f t="shared" si="10"/>
        <v/>
      </c>
      <c r="AE186" s="68" t="str">
        <f t="shared" si="10"/>
        <v/>
      </c>
      <c r="AF186" s="68" t="str">
        <f t="shared" si="10"/>
        <v/>
      </c>
      <c r="AG186" s="68" t="str">
        <f t="shared" si="10"/>
        <v/>
      </c>
      <c r="AH186" s="68" t="str">
        <f t="shared" si="10"/>
        <v/>
      </c>
      <c r="AI186" s="68" t="str">
        <f t="shared" si="10"/>
        <v/>
      </c>
      <c r="AJ186" s="68" t="str">
        <f t="shared" si="10"/>
        <v/>
      </c>
      <c r="AK186" s="68" t="str">
        <f t="shared" si="10"/>
        <v/>
      </c>
      <c r="AL186" s="68" t="str">
        <f t="shared" si="10"/>
        <v/>
      </c>
      <c r="AM186" s="68" t="str">
        <f t="shared" si="10"/>
        <v/>
      </c>
      <c r="AN186" s="68" t="str">
        <f t="shared" si="10"/>
        <v/>
      </c>
      <c r="AO186" s="68" t="str">
        <f t="shared" si="10"/>
        <v/>
      </c>
      <c r="AP186" s="68" t="str">
        <f t="shared" si="10"/>
        <v/>
      </c>
      <c r="AQ186" s="68" t="str">
        <f t="shared" si="10"/>
        <v/>
      </c>
      <c r="AR186" s="68" t="str">
        <f t="shared" si="10"/>
        <v/>
      </c>
      <c r="AS186" s="68" t="str">
        <f t="shared" si="10"/>
        <v/>
      </c>
      <c r="AT186" s="68" t="str">
        <f t="shared" si="10"/>
        <v/>
      </c>
      <c r="AU186" s="68" t="str">
        <f t="shared" si="10"/>
        <v/>
      </c>
      <c r="AV186" s="68" t="str">
        <f t="shared" si="10"/>
        <v/>
      </c>
      <c r="AW186" s="68" t="str">
        <f t="shared" si="10"/>
        <v/>
      </c>
      <c r="AX186" s="68" t="str">
        <f t="shared" si="10"/>
        <v/>
      </c>
      <c r="AY186" s="68" t="str">
        <f t="shared" si="10"/>
        <v/>
      </c>
      <c r="AZ186" s="68" t="str">
        <f t="shared" si="10"/>
        <v/>
      </c>
      <c r="BA186" s="68" t="str">
        <f t="shared" si="10"/>
        <v/>
      </c>
      <c r="BB186" s="68" t="str">
        <f t="shared" si="10"/>
        <v/>
      </c>
      <c r="BC186" s="68" t="str">
        <f t="shared" si="10"/>
        <v/>
      </c>
      <c r="BD186" s="68" t="str">
        <f t="shared" si="10"/>
        <v/>
      </c>
      <c r="BE186" s="68" t="str">
        <f t="shared" si="10"/>
        <v/>
      </c>
      <c r="BF186" s="68" t="str">
        <f t="shared" si="10"/>
        <v/>
      </c>
      <c r="BG186" s="68" t="str">
        <f t="shared" si="10"/>
        <v/>
      </c>
      <c r="BH186" s="68" t="str">
        <f t="shared" si="10"/>
        <v/>
      </c>
      <c r="BI186" s="68" t="str">
        <f t="shared" si="10"/>
        <v/>
      </c>
    </row>
    <row r="187" spans="1:61" ht="15.75" hidden="1" customHeight="1">
      <c r="A187" s="346"/>
      <c r="B187" s="65" t="s">
        <v>225</v>
      </c>
      <c r="C187" s="68" t="str">
        <f t="shared" si="11"/>
        <v/>
      </c>
      <c r="D187" s="68" t="str">
        <f t="shared" si="10"/>
        <v/>
      </c>
      <c r="E187" s="68" t="str">
        <f t="shared" si="10"/>
        <v/>
      </c>
      <c r="F187" s="68" t="str">
        <f t="shared" si="10"/>
        <v/>
      </c>
      <c r="G187" s="68" t="str">
        <f t="shared" si="10"/>
        <v/>
      </c>
      <c r="H187" s="68" t="str">
        <f t="shared" si="10"/>
        <v/>
      </c>
      <c r="I187" s="68" t="str">
        <f t="shared" si="10"/>
        <v/>
      </c>
      <c r="J187" s="68" t="str">
        <f t="shared" si="10"/>
        <v/>
      </c>
      <c r="K187" s="68" t="str">
        <f t="shared" si="10"/>
        <v/>
      </c>
      <c r="L187" s="68" t="str">
        <f t="shared" si="10"/>
        <v/>
      </c>
      <c r="M187" s="68" t="str">
        <f t="shared" si="10"/>
        <v/>
      </c>
      <c r="N187" s="68" t="str">
        <f t="shared" si="10"/>
        <v/>
      </c>
      <c r="O187" s="68" t="str">
        <f t="shared" si="10"/>
        <v/>
      </c>
      <c r="P187" s="68" t="str">
        <f t="shared" si="10"/>
        <v/>
      </c>
      <c r="Q187" s="68" t="str">
        <f t="shared" si="10"/>
        <v/>
      </c>
      <c r="R187" s="68" t="str">
        <f t="shared" si="10"/>
        <v/>
      </c>
      <c r="S187" s="68" t="str">
        <f t="shared" si="10"/>
        <v/>
      </c>
      <c r="T187" s="68" t="str">
        <f t="shared" si="10"/>
        <v/>
      </c>
      <c r="U187" s="68" t="str">
        <f t="shared" si="10"/>
        <v/>
      </c>
      <c r="V187" s="68" t="str">
        <f t="shared" si="10"/>
        <v/>
      </c>
      <c r="W187" s="68" t="str">
        <f t="shared" si="10"/>
        <v/>
      </c>
      <c r="X187" s="68" t="str">
        <f t="shared" si="10"/>
        <v/>
      </c>
      <c r="Y187" s="68" t="str">
        <f t="shared" si="10"/>
        <v/>
      </c>
      <c r="Z187" s="68" t="str">
        <f t="shared" si="10"/>
        <v/>
      </c>
      <c r="AA187" s="68" t="str">
        <f t="shared" si="10"/>
        <v/>
      </c>
      <c r="AB187" s="68" t="str">
        <f t="shared" si="10"/>
        <v/>
      </c>
      <c r="AC187" s="68" t="str">
        <f t="shared" ref="D187:BI191" si="12">IF(AC117=AC42,"","*")</f>
        <v/>
      </c>
      <c r="AD187" s="68" t="str">
        <f t="shared" si="12"/>
        <v/>
      </c>
      <c r="AE187" s="68" t="str">
        <f t="shared" si="12"/>
        <v/>
      </c>
      <c r="AF187" s="68" t="str">
        <f t="shared" si="12"/>
        <v/>
      </c>
      <c r="AG187" s="68" t="str">
        <f t="shared" si="12"/>
        <v/>
      </c>
      <c r="AH187" s="68" t="str">
        <f t="shared" si="12"/>
        <v/>
      </c>
      <c r="AI187" s="68" t="str">
        <f t="shared" si="12"/>
        <v/>
      </c>
      <c r="AJ187" s="68" t="str">
        <f t="shared" si="12"/>
        <v/>
      </c>
      <c r="AK187" s="68" t="str">
        <f t="shared" si="12"/>
        <v/>
      </c>
      <c r="AL187" s="68" t="str">
        <f t="shared" si="12"/>
        <v/>
      </c>
      <c r="AM187" s="68" t="str">
        <f t="shared" si="12"/>
        <v/>
      </c>
      <c r="AN187" s="68" t="str">
        <f t="shared" si="12"/>
        <v/>
      </c>
      <c r="AO187" s="68" t="str">
        <f t="shared" si="12"/>
        <v/>
      </c>
      <c r="AP187" s="68" t="str">
        <f t="shared" si="12"/>
        <v/>
      </c>
      <c r="AQ187" s="68" t="str">
        <f t="shared" si="12"/>
        <v/>
      </c>
      <c r="AR187" s="68" t="str">
        <f t="shared" si="12"/>
        <v/>
      </c>
      <c r="AS187" s="68" t="str">
        <f t="shared" si="12"/>
        <v/>
      </c>
      <c r="AT187" s="68" t="str">
        <f t="shared" si="12"/>
        <v/>
      </c>
      <c r="AU187" s="68" t="str">
        <f t="shared" si="12"/>
        <v/>
      </c>
      <c r="AV187" s="68" t="str">
        <f t="shared" si="12"/>
        <v/>
      </c>
      <c r="AW187" s="68" t="str">
        <f t="shared" si="12"/>
        <v/>
      </c>
      <c r="AX187" s="68" t="str">
        <f t="shared" si="12"/>
        <v/>
      </c>
      <c r="AY187" s="68" t="str">
        <f t="shared" si="12"/>
        <v/>
      </c>
      <c r="AZ187" s="68" t="str">
        <f t="shared" si="12"/>
        <v/>
      </c>
      <c r="BA187" s="68" t="str">
        <f t="shared" si="12"/>
        <v/>
      </c>
      <c r="BB187" s="68" t="str">
        <f t="shared" si="12"/>
        <v/>
      </c>
      <c r="BC187" s="68" t="str">
        <f t="shared" si="12"/>
        <v/>
      </c>
      <c r="BD187" s="68" t="str">
        <f t="shared" si="12"/>
        <v/>
      </c>
      <c r="BE187" s="68" t="str">
        <f t="shared" si="12"/>
        <v/>
      </c>
      <c r="BF187" s="68" t="str">
        <f t="shared" si="12"/>
        <v/>
      </c>
      <c r="BG187" s="68" t="str">
        <f t="shared" si="12"/>
        <v/>
      </c>
      <c r="BH187" s="68" t="str">
        <f t="shared" si="12"/>
        <v/>
      </c>
      <c r="BI187" s="68" t="str">
        <f t="shared" si="12"/>
        <v/>
      </c>
    </row>
    <row r="188" spans="1:61" ht="15.75" hidden="1" customHeight="1">
      <c r="A188" s="63" t="s">
        <v>212</v>
      </c>
      <c r="B188" s="64" t="s">
        <v>223</v>
      </c>
      <c r="C188" s="67" t="str">
        <f t="shared" si="11"/>
        <v/>
      </c>
      <c r="D188" s="67" t="str">
        <f t="shared" si="12"/>
        <v/>
      </c>
      <c r="E188" s="67" t="str">
        <f t="shared" si="12"/>
        <v/>
      </c>
      <c r="F188" s="67" t="str">
        <f t="shared" si="12"/>
        <v/>
      </c>
      <c r="G188" s="67" t="str">
        <f t="shared" si="12"/>
        <v/>
      </c>
      <c r="H188" s="67" t="str">
        <f t="shared" si="12"/>
        <v/>
      </c>
      <c r="I188" s="67" t="str">
        <f t="shared" si="12"/>
        <v/>
      </c>
      <c r="J188" s="67" t="str">
        <f t="shared" si="12"/>
        <v/>
      </c>
      <c r="K188" s="67" t="str">
        <f t="shared" si="12"/>
        <v/>
      </c>
      <c r="L188" s="67" t="str">
        <f t="shared" si="12"/>
        <v/>
      </c>
      <c r="M188" s="67" t="str">
        <f t="shared" si="12"/>
        <v/>
      </c>
      <c r="N188" s="67" t="str">
        <f t="shared" si="12"/>
        <v/>
      </c>
      <c r="O188" s="67" t="str">
        <f t="shared" si="12"/>
        <v/>
      </c>
      <c r="P188" s="67" t="str">
        <f t="shared" si="12"/>
        <v/>
      </c>
      <c r="Q188" s="67" t="str">
        <f t="shared" si="12"/>
        <v/>
      </c>
      <c r="R188" s="67" t="str">
        <f t="shared" si="12"/>
        <v/>
      </c>
      <c r="S188" s="67" t="str">
        <f t="shared" si="12"/>
        <v/>
      </c>
      <c r="T188" s="67" t="str">
        <f t="shared" si="12"/>
        <v/>
      </c>
      <c r="U188" s="67" t="str">
        <f t="shared" si="12"/>
        <v/>
      </c>
      <c r="V188" s="67" t="str">
        <f t="shared" si="12"/>
        <v/>
      </c>
      <c r="W188" s="67" t="str">
        <f t="shared" si="12"/>
        <v/>
      </c>
      <c r="X188" s="67" t="str">
        <f t="shared" si="12"/>
        <v/>
      </c>
      <c r="Y188" s="67" t="str">
        <f t="shared" si="12"/>
        <v/>
      </c>
      <c r="Z188" s="67" t="str">
        <f t="shared" si="12"/>
        <v/>
      </c>
      <c r="AA188" s="67" t="str">
        <f t="shared" si="12"/>
        <v/>
      </c>
      <c r="AB188" s="67" t="str">
        <f t="shared" si="12"/>
        <v/>
      </c>
      <c r="AC188" s="67" t="str">
        <f t="shared" si="12"/>
        <v/>
      </c>
      <c r="AD188" s="67" t="str">
        <f t="shared" si="12"/>
        <v/>
      </c>
      <c r="AE188" s="67" t="str">
        <f t="shared" si="12"/>
        <v/>
      </c>
      <c r="AF188" s="67" t="str">
        <f t="shared" si="12"/>
        <v/>
      </c>
      <c r="AG188" s="67" t="str">
        <f t="shared" si="12"/>
        <v/>
      </c>
      <c r="AH188" s="67" t="str">
        <f t="shared" si="12"/>
        <v/>
      </c>
      <c r="AI188" s="67" t="str">
        <f t="shared" si="12"/>
        <v/>
      </c>
      <c r="AJ188" s="67" t="str">
        <f t="shared" si="12"/>
        <v/>
      </c>
      <c r="AK188" s="67" t="str">
        <f t="shared" si="12"/>
        <v/>
      </c>
      <c r="AL188" s="67" t="str">
        <f t="shared" si="12"/>
        <v/>
      </c>
      <c r="AM188" s="67" t="str">
        <f t="shared" si="12"/>
        <v/>
      </c>
      <c r="AN188" s="67" t="str">
        <f t="shared" si="12"/>
        <v/>
      </c>
      <c r="AO188" s="67" t="str">
        <f t="shared" si="12"/>
        <v/>
      </c>
      <c r="AP188" s="67" t="str">
        <f t="shared" si="12"/>
        <v/>
      </c>
      <c r="AQ188" s="67" t="str">
        <f t="shared" si="12"/>
        <v/>
      </c>
      <c r="AR188" s="67" t="str">
        <f t="shared" si="12"/>
        <v/>
      </c>
      <c r="AS188" s="67" t="str">
        <f t="shared" si="12"/>
        <v/>
      </c>
      <c r="AT188" s="67" t="str">
        <f t="shared" si="12"/>
        <v/>
      </c>
      <c r="AU188" s="67" t="str">
        <f t="shared" si="12"/>
        <v/>
      </c>
      <c r="AV188" s="67" t="str">
        <f t="shared" si="12"/>
        <v/>
      </c>
      <c r="AW188" s="67" t="str">
        <f t="shared" si="12"/>
        <v/>
      </c>
      <c r="AX188" s="67" t="str">
        <f t="shared" si="12"/>
        <v/>
      </c>
      <c r="AY188" s="67" t="str">
        <f t="shared" si="12"/>
        <v/>
      </c>
      <c r="AZ188" s="67" t="str">
        <f t="shared" si="12"/>
        <v/>
      </c>
      <c r="BA188" s="67" t="str">
        <f t="shared" si="12"/>
        <v/>
      </c>
      <c r="BB188" s="67" t="str">
        <f t="shared" si="12"/>
        <v/>
      </c>
      <c r="BC188" s="67" t="str">
        <f t="shared" si="12"/>
        <v/>
      </c>
      <c r="BD188" s="67" t="str">
        <f t="shared" si="12"/>
        <v/>
      </c>
      <c r="BE188" s="67" t="str">
        <f t="shared" si="12"/>
        <v/>
      </c>
      <c r="BF188" s="67" t="str">
        <f t="shared" si="12"/>
        <v/>
      </c>
      <c r="BG188" s="67" t="str">
        <f t="shared" si="12"/>
        <v/>
      </c>
      <c r="BH188" s="67" t="str">
        <f t="shared" si="12"/>
        <v/>
      </c>
      <c r="BI188" s="67" t="str">
        <f t="shared" si="12"/>
        <v/>
      </c>
    </row>
    <row r="189" spans="1:61" ht="15.75" hidden="1" customHeight="1">
      <c r="A189" s="345" t="s">
        <v>13</v>
      </c>
      <c r="B189" s="65" t="s">
        <v>224</v>
      </c>
      <c r="C189" s="68" t="str">
        <f t="shared" si="11"/>
        <v/>
      </c>
      <c r="D189" s="68" t="str">
        <f t="shared" si="12"/>
        <v/>
      </c>
      <c r="E189" s="68" t="str">
        <f t="shared" si="12"/>
        <v/>
      </c>
      <c r="F189" s="68" t="str">
        <f t="shared" si="12"/>
        <v/>
      </c>
      <c r="G189" s="68" t="str">
        <f t="shared" si="12"/>
        <v/>
      </c>
      <c r="H189" s="68" t="str">
        <f t="shared" si="12"/>
        <v/>
      </c>
      <c r="I189" s="68" t="str">
        <f t="shared" si="12"/>
        <v/>
      </c>
      <c r="J189" s="68" t="str">
        <f t="shared" si="12"/>
        <v/>
      </c>
      <c r="K189" s="68" t="str">
        <f t="shared" si="12"/>
        <v/>
      </c>
      <c r="L189" s="68" t="str">
        <f t="shared" si="12"/>
        <v/>
      </c>
      <c r="M189" s="68" t="str">
        <f t="shared" si="12"/>
        <v/>
      </c>
      <c r="N189" s="68" t="str">
        <f t="shared" si="12"/>
        <v/>
      </c>
      <c r="O189" s="68" t="str">
        <f t="shared" si="12"/>
        <v/>
      </c>
      <c r="P189" s="68" t="str">
        <f t="shared" si="12"/>
        <v/>
      </c>
      <c r="Q189" s="68" t="str">
        <f t="shared" si="12"/>
        <v/>
      </c>
      <c r="R189" s="68" t="str">
        <f t="shared" si="12"/>
        <v/>
      </c>
      <c r="S189" s="68" t="str">
        <f t="shared" si="12"/>
        <v/>
      </c>
      <c r="T189" s="68" t="str">
        <f t="shared" si="12"/>
        <v/>
      </c>
      <c r="U189" s="68" t="str">
        <f t="shared" si="12"/>
        <v/>
      </c>
      <c r="V189" s="68" t="str">
        <f t="shared" si="12"/>
        <v/>
      </c>
      <c r="W189" s="68" t="str">
        <f t="shared" si="12"/>
        <v/>
      </c>
      <c r="X189" s="68" t="str">
        <f t="shared" si="12"/>
        <v/>
      </c>
      <c r="Y189" s="68" t="str">
        <f t="shared" si="12"/>
        <v/>
      </c>
      <c r="Z189" s="68" t="str">
        <f t="shared" si="12"/>
        <v/>
      </c>
      <c r="AA189" s="68" t="str">
        <f t="shared" si="12"/>
        <v/>
      </c>
      <c r="AB189" s="68" t="str">
        <f t="shared" si="12"/>
        <v/>
      </c>
      <c r="AC189" s="68" t="str">
        <f t="shared" si="12"/>
        <v/>
      </c>
      <c r="AD189" s="68" t="str">
        <f t="shared" si="12"/>
        <v/>
      </c>
      <c r="AE189" s="68" t="str">
        <f t="shared" si="12"/>
        <v/>
      </c>
      <c r="AF189" s="68" t="str">
        <f t="shared" si="12"/>
        <v/>
      </c>
      <c r="AG189" s="68" t="str">
        <f t="shared" si="12"/>
        <v/>
      </c>
      <c r="AH189" s="68" t="str">
        <f t="shared" si="12"/>
        <v/>
      </c>
      <c r="AI189" s="68" t="str">
        <f t="shared" si="12"/>
        <v/>
      </c>
      <c r="AJ189" s="68" t="str">
        <f t="shared" si="12"/>
        <v/>
      </c>
      <c r="AK189" s="68" t="str">
        <f t="shared" si="12"/>
        <v/>
      </c>
      <c r="AL189" s="68" t="str">
        <f t="shared" si="12"/>
        <v/>
      </c>
      <c r="AM189" s="68" t="str">
        <f t="shared" si="12"/>
        <v/>
      </c>
      <c r="AN189" s="68" t="str">
        <f t="shared" si="12"/>
        <v/>
      </c>
      <c r="AO189" s="68" t="str">
        <f t="shared" si="12"/>
        <v/>
      </c>
      <c r="AP189" s="68" t="str">
        <f t="shared" si="12"/>
        <v/>
      </c>
      <c r="AQ189" s="68" t="str">
        <f t="shared" si="12"/>
        <v/>
      </c>
      <c r="AR189" s="68" t="str">
        <f t="shared" si="12"/>
        <v/>
      </c>
      <c r="AS189" s="68" t="str">
        <f t="shared" si="12"/>
        <v/>
      </c>
      <c r="AT189" s="68" t="str">
        <f t="shared" si="12"/>
        <v/>
      </c>
      <c r="AU189" s="68" t="str">
        <f t="shared" si="12"/>
        <v/>
      </c>
      <c r="AV189" s="68" t="str">
        <f t="shared" si="12"/>
        <v/>
      </c>
      <c r="AW189" s="68" t="str">
        <f t="shared" si="12"/>
        <v/>
      </c>
      <c r="AX189" s="68" t="str">
        <f t="shared" si="12"/>
        <v/>
      </c>
      <c r="AY189" s="68" t="str">
        <f t="shared" si="12"/>
        <v/>
      </c>
      <c r="AZ189" s="68" t="str">
        <f t="shared" si="12"/>
        <v/>
      </c>
      <c r="BA189" s="68" t="str">
        <f t="shared" si="12"/>
        <v/>
      </c>
      <c r="BB189" s="68" t="str">
        <f t="shared" si="12"/>
        <v/>
      </c>
      <c r="BC189" s="68" t="str">
        <f t="shared" si="12"/>
        <v/>
      </c>
      <c r="BD189" s="68" t="str">
        <f t="shared" si="12"/>
        <v/>
      </c>
      <c r="BE189" s="68" t="str">
        <f t="shared" si="12"/>
        <v/>
      </c>
      <c r="BF189" s="68" t="str">
        <f t="shared" si="12"/>
        <v/>
      </c>
      <c r="BG189" s="68" t="str">
        <f t="shared" si="12"/>
        <v/>
      </c>
      <c r="BH189" s="68" t="str">
        <f t="shared" si="12"/>
        <v/>
      </c>
      <c r="BI189" s="68" t="str">
        <f t="shared" si="12"/>
        <v/>
      </c>
    </row>
    <row r="190" spans="1:61" ht="15.75" hidden="1" customHeight="1">
      <c r="A190" s="346"/>
      <c r="B190" s="65" t="s">
        <v>225</v>
      </c>
      <c r="C190" s="68" t="str">
        <f t="shared" si="11"/>
        <v/>
      </c>
      <c r="D190" s="68" t="str">
        <f t="shared" si="12"/>
        <v/>
      </c>
      <c r="E190" s="68" t="str">
        <f t="shared" si="12"/>
        <v/>
      </c>
      <c r="F190" s="68" t="str">
        <f t="shared" si="12"/>
        <v/>
      </c>
      <c r="G190" s="68" t="str">
        <f t="shared" si="12"/>
        <v/>
      </c>
      <c r="H190" s="68" t="str">
        <f t="shared" si="12"/>
        <v/>
      </c>
      <c r="I190" s="68" t="str">
        <f t="shared" si="12"/>
        <v/>
      </c>
      <c r="J190" s="68" t="str">
        <f t="shared" si="12"/>
        <v/>
      </c>
      <c r="K190" s="68" t="str">
        <f t="shared" si="12"/>
        <v/>
      </c>
      <c r="L190" s="68" t="str">
        <f t="shared" si="12"/>
        <v/>
      </c>
      <c r="M190" s="68" t="str">
        <f t="shared" si="12"/>
        <v/>
      </c>
      <c r="N190" s="68" t="str">
        <f t="shared" si="12"/>
        <v/>
      </c>
      <c r="O190" s="68" t="str">
        <f t="shared" si="12"/>
        <v/>
      </c>
      <c r="P190" s="68" t="str">
        <f t="shared" si="12"/>
        <v/>
      </c>
      <c r="Q190" s="68" t="str">
        <f t="shared" si="12"/>
        <v/>
      </c>
      <c r="R190" s="68" t="str">
        <f t="shared" si="12"/>
        <v/>
      </c>
      <c r="S190" s="68" t="str">
        <f t="shared" si="12"/>
        <v/>
      </c>
      <c r="T190" s="68" t="str">
        <f t="shared" si="12"/>
        <v/>
      </c>
      <c r="U190" s="68" t="str">
        <f t="shared" si="12"/>
        <v/>
      </c>
      <c r="V190" s="68" t="str">
        <f t="shared" si="12"/>
        <v/>
      </c>
      <c r="W190" s="68" t="str">
        <f t="shared" si="12"/>
        <v/>
      </c>
      <c r="X190" s="68" t="str">
        <f t="shared" si="12"/>
        <v/>
      </c>
      <c r="Y190" s="68" t="str">
        <f t="shared" si="12"/>
        <v/>
      </c>
      <c r="Z190" s="68" t="str">
        <f t="shared" si="12"/>
        <v/>
      </c>
      <c r="AA190" s="68" t="str">
        <f t="shared" si="12"/>
        <v/>
      </c>
      <c r="AB190" s="68" t="str">
        <f t="shared" si="12"/>
        <v/>
      </c>
      <c r="AC190" s="68" t="str">
        <f t="shared" si="12"/>
        <v/>
      </c>
      <c r="AD190" s="68" t="str">
        <f t="shared" si="12"/>
        <v/>
      </c>
      <c r="AE190" s="68" t="str">
        <f t="shared" si="12"/>
        <v/>
      </c>
      <c r="AF190" s="68" t="str">
        <f t="shared" si="12"/>
        <v/>
      </c>
      <c r="AG190" s="68" t="str">
        <f t="shared" si="12"/>
        <v/>
      </c>
      <c r="AH190" s="68" t="str">
        <f t="shared" si="12"/>
        <v/>
      </c>
      <c r="AI190" s="68" t="str">
        <f t="shared" si="12"/>
        <v/>
      </c>
      <c r="AJ190" s="68" t="str">
        <f t="shared" si="12"/>
        <v/>
      </c>
      <c r="AK190" s="68" t="str">
        <f t="shared" si="12"/>
        <v/>
      </c>
      <c r="AL190" s="68" t="str">
        <f t="shared" si="12"/>
        <v/>
      </c>
      <c r="AM190" s="68" t="str">
        <f t="shared" si="12"/>
        <v/>
      </c>
      <c r="AN190" s="68" t="str">
        <f t="shared" si="12"/>
        <v/>
      </c>
      <c r="AO190" s="68" t="str">
        <f t="shared" si="12"/>
        <v/>
      </c>
      <c r="AP190" s="68" t="str">
        <f t="shared" si="12"/>
        <v/>
      </c>
      <c r="AQ190" s="68" t="str">
        <f t="shared" si="12"/>
        <v/>
      </c>
      <c r="AR190" s="68" t="str">
        <f t="shared" si="12"/>
        <v/>
      </c>
      <c r="AS190" s="68" t="str">
        <f t="shared" si="12"/>
        <v/>
      </c>
      <c r="AT190" s="68" t="str">
        <f t="shared" si="12"/>
        <v/>
      </c>
      <c r="AU190" s="68" t="str">
        <f t="shared" si="12"/>
        <v/>
      </c>
      <c r="AV190" s="68" t="str">
        <f t="shared" si="12"/>
        <v/>
      </c>
      <c r="AW190" s="68" t="str">
        <f t="shared" si="12"/>
        <v/>
      </c>
      <c r="AX190" s="68" t="str">
        <f t="shared" si="12"/>
        <v/>
      </c>
      <c r="AY190" s="68" t="str">
        <f t="shared" si="12"/>
        <v/>
      </c>
      <c r="AZ190" s="68" t="str">
        <f t="shared" si="12"/>
        <v/>
      </c>
      <c r="BA190" s="68" t="str">
        <f t="shared" si="12"/>
        <v/>
      </c>
      <c r="BB190" s="68" t="str">
        <f t="shared" si="12"/>
        <v/>
      </c>
      <c r="BC190" s="68" t="str">
        <f t="shared" si="12"/>
        <v/>
      </c>
      <c r="BD190" s="68" t="str">
        <f t="shared" si="12"/>
        <v/>
      </c>
      <c r="BE190" s="68" t="str">
        <f t="shared" si="12"/>
        <v/>
      </c>
      <c r="BF190" s="68" t="str">
        <f t="shared" si="12"/>
        <v/>
      </c>
      <c r="BG190" s="68" t="str">
        <f t="shared" si="12"/>
        <v/>
      </c>
      <c r="BH190" s="68" t="str">
        <f t="shared" si="12"/>
        <v/>
      </c>
      <c r="BI190" s="68" t="str">
        <f t="shared" si="12"/>
        <v/>
      </c>
    </row>
    <row r="191" spans="1:61" ht="15.75" hidden="1" customHeight="1">
      <c r="A191" s="63" t="s">
        <v>213</v>
      </c>
      <c r="B191" s="64" t="s">
        <v>223</v>
      </c>
      <c r="C191" s="67" t="str">
        <f t="shared" si="11"/>
        <v/>
      </c>
      <c r="D191" s="67" t="str">
        <f t="shared" si="12"/>
        <v/>
      </c>
      <c r="E191" s="67" t="str">
        <f t="shared" si="12"/>
        <v/>
      </c>
      <c r="F191" s="67" t="str">
        <f t="shared" si="12"/>
        <v/>
      </c>
      <c r="G191" s="67" t="str">
        <f t="shared" si="12"/>
        <v/>
      </c>
      <c r="H191" s="67" t="str">
        <f t="shared" si="12"/>
        <v/>
      </c>
      <c r="I191" s="67" t="str">
        <f t="shared" si="12"/>
        <v/>
      </c>
      <c r="J191" s="67" t="str">
        <f t="shared" si="12"/>
        <v/>
      </c>
      <c r="K191" s="67" t="str">
        <f t="shared" si="12"/>
        <v/>
      </c>
      <c r="L191" s="67" t="str">
        <f t="shared" si="12"/>
        <v/>
      </c>
      <c r="M191" s="67" t="str">
        <f t="shared" si="12"/>
        <v/>
      </c>
      <c r="N191" s="67" t="str">
        <f t="shared" si="12"/>
        <v/>
      </c>
      <c r="O191" s="67" t="str">
        <f t="shared" si="12"/>
        <v/>
      </c>
      <c r="P191" s="67" t="str">
        <f t="shared" si="12"/>
        <v/>
      </c>
      <c r="Q191" s="67" t="str">
        <f t="shared" si="12"/>
        <v/>
      </c>
      <c r="R191" s="67" t="str">
        <f t="shared" si="12"/>
        <v/>
      </c>
      <c r="S191" s="67" t="str">
        <f t="shared" si="12"/>
        <v/>
      </c>
      <c r="T191" s="67" t="str">
        <f t="shared" si="12"/>
        <v/>
      </c>
      <c r="U191" s="67" t="str">
        <f t="shared" si="12"/>
        <v/>
      </c>
      <c r="V191" s="67" t="str">
        <f t="shared" si="12"/>
        <v/>
      </c>
      <c r="W191" s="67" t="str">
        <f t="shared" si="12"/>
        <v/>
      </c>
      <c r="X191" s="67" t="str">
        <f t="shared" si="12"/>
        <v/>
      </c>
      <c r="Y191" s="67" t="str">
        <f t="shared" si="12"/>
        <v/>
      </c>
      <c r="Z191" s="67" t="str">
        <f t="shared" si="12"/>
        <v/>
      </c>
      <c r="AA191" s="67" t="str">
        <f t="shared" si="12"/>
        <v/>
      </c>
      <c r="AB191" s="67" t="str">
        <f t="shared" si="12"/>
        <v/>
      </c>
      <c r="AC191" s="67" t="str">
        <f t="shared" si="12"/>
        <v/>
      </c>
      <c r="AD191" s="67" t="str">
        <f t="shared" si="12"/>
        <v/>
      </c>
      <c r="AE191" s="67" t="str">
        <f t="shared" si="12"/>
        <v/>
      </c>
      <c r="AF191" s="67" t="str">
        <f t="shared" si="12"/>
        <v/>
      </c>
      <c r="AG191" s="67" t="str">
        <f t="shared" si="12"/>
        <v/>
      </c>
      <c r="AH191" s="67" t="str">
        <f t="shared" si="12"/>
        <v/>
      </c>
      <c r="AI191" s="67" t="str">
        <f t="shared" si="12"/>
        <v/>
      </c>
      <c r="AJ191" s="67" t="str">
        <f t="shared" si="12"/>
        <v/>
      </c>
      <c r="AK191" s="67" t="str">
        <f t="shared" si="12"/>
        <v/>
      </c>
      <c r="AL191" s="67" t="str">
        <f t="shared" si="12"/>
        <v/>
      </c>
      <c r="AM191" s="67" t="str">
        <f t="shared" si="12"/>
        <v/>
      </c>
      <c r="AN191" s="67" t="str">
        <f t="shared" si="12"/>
        <v/>
      </c>
      <c r="AO191" s="67" t="str">
        <f t="shared" si="12"/>
        <v/>
      </c>
      <c r="AP191" s="67" t="str">
        <f t="shared" si="12"/>
        <v/>
      </c>
      <c r="AQ191" s="67" t="str">
        <f t="shared" si="12"/>
        <v/>
      </c>
      <c r="AR191" s="67" t="str">
        <f t="shared" si="12"/>
        <v/>
      </c>
      <c r="AS191" s="67" t="str">
        <f t="shared" si="12"/>
        <v/>
      </c>
      <c r="AT191" s="67" t="str">
        <f t="shared" si="12"/>
        <v/>
      </c>
      <c r="AU191" s="67" t="str">
        <f t="shared" si="12"/>
        <v/>
      </c>
      <c r="AV191" s="67" t="str">
        <f t="shared" si="12"/>
        <v/>
      </c>
      <c r="AW191" s="67" t="str">
        <f t="shared" si="12"/>
        <v/>
      </c>
      <c r="AX191" s="67" t="str">
        <f t="shared" si="12"/>
        <v/>
      </c>
      <c r="AY191" s="67" t="str">
        <f t="shared" si="12"/>
        <v/>
      </c>
      <c r="AZ191" s="67" t="str">
        <f t="shared" ref="D191:BI196" si="13">IF(AZ121=AZ46,"","*")</f>
        <v/>
      </c>
      <c r="BA191" s="67" t="str">
        <f t="shared" si="13"/>
        <v/>
      </c>
      <c r="BB191" s="67" t="str">
        <f t="shared" si="13"/>
        <v/>
      </c>
      <c r="BC191" s="67" t="str">
        <f t="shared" si="13"/>
        <v/>
      </c>
      <c r="BD191" s="67" t="str">
        <f t="shared" si="13"/>
        <v/>
      </c>
      <c r="BE191" s="67" t="str">
        <f t="shared" si="13"/>
        <v/>
      </c>
      <c r="BF191" s="67" t="str">
        <f t="shared" si="13"/>
        <v/>
      </c>
      <c r="BG191" s="67" t="str">
        <f t="shared" si="13"/>
        <v/>
      </c>
      <c r="BH191" s="67" t="str">
        <f t="shared" si="13"/>
        <v/>
      </c>
      <c r="BI191" s="67" t="str">
        <f t="shared" si="13"/>
        <v/>
      </c>
    </row>
    <row r="192" spans="1:61" ht="15.75" hidden="1" customHeight="1">
      <c r="A192" s="345" t="s">
        <v>14</v>
      </c>
      <c r="B192" s="65" t="s">
        <v>224</v>
      </c>
      <c r="C192" s="68" t="str">
        <f t="shared" si="11"/>
        <v/>
      </c>
      <c r="D192" s="68" t="str">
        <f t="shared" si="13"/>
        <v/>
      </c>
      <c r="E192" s="68" t="str">
        <f t="shared" si="13"/>
        <v/>
      </c>
      <c r="F192" s="68" t="str">
        <f t="shared" si="13"/>
        <v/>
      </c>
      <c r="G192" s="68" t="str">
        <f t="shared" si="13"/>
        <v/>
      </c>
      <c r="H192" s="68" t="str">
        <f t="shared" si="13"/>
        <v/>
      </c>
      <c r="I192" s="68" t="str">
        <f t="shared" si="13"/>
        <v/>
      </c>
      <c r="J192" s="68" t="str">
        <f t="shared" si="13"/>
        <v/>
      </c>
      <c r="K192" s="68" t="str">
        <f t="shared" si="13"/>
        <v/>
      </c>
      <c r="L192" s="68" t="str">
        <f t="shared" si="13"/>
        <v/>
      </c>
      <c r="M192" s="68" t="str">
        <f t="shared" si="13"/>
        <v/>
      </c>
      <c r="N192" s="68" t="str">
        <f t="shared" si="13"/>
        <v/>
      </c>
      <c r="O192" s="68" t="str">
        <f t="shared" si="13"/>
        <v/>
      </c>
      <c r="P192" s="68" t="str">
        <f t="shared" si="13"/>
        <v/>
      </c>
      <c r="Q192" s="68" t="str">
        <f t="shared" si="13"/>
        <v/>
      </c>
      <c r="R192" s="68" t="str">
        <f t="shared" si="13"/>
        <v/>
      </c>
      <c r="S192" s="68" t="str">
        <f t="shared" si="13"/>
        <v/>
      </c>
      <c r="T192" s="68" t="str">
        <f t="shared" si="13"/>
        <v/>
      </c>
      <c r="U192" s="68" t="str">
        <f t="shared" si="13"/>
        <v/>
      </c>
      <c r="V192" s="68" t="str">
        <f t="shared" si="13"/>
        <v/>
      </c>
      <c r="W192" s="68" t="str">
        <f t="shared" si="13"/>
        <v/>
      </c>
      <c r="X192" s="68" t="str">
        <f t="shared" si="13"/>
        <v/>
      </c>
      <c r="Y192" s="68" t="str">
        <f t="shared" si="13"/>
        <v/>
      </c>
      <c r="Z192" s="68" t="str">
        <f t="shared" si="13"/>
        <v/>
      </c>
      <c r="AA192" s="68" t="str">
        <f t="shared" si="13"/>
        <v/>
      </c>
      <c r="AB192" s="68" t="str">
        <f t="shared" si="13"/>
        <v/>
      </c>
      <c r="AC192" s="68" t="str">
        <f t="shared" si="13"/>
        <v/>
      </c>
      <c r="AD192" s="68" t="str">
        <f t="shared" si="13"/>
        <v/>
      </c>
      <c r="AE192" s="68" t="str">
        <f t="shared" si="13"/>
        <v/>
      </c>
      <c r="AF192" s="68" t="str">
        <f t="shared" si="13"/>
        <v/>
      </c>
      <c r="AG192" s="68" t="str">
        <f t="shared" si="13"/>
        <v/>
      </c>
      <c r="AH192" s="68" t="str">
        <f t="shared" si="13"/>
        <v/>
      </c>
      <c r="AI192" s="68" t="str">
        <f t="shared" si="13"/>
        <v/>
      </c>
      <c r="AJ192" s="68" t="str">
        <f t="shared" si="13"/>
        <v/>
      </c>
      <c r="AK192" s="68" t="str">
        <f t="shared" si="13"/>
        <v/>
      </c>
      <c r="AL192" s="68" t="str">
        <f t="shared" si="13"/>
        <v/>
      </c>
      <c r="AM192" s="68" t="str">
        <f t="shared" si="13"/>
        <v/>
      </c>
      <c r="AN192" s="68" t="str">
        <f t="shared" si="13"/>
        <v/>
      </c>
      <c r="AO192" s="68" t="str">
        <f t="shared" si="13"/>
        <v/>
      </c>
      <c r="AP192" s="68" t="str">
        <f t="shared" si="13"/>
        <v/>
      </c>
      <c r="AQ192" s="68" t="str">
        <f t="shared" si="13"/>
        <v/>
      </c>
      <c r="AR192" s="68" t="str">
        <f t="shared" si="13"/>
        <v/>
      </c>
      <c r="AS192" s="68" t="str">
        <f t="shared" si="13"/>
        <v/>
      </c>
      <c r="AT192" s="68" t="str">
        <f t="shared" si="13"/>
        <v/>
      </c>
      <c r="AU192" s="68" t="str">
        <f t="shared" si="13"/>
        <v/>
      </c>
      <c r="AV192" s="68" t="str">
        <f t="shared" si="13"/>
        <v/>
      </c>
      <c r="AW192" s="68" t="str">
        <f t="shared" si="13"/>
        <v/>
      </c>
      <c r="AX192" s="68" t="str">
        <f t="shared" si="13"/>
        <v/>
      </c>
      <c r="AY192" s="68" t="str">
        <f t="shared" si="13"/>
        <v/>
      </c>
      <c r="AZ192" s="68" t="str">
        <f t="shared" si="13"/>
        <v/>
      </c>
      <c r="BA192" s="68" t="str">
        <f t="shared" si="13"/>
        <v/>
      </c>
      <c r="BB192" s="68" t="str">
        <f t="shared" si="13"/>
        <v/>
      </c>
      <c r="BC192" s="68" t="str">
        <f t="shared" si="13"/>
        <v/>
      </c>
      <c r="BD192" s="68" t="str">
        <f t="shared" si="13"/>
        <v/>
      </c>
      <c r="BE192" s="68" t="str">
        <f t="shared" si="13"/>
        <v/>
      </c>
      <c r="BF192" s="68" t="str">
        <f t="shared" si="13"/>
        <v/>
      </c>
      <c r="BG192" s="68" t="str">
        <f t="shared" si="13"/>
        <v/>
      </c>
      <c r="BH192" s="68" t="str">
        <f t="shared" si="13"/>
        <v/>
      </c>
      <c r="BI192" s="68" t="str">
        <f t="shared" si="13"/>
        <v/>
      </c>
    </row>
    <row r="193" spans="1:61" ht="15.75" hidden="1" customHeight="1">
      <c r="A193" s="346"/>
      <c r="B193" s="65" t="s">
        <v>225</v>
      </c>
      <c r="C193" s="68" t="str">
        <f t="shared" si="11"/>
        <v/>
      </c>
      <c r="D193" s="68" t="str">
        <f t="shared" si="13"/>
        <v/>
      </c>
      <c r="E193" s="68" t="str">
        <f t="shared" si="13"/>
        <v/>
      </c>
      <c r="F193" s="68" t="str">
        <f t="shared" si="13"/>
        <v/>
      </c>
      <c r="G193" s="68" t="str">
        <f t="shared" si="13"/>
        <v/>
      </c>
      <c r="H193" s="68" t="str">
        <f t="shared" si="13"/>
        <v/>
      </c>
      <c r="I193" s="68" t="str">
        <f t="shared" si="13"/>
        <v/>
      </c>
      <c r="J193" s="68" t="str">
        <f t="shared" si="13"/>
        <v/>
      </c>
      <c r="K193" s="68" t="str">
        <f t="shared" si="13"/>
        <v/>
      </c>
      <c r="L193" s="68" t="str">
        <f t="shared" si="13"/>
        <v/>
      </c>
      <c r="M193" s="68" t="str">
        <f t="shared" si="13"/>
        <v/>
      </c>
      <c r="N193" s="68" t="str">
        <f t="shared" si="13"/>
        <v/>
      </c>
      <c r="O193" s="68" t="str">
        <f t="shared" si="13"/>
        <v/>
      </c>
      <c r="P193" s="68" t="str">
        <f t="shared" si="13"/>
        <v/>
      </c>
      <c r="Q193" s="68" t="str">
        <f t="shared" si="13"/>
        <v/>
      </c>
      <c r="R193" s="68" t="str">
        <f t="shared" si="13"/>
        <v/>
      </c>
      <c r="S193" s="68" t="str">
        <f t="shared" si="13"/>
        <v/>
      </c>
      <c r="T193" s="68" t="str">
        <f t="shared" si="13"/>
        <v/>
      </c>
      <c r="U193" s="68" t="str">
        <f t="shared" si="13"/>
        <v/>
      </c>
      <c r="V193" s="68" t="str">
        <f t="shared" si="13"/>
        <v/>
      </c>
      <c r="W193" s="68" t="str">
        <f t="shared" si="13"/>
        <v/>
      </c>
      <c r="X193" s="68" t="str">
        <f t="shared" si="13"/>
        <v/>
      </c>
      <c r="Y193" s="68" t="str">
        <f t="shared" si="13"/>
        <v/>
      </c>
      <c r="Z193" s="68" t="str">
        <f t="shared" si="13"/>
        <v/>
      </c>
      <c r="AA193" s="68" t="str">
        <f t="shared" si="13"/>
        <v/>
      </c>
      <c r="AB193" s="68" t="str">
        <f t="shared" si="13"/>
        <v/>
      </c>
      <c r="AC193" s="68" t="str">
        <f t="shared" si="13"/>
        <v/>
      </c>
      <c r="AD193" s="68" t="str">
        <f t="shared" si="13"/>
        <v/>
      </c>
      <c r="AE193" s="68" t="str">
        <f t="shared" si="13"/>
        <v/>
      </c>
      <c r="AF193" s="68" t="str">
        <f t="shared" si="13"/>
        <v/>
      </c>
      <c r="AG193" s="68" t="str">
        <f t="shared" si="13"/>
        <v/>
      </c>
      <c r="AH193" s="68" t="str">
        <f t="shared" si="13"/>
        <v/>
      </c>
      <c r="AI193" s="68" t="str">
        <f t="shared" si="13"/>
        <v/>
      </c>
      <c r="AJ193" s="68" t="str">
        <f t="shared" si="13"/>
        <v/>
      </c>
      <c r="AK193" s="68" t="str">
        <f t="shared" si="13"/>
        <v/>
      </c>
      <c r="AL193" s="68" t="str">
        <f t="shared" si="13"/>
        <v/>
      </c>
      <c r="AM193" s="68" t="str">
        <f t="shared" si="13"/>
        <v/>
      </c>
      <c r="AN193" s="68" t="str">
        <f t="shared" si="13"/>
        <v/>
      </c>
      <c r="AO193" s="68" t="str">
        <f t="shared" si="13"/>
        <v/>
      </c>
      <c r="AP193" s="68" t="str">
        <f t="shared" si="13"/>
        <v/>
      </c>
      <c r="AQ193" s="68" t="str">
        <f t="shared" si="13"/>
        <v/>
      </c>
      <c r="AR193" s="68" t="str">
        <f t="shared" si="13"/>
        <v/>
      </c>
      <c r="AS193" s="68" t="str">
        <f t="shared" si="13"/>
        <v/>
      </c>
      <c r="AT193" s="68" t="str">
        <f t="shared" si="13"/>
        <v/>
      </c>
      <c r="AU193" s="68" t="str">
        <f t="shared" si="13"/>
        <v/>
      </c>
      <c r="AV193" s="68" t="str">
        <f t="shared" si="13"/>
        <v/>
      </c>
      <c r="AW193" s="68" t="str">
        <f t="shared" si="13"/>
        <v/>
      </c>
      <c r="AX193" s="68" t="str">
        <f t="shared" si="13"/>
        <v/>
      </c>
      <c r="AY193" s="68" t="str">
        <f t="shared" si="13"/>
        <v/>
      </c>
      <c r="AZ193" s="68" t="str">
        <f t="shared" si="13"/>
        <v/>
      </c>
      <c r="BA193" s="68" t="str">
        <f t="shared" si="13"/>
        <v/>
      </c>
      <c r="BB193" s="68" t="str">
        <f t="shared" si="13"/>
        <v/>
      </c>
      <c r="BC193" s="68" t="str">
        <f t="shared" si="13"/>
        <v/>
      </c>
      <c r="BD193" s="68" t="str">
        <f t="shared" si="13"/>
        <v/>
      </c>
      <c r="BE193" s="68" t="str">
        <f t="shared" si="13"/>
        <v/>
      </c>
      <c r="BF193" s="68" t="str">
        <f t="shared" si="13"/>
        <v/>
      </c>
      <c r="BG193" s="68" t="str">
        <f t="shared" si="13"/>
        <v/>
      </c>
      <c r="BH193" s="68" t="str">
        <f t="shared" si="13"/>
        <v/>
      </c>
      <c r="BI193" s="68" t="str">
        <f t="shared" si="13"/>
        <v/>
      </c>
    </row>
    <row r="194" spans="1:61" ht="15.75" hidden="1" customHeight="1">
      <c r="A194" s="63" t="s">
        <v>214</v>
      </c>
      <c r="B194" s="64" t="s">
        <v>223</v>
      </c>
      <c r="C194" s="67" t="str">
        <f t="shared" si="11"/>
        <v/>
      </c>
      <c r="D194" s="67" t="str">
        <f t="shared" si="13"/>
        <v/>
      </c>
      <c r="E194" s="67" t="str">
        <f t="shared" si="13"/>
        <v/>
      </c>
      <c r="F194" s="67" t="str">
        <f t="shared" si="13"/>
        <v/>
      </c>
      <c r="G194" s="67" t="str">
        <f t="shared" si="13"/>
        <v/>
      </c>
      <c r="H194" s="67" t="str">
        <f t="shared" si="13"/>
        <v/>
      </c>
      <c r="I194" s="67" t="str">
        <f t="shared" si="13"/>
        <v/>
      </c>
      <c r="J194" s="67" t="str">
        <f t="shared" si="13"/>
        <v/>
      </c>
      <c r="K194" s="67" t="str">
        <f t="shared" si="13"/>
        <v/>
      </c>
      <c r="L194" s="67" t="str">
        <f t="shared" si="13"/>
        <v/>
      </c>
      <c r="M194" s="67" t="str">
        <f t="shared" si="13"/>
        <v/>
      </c>
      <c r="N194" s="67" t="str">
        <f t="shared" si="13"/>
        <v/>
      </c>
      <c r="O194" s="67" t="str">
        <f t="shared" si="13"/>
        <v/>
      </c>
      <c r="P194" s="67" t="str">
        <f t="shared" si="13"/>
        <v/>
      </c>
      <c r="Q194" s="67" t="str">
        <f t="shared" si="13"/>
        <v/>
      </c>
      <c r="R194" s="67" t="str">
        <f t="shared" si="13"/>
        <v/>
      </c>
      <c r="S194" s="67" t="str">
        <f t="shared" si="13"/>
        <v/>
      </c>
      <c r="T194" s="67" t="str">
        <f t="shared" si="13"/>
        <v/>
      </c>
      <c r="U194" s="67" t="str">
        <f t="shared" si="13"/>
        <v/>
      </c>
      <c r="V194" s="67" t="str">
        <f t="shared" si="13"/>
        <v/>
      </c>
      <c r="W194" s="67" t="str">
        <f t="shared" si="13"/>
        <v/>
      </c>
      <c r="X194" s="67" t="str">
        <f t="shared" si="13"/>
        <v/>
      </c>
      <c r="Y194" s="67" t="str">
        <f t="shared" si="13"/>
        <v/>
      </c>
      <c r="Z194" s="67" t="str">
        <f t="shared" si="13"/>
        <v/>
      </c>
      <c r="AA194" s="67" t="str">
        <f t="shared" si="13"/>
        <v/>
      </c>
      <c r="AB194" s="67" t="str">
        <f t="shared" si="13"/>
        <v/>
      </c>
      <c r="AC194" s="67" t="str">
        <f t="shared" si="13"/>
        <v/>
      </c>
      <c r="AD194" s="67" t="str">
        <f t="shared" si="13"/>
        <v/>
      </c>
      <c r="AE194" s="67" t="str">
        <f t="shared" si="13"/>
        <v/>
      </c>
      <c r="AF194" s="67" t="str">
        <f t="shared" si="13"/>
        <v/>
      </c>
      <c r="AG194" s="67" t="str">
        <f t="shared" si="13"/>
        <v/>
      </c>
      <c r="AH194" s="67" t="str">
        <f t="shared" si="13"/>
        <v/>
      </c>
      <c r="AI194" s="67" t="str">
        <f t="shared" si="13"/>
        <v/>
      </c>
      <c r="AJ194" s="67" t="str">
        <f t="shared" si="13"/>
        <v/>
      </c>
      <c r="AK194" s="67" t="str">
        <f t="shared" si="13"/>
        <v/>
      </c>
      <c r="AL194" s="67" t="str">
        <f t="shared" si="13"/>
        <v/>
      </c>
      <c r="AM194" s="67" t="str">
        <f t="shared" si="13"/>
        <v/>
      </c>
      <c r="AN194" s="67" t="str">
        <f t="shared" si="13"/>
        <v/>
      </c>
      <c r="AO194" s="67" t="str">
        <f t="shared" si="13"/>
        <v/>
      </c>
      <c r="AP194" s="67" t="str">
        <f t="shared" si="13"/>
        <v/>
      </c>
      <c r="AQ194" s="67" t="str">
        <f t="shared" si="13"/>
        <v/>
      </c>
      <c r="AR194" s="67" t="str">
        <f t="shared" si="13"/>
        <v/>
      </c>
      <c r="AS194" s="67" t="str">
        <f t="shared" si="13"/>
        <v/>
      </c>
      <c r="AT194" s="67" t="str">
        <f t="shared" si="13"/>
        <v/>
      </c>
      <c r="AU194" s="67" t="str">
        <f t="shared" si="13"/>
        <v/>
      </c>
      <c r="AV194" s="67" t="str">
        <f t="shared" si="13"/>
        <v/>
      </c>
      <c r="AW194" s="67" t="str">
        <f t="shared" si="13"/>
        <v/>
      </c>
      <c r="AX194" s="67" t="str">
        <f t="shared" si="13"/>
        <v/>
      </c>
      <c r="AY194" s="67" t="str">
        <f t="shared" si="13"/>
        <v/>
      </c>
      <c r="AZ194" s="67" t="str">
        <f t="shared" si="13"/>
        <v/>
      </c>
      <c r="BA194" s="67" t="str">
        <f t="shared" si="13"/>
        <v/>
      </c>
      <c r="BB194" s="67" t="str">
        <f t="shared" si="13"/>
        <v/>
      </c>
      <c r="BC194" s="67" t="str">
        <f t="shared" si="13"/>
        <v/>
      </c>
      <c r="BD194" s="67" t="str">
        <f t="shared" si="13"/>
        <v/>
      </c>
      <c r="BE194" s="67" t="str">
        <f t="shared" si="13"/>
        <v/>
      </c>
      <c r="BF194" s="67" t="str">
        <f t="shared" si="13"/>
        <v/>
      </c>
      <c r="BG194" s="67" t="str">
        <f t="shared" si="13"/>
        <v/>
      </c>
      <c r="BH194" s="67" t="str">
        <f t="shared" si="13"/>
        <v/>
      </c>
      <c r="BI194" s="67" t="str">
        <f t="shared" si="13"/>
        <v/>
      </c>
    </row>
    <row r="195" spans="1:61" ht="15.75" hidden="1" customHeight="1">
      <c r="A195" s="345" t="s">
        <v>15</v>
      </c>
      <c r="B195" s="65" t="s">
        <v>224</v>
      </c>
      <c r="C195" s="68" t="str">
        <f t="shared" si="11"/>
        <v/>
      </c>
      <c r="D195" s="68" t="str">
        <f t="shared" si="13"/>
        <v/>
      </c>
      <c r="E195" s="68" t="str">
        <f t="shared" si="13"/>
        <v/>
      </c>
      <c r="F195" s="68" t="str">
        <f t="shared" si="13"/>
        <v/>
      </c>
      <c r="G195" s="68" t="str">
        <f t="shared" si="13"/>
        <v/>
      </c>
      <c r="H195" s="68" t="str">
        <f t="shared" si="13"/>
        <v/>
      </c>
      <c r="I195" s="68" t="str">
        <f t="shared" si="13"/>
        <v/>
      </c>
      <c r="J195" s="68" t="str">
        <f t="shared" si="13"/>
        <v/>
      </c>
      <c r="K195" s="68" t="str">
        <f t="shared" si="13"/>
        <v/>
      </c>
      <c r="L195" s="68" t="str">
        <f t="shared" si="13"/>
        <v/>
      </c>
      <c r="M195" s="68" t="str">
        <f t="shared" si="13"/>
        <v/>
      </c>
      <c r="N195" s="68" t="str">
        <f t="shared" si="13"/>
        <v/>
      </c>
      <c r="O195" s="68" t="str">
        <f t="shared" si="13"/>
        <v/>
      </c>
      <c r="P195" s="68" t="str">
        <f t="shared" si="13"/>
        <v/>
      </c>
      <c r="Q195" s="68" t="str">
        <f t="shared" si="13"/>
        <v/>
      </c>
      <c r="R195" s="68" t="str">
        <f t="shared" si="13"/>
        <v/>
      </c>
      <c r="S195" s="68" t="str">
        <f t="shared" si="13"/>
        <v/>
      </c>
      <c r="T195" s="68" t="str">
        <f t="shared" si="13"/>
        <v/>
      </c>
      <c r="U195" s="68" t="str">
        <f t="shared" si="13"/>
        <v/>
      </c>
      <c r="V195" s="68" t="str">
        <f t="shared" si="13"/>
        <v/>
      </c>
      <c r="W195" s="68" t="str">
        <f t="shared" si="13"/>
        <v/>
      </c>
      <c r="X195" s="68" t="str">
        <f t="shared" si="13"/>
        <v/>
      </c>
      <c r="Y195" s="68" t="str">
        <f t="shared" si="13"/>
        <v/>
      </c>
      <c r="Z195" s="68" t="str">
        <f t="shared" si="13"/>
        <v/>
      </c>
      <c r="AA195" s="68" t="str">
        <f t="shared" si="13"/>
        <v/>
      </c>
      <c r="AB195" s="68" t="str">
        <f t="shared" si="13"/>
        <v/>
      </c>
      <c r="AC195" s="68" t="str">
        <f t="shared" si="13"/>
        <v/>
      </c>
      <c r="AD195" s="68" t="str">
        <f t="shared" si="13"/>
        <v/>
      </c>
      <c r="AE195" s="68" t="str">
        <f t="shared" si="13"/>
        <v/>
      </c>
      <c r="AF195" s="68" t="str">
        <f t="shared" si="13"/>
        <v/>
      </c>
      <c r="AG195" s="68" t="str">
        <f t="shared" si="13"/>
        <v/>
      </c>
      <c r="AH195" s="68" t="str">
        <f t="shared" si="13"/>
        <v/>
      </c>
      <c r="AI195" s="68" t="str">
        <f t="shared" si="13"/>
        <v/>
      </c>
      <c r="AJ195" s="68" t="str">
        <f t="shared" si="13"/>
        <v/>
      </c>
      <c r="AK195" s="68" t="str">
        <f t="shared" si="13"/>
        <v/>
      </c>
      <c r="AL195" s="68" t="str">
        <f t="shared" si="13"/>
        <v/>
      </c>
      <c r="AM195" s="68" t="str">
        <f t="shared" si="13"/>
        <v/>
      </c>
      <c r="AN195" s="68" t="str">
        <f t="shared" si="13"/>
        <v/>
      </c>
      <c r="AO195" s="68" t="str">
        <f t="shared" si="13"/>
        <v/>
      </c>
      <c r="AP195" s="68" t="str">
        <f t="shared" si="13"/>
        <v/>
      </c>
      <c r="AQ195" s="68" t="str">
        <f t="shared" si="13"/>
        <v/>
      </c>
      <c r="AR195" s="68" t="str">
        <f t="shared" si="13"/>
        <v/>
      </c>
      <c r="AS195" s="68" t="str">
        <f t="shared" si="13"/>
        <v/>
      </c>
      <c r="AT195" s="68" t="str">
        <f t="shared" si="13"/>
        <v/>
      </c>
      <c r="AU195" s="68" t="str">
        <f t="shared" si="13"/>
        <v/>
      </c>
      <c r="AV195" s="68" t="str">
        <f t="shared" si="13"/>
        <v/>
      </c>
      <c r="AW195" s="68" t="str">
        <f t="shared" si="13"/>
        <v/>
      </c>
      <c r="AX195" s="68" t="str">
        <f t="shared" si="13"/>
        <v/>
      </c>
      <c r="AY195" s="68" t="str">
        <f t="shared" si="13"/>
        <v/>
      </c>
      <c r="AZ195" s="68" t="str">
        <f t="shared" si="13"/>
        <v/>
      </c>
      <c r="BA195" s="68" t="str">
        <f t="shared" si="13"/>
        <v/>
      </c>
      <c r="BB195" s="68" t="str">
        <f t="shared" si="13"/>
        <v/>
      </c>
      <c r="BC195" s="68" t="str">
        <f t="shared" si="13"/>
        <v/>
      </c>
      <c r="BD195" s="68" t="str">
        <f t="shared" si="13"/>
        <v/>
      </c>
      <c r="BE195" s="68" t="str">
        <f t="shared" si="13"/>
        <v/>
      </c>
      <c r="BF195" s="68" t="str">
        <f t="shared" si="13"/>
        <v/>
      </c>
      <c r="BG195" s="68" t="str">
        <f t="shared" si="13"/>
        <v/>
      </c>
      <c r="BH195" s="68" t="str">
        <f t="shared" si="13"/>
        <v/>
      </c>
      <c r="BI195" s="68" t="str">
        <f t="shared" si="13"/>
        <v/>
      </c>
    </row>
    <row r="196" spans="1:61" ht="15.75" hidden="1" customHeight="1">
      <c r="A196" s="346"/>
      <c r="B196" s="65" t="s">
        <v>225</v>
      </c>
      <c r="C196" s="68" t="str">
        <f t="shared" si="11"/>
        <v/>
      </c>
      <c r="D196" s="68" t="str">
        <f t="shared" si="13"/>
        <v/>
      </c>
      <c r="E196" s="68" t="str">
        <f t="shared" si="13"/>
        <v/>
      </c>
      <c r="F196" s="68" t="str">
        <f t="shared" si="13"/>
        <v/>
      </c>
      <c r="G196" s="68" t="str">
        <f t="shared" si="13"/>
        <v/>
      </c>
      <c r="H196" s="68" t="str">
        <f t="shared" si="13"/>
        <v/>
      </c>
      <c r="I196" s="68" t="str">
        <f t="shared" si="13"/>
        <v/>
      </c>
      <c r="J196" s="68" t="str">
        <f t="shared" si="13"/>
        <v/>
      </c>
      <c r="K196" s="68" t="str">
        <f t="shared" si="13"/>
        <v/>
      </c>
      <c r="L196" s="68" t="str">
        <f t="shared" si="13"/>
        <v/>
      </c>
      <c r="M196" s="68" t="str">
        <f t="shared" si="13"/>
        <v/>
      </c>
      <c r="N196" s="68" t="str">
        <f t="shared" si="13"/>
        <v/>
      </c>
      <c r="O196" s="68" t="str">
        <f t="shared" si="13"/>
        <v/>
      </c>
      <c r="P196" s="68" t="str">
        <f t="shared" si="13"/>
        <v/>
      </c>
      <c r="Q196" s="68" t="str">
        <f t="shared" ref="D196:BI200" si="14">IF(Q126=Q51,"","*")</f>
        <v/>
      </c>
      <c r="R196" s="68" t="str">
        <f t="shared" si="14"/>
        <v/>
      </c>
      <c r="S196" s="68" t="str">
        <f t="shared" si="14"/>
        <v/>
      </c>
      <c r="T196" s="68" t="str">
        <f t="shared" si="14"/>
        <v/>
      </c>
      <c r="U196" s="68" t="str">
        <f t="shared" si="14"/>
        <v/>
      </c>
      <c r="V196" s="68" t="str">
        <f t="shared" si="14"/>
        <v/>
      </c>
      <c r="W196" s="68" t="str">
        <f t="shared" si="14"/>
        <v/>
      </c>
      <c r="X196" s="68" t="str">
        <f t="shared" si="14"/>
        <v/>
      </c>
      <c r="Y196" s="68" t="str">
        <f t="shared" si="14"/>
        <v/>
      </c>
      <c r="Z196" s="68" t="str">
        <f t="shared" si="14"/>
        <v/>
      </c>
      <c r="AA196" s="68" t="str">
        <f t="shared" si="14"/>
        <v/>
      </c>
      <c r="AB196" s="68" t="str">
        <f t="shared" si="14"/>
        <v/>
      </c>
      <c r="AC196" s="68" t="str">
        <f t="shared" si="14"/>
        <v/>
      </c>
      <c r="AD196" s="68" t="str">
        <f t="shared" si="14"/>
        <v/>
      </c>
      <c r="AE196" s="68" t="str">
        <f t="shared" si="14"/>
        <v/>
      </c>
      <c r="AF196" s="68" t="str">
        <f t="shared" si="14"/>
        <v/>
      </c>
      <c r="AG196" s="68" t="str">
        <f t="shared" si="14"/>
        <v/>
      </c>
      <c r="AH196" s="68" t="str">
        <f t="shared" si="14"/>
        <v/>
      </c>
      <c r="AI196" s="68" t="str">
        <f t="shared" si="14"/>
        <v/>
      </c>
      <c r="AJ196" s="68" t="str">
        <f t="shared" si="14"/>
        <v/>
      </c>
      <c r="AK196" s="68" t="str">
        <f t="shared" si="14"/>
        <v/>
      </c>
      <c r="AL196" s="68" t="str">
        <f t="shared" si="14"/>
        <v/>
      </c>
      <c r="AM196" s="68" t="str">
        <f t="shared" si="14"/>
        <v/>
      </c>
      <c r="AN196" s="68" t="str">
        <f t="shared" si="14"/>
        <v/>
      </c>
      <c r="AO196" s="68" t="str">
        <f t="shared" si="14"/>
        <v/>
      </c>
      <c r="AP196" s="68" t="str">
        <f t="shared" si="14"/>
        <v/>
      </c>
      <c r="AQ196" s="68" t="str">
        <f t="shared" si="14"/>
        <v/>
      </c>
      <c r="AR196" s="68" t="str">
        <f t="shared" si="14"/>
        <v/>
      </c>
      <c r="AS196" s="68" t="str">
        <f t="shared" si="14"/>
        <v/>
      </c>
      <c r="AT196" s="68" t="str">
        <f t="shared" si="14"/>
        <v/>
      </c>
      <c r="AU196" s="68" t="str">
        <f t="shared" si="14"/>
        <v/>
      </c>
      <c r="AV196" s="68" t="str">
        <f t="shared" si="14"/>
        <v/>
      </c>
      <c r="AW196" s="68" t="str">
        <f t="shared" si="14"/>
        <v/>
      </c>
      <c r="AX196" s="68" t="str">
        <f t="shared" si="14"/>
        <v/>
      </c>
      <c r="AY196" s="68" t="str">
        <f t="shared" si="14"/>
        <v/>
      </c>
      <c r="AZ196" s="68" t="str">
        <f t="shared" si="14"/>
        <v/>
      </c>
      <c r="BA196" s="68" t="str">
        <f t="shared" si="14"/>
        <v/>
      </c>
      <c r="BB196" s="68" t="str">
        <f t="shared" si="14"/>
        <v/>
      </c>
      <c r="BC196" s="68" t="str">
        <f t="shared" si="14"/>
        <v/>
      </c>
      <c r="BD196" s="68" t="str">
        <f t="shared" si="14"/>
        <v/>
      </c>
      <c r="BE196" s="68" t="str">
        <f t="shared" si="14"/>
        <v/>
      </c>
      <c r="BF196" s="68" t="str">
        <f t="shared" si="14"/>
        <v/>
      </c>
      <c r="BG196" s="68" t="str">
        <f t="shared" si="14"/>
        <v/>
      </c>
      <c r="BH196" s="68" t="str">
        <f t="shared" si="14"/>
        <v/>
      </c>
      <c r="BI196" s="68" t="str">
        <f t="shared" si="14"/>
        <v/>
      </c>
    </row>
    <row r="197" spans="1:61" ht="15.75" hidden="1" customHeight="1">
      <c r="A197" s="63" t="s">
        <v>215</v>
      </c>
      <c r="B197" s="64" t="s">
        <v>223</v>
      </c>
      <c r="C197" s="67" t="str">
        <f t="shared" si="11"/>
        <v/>
      </c>
      <c r="D197" s="67" t="str">
        <f t="shared" si="14"/>
        <v/>
      </c>
      <c r="E197" s="67" t="str">
        <f t="shared" si="14"/>
        <v/>
      </c>
      <c r="F197" s="67" t="str">
        <f t="shared" si="14"/>
        <v/>
      </c>
      <c r="G197" s="67" t="str">
        <f t="shared" si="14"/>
        <v/>
      </c>
      <c r="H197" s="67" t="str">
        <f t="shared" si="14"/>
        <v/>
      </c>
      <c r="I197" s="67" t="str">
        <f t="shared" si="14"/>
        <v/>
      </c>
      <c r="J197" s="67" t="str">
        <f t="shared" si="14"/>
        <v/>
      </c>
      <c r="K197" s="67" t="str">
        <f t="shared" si="14"/>
        <v/>
      </c>
      <c r="L197" s="67" t="str">
        <f t="shared" si="14"/>
        <v/>
      </c>
      <c r="M197" s="67" t="str">
        <f t="shared" si="14"/>
        <v/>
      </c>
      <c r="N197" s="67" t="str">
        <f t="shared" si="14"/>
        <v/>
      </c>
      <c r="O197" s="67" t="str">
        <f t="shared" si="14"/>
        <v/>
      </c>
      <c r="P197" s="67" t="str">
        <f t="shared" si="14"/>
        <v/>
      </c>
      <c r="Q197" s="67" t="str">
        <f t="shared" si="14"/>
        <v/>
      </c>
      <c r="R197" s="67" t="str">
        <f t="shared" si="14"/>
        <v/>
      </c>
      <c r="S197" s="67" t="str">
        <f t="shared" si="14"/>
        <v/>
      </c>
      <c r="T197" s="67" t="str">
        <f t="shared" si="14"/>
        <v/>
      </c>
      <c r="U197" s="67" t="str">
        <f t="shared" si="14"/>
        <v/>
      </c>
      <c r="V197" s="67" t="str">
        <f t="shared" si="14"/>
        <v/>
      </c>
      <c r="W197" s="67" t="str">
        <f t="shared" si="14"/>
        <v/>
      </c>
      <c r="X197" s="67" t="str">
        <f t="shared" si="14"/>
        <v/>
      </c>
      <c r="Y197" s="67" t="str">
        <f t="shared" si="14"/>
        <v/>
      </c>
      <c r="Z197" s="67" t="str">
        <f t="shared" si="14"/>
        <v/>
      </c>
      <c r="AA197" s="67" t="str">
        <f t="shared" si="14"/>
        <v/>
      </c>
      <c r="AB197" s="67" t="str">
        <f t="shared" si="14"/>
        <v/>
      </c>
      <c r="AC197" s="67" t="str">
        <f t="shared" si="14"/>
        <v/>
      </c>
      <c r="AD197" s="67" t="str">
        <f t="shared" si="14"/>
        <v/>
      </c>
      <c r="AE197" s="67" t="str">
        <f t="shared" si="14"/>
        <v/>
      </c>
      <c r="AF197" s="67" t="str">
        <f t="shared" si="14"/>
        <v/>
      </c>
      <c r="AG197" s="67" t="str">
        <f t="shared" si="14"/>
        <v/>
      </c>
      <c r="AH197" s="67" t="str">
        <f t="shared" si="14"/>
        <v/>
      </c>
      <c r="AI197" s="67" t="str">
        <f t="shared" si="14"/>
        <v/>
      </c>
      <c r="AJ197" s="67" t="str">
        <f t="shared" si="14"/>
        <v/>
      </c>
      <c r="AK197" s="67" t="str">
        <f t="shared" si="14"/>
        <v/>
      </c>
      <c r="AL197" s="67" t="str">
        <f t="shared" si="14"/>
        <v/>
      </c>
      <c r="AM197" s="67" t="str">
        <f t="shared" si="14"/>
        <v/>
      </c>
      <c r="AN197" s="67" t="str">
        <f t="shared" si="14"/>
        <v/>
      </c>
      <c r="AO197" s="67" t="str">
        <f t="shared" si="14"/>
        <v/>
      </c>
      <c r="AP197" s="67" t="str">
        <f t="shared" si="14"/>
        <v/>
      </c>
      <c r="AQ197" s="67" t="str">
        <f t="shared" si="14"/>
        <v/>
      </c>
      <c r="AR197" s="67" t="str">
        <f t="shared" si="14"/>
        <v/>
      </c>
      <c r="AS197" s="67" t="str">
        <f t="shared" si="14"/>
        <v/>
      </c>
      <c r="AT197" s="67" t="str">
        <f t="shared" si="14"/>
        <v/>
      </c>
      <c r="AU197" s="67" t="str">
        <f t="shared" si="14"/>
        <v/>
      </c>
      <c r="AV197" s="67" t="str">
        <f t="shared" si="14"/>
        <v/>
      </c>
      <c r="AW197" s="67" t="str">
        <f t="shared" si="14"/>
        <v/>
      </c>
      <c r="AX197" s="67" t="str">
        <f t="shared" si="14"/>
        <v/>
      </c>
      <c r="AY197" s="67" t="str">
        <f t="shared" si="14"/>
        <v/>
      </c>
      <c r="AZ197" s="67" t="str">
        <f t="shared" si="14"/>
        <v/>
      </c>
      <c r="BA197" s="67" t="str">
        <f t="shared" si="14"/>
        <v/>
      </c>
      <c r="BB197" s="67" t="str">
        <f t="shared" si="14"/>
        <v/>
      </c>
      <c r="BC197" s="67" t="str">
        <f t="shared" si="14"/>
        <v/>
      </c>
      <c r="BD197" s="67" t="str">
        <f t="shared" si="14"/>
        <v/>
      </c>
      <c r="BE197" s="67" t="str">
        <f t="shared" si="14"/>
        <v/>
      </c>
      <c r="BF197" s="67" t="str">
        <f t="shared" si="14"/>
        <v/>
      </c>
      <c r="BG197" s="67" t="str">
        <f t="shared" si="14"/>
        <v/>
      </c>
      <c r="BH197" s="67" t="str">
        <f t="shared" si="14"/>
        <v/>
      </c>
      <c r="BI197" s="67" t="str">
        <f t="shared" si="14"/>
        <v/>
      </c>
    </row>
    <row r="198" spans="1:61" ht="15.75" hidden="1" customHeight="1">
      <c r="A198" s="345" t="s">
        <v>16</v>
      </c>
      <c r="B198" s="65" t="s">
        <v>224</v>
      </c>
      <c r="C198" s="68" t="str">
        <f t="shared" si="11"/>
        <v/>
      </c>
      <c r="D198" s="68" t="str">
        <f t="shared" si="14"/>
        <v/>
      </c>
      <c r="E198" s="68" t="str">
        <f t="shared" si="14"/>
        <v/>
      </c>
      <c r="F198" s="68" t="str">
        <f t="shared" si="14"/>
        <v/>
      </c>
      <c r="G198" s="68" t="str">
        <f t="shared" si="14"/>
        <v/>
      </c>
      <c r="H198" s="68" t="str">
        <f t="shared" si="14"/>
        <v/>
      </c>
      <c r="I198" s="68" t="str">
        <f t="shared" si="14"/>
        <v/>
      </c>
      <c r="J198" s="68" t="str">
        <f t="shared" si="14"/>
        <v/>
      </c>
      <c r="K198" s="68" t="str">
        <f t="shared" si="14"/>
        <v/>
      </c>
      <c r="L198" s="68" t="str">
        <f t="shared" si="14"/>
        <v/>
      </c>
      <c r="M198" s="68" t="str">
        <f t="shared" si="14"/>
        <v/>
      </c>
      <c r="N198" s="68" t="str">
        <f t="shared" si="14"/>
        <v/>
      </c>
      <c r="O198" s="68" t="str">
        <f t="shared" si="14"/>
        <v/>
      </c>
      <c r="P198" s="68" t="str">
        <f t="shared" si="14"/>
        <v/>
      </c>
      <c r="Q198" s="68" t="str">
        <f t="shared" si="14"/>
        <v/>
      </c>
      <c r="R198" s="68" t="str">
        <f t="shared" si="14"/>
        <v/>
      </c>
      <c r="S198" s="68" t="str">
        <f t="shared" si="14"/>
        <v/>
      </c>
      <c r="T198" s="68" t="str">
        <f t="shared" si="14"/>
        <v/>
      </c>
      <c r="U198" s="68" t="str">
        <f t="shared" si="14"/>
        <v/>
      </c>
      <c r="V198" s="68" t="str">
        <f t="shared" si="14"/>
        <v/>
      </c>
      <c r="W198" s="68" t="str">
        <f t="shared" si="14"/>
        <v/>
      </c>
      <c r="X198" s="68" t="str">
        <f t="shared" si="14"/>
        <v/>
      </c>
      <c r="Y198" s="68" t="str">
        <f t="shared" si="14"/>
        <v/>
      </c>
      <c r="Z198" s="68" t="str">
        <f t="shared" si="14"/>
        <v/>
      </c>
      <c r="AA198" s="68" t="str">
        <f t="shared" si="14"/>
        <v/>
      </c>
      <c r="AB198" s="68" t="str">
        <f t="shared" si="14"/>
        <v/>
      </c>
      <c r="AC198" s="68" t="str">
        <f t="shared" si="14"/>
        <v/>
      </c>
      <c r="AD198" s="68" t="str">
        <f t="shared" si="14"/>
        <v/>
      </c>
      <c r="AE198" s="68" t="str">
        <f t="shared" si="14"/>
        <v/>
      </c>
      <c r="AF198" s="68" t="str">
        <f t="shared" si="14"/>
        <v/>
      </c>
      <c r="AG198" s="68" t="str">
        <f t="shared" si="14"/>
        <v/>
      </c>
      <c r="AH198" s="68" t="str">
        <f t="shared" si="14"/>
        <v/>
      </c>
      <c r="AI198" s="68" t="str">
        <f t="shared" si="14"/>
        <v/>
      </c>
      <c r="AJ198" s="68" t="str">
        <f t="shared" si="14"/>
        <v/>
      </c>
      <c r="AK198" s="68" t="str">
        <f t="shared" si="14"/>
        <v/>
      </c>
      <c r="AL198" s="68" t="str">
        <f t="shared" si="14"/>
        <v/>
      </c>
      <c r="AM198" s="68" t="str">
        <f t="shared" si="14"/>
        <v/>
      </c>
      <c r="AN198" s="68" t="str">
        <f t="shared" si="14"/>
        <v/>
      </c>
      <c r="AO198" s="68" t="str">
        <f t="shared" si="14"/>
        <v/>
      </c>
      <c r="AP198" s="68" t="str">
        <f t="shared" si="14"/>
        <v/>
      </c>
      <c r="AQ198" s="68" t="str">
        <f t="shared" si="14"/>
        <v/>
      </c>
      <c r="AR198" s="68" t="str">
        <f t="shared" si="14"/>
        <v/>
      </c>
      <c r="AS198" s="68" t="str">
        <f t="shared" si="14"/>
        <v/>
      </c>
      <c r="AT198" s="68" t="str">
        <f t="shared" si="14"/>
        <v/>
      </c>
      <c r="AU198" s="68" t="str">
        <f t="shared" si="14"/>
        <v/>
      </c>
      <c r="AV198" s="68" t="str">
        <f t="shared" si="14"/>
        <v/>
      </c>
      <c r="AW198" s="68" t="str">
        <f t="shared" si="14"/>
        <v/>
      </c>
      <c r="AX198" s="68" t="str">
        <f t="shared" si="14"/>
        <v/>
      </c>
      <c r="AY198" s="68" t="str">
        <f t="shared" si="14"/>
        <v/>
      </c>
      <c r="AZ198" s="68" t="str">
        <f t="shared" si="14"/>
        <v/>
      </c>
      <c r="BA198" s="68" t="str">
        <f t="shared" si="14"/>
        <v/>
      </c>
      <c r="BB198" s="68" t="str">
        <f t="shared" si="14"/>
        <v/>
      </c>
      <c r="BC198" s="68" t="str">
        <f t="shared" si="14"/>
        <v/>
      </c>
      <c r="BD198" s="68" t="str">
        <f t="shared" si="14"/>
        <v/>
      </c>
      <c r="BE198" s="68" t="str">
        <f t="shared" si="14"/>
        <v/>
      </c>
      <c r="BF198" s="68" t="str">
        <f t="shared" si="14"/>
        <v/>
      </c>
      <c r="BG198" s="68" t="str">
        <f t="shared" si="14"/>
        <v/>
      </c>
      <c r="BH198" s="68" t="str">
        <f t="shared" si="14"/>
        <v/>
      </c>
      <c r="BI198" s="68" t="str">
        <f t="shared" si="14"/>
        <v/>
      </c>
    </row>
    <row r="199" spans="1:61" ht="15.75" hidden="1" customHeight="1">
      <c r="A199" s="346"/>
      <c r="B199" s="65" t="s">
        <v>225</v>
      </c>
      <c r="C199" s="68" t="str">
        <f t="shared" si="11"/>
        <v/>
      </c>
      <c r="D199" s="68" t="str">
        <f t="shared" si="14"/>
        <v/>
      </c>
      <c r="E199" s="68" t="str">
        <f t="shared" si="14"/>
        <v/>
      </c>
      <c r="F199" s="68" t="str">
        <f t="shared" si="14"/>
        <v/>
      </c>
      <c r="G199" s="68" t="str">
        <f t="shared" si="14"/>
        <v/>
      </c>
      <c r="H199" s="68" t="str">
        <f t="shared" si="14"/>
        <v/>
      </c>
      <c r="I199" s="68" t="str">
        <f t="shared" si="14"/>
        <v/>
      </c>
      <c r="J199" s="68" t="str">
        <f t="shared" si="14"/>
        <v/>
      </c>
      <c r="K199" s="68" t="str">
        <f t="shared" si="14"/>
        <v/>
      </c>
      <c r="L199" s="68" t="str">
        <f t="shared" si="14"/>
        <v/>
      </c>
      <c r="M199" s="68" t="str">
        <f t="shared" si="14"/>
        <v/>
      </c>
      <c r="N199" s="68" t="str">
        <f t="shared" si="14"/>
        <v/>
      </c>
      <c r="O199" s="68" t="str">
        <f t="shared" si="14"/>
        <v/>
      </c>
      <c r="P199" s="68" t="str">
        <f t="shared" si="14"/>
        <v/>
      </c>
      <c r="Q199" s="68" t="str">
        <f t="shared" si="14"/>
        <v/>
      </c>
      <c r="R199" s="68" t="str">
        <f t="shared" si="14"/>
        <v/>
      </c>
      <c r="S199" s="68" t="str">
        <f t="shared" si="14"/>
        <v/>
      </c>
      <c r="T199" s="68" t="str">
        <f t="shared" si="14"/>
        <v/>
      </c>
      <c r="U199" s="68" t="str">
        <f t="shared" si="14"/>
        <v/>
      </c>
      <c r="V199" s="68" t="str">
        <f t="shared" si="14"/>
        <v/>
      </c>
      <c r="W199" s="68" t="str">
        <f t="shared" si="14"/>
        <v/>
      </c>
      <c r="X199" s="68" t="str">
        <f t="shared" si="14"/>
        <v/>
      </c>
      <c r="Y199" s="68" t="str">
        <f t="shared" si="14"/>
        <v/>
      </c>
      <c r="Z199" s="68" t="str">
        <f t="shared" si="14"/>
        <v/>
      </c>
      <c r="AA199" s="68" t="str">
        <f t="shared" si="14"/>
        <v/>
      </c>
      <c r="AB199" s="68" t="str">
        <f t="shared" si="14"/>
        <v/>
      </c>
      <c r="AC199" s="68" t="str">
        <f t="shared" si="14"/>
        <v/>
      </c>
      <c r="AD199" s="68" t="str">
        <f t="shared" si="14"/>
        <v/>
      </c>
      <c r="AE199" s="68" t="str">
        <f t="shared" si="14"/>
        <v/>
      </c>
      <c r="AF199" s="68" t="str">
        <f t="shared" si="14"/>
        <v/>
      </c>
      <c r="AG199" s="68" t="str">
        <f t="shared" si="14"/>
        <v/>
      </c>
      <c r="AH199" s="68" t="str">
        <f t="shared" si="14"/>
        <v/>
      </c>
      <c r="AI199" s="68" t="str">
        <f t="shared" si="14"/>
        <v/>
      </c>
      <c r="AJ199" s="68" t="str">
        <f t="shared" si="14"/>
        <v/>
      </c>
      <c r="AK199" s="68" t="str">
        <f t="shared" si="14"/>
        <v/>
      </c>
      <c r="AL199" s="68" t="str">
        <f t="shared" si="14"/>
        <v/>
      </c>
      <c r="AM199" s="68" t="str">
        <f t="shared" si="14"/>
        <v/>
      </c>
      <c r="AN199" s="68" t="str">
        <f t="shared" si="14"/>
        <v/>
      </c>
      <c r="AO199" s="68" t="str">
        <f t="shared" si="14"/>
        <v/>
      </c>
      <c r="AP199" s="68" t="str">
        <f t="shared" si="14"/>
        <v/>
      </c>
      <c r="AQ199" s="68" t="str">
        <f t="shared" si="14"/>
        <v/>
      </c>
      <c r="AR199" s="68" t="str">
        <f t="shared" si="14"/>
        <v/>
      </c>
      <c r="AS199" s="68" t="str">
        <f t="shared" si="14"/>
        <v/>
      </c>
      <c r="AT199" s="68" t="str">
        <f t="shared" si="14"/>
        <v/>
      </c>
      <c r="AU199" s="68" t="str">
        <f t="shared" si="14"/>
        <v/>
      </c>
      <c r="AV199" s="68" t="str">
        <f t="shared" si="14"/>
        <v/>
      </c>
      <c r="AW199" s="68" t="str">
        <f t="shared" si="14"/>
        <v/>
      </c>
      <c r="AX199" s="68" t="str">
        <f t="shared" si="14"/>
        <v/>
      </c>
      <c r="AY199" s="68" t="str">
        <f t="shared" si="14"/>
        <v/>
      </c>
      <c r="AZ199" s="68" t="str">
        <f t="shared" si="14"/>
        <v/>
      </c>
      <c r="BA199" s="68" t="str">
        <f t="shared" si="14"/>
        <v/>
      </c>
      <c r="BB199" s="68" t="str">
        <f t="shared" si="14"/>
        <v/>
      </c>
      <c r="BC199" s="68" t="str">
        <f t="shared" si="14"/>
        <v/>
      </c>
      <c r="BD199" s="68" t="str">
        <f t="shared" si="14"/>
        <v/>
      </c>
      <c r="BE199" s="68" t="str">
        <f t="shared" si="14"/>
        <v/>
      </c>
      <c r="BF199" s="68" t="str">
        <f t="shared" si="14"/>
        <v/>
      </c>
      <c r="BG199" s="68" t="str">
        <f t="shared" si="14"/>
        <v/>
      </c>
      <c r="BH199" s="68" t="str">
        <f t="shared" si="14"/>
        <v/>
      </c>
      <c r="BI199" s="68" t="str">
        <f t="shared" si="14"/>
        <v/>
      </c>
    </row>
    <row r="200" spans="1:61" ht="15.75" hidden="1" customHeight="1">
      <c r="A200" s="63" t="s">
        <v>216</v>
      </c>
      <c r="B200" s="64" t="s">
        <v>223</v>
      </c>
      <c r="C200" s="67" t="str">
        <f t="shared" si="11"/>
        <v/>
      </c>
      <c r="D200" s="67" t="str">
        <f t="shared" si="14"/>
        <v/>
      </c>
      <c r="E200" s="67" t="str">
        <f t="shared" si="14"/>
        <v/>
      </c>
      <c r="F200" s="67" t="str">
        <f t="shared" si="14"/>
        <v/>
      </c>
      <c r="G200" s="67" t="str">
        <f t="shared" si="14"/>
        <v/>
      </c>
      <c r="H200" s="67" t="str">
        <f t="shared" si="14"/>
        <v/>
      </c>
      <c r="I200" s="67" t="str">
        <f t="shared" si="14"/>
        <v/>
      </c>
      <c r="J200" s="67" t="str">
        <f t="shared" si="14"/>
        <v/>
      </c>
      <c r="K200" s="67" t="str">
        <f t="shared" si="14"/>
        <v/>
      </c>
      <c r="L200" s="67" t="str">
        <f t="shared" si="14"/>
        <v/>
      </c>
      <c r="M200" s="67" t="str">
        <f t="shared" si="14"/>
        <v/>
      </c>
      <c r="N200" s="67" t="str">
        <f t="shared" si="14"/>
        <v/>
      </c>
      <c r="O200" s="67" t="str">
        <f t="shared" si="14"/>
        <v/>
      </c>
      <c r="P200" s="67" t="str">
        <f t="shared" si="14"/>
        <v/>
      </c>
      <c r="Q200" s="67" t="str">
        <f t="shared" si="14"/>
        <v/>
      </c>
      <c r="R200" s="67" t="str">
        <f t="shared" si="14"/>
        <v/>
      </c>
      <c r="S200" s="67" t="str">
        <f t="shared" si="14"/>
        <v/>
      </c>
      <c r="T200" s="67" t="str">
        <f t="shared" si="14"/>
        <v/>
      </c>
      <c r="U200" s="67" t="str">
        <f t="shared" si="14"/>
        <v/>
      </c>
      <c r="V200" s="67" t="str">
        <f t="shared" si="14"/>
        <v/>
      </c>
      <c r="W200" s="67" t="str">
        <f t="shared" si="14"/>
        <v/>
      </c>
      <c r="X200" s="67" t="str">
        <f t="shared" si="14"/>
        <v/>
      </c>
      <c r="Y200" s="67" t="str">
        <f t="shared" si="14"/>
        <v/>
      </c>
      <c r="Z200" s="67" t="str">
        <f t="shared" si="14"/>
        <v/>
      </c>
      <c r="AA200" s="67" t="str">
        <f t="shared" si="14"/>
        <v/>
      </c>
      <c r="AB200" s="67" t="str">
        <f t="shared" si="14"/>
        <v/>
      </c>
      <c r="AC200" s="67" t="str">
        <f t="shared" si="14"/>
        <v/>
      </c>
      <c r="AD200" s="67" t="str">
        <f t="shared" si="14"/>
        <v/>
      </c>
      <c r="AE200" s="67" t="str">
        <f t="shared" si="14"/>
        <v/>
      </c>
      <c r="AF200" s="67" t="str">
        <f t="shared" si="14"/>
        <v/>
      </c>
      <c r="AG200" s="67" t="str">
        <f t="shared" si="14"/>
        <v/>
      </c>
      <c r="AH200" s="67" t="str">
        <f t="shared" si="14"/>
        <v/>
      </c>
      <c r="AI200" s="67" t="str">
        <f t="shared" si="14"/>
        <v/>
      </c>
      <c r="AJ200" s="67" t="str">
        <f t="shared" si="14"/>
        <v/>
      </c>
      <c r="AK200" s="67" t="str">
        <f t="shared" si="14"/>
        <v/>
      </c>
      <c r="AL200" s="67" t="str">
        <f t="shared" si="14"/>
        <v/>
      </c>
      <c r="AM200" s="67" t="str">
        <f t="shared" si="14"/>
        <v/>
      </c>
      <c r="AN200" s="67" t="str">
        <f t="shared" ref="D200:BI205" si="15">IF(AN130=AN55,"","*")</f>
        <v/>
      </c>
      <c r="AO200" s="67" t="str">
        <f t="shared" si="15"/>
        <v/>
      </c>
      <c r="AP200" s="67" t="str">
        <f t="shared" si="15"/>
        <v/>
      </c>
      <c r="AQ200" s="67" t="str">
        <f t="shared" si="15"/>
        <v/>
      </c>
      <c r="AR200" s="67" t="str">
        <f t="shared" si="15"/>
        <v/>
      </c>
      <c r="AS200" s="67" t="str">
        <f t="shared" si="15"/>
        <v/>
      </c>
      <c r="AT200" s="67" t="str">
        <f t="shared" si="15"/>
        <v/>
      </c>
      <c r="AU200" s="67" t="str">
        <f t="shared" si="15"/>
        <v/>
      </c>
      <c r="AV200" s="67" t="str">
        <f t="shared" si="15"/>
        <v/>
      </c>
      <c r="AW200" s="67" t="str">
        <f t="shared" si="15"/>
        <v/>
      </c>
      <c r="AX200" s="67" t="str">
        <f t="shared" si="15"/>
        <v/>
      </c>
      <c r="AY200" s="67" t="str">
        <f t="shared" si="15"/>
        <v/>
      </c>
      <c r="AZ200" s="67" t="str">
        <f t="shared" si="15"/>
        <v/>
      </c>
      <c r="BA200" s="67" t="str">
        <f t="shared" si="15"/>
        <v/>
      </c>
      <c r="BB200" s="67" t="str">
        <f t="shared" si="15"/>
        <v/>
      </c>
      <c r="BC200" s="67" t="str">
        <f t="shared" si="15"/>
        <v/>
      </c>
      <c r="BD200" s="67" t="str">
        <f t="shared" si="15"/>
        <v/>
      </c>
      <c r="BE200" s="67" t="str">
        <f t="shared" si="15"/>
        <v/>
      </c>
      <c r="BF200" s="67" t="str">
        <f t="shared" si="15"/>
        <v/>
      </c>
      <c r="BG200" s="67" t="str">
        <f t="shared" si="15"/>
        <v/>
      </c>
      <c r="BH200" s="67" t="str">
        <f t="shared" si="15"/>
        <v/>
      </c>
      <c r="BI200" s="67" t="str">
        <f t="shared" si="15"/>
        <v/>
      </c>
    </row>
    <row r="201" spans="1:61" ht="15.75" hidden="1" customHeight="1">
      <c r="A201" s="345" t="s">
        <v>17</v>
      </c>
      <c r="B201" s="65" t="s">
        <v>224</v>
      </c>
      <c r="C201" s="68" t="str">
        <f t="shared" si="11"/>
        <v/>
      </c>
      <c r="D201" s="68" t="str">
        <f t="shared" si="15"/>
        <v/>
      </c>
      <c r="E201" s="68" t="str">
        <f t="shared" si="15"/>
        <v/>
      </c>
      <c r="F201" s="68" t="str">
        <f t="shared" si="15"/>
        <v/>
      </c>
      <c r="G201" s="68" t="str">
        <f t="shared" si="15"/>
        <v/>
      </c>
      <c r="H201" s="68" t="str">
        <f t="shared" si="15"/>
        <v/>
      </c>
      <c r="I201" s="68" t="str">
        <f t="shared" si="15"/>
        <v/>
      </c>
      <c r="J201" s="68" t="str">
        <f t="shared" si="15"/>
        <v/>
      </c>
      <c r="K201" s="68" t="str">
        <f t="shared" si="15"/>
        <v/>
      </c>
      <c r="L201" s="68" t="str">
        <f t="shared" si="15"/>
        <v/>
      </c>
      <c r="M201" s="68" t="str">
        <f t="shared" si="15"/>
        <v/>
      </c>
      <c r="N201" s="68" t="str">
        <f t="shared" si="15"/>
        <v/>
      </c>
      <c r="O201" s="68" t="str">
        <f t="shared" si="15"/>
        <v/>
      </c>
      <c r="P201" s="68" t="str">
        <f t="shared" si="15"/>
        <v/>
      </c>
      <c r="Q201" s="68" t="str">
        <f t="shared" si="15"/>
        <v/>
      </c>
      <c r="R201" s="68" t="str">
        <f t="shared" si="15"/>
        <v/>
      </c>
      <c r="S201" s="68" t="str">
        <f t="shared" si="15"/>
        <v/>
      </c>
      <c r="T201" s="68" t="str">
        <f t="shared" si="15"/>
        <v/>
      </c>
      <c r="U201" s="68" t="str">
        <f t="shared" si="15"/>
        <v/>
      </c>
      <c r="V201" s="68" t="str">
        <f t="shared" si="15"/>
        <v/>
      </c>
      <c r="W201" s="68" t="str">
        <f t="shared" si="15"/>
        <v/>
      </c>
      <c r="X201" s="68" t="str">
        <f t="shared" si="15"/>
        <v/>
      </c>
      <c r="Y201" s="68" t="str">
        <f t="shared" si="15"/>
        <v/>
      </c>
      <c r="Z201" s="68" t="str">
        <f t="shared" si="15"/>
        <v/>
      </c>
      <c r="AA201" s="68" t="str">
        <f t="shared" si="15"/>
        <v/>
      </c>
      <c r="AB201" s="68" t="str">
        <f t="shared" si="15"/>
        <v/>
      </c>
      <c r="AC201" s="68" t="str">
        <f t="shared" si="15"/>
        <v/>
      </c>
      <c r="AD201" s="68" t="str">
        <f t="shared" si="15"/>
        <v/>
      </c>
      <c r="AE201" s="68" t="str">
        <f t="shared" si="15"/>
        <v/>
      </c>
      <c r="AF201" s="68" t="str">
        <f t="shared" si="15"/>
        <v/>
      </c>
      <c r="AG201" s="68" t="str">
        <f t="shared" si="15"/>
        <v/>
      </c>
      <c r="AH201" s="68" t="str">
        <f t="shared" si="15"/>
        <v/>
      </c>
      <c r="AI201" s="68" t="str">
        <f t="shared" si="15"/>
        <v/>
      </c>
      <c r="AJ201" s="68" t="str">
        <f t="shared" si="15"/>
        <v/>
      </c>
      <c r="AK201" s="68" t="str">
        <f t="shared" si="15"/>
        <v/>
      </c>
      <c r="AL201" s="68" t="str">
        <f t="shared" si="15"/>
        <v/>
      </c>
      <c r="AM201" s="68" t="str">
        <f t="shared" si="15"/>
        <v/>
      </c>
      <c r="AN201" s="68" t="str">
        <f t="shared" si="15"/>
        <v/>
      </c>
      <c r="AO201" s="68" t="str">
        <f t="shared" si="15"/>
        <v/>
      </c>
      <c r="AP201" s="68" t="str">
        <f t="shared" si="15"/>
        <v/>
      </c>
      <c r="AQ201" s="68" t="str">
        <f t="shared" si="15"/>
        <v/>
      </c>
      <c r="AR201" s="68" t="str">
        <f t="shared" si="15"/>
        <v/>
      </c>
      <c r="AS201" s="68" t="str">
        <f t="shared" si="15"/>
        <v/>
      </c>
      <c r="AT201" s="68" t="str">
        <f t="shared" si="15"/>
        <v/>
      </c>
      <c r="AU201" s="68" t="str">
        <f t="shared" si="15"/>
        <v/>
      </c>
      <c r="AV201" s="68" t="str">
        <f t="shared" si="15"/>
        <v/>
      </c>
      <c r="AW201" s="68" t="str">
        <f t="shared" si="15"/>
        <v/>
      </c>
      <c r="AX201" s="68" t="str">
        <f t="shared" si="15"/>
        <v/>
      </c>
      <c r="AY201" s="68" t="str">
        <f t="shared" si="15"/>
        <v/>
      </c>
      <c r="AZ201" s="68" t="str">
        <f t="shared" si="15"/>
        <v/>
      </c>
      <c r="BA201" s="68" t="str">
        <f t="shared" si="15"/>
        <v/>
      </c>
      <c r="BB201" s="68" t="str">
        <f t="shared" si="15"/>
        <v/>
      </c>
      <c r="BC201" s="68" t="str">
        <f t="shared" si="15"/>
        <v/>
      </c>
      <c r="BD201" s="68" t="str">
        <f t="shared" si="15"/>
        <v/>
      </c>
      <c r="BE201" s="68" t="str">
        <f t="shared" si="15"/>
        <v/>
      </c>
      <c r="BF201" s="68" t="str">
        <f t="shared" si="15"/>
        <v/>
      </c>
      <c r="BG201" s="68" t="str">
        <f t="shared" si="15"/>
        <v/>
      </c>
      <c r="BH201" s="68" t="str">
        <f t="shared" si="15"/>
        <v/>
      </c>
      <c r="BI201" s="68" t="str">
        <f t="shared" si="15"/>
        <v/>
      </c>
    </row>
    <row r="202" spans="1:61" ht="15.75" hidden="1" customHeight="1">
      <c r="A202" s="346"/>
      <c r="B202" s="65" t="s">
        <v>225</v>
      </c>
      <c r="C202" s="68" t="str">
        <f t="shared" si="11"/>
        <v/>
      </c>
      <c r="D202" s="68" t="str">
        <f t="shared" si="15"/>
        <v/>
      </c>
      <c r="E202" s="68" t="str">
        <f t="shared" si="15"/>
        <v/>
      </c>
      <c r="F202" s="68" t="str">
        <f t="shared" si="15"/>
        <v/>
      </c>
      <c r="G202" s="68" t="str">
        <f t="shared" si="15"/>
        <v/>
      </c>
      <c r="H202" s="68" t="str">
        <f t="shared" si="15"/>
        <v/>
      </c>
      <c r="I202" s="68" t="str">
        <f t="shared" si="15"/>
        <v/>
      </c>
      <c r="J202" s="68" t="str">
        <f t="shared" si="15"/>
        <v/>
      </c>
      <c r="K202" s="68" t="str">
        <f t="shared" si="15"/>
        <v/>
      </c>
      <c r="L202" s="68" t="str">
        <f t="shared" si="15"/>
        <v/>
      </c>
      <c r="M202" s="68" t="str">
        <f t="shared" si="15"/>
        <v/>
      </c>
      <c r="N202" s="68" t="str">
        <f t="shared" si="15"/>
        <v/>
      </c>
      <c r="O202" s="68" t="str">
        <f t="shared" si="15"/>
        <v/>
      </c>
      <c r="P202" s="68" t="str">
        <f t="shared" si="15"/>
        <v/>
      </c>
      <c r="Q202" s="68" t="str">
        <f t="shared" si="15"/>
        <v/>
      </c>
      <c r="R202" s="68" t="str">
        <f t="shared" si="15"/>
        <v/>
      </c>
      <c r="S202" s="68" t="str">
        <f t="shared" si="15"/>
        <v/>
      </c>
      <c r="T202" s="68" t="str">
        <f t="shared" si="15"/>
        <v/>
      </c>
      <c r="U202" s="68" t="str">
        <f t="shared" si="15"/>
        <v/>
      </c>
      <c r="V202" s="68" t="str">
        <f t="shared" si="15"/>
        <v/>
      </c>
      <c r="W202" s="68" t="str">
        <f t="shared" si="15"/>
        <v/>
      </c>
      <c r="X202" s="68" t="str">
        <f t="shared" si="15"/>
        <v/>
      </c>
      <c r="Y202" s="68" t="str">
        <f t="shared" si="15"/>
        <v/>
      </c>
      <c r="Z202" s="68" t="str">
        <f t="shared" si="15"/>
        <v/>
      </c>
      <c r="AA202" s="68" t="str">
        <f t="shared" si="15"/>
        <v/>
      </c>
      <c r="AB202" s="68" t="str">
        <f t="shared" si="15"/>
        <v/>
      </c>
      <c r="AC202" s="68" t="str">
        <f t="shared" si="15"/>
        <v/>
      </c>
      <c r="AD202" s="68" t="str">
        <f t="shared" si="15"/>
        <v/>
      </c>
      <c r="AE202" s="68" t="str">
        <f t="shared" si="15"/>
        <v/>
      </c>
      <c r="AF202" s="68" t="str">
        <f t="shared" si="15"/>
        <v/>
      </c>
      <c r="AG202" s="68" t="str">
        <f t="shared" si="15"/>
        <v/>
      </c>
      <c r="AH202" s="68" t="str">
        <f t="shared" si="15"/>
        <v/>
      </c>
      <c r="AI202" s="68" t="str">
        <f t="shared" si="15"/>
        <v/>
      </c>
      <c r="AJ202" s="68" t="str">
        <f t="shared" si="15"/>
        <v/>
      </c>
      <c r="AK202" s="68" t="str">
        <f t="shared" si="15"/>
        <v/>
      </c>
      <c r="AL202" s="68" t="str">
        <f t="shared" si="15"/>
        <v/>
      </c>
      <c r="AM202" s="68" t="str">
        <f t="shared" si="15"/>
        <v/>
      </c>
      <c r="AN202" s="68" t="str">
        <f t="shared" si="15"/>
        <v/>
      </c>
      <c r="AO202" s="68" t="str">
        <f t="shared" si="15"/>
        <v/>
      </c>
      <c r="AP202" s="68" t="str">
        <f t="shared" si="15"/>
        <v/>
      </c>
      <c r="AQ202" s="68" t="str">
        <f t="shared" si="15"/>
        <v/>
      </c>
      <c r="AR202" s="68" t="str">
        <f t="shared" si="15"/>
        <v/>
      </c>
      <c r="AS202" s="68" t="str">
        <f t="shared" si="15"/>
        <v/>
      </c>
      <c r="AT202" s="68" t="str">
        <f t="shared" si="15"/>
        <v/>
      </c>
      <c r="AU202" s="68" t="str">
        <f t="shared" si="15"/>
        <v/>
      </c>
      <c r="AV202" s="68" t="str">
        <f t="shared" si="15"/>
        <v/>
      </c>
      <c r="AW202" s="68" t="str">
        <f t="shared" si="15"/>
        <v/>
      </c>
      <c r="AX202" s="68" t="str">
        <f t="shared" si="15"/>
        <v/>
      </c>
      <c r="AY202" s="68" t="str">
        <f t="shared" si="15"/>
        <v/>
      </c>
      <c r="AZ202" s="68" t="str">
        <f t="shared" si="15"/>
        <v/>
      </c>
      <c r="BA202" s="68" t="str">
        <f t="shared" si="15"/>
        <v/>
      </c>
      <c r="BB202" s="68" t="str">
        <f t="shared" si="15"/>
        <v/>
      </c>
      <c r="BC202" s="68" t="str">
        <f t="shared" si="15"/>
        <v/>
      </c>
      <c r="BD202" s="68" t="str">
        <f t="shared" si="15"/>
        <v/>
      </c>
      <c r="BE202" s="68" t="str">
        <f t="shared" si="15"/>
        <v/>
      </c>
      <c r="BF202" s="68" t="str">
        <f t="shared" si="15"/>
        <v/>
      </c>
      <c r="BG202" s="68" t="str">
        <f t="shared" si="15"/>
        <v/>
      </c>
      <c r="BH202" s="68" t="str">
        <f t="shared" si="15"/>
        <v/>
      </c>
      <c r="BI202" s="68" t="str">
        <f t="shared" si="15"/>
        <v/>
      </c>
    </row>
    <row r="203" spans="1:61" ht="15.75" hidden="1" customHeight="1">
      <c r="A203" s="63" t="s">
        <v>217</v>
      </c>
      <c r="B203" s="64" t="s">
        <v>223</v>
      </c>
      <c r="C203" s="67" t="str">
        <f t="shared" si="11"/>
        <v/>
      </c>
      <c r="D203" s="67" t="str">
        <f t="shared" si="15"/>
        <v/>
      </c>
      <c r="E203" s="67" t="str">
        <f t="shared" si="15"/>
        <v/>
      </c>
      <c r="F203" s="67" t="str">
        <f t="shared" si="15"/>
        <v/>
      </c>
      <c r="G203" s="67" t="str">
        <f t="shared" si="15"/>
        <v/>
      </c>
      <c r="H203" s="67" t="str">
        <f t="shared" si="15"/>
        <v/>
      </c>
      <c r="I203" s="67" t="str">
        <f t="shared" si="15"/>
        <v/>
      </c>
      <c r="J203" s="67" t="str">
        <f t="shared" si="15"/>
        <v/>
      </c>
      <c r="K203" s="67" t="str">
        <f t="shared" si="15"/>
        <v/>
      </c>
      <c r="L203" s="67" t="str">
        <f t="shared" si="15"/>
        <v/>
      </c>
      <c r="M203" s="67" t="str">
        <f t="shared" si="15"/>
        <v/>
      </c>
      <c r="N203" s="67" t="str">
        <f t="shared" si="15"/>
        <v/>
      </c>
      <c r="O203" s="67" t="str">
        <f t="shared" si="15"/>
        <v/>
      </c>
      <c r="P203" s="67" t="str">
        <f t="shared" si="15"/>
        <v/>
      </c>
      <c r="Q203" s="67" t="str">
        <f t="shared" si="15"/>
        <v/>
      </c>
      <c r="R203" s="67" t="str">
        <f t="shared" si="15"/>
        <v/>
      </c>
      <c r="S203" s="67" t="str">
        <f t="shared" si="15"/>
        <v/>
      </c>
      <c r="T203" s="67" t="str">
        <f t="shared" si="15"/>
        <v/>
      </c>
      <c r="U203" s="67" t="str">
        <f t="shared" si="15"/>
        <v/>
      </c>
      <c r="V203" s="67" t="str">
        <f t="shared" si="15"/>
        <v/>
      </c>
      <c r="W203" s="67" t="str">
        <f t="shared" si="15"/>
        <v/>
      </c>
      <c r="X203" s="67" t="str">
        <f t="shared" si="15"/>
        <v/>
      </c>
      <c r="Y203" s="67" t="str">
        <f t="shared" si="15"/>
        <v/>
      </c>
      <c r="Z203" s="67" t="str">
        <f t="shared" si="15"/>
        <v/>
      </c>
      <c r="AA203" s="67" t="str">
        <f t="shared" si="15"/>
        <v/>
      </c>
      <c r="AB203" s="67" t="str">
        <f t="shared" si="15"/>
        <v/>
      </c>
      <c r="AC203" s="67" t="str">
        <f t="shared" si="15"/>
        <v/>
      </c>
      <c r="AD203" s="67" t="str">
        <f t="shared" si="15"/>
        <v/>
      </c>
      <c r="AE203" s="67" t="str">
        <f t="shared" si="15"/>
        <v/>
      </c>
      <c r="AF203" s="67" t="str">
        <f t="shared" si="15"/>
        <v/>
      </c>
      <c r="AG203" s="67" t="str">
        <f t="shared" si="15"/>
        <v/>
      </c>
      <c r="AH203" s="67" t="str">
        <f t="shared" si="15"/>
        <v/>
      </c>
      <c r="AI203" s="67" t="str">
        <f t="shared" si="15"/>
        <v/>
      </c>
      <c r="AJ203" s="67" t="str">
        <f t="shared" si="15"/>
        <v/>
      </c>
      <c r="AK203" s="67" t="str">
        <f t="shared" si="15"/>
        <v/>
      </c>
      <c r="AL203" s="67" t="str">
        <f t="shared" si="15"/>
        <v/>
      </c>
      <c r="AM203" s="67" t="str">
        <f t="shared" si="15"/>
        <v/>
      </c>
      <c r="AN203" s="67" t="str">
        <f t="shared" si="15"/>
        <v/>
      </c>
      <c r="AO203" s="67" t="str">
        <f t="shared" si="15"/>
        <v/>
      </c>
      <c r="AP203" s="67" t="str">
        <f t="shared" si="15"/>
        <v/>
      </c>
      <c r="AQ203" s="67" t="str">
        <f t="shared" si="15"/>
        <v/>
      </c>
      <c r="AR203" s="67" t="str">
        <f t="shared" si="15"/>
        <v/>
      </c>
      <c r="AS203" s="67" t="str">
        <f t="shared" si="15"/>
        <v/>
      </c>
      <c r="AT203" s="67" t="str">
        <f t="shared" si="15"/>
        <v/>
      </c>
      <c r="AU203" s="67" t="str">
        <f t="shared" si="15"/>
        <v/>
      </c>
      <c r="AV203" s="67" t="str">
        <f t="shared" si="15"/>
        <v/>
      </c>
      <c r="AW203" s="67" t="str">
        <f t="shared" si="15"/>
        <v/>
      </c>
      <c r="AX203" s="67" t="str">
        <f t="shared" si="15"/>
        <v/>
      </c>
      <c r="AY203" s="67" t="str">
        <f t="shared" si="15"/>
        <v/>
      </c>
      <c r="AZ203" s="67" t="str">
        <f t="shared" si="15"/>
        <v/>
      </c>
      <c r="BA203" s="67" t="str">
        <f t="shared" si="15"/>
        <v/>
      </c>
      <c r="BB203" s="67" t="str">
        <f t="shared" si="15"/>
        <v/>
      </c>
      <c r="BC203" s="67" t="str">
        <f t="shared" si="15"/>
        <v/>
      </c>
      <c r="BD203" s="67" t="str">
        <f t="shared" si="15"/>
        <v/>
      </c>
      <c r="BE203" s="67" t="str">
        <f t="shared" si="15"/>
        <v/>
      </c>
      <c r="BF203" s="67" t="str">
        <f t="shared" si="15"/>
        <v/>
      </c>
      <c r="BG203" s="67" t="str">
        <f t="shared" si="15"/>
        <v/>
      </c>
      <c r="BH203" s="67" t="str">
        <f t="shared" si="15"/>
        <v/>
      </c>
      <c r="BI203" s="67" t="str">
        <f t="shared" si="15"/>
        <v/>
      </c>
    </row>
    <row r="204" spans="1:61" ht="15.75" hidden="1" customHeight="1">
      <c r="A204" s="345" t="s">
        <v>18</v>
      </c>
      <c r="B204" s="65" t="s">
        <v>224</v>
      </c>
      <c r="C204" s="68" t="str">
        <f t="shared" si="11"/>
        <v/>
      </c>
      <c r="D204" s="68" t="str">
        <f t="shared" si="15"/>
        <v/>
      </c>
      <c r="E204" s="68" t="str">
        <f t="shared" si="15"/>
        <v/>
      </c>
      <c r="F204" s="68" t="str">
        <f t="shared" si="15"/>
        <v/>
      </c>
      <c r="G204" s="68" t="str">
        <f t="shared" si="15"/>
        <v/>
      </c>
      <c r="H204" s="68" t="str">
        <f t="shared" si="15"/>
        <v/>
      </c>
      <c r="I204" s="68" t="str">
        <f t="shared" si="15"/>
        <v/>
      </c>
      <c r="J204" s="68" t="str">
        <f t="shared" si="15"/>
        <v/>
      </c>
      <c r="K204" s="68" t="str">
        <f t="shared" si="15"/>
        <v/>
      </c>
      <c r="L204" s="68" t="str">
        <f t="shared" si="15"/>
        <v/>
      </c>
      <c r="M204" s="68" t="str">
        <f t="shared" si="15"/>
        <v/>
      </c>
      <c r="N204" s="68" t="str">
        <f t="shared" si="15"/>
        <v/>
      </c>
      <c r="O204" s="68" t="str">
        <f t="shared" si="15"/>
        <v/>
      </c>
      <c r="P204" s="68" t="str">
        <f t="shared" si="15"/>
        <v/>
      </c>
      <c r="Q204" s="68" t="str">
        <f t="shared" si="15"/>
        <v/>
      </c>
      <c r="R204" s="68" t="str">
        <f t="shared" si="15"/>
        <v/>
      </c>
      <c r="S204" s="68" t="str">
        <f t="shared" si="15"/>
        <v/>
      </c>
      <c r="T204" s="68" t="str">
        <f t="shared" si="15"/>
        <v/>
      </c>
      <c r="U204" s="68" t="str">
        <f t="shared" si="15"/>
        <v/>
      </c>
      <c r="V204" s="68" t="str">
        <f t="shared" si="15"/>
        <v/>
      </c>
      <c r="W204" s="68" t="str">
        <f t="shared" si="15"/>
        <v/>
      </c>
      <c r="X204" s="68" t="str">
        <f t="shared" si="15"/>
        <v/>
      </c>
      <c r="Y204" s="68" t="str">
        <f t="shared" si="15"/>
        <v/>
      </c>
      <c r="Z204" s="68" t="str">
        <f t="shared" si="15"/>
        <v/>
      </c>
      <c r="AA204" s="68" t="str">
        <f t="shared" si="15"/>
        <v/>
      </c>
      <c r="AB204" s="68" t="str">
        <f t="shared" si="15"/>
        <v/>
      </c>
      <c r="AC204" s="68" t="str">
        <f t="shared" si="15"/>
        <v/>
      </c>
      <c r="AD204" s="68" t="str">
        <f t="shared" si="15"/>
        <v/>
      </c>
      <c r="AE204" s="68" t="str">
        <f t="shared" si="15"/>
        <v/>
      </c>
      <c r="AF204" s="68" t="str">
        <f t="shared" si="15"/>
        <v/>
      </c>
      <c r="AG204" s="68" t="str">
        <f t="shared" si="15"/>
        <v/>
      </c>
      <c r="AH204" s="68" t="str">
        <f t="shared" si="15"/>
        <v/>
      </c>
      <c r="AI204" s="68" t="str">
        <f t="shared" si="15"/>
        <v/>
      </c>
      <c r="AJ204" s="68" t="str">
        <f t="shared" si="15"/>
        <v/>
      </c>
      <c r="AK204" s="68" t="str">
        <f t="shared" si="15"/>
        <v/>
      </c>
      <c r="AL204" s="68" t="str">
        <f t="shared" si="15"/>
        <v/>
      </c>
      <c r="AM204" s="68" t="str">
        <f t="shared" si="15"/>
        <v/>
      </c>
      <c r="AN204" s="68" t="str">
        <f t="shared" si="15"/>
        <v/>
      </c>
      <c r="AO204" s="68" t="str">
        <f t="shared" si="15"/>
        <v/>
      </c>
      <c r="AP204" s="68" t="str">
        <f t="shared" si="15"/>
        <v/>
      </c>
      <c r="AQ204" s="68" t="str">
        <f t="shared" si="15"/>
        <v/>
      </c>
      <c r="AR204" s="68" t="str">
        <f t="shared" si="15"/>
        <v/>
      </c>
      <c r="AS204" s="68" t="str">
        <f t="shared" si="15"/>
        <v/>
      </c>
      <c r="AT204" s="68" t="str">
        <f t="shared" si="15"/>
        <v/>
      </c>
      <c r="AU204" s="68" t="str">
        <f t="shared" si="15"/>
        <v/>
      </c>
      <c r="AV204" s="68" t="str">
        <f t="shared" si="15"/>
        <v/>
      </c>
      <c r="AW204" s="68" t="str">
        <f t="shared" si="15"/>
        <v/>
      </c>
      <c r="AX204" s="68" t="str">
        <f t="shared" si="15"/>
        <v/>
      </c>
      <c r="AY204" s="68" t="str">
        <f t="shared" si="15"/>
        <v/>
      </c>
      <c r="AZ204" s="68" t="str">
        <f t="shared" si="15"/>
        <v/>
      </c>
      <c r="BA204" s="68" t="str">
        <f t="shared" si="15"/>
        <v/>
      </c>
      <c r="BB204" s="68" t="str">
        <f t="shared" si="15"/>
        <v/>
      </c>
      <c r="BC204" s="68" t="str">
        <f t="shared" si="15"/>
        <v/>
      </c>
      <c r="BD204" s="68" t="str">
        <f t="shared" si="15"/>
        <v/>
      </c>
      <c r="BE204" s="68" t="str">
        <f t="shared" si="15"/>
        <v/>
      </c>
      <c r="BF204" s="68" t="str">
        <f t="shared" si="15"/>
        <v/>
      </c>
      <c r="BG204" s="68" t="str">
        <f t="shared" si="15"/>
        <v/>
      </c>
      <c r="BH204" s="68" t="str">
        <f t="shared" si="15"/>
        <v/>
      </c>
      <c r="BI204" s="68" t="str">
        <f t="shared" si="15"/>
        <v/>
      </c>
    </row>
    <row r="205" spans="1:61" ht="15.75" hidden="1" customHeight="1">
      <c r="A205" s="346"/>
      <c r="B205" s="65" t="s">
        <v>225</v>
      </c>
      <c r="C205" s="68" t="str">
        <f t="shared" si="11"/>
        <v/>
      </c>
      <c r="D205" s="68" t="str">
        <f t="shared" si="15"/>
        <v/>
      </c>
      <c r="E205" s="68" t="str">
        <f t="shared" ref="D205:BI209" si="16">IF(E135=E60,"","*")</f>
        <v/>
      </c>
      <c r="F205" s="68" t="str">
        <f t="shared" si="16"/>
        <v/>
      </c>
      <c r="G205" s="68" t="str">
        <f t="shared" si="16"/>
        <v/>
      </c>
      <c r="H205" s="68" t="str">
        <f t="shared" si="16"/>
        <v/>
      </c>
      <c r="I205" s="68" t="str">
        <f t="shared" si="16"/>
        <v/>
      </c>
      <c r="J205" s="68" t="str">
        <f t="shared" si="16"/>
        <v/>
      </c>
      <c r="K205" s="68" t="str">
        <f t="shared" si="16"/>
        <v/>
      </c>
      <c r="L205" s="68" t="str">
        <f t="shared" si="16"/>
        <v/>
      </c>
      <c r="M205" s="68" t="str">
        <f t="shared" si="16"/>
        <v/>
      </c>
      <c r="N205" s="68" t="str">
        <f t="shared" si="16"/>
        <v/>
      </c>
      <c r="O205" s="68" t="str">
        <f t="shared" si="16"/>
        <v/>
      </c>
      <c r="P205" s="68" t="str">
        <f t="shared" si="16"/>
        <v/>
      </c>
      <c r="Q205" s="68" t="str">
        <f t="shared" si="16"/>
        <v/>
      </c>
      <c r="R205" s="68" t="str">
        <f t="shared" si="16"/>
        <v/>
      </c>
      <c r="S205" s="68" t="str">
        <f t="shared" si="16"/>
        <v/>
      </c>
      <c r="T205" s="68" t="str">
        <f t="shared" si="16"/>
        <v/>
      </c>
      <c r="U205" s="68" t="str">
        <f t="shared" si="16"/>
        <v/>
      </c>
      <c r="V205" s="68" t="str">
        <f t="shared" si="16"/>
        <v/>
      </c>
      <c r="W205" s="68" t="str">
        <f t="shared" si="16"/>
        <v/>
      </c>
      <c r="X205" s="68" t="str">
        <f t="shared" si="16"/>
        <v/>
      </c>
      <c r="Y205" s="68" t="str">
        <f t="shared" si="16"/>
        <v/>
      </c>
      <c r="Z205" s="68" t="str">
        <f t="shared" si="16"/>
        <v/>
      </c>
      <c r="AA205" s="68" t="str">
        <f t="shared" si="16"/>
        <v/>
      </c>
      <c r="AB205" s="68" t="str">
        <f t="shared" si="16"/>
        <v/>
      </c>
      <c r="AC205" s="68" t="str">
        <f t="shared" si="16"/>
        <v/>
      </c>
      <c r="AD205" s="68" t="str">
        <f t="shared" si="16"/>
        <v/>
      </c>
      <c r="AE205" s="68" t="str">
        <f t="shared" si="16"/>
        <v/>
      </c>
      <c r="AF205" s="68" t="str">
        <f t="shared" si="16"/>
        <v/>
      </c>
      <c r="AG205" s="68" t="str">
        <f t="shared" si="16"/>
        <v/>
      </c>
      <c r="AH205" s="68" t="str">
        <f t="shared" si="16"/>
        <v/>
      </c>
      <c r="AI205" s="68" t="str">
        <f t="shared" si="16"/>
        <v/>
      </c>
      <c r="AJ205" s="68" t="str">
        <f t="shared" si="16"/>
        <v/>
      </c>
      <c r="AK205" s="68" t="str">
        <f t="shared" si="16"/>
        <v/>
      </c>
      <c r="AL205" s="68" t="str">
        <f t="shared" si="16"/>
        <v/>
      </c>
      <c r="AM205" s="68" t="str">
        <f t="shared" si="16"/>
        <v/>
      </c>
      <c r="AN205" s="68" t="str">
        <f t="shared" si="16"/>
        <v/>
      </c>
      <c r="AO205" s="68" t="str">
        <f t="shared" si="16"/>
        <v/>
      </c>
      <c r="AP205" s="68" t="str">
        <f t="shared" si="16"/>
        <v/>
      </c>
      <c r="AQ205" s="68" t="str">
        <f t="shared" si="16"/>
        <v/>
      </c>
      <c r="AR205" s="68" t="str">
        <f t="shared" si="16"/>
        <v/>
      </c>
      <c r="AS205" s="68" t="str">
        <f t="shared" si="16"/>
        <v/>
      </c>
      <c r="AT205" s="68" t="str">
        <f t="shared" si="16"/>
        <v/>
      </c>
      <c r="AU205" s="68" t="str">
        <f t="shared" si="16"/>
        <v/>
      </c>
      <c r="AV205" s="68" t="str">
        <f t="shared" si="16"/>
        <v/>
      </c>
      <c r="AW205" s="68" t="str">
        <f t="shared" si="16"/>
        <v/>
      </c>
      <c r="AX205" s="68" t="str">
        <f t="shared" si="16"/>
        <v/>
      </c>
      <c r="AY205" s="68" t="str">
        <f t="shared" si="16"/>
        <v/>
      </c>
      <c r="AZ205" s="68" t="str">
        <f t="shared" si="16"/>
        <v/>
      </c>
      <c r="BA205" s="68" t="str">
        <f t="shared" si="16"/>
        <v/>
      </c>
      <c r="BB205" s="68" t="str">
        <f t="shared" si="16"/>
        <v/>
      </c>
      <c r="BC205" s="68" t="str">
        <f t="shared" si="16"/>
        <v/>
      </c>
      <c r="BD205" s="68" t="str">
        <f t="shared" si="16"/>
        <v/>
      </c>
      <c r="BE205" s="68" t="str">
        <f t="shared" si="16"/>
        <v/>
      </c>
      <c r="BF205" s="68" t="str">
        <f t="shared" si="16"/>
        <v/>
      </c>
      <c r="BG205" s="68" t="str">
        <f t="shared" si="16"/>
        <v/>
      </c>
      <c r="BH205" s="68" t="str">
        <f t="shared" si="16"/>
        <v/>
      </c>
      <c r="BI205" s="68" t="str">
        <f t="shared" si="16"/>
        <v/>
      </c>
    </row>
    <row r="206" spans="1:61" ht="15.75" hidden="1" customHeight="1">
      <c r="A206" s="63" t="s">
        <v>218</v>
      </c>
      <c r="B206" s="64" t="s">
        <v>223</v>
      </c>
      <c r="C206" s="67" t="str">
        <f t="shared" si="11"/>
        <v/>
      </c>
      <c r="D206" s="67" t="str">
        <f t="shared" si="16"/>
        <v/>
      </c>
      <c r="E206" s="67" t="str">
        <f t="shared" si="16"/>
        <v/>
      </c>
      <c r="F206" s="67" t="str">
        <f t="shared" si="16"/>
        <v/>
      </c>
      <c r="G206" s="67" t="str">
        <f t="shared" si="16"/>
        <v/>
      </c>
      <c r="H206" s="67" t="str">
        <f t="shared" si="16"/>
        <v/>
      </c>
      <c r="I206" s="67" t="str">
        <f t="shared" si="16"/>
        <v/>
      </c>
      <c r="J206" s="67" t="str">
        <f t="shared" si="16"/>
        <v/>
      </c>
      <c r="K206" s="67" t="str">
        <f t="shared" si="16"/>
        <v/>
      </c>
      <c r="L206" s="67" t="str">
        <f t="shared" si="16"/>
        <v/>
      </c>
      <c r="M206" s="67" t="str">
        <f t="shared" si="16"/>
        <v/>
      </c>
      <c r="N206" s="67" t="str">
        <f t="shared" si="16"/>
        <v/>
      </c>
      <c r="O206" s="67" t="str">
        <f t="shared" si="16"/>
        <v/>
      </c>
      <c r="P206" s="67" t="str">
        <f t="shared" si="16"/>
        <v/>
      </c>
      <c r="Q206" s="67" t="str">
        <f t="shared" si="16"/>
        <v/>
      </c>
      <c r="R206" s="67" t="str">
        <f t="shared" si="16"/>
        <v/>
      </c>
      <c r="S206" s="67" t="str">
        <f t="shared" si="16"/>
        <v/>
      </c>
      <c r="T206" s="67" t="str">
        <f t="shared" si="16"/>
        <v/>
      </c>
      <c r="U206" s="67" t="str">
        <f t="shared" si="16"/>
        <v/>
      </c>
      <c r="V206" s="67" t="str">
        <f t="shared" si="16"/>
        <v/>
      </c>
      <c r="W206" s="67" t="str">
        <f t="shared" si="16"/>
        <v/>
      </c>
      <c r="X206" s="67" t="str">
        <f t="shared" si="16"/>
        <v/>
      </c>
      <c r="Y206" s="67" t="str">
        <f t="shared" si="16"/>
        <v/>
      </c>
      <c r="Z206" s="67" t="str">
        <f t="shared" si="16"/>
        <v/>
      </c>
      <c r="AA206" s="67" t="str">
        <f t="shared" si="16"/>
        <v/>
      </c>
      <c r="AB206" s="67" t="str">
        <f t="shared" si="16"/>
        <v/>
      </c>
      <c r="AC206" s="67" t="str">
        <f t="shared" si="16"/>
        <v/>
      </c>
      <c r="AD206" s="67" t="str">
        <f t="shared" si="16"/>
        <v/>
      </c>
      <c r="AE206" s="67" t="str">
        <f t="shared" si="16"/>
        <v/>
      </c>
      <c r="AF206" s="67" t="str">
        <f t="shared" si="16"/>
        <v/>
      </c>
      <c r="AG206" s="67" t="str">
        <f t="shared" si="16"/>
        <v/>
      </c>
      <c r="AH206" s="67" t="str">
        <f t="shared" si="16"/>
        <v/>
      </c>
      <c r="AI206" s="67" t="str">
        <f t="shared" si="16"/>
        <v/>
      </c>
      <c r="AJ206" s="67" t="str">
        <f t="shared" si="16"/>
        <v/>
      </c>
      <c r="AK206" s="67" t="str">
        <f t="shared" si="16"/>
        <v/>
      </c>
      <c r="AL206" s="67" t="str">
        <f t="shared" si="16"/>
        <v>*</v>
      </c>
      <c r="AM206" s="67" t="str">
        <f t="shared" si="16"/>
        <v>*</v>
      </c>
      <c r="AN206" s="67" t="str">
        <f t="shared" si="16"/>
        <v>*</v>
      </c>
      <c r="AO206" s="67" t="str">
        <f t="shared" si="16"/>
        <v>*</v>
      </c>
      <c r="AP206" s="67" t="str">
        <f t="shared" si="16"/>
        <v>*</v>
      </c>
      <c r="AQ206" s="67" t="str">
        <f t="shared" si="16"/>
        <v>*</v>
      </c>
      <c r="AR206" s="67" t="str">
        <f t="shared" si="16"/>
        <v>*</v>
      </c>
      <c r="AS206" s="67" t="str">
        <f t="shared" si="16"/>
        <v>*</v>
      </c>
      <c r="AT206" s="67" t="str">
        <f t="shared" si="16"/>
        <v>*</v>
      </c>
      <c r="AU206" s="67" t="str">
        <f t="shared" si="16"/>
        <v>*</v>
      </c>
      <c r="AV206" s="67" t="str">
        <f t="shared" si="16"/>
        <v>*</v>
      </c>
      <c r="AW206" s="67" t="str">
        <f t="shared" si="16"/>
        <v>*</v>
      </c>
      <c r="AX206" s="67" t="str">
        <f t="shared" si="16"/>
        <v>*</v>
      </c>
      <c r="AY206" s="67" t="str">
        <f t="shared" si="16"/>
        <v>*</v>
      </c>
      <c r="AZ206" s="67" t="str">
        <f t="shared" si="16"/>
        <v>*</v>
      </c>
      <c r="BA206" s="67" t="str">
        <f t="shared" si="16"/>
        <v>*</v>
      </c>
      <c r="BB206" s="67" t="str">
        <f t="shared" si="16"/>
        <v>*</v>
      </c>
      <c r="BC206" s="67" t="str">
        <f t="shared" si="16"/>
        <v/>
      </c>
      <c r="BD206" s="67" t="str">
        <f t="shared" si="16"/>
        <v/>
      </c>
      <c r="BE206" s="67" t="str">
        <f t="shared" si="16"/>
        <v>*</v>
      </c>
      <c r="BF206" s="67" t="str">
        <f t="shared" si="16"/>
        <v>*</v>
      </c>
      <c r="BG206" s="67" t="str">
        <f t="shared" si="16"/>
        <v>*</v>
      </c>
      <c r="BH206" s="67" t="str">
        <f t="shared" si="16"/>
        <v>*</v>
      </c>
      <c r="BI206" s="67" t="str">
        <f t="shared" si="16"/>
        <v>*</v>
      </c>
    </row>
    <row r="207" spans="1:61" ht="15.75" hidden="1" customHeight="1">
      <c r="A207" s="345" t="s">
        <v>19</v>
      </c>
      <c r="B207" s="65" t="s">
        <v>224</v>
      </c>
      <c r="C207" s="68" t="str">
        <f t="shared" si="11"/>
        <v/>
      </c>
      <c r="D207" s="68" t="str">
        <f t="shared" si="16"/>
        <v/>
      </c>
      <c r="E207" s="68" t="str">
        <f t="shared" si="16"/>
        <v/>
      </c>
      <c r="F207" s="68" t="str">
        <f t="shared" si="16"/>
        <v/>
      </c>
      <c r="G207" s="68" t="str">
        <f t="shared" si="16"/>
        <v/>
      </c>
      <c r="H207" s="68" t="str">
        <f t="shared" si="16"/>
        <v/>
      </c>
      <c r="I207" s="68" t="str">
        <f t="shared" si="16"/>
        <v/>
      </c>
      <c r="J207" s="68" t="str">
        <f t="shared" si="16"/>
        <v/>
      </c>
      <c r="K207" s="68" t="str">
        <f t="shared" si="16"/>
        <v/>
      </c>
      <c r="L207" s="68" t="str">
        <f t="shared" si="16"/>
        <v/>
      </c>
      <c r="M207" s="68" t="str">
        <f t="shared" si="16"/>
        <v/>
      </c>
      <c r="N207" s="68" t="str">
        <f t="shared" si="16"/>
        <v/>
      </c>
      <c r="O207" s="68" t="str">
        <f t="shared" si="16"/>
        <v/>
      </c>
      <c r="P207" s="68" t="str">
        <f t="shared" si="16"/>
        <v/>
      </c>
      <c r="Q207" s="68" t="str">
        <f t="shared" si="16"/>
        <v/>
      </c>
      <c r="R207" s="68" t="str">
        <f t="shared" si="16"/>
        <v/>
      </c>
      <c r="S207" s="68" t="str">
        <f t="shared" si="16"/>
        <v/>
      </c>
      <c r="T207" s="68" t="str">
        <f t="shared" si="16"/>
        <v/>
      </c>
      <c r="U207" s="68" t="str">
        <f t="shared" si="16"/>
        <v/>
      </c>
      <c r="V207" s="68" t="str">
        <f t="shared" si="16"/>
        <v/>
      </c>
      <c r="W207" s="68" t="str">
        <f t="shared" si="16"/>
        <v/>
      </c>
      <c r="X207" s="68" t="str">
        <f t="shared" si="16"/>
        <v/>
      </c>
      <c r="Y207" s="68" t="str">
        <f t="shared" si="16"/>
        <v/>
      </c>
      <c r="Z207" s="68" t="str">
        <f t="shared" si="16"/>
        <v/>
      </c>
      <c r="AA207" s="68" t="str">
        <f t="shared" si="16"/>
        <v/>
      </c>
      <c r="AB207" s="68" t="str">
        <f t="shared" si="16"/>
        <v/>
      </c>
      <c r="AC207" s="68" t="str">
        <f t="shared" si="16"/>
        <v/>
      </c>
      <c r="AD207" s="68" t="str">
        <f t="shared" si="16"/>
        <v/>
      </c>
      <c r="AE207" s="68" t="str">
        <f t="shared" si="16"/>
        <v/>
      </c>
      <c r="AF207" s="68" t="str">
        <f t="shared" si="16"/>
        <v/>
      </c>
      <c r="AG207" s="68" t="str">
        <f t="shared" si="16"/>
        <v/>
      </c>
      <c r="AH207" s="68" t="str">
        <f t="shared" si="16"/>
        <v/>
      </c>
      <c r="AI207" s="68" t="str">
        <f t="shared" si="16"/>
        <v/>
      </c>
      <c r="AJ207" s="68" t="str">
        <f t="shared" si="16"/>
        <v/>
      </c>
      <c r="AK207" s="68" t="str">
        <f t="shared" si="16"/>
        <v/>
      </c>
      <c r="AL207" s="68" t="str">
        <f t="shared" si="16"/>
        <v>*</v>
      </c>
      <c r="AM207" s="68" t="str">
        <f t="shared" si="16"/>
        <v/>
      </c>
      <c r="AN207" s="68" t="str">
        <f t="shared" si="16"/>
        <v/>
      </c>
      <c r="AO207" s="68" t="str">
        <f t="shared" si="16"/>
        <v>*</v>
      </c>
      <c r="AP207" s="68" t="str">
        <f t="shared" si="16"/>
        <v/>
      </c>
      <c r="AQ207" s="68" t="str">
        <f t="shared" si="16"/>
        <v/>
      </c>
      <c r="AR207" s="68" t="str">
        <f t="shared" si="16"/>
        <v/>
      </c>
      <c r="AS207" s="68" t="str">
        <f t="shared" si="16"/>
        <v/>
      </c>
      <c r="AT207" s="68" t="str">
        <f t="shared" si="16"/>
        <v/>
      </c>
      <c r="AU207" s="68" t="str">
        <f t="shared" si="16"/>
        <v/>
      </c>
      <c r="AV207" s="68" t="str">
        <f t="shared" si="16"/>
        <v/>
      </c>
      <c r="AW207" s="68" t="str">
        <f t="shared" si="16"/>
        <v/>
      </c>
      <c r="AX207" s="68" t="str">
        <f t="shared" si="16"/>
        <v/>
      </c>
      <c r="AY207" s="68" t="str">
        <f t="shared" si="16"/>
        <v/>
      </c>
      <c r="AZ207" s="68" t="str">
        <f t="shared" si="16"/>
        <v/>
      </c>
      <c r="BA207" s="68" t="str">
        <f t="shared" si="16"/>
        <v/>
      </c>
      <c r="BB207" s="68" t="str">
        <f t="shared" si="16"/>
        <v>*</v>
      </c>
      <c r="BC207" s="68" t="str">
        <f t="shared" si="16"/>
        <v/>
      </c>
      <c r="BD207" s="68" t="str">
        <f t="shared" si="16"/>
        <v/>
      </c>
      <c r="BE207" s="68" t="str">
        <f t="shared" si="16"/>
        <v>*</v>
      </c>
      <c r="BF207" s="68" t="str">
        <f t="shared" si="16"/>
        <v/>
      </c>
      <c r="BG207" s="68" t="str">
        <f t="shared" si="16"/>
        <v/>
      </c>
      <c r="BH207" s="68" t="str">
        <f t="shared" si="16"/>
        <v/>
      </c>
      <c r="BI207" s="68" t="str">
        <f t="shared" si="16"/>
        <v/>
      </c>
    </row>
    <row r="208" spans="1:61" ht="15.75" hidden="1" customHeight="1">
      <c r="A208" s="346"/>
      <c r="B208" s="65" t="s">
        <v>225</v>
      </c>
      <c r="C208" s="68" t="str">
        <f t="shared" si="11"/>
        <v/>
      </c>
      <c r="D208" s="68" t="str">
        <f t="shared" si="16"/>
        <v/>
      </c>
      <c r="E208" s="68" t="str">
        <f t="shared" si="16"/>
        <v/>
      </c>
      <c r="F208" s="68" t="str">
        <f t="shared" si="16"/>
        <v/>
      </c>
      <c r="G208" s="68" t="str">
        <f t="shared" si="16"/>
        <v/>
      </c>
      <c r="H208" s="68" t="str">
        <f t="shared" si="16"/>
        <v/>
      </c>
      <c r="I208" s="68" t="str">
        <f t="shared" si="16"/>
        <v/>
      </c>
      <c r="J208" s="68" t="str">
        <f t="shared" si="16"/>
        <v/>
      </c>
      <c r="K208" s="68" t="str">
        <f t="shared" si="16"/>
        <v/>
      </c>
      <c r="L208" s="68" t="str">
        <f t="shared" si="16"/>
        <v/>
      </c>
      <c r="M208" s="68" t="str">
        <f t="shared" si="16"/>
        <v/>
      </c>
      <c r="N208" s="68" t="str">
        <f t="shared" si="16"/>
        <v/>
      </c>
      <c r="O208" s="68" t="str">
        <f t="shared" si="16"/>
        <v/>
      </c>
      <c r="P208" s="68" t="str">
        <f t="shared" si="16"/>
        <v/>
      </c>
      <c r="Q208" s="68" t="str">
        <f t="shared" si="16"/>
        <v/>
      </c>
      <c r="R208" s="68" t="str">
        <f t="shared" si="16"/>
        <v/>
      </c>
      <c r="S208" s="68" t="str">
        <f t="shared" si="16"/>
        <v/>
      </c>
      <c r="T208" s="68" t="str">
        <f t="shared" si="16"/>
        <v/>
      </c>
      <c r="U208" s="68" t="str">
        <f t="shared" si="16"/>
        <v/>
      </c>
      <c r="V208" s="68" t="str">
        <f t="shared" si="16"/>
        <v/>
      </c>
      <c r="W208" s="68" t="str">
        <f t="shared" si="16"/>
        <v/>
      </c>
      <c r="X208" s="68" t="str">
        <f t="shared" si="16"/>
        <v/>
      </c>
      <c r="Y208" s="68" t="str">
        <f t="shared" si="16"/>
        <v/>
      </c>
      <c r="Z208" s="68" t="str">
        <f t="shared" si="16"/>
        <v/>
      </c>
      <c r="AA208" s="68" t="str">
        <f t="shared" si="16"/>
        <v/>
      </c>
      <c r="AB208" s="68" t="str">
        <f t="shared" si="16"/>
        <v/>
      </c>
      <c r="AC208" s="68" t="str">
        <f t="shared" si="16"/>
        <v/>
      </c>
      <c r="AD208" s="68" t="str">
        <f t="shared" si="16"/>
        <v/>
      </c>
      <c r="AE208" s="68" t="str">
        <f t="shared" si="16"/>
        <v/>
      </c>
      <c r="AF208" s="68" t="str">
        <f t="shared" si="16"/>
        <v/>
      </c>
      <c r="AG208" s="68" t="str">
        <f t="shared" si="16"/>
        <v/>
      </c>
      <c r="AH208" s="68" t="str">
        <f t="shared" si="16"/>
        <v/>
      </c>
      <c r="AI208" s="68" t="str">
        <f t="shared" si="16"/>
        <v/>
      </c>
      <c r="AJ208" s="68" t="str">
        <f t="shared" si="16"/>
        <v/>
      </c>
      <c r="AK208" s="68" t="str">
        <f t="shared" si="16"/>
        <v/>
      </c>
      <c r="AL208" s="68" t="str">
        <f t="shared" si="16"/>
        <v/>
      </c>
      <c r="AM208" s="68" t="str">
        <f t="shared" si="16"/>
        <v/>
      </c>
      <c r="AN208" s="68" t="str">
        <f t="shared" si="16"/>
        <v/>
      </c>
      <c r="AO208" s="68" t="str">
        <f t="shared" si="16"/>
        <v/>
      </c>
      <c r="AP208" s="68" t="str">
        <f t="shared" si="16"/>
        <v/>
      </c>
      <c r="AQ208" s="68" t="str">
        <f t="shared" si="16"/>
        <v/>
      </c>
      <c r="AR208" s="68" t="str">
        <f t="shared" si="16"/>
        <v/>
      </c>
      <c r="AS208" s="68" t="str">
        <f t="shared" si="16"/>
        <v/>
      </c>
      <c r="AT208" s="68" t="str">
        <f t="shared" si="16"/>
        <v/>
      </c>
      <c r="AU208" s="68" t="str">
        <f t="shared" si="16"/>
        <v/>
      </c>
      <c r="AV208" s="68" t="str">
        <f t="shared" si="16"/>
        <v/>
      </c>
      <c r="AW208" s="68" t="str">
        <f t="shared" si="16"/>
        <v/>
      </c>
      <c r="AX208" s="68" t="str">
        <f t="shared" si="16"/>
        <v/>
      </c>
      <c r="AY208" s="68" t="str">
        <f t="shared" si="16"/>
        <v/>
      </c>
      <c r="AZ208" s="68" t="str">
        <f t="shared" si="16"/>
        <v/>
      </c>
      <c r="BA208" s="68" t="str">
        <f t="shared" si="16"/>
        <v/>
      </c>
      <c r="BB208" s="68" t="str">
        <f t="shared" si="16"/>
        <v/>
      </c>
      <c r="BC208" s="68" t="str">
        <f t="shared" si="16"/>
        <v/>
      </c>
      <c r="BD208" s="68" t="str">
        <f t="shared" si="16"/>
        <v/>
      </c>
      <c r="BE208" s="68" t="str">
        <f t="shared" si="16"/>
        <v/>
      </c>
      <c r="BF208" s="68" t="str">
        <f t="shared" si="16"/>
        <v/>
      </c>
      <c r="BG208" s="68" t="str">
        <f t="shared" si="16"/>
        <v/>
      </c>
      <c r="BH208" s="68" t="str">
        <f t="shared" si="16"/>
        <v/>
      </c>
      <c r="BI208" s="68" t="str">
        <f t="shared" si="16"/>
        <v/>
      </c>
    </row>
    <row r="209" spans="1:61" ht="15.75" hidden="1" customHeight="1">
      <c r="A209" s="63" t="s">
        <v>219</v>
      </c>
      <c r="B209" s="64" t="s">
        <v>223</v>
      </c>
      <c r="C209" s="67" t="str">
        <f t="shared" si="11"/>
        <v/>
      </c>
      <c r="D209" s="67" t="str">
        <f t="shared" si="16"/>
        <v/>
      </c>
      <c r="E209" s="67" t="str">
        <f t="shared" si="16"/>
        <v/>
      </c>
      <c r="F209" s="67" t="str">
        <f t="shared" si="16"/>
        <v/>
      </c>
      <c r="G209" s="67" t="str">
        <f t="shared" si="16"/>
        <v/>
      </c>
      <c r="H209" s="67" t="str">
        <f t="shared" si="16"/>
        <v/>
      </c>
      <c r="I209" s="67" t="str">
        <f t="shared" si="16"/>
        <v/>
      </c>
      <c r="J209" s="67" t="str">
        <f t="shared" si="16"/>
        <v/>
      </c>
      <c r="K209" s="67" t="str">
        <f t="shared" si="16"/>
        <v/>
      </c>
      <c r="L209" s="67" t="str">
        <f t="shared" si="16"/>
        <v/>
      </c>
      <c r="M209" s="67" t="str">
        <f t="shared" si="16"/>
        <v/>
      </c>
      <c r="N209" s="67" t="str">
        <f t="shared" si="16"/>
        <v/>
      </c>
      <c r="O209" s="67" t="str">
        <f t="shared" si="16"/>
        <v/>
      </c>
      <c r="P209" s="67" t="str">
        <f t="shared" si="16"/>
        <v/>
      </c>
      <c r="Q209" s="67" t="str">
        <f t="shared" si="16"/>
        <v/>
      </c>
      <c r="R209" s="67" t="str">
        <f t="shared" si="16"/>
        <v/>
      </c>
      <c r="S209" s="67" t="str">
        <f t="shared" si="16"/>
        <v/>
      </c>
      <c r="T209" s="67" t="str">
        <f t="shared" si="16"/>
        <v/>
      </c>
      <c r="U209" s="67" t="str">
        <f t="shared" si="16"/>
        <v/>
      </c>
      <c r="V209" s="67" t="str">
        <f t="shared" si="16"/>
        <v/>
      </c>
      <c r="W209" s="67" t="str">
        <f t="shared" si="16"/>
        <v/>
      </c>
      <c r="X209" s="67" t="str">
        <f t="shared" si="16"/>
        <v/>
      </c>
      <c r="Y209" s="67" t="str">
        <f t="shared" si="16"/>
        <v/>
      </c>
      <c r="Z209" s="67" t="str">
        <f t="shared" si="16"/>
        <v/>
      </c>
      <c r="AA209" s="67" t="str">
        <f t="shared" si="16"/>
        <v/>
      </c>
      <c r="AB209" s="67" t="str">
        <f t="shared" ref="D209:BI213" si="17">IF(AB139=AB64,"","*")</f>
        <v/>
      </c>
      <c r="AC209" s="67" t="str">
        <f t="shared" si="17"/>
        <v/>
      </c>
      <c r="AD209" s="67" t="str">
        <f t="shared" si="17"/>
        <v/>
      </c>
      <c r="AE209" s="67" t="str">
        <f t="shared" si="17"/>
        <v/>
      </c>
      <c r="AF209" s="67" t="str">
        <f t="shared" si="17"/>
        <v/>
      </c>
      <c r="AG209" s="67" t="str">
        <f t="shared" si="17"/>
        <v/>
      </c>
      <c r="AH209" s="67" t="str">
        <f t="shared" si="17"/>
        <v/>
      </c>
      <c r="AI209" s="67" t="str">
        <f t="shared" si="17"/>
        <v/>
      </c>
      <c r="AJ209" s="67" t="str">
        <f t="shared" si="17"/>
        <v/>
      </c>
      <c r="AK209" s="67" t="str">
        <f t="shared" si="17"/>
        <v/>
      </c>
      <c r="AL209" s="67" t="str">
        <f t="shared" si="17"/>
        <v/>
      </c>
      <c r="AM209" s="67" t="str">
        <f t="shared" si="17"/>
        <v/>
      </c>
      <c r="AN209" s="67" t="str">
        <f t="shared" si="17"/>
        <v/>
      </c>
      <c r="AO209" s="67" t="str">
        <f t="shared" si="17"/>
        <v/>
      </c>
      <c r="AP209" s="67" t="str">
        <f t="shared" si="17"/>
        <v/>
      </c>
      <c r="AQ209" s="67" t="str">
        <f t="shared" si="17"/>
        <v/>
      </c>
      <c r="AR209" s="67" t="str">
        <f t="shared" si="17"/>
        <v/>
      </c>
      <c r="AS209" s="67" t="str">
        <f t="shared" si="17"/>
        <v/>
      </c>
      <c r="AT209" s="67" t="str">
        <f t="shared" si="17"/>
        <v/>
      </c>
      <c r="AU209" s="67" t="str">
        <f t="shared" si="17"/>
        <v/>
      </c>
      <c r="AV209" s="67" t="str">
        <f t="shared" si="17"/>
        <v/>
      </c>
      <c r="AW209" s="67" t="str">
        <f t="shared" si="17"/>
        <v/>
      </c>
      <c r="AX209" s="67" t="str">
        <f t="shared" si="17"/>
        <v/>
      </c>
      <c r="AY209" s="67" t="str">
        <f t="shared" si="17"/>
        <v/>
      </c>
      <c r="AZ209" s="67" t="str">
        <f t="shared" si="17"/>
        <v/>
      </c>
      <c r="BA209" s="67" t="str">
        <f t="shared" si="17"/>
        <v/>
      </c>
      <c r="BB209" s="67" t="str">
        <f t="shared" si="17"/>
        <v/>
      </c>
      <c r="BC209" s="67" t="str">
        <f t="shared" si="17"/>
        <v/>
      </c>
      <c r="BD209" s="67" t="str">
        <f t="shared" si="17"/>
        <v/>
      </c>
      <c r="BE209" s="67" t="str">
        <f t="shared" si="17"/>
        <v/>
      </c>
      <c r="BF209" s="67" t="str">
        <f t="shared" si="17"/>
        <v/>
      </c>
      <c r="BG209" s="67" t="str">
        <f t="shared" si="17"/>
        <v/>
      </c>
      <c r="BH209" s="67" t="str">
        <f t="shared" si="17"/>
        <v/>
      </c>
      <c r="BI209" s="67" t="str">
        <f t="shared" si="17"/>
        <v/>
      </c>
    </row>
    <row r="210" spans="1:61" ht="15.75" hidden="1" customHeight="1">
      <c r="A210" s="345" t="s">
        <v>20</v>
      </c>
      <c r="B210" s="65" t="s">
        <v>224</v>
      </c>
      <c r="C210" s="68" t="str">
        <f t="shared" si="11"/>
        <v/>
      </c>
      <c r="D210" s="68" t="str">
        <f t="shared" si="17"/>
        <v/>
      </c>
      <c r="E210" s="68" t="str">
        <f t="shared" si="17"/>
        <v/>
      </c>
      <c r="F210" s="68" t="str">
        <f t="shared" si="17"/>
        <v/>
      </c>
      <c r="G210" s="68" t="str">
        <f t="shared" si="17"/>
        <v/>
      </c>
      <c r="H210" s="68" t="str">
        <f t="shared" si="17"/>
        <v/>
      </c>
      <c r="I210" s="68" t="str">
        <f t="shared" si="17"/>
        <v/>
      </c>
      <c r="J210" s="68" t="str">
        <f t="shared" si="17"/>
        <v/>
      </c>
      <c r="K210" s="68" t="str">
        <f t="shared" si="17"/>
        <v/>
      </c>
      <c r="L210" s="68" t="str">
        <f t="shared" si="17"/>
        <v/>
      </c>
      <c r="M210" s="68" t="str">
        <f t="shared" si="17"/>
        <v/>
      </c>
      <c r="N210" s="68" t="str">
        <f t="shared" si="17"/>
        <v/>
      </c>
      <c r="O210" s="68" t="str">
        <f t="shared" si="17"/>
        <v/>
      </c>
      <c r="P210" s="68" t="str">
        <f t="shared" si="17"/>
        <v/>
      </c>
      <c r="Q210" s="68" t="str">
        <f t="shared" si="17"/>
        <v/>
      </c>
      <c r="R210" s="68" t="str">
        <f t="shared" si="17"/>
        <v/>
      </c>
      <c r="S210" s="68" t="str">
        <f t="shared" si="17"/>
        <v/>
      </c>
      <c r="T210" s="68" t="str">
        <f t="shared" si="17"/>
        <v/>
      </c>
      <c r="U210" s="68" t="str">
        <f t="shared" si="17"/>
        <v/>
      </c>
      <c r="V210" s="68" t="str">
        <f t="shared" si="17"/>
        <v/>
      </c>
      <c r="W210" s="68" t="str">
        <f t="shared" si="17"/>
        <v/>
      </c>
      <c r="X210" s="68" t="str">
        <f t="shared" si="17"/>
        <v/>
      </c>
      <c r="Y210" s="68" t="str">
        <f t="shared" si="17"/>
        <v/>
      </c>
      <c r="Z210" s="68" t="str">
        <f t="shared" si="17"/>
        <v/>
      </c>
      <c r="AA210" s="68" t="str">
        <f t="shared" si="17"/>
        <v/>
      </c>
      <c r="AB210" s="68" t="str">
        <f t="shared" si="17"/>
        <v/>
      </c>
      <c r="AC210" s="68" t="str">
        <f t="shared" si="17"/>
        <v/>
      </c>
      <c r="AD210" s="68" t="str">
        <f t="shared" si="17"/>
        <v/>
      </c>
      <c r="AE210" s="68" t="str">
        <f t="shared" si="17"/>
        <v/>
      </c>
      <c r="AF210" s="68" t="str">
        <f t="shared" si="17"/>
        <v/>
      </c>
      <c r="AG210" s="68" t="str">
        <f t="shared" si="17"/>
        <v/>
      </c>
      <c r="AH210" s="68" t="str">
        <f t="shared" si="17"/>
        <v/>
      </c>
      <c r="AI210" s="68" t="str">
        <f t="shared" si="17"/>
        <v/>
      </c>
      <c r="AJ210" s="68" t="str">
        <f t="shared" si="17"/>
        <v/>
      </c>
      <c r="AK210" s="68" t="str">
        <f t="shared" si="17"/>
        <v/>
      </c>
      <c r="AL210" s="68" t="str">
        <f t="shared" si="17"/>
        <v/>
      </c>
      <c r="AM210" s="68" t="str">
        <f t="shared" si="17"/>
        <v/>
      </c>
      <c r="AN210" s="68" t="str">
        <f t="shared" si="17"/>
        <v/>
      </c>
      <c r="AO210" s="68" t="str">
        <f t="shared" si="17"/>
        <v/>
      </c>
      <c r="AP210" s="68" t="str">
        <f t="shared" si="17"/>
        <v/>
      </c>
      <c r="AQ210" s="68" t="str">
        <f t="shared" si="17"/>
        <v/>
      </c>
      <c r="AR210" s="68" t="str">
        <f t="shared" si="17"/>
        <v/>
      </c>
      <c r="AS210" s="68" t="str">
        <f t="shared" si="17"/>
        <v/>
      </c>
      <c r="AT210" s="68" t="str">
        <f t="shared" si="17"/>
        <v/>
      </c>
      <c r="AU210" s="68" t="str">
        <f t="shared" si="17"/>
        <v/>
      </c>
      <c r="AV210" s="68" t="str">
        <f t="shared" si="17"/>
        <v/>
      </c>
      <c r="AW210" s="68" t="str">
        <f t="shared" si="17"/>
        <v/>
      </c>
      <c r="AX210" s="68" t="str">
        <f t="shared" si="17"/>
        <v/>
      </c>
      <c r="AY210" s="68" t="str">
        <f t="shared" si="17"/>
        <v/>
      </c>
      <c r="AZ210" s="68" t="str">
        <f t="shared" si="17"/>
        <v/>
      </c>
      <c r="BA210" s="68" t="str">
        <f t="shared" si="17"/>
        <v/>
      </c>
      <c r="BB210" s="68" t="str">
        <f t="shared" si="17"/>
        <v/>
      </c>
      <c r="BC210" s="68" t="str">
        <f t="shared" si="17"/>
        <v/>
      </c>
      <c r="BD210" s="68" t="str">
        <f t="shared" si="17"/>
        <v/>
      </c>
      <c r="BE210" s="68" t="str">
        <f t="shared" si="17"/>
        <v/>
      </c>
      <c r="BF210" s="68" t="str">
        <f t="shared" si="17"/>
        <v/>
      </c>
      <c r="BG210" s="68" t="str">
        <f t="shared" si="17"/>
        <v/>
      </c>
      <c r="BH210" s="68" t="str">
        <f t="shared" si="17"/>
        <v/>
      </c>
      <c r="BI210" s="68" t="str">
        <f t="shared" si="17"/>
        <v/>
      </c>
    </row>
    <row r="211" spans="1:61" ht="15.75" hidden="1" customHeight="1">
      <c r="A211" s="346"/>
      <c r="B211" s="65" t="s">
        <v>225</v>
      </c>
      <c r="C211" s="68" t="str">
        <f t="shared" si="11"/>
        <v/>
      </c>
      <c r="D211" s="68" t="str">
        <f t="shared" si="17"/>
        <v/>
      </c>
      <c r="E211" s="68" t="str">
        <f t="shared" si="17"/>
        <v/>
      </c>
      <c r="F211" s="68" t="str">
        <f t="shared" si="17"/>
        <v/>
      </c>
      <c r="G211" s="68" t="str">
        <f t="shared" si="17"/>
        <v/>
      </c>
      <c r="H211" s="68" t="str">
        <f t="shared" si="17"/>
        <v/>
      </c>
      <c r="I211" s="68" t="str">
        <f t="shared" si="17"/>
        <v/>
      </c>
      <c r="J211" s="68" t="str">
        <f t="shared" si="17"/>
        <v/>
      </c>
      <c r="K211" s="68" t="str">
        <f t="shared" si="17"/>
        <v/>
      </c>
      <c r="L211" s="68" t="str">
        <f t="shared" si="17"/>
        <v/>
      </c>
      <c r="M211" s="68" t="str">
        <f t="shared" si="17"/>
        <v/>
      </c>
      <c r="N211" s="68" t="str">
        <f t="shared" si="17"/>
        <v/>
      </c>
      <c r="O211" s="68" t="str">
        <f t="shared" si="17"/>
        <v/>
      </c>
      <c r="P211" s="68" t="str">
        <f t="shared" si="17"/>
        <v/>
      </c>
      <c r="Q211" s="68" t="str">
        <f t="shared" si="17"/>
        <v/>
      </c>
      <c r="R211" s="68" t="str">
        <f t="shared" si="17"/>
        <v/>
      </c>
      <c r="S211" s="68" t="str">
        <f t="shared" si="17"/>
        <v/>
      </c>
      <c r="T211" s="68" t="str">
        <f t="shared" si="17"/>
        <v/>
      </c>
      <c r="U211" s="68" t="str">
        <f t="shared" si="17"/>
        <v/>
      </c>
      <c r="V211" s="68" t="str">
        <f t="shared" si="17"/>
        <v/>
      </c>
      <c r="W211" s="68" t="str">
        <f t="shared" si="17"/>
        <v/>
      </c>
      <c r="X211" s="68" t="str">
        <f t="shared" si="17"/>
        <v/>
      </c>
      <c r="Y211" s="68" t="str">
        <f t="shared" si="17"/>
        <v/>
      </c>
      <c r="Z211" s="68" t="str">
        <f t="shared" si="17"/>
        <v/>
      </c>
      <c r="AA211" s="68" t="str">
        <f t="shared" si="17"/>
        <v/>
      </c>
      <c r="AB211" s="68" t="str">
        <f t="shared" si="17"/>
        <v/>
      </c>
      <c r="AC211" s="68" t="str">
        <f t="shared" si="17"/>
        <v/>
      </c>
      <c r="AD211" s="68" t="str">
        <f t="shared" si="17"/>
        <v/>
      </c>
      <c r="AE211" s="68" t="str">
        <f t="shared" si="17"/>
        <v/>
      </c>
      <c r="AF211" s="68" t="str">
        <f t="shared" si="17"/>
        <v/>
      </c>
      <c r="AG211" s="68" t="str">
        <f t="shared" si="17"/>
        <v/>
      </c>
      <c r="AH211" s="68" t="str">
        <f t="shared" si="17"/>
        <v/>
      </c>
      <c r="AI211" s="68" t="str">
        <f t="shared" si="17"/>
        <v/>
      </c>
      <c r="AJ211" s="68" t="str">
        <f t="shared" si="17"/>
        <v/>
      </c>
      <c r="AK211" s="68" t="str">
        <f t="shared" si="17"/>
        <v/>
      </c>
      <c r="AL211" s="68" t="str">
        <f t="shared" si="17"/>
        <v/>
      </c>
      <c r="AM211" s="68" t="str">
        <f t="shared" si="17"/>
        <v/>
      </c>
      <c r="AN211" s="68" t="str">
        <f t="shared" si="17"/>
        <v/>
      </c>
      <c r="AO211" s="68" t="str">
        <f t="shared" si="17"/>
        <v/>
      </c>
      <c r="AP211" s="68" t="str">
        <f t="shared" si="17"/>
        <v/>
      </c>
      <c r="AQ211" s="68" t="str">
        <f t="shared" si="17"/>
        <v/>
      </c>
      <c r="AR211" s="68" t="str">
        <f t="shared" si="17"/>
        <v/>
      </c>
      <c r="AS211" s="68" t="str">
        <f t="shared" si="17"/>
        <v/>
      </c>
      <c r="AT211" s="68" t="str">
        <f t="shared" si="17"/>
        <v/>
      </c>
      <c r="AU211" s="68" t="str">
        <f t="shared" si="17"/>
        <v/>
      </c>
      <c r="AV211" s="68" t="str">
        <f t="shared" si="17"/>
        <v/>
      </c>
      <c r="AW211" s="68" t="str">
        <f t="shared" si="17"/>
        <v/>
      </c>
      <c r="AX211" s="68" t="str">
        <f t="shared" si="17"/>
        <v/>
      </c>
      <c r="AY211" s="68" t="str">
        <f t="shared" si="17"/>
        <v/>
      </c>
      <c r="AZ211" s="68" t="str">
        <f t="shared" si="17"/>
        <v/>
      </c>
      <c r="BA211" s="68" t="str">
        <f t="shared" si="17"/>
        <v/>
      </c>
      <c r="BB211" s="68" t="str">
        <f t="shared" si="17"/>
        <v/>
      </c>
      <c r="BC211" s="68" t="str">
        <f t="shared" si="17"/>
        <v/>
      </c>
      <c r="BD211" s="68" t="str">
        <f t="shared" si="17"/>
        <v/>
      </c>
      <c r="BE211" s="68" t="str">
        <f t="shared" si="17"/>
        <v/>
      </c>
      <c r="BF211" s="68" t="str">
        <f t="shared" si="17"/>
        <v/>
      </c>
      <c r="BG211" s="68" t="str">
        <f t="shared" si="17"/>
        <v/>
      </c>
      <c r="BH211" s="68" t="str">
        <f t="shared" si="17"/>
        <v/>
      </c>
      <c r="BI211" s="68" t="str">
        <f t="shared" si="17"/>
        <v/>
      </c>
    </row>
    <row r="212" spans="1:61" ht="15.75" hidden="1" customHeight="1">
      <c r="A212" s="63" t="s">
        <v>220</v>
      </c>
      <c r="B212" s="64" t="s">
        <v>223</v>
      </c>
      <c r="C212" s="67" t="str">
        <f t="shared" si="11"/>
        <v/>
      </c>
      <c r="D212" s="67" t="str">
        <f t="shared" si="17"/>
        <v/>
      </c>
      <c r="E212" s="67" t="str">
        <f t="shared" si="17"/>
        <v/>
      </c>
      <c r="F212" s="67" t="str">
        <f t="shared" si="17"/>
        <v/>
      </c>
      <c r="G212" s="67" t="str">
        <f t="shared" si="17"/>
        <v/>
      </c>
      <c r="H212" s="67" t="str">
        <f t="shared" si="17"/>
        <v/>
      </c>
      <c r="I212" s="67" t="str">
        <f t="shared" si="17"/>
        <v/>
      </c>
      <c r="J212" s="67" t="str">
        <f t="shared" si="17"/>
        <v/>
      </c>
      <c r="K212" s="67" t="str">
        <f t="shared" si="17"/>
        <v/>
      </c>
      <c r="L212" s="67" t="str">
        <f t="shared" si="17"/>
        <v/>
      </c>
      <c r="M212" s="67" t="str">
        <f t="shared" si="17"/>
        <v/>
      </c>
      <c r="N212" s="67" t="str">
        <f t="shared" si="17"/>
        <v/>
      </c>
      <c r="O212" s="67" t="str">
        <f t="shared" si="17"/>
        <v/>
      </c>
      <c r="P212" s="67" t="str">
        <f t="shared" si="17"/>
        <v/>
      </c>
      <c r="Q212" s="67" t="str">
        <f t="shared" si="17"/>
        <v/>
      </c>
      <c r="R212" s="67" t="str">
        <f t="shared" si="17"/>
        <v/>
      </c>
      <c r="S212" s="67" t="str">
        <f t="shared" si="17"/>
        <v/>
      </c>
      <c r="T212" s="67" t="str">
        <f t="shared" si="17"/>
        <v/>
      </c>
      <c r="U212" s="67" t="str">
        <f t="shared" si="17"/>
        <v/>
      </c>
      <c r="V212" s="67" t="str">
        <f t="shared" si="17"/>
        <v/>
      </c>
      <c r="W212" s="67" t="str">
        <f t="shared" si="17"/>
        <v/>
      </c>
      <c r="X212" s="67" t="str">
        <f t="shared" si="17"/>
        <v/>
      </c>
      <c r="Y212" s="67" t="str">
        <f t="shared" si="17"/>
        <v/>
      </c>
      <c r="Z212" s="67" t="str">
        <f t="shared" si="17"/>
        <v/>
      </c>
      <c r="AA212" s="67" t="str">
        <f t="shared" si="17"/>
        <v/>
      </c>
      <c r="AB212" s="67" t="str">
        <f t="shared" si="17"/>
        <v/>
      </c>
      <c r="AC212" s="67" t="str">
        <f t="shared" si="17"/>
        <v/>
      </c>
      <c r="AD212" s="67" t="str">
        <f t="shared" si="17"/>
        <v/>
      </c>
      <c r="AE212" s="67" t="str">
        <f t="shared" si="17"/>
        <v/>
      </c>
      <c r="AF212" s="67" t="str">
        <f t="shared" si="17"/>
        <v/>
      </c>
      <c r="AG212" s="67" t="str">
        <f t="shared" si="17"/>
        <v/>
      </c>
      <c r="AH212" s="67" t="str">
        <f t="shared" si="17"/>
        <v/>
      </c>
      <c r="AI212" s="67" t="str">
        <f t="shared" si="17"/>
        <v/>
      </c>
      <c r="AJ212" s="67" t="str">
        <f t="shared" si="17"/>
        <v/>
      </c>
      <c r="AK212" s="67" t="str">
        <f t="shared" si="17"/>
        <v/>
      </c>
      <c r="AL212" s="67" t="str">
        <f t="shared" si="17"/>
        <v/>
      </c>
      <c r="AM212" s="67" t="str">
        <f t="shared" si="17"/>
        <v/>
      </c>
      <c r="AN212" s="67" t="str">
        <f t="shared" si="17"/>
        <v/>
      </c>
      <c r="AO212" s="67" t="str">
        <f t="shared" si="17"/>
        <v/>
      </c>
      <c r="AP212" s="67" t="str">
        <f t="shared" si="17"/>
        <v/>
      </c>
      <c r="AQ212" s="67" t="str">
        <f t="shared" si="17"/>
        <v/>
      </c>
      <c r="AR212" s="67" t="str">
        <f t="shared" si="17"/>
        <v/>
      </c>
      <c r="AS212" s="67" t="str">
        <f t="shared" si="17"/>
        <v/>
      </c>
      <c r="AT212" s="67" t="str">
        <f t="shared" si="17"/>
        <v/>
      </c>
      <c r="AU212" s="67" t="str">
        <f t="shared" si="17"/>
        <v/>
      </c>
      <c r="AV212" s="67" t="str">
        <f t="shared" si="17"/>
        <v/>
      </c>
      <c r="AW212" s="67" t="str">
        <f t="shared" si="17"/>
        <v/>
      </c>
      <c r="AX212" s="67" t="str">
        <f t="shared" si="17"/>
        <v/>
      </c>
      <c r="AY212" s="67" t="str">
        <f t="shared" si="17"/>
        <v/>
      </c>
      <c r="AZ212" s="67" t="str">
        <f t="shared" si="17"/>
        <v/>
      </c>
      <c r="BA212" s="67" t="str">
        <f t="shared" si="17"/>
        <v/>
      </c>
      <c r="BB212" s="67" t="str">
        <f t="shared" si="17"/>
        <v/>
      </c>
      <c r="BC212" s="67" t="str">
        <f t="shared" si="17"/>
        <v/>
      </c>
      <c r="BD212" s="67" t="str">
        <f t="shared" si="17"/>
        <v/>
      </c>
      <c r="BE212" s="67" t="str">
        <f t="shared" si="17"/>
        <v/>
      </c>
      <c r="BF212" s="67" t="str">
        <f t="shared" si="17"/>
        <v/>
      </c>
      <c r="BG212" s="67" t="str">
        <f t="shared" si="17"/>
        <v/>
      </c>
      <c r="BH212" s="67" t="str">
        <f t="shared" si="17"/>
        <v/>
      </c>
      <c r="BI212" s="67" t="str">
        <f t="shared" si="17"/>
        <v/>
      </c>
    </row>
    <row r="213" spans="1:61" ht="15.75" hidden="1" customHeight="1">
      <c r="A213" s="345" t="s">
        <v>21</v>
      </c>
      <c r="B213" s="65" t="s">
        <v>224</v>
      </c>
      <c r="C213" s="68" t="str">
        <f t="shared" si="11"/>
        <v/>
      </c>
      <c r="D213" s="68" t="str">
        <f t="shared" si="17"/>
        <v/>
      </c>
      <c r="E213" s="68" t="str">
        <f t="shared" si="17"/>
        <v/>
      </c>
      <c r="F213" s="68" t="str">
        <f t="shared" si="17"/>
        <v/>
      </c>
      <c r="G213" s="68" t="str">
        <f t="shared" si="17"/>
        <v/>
      </c>
      <c r="H213" s="68" t="str">
        <f t="shared" si="17"/>
        <v/>
      </c>
      <c r="I213" s="68" t="str">
        <f t="shared" si="17"/>
        <v/>
      </c>
      <c r="J213" s="68" t="str">
        <f t="shared" si="17"/>
        <v/>
      </c>
      <c r="K213" s="68" t="str">
        <f t="shared" si="17"/>
        <v/>
      </c>
      <c r="L213" s="68" t="str">
        <f t="shared" si="17"/>
        <v/>
      </c>
      <c r="M213" s="68" t="str">
        <f t="shared" si="17"/>
        <v/>
      </c>
      <c r="N213" s="68" t="str">
        <f t="shared" si="17"/>
        <v/>
      </c>
      <c r="O213" s="68" t="str">
        <f t="shared" si="17"/>
        <v/>
      </c>
      <c r="P213" s="68" t="str">
        <f t="shared" si="17"/>
        <v/>
      </c>
      <c r="Q213" s="68" t="str">
        <f t="shared" si="17"/>
        <v/>
      </c>
      <c r="R213" s="68" t="str">
        <f t="shared" si="17"/>
        <v/>
      </c>
      <c r="S213" s="68" t="str">
        <f t="shared" si="17"/>
        <v/>
      </c>
      <c r="T213" s="68" t="str">
        <f t="shared" si="17"/>
        <v/>
      </c>
      <c r="U213" s="68" t="str">
        <f t="shared" si="17"/>
        <v/>
      </c>
      <c r="V213" s="68" t="str">
        <f t="shared" si="17"/>
        <v/>
      </c>
      <c r="W213" s="68" t="str">
        <f t="shared" si="17"/>
        <v/>
      </c>
      <c r="X213" s="68" t="str">
        <f t="shared" si="17"/>
        <v/>
      </c>
      <c r="Y213" s="68" t="str">
        <f t="shared" si="17"/>
        <v/>
      </c>
      <c r="Z213" s="68" t="str">
        <f t="shared" si="17"/>
        <v/>
      </c>
      <c r="AA213" s="68" t="str">
        <f t="shared" si="17"/>
        <v/>
      </c>
      <c r="AB213" s="68" t="str">
        <f t="shared" si="17"/>
        <v/>
      </c>
      <c r="AC213" s="68" t="str">
        <f t="shared" si="17"/>
        <v/>
      </c>
      <c r="AD213" s="68" t="str">
        <f t="shared" si="17"/>
        <v/>
      </c>
      <c r="AE213" s="68" t="str">
        <f t="shared" si="17"/>
        <v/>
      </c>
      <c r="AF213" s="68" t="str">
        <f t="shared" si="17"/>
        <v/>
      </c>
      <c r="AG213" s="68" t="str">
        <f t="shared" si="17"/>
        <v/>
      </c>
      <c r="AH213" s="68" t="str">
        <f t="shared" si="17"/>
        <v/>
      </c>
      <c r="AI213" s="68" t="str">
        <f t="shared" si="17"/>
        <v/>
      </c>
      <c r="AJ213" s="68" t="str">
        <f t="shared" si="17"/>
        <v/>
      </c>
      <c r="AK213" s="68" t="str">
        <f t="shared" si="17"/>
        <v/>
      </c>
      <c r="AL213" s="68" t="str">
        <f t="shared" si="17"/>
        <v/>
      </c>
      <c r="AM213" s="68" t="str">
        <f t="shared" si="17"/>
        <v/>
      </c>
      <c r="AN213" s="68" t="str">
        <f t="shared" si="17"/>
        <v/>
      </c>
      <c r="AO213" s="68" t="str">
        <f t="shared" si="17"/>
        <v/>
      </c>
      <c r="AP213" s="68" t="str">
        <f t="shared" si="17"/>
        <v/>
      </c>
      <c r="AQ213" s="68" t="str">
        <f t="shared" si="17"/>
        <v/>
      </c>
      <c r="AR213" s="68" t="str">
        <f t="shared" si="17"/>
        <v/>
      </c>
      <c r="AS213" s="68" t="str">
        <f t="shared" si="17"/>
        <v/>
      </c>
      <c r="AT213" s="68" t="str">
        <f t="shared" si="17"/>
        <v/>
      </c>
      <c r="AU213" s="68" t="str">
        <f t="shared" si="17"/>
        <v/>
      </c>
      <c r="AV213" s="68" t="str">
        <f t="shared" si="17"/>
        <v/>
      </c>
      <c r="AW213" s="68" t="str">
        <f t="shared" si="17"/>
        <v/>
      </c>
      <c r="AX213" s="68" t="str">
        <f t="shared" si="17"/>
        <v/>
      </c>
      <c r="AY213" s="68" t="str">
        <f t="shared" ref="D213:BI218" si="18">IF(AY143=AY68,"","*")</f>
        <v/>
      </c>
      <c r="AZ213" s="68" t="str">
        <f t="shared" si="18"/>
        <v/>
      </c>
      <c r="BA213" s="68" t="str">
        <f t="shared" si="18"/>
        <v/>
      </c>
      <c r="BB213" s="68" t="str">
        <f t="shared" si="18"/>
        <v/>
      </c>
      <c r="BC213" s="68" t="str">
        <f t="shared" si="18"/>
        <v/>
      </c>
      <c r="BD213" s="68" t="str">
        <f t="shared" si="18"/>
        <v/>
      </c>
      <c r="BE213" s="68" t="str">
        <f t="shared" si="18"/>
        <v/>
      </c>
      <c r="BF213" s="68" t="str">
        <f t="shared" si="18"/>
        <v/>
      </c>
      <c r="BG213" s="68" t="str">
        <f t="shared" si="18"/>
        <v/>
      </c>
      <c r="BH213" s="68" t="str">
        <f t="shared" si="18"/>
        <v/>
      </c>
      <c r="BI213" s="68" t="str">
        <f t="shared" si="18"/>
        <v/>
      </c>
    </row>
    <row r="214" spans="1:61" ht="15.75" hidden="1" customHeight="1">
      <c r="A214" s="346"/>
      <c r="B214" s="65" t="s">
        <v>225</v>
      </c>
      <c r="C214" s="68" t="str">
        <f t="shared" si="11"/>
        <v/>
      </c>
      <c r="D214" s="68" t="str">
        <f t="shared" si="18"/>
        <v/>
      </c>
      <c r="E214" s="68" t="str">
        <f t="shared" si="18"/>
        <v/>
      </c>
      <c r="F214" s="68" t="str">
        <f t="shared" si="18"/>
        <v/>
      </c>
      <c r="G214" s="68" t="str">
        <f t="shared" si="18"/>
        <v/>
      </c>
      <c r="H214" s="68" t="str">
        <f t="shared" si="18"/>
        <v/>
      </c>
      <c r="I214" s="68" t="str">
        <f t="shared" si="18"/>
        <v/>
      </c>
      <c r="J214" s="68" t="str">
        <f t="shared" si="18"/>
        <v/>
      </c>
      <c r="K214" s="68" t="str">
        <f t="shared" si="18"/>
        <v/>
      </c>
      <c r="L214" s="68" t="str">
        <f t="shared" si="18"/>
        <v/>
      </c>
      <c r="M214" s="68" t="str">
        <f t="shared" si="18"/>
        <v/>
      </c>
      <c r="N214" s="68" t="str">
        <f t="shared" si="18"/>
        <v/>
      </c>
      <c r="O214" s="68" t="str">
        <f t="shared" si="18"/>
        <v/>
      </c>
      <c r="P214" s="68" t="str">
        <f t="shared" si="18"/>
        <v/>
      </c>
      <c r="Q214" s="68" t="str">
        <f t="shared" si="18"/>
        <v/>
      </c>
      <c r="R214" s="68" t="str">
        <f t="shared" si="18"/>
        <v/>
      </c>
      <c r="S214" s="68" t="str">
        <f t="shared" si="18"/>
        <v/>
      </c>
      <c r="T214" s="68" t="str">
        <f t="shared" si="18"/>
        <v/>
      </c>
      <c r="U214" s="68" t="str">
        <f t="shared" si="18"/>
        <v/>
      </c>
      <c r="V214" s="68" t="str">
        <f t="shared" si="18"/>
        <v/>
      </c>
      <c r="W214" s="68" t="str">
        <f t="shared" si="18"/>
        <v/>
      </c>
      <c r="X214" s="68" t="str">
        <f t="shared" si="18"/>
        <v/>
      </c>
      <c r="Y214" s="68" t="str">
        <f t="shared" si="18"/>
        <v/>
      </c>
      <c r="Z214" s="68" t="str">
        <f t="shared" si="18"/>
        <v/>
      </c>
      <c r="AA214" s="68" t="str">
        <f t="shared" si="18"/>
        <v/>
      </c>
      <c r="AB214" s="68" t="str">
        <f t="shared" si="18"/>
        <v/>
      </c>
      <c r="AC214" s="68" t="str">
        <f t="shared" si="18"/>
        <v/>
      </c>
      <c r="AD214" s="68" t="str">
        <f t="shared" si="18"/>
        <v/>
      </c>
      <c r="AE214" s="68" t="str">
        <f t="shared" si="18"/>
        <v/>
      </c>
      <c r="AF214" s="68" t="str">
        <f t="shared" si="18"/>
        <v/>
      </c>
      <c r="AG214" s="68" t="str">
        <f t="shared" si="18"/>
        <v/>
      </c>
      <c r="AH214" s="68" t="str">
        <f t="shared" si="18"/>
        <v/>
      </c>
      <c r="AI214" s="68" t="str">
        <f t="shared" si="18"/>
        <v/>
      </c>
      <c r="AJ214" s="68" t="str">
        <f t="shared" si="18"/>
        <v/>
      </c>
      <c r="AK214" s="68" t="str">
        <f t="shared" si="18"/>
        <v/>
      </c>
      <c r="AL214" s="68" t="str">
        <f t="shared" si="18"/>
        <v/>
      </c>
      <c r="AM214" s="68" t="str">
        <f t="shared" si="18"/>
        <v/>
      </c>
      <c r="AN214" s="68" t="str">
        <f t="shared" si="18"/>
        <v/>
      </c>
      <c r="AO214" s="68" t="str">
        <f t="shared" si="18"/>
        <v/>
      </c>
      <c r="AP214" s="68" t="str">
        <f t="shared" si="18"/>
        <v/>
      </c>
      <c r="AQ214" s="68" t="str">
        <f t="shared" si="18"/>
        <v/>
      </c>
      <c r="AR214" s="68" t="str">
        <f t="shared" si="18"/>
        <v/>
      </c>
      <c r="AS214" s="68" t="str">
        <f t="shared" si="18"/>
        <v/>
      </c>
      <c r="AT214" s="68" t="str">
        <f t="shared" si="18"/>
        <v/>
      </c>
      <c r="AU214" s="68" t="str">
        <f t="shared" si="18"/>
        <v/>
      </c>
      <c r="AV214" s="68" t="str">
        <f t="shared" si="18"/>
        <v/>
      </c>
      <c r="AW214" s="68" t="str">
        <f t="shared" si="18"/>
        <v/>
      </c>
      <c r="AX214" s="68" t="str">
        <f t="shared" si="18"/>
        <v/>
      </c>
      <c r="AY214" s="68" t="str">
        <f t="shared" si="18"/>
        <v/>
      </c>
      <c r="AZ214" s="68" t="str">
        <f t="shared" si="18"/>
        <v/>
      </c>
      <c r="BA214" s="68" t="str">
        <f t="shared" si="18"/>
        <v/>
      </c>
      <c r="BB214" s="68" t="str">
        <f t="shared" si="18"/>
        <v/>
      </c>
      <c r="BC214" s="68" t="str">
        <f t="shared" si="18"/>
        <v/>
      </c>
      <c r="BD214" s="68" t="str">
        <f t="shared" si="18"/>
        <v/>
      </c>
      <c r="BE214" s="68" t="str">
        <f t="shared" si="18"/>
        <v/>
      </c>
      <c r="BF214" s="68" t="str">
        <f t="shared" si="18"/>
        <v/>
      </c>
      <c r="BG214" s="68" t="str">
        <f t="shared" si="18"/>
        <v/>
      </c>
      <c r="BH214" s="68" t="str">
        <f t="shared" si="18"/>
        <v/>
      </c>
      <c r="BI214" s="68" t="str">
        <f t="shared" si="18"/>
        <v/>
      </c>
    </row>
    <row r="215" spans="1:61" ht="15.75" hidden="1" customHeight="1">
      <c r="A215" s="63" t="s">
        <v>221</v>
      </c>
      <c r="B215" s="64" t="s">
        <v>223</v>
      </c>
      <c r="C215" s="67" t="str">
        <f t="shared" si="11"/>
        <v/>
      </c>
      <c r="D215" s="67" t="str">
        <f t="shared" si="18"/>
        <v/>
      </c>
      <c r="E215" s="67" t="str">
        <f t="shared" si="18"/>
        <v/>
      </c>
      <c r="F215" s="67" t="str">
        <f t="shared" si="18"/>
        <v/>
      </c>
      <c r="G215" s="67" t="str">
        <f t="shared" si="18"/>
        <v/>
      </c>
      <c r="H215" s="67" t="str">
        <f t="shared" si="18"/>
        <v/>
      </c>
      <c r="I215" s="67" t="str">
        <f t="shared" si="18"/>
        <v/>
      </c>
      <c r="J215" s="67" t="str">
        <f t="shared" si="18"/>
        <v/>
      </c>
      <c r="K215" s="67" t="str">
        <f t="shared" si="18"/>
        <v/>
      </c>
      <c r="L215" s="67" t="str">
        <f t="shared" si="18"/>
        <v/>
      </c>
      <c r="M215" s="67" t="str">
        <f t="shared" si="18"/>
        <v/>
      </c>
      <c r="N215" s="67" t="str">
        <f t="shared" si="18"/>
        <v/>
      </c>
      <c r="O215" s="67" t="str">
        <f t="shared" si="18"/>
        <v/>
      </c>
      <c r="P215" s="67" t="str">
        <f t="shared" si="18"/>
        <v/>
      </c>
      <c r="Q215" s="67" t="str">
        <f t="shared" si="18"/>
        <v/>
      </c>
      <c r="R215" s="67" t="str">
        <f t="shared" si="18"/>
        <v/>
      </c>
      <c r="S215" s="67" t="str">
        <f t="shared" si="18"/>
        <v/>
      </c>
      <c r="T215" s="67" t="str">
        <f t="shared" si="18"/>
        <v/>
      </c>
      <c r="U215" s="67" t="str">
        <f t="shared" si="18"/>
        <v/>
      </c>
      <c r="V215" s="67" t="str">
        <f t="shared" si="18"/>
        <v/>
      </c>
      <c r="W215" s="67" t="str">
        <f t="shared" si="18"/>
        <v/>
      </c>
      <c r="X215" s="67" t="str">
        <f t="shared" si="18"/>
        <v/>
      </c>
      <c r="Y215" s="67" t="str">
        <f t="shared" si="18"/>
        <v/>
      </c>
      <c r="Z215" s="67" t="str">
        <f t="shared" si="18"/>
        <v/>
      </c>
      <c r="AA215" s="67" t="str">
        <f t="shared" si="18"/>
        <v/>
      </c>
      <c r="AB215" s="67" t="str">
        <f t="shared" si="18"/>
        <v/>
      </c>
      <c r="AC215" s="67" t="str">
        <f t="shared" si="18"/>
        <v/>
      </c>
      <c r="AD215" s="67" t="str">
        <f t="shared" si="18"/>
        <v/>
      </c>
      <c r="AE215" s="67" t="str">
        <f t="shared" si="18"/>
        <v/>
      </c>
      <c r="AF215" s="67" t="str">
        <f t="shared" si="18"/>
        <v/>
      </c>
      <c r="AG215" s="67" t="str">
        <f t="shared" si="18"/>
        <v/>
      </c>
      <c r="AH215" s="67" t="str">
        <f t="shared" si="18"/>
        <v/>
      </c>
      <c r="AI215" s="67" t="str">
        <f t="shared" si="18"/>
        <v/>
      </c>
      <c r="AJ215" s="67" t="str">
        <f t="shared" si="18"/>
        <v/>
      </c>
      <c r="AK215" s="67" t="str">
        <f t="shared" si="18"/>
        <v/>
      </c>
      <c r="AL215" s="67" t="str">
        <f t="shared" si="18"/>
        <v/>
      </c>
      <c r="AM215" s="67" t="str">
        <f t="shared" si="18"/>
        <v/>
      </c>
      <c r="AN215" s="67" t="str">
        <f t="shared" si="18"/>
        <v/>
      </c>
      <c r="AO215" s="67" t="str">
        <f t="shared" si="18"/>
        <v/>
      </c>
      <c r="AP215" s="67" t="str">
        <f t="shared" si="18"/>
        <v/>
      </c>
      <c r="AQ215" s="67" t="str">
        <f t="shared" si="18"/>
        <v/>
      </c>
      <c r="AR215" s="67" t="str">
        <f t="shared" si="18"/>
        <v/>
      </c>
      <c r="AS215" s="67" t="str">
        <f t="shared" si="18"/>
        <v/>
      </c>
      <c r="AT215" s="67" t="str">
        <f t="shared" si="18"/>
        <v/>
      </c>
      <c r="AU215" s="67" t="str">
        <f t="shared" si="18"/>
        <v/>
      </c>
      <c r="AV215" s="67" t="str">
        <f t="shared" si="18"/>
        <v/>
      </c>
      <c r="AW215" s="67" t="str">
        <f t="shared" si="18"/>
        <v/>
      </c>
      <c r="AX215" s="67" t="str">
        <f t="shared" si="18"/>
        <v/>
      </c>
      <c r="AY215" s="67" t="str">
        <f t="shared" si="18"/>
        <v/>
      </c>
      <c r="AZ215" s="67" t="str">
        <f t="shared" si="18"/>
        <v/>
      </c>
      <c r="BA215" s="67" t="str">
        <f t="shared" si="18"/>
        <v/>
      </c>
      <c r="BB215" s="67" t="str">
        <f t="shared" si="18"/>
        <v/>
      </c>
      <c r="BC215" s="67" t="str">
        <f t="shared" si="18"/>
        <v/>
      </c>
      <c r="BD215" s="67" t="str">
        <f t="shared" si="18"/>
        <v/>
      </c>
      <c r="BE215" s="67" t="str">
        <f t="shared" si="18"/>
        <v/>
      </c>
      <c r="BF215" s="67" t="str">
        <f t="shared" si="18"/>
        <v/>
      </c>
      <c r="BG215" s="67" t="str">
        <f t="shared" si="18"/>
        <v/>
      </c>
      <c r="BH215" s="67" t="str">
        <f t="shared" si="18"/>
        <v/>
      </c>
      <c r="BI215" s="67" t="str">
        <f t="shared" si="18"/>
        <v/>
      </c>
    </row>
    <row r="216" spans="1:61" ht="15.75" hidden="1" customHeight="1">
      <c r="A216" s="345" t="s">
        <v>22</v>
      </c>
      <c r="B216" s="65" t="s">
        <v>224</v>
      </c>
      <c r="C216" s="68" t="str">
        <f>IF(C146=C71,"","*")</f>
        <v/>
      </c>
      <c r="D216" s="68" t="str">
        <f t="shared" si="18"/>
        <v/>
      </c>
      <c r="E216" s="68" t="str">
        <f t="shared" si="18"/>
        <v/>
      </c>
      <c r="F216" s="68" t="str">
        <f t="shared" si="18"/>
        <v/>
      </c>
      <c r="G216" s="68" t="str">
        <f t="shared" si="18"/>
        <v/>
      </c>
      <c r="H216" s="68" t="str">
        <f t="shared" si="18"/>
        <v/>
      </c>
      <c r="I216" s="68" t="str">
        <f t="shared" si="18"/>
        <v/>
      </c>
      <c r="J216" s="68" t="str">
        <f t="shared" si="18"/>
        <v/>
      </c>
      <c r="K216" s="68" t="str">
        <f t="shared" si="18"/>
        <v/>
      </c>
      <c r="L216" s="68" t="str">
        <f t="shared" si="18"/>
        <v/>
      </c>
      <c r="M216" s="68" t="str">
        <f t="shared" si="18"/>
        <v/>
      </c>
      <c r="N216" s="68" t="str">
        <f t="shared" si="18"/>
        <v/>
      </c>
      <c r="O216" s="68" t="str">
        <f t="shared" si="18"/>
        <v/>
      </c>
      <c r="P216" s="68" t="str">
        <f t="shared" si="18"/>
        <v/>
      </c>
      <c r="Q216" s="68" t="str">
        <f t="shared" si="18"/>
        <v/>
      </c>
      <c r="R216" s="68" t="str">
        <f t="shared" si="18"/>
        <v/>
      </c>
      <c r="S216" s="68" t="str">
        <f t="shared" si="18"/>
        <v/>
      </c>
      <c r="T216" s="68" t="str">
        <f t="shared" si="18"/>
        <v/>
      </c>
      <c r="U216" s="68" t="str">
        <f t="shared" si="18"/>
        <v/>
      </c>
      <c r="V216" s="68" t="str">
        <f t="shared" si="18"/>
        <v/>
      </c>
      <c r="W216" s="68" t="str">
        <f t="shared" si="18"/>
        <v/>
      </c>
      <c r="X216" s="68" t="str">
        <f t="shared" si="18"/>
        <v/>
      </c>
      <c r="Y216" s="68" t="str">
        <f t="shared" si="18"/>
        <v/>
      </c>
      <c r="Z216" s="68" t="str">
        <f t="shared" si="18"/>
        <v/>
      </c>
      <c r="AA216" s="68" t="str">
        <f t="shared" si="18"/>
        <v/>
      </c>
      <c r="AB216" s="68" t="str">
        <f t="shared" si="18"/>
        <v/>
      </c>
      <c r="AC216" s="68" t="str">
        <f t="shared" si="18"/>
        <v/>
      </c>
      <c r="AD216" s="68" t="str">
        <f t="shared" si="18"/>
        <v/>
      </c>
      <c r="AE216" s="68" t="str">
        <f t="shared" si="18"/>
        <v/>
      </c>
      <c r="AF216" s="68" t="str">
        <f t="shared" si="18"/>
        <v/>
      </c>
      <c r="AG216" s="68" t="str">
        <f t="shared" si="18"/>
        <v/>
      </c>
      <c r="AH216" s="68" t="str">
        <f t="shared" si="18"/>
        <v/>
      </c>
      <c r="AI216" s="68" t="str">
        <f t="shared" si="18"/>
        <v/>
      </c>
      <c r="AJ216" s="68" t="str">
        <f t="shared" si="18"/>
        <v/>
      </c>
      <c r="AK216" s="68" t="str">
        <f t="shared" si="18"/>
        <v/>
      </c>
      <c r="AL216" s="68" t="str">
        <f t="shared" si="18"/>
        <v/>
      </c>
      <c r="AM216" s="68" t="str">
        <f t="shared" si="18"/>
        <v/>
      </c>
      <c r="AN216" s="68" t="str">
        <f t="shared" si="18"/>
        <v/>
      </c>
      <c r="AO216" s="68" t="str">
        <f t="shared" si="18"/>
        <v/>
      </c>
      <c r="AP216" s="68" t="str">
        <f t="shared" si="18"/>
        <v/>
      </c>
      <c r="AQ216" s="68" t="str">
        <f t="shared" si="18"/>
        <v/>
      </c>
      <c r="AR216" s="68" t="str">
        <f t="shared" si="18"/>
        <v/>
      </c>
      <c r="AS216" s="68" t="str">
        <f t="shared" si="18"/>
        <v/>
      </c>
      <c r="AT216" s="68" t="str">
        <f t="shared" si="18"/>
        <v/>
      </c>
      <c r="AU216" s="68" t="str">
        <f t="shared" si="18"/>
        <v/>
      </c>
      <c r="AV216" s="68" t="str">
        <f t="shared" si="18"/>
        <v/>
      </c>
      <c r="AW216" s="68" t="str">
        <f t="shared" si="18"/>
        <v/>
      </c>
      <c r="AX216" s="68" t="str">
        <f t="shared" si="18"/>
        <v/>
      </c>
      <c r="AY216" s="68" t="str">
        <f t="shared" si="18"/>
        <v/>
      </c>
      <c r="AZ216" s="68" t="str">
        <f t="shared" si="18"/>
        <v/>
      </c>
      <c r="BA216" s="68" t="str">
        <f t="shared" si="18"/>
        <v/>
      </c>
      <c r="BB216" s="68" t="str">
        <f t="shared" si="18"/>
        <v/>
      </c>
      <c r="BC216" s="68" t="str">
        <f t="shared" si="18"/>
        <v/>
      </c>
      <c r="BD216" s="68" t="str">
        <f t="shared" si="18"/>
        <v/>
      </c>
      <c r="BE216" s="68" t="str">
        <f t="shared" si="18"/>
        <v/>
      </c>
      <c r="BF216" s="68" t="str">
        <f t="shared" si="18"/>
        <v/>
      </c>
      <c r="BG216" s="68" t="str">
        <f t="shared" si="18"/>
        <v/>
      </c>
      <c r="BH216" s="68" t="str">
        <f t="shared" si="18"/>
        <v/>
      </c>
      <c r="BI216" s="68" t="str">
        <f t="shared" si="18"/>
        <v/>
      </c>
    </row>
    <row r="217" spans="1:61" ht="15.75" hidden="1" customHeight="1">
      <c r="A217" s="346"/>
      <c r="B217" s="65" t="s">
        <v>225</v>
      </c>
      <c r="C217" s="68" t="str">
        <f>IF(C147=C72,"","*")</f>
        <v/>
      </c>
      <c r="D217" s="68" t="str">
        <f t="shared" ref="D217:R217" si="19">IF(D147=D72,"","*")</f>
        <v/>
      </c>
      <c r="E217" s="68" t="str">
        <f t="shared" si="19"/>
        <v/>
      </c>
      <c r="F217" s="68" t="str">
        <f t="shared" si="19"/>
        <v/>
      </c>
      <c r="G217" s="68" t="str">
        <f t="shared" si="19"/>
        <v/>
      </c>
      <c r="H217" s="68" t="str">
        <f t="shared" si="19"/>
        <v/>
      </c>
      <c r="I217" s="68" t="str">
        <f t="shared" si="19"/>
        <v/>
      </c>
      <c r="J217" s="68" t="str">
        <f t="shared" si="19"/>
        <v/>
      </c>
      <c r="K217" s="68" t="str">
        <f t="shared" si="19"/>
        <v/>
      </c>
      <c r="L217" s="68" t="str">
        <f t="shared" si="19"/>
        <v/>
      </c>
      <c r="M217" s="68" t="str">
        <f t="shared" si="19"/>
        <v/>
      </c>
      <c r="N217" s="68" t="str">
        <f t="shared" si="19"/>
        <v/>
      </c>
      <c r="O217" s="68" t="str">
        <f t="shared" si="19"/>
        <v/>
      </c>
      <c r="P217" s="68" t="str">
        <f t="shared" si="19"/>
        <v/>
      </c>
      <c r="Q217" s="68" t="str">
        <f t="shared" si="19"/>
        <v/>
      </c>
      <c r="R217" s="68" t="str">
        <f t="shared" si="19"/>
        <v/>
      </c>
      <c r="S217" s="68" t="str">
        <f t="shared" si="18"/>
        <v/>
      </c>
      <c r="T217" s="68" t="str">
        <f t="shared" si="18"/>
        <v/>
      </c>
      <c r="U217" s="68" t="str">
        <f t="shared" si="18"/>
        <v/>
      </c>
      <c r="V217" s="68" t="str">
        <f t="shared" si="18"/>
        <v/>
      </c>
      <c r="W217" s="68" t="str">
        <f t="shared" si="18"/>
        <v/>
      </c>
      <c r="X217" s="68" t="str">
        <f t="shared" si="18"/>
        <v/>
      </c>
      <c r="Y217" s="68" t="str">
        <f t="shared" si="18"/>
        <v/>
      </c>
      <c r="Z217" s="68" t="str">
        <f t="shared" si="18"/>
        <v/>
      </c>
      <c r="AA217" s="68" t="str">
        <f t="shared" si="18"/>
        <v/>
      </c>
      <c r="AB217" s="68" t="str">
        <f t="shared" si="18"/>
        <v/>
      </c>
      <c r="AC217" s="68" t="str">
        <f t="shared" si="18"/>
        <v/>
      </c>
      <c r="AD217" s="68" t="str">
        <f t="shared" si="18"/>
        <v/>
      </c>
      <c r="AE217" s="68" t="str">
        <f t="shared" si="18"/>
        <v/>
      </c>
      <c r="AF217" s="68" t="str">
        <f t="shared" si="18"/>
        <v/>
      </c>
      <c r="AG217" s="68" t="str">
        <f t="shared" si="18"/>
        <v/>
      </c>
      <c r="AH217" s="68" t="str">
        <f t="shared" si="18"/>
        <v/>
      </c>
      <c r="AI217" s="68" t="str">
        <f t="shared" si="18"/>
        <v/>
      </c>
      <c r="AJ217" s="68" t="str">
        <f t="shared" si="18"/>
        <v/>
      </c>
      <c r="AK217" s="68" t="str">
        <f t="shared" si="18"/>
        <v/>
      </c>
      <c r="AL217" s="68" t="str">
        <f t="shared" si="18"/>
        <v/>
      </c>
      <c r="AM217" s="68" t="str">
        <f t="shared" si="18"/>
        <v/>
      </c>
      <c r="AN217" s="68" t="str">
        <f t="shared" si="18"/>
        <v/>
      </c>
      <c r="AO217" s="68" t="str">
        <f t="shared" si="18"/>
        <v/>
      </c>
      <c r="AP217" s="68" t="str">
        <f t="shared" si="18"/>
        <v/>
      </c>
      <c r="AQ217" s="68" t="str">
        <f t="shared" si="18"/>
        <v/>
      </c>
      <c r="AR217" s="68" t="str">
        <f t="shared" si="18"/>
        <v/>
      </c>
      <c r="AS217" s="68" t="str">
        <f t="shared" si="18"/>
        <v/>
      </c>
      <c r="AT217" s="68" t="str">
        <f t="shared" si="18"/>
        <v/>
      </c>
      <c r="AU217" s="68" t="str">
        <f t="shared" si="18"/>
        <v/>
      </c>
      <c r="AV217" s="68" t="str">
        <f t="shared" si="18"/>
        <v/>
      </c>
      <c r="AW217" s="68" t="str">
        <f t="shared" si="18"/>
        <v/>
      </c>
      <c r="AX217" s="68" t="str">
        <f t="shared" si="18"/>
        <v/>
      </c>
      <c r="AY217" s="68" t="str">
        <f t="shared" si="18"/>
        <v/>
      </c>
      <c r="AZ217" s="68" t="str">
        <f t="shared" si="18"/>
        <v/>
      </c>
      <c r="BA217" s="68" t="str">
        <f t="shared" si="18"/>
        <v/>
      </c>
      <c r="BB217" s="68" t="str">
        <f t="shared" si="18"/>
        <v/>
      </c>
      <c r="BC217" s="68" t="str">
        <f t="shared" si="18"/>
        <v/>
      </c>
      <c r="BD217" s="68" t="str">
        <f t="shared" si="18"/>
        <v/>
      </c>
      <c r="BE217" s="68" t="str">
        <f t="shared" si="18"/>
        <v/>
      </c>
      <c r="BF217" s="68" t="str">
        <f t="shared" si="18"/>
        <v/>
      </c>
      <c r="BG217" s="68" t="str">
        <f t="shared" si="18"/>
        <v/>
      </c>
      <c r="BH217" s="68" t="str">
        <f t="shared" si="18"/>
        <v/>
      </c>
      <c r="BI217" s="68" t="str">
        <f t="shared" si="18"/>
        <v/>
      </c>
    </row>
    <row r="218" spans="1:61" ht="15.75" hidden="1" customHeight="1">
      <c r="A218" s="63" t="s">
        <v>222</v>
      </c>
      <c r="B218" s="64" t="s">
        <v>223</v>
      </c>
      <c r="C218" s="67" t="str">
        <f>IF(C148=C73,"","*")</f>
        <v/>
      </c>
      <c r="D218" s="67" t="str">
        <f t="shared" si="18"/>
        <v/>
      </c>
      <c r="E218" s="67" t="str">
        <f t="shared" si="18"/>
        <v/>
      </c>
      <c r="F218" s="67" t="str">
        <f t="shared" si="18"/>
        <v/>
      </c>
      <c r="G218" s="67" t="str">
        <f t="shared" si="18"/>
        <v/>
      </c>
      <c r="H218" s="67" t="str">
        <f t="shared" si="18"/>
        <v/>
      </c>
      <c r="I218" s="67" t="str">
        <f t="shared" si="18"/>
        <v/>
      </c>
      <c r="J218" s="67" t="str">
        <f t="shared" si="18"/>
        <v/>
      </c>
      <c r="K218" s="67" t="str">
        <f t="shared" si="18"/>
        <v/>
      </c>
      <c r="L218" s="67" t="str">
        <f t="shared" si="18"/>
        <v/>
      </c>
      <c r="M218" s="67" t="str">
        <f t="shared" si="18"/>
        <v/>
      </c>
      <c r="N218" s="67" t="str">
        <f t="shared" si="18"/>
        <v/>
      </c>
      <c r="O218" s="67" t="str">
        <f t="shared" si="18"/>
        <v/>
      </c>
      <c r="P218" s="67" t="str">
        <f t="shared" si="18"/>
        <v/>
      </c>
      <c r="Q218" s="67" t="str">
        <f t="shared" si="18"/>
        <v/>
      </c>
      <c r="R218" s="67" t="str">
        <f t="shared" si="18"/>
        <v/>
      </c>
      <c r="S218" s="67" t="str">
        <f t="shared" si="18"/>
        <v/>
      </c>
      <c r="T218" s="67" t="str">
        <f t="shared" si="18"/>
        <v/>
      </c>
      <c r="U218" s="67" t="str">
        <f t="shared" si="18"/>
        <v/>
      </c>
      <c r="V218" s="67" t="str">
        <f t="shared" si="18"/>
        <v/>
      </c>
      <c r="W218" s="67" t="str">
        <f t="shared" si="18"/>
        <v/>
      </c>
      <c r="X218" s="67" t="str">
        <f t="shared" si="18"/>
        <v/>
      </c>
      <c r="Y218" s="67" t="str">
        <f t="shared" si="18"/>
        <v/>
      </c>
      <c r="Z218" s="67" t="str">
        <f t="shared" si="18"/>
        <v/>
      </c>
      <c r="AA218" s="67" t="str">
        <f t="shared" si="18"/>
        <v/>
      </c>
      <c r="AB218" s="67" t="str">
        <f t="shared" si="18"/>
        <v/>
      </c>
      <c r="AC218" s="67" t="str">
        <f t="shared" si="18"/>
        <v/>
      </c>
      <c r="AD218" s="67" t="str">
        <f t="shared" si="18"/>
        <v/>
      </c>
      <c r="AE218" s="67" t="str">
        <f t="shared" ref="D218:BI220" si="20">IF(AE148=AE73,"","*")</f>
        <v/>
      </c>
      <c r="AF218" s="67" t="str">
        <f t="shared" si="20"/>
        <v/>
      </c>
      <c r="AG218" s="67" t="str">
        <f t="shared" si="20"/>
        <v/>
      </c>
      <c r="AH218" s="67" t="str">
        <f t="shared" si="20"/>
        <v/>
      </c>
      <c r="AI218" s="67" t="str">
        <f t="shared" si="20"/>
        <v/>
      </c>
      <c r="AJ218" s="67" t="str">
        <f t="shared" si="20"/>
        <v/>
      </c>
      <c r="AK218" s="67" t="str">
        <f t="shared" si="20"/>
        <v/>
      </c>
      <c r="AL218" s="67" t="str">
        <f t="shared" si="20"/>
        <v/>
      </c>
      <c r="AM218" s="67" t="str">
        <f t="shared" si="20"/>
        <v/>
      </c>
      <c r="AN218" s="67" t="str">
        <f t="shared" si="20"/>
        <v/>
      </c>
      <c r="AO218" s="67" t="str">
        <f t="shared" si="20"/>
        <v/>
      </c>
      <c r="AP218" s="67" t="str">
        <f t="shared" si="20"/>
        <v/>
      </c>
      <c r="AQ218" s="67" t="str">
        <f t="shared" si="20"/>
        <v/>
      </c>
      <c r="AR218" s="67" t="str">
        <f t="shared" si="20"/>
        <v/>
      </c>
      <c r="AS218" s="67" t="str">
        <f t="shared" si="20"/>
        <v/>
      </c>
      <c r="AT218" s="67" t="str">
        <f t="shared" si="20"/>
        <v/>
      </c>
      <c r="AU218" s="67" t="str">
        <f t="shared" si="20"/>
        <v/>
      </c>
      <c r="AV218" s="67" t="str">
        <f t="shared" si="20"/>
        <v/>
      </c>
      <c r="AW218" s="67" t="str">
        <f t="shared" si="20"/>
        <v/>
      </c>
      <c r="AX218" s="67" t="str">
        <f t="shared" si="20"/>
        <v/>
      </c>
      <c r="AY218" s="67" t="str">
        <f t="shared" si="20"/>
        <v/>
      </c>
      <c r="AZ218" s="67" t="str">
        <f t="shared" si="20"/>
        <v/>
      </c>
      <c r="BA218" s="67" t="str">
        <f t="shared" si="20"/>
        <v/>
      </c>
      <c r="BB218" s="67" t="str">
        <f t="shared" si="20"/>
        <v/>
      </c>
      <c r="BC218" s="67" t="str">
        <f t="shared" si="20"/>
        <v/>
      </c>
      <c r="BD218" s="67" t="str">
        <f t="shared" si="20"/>
        <v/>
      </c>
      <c r="BE218" s="67" t="str">
        <f t="shared" si="20"/>
        <v/>
      </c>
      <c r="BF218" s="67" t="str">
        <f t="shared" si="20"/>
        <v/>
      </c>
      <c r="BG218" s="67" t="str">
        <f t="shared" si="20"/>
        <v/>
      </c>
      <c r="BH218" s="67" t="str">
        <f t="shared" si="20"/>
        <v/>
      </c>
      <c r="BI218" s="67" t="str">
        <f t="shared" si="20"/>
        <v/>
      </c>
    </row>
    <row r="219" spans="1:61" ht="15.75" hidden="1" customHeight="1">
      <c r="A219" s="345" t="s">
        <v>23</v>
      </c>
      <c r="B219" s="65" t="s">
        <v>224</v>
      </c>
      <c r="C219" s="68" t="str">
        <f>IF(C149=C74,"","*")</f>
        <v/>
      </c>
      <c r="D219" s="68" t="str">
        <f t="shared" si="20"/>
        <v/>
      </c>
      <c r="E219" s="68" t="str">
        <f t="shared" si="20"/>
        <v/>
      </c>
      <c r="F219" s="68" t="str">
        <f t="shared" si="20"/>
        <v/>
      </c>
      <c r="G219" s="68" t="str">
        <f t="shared" si="20"/>
        <v/>
      </c>
      <c r="H219" s="68" t="str">
        <f t="shared" si="20"/>
        <v/>
      </c>
      <c r="I219" s="68" t="str">
        <f t="shared" si="20"/>
        <v/>
      </c>
      <c r="J219" s="68" t="str">
        <f t="shared" si="20"/>
        <v/>
      </c>
      <c r="K219" s="68" t="str">
        <f t="shared" si="20"/>
        <v/>
      </c>
      <c r="L219" s="68" t="str">
        <f t="shared" si="20"/>
        <v/>
      </c>
      <c r="M219" s="68" t="str">
        <f t="shared" si="20"/>
        <v/>
      </c>
      <c r="N219" s="68" t="str">
        <f t="shared" si="20"/>
        <v/>
      </c>
      <c r="O219" s="68" t="str">
        <f t="shared" si="20"/>
        <v/>
      </c>
      <c r="P219" s="68" t="str">
        <f t="shared" si="20"/>
        <v/>
      </c>
      <c r="Q219" s="68" t="str">
        <f t="shared" si="20"/>
        <v/>
      </c>
      <c r="R219" s="68" t="str">
        <f t="shared" si="20"/>
        <v/>
      </c>
      <c r="S219" s="68" t="str">
        <f t="shared" si="20"/>
        <v/>
      </c>
      <c r="T219" s="68" t="str">
        <f t="shared" si="20"/>
        <v/>
      </c>
      <c r="U219" s="68" t="str">
        <f t="shared" si="20"/>
        <v/>
      </c>
      <c r="V219" s="68" t="str">
        <f t="shared" si="20"/>
        <v/>
      </c>
      <c r="W219" s="68" t="str">
        <f t="shared" si="20"/>
        <v/>
      </c>
      <c r="X219" s="68" t="str">
        <f t="shared" si="20"/>
        <v/>
      </c>
      <c r="Y219" s="68" t="str">
        <f t="shared" si="20"/>
        <v/>
      </c>
      <c r="Z219" s="68" t="str">
        <f t="shared" si="20"/>
        <v/>
      </c>
      <c r="AA219" s="68" t="str">
        <f t="shared" si="20"/>
        <v/>
      </c>
      <c r="AB219" s="68" t="str">
        <f t="shared" si="20"/>
        <v/>
      </c>
      <c r="AC219" s="68" t="str">
        <f t="shared" si="20"/>
        <v/>
      </c>
      <c r="AD219" s="68" t="str">
        <f t="shared" si="20"/>
        <v/>
      </c>
      <c r="AE219" s="68" t="str">
        <f t="shared" si="20"/>
        <v/>
      </c>
      <c r="AF219" s="68" t="str">
        <f t="shared" si="20"/>
        <v/>
      </c>
      <c r="AG219" s="68" t="str">
        <f t="shared" si="20"/>
        <v/>
      </c>
      <c r="AH219" s="68" t="str">
        <f t="shared" si="20"/>
        <v/>
      </c>
      <c r="AI219" s="68" t="str">
        <f t="shared" si="20"/>
        <v/>
      </c>
      <c r="AJ219" s="68" t="str">
        <f t="shared" si="20"/>
        <v/>
      </c>
      <c r="AK219" s="68" t="str">
        <f t="shared" si="20"/>
        <v/>
      </c>
      <c r="AL219" s="68" t="str">
        <f t="shared" si="20"/>
        <v/>
      </c>
      <c r="AM219" s="68" t="str">
        <f t="shared" si="20"/>
        <v/>
      </c>
      <c r="AN219" s="68" t="str">
        <f t="shared" si="20"/>
        <v/>
      </c>
      <c r="AO219" s="68" t="str">
        <f t="shared" si="20"/>
        <v/>
      </c>
      <c r="AP219" s="68" t="str">
        <f t="shared" si="20"/>
        <v/>
      </c>
      <c r="AQ219" s="68" t="str">
        <f t="shared" si="20"/>
        <v/>
      </c>
      <c r="AR219" s="68" t="str">
        <f t="shared" si="20"/>
        <v/>
      </c>
      <c r="AS219" s="68" t="str">
        <f t="shared" si="20"/>
        <v/>
      </c>
      <c r="AT219" s="68" t="str">
        <f t="shared" si="20"/>
        <v/>
      </c>
      <c r="AU219" s="68" t="str">
        <f t="shared" si="20"/>
        <v/>
      </c>
      <c r="AV219" s="68" t="str">
        <f t="shared" si="20"/>
        <v/>
      </c>
      <c r="AW219" s="68" t="str">
        <f t="shared" si="20"/>
        <v/>
      </c>
      <c r="AX219" s="68" t="str">
        <f t="shared" si="20"/>
        <v/>
      </c>
      <c r="AY219" s="68" t="str">
        <f t="shared" si="20"/>
        <v/>
      </c>
      <c r="AZ219" s="68" t="str">
        <f t="shared" si="20"/>
        <v/>
      </c>
      <c r="BA219" s="68" t="str">
        <f t="shared" si="20"/>
        <v/>
      </c>
      <c r="BB219" s="68" t="str">
        <f t="shared" si="20"/>
        <v/>
      </c>
      <c r="BC219" s="68" t="str">
        <f t="shared" si="20"/>
        <v/>
      </c>
      <c r="BD219" s="68" t="str">
        <f t="shared" si="20"/>
        <v/>
      </c>
      <c r="BE219" s="68" t="str">
        <f t="shared" si="20"/>
        <v/>
      </c>
      <c r="BF219" s="68" t="str">
        <f t="shared" si="20"/>
        <v/>
      </c>
      <c r="BG219" s="68" t="str">
        <f t="shared" si="20"/>
        <v/>
      </c>
      <c r="BH219" s="68" t="str">
        <f t="shared" si="20"/>
        <v/>
      </c>
      <c r="BI219" s="68" t="str">
        <f t="shared" si="20"/>
        <v/>
      </c>
    </row>
    <row r="220" spans="1:61" ht="15.75" hidden="1" customHeight="1">
      <c r="A220" s="346"/>
      <c r="B220" s="66" t="s">
        <v>225</v>
      </c>
      <c r="C220" s="69" t="str">
        <f>IF(C150=C75,"","*")</f>
        <v/>
      </c>
      <c r="D220" s="69" t="str">
        <f t="shared" si="20"/>
        <v/>
      </c>
      <c r="E220" s="69" t="str">
        <f t="shared" si="20"/>
        <v/>
      </c>
      <c r="F220" s="69" t="str">
        <f t="shared" si="20"/>
        <v/>
      </c>
      <c r="G220" s="69" t="str">
        <f t="shared" si="20"/>
        <v/>
      </c>
      <c r="H220" s="69" t="str">
        <f t="shared" si="20"/>
        <v/>
      </c>
      <c r="I220" s="69" t="str">
        <f t="shared" si="20"/>
        <v/>
      </c>
      <c r="J220" s="69" t="str">
        <f t="shared" si="20"/>
        <v/>
      </c>
      <c r="K220" s="69" t="str">
        <f t="shared" si="20"/>
        <v/>
      </c>
      <c r="L220" s="69" t="str">
        <f t="shared" si="20"/>
        <v/>
      </c>
      <c r="M220" s="69" t="str">
        <f t="shared" si="20"/>
        <v/>
      </c>
      <c r="N220" s="69" t="str">
        <f t="shared" si="20"/>
        <v/>
      </c>
      <c r="O220" s="69" t="str">
        <f t="shared" si="20"/>
        <v/>
      </c>
      <c r="P220" s="69" t="str">
        <f t="shared" si="20"/>
        <v/>
      </c>
      <c r="Q220" s="69" t="str">
        <f t="shared" si="20"/>
        <v/>
      </c>
      <c r="R220" s="69" t="str">
        <f t="shared" si="20"/>
        <v/>
      </c>
      <c r="S220" s="69" t="str">
        <f t="shared" si="20"/>
        <v/>
      </c>
      <c r="T220" s="69" t="str">
        <f t="shared" si="20"/>
        <v/>
      </c>
      <c r="U220" s="69" t="str">
        <f t="shared" si="20"/>
        <v/>
      </c>
      <c r="V220" s="69" t="str">
        <f t="shared" si="20"/>
        <v/>
      </c>
      <c r="W220" s="69" t="str">
        <f t="shared" si="20"/>
        <v/>
      </c>
      <c r="X220" s="69" t="str">
        <f t="shared" si="20"/>
        <v/>
      </c>
      <c r="Y220" s="69" t="str">
        <f t="shared" si="20"/>
        <v/>
      </c>
      <c r="Z220" s="69" t="str">
        <f t="shared" si="20"/>
        <v/>
      </c>
      <c r="AA220" s="69" t="str">
        <f t="shared" si="20"/>
        <v/>
      </c>
      <c r="AB220" s="69" t="str">
        <f t="shared" si="20"/>
        <v/>
      </c>
      <c r="AC220" s="69" t="str">
        <f t="shared" si="20"/>
        <v/>
      </c>
      <c r="AD220" s="69" t="str">
        <f t="shared" si="20"/>
        <v/>
      </c>
      <c r="AE220" s="69" t="str">
        <f t="shared" si="20"/>
        <v/>
      </c>
      <c r="AF220" s="69" t="str">
        <f t="shared" si="20"/>
        <v/>
      </c>
      <c r="AG220" s="69" t="str">
        <f t="shared" si="20"/>
        <v/>
      </c>
      <c r="AH220" s="69" t="str">
        <f t="shared" si="20"/>
        <v/>
      </c>
      <c r="AI220" s="69" t="str">
        <f t="shared" si="20"/>
        <v/>
      </c>
      <c r="AJ220" s="69" t="str">
        <f t="shared" si="20"/>
        <v/>
      </c>
      <c r="AK220" s="69" t="str">
        <f t="shared" si="20"/>
        <v/>
      </c>
      <c r="AL220" s="69" t="str">
        <f t="shared" si="20"/>
        <v/>
      </c>
      <c r="AM220" s="69" t="str">
        <f t="shared" si="20"/>
        <v/>
      </c>
      <c r="AN220" s="69" t="str">
        <f t="shared" si="20"/>
        <v/>
      </c>
      <c r="AO220" s="69" t="str">
        <f t="shared" si="20"/>
        <v/>
      </c>
      <c r="AP220" s="69" t="str">
        <f t="shared" si="20"/>
        <v/>
      </c>
      <c r="AQ220" s="69" t="str">
        <f t="shared" si="20"/>
        <v/>
      </c>
      <c r="AR220" s="69" t="str">
        <f t="shared" si="20"/>
        <v/>
      </c>
      <c r="AS220" s="69" t="str">
        <f t="shared" si="20"/>
        <v/>
      </c>
      <c r="AT220" s="69" t="str">
        <f t="shared" si="20"/>
        <v/>
      </c>
      <c r="AU220" s="69" t="str">
        <f t="shared" si="20"/>
        <v/>
      </c>
      <c r="AV220" s="69" t="str">
        <f t="shared" si="20"/>
        <v/>
      </c>
      <c r="AW220" s="69" t="str">
        <f t="shared" si="20"/>
        <v/>
      </c>
      <c r="AX220" s="69" t="str">
        <f t="shared" si="20"/>
        <v/>
      </c>
      <c r="AY220" s="69" t="str">
        <f t="shared" si="20"/>
        <v/>
      </c>
      <c r="AZ220" s="69" t="str">
        <f t="shared" si="20"/>
        <v/>
      </c>
      <c r="BA220" s="69" t="str">
        <f t="shared" si="20"/>
        <v/>
      </c>
      <c r="BB220" s="69" t="str">
        <f t="shared" si="20"/>
        <v/>
      </c>
      <c r="BC220" s="69" t="str">
        <f t="shared" si="20"/>
        <v/>
      </c>
      <c r="BD220" s="69" t="str">
        <f t="shared" si="20"/>
        <v/>
      </c>
      <c r="BE220" s="69" t="str">
        <f t="shared" si="20"/>
        <v/>
      </c>
      <c r="BF220" s="69" t="str">
        <f t="shared" si="20"/>
        <v/>
      </c>
      <c r="BG220" s="69" t="str">
        <f t="shared" si="20"/>
        <v/>
      </c>
      <c r="BH220" s="69" t="str">
        <f t="shared" si="20"/>
        <v/>
      </c>
      <c r="BI220" s="69" t="str">
        <f t="shared" si="20"/>
        <v/>
      </c>
    </row>
  </sheetData>
  <mergeCells count="142">
    <mergeCell ref="A210:A211"/>
    <mergeCell ref="A213:A214"/>
    <mergeCell ref="A216:A217"/>
    <mergeCell ref="A219:A220"/>
    <mergeCell ref="A192:A193"/>
    <mergeCell ref="A195:A196"/>
    <mergeCell ref="A198:A199"/>
    <mergeCell ref="A201:A202"/>
    <mergeCell ref="A204:A205"/>
    <mergeCell ref="A207:A208"/>
    <mergeCell ref="A165:A166"/>
    <mergeCell ref="A168:A169"/>
    <mergeCell ref="A171:A172"/>
    <mergeCell ref="A174:A175"/>
    <mergeCell ref="A177:A178"/>
    <mergeCell ref="A180:A181"/>
    <mergeCell ref="A183:A184"/>
    <mergeCell ref="A186:A187"/>
    <mergeCell ref="A189:A190"/>
    <mergeCell ref="A137:A138"/>
    <mergeCell ref="A140:A141"/>
    <mergeCell ref="A143:A144"/>
    <mergeCell ref="A146:A147"/>
    <mergeCell ref="A149:A150"/>
    <mergeCell ref="A153:A154"/>
    <mergeCell ref="A156:A157"/>
    <mergeCell ref="A159:A160"/>
    <mergeCell ref="A162:A163"/>
    <mergeCell ref="A110:A111"/>
    <mergeCell ref="A113:A114"/>
    <mergeCell ref="A116:A117"/>
    <mergeCell ref="A119:A120"/>
    <mergeCell ref="A122:A123"/>
    <mergeCell ref="A125:A126"/>
    <mergeCell ref="A128:A129"/>
    <mergeCell ref="A131:A132"/>
    <mergeCell ref="A134:A135"/>
    <mergeCell ref="A83:A84"/>
    <mergeCell ref="A86:A87"/>
    <mergeCell ref="A89:A90"/>
    <mergeCell ref="A92:A93"/>
    <mergeCell ref="A95:A96"/>
    <mergeCell ref="A98:A99"/>
    <mergeCell ref="A101:A102"/>
    <mergeCell ref="A104:A105"/>
    <mergeCell ref="A107:A108"/>
    <mergeCell ref="E3:G3"/>
    <mergeCell ref="H3:M3"/>
    <mergeCell ref="N3:AK3"/>
    <mergeCell ref="Z4:AC4"/>
    <mergeCell ref="AD4:AG4"/>
    <mergeCell ref="AH4:AK4"/>
    <mergeCell ref="N5:N6"/>
    <mergeCell ref="Q5:Q6"/>
    <mergeCell ref="R5:R6"/>
    <mergeCell ref="S5:S6"/>
    <mergeCell ref="T5:T6"/>
    <mergeCell ref="AG5:AG6"/>
    <mergeCell ref="AH5:AH6"/>
    <mergeCell ref="AI5:AI6"/>
    <mergeCell ref="AJ5:AJ6"/>
    <mergeCell ref="AK5:AK6"/>
    <mergeCell ref="AL3:BI3"/>
    <mergeCell ref="E4:E6"/>
    <mergeCell ref="F4:F6"/>
    <mergeCell ref="G4:G6"/>
    <mergeCell ref="H4:I5"/>
    <mergeCell ref="J4:K5"/>
    <mergeCell ref="L4:M5"/>
    <mergeCell ref="N4:Q4"/>
    <mergeCell ref="R4:U4"/>
    <mergeCell ref="V4:Y4"/>
    <mergeCell ref="U5:U6"/>
    <mergeCell ref="V5:V6"/>
    <mergeCell ref="W5:W6"/>
    <mergeCell ref="X5:X6"/>
    <mergeCell ref="Y5:Y6"/>
    <mergeCell ref="Z5:Z6"/>
    <mergeCell ref="O5:O6"/>
    <mergeCell ref="P5:P6"/>
    <mergeCell ref="AB5:AB6"/>
    <mergeCell ref="AC5:AC6"/>
    <mergeCell ref="AD5:AD6"/>
    <mergeCell ref="AE5:AE6"/>
    <mergeCell ref="AF5:AF6"/>
    <mergeCell ref="BE5:BE6"/>
    <mergeCell ref="BF5:BF6"/>
    <mergeCell ref="AL4:AO4"/>
    <mergeCell ref="AP4:AS4"/>
    <mergeCell ref="AT4:AW4"/>
    <mergeCell ref="AX4:BA4"/>
    <mergeCell ref="BB4:BE4"/>
    <mergeCell ref="BF4:BI4"/>
    <mergeCell ref="BG5:BG6"/>
    <mergeCell ref="BH5:BH6"/>
    <mergeCell ref="BI5:BI6"/>
    <mergeCell ref="A8:A9"/>
    <mergeCell ref="AY5:AY6"/>
    <mergeCell ref="AZ5:AZ6"/>
    <mergeCell ref="BA5:BA6"/>
    <mergeCell ref="BB5:BB6"/>
    <mergeCell ref="BC5:BC6"/>
    <mergeCell ref="BD5:BD6"/>
    <mergeCell ref="AS5:AS6"/>
    <mergeCell ref="AT5:AT6"/>
    <mergeCell ref="AU5:AU6"/>
    <mergeCell ref="AV5:AV6"/>
    <mergeCell ref="AW5:AW6"/>
    <mergeCell ref="AX5:AX6"/>
    <mergeCell ref="AM5:AM6"/>
    <mergeCell ref="AN5:AN6"/>
    <mergeCell ref="AO5:AO6"/>
    <mergeCell ref="AP5:AP6"/>
    <mergeCell ref="AQ5:AQ6"/>
    <mergeCell ref="AR5:AR6"/>
    <mergeCell ref="AL5:AL6"/>
    <mergeCell ref="AA5:AA6"/>
    <mergeCell ref="A3:B6"/>
    <mergeCell ref="C3:C6"/>
    <mergeCell ref="D3:D6"/>
    <mergeCell ref="A29:A30"/>
    <mergeCell ref="A32:A33"/>
    <mergeCell ref="A35:A36"/>
    <mergeCell ref="A38:A39"/>
    <mergeCell ref="A41:A42"/>
    <mergeCell ref="A44:A45"/>
    <mergeCell ref="A11:A12"/>
    <mergeCell ref="A14:A15"/>
    <mergeCell ref="A17:A18"/>
    <mergeCell ref="A20:A21"/>
    <mergeCell ref="A23:A24"/>
    <mergeCell ref="A26:A27"/>
    <mergeCell ref="A65:A66"/>
    <mergeCell ref="A68:A69"/>
    <mergeCell ref="A71:A72"/>
    <mergeCell ref="A74:A75"/>
    <mergeCell ref="A47:A48"/>
    <mergeCell ref="A50:A51"/>
    <mergeCell ref="A53:A54"/>
    <mergeCell ref="A56:A57"/>
    <mergeCell ref="A59:A60"/>
    <mergeCell ref="A62:A63"/>
  </mergeCells>
  <phoneticPr fontId="6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86" fitToWidth="10" orientation="landscape" useFirstPageNumber="1" horizontalDpi="4294967292" verticalDpi="300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  <pageSetUpPr fitToPage="1"/>
  </sheetPr>
  <dimension ref="A1:BZ33"/>
  <sheetViews>
    <sheetView zoomScaleNormal="100" zoomScaleSheetLayoutView="75" workbookViewId="0">
      <pane xSplit="2" ySplit="6" topLeftCell="C7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0" style="3" customWidth="1"/>
    <col min="2" max="2" width="20" style="3" customWidth="1"/>
    <col min="3" max="77" width="10.6640625" style="3" customWidth="1"/>
    <col min="78" max="16384" width="12" style="3"/>
  </cols>
  <sheetData>
    <row r="1" spans="1:78" ht="21">
      <c r="A1" s="1" t="s">
        <v>50</v>
      </c>
      <c r="B1" s="25"/>
    </row>
    <row r="2" spans="1:78" ht="25.5" customHeight="1">
      <c r="A2" s="26" t="s">
        <v>190</v>
      </c>
      <c r="B2" s="27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8"/>
      <c r="BJ2" s="58"/>
      <c r="BK2" s="58"/>
      <c r="BL2" s="58"/>
      <c r="BM2" s="58"/>
      <c r="BN2" s="58"/>
      <c r="BO2" s="58"/>
      <c r="BP2" s="58"/>
      <c r="BQ2" s="58"/>
      <c r="BR2" s="58"/>
      <c r="BS2" s="58"/>
      <c r="BT2" s="58"/>
      <c r="BU2" s="58"/>
      <c r="BV2" s="58"/>
      <c r="BW2" s="58"/>
      <c r="BX2" s="58"/>
      <c r="BY2" s="58"/>
    </row>
    <row r="3" spans="1:78" ht="20.25" customHeight="1">
      <c r="A3" s="329" t="s">
        <v>78</v>
      </c>
      <c r="B3" s="301"/>
      <c r="C3" s="324" t="s">
        <v>175</v>
      </c>
      <c r="D3" s="325"/>
      <c r="E3" s="325"/>
      <c r="F3" s="325"/>
      <c r="G3" s="325"/>
      <c r="H3" s="325"/>
      <c r="I3" s="325"/>
      <c r="J3" s="325"/>
      <c r="K3" s="315"/>
      <c r="L3" s="389" t="s">
        <v>176</v>
      </c>
      <c r="M3" s="390"/>
      <c r="N3" s="390"/>
      <c r="O3" s="390"/>
      <c r="P3" s="390"/>
      <c r="Q3" s="391"/>
      <c r="R3" s="332" t="s">
        <v>81</v>
      </c>
      <c r="S3" s="304"/>
      <c r="T3" s="304"/>
      <c r="U3" s="304"/>
      <c r="V3" s="304"/>
      <c r="W3" s="304"/>
      <c r="X3" s="304"/>
      <c r="Y3" s="304"/>
      <c r="Z3" s="304"/>
      <c r="AA3" s="304"/>
      <c r="AB3" s="304"/>
      <c r="AC3" s="304"/>
      <c r="AD3" s="304"/>
      <c r="AE3" s="304"/>
      <c r="AF3" s="304"/>
      <c r="AG3" s="304"/>
      <c r="AH3" s="304"/>
      <c r="AI3" s="304"/>
      <c r="AJ3" s="304"/>
      <c r="AK3" s="304"/>
      <c r="AL3" s="304"/>
      <c r="AM3" s="304"/>
      <c r="AN3" s="304"/>
      <c r="AO3" s="304"/>
      <c r="AP3" s="304"/>
      <c r="AQ3" s="304"/>
      <c r="AR3" s="304"/>
      <c r="AS3" s="304"/>
      <c r="AT3" s="304"/>
      <c r="AU3" s="304"/>
      <c r="AV3" s="304"/>
      <c r="AW3" s="304"/>
      <c r="AX3" s="304"/>
      <c r="AY3" s="304"/>
      <c r="AZ3" s="304"/>
      <c r="BA3" s="304"/>
      <c r="BB3" s="304"/>
      <c r="BC3" s="304"/>
      <c r="BD3" s="304"/>
      <c r="BE3" s="304"/>
      <c r="BF3" s="304"/>
      <c r="BG3" s="304"/>
      <c r="BH3" s="304"/>
      <c r="BI3" s="304"/>
      <c r="BJ3" s="304"/>
      <c r="BK3" s="304"/>
      <c r="BL3" s="304"/>
      <c r="BM3" s="304"/>
      <c r="BN3" s="304"/>
      <c r="BO3" s="304"/>
      <c r="BP3" s="304"/>
      <c r="BQ3" s="304"/>
      <c r="BR3" s="304"/>
      <c r="BS3" s="304"/>
      <c r="BT3" s="304"/>
      <c r="BU3" s="304"/>
      <c r="BV3" s="304"/>
      <c r="BW3" s="304"/>
      <c r="BX3" s="304"/>
      <c r="BY3" s="304"/>
    </row>
    <row r="4" spans="1:78" ht="20.25" customHeight="1">
      <c r="A4" s="364"/>
      <c r="B4" s="302"/>
      <c r="C4" s="326"/>
      <c r="D4" s="327"/>
      <c r="E4" s="327"/>
      <c r="F4" s="327"/>
      <c r="G4" s="327"/>
      <c r="H4" s="327"/>
      <c r="I4" s="327"/>
      <c r="J4" s="327"/>
      <c r="K4" s="328"/>
      <c r="L4" s="392"/>
      <c r="M4" s="393"/>
      <c r="N4" s="393"/>
      <c r="O4" s="393"/>
      <c r="P4" s="393"/>
      <c r="Q4" s="394"/>
      <c r="R4" s="333" t="s">
        <v>182</v>
      </c>
      <c r="S4" s="334"/>
      <c r="T4" s="334"/>
      <c r="U4" s="334"/>
      <c r="V4" s="334"/>
      <c r="W4" s="334"/>
      <c r="X4" s="334"/>
      <c r="Y4" s="334"/>
      <c r="Z4" s="334"/>
      <c r="AA4" s="334"/>
      <c r="AB4" s="334"/>
      <c r="AC4" s="335"/>
      <c r="AD4" s="309" t="s">
        <v>183</v>
      </c>
      <c r="AE4" s="310"/>
      <c r="AF4" s="310"/>
      <c r="AG4" s="310"/>
      <c r="AH4" s="310"/>
      <c r="AI4" s="310"/>
      <c r="AJ4" s="310"/>
      <c r="AK4" s="310"/>
      <c r="AL4" s="310"/>
      <c r="AM4" s="310"/>
      <c r="AN4" s="310"/>
      <c r="AO4" s="336"/>
      <c r="AP4" s="309" t="s">
        <v>184</v>
      </c>
      <c r="AQ4" s="310"/>
      <c r="AR4" s="310"/>
      <c r="AS4" s="310"/>
      <c r="AT4" s="310"/>
      <c r="AU4" s="310"/>
      <c r="AV4" s="310"/>
      <c r="AW4" s="310"/>
      <c r="AX4" s="310"/>
      <c r="AY4" s="310"/>
      <c r="AZ4" s="310"/>
      <c r="BA4" s="336"/>
      <c r="BB4" s="309" t="s">
        <v>185</v>
      </c>
      <c r="BC4" s="310"/>
      <c r="BD4" s="310"/>
      <c r="BE4" s="310"/>
      <c r="BF4" s="310"/>
      <c r="BG4" s="310"/>
      <c r="BH4" s="310"/>
      <c r="BI4" s="310"/>
      <c r="BJ4" s="310"/>
      <c r="BK4" s="310"/>
      <c r="BL4" s="310"/>
      <c r="BM4" s="336"/>
      <c r="BN4" s="309" t="s">
        <v>186</v>
      </c>
      <c r="BO4" s="310"/>
      <c r="BP4" s="310"/>
      <c r="BQ4" s="310"/>
      <c r="BR4" s="310"/>
      <c r="BS4" s="310"/>
      <c r="BT4" s="310"/>
      <c r="BU4" s="310"/>
      <c r="BV4" s="310"/>
      <c r="BW4" s="310"/>
      <c r="BX4" s="310"/>
      <c r="BY4" s="310"/>
    </row>
    <row r="5" spans="1:78" s="9" customFormat="1" ht="31.5" customHeight="1" thickBot="1">
      <c r="A5" s="364"/>
      <c r="B5" s="302"/>
      <c r="C5" s="56" t="s">
        <v>59</v>
      </c>
      <c r="D5" s="6"/>
      <c r="E5" s="57"/>
      <c r="F5" s="311" t="s">
        <v>187</v>
      </c>
      <c r="G5" s="312"/>
      <c r="H5" s="313"/>
      <c r="I5" s="312" t="s">
        <v>188</v>
      </c>
      <c r="J5" s="312"/>
      <c r="K5" s="313"/>
      <c r="L5" s="398" t="s">
        <v>181</v>
      </c>
      <c r="M5" s="304"/>
      <c r="N5" s="311" t="s">
        <v>187</v>
      </c>
      <c r="O5" s="304"/>
      <c r="P5" s="314" t="s">
        <v>188</v>
      </c>
      <c r="Q5" s="315"/>
      <c r="R5" s="399" t="s">
        <v>189</v>
      </c>
      <c r="S5" s="400"/>
      <c r="T5" s="401"/>
      <c r="U5" s="395" t="s">
        <v>178</v>
      </c>
      <c r="V5" s="396"/>
      <c r="W5" s="397"/>
      <c r="X5" s="395" t="s">
        <v>179</v>
      </c>
      <c r="Y5" s="396"/>
      <c r="Z5" s="397"/>
      <c r="AA5" s="395" t="s">
        <v>180</v>
      </c>
      <c r="AB5" s="396"/>
      <c r="AC5" s="397"/>
      <c r="AD5" s="399" t="s">
        <v>189</v>
      </c>
      <c r="AE5" s="400"/>
      <c r="AF5" s="401"/>
      <c r="AG5" s="395" t="s">
        <v>178</v>
      </c>
      <c r="AH5" s="396"/>
      <c r="AI5" s="397"/>
      <c r="AJ5" s="395" t="s">
        <v>179</v>
      </c>
      <c r="AK5" s="396"/>
      <c r="AL5" s="397"/>
      <c r="AM5" s="395" t="s">
        <v>180</v>
      </c>
      <c r="AN5" s="396"/>
      <c r="AO5" s="397"/>
      <c r="AP5" s="399" t="s">
        <v>189</v>
      </c>
      <c r="AQ5" s="400"/>
      <c r="AR5" s="401"/>
      <c r="AS5" s="395" t="s">
        <v>178</v>
      </c>
      <c r="AT5" s="396"/>
      <c r="AU5" s="397"/>
      <c r="AV5" s="395" t="s">
        <v>179</v>
      </c>
      <c r="AW5" s="396"/>
      <c r="AX5" s="397"/>
      <c r="AY5" s="395" t="s">
        <v>180</v>
      </c>
      <c r="AZ5" s="396"/>
      <c r="BA5" s="397"/>
      <c r="BB5" s="399" t="s">
        <v>189</v>
      </c>
      <c r="BC5" s="400"/>
      <c r="BD5" s="401"/>
      <c r="BE5" s="395" t="s">
        <v>178</v>
      </c>
      <c r="BF5" s="396"/>
      <c r="BG5" s="397"/>
      <c r="BH5" s="395" t="s">
        <v>179</v>
      </c>
      <c r="BI5" s="396"/>
      <c r="BJ5" s="397"/>
      <c r="BK5" s="395" t="s">
        <v>180</v>
      </c>
      <c r="BL5" s="396"/>
      <c r="BM5" s="397"/>
      <c r="BN5" s="399" t="s">
        <v>189</v>
      </c>
      <c r="BO5" s="400"/>
      <c r="BP5" s="401"/>
      <c r="BQ5" s="395" t="s">
        <v>178</v>
      </c>
      <c r="BR5" s="396"/>
      <c r="BS5" s="397"/>
      <c r="BT5" s="395" t="s">
        <v>179</v>
      </c>
      <c r="BU5" s="396"/>
      <c r="BV5" s="397"/>
      <c r="BW5" s="395" t="s">
        <v>180</v>
      </c>
      <c r="BX5" s="396"/>
      <c r="BY5" s="396"/>
    </row>
    <row r="6" spans="1:78" ht="31.5" customHeight="1">
      <c r="A6" s="331"/>
      <c r="B6" s="303"/>
      <c r="C6" s="44" t="s">
        <v>72</v>
      </c>
      <c r="D6" s="44" t="s">
        <v>73</v>
      </c>
      <c r="E6" s="44" t="s">
        <v>74</v>
      </c>
      <c r="F6" s="44" t="s">
        <v>72</v>
      </c>
      <c r="G6" s="44" t="s">
        <v>73</v>
      </c>
      <c r="H6" s="44" t="s">
        <v>74</v>
      </c>
      <c r="I6" s="44" t="s">
        <v>72</v>
      </c>
      <c r="J6" s="44" t="s">
        <v>73</v>
      </c>
      <c r="K6" s="44" t="s">
        <v>74</v>
      </c>
      <c r="L6" s="44" t="s">
        <v>67</v>
      </c>
      <c r="M6" s="44" t="s">
        <v>68</v>
      </c>
      <c r="N6" s="44" t="s">
        <v>67</v>
      </c>
      <c r="O6" s="44" t="s">
        <v>68</v>
      </c>
      <c r="P6" s="44" t="s">
        <v>67</v>
      </c>
      <c r="Q6" s="44" t="s">
        <v>68</v>
      </c>
      <c r="R6" s="44" t="s">
        <v>72</v>
      </c>
      <c r="S6" s="44" t="s">
        <v>73</v>
      </c>
      <c r="T6" s="44" t="s">
        <v>74</v>
      </c>
      <c r="U6" s="43" t="s">
        <v>72</v>
      </c>
      <c r="V6" s="44" t="s">
        <v>73</v>
      </c>
      <c r="W6" s="44" t="s">
        <v>74</v>
      </c>
      <c r="X6" s="43" t="s">
        <v>72</v>
      </c>
      <c r="Y6" s="44" t="s">
        <v>73</v>
      </c>
      <c r="Z6" s="44" t="s">
        <v>74</v>
      </c>
      <c r="AA6" s="43" t="s">
        <v>72</v>
      </c>
      <c r="AB6" s="44" t="s">
        <v>73</v>
      </c>
      <c r="AC6" s="44" t="s">
        <v>74</v>
      </c>
      <c r="AD6" s="43" t="s">
        <v>72</v>
      </c>
      <c r="AE6" s="44" t="s">
        <v>73</v>
      </c>
      <c r="AF6" s="44" t="s">
        <v>74</v>
      </c>
      <c r="AG6" s="43" t="s">
        <v>72</v>
      </c>
      <c r="AH6" s="44" t="s">
        <v>73</v>
      </c>
      <c r="AI6" s="44" t="s">
        <v>74</v>
      </c>
      <c r="AJ6" s="43" t="s">
        <v>72</v>
      </c>
      <c r="AK6" s="44" t="s">
        <v>73</v>
      </c>
      <c r="AL6" s="44" t="s">
        <v>74</v>
      </c>
      <c r="AM6" s="43" t="s">
        <v>72</v>
      </c>
      <c r="AN6" s="44" t="s">
        <v>73</v>
      </c>
      <c r="AO6" s="44" t="s">
        <v>74</v>
      </c>
      <c r="AP6" s="43" t="s">
        <v>72</v>
      </c>
      <c r="AQ6" s="44" t="s">
        <v>73</v>
      </c>
      <c r="AR6" s="44" t="s">
        <v>74</v>
      </c>
      <c r="AS6" s="43" t="s">
        <v>72</v>
      </c>
      <c r="AT6" s="44" t="s">
        <v>73</v>
      </c>
      <c r="AU6" s="44" t="s">
        <v>74</v>
      </c>
      <c r="AV6" s="43" t="s">
        <v>72</v>
      </c>
      <c r="AW6" s="44" t="s">
        <v>73</v>
      </c>
      <c r="AX6" s="44" t="s">
        <v>74</v>
      </c>
      <c r="AY6" s="43" t="s">
        <v>72</v>
      </c>
      <c r="AZ6" s="44" t="s">
        <v>73</v>
      </c>
      <c r="BA6" s="44" t="s">
        <v>74</v>
      </c>
      <c r="BB6" s="43" t="s">
        <v>72</v>
      </c>
      <c r="BC6" s="44" t="s">
        <v>73</v>
      </c>
      <c r="BD6" s="44" t="s">
        <v>74</v>
      </c>
      <c r="BE6" s="43" t="s">
        <v>72</v>
      </c>
      <c r="BF6" s="44" t="s">
        <v>73</v>
      </c>
      <c r="BG6" s="44" t="s">
        <v>74</v>
      </c>
      <c r="BH6" s="43" t="s">
        <v>72</v>
      </c>
      <c r="BI6" s="44" t="s">
        <v>73</v>
      </c>
      <c r="BJ6" s="44" t="s">
        <v>74</v>
      </c>
      <c r="BK6" s="43" t="s">
        <v>72</v>
      </c>
      <c r="BL6" s="44" t="s">
        <v>73</v>
      </c>
      <c r="BM6" s="44" t="s">
        <v>74</v>
      </c>
      <c r="BN6" s="43" t="s">
        <v>72</v>
      </c>
      <c r="BO6" s="44" t="s">
        <v>73</v>
      </c>
      <c r="BP6" s="44" t="s">
        <v>74</v>
      </c>
      <c r="BQ6" s="43" t="s">
        <v>72</v>
      </c>
      <c r="BR6" s="44" t="s">
        <v>73</v>
      </c>
      <c r="BS6" s="44" t="s">
        <v>74</v>
      </c>
      <c r="BT6" s="43" t="s">
        <v>72</v>
      </c>
      <c r="BU6" s="44" t="s">
        <v>73</v>
      </c>
      <c r="BV6" s="44" t="s">
        <v>74</v>
      </c>
      <c r="BW6" s="43" t="s">
        <v>72</v>
      </c>
      <c r="BX6" s="44" t="s">
        <v>73</v>
      </c>
      <c r="BY6" s="42" t="s">
        <v>74</v>
      </c>
    </row>
    <row r="7" spans="1:78" s="13" customFormat="1" ht="15.75" customHeight="1">
      <c r="A7" s="55" t="s">
        <v>177</v>
      </c>
      <c r="B7" s="28" t="s">
        <v>39</v>
      </c>
      <c r="C7" s="59">
        <v>15007</v>
      </c>
      <c r="D7" s="59">
        <v>1610</v>
      </c>
      <c r="E7" s="59">
        <v>13397</v>
      </c>
      <c r="F7" s="59">
        <v>1469</v>
      </c>
      <c r="G7" s="59">
        <v>198</v>
      </c>
      <c r="H7" s="59">
        <v>1271</v>
      </c>
      <c r="I7" s="59">
        <v>13538</v>
      </c>
      <c r="J7" s="59">
        <v>1412</v>
      </c>
      <c r="K7" s="59">
        <v>12126</v>
      </c>
      <c r="L7" s="59">
        <v>2226</v>
      </c>
      <c r="M7" s="59">
        <v>58007</v>
      </c>
      <c r="N7" s="59">
        <v>784</v>
      </c>
      <c r="O7" s="59">
        <v>6983</v>
      </c>
      <c r="P7" s="59">
        <v>1442</v>
      </c>
      <c r="Q7" s="59">
        <v>51024</v>
      </c>
      <c r="R7" s="59">
        <v>96522</v>
      </c>
      <c r="S7" s="59">
        <v>40484</v>
      </c>
      <c r="T7" s="59">
        <v>56038</v>
      </c>
      <c r="U7" s="59">
        <v>23492</v>
      </c>
      <c r="V7" s="59">
        <v>11755</v>
      </c>
      <c r="W7" s="59">
        <v>11737</v>
      </c>
      <c r="X7" s="59">
        <v>11292</v>
      </c>
      <c r="Y7" s="59">
        <v>5673</v>
      </c>
      <c r="Z7" s="59">
        <v>5619</v>
      </c>
      <c r="AA7" s="59">
        <v>61738</v>
      </c>
      <c r="AB7" s="59">
        <v>23056</v>
      </c>
      <c r="AC7" s="59">
        <v>38682</v>
      </c>
      <c r="AD7" s="59">
        <v>69823</v>
      </c>
      <c r="AE7" s="59">
        <v>26887</v>
      </c>
      <c r="AF7" s="59">
        <v>42936</v>
      </c>
      <c r="AG7" s="59">
        <v>14195</v>
      </c>
      <c r="AH7" s="59">
        <v>6499</v>
      </c>
      <c r="AI7" s="59">
        <v>7696</v>
      </c>
      <c r="AJ7" s="59">
        <v>4859</v>
      </c>
      <c r="AK7" s="59">
        <v>2320</v>
      </c>
      <c r="AL7" s="59">
        <v>2539</v>
      </c>
      <c r="AM7" s="59">
        <v>50769</v>
      </c>
      <c r="AN7" s="59">
        <v>18068</v>
      </c>
      <c r="AO7" s="59">
        <v>32701</v>
      </c>
      <c r="AP7" s="59">
        <v>2875</v>
      </c>
      <c r="AQ7" s="59">
        <v>1486</v>
      </c>
      <c r="AR7" s="59">
        <v>1389</v>
      </c>
      <c r="AS7" s="59">
        <v>1049</v>
      </c>
      <c r="AT7" s="59">
        <v>637</v>
      </c>
      <c r="AU7" s="59">
        <v>412</v>
      </c>
      <c r="AV7" s="59">
        <v>875</v>
      </c>
      <c r="AW7" s="59">
        <v>422</v>
      </c>
      <c r="AX7" s="59">
        <v>453</v>
      </c>
      <c r="AY7" s="59">
        <v>951</v>
      </c>
      <c r="AZ7" s="59">
        <v>427</v>
      </c>
      <c r="BA7" s="59">
        <v>524</v>
      </c>
      <c r="BB7" s="59">
        <v>17535</v>
      </c>
      <c r="BC7" s="59">
        <v>9610</v>
      </c>
      <c r="BD7" s="59">
        <v>7925</v>
      </c>
      <c r="BE7" s="59">
        <v>7179</v>
      </c>
      <c r="BF7" s="59">
        <v>4178</v>
      </c>
      <c r="BG7" s="59">
        <v>3001</v>
      </c>
      <c r="BH7" s="59">
        <v>4920</v>
      </c>
      <c r="BI7" s="59">
        <v>2649</v>
      </c>
      <c r="BJ7" s="59">
        <v>2271</v>
      </c>
      <c r="BK7" s="59">
        <v>5436</v>
      </c>
      <c r="BL7" s="59">
        <v>2783</v>
      </c>
      <c r="BM7" s="59">
        <v>2653</v>
      </c>
      <c r="BN7" s="59">
        <v>6289</v>
      </c>
      <c r="BO7" s="59">
        <v>2501</v>
      </c>
      <c r="BP7" s="59">
        <v>3788</v>
      </c>
      <c r="BQ7" s="59">
        <v>1069</v>
      </c>
      <c r="BR7" s="59">
        <v>441</v>
      </c>
      <c r="BS7" s="59">
        <v>628</v>
      </c>
      <c r="BT7" s="59">
        <v>638</v>
      </c>
      <c r="BU7" s="59">
        <v>282</v>
      </c>
      <c r="BV7" s="59">
        <v>356</v>
      </c>
      <c r="BW7" s="59">
        <v>4582</v>
      </c>
      <c r="BX7" s="59">
        <v>1778</v>
      </c>
      <c r="BY7" s="59">
        <v>2804</v>
      </c>
      <c r="BZ7" s="29"/>
    </row>
    <row r="8" spans="1:78" s="18" customFormat="1" ht="15.75" customHeight="1">
      <c r="A8" s="47" t="s">
        <v>125</v>
      </c>
      <c r="B8" s="35" t="s">
        <v>24</v>
      </c>
      <c r="C8" s="41">
        <v>1623</v>
      </c>
      <c r="D8" s="41">
        <v>190</v>
      </c>
      <c r="E8" s="41">
        <v>1433</v>
      </c>
      <c r="F8" s="41">
        <v>174</v>
      </c>
      <c r="G8" s="41">
        <v>28</v>
      </c>
      <c r="H8" s="41">
        <v>146</v>
      </c>
      <c r="I8" s="41">
        <v>1449</v>
      </c>
      <c r="J8" s="41">
        <v>162</v>
      </c>
      <c r="K8" s="41">
        <v>1287</v>
      </c>
      <c r="L8" s="41">
        <v>70</v>
      </c>
      <c r="M8" s="41">
        <v>4921</v>
      </c>
      <c r="N8" s="41">
        <v>6</v>
      </c>
      <c r="O8" s="41">
        <v>800</v>
      </c>
      <c r="P8" s="41">
        <v>64</v>
      </c>
      <c r="Q8" s="41">
        <v>4121</v>
      </c>
      <c r="R8" s="41">
        <v>7010</v>
      </c>
      <c r="S8" s="41">
        <v>3027</v>
      </c>
      <c r="T8" s="41">
        <v>3983</v>
      </c>
      <c r="U8" s="41">
        <v>1321</v>
      </c>
      <c r="V8" s="41">
        <v>661</v>
      </c>
      <c r="W8" s="41">
        <v>660</v>
      </c>
      <c r="X8" s="41">
        <v>453</v>
      </c>
      <c r="Y8" s="41">
        <v>230</v>
      </c>
      <c r="Z8" s="41">
        <v>223</v>
      </c>
      <c r="AA8" s="41">
        <v>5236</v>
      </c>
      <c r="AB8" s="41">
        <v>2136</v>
      </c>
      <c r="AC8" s="41">
        <v>3100</v>
      </c>
      <c r="AD8" s="41">
        <v>4505</v>
      </c>
      <c r="AE8" s="41">
        <v>1730</v>
      </c>
      <c r="AF8" s="41">
        <v>2775</v>
      </c>
      <c r="AG8" s="41">
        <v>602</v>
      </c>
      <c r="AH8" s="41">
        <v>233</v>
      </c>
      <c r="AI8" s="41">
        <v>369</v>
      </c>
      <c r="AJ8" s="41">
        <v>272</v>
      </c>
      <c r="AK8" s="41">
        <v>134</v>
      </c>
      <c r="AL8" s="41">
        <v>138</v>
      </c>
      <c r="AM8" s="41">
        <v>3631</v>
      </c>
      <c r="AN8" s="41">
        <v>1363</v>
      </c>
      <c r="AO8" s="41">
        <v>2268</v>
      </c>
      <c r="AP8" s="41">
        <v>15</v>
      </c>
      <c r="AQ8" s="41">
        <v>5</v>
      </c>
      <c r="AR8" s="41">
        <v>10</v>
      </c>
      <c r="AS8" s="41">
        <v>3</v>
      </c>
      <c r="AT8" s="41">
        <v>2</v>
      </c>
      <c r="AU8" s="41">
        <v>1</v>
      </c>
      <c r="AV8" s="41">
        <v>7</v>
      </c>
      <c r="AW8" s="41">
        <v>2</v>
      </c>
      <c r="AX8" s="41">
        <v>5</v>
      </c>
      <c r="AY8" s="41">
        <v>5</v>
      </c>
      <c r="AZ8" s="41">
        <v>1</v>
      </c>
      <c r="BA8" s="41">
        <v>4</v>
      </c>
      <c r="BB8" s="41">
        <v>1607</v>
      </c>
      <c r="BC8" s="41">
        <v>948</v>
      </c>
      <c r="BD8" s="41">
        <v>659</v>
      </c>
      <c r="BE8" s="41">
        <v>610</v>
      </c>
      <c r="BF8" s="41">
        <v>392</v>
      </c>
      <c r="BG8" s="41">
        <v>218</v>
      </c>
      <c r="BH8" s="41">
        <v>115</v>
      </c>
      <c r="BI8" s="41">
        <v>66</v>
      </c>
      <c r="BJ8" s="41">
        <v>49</v>
      </c>
      <c r="BK8" s="41">
        <v>882</v>
      </c>
      <c r="BL8" s="41">
        <v>490</v>
      </c>
      <c r="BM8" s="41">
        <v>392</v>
      </c>
      <c r="BN8" s="41">
        <v>883</v>
      </c>
      <c r="BO8" s="41">
        <v>344</v>
      </c>
      <c r="BP8" s="41">
        <v>539</v>
      </c>
      <c r="BQ8" s="41">
        <v>106</v>
      </c>
      <c r="BR8" s="41">
        <v>34</v>
      </c>
      <c r="BS8" s="41">
        <v>72</v>
      </c>
      <c r="BT8" s="41">
        <v>59</v>
      </c>
      <c r="BU8" s="41">
        <v>28</v>
      </c>
      <c r="BV8" s="41">
        <v>31</v>
      </c>
      <c r="BW8" s="41">
        <v>718</v>
      </c>
      <c r="BX8" s="41">
        <v>282</v>
      </c>
      <c r="BY8" s="41">
        <v>436</v>
      </c>
    </row>
    <row r="9" spans="1:78" s="18" customFormat="1" ht="15.75" customHeight="1">
      <c r="A9" s="47" t="s">
        <v>126</v>
      </c>
      <c r="B9" s="35" t="s">
        <v>25</v>
      </c>
      <c r="C9" s="41">
        <v>968</v>
      </c>
      <c r="D9" s="41">
        <v>170</v>
      </c>
      <c r="E9" s="41">
        <v>798</v>
      </c>
      <c r="F9" s="41">
        <v>99</v>
      </c>
      <c r="G9" s="41">
        <v>26</v>
      </c>
      <c r="H9" s="41">
        <v>73</v>
      </c>
      <c r="I9" s="41">
        <v>869</v>
      </c>
      <c r="J9" s="41">
        <v>144</v>
      </c>
      <c r="K9" s="41">
        <v>725</v>
      </c>
      <c r="L9" s="41">
        <v>0</v>
      </c>
      <c r="M9" s="41">
        <v>0</v>
      </c>
      <c r="N9" s="41">
        <v>0</v>
      </c>
      <c r="O9" s="41">
        <v>0</v>
      </c>
      <c r="P9" s="41">
        <v>0</v>
      </c>
      <c r="Q9" s="41">
        <v>0</v>
      </c>
      <c r="R9" s="41">
        <v>4357</v>
      </c>
      <c r="S9" s="41">
        <v>1913</v>
      </c>
      <c r="T9" s="41">
        <v>2444</v>
      </c>
      <c r="U9" s="41">
        <v>1091</v>
      </c>
      <c r="V9" s="41">
        <v>592</v>
      </c>
      <c r="W9" s="41">
        <v>499</v>
      </c>
      <c r="X9" s="41">
        <v>153</v>
      </c>
      <c r="Y9" s="41">
        <v>76</v>
      </c>
      <c r="Z9" s="41">
        <v>77</v>
      </c>
      <c r="AA9" s="41">
        <v>3113</v>
      </c>
      <c r="AB9" s="41">
        <v>1245</v>
      </c>
      <c r="AC9" s="41">
        <v>1868</v>
      </c>
      <c r="AD9" s="41">
        <v>2841</v>
      </c>
      <c r="AE9" s="41">
        <v>1183</v>
      </c>
      <c r="AF9" s="41">
        <v>1658</v>
      </c>
      <c r="AG9" s="41">
        <v>643</v>
      </c>
      <c r="AH9" s="41">
        <v>338</v>
      </c>
      <c r="AI9" s="41">
        <v>305</v>
      </c>
      <c r="AJ9" s="41">
        <v>59</v>
      </c>
      <c r="AK9" s="41">
        <v>30</v>
      </c>
      <c r="AL9" s="41">
        <v>29</v>
      </c>
      <c r="AM9" s="41">
        <v>2139</v>
      </c>
      <c r="AN9" s="41">
        <v>815</v>
      </c>
      <c r="AO9" s="41">
        <v>1324</v>
      </c>
      <c r="AP9" s="41">
        <v>3</v>
      </c>
      <c r="AQ9" s="41">
        <v>0</v>
      </c>
      <c r="AR9" s="41">
        <v>3</v>
      </c>
      <c r="AS9" s="41">
        <v>0</v>
      </c>
      <c r="AT9" s="41">
        <v>0</v>
      </c>
      <c r="AU9" s="41">
        <v>0</v>
      </c>
      <c r="AV9" s="41">
        <v>0</v>
      </c>
      <c r="AW9" s="41">
        <v>0</v>
      </c>
      <c r="AX9" s="41">
        <v>0</v>
      </c>
      <c r="AY9" s="41">
        <v>3</v>
      </c>
      <c r="AZ9" s="41">
        <v>0</v>
      </c>
      <c r="BA9" s="41">
        <v>3</v>
      </c>
      <c r="BB9" s="41">
        <v>778</v>
      </c>
      <c r="BC9" s="41">
        <v>437</v>
      </c>
      <c r="BD9" s="41">
        <v>341</v>
      </c>
      <c r="BE9" s="41">
        <v>340</v>
      </c>
      <c r="BF9" s="41">
        <v>211</v>
      </c>
      <c r="BG9" s="41">
        <v>129</v>
      </c>
      <c r="BH9" s="41">
        <v>72</v>
      </c>
      <c r="BI9" s="41">
        <v>35</v>
      </c>
      <c r="BJ9" s="41">
        <v>37</v>
      </c>
      <c r="BK9" s="41">
        <v>366</v>
      </c>
      <c r="BL9" s="41">
        <v>191</v>
      </c>
      <c r="BM9" s="41">
        <v>175</v>
      </c>
      <c r="BN9" s="41">
        <v>735</v>
      </c>
      <c r="BO9" s="41">
        <v>293</v>
      </c>
      <c r="BP9" s="41">
        <v>442</v>
      </c>
      <c r="BQ9" s="41">
        <v>108</v>
      </c>
      <c r="BR9" s="41">
        <v>43</v>
      </c>
      <c r="BS9" s="41">
        <v>65</v>
      </c>
      <c r="BT9" s="41">
        <v>22</v>
      </c>
      <c r="BU9" s="41">
        <v>11</v>
      </c>
      <c r="BV9" s="41">
        <v>11</v>
      </c>
      <c r="BW9" s="41">
        <v>605</v>
      </c>
      <c r="BX9" s="41">
        <v>239</v>
      </c>
      <c r="BY9" s="41">
        <v>366</v>
      </c>
    </row>
    <row r="10" spans="1:78" s="18" customFormat="1" ht="15.75" customHeight="1">
      <c r="A10" s="47" t="s">
        <v>127</v>
      </c>
      <c r="B10" s="35" t="s">
        <v>49</v>
      </c>
      <c r="C10" s="41">
        <v>941</v>
      </c>
      <c r="D10" s="41">
        <v>76</v>
      </c>
      <c r="E10" s="41">
        <v>865</v>
      </c>
      <c r="F10" s="41">
        <v>84</v>
      </c>
      <c r="G10" s="41">
        <v>11</v>
      </c>
      <c r="H10" s="41">
        <v>73</v>
      </c>
      <c r="I10" s="41">
        <v>857</v>
      </c>
      <c r="J10" s="41">
        <v>65</v>
      </c>
      <c r="K10" s="41">
        <v>792</v>
      </c>
      <c r="L10" s="41">
        <v>128</v>
      </c>
      <c r="M10" s="41">
        <v>8971</v>
      </c>
      <c r="N10" s="41">
        <v>33</v>
      </c>
      <c r="O10" s="41">
        <v>283</v>
      </c>
      <c r="P10" s="41">
        <v>95</v>
      </c>
      <c r="Q10" s="41">
        <v>8688</v>
      </c>
      <c r="R10" s="41">
        <v>4203</v>
      </c>
      <c r="S10" s="41">
        <v>1921</v>
      </c>
      <c r="T10" s="41">
        <v>2282</v>
      </c>
      <c r="U10" s="41">
        <v>891</v>
      </c>
      <c r="V10" s="41">
        <v>464</v>
      </c>
      <c r="W10" s="41">
        <v>427</v>
      </c>
      <c r="X10" s="41">
        <v>654</v>
      </c>
      <c r="Y10" s="41">
        <v>351</v>
      </c>
      <c r="Z10" s="41">
        <v>303</v>
      </c>
      <c r="AA10" s="41">
        <v>2658</v>
      </c>
      <c r="AB10" s="41">
        <v>1106</v>
      </c>
      <c r="AC10" s="41">
        <v>1552</v>
      </c>
      <c r="AD10" s="41">
        <v>2808</v>
      </c>
      <c r="AE10" s="41">
        <v>1167</v>
      </c>
      <c r="AF10" s="41">
        <v>1641</v>
      </c>
      <c r="AG10" s="41">
        <v>491</v>
      </c>
      <c r="AH10" s="41">
        <v>220</v>
      </c>
      <c r="AI10" s="41">
        <v>271</v>
      </c>
      <c r="AJ10" s="41">
        <v>205</v>
      </c>
      <c r="AK10" s="41">
        <v>105</v>
      </c>
      <c r="AL10" s="41">
        <v>100</v>
      </c>
      <c r="AM10" s="41">
        <v>2112</v>
      </c>
      <c r="AN10" s="41">
        <v>842</v>
      </c>
      <c r="AO10" s="41">
        <v>1270</v>
      </c>
      <c r="AP10" s="41">
        <v>21</v>
      </c>
      <c r="AQ10" s="41">
        <v>8</v>
      </c>
      <c r="AR10" s="41">
        <v>13</v>
      </c>
      <c r="AS10" s="41">
        <v>4</v>
      </c>
      <c r="AT10" s="41">
        <v>3</v>
      </c>
      <c r="AU10" s="41">
        <v>1</v>
      </c>
      <c r="AV10" s="41">
        <v>5</v>
      </c>
      <c r="AW10" s="41">
        <v>3</v>
      </c>
      <c r="AX10" s="41">
        <v>2</v>
      </c>
      <c r="AY10" s="41">
        <v>12</v>
      </c>
      <c r="AZ10" s="41">
        <v>2</v>
      </c>
      <c r="BA10" s="41">
        <v>10</v>
      </c>
      <c r="BB10" s="41">
        <v>1287</v>
      </c>
      <c r="BC10" s="41">
        <v>717</v>
      </c>
      <c r="BD10" s="41">
        <v>570</v>
      </c>
      <c r="BE10" s="41">
        <v>376</v>
      </c>
      <c r="BF10" s="41">
        <v>236</v>
      </c>
      <c r="BG10" s="41">
        <v>140</v>
      </c>
      <c r="BH10" s="41">
        <v>431</v>
      </c>
      <c r="BI10" s="41">
        <v>237</v>
      </c>
      <c r="BJ10" s="41">
        <v>194</v>
      </c>
      <c r="BK10" s="41">
        <v>480</v>
      </c>
      <c r="BL10" s="41">
        <v>244</v>
      </c>
      <c r="BM10" s="41">
        <v>236</v>
      </c>
      <c r="BN10" s="41">
        <v>87</v>
      </c>
      <c r="BO10" s="41">
        <v>29</v>
      </c>
      <c r="BP10" s="41">
        <v>58</v>
      </c>
      <c r="BQ10" s="41">
        <v>20</v>
      </c>
      <c r="BR10" s="41">
        <v>5</v>
      </c>
      <c r="BS10" s="41">
        <v>15</v>
      </c>
      <c r="BT10" s="41">
        <v>13</v>
      </c>
      <c r="BU10" s="41">
        <v>6</v>
      </c>
      <c r="BV10" s="41">
        <v>7</v>
      </c>
      <c r="BW10" s="41">
        <v>54</v>
      </c>
      <c r="BX10" s="41">
        <v>18</v>
      </c>
      <c r="BY10" s="41">
        <v>36</v>
      </c>
    </row>
    <row r="11" spans="1:78" s="18" customFormat="1" ht="15.75" customHeight="1">
      <c r="A11" s="47" t="s">
        <v>128</v>
      </c>
      <c r="B11" s="35" t="s">
        <v>26</v>
      </c>
      <c r="C11" s="41">
        <v>2194</v>
      </c>
      <c r="D11" s="41">
        <v>294</v>
      </c>
      <c r="E11" s="41">
        <v>1900</v>
      </c>
      <c r="F11" s="41">
        <v>177</v>
      </c>
      <c r="G11" s="41">
        <v>26</v>
      </c>
      <c r="H11" s="41">
        <v>151</v>
      </c>
      <c r="I11" s="41">
        <v>2017</v>
      </c>
      <c r="J11" s="41">
        <v>268</v>
      </c>
      <c r="K11" s="41">
        <v>1749</v>
      </c>
      <c r="L11" s="41">
        <v>345</v>
      </c>
      <c r="M11" s="41">
        <v>8016</v>
      </c>
      <c r="N11" s="41">
        <v>109</v>
      </c>
      <c r="O11" s="41">
        <v>1542</v>
      </c>
      <c r="P11" s="41">
        <v>236</v>
      </c>
      <c r="Q11" s="41">
        <v>6474</v>
      </c>
      <c r="R11" s="41">
        <v>27082</v>
      </c>
      <c r="S11" s="41">
        <v>10983</v>
      </c>
      <c r="T11" s="41">
        <v>16099</v>
      </c>
      <c r="U11" s="41">
        <v>8449</v>
      </c>
      <c r="V11" s="41">
        <v>3959</v>
      </c>
      <c r="W11" s="41">
        <v>4490</v>
      </c>
      <c r="X11" s="41">
        <v>2323</v>
      </c>
      <c r="Y11" s="41">
        <v>1191</v>
      </c>
      <c r="Z11" s="41">
        <v>1132</v>
      </c>
      <c r="AA11" s="41">
        <v>16310</v>
      </c>
      <c r="AB11" s="41">
        <v>5833</v>
      </c>
      <c r="AC11" s="41">
        <v>10477</v>
      </c>
      <c r="AD11" s="41">
        <v>21265</v>
      </c>
      <c r="AE11" s="41">
        <v>8114</v>
      </c>
      <c r="AF11" s="41">
        <v>13151</v>
      </c>
      <c r="AG11" s="41">
        <v>5447</v>
      </c>
      <c r="AH11" s="41">
        <v>2553</v>
      </c>
      <c r="AI11" s="41">
        <v>2894</v>
      </c>
      <c r="AJ11" s="41">
        <v>1237</v>
      </c>
      <c r="AK11" s="41">
        <v>627</v>
      </c>
      <c r="AL11" s="41">
        <v>610</v>
      </c>
      <c r="AM11" s="41">
        <v>14581</v>
      </c>
      <c r="AN11" s="41">
        <v>4934</v>
      </c>
      <c r="AO11" s="41">
        <v>9647</v>
      </c>
      <c r="AP11" s="41">
        <v>914</v>
      </c>
      <c r="AQ11" s="41">
        <v>506</v>
      </c>
      <c r="AR11" s="41">
        <v>408</v>
      </c>
      <c r="AS11" s="41">
        <v>354</v>
      </c>
      <c r="AT11" s="41">
        <v>236</v>
      </c>
      <c r="AU11" s="41">
        <v>118</v>
      </c>
      <c r="AV11" s="41">
        <v>240</v>
      </c>
      <c r="AW11" s="41">
        <v>123</v>
      </c>
      <c r="AX11" s="41">
        <v>117</v>
      </c>
      <c r="AY11" s="41">
        <v>320</v>
      </c>
      <c r="AZ11" s="41">
        <v>147</v>
      </c>
      <c r="BA11" s="41">
        <v>173</v>
      </c>
      <c r="BB11" s="41">
        <v>4348</v>
      </c>
      <c r="BC11" s="41">
        <v>2058</v>
      </c>
      <c r="BD11" s="41">
        <v>2290</v>
      </c>
      <c r="BE11" s="41">
        <v>2528</v>
      </c>
      <c r="BF11" s="41">
        <v>1124</v>
      </c>
      <c r="BG11" s="41">
        <v>1404</v>
      </c>
      <c r="BH11" s="41">
        <v>802</v>
      </c>
      <c r="BI11" s="41">
        <v>419</v>
      </c>
      <c r="BJ11" s="41">
        <v>383</v>
      </c>
      <c r="BK11" s="41">
        <v>1018</v>
      </c>
      <c r="BL11" s="41">
        <v>515</v>
      </c>
      <c r="BM11" s="41">
        <v>503</v>
      </c>
      <c r="BN11" s="41">
        <v>555</v>
      </c>
      <c r="BO11" s="41">
        <v>305</v>
      </c>
      <c r="BP11" s="41">
        <v>250</v>
      </c>
      <c r="BQ11" s="41">
        <v>120</v>
      </c>
      <c r="BR11" s="41">
        <v>46</v>
      </c>
      <c r="BS11" s="41">
        <v>74</v>
      </c>
      <c r="BT11" s="41">
        <v>44</v>
      </c>
      <c r="BU11" s="41">
        <v>22</v>
      </c>
      <c r="BV11" s="41">
        <v>22</v>
      </c>
      <c r="BW11" s="41">
        <v>391</v>
      </c>
      <c r="BX11" s="41">
        <v>237</v>
      </c>
      <c r="BY11" s="41">
        <v>154</v>
      </c>
    </row>
    <row r="12" spans="1:78" s="18" customFormat="1" ht="15.75" customHeight="1">
      <c r="A12" s="47" t="s">
        <v>129</v>
      </c>
      <c r="B12" s="35" t="s">
        <v>27</v>
      </c>
      <c r="C12" s="41">
        <v>1400</v>
      </c>
      <c r="D12" s="41">
        <v>172</v>
      </c>
      <c r="E12" s="41">
        <v>1228</v>
      </c>
      <c r="F12" s="41">
        <v>138</v>
      </c>
      <c r="G12" s="41">
        <v>14</v>
      </c>
      <c r="H12" s="41">
        <v>124</v>
      </c>
      <c r="I12" s="41">
        <v>1262</v>
      </c>
      <c r="J12" s="41">
        <v>158</v>
      </c>
      <c r="K12" s="41">
        <v>1104</v>
      </c>
      <c r="L12" s="41">
        <v>150</v>
      </c>
      <c r="M12" s="41">
        <v>3814</v>
      </c>
      <c r="N12" s="41">
        <v>56</v>
      </c>
      <c r="O12" s="41">
        <v>617</v>
      </c>
      <c r="P12" s="41">
        <v>94</v>
      </c>
      <c r="Q12" s="41">
        <v>3197</v>
      </c>
      <c r="R12" s="41">
        <v>7423</v>
      </c>
      <c r="S12" s="41">
        <v>2916</v>
      </c>
      <c r="T12" s="41">
        <v>4507</v>
      </c>
      <c r="U12" s="41">
        <v>1168</v>
      </c>
      <c r="V12" s="41">
        <v>594</v>
      </c>
      <c r="W12" s="41">
        <v>574</v>
      </c>
      <c r="X12" s="41">
        <v>990</v>
      </c>
      <c r="Y12" s="41">
        <v>489</v>
      </c>
      <c r="Z12" s="41">
        <v>501</v>
      </c>
      <c r="AA12" s="41">
        <v>5265</v>
      </c>
      <c r="AB12" s="41">
        <v>1833</v>
      </c>
      <c r="AC12" s="41">
        <v>3432</v>
      </c>
      <c r="AD12" s="41">
        <v>5831</v>
      </c>
      <c r="AE12" s="41">
        <v>2120</v>
      </c>
      <c r="AF12" s="41">
        <v>3711</v>
      </c>
      <c r="AG12" s="41">
        <v>771</v>
      </c>
      <c r="AH12" s="41">
        <v>341</v>
      </c>
      <c r="AI12" s="41">
        <v>430</v>
      </c>
      <c r="AJ12" s="41">
        <v>420</v>
      </c>
      <c r="AK12" s="41">
        <v>195</v>
      </c>
      <c r="AL12" s="41">
        <v>225</v>
      </c>
      <c r="AM12" s="41">
        <v>4640</v>
      </c>
      <c r="AN12" s="41">
        <v>1584</v>
      </c>
      <c r="AO12" s="41">
        <v>3056</v>
      </c>
      <c r="AP12" s="41">
        <v>1</v>
      </c>
      <c r="AQ12" s="41">
        <v>1</v>
      </c>
      <c r="AR12" s="41">
        <v>0</v>
      </c>
      <c r="AS12" s="41">
        <v>0</v>
      </c>
      <c r="AT12" s="41">
        <v>0</v>
      </c>
      <c r="AU12" s="41">
        <v>0</v>
      </c>
      <c r="AV12" s="41">
        <v>1</v>
      </c>
      <c r="AW12" s="41">
        <v>1</v>
      </c>
      <c r="AX12" s="41">
        <v>0</v>
      </c>
      <c r="AY12" s="41">
        <v>0</v>
      </c>
      <c r="AZ12" s="41">
        <v>0</v>
      </c>
      <c r="BA12" s="41">
        <v>0</v>
      </c>
      <c r="BB12" s="41">
        <v>1135</v>
      </c>
      <c r="BC12" s="41">
        <v>657</v>
      </c>
      <c r="BD12" s="41">
        <v>478</v>
      </c>
      <c r="BE12" s="41">
        <v>341</v>
      </c>
      <c r="BF12" s="41">
        <v>234</v>
      </c>
      <c r="BG12" s="41">
        <v>107</v>
      </c>
      <c r="BH12" s="41">
        <v>529</v>
      </c>
      <c r="BI12" s="41">
        <v>280</v>
      </c>
      <c r="BJ12" s="41">
        <v>249</v>
      </c>
      <c r="BK12" s="41">
        <v>265</v>
      </c>
      <c r="BL12" s="41">
        <v>143</v>
      </c>
      <c r="BM12" s="41">
        <v>122</v>
      </c>
      <c r="BN12" s="41">
        <v>456</v>
      </c>
      <c r="BO12" s="41">
        <v>138</v>
      </c>
      <c r="BP12" s="41">
        <v>318</v>
      </c>
      <c r="BQ12" s="41">
        <v>56</v>
      </c>
      <c r="BR12" s="41">
        <v>19</v>
      </c>
      <c r="BS12" s="41">
        <v>37</v>
      </c>
      <c r="BT12" s="41">
        <v>40</v>
      </c>
      <c r="BU12" s="41">
        <v>13</v>
      </c>
      <c r="BV12" s="41">
        <v>27</v>
      </c>
      <c r="BW12" s="41">
        <v>360</v>
      </c>
      <c r="BX12" s="41">
        <v>106</v>
      </c>
      <c r="BY12" s="41">
        <v>254</v>
      </c>
    </row>
    <row r="13" spans="1:78" s="18" customFormat="1" ht="15.75" customHeight="1">
      <c r="A13" s="48" t="s">
        <v>130</v>
      </c>
      <c r="B13" s="35" t="s">
        <v>28</v>
      </c>
      <c r="C13" s="41">
        <v>2392</v>
      </c>
      <c r="D13" s="41">
        <v>215</v>
      </c>
      <c r="E13" s="41">
        <v>2177</v>
      </c>
      <c r="F13" s="41">
        <v>224</v>
      </c>
      <c r="G13" s="41">
        <v>26</v>
      </c>
      <c r="H13" s="41">
        <v>198</v>
      </c>
      <c r="I13" s="41">
        <v>2168</v>
      </c>
      <c r="J13" s="41">
        <v>189</v>
      </c>
      <c r="K13" s="41">
        <v>1979</v>
      </c>
      <c r="L13" s="41">
        <v>11</v>
      </c>
      <c r="M13" s="41">
        <v>577</v>
      </c>
      <c r="N13" s="41">
        <v>4</v>
      </c>
      <c r="O13" s="41">
        <v>99</v>
      </c>
      <c r="P13" s="41">
        <v>7</v>
      </c>
      <c r="Q13" s="41">
        <v>478</v>
      </c>
      <c r="R13" s="41">
        <v>10668</v>
      </c>
      <c r="S13" s="41">
        <v>4545</v>
      </c>
      <c r="T13" s="41">
        <v>6123</v>
      </c>
      <c r="U13" s="41">
        <v>2633</v>
      </c>
      <c r="V13" s="41">
        <v>1306</v>
      </c>
      <c r="W13" s="41">
        <v>1327</v>
      </c>
      <c r="X13" s="41">
        <v>1266</v>
      </c>
      <c r="Y13" s="41">
        <v>643</v>
      </c>
      <c r="Z13" s="41">
        <v>623</v>
      </c>
      <c r="AA13" s="41">
        <v>6769</v>
      </c>
      <c r="AB13" s="41">
        <v>2596</v>
      </c>
      <c r="AC13" s="41">
        <v>4173</v>
      </c>
      <c r="AD13" s="41">
        <v>7853</v>
      </c>
      <c r="AE13" s="41">
        <v>3047</v>
      </c>
      <c r="AF13" s="41">
        <v>4806</v>
      </c>
      <c r="AG13" s="41">
        <v>1698</v>
      </c>
      <c r="AH13" s="41">
        <v>721</v>
      </c>
      <c r="AI13" s="41">
        <v>977</v>
      </c>
      <c r="AJ13" s="41">
        <v>470</v>
      </c>
      <c r="AK13" s="41">
        <v>225</v>
      </c>
      <c r="AL13" s="41">
        <v>245</v>
      </c>
      <c r="AM13" s="41">
        <v>5685</v>
      </c>
      <c r="AN13" s="41">
        <v>2101</v>
      </c>
      <c r="AO13" s="41">
        <v>3584</v>
      </c>
      <c r="AP13" s="41">
        <v>21</v>
      </c>
      <c r="AQ13" s="41">
        <v>15</v>
      </c>
      <c r="AR13" s="41">
        <v>6</v>
      </c>
      <c r="AS13" s="41">
        <v>7</v>
      </c>
      <c r="AT13" s="41">
        <v>6</v>
      </c>
      <c r="AU13" s="41">
        <v>1</v>
      </c>
      <c r="AV13" s="41">
        <v>3</v>
      </c>
      <c r="AW13" s="41">
        <v>3</v>
      </c>
      <c r="AX13" s="41">
        <v>0</v>
      </c>
      <c r="AY13" s="41">
        <v>11</v>
      </c>
      <c r="AZ13" s="41">
        <v>6</v>
      </c>
      <c r="BA13" s="41">
        <v>5</v>
      </c>
      <c r="BB13" s="41">
        <v>2146</v>
      </c>
      <c r="BC13" s="41">
        <v>1238</v>
      </c>
      <c r="BD13" s="41">
        <v>908</v>
      </c>
      <c r="BE13" s="41">
        <v>807</v>
      </c>
      <c r="BF13" s="41">
        <v>536</v>
      </c>
      <c r="BG13" s="41">
        <v>271</v>
      </c>
      <c r="BH13" s="41">
        <v>747</v>
      </c>
      <c r="BI13" s="41">
        <v>399</v>
      </c>
      <c r="BJ13" s="41">
        <v>348</v>
      </c>
      <c r="BK13" s="41">
        <v>592</v>
      </c>
      <c r="BL13" s="41">
        <v>303</v>
      </c>
      <c r="BM13" s="41">
        <v>289</v>
      </c>
      <c r="BN13" s="41">
        <v>648</v>
      </c>
      <c r="BO13" s="41">
        <v>245</v>
      </c>
      <c r="BP13" s="41">
        <v>403</v>
      </c>
      <c r="BQ13" s="41">
        <v>121</v>
      </c>
      <c r="BR13" s="41">
        <v>43</v>
      </c>
      <c r="BS13" s="41">
        <v>78</v>
      </c>
      <c r="BT13" s="41">
        <v>46</v>
      </c>
      <c r="BU13" s="41">
        <v>16</v>
      </c>
      <c r="BV13" s="41">
        <v>30</v>
      </c>
      <c r="BW13" s="41">
        <v>481</v>
      </c>
      <c r="BX13" s="41">
        <v>186</v>
      </c>
      <c r="BY13" s="41">
        <v>295</v>
      </c>
    </row>
    <row r="14" spans="1:78" ht="15.75" customHeight="1">
      <c r="A14" s="45" t="s">
        <v>131</v>
      </c>
      <c r="B14" s="19" t="s">
        <v>7</v>
      </c>
      <c r="C14" s="20">
        <v>197</v>
      </c>
      <c r="D14" s="20">
        <v>25</v>
      </c>
      <c r="E14" s="20">
        <v>172</v>
      </c>
      <c r="F14" s="20">
        <v>31</v>
      </c>
      <c r="G14" s="20">
        <v>1</v>
      </c>
      <c r="H14" s="20">
        <v>30</v>
      </c>
      <c r="I14" s="20">
        <v>166</v>
      </c>
      <c r="J14" s="20">
        <v>24</v>
      </c>
      <c r="K14" s="20">
        <v>142</v>
      </c>
      <c r="L14" s="20">
        <v>165</v>
      </c>
      <c r="M14" s="20">
        <v>967</v>
      </c>
      <c r="N14" s="20">
        <v>83</v>
      </c>
      <c r="O14" s="20">
        <v>175</v>
      </c>
      <c r="P14" s="20">
        <v>82</v>
      </c>
      <c r="Q14" s="20">
        <v>792</v>
      </c>
      <c r="R14" s="20">
        <v>1723</v>
      </c>
      <c r="S14" s="20">
        <v>804</v>
      </c>
      <c r="T14" s="20">
        <v>919</v>
      </c>
      <c r="U14" s="20">
        <v>472</v>
      </c>
      <c r="V14" s="20">
        <v>291</v>
      </c>
      <c r="W14" s="20">
        <v>181</v>
      </c>
      <c r="X14" s="20">
        <v>201</v>
      </c>
      <c r="Y14" s="20">
        <v>99</v>
      </c>
      <c r="Z14" s="20">
        <v>102</v>
      </c>
      <c r="AA14" s="20">
        <v>1050</v>
      </c>
      <c r="AB14" s="20">
        <v>414</v>
      </c>
      <c r="AC14" s="20">
        <v>636</v>
      </c>
      <c r="AD14" s="20">
        <v>1243</v>
      </c>
      <c r="AE14" s="20">
        <v>520</v>
      </c>
      <c r="AF14" s="20">
        <v>723</v>
      </c>
      <c r="AG14" s="20">
        <v>255</v>
      </c>
      <c r="AH14" s="20">
        <v>134</v>
      </c>
      <c r="AI14" s="20">
        <v>121</v>
      </c>
      <c r="AJ14" s="20">
        <v>80</v>
      </c>
      <c r="AK14" s="20">
        <v>43</v>
      </c>
      <c r="AL14" s="20">
        <v>37</v>
      </c>
      <c r="AM14" s="20">
        <v>908</v>
      </c>
      <c r="AN14" s="20">
        <v>343</v>
      </c>
      <c r="AO14" s="20">
        <v>565</v>
      </c>
      <c r="AP14" s="20">
        <v>119</v>
      </c>
      <c r="AQ14" s="20">
        <v>69</v>
      </c>
      <c r="AR14" s="20">
        <v>50</v>
      </c>
      <c r="AS14" s="20">
        <v>74</v>
      </c>
      <c r="AT14" s="20">
        <v>50</v>
      </c>
      <c r="AU14" s="20">
        <v>24</v>
      </c>
      <c r="AV14" s="20">
        <v>29</v>
      </c>
      <c r="AW14" s="20">
        <v>19</v>
      </c>
      <c r="AX14" s="20">
        <v>10</v>
      </c>
      <c r="AY14" s="20">
        <v>16</v>
      </c>
      <c r="AZ14" s="20">
        <v>0</v>
      </c>
      <c r="BA14" s="20">
        <v>16</v>
      </c>
      <c r="BB14" s="20">
        <v>282</v>
      </c>
      <c r="BC14" s="20">
        <v>170</v>
      </c>
      <c r="BD14" s="20">
        <v>112</v>
      </c>
      <c r="BE14" s="20">
        <v>118</v>
      </c>
      <c r="BF14" s="20">
        <v>92</v>
      </c>
      <c r="BG14" s="20">
        <v>26</v>
      </c>
      <c r="BH14" s="20">
        <v>75</v>
      </c>
      <c r="BI14" s="20">
        <v>30</v>
      </c>
      <c r="BJ14" s="20">
        <v>45</v>
      </c>
      <c r="BK14" s="20">
        <v>89</v>
      </c>
      <c r="BL14" s="20">
        <v>48</v>
      </c>
      <c r="BM14" s="20">
        <v>41</v>
      </c>
      <c r="BN14" s="20">
        <v>79</v>
      </c>
      <c r="BO14" s="20">
        <v>45</v>
      </c>
      <c r="BP14" s="20">
        <v>34</v>
      </c>
      <c r="BQ14" s="20">
        <v>25</v>
      </c>
      <c r="BR14" s="20">
        <v>15</v>
      </c>
      <c r="BS14" s="20">
        <v>10</v>
      </c>
      <c r="BT14" s="20">
        <v>17</v>
      </c>
      <c r="BU14" s="20">
        <v>7</v>
      </c>
      <c r="BV14" s="20">
        <v>10</v>
      </c>
      <c r="BW14" s="20">
        <v>37</v>
      </c>
      <c r="BX14" s="20">
        <v>23</v>
      </c>
      <c r="BY14" s="20">
        <v>14</v>
      </c>
    </row>
    <row r="15" spans="1:78" ht="15.75" customHeight="1">
      <c r="A15" s="45" t="s">
        <v>132</v>
      </c>
      <c r="B15" s="19" t="s">
        <v>9</v>
      </c>
      <c r="C15" s="20">
        <v>232</v>
      </c>
      <c r="D15" s="20">
        <v>18</v>
      </c>
      <c r="E15" s="20">
        <v>214</v>
      </c>
      <c r="F15" s="20">
        <v>21</v>
      </c>
      <c r="G15" s="20">
        <v>1</v>
      </c>
      <c r="H15" s="20">
        <v>20</v>
      </c>
      <c r="I15" s="20">
        <v>211</v>
      </c>
      <c r="J15" s="20">
        <v>17</v>
      </c>
      <c r="K15" s="20">
        <v>194</v>
      </c>
      <c r="L15" s="20">
        <v>125</v>
      </c>
      <c r="M15" s="20">
        <v>2074</v>
      </c>
      <c r="N15" s="20">
        <v>35</v>
      </c>
      <c r="O15" s="20">
        <v>155</v>
      </c>
      <c r="P15" s="20">
        <v>90</v>
      </c>
      <c r="Q15" s="20">
        <v>1919</v>
      </c>
      <c r="R15" s="20">
        <v>1027</v>
      </c>
      <c r="S15" s="20">
        <v>473</v>
      </c>
      <c r="T15" s="20">
        <v>554</v>
      </c>
      <c r="U15" s="20">
        <v>182</v>
      </c>
      <c r="V15" s="20">
        <v>111</v>
      </c>
      <c r="W15" s="20">
        <v>71</v>
      </c>
      <c r="X15" s="20">
        <v>146</v>
      </c>
      <c r="Y15" s="20">
        <v>66</v>
      </c>
      <c r="Z15" s="20">
        <v>80</v>
      </c>
      <c r="AA15" s="20">
        <v>699</v>
      </c>
      <c r="AB15" s="20">
        <v>296</v>
      </c>
      <c r="AC15" s="20">
        <v>403</v>
      </c>
      <c r="AD15" s="20">
        <v>764</v>
      </c>
      <c r="AE15" s="20">
        <v>328</v>
      </c>
      <c r="AF15" s="20">
        <v>436</v>
      </c>
      <c r="AG15" s="20">
        <v>117</v>
      </c>
      <c r="AH15" s="20">
        <v>62</v>
      </c>
      <c r="AI15" s="20">
        <v>55</v>
      </c>
      <c r="AJ15" s="20">
        <v>66</v>
      </c>
      <c r="AK15" s="20">
        <v>25</v>
      </c>
      <c r="AL15" s="20">
        <v>41</v>
      </c>
      <c r="AM15" s="20">
        <v>581</v>
      </c>
      <c r="AN15" s="20">
        <v>241</v>
      </c>
      <c r="AO15" s="20">
        <v>340</v>
      </c>
      <c r="AP15" s="20">
        <v>24</v>
      </c>
      <c r="AQ15" s="20">
        <v>13</v>
      </c>
      <c r="AR15" s="20">
        <v>11</v>
      </c>
      <c r="AS15" s="20">
        <v>11</v>
      </c>
      <c r="AT15" s="20">
        <v>9</v>
      </c>
      <c r="AU15" s="20">
        <v>2</v>
      </c>
      <c r="AV15" s="20">
        <v>1</v>
      </c>
      <c r="AW15" s="20">
        <v>1</v>
      </c>
      <c r="AX15" s="20">
        <v>0</v>
      </c>
      <c r="AY15" s="20">
        <v>12</v>
      </c>
      <c r="AZ15" s="20">
        <v>3</v>
      </c>
      <c r="BA15" s="20">
        <v>9</v>
      </c>
      <c r="BB15" s="20">
        <v>178</v>
      </c>
      <c r="BC15" s="20">
        <v>106</v>
      </c>
      <c r="BD15" s="20">
        <v>72</v>
      </c>
      <c r="BE15" s="20">
        <v>50</v>
      </c>
      <c r="BF15" s="20">
        <v>38</v>
      </c>
      <c r="BG15" s="20">
        <v>12</v>
      </c>
      <c r="BH15" s="20">
        <v>72</v>
      </c>
      <c r="BI15" s="20">
        <v>37</v>
      </c>
      <c r="BJ15" s="20">
        <v>35</v>
      </c>
      <c r="BK15" s="20">
        <v>56</v>
      </c>
      <c r="BL15" s="20">
        <v>31</v>
      </c>
      <c r="BM15" s="20">
        <v>25</v>
      </c>
      <c r="BN15" s="20">
        <v>61</v>
      </c>
      <c r="BO15" s="20">
        <v>26</v>
      </c>
      <c r="BP15" s="20">
        <v>35</v>
      </c>
      <c r="BQ15" s="20">
        <v>4</v>
      </c>
      <c r="BR15" s="20">
        <v>2</v>
      </c>
      <c r="BS15" s="20">
        <v>2</v>
      </c>
      <c r="BT15" s="20">
        <v>7</v>
      </c>
      <c r="BU15" s="20">
        <v>3</v>
      </c>
      <c r="BV15" s="20">
        <v>4</v>
      </c>
      <c r="BW15" s="20">
        <v>50</v>
      </c>
      <c r="BX15" s="20">
        <v>21</v>
      </c>
      <c r="BY15" s="20">
        <v>29</v>
      </c>
    </row>
    <row r="16" spans="1:78" ht="15.75" customHeight="1">
      <c r="A16" s="45" t="s">
        <v>133</v>
      </c>
      <c r="B16" s="19" t="s">
        <v>10</v>
      </c>
      <c r="C16" s="20">
        <v>326</v>
      </c>
      <c r="D16" s="20">
        <v>27</v>
      </c>
      <c r="E16" s="20">
        <v>299</v>
      </c>
      <c r="F16" s="20">
        <v>33</v>
      </c>
      <c r="G16" s="20">
        <v>3</v>
      </c>
      <c r="H16" s="20">
        <v>30</v>
      </c>
      <c r="I16" s="20">
        <v>293</v>
      </c>
      <c r="J16" s="20">
        <v>24</v>
      </c>
      <c r="K16" s="20">
        <v>269</v>
      </c>
      <c r="L16" s="20">
        <v>74</v>
      </c>
      <c r="M16" s="20">
        <v>968</v>
      </c>
      <c r="N16" s="20">
        <v>28</v>
      </c>
      <c r="O16" s="20">
        <v>80</v>
      </c>
      <c r="P16" s="20">
        <v>46</v>
      </c>
      <c r="Q16" s="20">
        <v>888</v>
      </c>
      <c r="R16" s="20">
        <v>1864</v>
      </c>
      <c r="S16" s="20">
        <v>832</v>
      </c>
      <c r="T16" s="20">
        <v>1032</v>
      </c>
      <c r="U16" s="20">
        <v>323</v>
      </c>
      <c r="V16" s="20">
        <v>197</v>
      </c>
      <c r="W16" s="20">
        <v>126</v>
      </c>
      <c r="X16" s="20">
        <v>278</v>
      </c>
      <c r="Y16" s="20">
        <v>157</v>
      </c>
      <c r="Z16" s="20">
        <v>121</v>
      </c>
      <c r="AA16" s="20">
        <v>1263</v>
      </c>
      <c r="AB16" s="20">
        <v>478</v>
      </c>
      <c r="AC16" s="20">
        <v>785</v>
      </c>
      <c r="AD16" s="20">
        <v>1279</v>
      </c>
      <c r="AE16" s="20">
        <v>522</v>
      </c>
      <c r="AF16" s="20">
        <v>757</v>
      </c>
      <c r="AG16" s="20">
        <v>161</v>
      </c>
      <c r="AH16" s="20">
        <v>92</v>
      </c>
      <c r="AI16" s="20">
        <v>69</v>
      </c>
      <c r="AJ16" s="20">
        <v>107</v>
      </c>
      <c r="AK16" s="20">
        <v>57</v>
      </c>
      <c r="AL16" s="20">
        <v>50</v>
      </c>
      <c r="AM16" s="20">
        <v>1011</v>
      </c>
      <c r="AN16" s="20">
        <v>373</v>
      </c>
      <c r="AO16" s="20">
        <v>638</v>
      </c>
      <c r="AP16" s="20">
        <v>7</v>
      </c>
      <c r="AQ16" s="20">
        <v>5</v>
      </c>
      <c r="AR16" s="20">
        <v>2</v>
      </c>
      <c r="AS16" s="20">
        <v>2</v>
      </c>
      <c r="AT16" s="20">
        <v>1</v>
      </c>
      <c r="AU16" s="20">
        <v>1</v>
      </c>
      <c r="AV16" s="20">
        <v>4</v>
      </c>
      <c r="AW16" s="20">
        <v>3</v>
      </c>
      <c r="AX16" s="20">
        <v>1</v>
      </c>
      <c r="AY16" s="20">
        <v>1</v>
      </c>
      <c r="AZ16" s="20">
        <v>1</v>
      </c>
      <c r="BA16" s="20">
        <v>0</v>
      </c>
      <c r="BB16" s="20">
        <v>408</v>
      </c>
      <c r="BC16" s="20">
        <v>242</v>
      </c>
      <c r="BD16" s="20">
        <v>166</v>
      </c>
      <c r="BE16" s="20">
        <v>145</v>
      </c>
      <c r="BF16" s="20">
        <v>98</v>
      </c>
      <c r="BG16" s="20">
        <v>47</v>
      </c>
      <c r="BH16" s="20">
        <v>153</v>
      </c>
      <c r="BI16" s="20">
        <v>92</v>
      </c>
      <c r="BJ16" s="20">
        <v>61</v>
      </c>
      <c r="BK16" s="20">
        <v>110</v>
      </c>
      <c r="BL16" s="20">
        <v>52</v>
      </c>
      <c r="BM16" s="20">
        <v>58</v>
      </c>
      <c r="BN16" s="20">
        <v>170</v>
      </c>
      <c r="BO16" s="20">
        <v>63</v>
      </c>
      <c r="BP16" s="20">
        <v>107</v>
      </c>
      <c r="BQ16" s="20">
        <v>15</v>
      </c>
      <c r="BR16" s="20">
        <v>6</v>
      </c>
      <c r="BS16" s="20">
        <v>9</v>
      </c>
      <c r="BT16" s="20">
        <v>14</v>
      </c>
      <c r="BU16" s="20">
        <v>5</v>
      </c>
      <c r="BV16" s="20">
        <v>9</v>
      </c>
      <c r="BW16" s="20">
        <v>141</v>
      </c>
      <c r="BX16" s="20">
        <v>52</v>
      </c>
      <c r="BY16" s="20">
        <v>89</v>
      </c>
    </row>
    <row r="17" spans="1:77" ht="15.75" customHeight="1">
      <c r="A17" s="45" t="s">
        <v>134</v>
      </c>
      <c r="B17" s="19" t="s">
        <v>11</v>
      </c>
      <c r="C17" s="20">
        <v>919</v>
      </c>
      <c r="D17" s="20">
        <v>98</v>
      </c>
      <c r="E17" s="20">
        <v>821</v>
      </c>
      <c r="F17" s="20">
        <v>92</v>
      </c>
      <c r="G17" s="20">
        <v>13</v>
      </c>
      <c r="H17" s="20">
        <v>79</v>
      </c>
      <c r="I17" s="20">
        <v>827</v>
      </c>
      <c r="J17" s="20">
        <v>85</v>
      </c>
      <c r="K17" s="20">
        <v>742</v>
      </c>
      <c r="L17" s="20">
        <v>193</v>
      </c>
      <c r="M17" s="20">
        <v>6051</v>
      </c>
      <c r="N17" s="20">
        <v>77</v>
      </c>
      <c r="O17" s="20">
        <v>693</v>
      </c>
      <c r="P17" s="20">
        <v>116</v>
      </c>
      <c r="Q17" s="20">
        <v>5358</v>
      </c>
      <c r="R17" s="20">
        <v>5552</v>
      </c>
      <c r="S17" s="20">
        <v>2134</v>
      </c>
      <c r="T17" s="20">
        <v>3418</v>
      </c>
      <c r="U17" s="20">
        <v>830</v>
      </c>
      <c r="V17" s="20">
        <v>437</v>
      </c>
      <c r="W17" s="20">
        <v>393</v>
      </c>
      <c r="X17" s="20">
        <v>593</v>
      </c>
      <c r="Y17" s="20">
        <v>277</v>
      </c>
      <c r="Z17" s="20">
        <v>316</v>
      </c>
      <c r="AA17" s="20">
        <v>4129</v>
      </c>
      <c r="AB17" s="20">
        <v>1420</v>
      </c>
      <c r="AC17" s="20">
        <v>2709</v>
      </c>
      <c r="AD17" s="20">
        <v>4614</v>
      </c>
      <c r="AE17" s="20">
        <v>1650</v>
      </c>
      <c r="AF17" s="20">
        <v>2964</v>
      </c>
      <c r="AG17" s="20">
        <v>525</v>
      </c>
      <c r="AH17" s="20">
        <v>242</v>
      </c>
      <c r="AI17" s="20">
        <v>283</v>
      </c>
      <c r="AJ17" s="20">
        <v>309</v>
      </c>
      <c r="AK17" s="20">
        <v>136</v>
      </c>
      <c r="AL17" s="20">
        <v>173</v>
      </c>
      <c r="AM17" s="20">
        <v>3780</v>
      </c>
      <c r="AN17" s="20">
        <v>1272</v>
      </c>
      <c r="AO17" s="20">
        <v>2508</v>
      </c>
      <c r="AP17" s="20">
        <v>1</v>
      </c>
      <c r="AQ17" s="20">
        <v>1</v>
      </c>
      <c r="AR17" s="20">
        <v>0</v>
      </c>
      <c r="AS17" s="20">
        <v>0</v>
      </c>
      <c r="AT17" s="20">
        <v>0</v>
      </c>
      <c r="AU17" s="20">
        <v>0</v>
      </c>
      <c r="AV17" s="20">
        <v>1</v>
      </c>
      <c r="AW17" s="20">
        <v>1</v>
      </c>
      <c r="AX17" s="20">
        <v>0</v>
      </c>
      <c r="AY17" s="20">
        <v>0</v>
      </c>
      <c r="AZ17" s="20">
        <v>0</v>
      </c>
      <c r="BA17" s="20">
        <v>0</v>
      </c>
      <c r="BB17" s="20">
        <v>798</v>
      </c>
      <c r="BC17" s="20">
        <v>442</v>
      </c>
      <c r="BD17" s="20">
        <v>356</v>
      </c>
      <c r="BE17" s="20">
        <v>291</v>
      </c>
      <c r="BF17" s="20">
        <v>187</v>
      </c>
      <c r="BG17" s="20">
        <v>104</v>
      </c>
      <c r="BH17" s="20">
        <v>274</v>
      </c>
      <c r="BI17" s="20">
        <v>138</v>
      </c>
      <c r="BJ17" s="20">
        <v>136</v>
      </c>
      <c r="BK17" s="20">
        <v>233</v>
      </c>
      <c r="BL17" s="20">
        <v>117</v>
      </c>
      <c r="BM17" s="20">
        <v>116</v>
      </c>
      <c r="BN17" s="20">
        <v>139</v>
      </c>
      <c r="BO17" s="20">
        <v>41</v>
      </c>
      <c r="BP17" s="20">
        <v>98</v>
      </c>
      <c r="BQ17" s="20">
        <v>14</v>
      </c>
      <c r="BR17" s="20">
        <v>8</v>
      </c>
      <c r="BS17" s="20">
        <v>6</v>
      </c>
      <c r="BT17" s="20">
        <v>9</v>
      </c>
      <c r="BU17" s="20">
        <v>2</v>
      </c>
      <c r="BV17" s="20">
        <v>7</v>
      </c>
      <c r="BW17" s="20">
        <v>116</v>
      </c>
      <c r="BX17" s="20">
        <v>31</v>
      </c>
      <c r="BY17" s="20">
        <v>85</v>
      </c>
    </row>
    <row r="18" spans="1:77" ht="15.75" customHeight="1">
      <c r="A18" s="45" t="s">
        <v>135</v>
      </c>
      <c r="B18" s="19" t="s">
        <v>12</v>
      </c>
      <c r="C18" s="20">
        <v>648</v>
      </c>
      <c r="D18" s="20">
        <v>53</v>
      </c>
      <c r="E18" s="20">
        <v>595</v>
      </c>
      <c r="F18" s="20">
        <v>69</v>
      </c>
      <c r="G18" s="20">
        <v>8</v>
      </c>
      <c r="H18" s="20">
        <v>61</v>
      </c>
      <c r="I18" s="20">
        <v>579</v>
      </c>
      <c r="J18" s="20">
        <v>45</v>
      </c>
      <c r="K18" s="20">
        <v>534</v>
      </c>
      <c r="L18" s="20">
        <v>62</v>
      </c>
      <c r="M18" s="20">
        <v>3129</v>
      </c>
      <c r="N18" s="20">
        <v>22</v>
      </c>
      <c r="O18" s="20">
        <v>702</v>
      </c>
      <c r="P18" s="20">
        <v>40</v>
      </c>
      <c r="Q18" s="20">
        <v>2427</v>
      </c>
      <c r="R18" s="20">
        <v>4733</v>
      </c>
      <c r="S18" s="20">
        <v>1869</v>
      </c>
      <c r="T18" s="20">
        <v>2864</v>
      </c>
      <c r="U18" s="20">
        <v>538</v>
      </c>
      <c r="V18" s="20">
        <v>240</v>
      </c>
      <c r="W18" s="20">
        <v>298</v>
      </c>
      <c r="X18" s="20">
        <v>630</v>
      </c>
      <c r="Y18" s="20">
        <v>329</v>
      </c>
      <c r="Z18" s="20">
        <v>301</v>
      </c>
      <c r="AA18" s="20">
        <v>3565</v>
      </c>
      <c r="AB18" s="20">
        <v>1300</v>
      </c>
      <c r="AC18" s="20">
        <v>2265</v>
      </c>
      <c r="AD18" s="20">
        <v>3468</v>
      </c>
      <c r="AE18" s="20">
        <v>1278</v>
      </c>
      <c r="AF18" s="20">
        <v>2190</v>
      </c>
      <c r="AG18" s="20">
        <v>433</v>
      </c>
      <c r="AH18" s="20">
        <v>187</v>
      </c>
      <c r="AI18" s="20">
        <v>246</v>
      </c>
      <c r="AJ18" s="20">
        <v>247</v>
      </c>
      <c r="AK18" s="20">
        <v>105</v>
      </c>
      <c r="AL18" s="20">
        <v>142</v>
      </c>
      <c r="AM18" s="20">
        <v>2788</v>
      </c>
      <c r="AN18" s="20">
        <v>986</v>
      </c>
      <c r="AO18" s="20">
        <v>1802</v>
      </c>
      <c r="AP18" s="20">
        <v>73</v>
      </c>
      <c r="AQ18" s="20">
        <v>41</v>
      </c>
      <c r="AR18" s="20">
        <v>32</v>
      </c>
      <c r="AS18" s="20">
        <v>3</v>
      </c>
      <c r="AT18" s="20">
        <v>3</v>
      </c>
      <c r="AU18" s="20">
        <v>0</v>
      </c>
      <c r="AV18" s="20">
        <v>36</v>
      </c>
      <c r="AW18" s="20">
        <v>18</v>
      </c>
      <c r="AX18" s="20">
        <v>18</v>
      </c>
      <c r="AY18" s="20">
        <v>34</v>
      </c>
      <c r="AZ18" s="20">
        <v>20</v>
      </c>
      <c r="BA18" s="20">
        <v>14</v>
      </c>
      <c r="BB18" s="20">
        <v>617</v>
      </c>
      <c r="BC18" s="20">
        <v>358</v>
      </c>
      <c r="BD18" s="20">
        <v>259</v>
      </c>
      <c r="BE18" s="20">
        <v>41</v>
      </c>
      <c r="BF18" s="20">
        <v>27</v>
      </c>
      <c r="BG18" s="20">
        <v>14</v>
      </c>
      <c r="BH18" s="20">
        <v>315</v>
      </c>
      <c r="BI18" s="20">
        <v>195</v>
      </c>
      <c r="BJ18" s="20">
        <v>120</v>
      </c>
      <c r="BK18" s="20">
        <v>261</v>
      </c>
      <c r="BL18" s="20">
        <v>136</v>
      </c>
      <c r="BM18" s="20">
        <v>125</v>
      </c>
      <c r="BN18" s="20">
        <v>575</v>
      </c>
      <c r="BO18" s="20">
        <v>192</v>
      </c>
      <c r="BP18" s="20">
        <v>383</v>
      </c>
      <c r="BQ18" s="20">
        <v>61</v>
      </c>
      <c r="BR18" s="20">
        <v>23</v>
      </c>
      <c r="BS18" s="20">
        <v>38</v>
      </c>
      <c r="BT18" s="20">
        <v>32</v>
      </c>
      <c r="BU18" s="20">
        <v>11</v>
      </c>
      <c r="BV18" s="20">
        <v>21</v>
      </c>
      <c r="BW18" s="20">
        <v>482</v>
      </c>
      <c r="BX18" s="20">
        <v>158</v>
      </c>
      <c r="BY18" s="20">
        <v>324</v>
      </c>
    </row>
    <row r="19" spans="1:77" ht="15.75" customHeight="1">
      <c r="A19" s="45" t="s">
        <v>136</v>
      </c>
      <c r="B19" s="19" t="s">
        <v>13</v>
      </c>
      <c r="C19" s="20">
        <v>474</v>
      </c>
      <c r="D19" s="20">
        <v>33</v>
      </c>
      <c r="E19" s="20">
        <v>441</v>
      </c>
      <c r="F19" s="20">
        <v>59</v>
      </c>
      <c r="G19" s="20">
        <v>6</v>
      </c>
      <c r="H19" s="20">
        <v>53</v>
      </c>
      <c r="I19" s="20">
        <v>415</v>
      </c>
      <c r="J19" s="20">
        <v>27</v>
      </c>
      <c r="K19" s="20">
        <v>388</v>
      </c>
      <c r="L19" s="20">
        <v>66</v>
      </c>
      <c r="M19" s="20">
        <v>1571</v>
      </c>
      <c r="N19" s="20">
        <v>22</v>
      </c>
      <c r="O19" s="20">
        <v>233</v>
      </c>
      <c r="P19" s="20">
        <v>44</v>
      </c>
      <c r="Q19" s="20">
        <v>1338</v>
      </c>
      <c r="R19" s="20">
        <v>3521</v>
      </c>
      <c r="S19" s="20">
        <v>1418</v>
      </c>
      <c r="T19" s="20">
        <v>2103</v>
      </c>
      <c r="U19" s="20">
        <v>692</v>
      </c>
      <c r="V19" s="20">
        <v>386</v>
      </c>
      <c r="W19" s="20">
        <v>306</v>
      </c>
      <c r="X19" s="20">
        <v>365</v>
      </c>
      <c r="Y19" s="20">
        <v>185</v>
      </c>
      <c r="Z19" s="20">
        <v>180</v>
      </c>
      <c r="AA19" s="20">
        <v>2464</v>
      </c>
      <c r="AB19" s="20">
        <v>847</v>
      </c>
      <c r="AC19" s="20">
        <v>1617</v>
      </c>
      <c r="AD19" s="20">
        <v>2732</v>
      </c>
      <c r="AE19" s="20">
        <v>994</v>
      </c>
      <c r="AF19" s="20">
        <v>1738</v>
      </c>
      <c r="AG19" s="20">
        <v>415</v>
      </c>
      <c r="AH19" s="20">
        <v>193</v>
      </c>
      <c r="AI19" s="20">
        <v>222</v>
      </c>
      <c r="AJ19" s="20">
        <v>126</v>
      </c>
      <c r="AK19" s="20">
        <v>63</v>
      </c>
      <c r="AL19" s="20">
        <v>63</v>
      </c>
      <c r="AM19" s="20">
        <v>2191</v>
      </c>
      <c r="AN19" s="20">
        <v>738</v>
      </c>
      <c r="AO19" s="20">
        <v>1453</v>
      </c>
      <c r="AP19" s="20">
        <v>1</v>
      </c>
      <c r="AQ19" s="20">
        <v>0</v>
      </c>
      <c r="AR19" s="20">
        <v>1</v>
      </c>
      <c r="AS19" s="20">
        <v>0</v>
      </c>
      <c r="AT19" s="20">
        <v>0</v>
      </c>
      <c r="AU19" s="20">
        <v>0</v>
      </c>
      <c r="AV19" s="20">
        <v>1</v>
      </c>
      <c r="AW19" s="20">
        <v>0</v>
      </c>
      <c r="AX19" s="20">
        <v>1</v>
      </c>
      <c r="AY19" s="20">
        <v>0</v>
      </c>
      <c r="AZ19" s="20">
        <v>0</v>
      </c>
      <c r="BA19" s="20">
        <v>0</v>
      </c>
      <c r="BB19" s="20">
        <v>661</v>
      </c>
      <c r="BC19" s="20">
        <v>381</v>
      </c>
      <c r="BD19" s="20">
        <v>280</v>
      </c>
      <c r="BE19" s="20">
        <v>259</v>
      </c>
      <c r="BF19" s="20">
        <v>184</v>
      </c>
      <c r="BG19" s="20">
        <v>75</v>
      </c>
      <c r="BH19" s="20">
        <v>230</v>
      </c>
      <c r="BI19" s="20">
        <v>119</v>
      </c>
      <c r="BJ19" s="20">
        <v>111</v>
      </c>
      <c r="BK19" s="20">
        <v>172</v>
      </c>
      <c r="BL19" s="20">
        <v>78</v>
      </c>
      <c r="BM19" s="20">
        <v>94</v>
      </c>
      <c r="BN19" s="20">
        <v>127</v>
      </c>
      <c r="BO19" s="20">
        <v>43</v>
      </c>
      <c r="BP19" s="20">
        <v>84</v>
      </c>
      <c r="BQ19" s="20">
        <v>18</v>
      </c>
      <c r="BR19" s="20">
        <v>9</v>
      </c>
      <c r="BS19" s="20">
        <v>9</v>
      </c>
      <c r="BT19" s="20">
        <v>8</v>
      </c>
      <c r="BU19" s="20">
        <v>3</v>
      </c>
      <c r="BV19" s="20">
        <v>5</v>
      </c>
      <c r="BW19" s="20">
        <v>101</v>
      </c>
      <c r="BX19" s="20">
        <v>31</v>
      </c>
      <c r="BY19" s="20">
        <v>70</v>
      </c>
    </row>
    <row r="20" spans="1:77" ht="15.75" customHeight="1">
      <c r="A20" s="45" t="s">
        <v>137</v>
      </c>
      <c r="B20" s="19" t="s">
        <v>14</v>
      </c>
      <c r="C20" s="20">
        <v>450</v>
      </c>
      <c r="D20" s="20">
        <v>55</v>
      </c>
      <c r="E20" s="20">
        <v>395</v>
      </c>
      <c r="F20" s="20">
        <v>58</v>
      </c>
      <c r="G20" s="20">
        <v>11</v>
      </c>
      <c r="H20" s="20">
        <v>47</v>
      </c>
      <c r="I20" s="20">
        <v>392</v>
      </c>
      <c r="J20" s="20">
        <v>44</v>
      </c>
      <c r="K20" s="20">
        <v>348</v>
      </c>
      <c r="L20" s="20">
        <v>3</v>
      </c>
      <c r="M20" s="20">
        <v>411</v>
      </c>
      <c r="N20" s="20">
        <v>2</v>
      </c>
      <c r="O20" s="20">
        <v>270</v>
      </c>
      <c r="P20" s="20">
        <v>1</v>
      </c>
      <c r="Q20" s="20">
        <v>141</v>
      </c>
      <c r="R20" s="20">
        <v>2866</v>
      </c>
      <c r="S20" s="20">
        <v>1182</v>
      </c>
      <c r="T20" s="20">
        <v>1684</v>
      </c>
      <c r="U20" s="20">
        <v>609</v>
      </c>
      <c r="V20" s="20">
        <v>336</v>
      </c>
      <c r="W20" s="20">
        <v>273</v>
      </c>
      <c r="X20" s="20">
        <v>297</v>
      </c>
      <c r="Y20" s="20">
        <v>150</v>
      </c>
      <c r="Z20" s="20">
        <v>147</v>
      </c>
      <c r="AA20" s="20">
        <v>1960</v>
      </c>
      <c r="AB20" s="20">
        <v>696</v>
      </c>
      <c r="AC20" s="20">
        <v>1264</v>
      </c>
      <c r="AD20" s="20">
        <v>2054</v>
      </c>
      <c r="AE20" s="20">
        <v>781</v>
      </c>
      <c r="AF20" s="20">
        <v>1273</v>
      </c>
      <c r="AG20" s="20">
        <v>377</v>
      </c>
      <c r="AH20" s="20">
        <v>180</v>
      </c>
      <c r="AI20" s="20">
        <v>197</v>
      </c>
      <c r="AJ20" s="20">
        <v>89</v>
      </c>
      <c r="AK20" s="20">
        <v>34</v>
      </c>
      <c r="AL20" s="20">
        <v>55</v>
      </c>
      <c r="AM20" s="20">
        <v>1588</v>
      </c>
      <c r="AN20" s="20">
        <v>567</v>
      </c>
      <c r="AO20" s="20">
        <v>1021</v>
      </c>
      <c r="AP20" s="20">
        <v>6</v>
      </c>
      <c r="AQ20" s="20">
        <v>5</v>
      </c>
      <c r="AR20" s="20">
        <v>1</v>
      </c>
      <c r="AS20" s="20">
        <v>1</v>
      </c>
      <c r="AT20" s="20">
        <v>1</v>
      </c>
      <c r="AU20" s="20">
        <v>0</v>
      </c>
      <c r="AV20" s="20">
        <v>2</v>
      </c>
      <c r="AW20" s="20">
        <v>1</v>
      </c>
      <c r="AX20" s="20">
        <v>1</v>
      </c>
      <c r="AY20" s="20">
        <v>3</v>
      </c>
      <c r="AZ20" s="20">
        <v>3</v>
      </c>
      <c r="BA20" s="20">
        <v>0</v>
      </c>
      <c r="BB20" s="20">
        <v>460</v>
      </c>
      <c r="BC20" s="20">
        <v>296</v>
      </c>
      <c r="BD20" s="20">
        <v>164</v>
      </c>
      <c r="BE20" s="20">
        <v>188</v>
      </c>
      <c r="BF20" s="20">
        <v>140</v>
      </c>
      <c r="BG20" s="20">
        <v>48</v>
      </c>
      <c r="BH20" s="20">
        <v>181</v>
      </c>
      <c r="BI20" s="20">
        <v>108</v>
      </c>
      <c r="BJ20" s="20">
        <v>73</v>
      </c>
      <c r="BK20" s="20">
        <v>91</v>
      </c>
      <c r="BL20" s="20">
        <v>48</v>
      </c>
      <c r="BM20" s="20">
        <v>43</v>
      </c>
      <c r="BN20" s="20">
        <v>346</v>
      </c>
      <c r="BO20" s="20">
        <v>100</v>
      </c>
      <c r="BP20" s="20">
        <v>246</v>
      </c>
      <c r="BQ20" s="20">
        <v>43</v>
      </c>
      <c r="BR20" s="20">
        <v>15</v>
      </c>
      <c r="BS20" s="20">
        <v>28</v>
      </c>
      <c r="BT20" s="20">
        <v>25</v>
      </c>
      <c r="BU20" s="20">
        <v>7</v>
      </c>
      <c r="BV20" s="20">
        <v>18</v>
      </c>
      <c r="BW20" s="20">
        <v>278</v>
      </c>
      <c r="BX20" s="20">
        <v>78</v>
      </c>
      <c r="BY20" s="20">
        <v>200</v>
      </c>
    </row>
    <row r="21" spans="1:77" ht="15.75" customHeight="1">
      <c r="A21" s="45" t="s">
        <v>138</v>
      </c>
      <c r="B21" s="19" t="s">
        <v>15</v>
      </c>
      <c r="C21" s="20">
        <v>1121</v>
      </c>
      <c r="D21" s="20">
        <v>67</v>
      </c>
      <c r="E21" s="20">
        <v>1054</v>
      </c>
      <c r="F21" s="20">
        <v>98</v>
      </c>
      <c r="G21" s="20">
        <v>10</v>
      </c>
      <c r="H21" s="20">
        <v>88</v>
      </c>
      <c r="I21" s="20">
        <v>1023</v>
      </c>
      <c r="J21" s="20">
        <v>57</v>
      </c>
      <c r="K21" s="20">
        <v>966</v>
      </c>
      <c r="L21" s="20">
        <v>384</v>
      </c>
      <c r="M21" s="20">
        <v>9016</v>
      </c>
      <c r="N21" s="20">
        <v>126</v>
      </c>
      <c r="O21" s="20">
        <v>509</v>
      </c>
      <c r="P21" s="20">
        <v>258</v>
      </c>
      <c r="Q21" s="20">
        <v>8507</v>
      </c>
      <c r="R21" s="20">
        <v>6887</v>
      </c>
      <c r="S21" s="20">
        <v>3142</v>
      </c>
      <c r="T21" s="20">
        <v>3745</v>
      </c>
      <c r="U21" s="20">
        <v>1916</v>
      </c>
      <c r="V21" s="20">
        <v>1019</v>
      </c>
      <c r="W21" s="20">
        <v>897</v>
      </c>
      <c r="X21" s="20">
        <v>1558</v>
      </c>
      <c r="Y21" s="20">
        <v>774</v>
      </c>
      <c r="Z21" s="20">
        <v>784</v>
      </c>
      <c r="AA21" s="20">
        <v>3413</v>
      </c>
      <c r="AB21" s="20">
        <v>1349</v>
      </c>
      <c r="AC21" s="20">
        <v>2064</v>
      </c>
      <c r="AD21" s="20">
        <v>3820</v>
      </c>
      <c r="AE21" s="20">
        <v>1563</v>
      </c>
      <c r="AF21" s="20">
        <v>2257</v>
      </c>
      <c r="AG21" s="20">
        <v>819</v>
      </c>
      <c r="AH21" s="20">
        <v>406</v>
      </c>
      <c r="AI21" s="20">
        <v>413</v>
      </c>
      <c r="AJ21" s="20">
        <v>587</v>
      </c>
      <c r="AK21" s="20">
        <v>282</v>
      </c>
      <c r="AL21" s="20">
        <v>305</v>
      </c>
      <c r="AM21" s="20">
        <v>2414</v>
      </c>
      <c r="AN21" s="20">
        <v>875</v>
      </c>
      <c r="AO21" s="20">
        <v>1539</v>
      </c>
      <c r="AP21" s="20">
        <v>870</v>
      </c>
      <c r="AQ21" s="20">
        <v>455</v>
      </c>
      <c r="AR21" s="20">
        <v>415</v>
      </c>
      <c r="AS21" s="20">
        <v>294</v>
      </c>
      <c r="AT21" s="20">
        <v>165</v>
      </c>
      <c r="AU21" s="20">
        <v>129</v>
      </c>
      <c r="AV21" s="20">
        <v>285</v>
      </c>
      <c r="AW21" s="20">
        <v>146</v>
      </c>
      <c r="AX21" s="20">
        <v>139</v>
      </c>
      <c r="AY21" s="20">
        <v>291</v>
      </c>
      <c r="AZ21" s="20">
        <v>144</v>
      </c>
      <c r="BA21" s="20">
        <v>147</v>
      </c>
      <c r="BB21" s="20">
        <v>1354</v>
      </c>
      <c r="BC21" s="20">
        <v>720</v>
      </c>
      <c r="BD21" s="20">
        <v>634</v>
      </c>
      <c r="BE21" s="20">
        <v>543</v>
      </c>
      <c r="BF21" s="20">
        <v>318</v>
      </c>
      <c r="BG21" s="20">
        <v>225</v>
      </c>
      <c r="BH21" s="20">
        <v>429</v>
      </c>
      <c r="BI21" s="20">
        <v>221</v>
      </c>
      <c r="BJ21" s="20">
        <v>208</v>
      </c>
      <c r="BK21" s="20">
        <v>382</v>
      </c>
      <c r="BL21" s="20">
        <v>181</v>
      </c>
      <c r="BM21" s="20">
        <v>201</v>
      </c>
      <c r="BN21" s="20">
        <v>843</v>
      </c>
      <c r="BO21" s="20">
        <v>404</v>
      </c>
      <c r="BP21" s="20">
        <v>439</v>
      </c>
      <c r="BQ21" s="20">
        <v>260</v>
      </c>
      <c r="BR21" s="20">
        <v>130</v>
      </c>
      <c r="BS21" s="20">
        <v>130</v>
      </c>
      <c r="BT21" s="20">
        <v>257</v>
      </c>
      <c r="BU21" s="20">
        <v>125</v>
      </c>
      <c r="BV21" s="20">
        <v>132</v>
      </c>
      <c r="BW21" s="20">
        <v>326</v>
      </c>
      <c r="BX21" s="20">
        <v>149</v>
      </c>
      <c r="BY21" s="20">
        <v>177</v>
      </c>
    </row>
    <row r="22" spans="1:77" ht="15.75" customHeight="1">
      <c r="A22" s="45" t="s">
        <v>139</v>
      </c>
      <c r="B22" s="19" t="s">
        <v>16</v>
      </c>
      <c r="C22" s="20">
        <v>251</v>
      </c>
      <c r="D22" s="20">
        <v>17</v>
      </c>
      <c r="E22" s="20">
        <v>234</v>
      </c>
      <c r="F22" s="20">
        <v>30</v>
      </c>
      <c r="G22" s="20">
        <v>1</v>
      </c>
      <c r="H22" s="20">
        <v>29</v>
      </c>
      <c r="I22" s="20">
        <v>221</v>
      </c>
      <c r="J22" s="20">
        <v>16</v>
      </c>
      <c r="K22" s="20">
        <v>205</v>
      </c>
      <c r="L22" s="20">
        <v>106</v>
      </c>
      <c r="M22" s="20">
        <v>2494</v>
      </c>
      <c r="N22" s="20">
        <v>39</v>
      </c>
      <c r="O22" s="20">
        <v>271</v>
      </c>
      <c r="P22" s="20">
        <v>67</v>
      </c>
      <c r="Q22" s="20">
        <v>2223</v>
      </c>
      <c r="R22" s="20">
        <v>1549</v>
      </c>
      <c r="S22" s="20">
        <v>749</v>
      </c>
      <c r="T22" s="20">
        <v>800</v>
      </c>
      <c r="U22" s="20">
        <v>574</v>
      </c>
      <c r="V22" s="20">
        <v>295</v>
      </c>
      <c r="W22" s="20">
        <v>279</v>
      </c>
      <c r="X22" s="20">
        <v>484</v>
      </c>
      <c r="Y22" s="20">
        <v>215</v>
      </c>
      <c r="Z22" s="20">
        <v>269</v>
      </c>
      <c r="AA22" s="20">
        <v>491</v>
      </c>
      <c r="AB22" s="20">
        <v>239</v>
      </c>
      <c r="AC22" s="20">
        <v>252</v>
      </c>
      <c r="AD22" s="20">
        <v>457</v>
      </c>
      <c r="AE22" s="20">
        <v>226</v>
      </c>
      <c r="AF22" s="20">
        <v>231</v>
      </c>
      <c r="AG22" s="20">
        <v>152</v>
      </c>
      <c r="AH22" s="20">
        <v>63</v>
      </c>
      <c r="AI22" s="20">
        <v>89</v>
      </c>
      <c r="AJ22" s="20">
        <v>157</v>
      </c>
      <c r="AK22" s="20">
        <v>77</v>
      </c>
      <c r="AL22" s="20">
        <v>80</v>
      </c>
      <c r="AM22" s="20">
        <v>148</v>
      </c>
      <c r="AN22" s="20">
        <v>86</v>
      </c>
      <c r="AO22" s="20">
        <v>62</v>
      </c>
      <c r="AP22" s="20">
        <v>584</v>
      </c>
      <c r="AQ22" s="20">
        <v>236</v>
      </c>
      <c r="AR22" s="20">
        <v>348</v>
      </c>
      <c r="AS22" s="20">
        <v>200</v>
      </c>
      <c r="AT22" s="20">
        <v>87</v>
      </c>
      <c r="AU22" s="20">
        <v>113</v>
      </c>
      <c r="AV22" s="20">
        <v>184</v>
      </c>
      <c r="AW22" s="20">
        <v>61</v>
      </c>
      <c r="AX22" s="20">
        <v>123</v>
      </c>
      <c r="AY22" s="20">
        <v>200</v>
      </c>
      <c r="AZ22" s="20">
        <v>88</v>
      </c>
      <c r="BA22" s="20">
        <v>112</v>
      </c>
      <c r="BB22" s="20">
        <v>459</v>
      </c>
      <c r="BC22" s="20">
        <v>258</v>
      </c>
      <c r="BD22" s="20">
        <v>201</v>
      </c>
      <c r="BE22" s="20">
        <v>200</v>
      </c>
      <c r="BF22" s="20">
        <v>128</v>
      </c>
      <c r="BG22" s="20">
        <v>72</v>
      </c>
      <c r="BH22" s="20">
        <v>143</v>
      </c>
      <c r="BI22" s="20">
        <v>77</v>
      </c>
      <c r="BJ22" s="20">
        <v>66</v>
      </c>
      <c r="BK22" s="20">
        <v>116</v>
      </c>
      <c r="BL22" s="20">
        <v>53</v>
      </c>
      <c r="BM22" s="20">
        <v>63</v>
      </c>
      <c r="BN22" s="20">
        <v>49</v>
      </c>
      <c r="BO22" s="20">
        <v>29</v>
      </c>
      <c r="BP22" s="20">
        <v>20</v>
      </c>
      <c r="BQ22" s="20">
        <v>22</v>
      </c>
      <c r="BR22" s="20">
        <v>17</v>
      </c>
      <c r="BS22" s="20">
        <v>5</v>
      </c>
      <c r="BT22" s="20">
        <v>0</v>
      </c>
      <c r="BU22" s="20">
        <v>0</v>
      </c>
      <c r="BV22" s="20">
        <v>0</v>
      </c>
      <c r="BW22" s="20">
        <v>27</v>
      </c>
      <c r="BX22" s="20">
        <v>12</v>
      </c>
      <c r="BY22" s="20">
        <v>15</v>
      </c>
    </row>
    <row r="23" spans="1:77" ht="15.75" customHeight="1">
      <c r="A23" s="45" t="s">
        <v>140</v>
      </c>
      <c r="B23" s="19" t="s">
        <v>17</v>
      </c>
      <c r="C23" s="20">
        <v>315</v>
      </c>
      <c r="D23" s="20">
        <v>31</v>
      </c>
      <c r="E23" s="20">
        <v>284</v>
      </c>
      <c r="F23" s="20">
        <v>28</v>
      </c>
      <c r="G23" s="20">
        <v>4</v>
      </c>
      <c r="H23" s="20">
        <v>24</v>
      </c>
      <c r="I23" s="20">
        <v>287</v>
      </c>
      <c r="J23" s="20">
        <v>27</v>
      </c>
      <c r="K23" s="20">
        <v>260</v>
      </c>
      <c r="L23" s="20">
        <v>126</v>
      </c>
      <c r="M23" s="20">
        <v>2004</v>
      </c>
      <c r="N23" s="20">
        <v>54</v>
      </c>
      <c r="O23" s="20">
        <v>294</v>
      </c>
      <c r="P23" s="20">
        <v>72</v>
      </c>
      <c r="Q23" s="20">
        <v>1710</v>
      </c>
      <c r="R23" s="20">
        <v>2165</v>
      </c>
      <c r="S23" s="20">
        <v>1015</v>
      </c>
      <c r="T23" s="20">
        <v>1150</v>
      </c>
      <c r="U23" s="20">
        <v>569</v>
      </c>
      <c r="V23" s="20">
        <v>344</v>
      </c>
      <c r="W23" s="20">
        <v>225</v>
      </c>
      <c r="X23" s="20">
        <v>364</v>
      </c>
      <c r="Y23" s="20">
        <v>189</v>
      </c>
      <c r="Z23" s="20">
        <v>175</v>
      </c>
      <c r="AA23" s="20">
        <v>1232</v>
      </c>
      <c r="AB23" s="20">
        <v>482</v>
      </c>
      <c r="AC23" s="20">
        <v>750</v>
      </c>
      <c r="AD23" s="20">
        <v>1479</v>
      </c>
      <c r="AE23" s="20">
        <v>610</v>
      </c>
      <c r="AF23" s="20">
        <v>869</v>
      </c>
      <c r="AG23" s="20">
        <v>299</v>
      </c>
      <c r="AH23" s="20">
        <v>151</v>
      </c>
      <c r="AI23" s="20">
        <v>148</v>
      </c>
      <c r="AJ23" s="20">
        <v>141</v>
      </c>
      <c r="AK23" s="20">
        <v>59</v>
      </c>
      <c r="AL23" s="20">
        <v>82</v>
      </c>
      <c r="AM23" s="20">
        <v>1039</v>
      </c>
      <c r="AN23" s="20">
        <v>400</v>
      </c>
      <c r="AO23" s="20">
        <v>639</v>
      </c>
      <c r="AP23" s="20">
        <v>213</v>
      </c>
      <c r="AQ23" s="20">
        <v>125</v>
      </c>
      <c r="AR23" s="20">
        <v>88</v>
      </c>
      <c r="AS23" s="20">
        <v>96</v>
      </c>
      <c r="AT23" s="20">
        <v>74</v>
      </c>
      <c r="AU23" s="20">
        <v>22</v>
      </c>
      <c r="AV23" s="20">
        <v>75</v>
      </c>
      <c r="AW23" s="20">
        <v>39</v>
      </c>
      <c r="AX23" s="20">
        <v>36</v>
      </c>
      <c r="AY23" s="20">
        <v>42</v>
      </c>
      <c r="AZ23" s="20">
        <v>12</v>
      </c>
      <c r="BA23" s="20">
        <v>30</v>
      </c>
      <c r="BB23" s="20">
        <v>361</v>
      </c>
      <c r="BC23" s="20">
        <v>231</v>
      </c>
      <c r="BD23" s="20">
        <v>130</v>
      </c>
      <c r="BE23" s="20">
        <v>147</v>
      </c>
      <c r="BF23" s="20">
        <v>105</v>
      </c>
      <c r="BG23" s="20">
        <v>42</v>
      </c>
      <c r="BH23" s="20">
        <v>135</v>
      </c>
      <c r="BI23" s="20">
        <v>83</v>
      </c>
      <c r="BJ23" s="20">
        <v>52</v>
      </c>
      <c r="BK23" s="20">
        <v>79</v>
      </c>
      <c r="BL23" s="20">
        <v>43</v>
      </c>
      <c r="BM23" s="20">
        <v>36</v>
      </c>
      <c r="BN23" s="20">
        <v>112</v>
      </c>
      <c r="BO23" s="20">
        <v>49</v>
      </c>
      <c r="BP23" s="20">
        <v>63</v>
      </c>
      <c r="BQ23" s="20">
        <v>27</v>
      </c>
      <c r="BR23" s="20">
        <v>14</v>
      </c>
      <c r="BS23" s="20">
        <v>13</v>
      </c>
      <c r="BT23" s="20">
        <v>13</v>
      </c>
      <c r="BU23" s="20">
        <v>8</v>
      </c>
      <c r="BV23" s="20">
        <v>5</v>
      </c>
      <c r="BW23" s="20">
        <v>72</v>
      </c>
      <c r="BX23" s="20">
        <v>27</v>
      </c>
      <c r="BY23" s="20">
        <v>45</v>
      </c>
    </row>
    <row r="24" spans="1:77" ht="15.75" customHeight="1">
      <c r="A24" s="45" t="s">
        <v>141</v>
      </c>
      <c r="B24" s="19" t="s">
        <v>18</v>
      </c>
      <c r="C24" s="20">
        <v>106</v>
      </c>
      <c r="D24" s="20">
        <v>13</v>
      </c>
      <c r="E24" s="20">
        <v>93</v>
      </c>
      <c r="F24" s="20">
        <v>6</v>
      </c>
      <c r="G24" s="20">
        <v>0</v>
      </c>
      <c r="H24" s="20">
        <v>6</v>
      </c>
      <c r="I24" s="20">
        <v>100</v>
      </c>
      <c r="J24" s="20">
        <v>13</v>
      </c>
      <c r="K24" s="20">
        <v>87</v>
      </c>
      <c r="L24" s="20">
        <v>2</v>
      </c>
      <c r="M24" s="20">
        <v>91</v>
      </c>
      <c r="N24" s="20">
        <v>0</v>
      </c>
      <c r="O24" s="20">
        <v>0</v>
      </c>
      <c r="P24" s="20">
        <v>2</v>
      </c>
      <c r="Q24" s="20">
        <v>91</v>
      </c>
      <c r="R24" s="20">
        <v>643</v>
      </c>
      <c r="S24" s="20">
        <v>269</v>
      </c>
      <c r="T24" s="20">
        <v>374</v>
      </c>
      <c r="U24" s="20">
        <v>129</v>
      </c>
      <c r="V24" s="20">
        <v>88</v>
      </c>
      <c r="W24" s="20">
        <v>41</v>
      </c>
      <c r="X24" s="20">
        <v>105</v>
      </c>
      <c r="Y24" s="20">
        <v>55</v>
      </c>
      <c r="Z24" s="20">
        <v>50</v>
      </c>
      <c r="AA24" s="20">
        <v>409</v>
      </c>
      <c r="AB24" s="20">
        <v>126</v>
      </c>
      <c r="AC24" s="20">
        <v>283</v>
      </c>
      <c r="AD24" s="20">
        <v>506</v>
      </c>
      <c r="AE24" s="20">
        <v>187</v>
      </c>
      <c r="AF24" s="20">
        <v>319</v>
      </c>
      <c r="AG24" s="20">
        <v>63</v>
      </c>
      <c r="AH24" s="20">
        <v>42</v>
      </c>
      <c r="AI24" s="20">
        <v>21</v>
      </c>
      <c r="AJ24" s="20">
        <v>60</v>
      </c>
      <c r="AK24" s="20">
        <v>29</v>
      </c>
      <c r="AL24" s="20">
        <v>31</v>
      </c>
      <c r="AM24" s="20">
        <v>383</v>
      </c>
      <c r="AN24" s="20">
        <v>116</v>
      </c>
      <c r="AO24" s="20">
        <v>267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0</v>
      </c>
      <c r="BB24" s="20">
        <v>132</v>
      </c>
      <c r="BC24" s="20">
        <v>80</v>
      </c>
      <c r="BD24" s="20">
        <v>52</v>
      </c>
      <c r="BE24" s="20">
        <v>66</v>
      </c>
      <c r="BF24" s="20">
        <v>46</v>
      </c>
      <c r="BG24" s="20">
        <v>20</v>
      </c>
      <c r="BH24" s="20">
        <v>44</v>
      </c>
      <c r="BI24" s="20">
        <v>25</v>
      </c>
      <c r="BJ24" s="20">
        <v>19</v>
      </c>
      <c r="BK24" s="20">
        <v>22</v>
      </c>
      <c r="BL24" s="20">
        <v>9</v>
      </c>
      <c r="BM24" s="20">
        <v>13</v>
      </c>
      <c r="BN24" s="20">
        <v>5</v>
      </c>
      <c r="BO24" s="20">
        <v>2</v>
      </c>
      <c r="BP24" s="20">
        <v>3</v>
      </c>
      <c r="BQ24" s="20">
        <v>0</v>
      </c>
      <c r="BR24" s="20">
        <v>0</v>
      </c>
      <c r="BS24" s="20">
        <v>0</v>
      </c>
      <c r="BT24" s="20">
        <v>1</v>
      </c>
      <c r="BU24" s="20">
        <v>1</v>
      </c>
      <c r="BV24" s="20">
        <v>0</v>
      </c>
      <c r="BW24" s="20">
        <v>4</v>
      </c>
      <c r="BX24" s="20">
        <v>1</v>
      </c>
      <c r="BY24" s="20">
        <v>3</v>
      </c>
    </row>
    <row r="25" spans="1:77" ht="15.75" customHeight="1">
      <c r="A25" s="45" t="s">
        <v>142</v>
      </c>
      <c r="B25" s="19" t="s">
        <v>19</v>
      </c>
      <c r="C25" s="20">
        <v>128</v>
      </c>
      <c r="D25" s="20">
        <v>14</v>
      </c>
      <c r="E25" s="20">
        <v>114</v>
      </c>
      <c r="F25" s="20">
        <v>14</v>
      </c>
      <c r="G25" s="20">
        <v>5</v>
      </c>
      <c r="H25" s="20">
        <v>9</v>
      </c>
      <c r="I25" s="20">
        <v>114</v>
      </c>
      <c r="J25" s="20">
        <v>9</v>
      </c>
      <c r="K25" s="20">
        <v>105</v>
      </c>
      <c r="L25" s="20">
        <v>51</v>
      </c>
      <c r="M25" s="20">
        <v>695</v>
      </c>
      <c r="N25" s="20">
        <v>20</v>
      </c>
      <c r="O25" s="20">
        <v>73</v>
      </c>
      <c r="P25" s="20">
        <v>31</v>
      </c>
      <c r="Q25" s="20">
        <v>622</v>
      </c>
      <c r="R25" s="20">
        <v>910</v>
      </c>
      <c r="S25" s="20">
        <v>364</v>
      </c>
      <c r="T25" s="20">
        <v>546</v>
      </c>
      <c r="U25" s="20">
        <v>113</v>
      </c>
      <c r="V25" s="20">
        <v>45</v>
      </c>
      <c r="W25" s="20">
        <v>68</v>
      </c>
      <c r="X25" s="20">
        <v>184</v>
      </c>
      <c r="Y25" s="20">
        <v>85</v>
      </c>
      <c r="Z25" s="20">
        <v>99</v>
      </c>
      <c r="AA25" s="20">
        <v>613</v>
      </c>
      <c r="AB25" s="20">
        <v>234</v>
      </c>
      <c r="AC25" s="20">
        <v>379</v>
      </c>
      <c r="AD25" s="20">
        <v>607</v>
      </c>
      <c r="AE25" s="20">
        <v>236</v>
      </c>
      <c r="AF25" s="20">
        <v>371</v>
      </c>
      <c r="AG25" s="20">
        <v>84</v>
      </c>
      <c r="AH25" s="20">
        <v>35</v>
      </c>
      <c r="AI25" s="20">
        <v>49</v>
      </c>
      <c r="AJ25" s="20">
        <v>70</v>
      </c>
      <c r="AK25" s="20">
        <v>32</v>
      </c>
      <c r="AL25" s="20">
        <v>38</v>
      </c>
      <c r="AM25" s="20">
        <v>453</v>
      </c>
      <c r="AN25" s="20">
        <v>169</v>
      </c>
      <c r="AO25" s="20">
        <v>284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0</v>
      </c>
      <c r="AZ25" s="20">
        <v>0</v>
      </c>
      <c r="BA25" s="20">
        <v>0</v>
      </c>
      <c r="BB25" s="20">
        <v>170</v>
      </c>
      <c r="BC25" s="20">
        <v>82</v>
      </c>
      <c r="BD25" s="20">
        <v>88</v>
      </c>
      <c r="BE25" s="20">
        <v>13</v>
      </c>
      <c r="BF25" s="20">
        <v>6</v>
      </c>
      <c r="BG25" s="20">
        <v>7</v>
      </c>
      <c r="BH25" s="20">
        <v>103</v>
      </c>
      <c r="BI25" s="20">
        <v>49</v>
      </c>
      <c r="BJ25" s="20">
        <v>54</v>
      </c>
      <c r="BK25" s="20">
        <v>54</v>
      </c>
      <c r="BL25" s="20">
        <v>27</v>
      </c>
      <c r="BM25" s="20">
        <v>27</v>
      </c>
      <c r="BN25" s="20">
        <v>133</v>
      </c>
      <c r="BO25" s="20">
        <v>46</v>
      </c>
      <c r="BP25" s="20">
        <v>87</v>
      </c>
      <c r="BQ25" s="20">
        <v>16</v>
      </c>
      <c r="BR25" s="20">
        <v>4</v>
      </c>
      <c r="BS25" s="20">
        <v>12</v>
      </c>
      <c r="BT25" s="20">
        <v>11</v>
      </c>
      <c r="BU25" s="20">
        <v>4</v>
      </c>
      <c r="BV25" s="20">
        <v>7</v>
      </c>
      <c r="BW25" s="20">
        <v>106</v>
      </c>
      <c r="BX25" s="20">
        <v>38</v>
      </c>
      <c r="BY25" s="20">
        <v>68</v>
      </c>
    </row>
    <row r="26" spans="1:77" ht="15.75" customHeight="1">
      <c r="A26" s="45" t="s">
        <v>143</v>
      </c>
      <c r="B26" s="19" t="s">
        <v>20</v>
      </c>
      <c r="C26" s="20">
        <v>106</v>
      </c>
      <c r="D26" s="20">
        <v>25</v>
      </c>
      <c r="E26" s="20">
        <v>81</v>
      </c>
      <c r="F26" s="20">
        <v>13</v>
      </c>
      <c r="G26" s="20">
        <v>2</v>
      </c>
      <c r="H26" s="20">
        <v>11</v>
      </c>
      <c r="I26" s="20">
        <v>93</v>
      </c>
      <c r="J26" s="20">
        <v>23</v>
      </c>
      <c r="K26" s="20">
        <v>70</v>
      </c>
      <c r="L26" s="20">
        <v>65</v>
      </c>
      <c r="M26" s="20">
        <v>566</v>
      </c>
      <c r="N26" s="20">
        <v>24</v>
      </c>
      <c r="O26" s="20">
        <v>43</v>
      </c>
      <c r="P26" s="20">
        <v>41</v>
      </c>
      <c r="Q26" s="20">
        <v>523</v>
      </c>
      <c r="R26" s="20">
        <v>596</v>
      </c>
      <c r="S26" s="20">
        <v>296</v>
      </c>
      <c r="T26" s="20">
        <v>300</v>
      </c>
      <c r="U26" s="20">
        <v>141</v>
      </c>
      <c r="V26" s="20">
        <v>82</v>
      </c>
      <c r="W26" s="20">
        <v>59</v>
      </c>
      <c r="X26" s="20">
        <v>96</v>
      </c>
      <c r="Y26" s="20">
        <v>55</v>
      </c>
      <c r="Z26" s="20">
        <v>41</v>
      </c>
      <c r="AA26" s="20">
        <v>359</v>
      </c>
      <c r="AB26" s="20">
        <v>159</v>
      </c>
      <c r="AC26" s="20">
        <v>200</v>
      </c>
      <c r="AD26" s="20">
        <v>359</v>
      </c>
      <c r="AE26" s="20">
        <v>155</v>
      </c>
      <c r="AF26" s="20">
        <v>204</v>
      </c>
      <c r="AG26" s="20">
        <v>78</v>
      </c>
      <c r="AH26" s="20">
        <v>32</v>
      </c>
      <c r="AI26" s="20">
        <v>46</v>
      </c>
      <c r="AJ26" s="20">
        <v>28</v>
      </c>
      <c r="AK26" s="20">
        <v>16</v>
      </c>
      <c r="AL26" s="20">
        <v>12</v>
      </c>
      <c r="AM26" s="20">
        <v>253</v>
      </c>
      <c r="AN26" s="20">
        <v>107</v>
      </c>
      <c r="AO26" s="20">
        <v>146</v>
      </c>
      <c r="AP26" s="20">
        <v>2</v>
      </c>
      <c r="AQ26" s="20">
        <v>1</v>
      </c>
      <c r="AR26" s="20">
        <v>1</v>
      </c>
      <c r="AS26" s="20">
        <v>0</v>
      </c>
      <c r="AT26" s="20">
        <v>0</v>
      </c>
      <c r="AU26" s="20">
        <v>0</v>
      </c>
      <c r="AV26" s="20">
        <v>1</v>
      </c>
      <c r="AW26" s="20">
        <v>1</v>
      </c>
      <c r="AX26" s="20">
        <v>0</v>
      </c>
      <c r="AY26" s="20">
        <v>1</v>
      </c>
      <c r="AZ26" s="20">
        <v>0</v>
      </c>
      <c r="BA26" s="20">
        <v>1</v>
      </c>
      <c r="BB26" s="20">
        <v>159</v>
      </c>
      <c r="BC26" s="20">
        <v>103</v>
      </c>
      <c r="BD26" s="20">
        <v>56</v>
      </c>
      <c r="BE26" s="20">
        <v>56</v>
      </c>
      <c r="BF26" s="20">
        <v>48</v>
      </c>
      <c r="BG26" s="20">
        <v>8</v>
      </c>
      <c r="BH26" s="20">
        <v>57</v>
      </c>
      <c r="BI26" s="20">
        <v>33</v>
      </c>
      <c r="BJ26" s="20">
        <v>24</v>
      </c>
      <c r="BK26" s="20">
        <v>46</v>
      </c>
      <c r="BL26" s="20">
        <v>22</v>
      </c>
      <c r="BM26" s="20">
        <v>24</v>
      </c>
      <c r="BN26" s="20">
        <v>76</v>
      </c>
      <c r="BO26" s="20">
        <v>37</v>
      </c>
      <c r="BP26" s="20">
        <v>39</v>
      </c>
      <c r="BQ26" s="20">
        <v>7</v>
      </c>
      <c r="BR26" s="20">
        <v>2</v>
      </c>
      <c r="BS26" s="20">
        <v>5</v>
      </c>
      <c r="BT26" s="20">
        <v>10</v>
      </c>
      <c r="BU26" s="20">
        <v>5</v>
      </c>
      <c r="BV26" s="20">
        <v>5</v>
      </c>
      <c r="BW26" s="20">
        <v>59</v>
      </c>
      <c r="BX26" s="20">
        <v>30</v>
      </c>
      <c r="BY26" s="20">
        <v>29</v>
      </c>
    </row>
    <row r="27" spans="1:77" ht="15.75" customHeight="1">
      <c r="A27" s="45" t="s">
        <v>144</v>
      </c>
      <c r="B27" s="19" t="s">
        <v>21</v>
      </c>
      <c r="C27" s="20">
        <v>152</v>
      </c>
      <c r="D27" s="20">
        <v>14</v>
      </c>
      <c r="E27" s="20">
        <v>138</v>
      </c>
      <c r="F27" s="20">
        <v>17</v>
      </c>
      <c r="G27" s="20">
        <v>2</v>
      </c>
      <c r="H27" s="20">
        <v>15</v>
      </c>
      <c r="I27" s="20">
        <v>135</v>
      </c>
      <c r="J27" s="20">
        <v>12</v>
      </c>
      <c r="K27" s="20">
        <v>123</v>
      </c>
      <c r="L27" s="20">
        <v>89</v>
      </c>
      <c r="M27" s="20">
        <v>1479</v>
      </c>
      <c r="N27" s="20">
        <v>39</v>
      </c>
      <c r="O27" s="20">
        <v>135</v>
      </c>
      <c r="P27" s="20">
        <v>50</v>
      </c>
      <c r="Q27" s="20">
        <v>1344</v>
      </c>
      <c r="R27" s="20">
        <v>1273</v>
      </c>
      <c r="S27" s="20">
        <v>470</v>
      </c>
      <c r="T27" s="20">
        <v>803</v>
      </c>
      <c r="U27" s="20">
        <v>840</v>
      </c>
      <c r="V27" s="20">
        <v>306</v>
      </c>
      <c r="W27" s="20">
        <v>534</v>
      </c>
      <c r="X27" s="20">
        <v>149</v>
      </c>
      <c r="Y27" s="20">
        <v>56</v>
      </c>
      <c r="Z27" s="20">
        <v>93</v>
      </c>
      <c r="AA27" s="20">
        <v>284</v>
      </c>
      <c r="AB27" s="20">
        <v>108</v>
      </c>
      <c r="AC27" s="20">
        <v>176</v>
      </c>
      <c r="AD27" s="20">
        <v>946</v>
      </c>
      <c r="AE27" s="20">
        <v>333</v>
      </c>
      <c r="AF27" s="20">
        <v>613</v>
      </c>
      <c r="AG27" s="20">
        <v>758</v>
      </c>
      <c r="AH27" s="20">
        <v>272</v>
      </c>
      <c r="AI27" s="20">
        <v>486</v>
      </c>
      <c r="AJ27" s="20">
        <v>129</v>
      </c>
      <c r="AK27" s="20">
        <v>46</v>
      </c>
      <c r="AL27" s="20">
        <v>83</v>
      </c>
      <c r="AM27" s="20">
        <v>59</v>
      </c>
      <c r="AN27" s="20">
        <v>15</v>
      </c>
      <c r="AO27" s="20">
        <v>44</v>
      </c>
      <c r="AP27" s="20">
        <v>0</v>
      </c>
      <c r="AQ27" s="20">
        <v>0</v>
      </c>
      <c r="AR27" s="20">
        <v>0</v>
      </c>
      <c r="AS27" s="20">
        <v>0</v>
      </c>
      <c r="AT27" s="20">
        <v>0</v>
      </c>
      <c r="AU27" s="20">
        <v>0</v>
      </c>
      <c r="AV27" s="20">
        <v>0</v>
      </c>
      <c r="AW27" s="20">
        <v>0</v>
      </c>
      <c r="AX27" s="20">
        <v>0</v>
      </c>
      <c r="AY27" s="20">
        <v>0</v>
      </c>
      <c r="AZ27" s="20">
        <v>0</v>
      </c>
      <c r="BA27" s="20">
        <v>0</v>
      </c>
      <c r="BB27" s="20">
        <v>146</v>
      </c>
      <c r="BC27" s="20">
        <v>69</v>
      </c>
      <c r="BD27" s="20">
        <v>77</v>
      </c>
      <c r="BE27" s="20">
        <v>58</v>
      </c>
      <c r="BF27" s="20">
        <v>28</v>
      </c>
      <c r="BG27" s="20">
        <v>30</v>
      </c>
      <c r="BH27" s="20">
        <v>10</v>
      </c>
      <c r="BI27" s="20">
        <v>5</v>
      </c>
      <c r="BJ27" s="20">
        <v>5</v>
      </c>
      <c r="BK27" s="20">
        <v>78</v>
      </c>
      <c r="BL27" s="20">
        <v>36</v>
      </c>
      <c r="BM27" s="20">
        <v>42</v>
      </c>
      <c r="BN27" s="20">
        <v>181</v>
      </c>
      <c r="BO27" s="20">
        <v>68</v>
      </c>
      <c r="BP27" s="20">
        <v>113</v>
      </c>
      <c r="BQ27" s="20">
        <v>24</v>
      </c>
      <c r="BR27" s="20">
        <v>6</v>
      </c>
      <c r="BS27" s="20">
        <v>18</v>
      </c>
      <c r="BT27" s="20">
        <v>10</v>
      </c>
      <c r="BU27" s="20">
        <v>5</v>
      </c>
      <c r="BV27" s="20">
        <v>5</v>
      </c>
      <c r="BW27" s="20">
        <v>147</v>
      </c>
      <c r="BX27" s="20">
        <v>57</v>
      </c>
      <c r="BY27" s="20">
        <v>90</v>
      </c>
    </row>
    <row r="28" spans="1:77" ht="15.75" customHeight="1">
      <c r="A28" s="45" t="s">
        <v>145</v>
      </c>
      <c r="B28" s="19" t="s">
        <v>22</v>
      </c>
      <c r="C28" s="20">
        <v>60</v>
      </c>
      <c r="D28" s="20">
        <v>3</v>
      </c>
      <c r="E28" s="20">
        <v>57</v>
      </c>
      <c r="F28" s="20">
        <v>4</v>
      </c>
      <c r="G28" s="20">
        <v>0</v>
      </c>
      <c r="H28" s="20">
        <v>4</v>
      </c>
      <c r="I28" s="20">
        <v>56</v>
      </c>
      <c r="J28" s="20">
        <v>3</v>
      </c>
      <c r="K28" s="20">
        <v>53</v>
      </c>
      <c r="L28" s="20">
        <v>10</v>
      </c>
      <c r="M28" s="20">
        <v>164</v>
      </c>
      <c r="N28" s="20">
        <v>5</v>
      </c>
      <c r="O28" s="20">
        <v>9</v>
      </c>
      <c r="P28" s="20">
        <v>5</v>
      </c>
      <c r="Q28" s="20">
        <v>155</v>
      </c>
      <c r="R28" s="20">
        <v>461</v>
      </c>
      <c r="S28" s="20">
        <v>157</v>
      </c>
      <c r="T28" s="20">
        <v>304</v>
      </c>
      <c r="U28" s="20">
        <v>8</v>
      </c>
      <c r="V28" s="20">
        <v>0</v>
      </c>
      <c r="W28" s="20">
        <v>8</v>
      </c>
      <c r="X28" s="20">
        <v>2</v>
      </c>
      <c r="Y28" s="20">
        <v>0</v>
      </c>
      <c r="Z28" s="20">
        <v>2</v>
      </c>
      <c r="AA28" s="20">
        <v>451</v>
      </c>
      <c r="AB28" s="20">
        <v>157</v>
      </c>
      <c r="AC28" s="20">
        <v>294</v>
      </c>
      <c r="AD28" s="20">
        <v>384</v>
      </c>
      <c r="AE28" s="20">
        <v>139</v>
      </c>
      <c r="AF28" s="20">
        <v>245</v>
      </c>
      <c r="AG28" s="20">
        <v>4</v>
      </c>
      <c r="AH28" s="20">
        <v>0</v>
      </c>
      <c r="AI28" s="20">
        <v>4</v>
      </c>
      <c r="AJ28" s="20">
        <v>0</v>
      </c>
      <c r="AK28" s="20">
        <v>0</v>
      </c>
      <c r="AL28" s="20">
        <v>0</v>
      </c>
      <c r="AM28" s="20">
        <v>380</v>
      </c>
      <c r="AN28" s="20">
        <v>139</v>
      </c>
      <c r="AO28" s="20">
        <v>241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48</v>
      </c>
      <c r="BC28" s="20">
        <v>16</v>
      </c>
      <c r="BD28" s="20">
        <v>32</v>
      </c>
      <c r="BE28" s="20">
        <v>2</v>
      </c>
      <c r="BF28" s="20">
        <v>0</v>
      </c>
      <c r="BG28" s="20">
        <v>2</v>
      </c>
      <c r="BH28" s="20">
        <v>2</v>
      </c>
      <c r="BI28" s="20">
        <v>0</v>
      </c>
      <c r="BJ28" s="20">
        <v>2</v>
      </c>
      <c r="BK28" s="20">
        <v>44</v>
      </c>
      <c r="BL28" s="20">
        <v>16</v>
      </c>
      <c r="BM28" s="20">
        <v>28</v>
      </c>
      <c r="BN28" s="20">
        <v>29</v>
      </c>
      <c r="BO28" s="20">
        <v>2</v>
      </c>
      <c r="BP28" s="20">
        <v>27</v>
      </c>
      <c r="BQ28" s="20">
        <v>2</v>
      </c>
      <c r="BR28" s="20">
        <v>0</v>
      </c>
      <c r="BS28" s="20">
        <v>2</v>
      </c>
      <c r="BT28" s="20">
        <v>0</v>
      </c>
      <c r="BU28" s="20">
        <v>0</v>
      </c>
      <c r="BV28" s="20">
        <v>0</v>
      </c>
      <c r="BW28" s="20">
        <v>27</v>
      </c>
      <c r="BX28" s="20">
        <v>2</v>
      </c>
      <c r="BY28" s="20">
        <v>25</v>
      </c>
    </row>
    <row r="29" spans="1:77" ht="15.75" customHeight="1">
      <c r="A29" s="46" t="s">
        <v>146</v>
      </c>
      <c r="B29" s="21" t="s">
        <v>23</v>
      </c>
      <c r="C29" s="22">
        <v>4</v>
      </c>
      <c r="D29" s="22">
        <v>0</v>
      </c>
      <c r="E29" s="22">
        <v>4</v>
      </c>
      <c r="F29" s="22">
        <v>0</v>
      </c>
      <c r="G29" s="22">
        <v>0</v>
      </c>
      <c r="H29" s="22">
        <v>0</v>
      </c>
      <c r="I29" s="22">
        <v>4</v>
      </c>
      <c r="J29" s="22">
        <v>0</v>
      </c>
      <c r="K29" s="22">
        <v>4</v>
      </c>
      <c r="L29" s="22">
        <v>1</v>
      </c>
      <c r="M29" s="22">
        <v>28</v>
      </c>
      <c r="N29" s="22">
        <v>0</v>
      </c>
      <c r="O29" s="22">
        <v>0</v>
      </c>
      <c r="P29" s="22">
        <v>1</v>
      </c>
      <c r="Q29" s="22">
        <v>28</v>
      </c>
      <c r="R29" s="22">
        <v>9</v>
      </c>
      <c r="S29" s="22">
        <v>5</v>
      </c>
      <c r="T29" s="22">
        <v>4</v>
      </c>
      <c r="U29" s="22">
        <v>3</v>
      </c>
      <c r="V29" s="22">
        <v>2</v>
      </c>
      <c r="W29" s="22">
        <v>1</v>
      </c>
      <c r="X29" s="22">
        <v>1</v>
      </c>
      <c r="Y29" s="22">
        <v>1</v>
      </c>
      <c r="Z29" s="22">
        <v>0</v>
      </c>
      <c r="AA29" s="22">
        <v>5</v>
      </c>
      <c r="AB29" s="22">
        <v>2</v>
      </c>
      <c r="AC29" s="22">
        <v>3</v>
      </c>
      <c r="AD29" s="22">
        <v>8</v>
      </c>
      <c r="AE29" s="22">
        <v>4</v>
      </c>
      <c r="AF29" s="22">
        <v>4</v>
      </c>
      <c r="AG29" s="22">
        <v>3</v>
      </c>
      <c r="AH29" s="22">
        <v>2</v>
      </c>
      <c r="AI29" s="22">
        <v>1</v>
      </c>
      <c r="AJ29" s="22">
        <v>0</v>
      </c>
      <c r="AK29" s="22">
        <v>0</v>
      </c>
      <c r="AL29" s="22">
        <v>0</v>
      </c>
      <c r="AM29" s="22">
        <v>5</v>
      </c>
      <c r="AN29" s="22">
        <v>2</v>
      </c>
      <c r="AO29" s="22">
        <v>3</v>
      </c>
      <c r="AP29" s="22">
        <v>0</v>
      </c>
      <c r="AQ29" s="22">
        <v>0</v>
      </c>
      <c r="AR29" s="22">
        <v>0</v>
      </c>
      <c r="AS29" s="22">
        <v>0</v>
      </c>
      <c r="AT29" s="22">
        <v>0</v>
      </c>
      <c r="AU29" s="22">
        <v>0</v>
      </c>
      <c r="AV29" s="22">
        <v>0</v>
      </c>
      <c r="AW29" s="22">
        <v>0</v>
      </c>
      <c r="AX29" s="22">
        <v>0</v>
      </c>
      <c r="AY29" s="22">
        <v>0</v>
      </c>
      <c r="AZ29" s="22">
        <v>0</v>
      </c>
      <c r="BA29" s="22">
        <v>0</v>
      </c>
      <c r="BB29" s="22">
        <v>1</v>
      </c>
      <c r="BC29" s="22">
        <v>1</v>
      </c>
      <c r="BD29" s="22">
        <v>0</v>
      </c>
      <c r="BE29" s="22">
        <v>0</v>
      </c>
      <c r="BF29" s="22">
        <v>0</v>
      </c>
      <c r="BG29" s="22">
        <v>0</v>
      </c>
      <c r="BH29" s="22">
        <v>1</v>
      </c>
      <c r="BI29" s="22">
        <v>1</v>
      </c>
      <c r="BJ29" s="22">
        <v>0</v>
      </c>
      <c r="BK29" s="22">
        <v>0</v>
      </c>
      <c r="BL29" s="22">
        <v>0</v>
      </c>
      <c r="BM29" s="22">
        <v>0</v>
      </c>
      <c r="BN29" s="22">
        <v>0</v>
      </c>
      <c r="BO29" s="22">
        <v>0</v>
      </c>
      <c r="BP29" s="22">
        <v>0</v>
      </c>
      <c r="BQ29" s="22">
        <v>0</v>
      </c>
      <c r="BR29" s="22">
        <v>0</v>
      </c>
      <c r="BS29" s="22">
        <v>0</v>
      </c>
      <c r="BT29" s="22">
        <v>0</v>
      </c>
      <c r="BU29" s="22">
        <v>0</v>
      </c>
      <c r="BV29" s="22">
        <v>0</v>
      </c>
      <c r="BW29" s="22">
        <v>0</v>
      </c>
      <c r="BX29" s="22">
        <v>0</v>
      </c>
      <c r="BY29" s="22">
        <v>0</v>
      </c>
    </row>
    <row r="30" spans="1:77" ht="21" customHeight="1">
      <c r="A30" s="14" t="s">
        <v>77</v>
      </c>
      <c r="B30" s="24"/>
    </row>
    <row r="31" spans="1:77" ht="21" customHeight="1">
      <c r="A31" s="15" t="s">
        <v>2</v>
      </c>
      <c r="B31" s="15"/>
    </row>
    <row r="33" spans="1:1">
      <c r="A33" s="31" t="s">
        <v>191</v>
      </c>
    </row>
  </sheetData>
  <mergeCells count="34">
    <mergeCell ref="AV5:AX5"/>
    <mergeCell ref="BW5:BY5"/>
    <mergeCell ref="BE5:BG5"/>
    <mergeCell ref="BH5:BJ5"/>
    <mergeCell ref="BK5:BM5"/>
    <mergeCell ref="BN5:BP5"/>
    <mergeCell ref="BQ5:BS5"/>
    <mergeCell ref="BT5:BV5"/>
    <mergeCell ref="AJ5:AL5"/>
    <mergeCell ref="AP5:AR5"/>
    <mergeCell ref="P5:Q5"/>
    <mergeCell ref="R5:T5"/>
    <mergeCell ref="AS5:AU5"/>
    <mergeCell ref="U5:W5"/>
    <mergeCell ref="X5:Z5"/>
    <mergeCell ref="AA5:AC5"/>
    <mergeCell ref="AD5:AF5"/>
    <mergeCell ref="AG5:AI5"/>
    <mergeCell ref="A3:B6"/>
    <mergeCell ref="C3:K4"/>
    <mergeCell ref="L3:Q4"/>
    <mergeCell ref="R3:BY3"/>
    <mergeCell ref="R4:AC4"/>
    <mergeCell ref="AD4:AO4"/>
    <mergeCell ref="AP4:BA4"/>
    <mergeCell ref="BB4:BM4"/>
    <mergeCell ref="BN4:BY4"/>
    <mergeCell ref="F5:H5"/>
    <mergeCell ref="AM5:AO5"/>
    <mergeCell ref="I5:K5"/>
    <mergeCell ref="L5:M5"/>
    <mergeCell ref="N5:O5"/>
    <mergeCell ref="AY5:BA5"/>
    <mergeCell ref="BB5:BD5"/>
  </mergeCells>
  <phoneticPr fontId="6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  <pageSetUpPr fitToPage="1"/>
  </sheetPr>
  <dimension ref="A1:CK34"/>
  <sheetViews>
    <sheetView zoomScaleNormal="100" zoomScaleSheetLayoutView="75" workbookViewId="0">
      <pane xSplit="2" ySplit="7" topLeftCell="C23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0" style="3" customWidth="1"/>
    <col min="2" max="2" width="20" style="3" customWidth="1"/>
    <col min="3" max="21" width="10.83203125" style="3" customWidth="1"/>
    <col min="22" max="85" width="14.1640625" style="3" customWidth="1"/>
    <col min="86" max="16384" width="12" style="3"/>
  </cols>
  <sheetData>
    <row r="1" spans="1:89" ht="21">
      <c r="A1" s="1" t="s">
        <v>50</v>
      </c>
      <c r="B1" s="25"/>
    </row>
    <row r="2" spans="1:89" ht="25.5" customHeight="1">
      <c r="A2" s="26" t="s">
        <v>123</v>
      </c>
      <c r="B2" s="27"/>
    </row>
    <row r="3" spans="1:89" ht="16.5" customHeight="1">
      <c r="A3" s="329" t="s">
        <v>78</v>
      </c>
      <c r="B3" s="301"/>
      <c r="C3" s="314" t="s">
        <v>51</v>
      </c>
      <c r="D3" s="17" t="s">
        <v>79</v>
      </c>
      <c r="E3" s="17"/>
      <c r="F3" s="17"/>
      <c r="G3" s="17"/>
      <c r="H3" s="17"/>
      <c r="I3" s="17"/>
      <c r="J3" s="17"/>
      <c r="K3" s="17"/>
      <c r="L3" s="17"/>
      <c r="M3" s="332" t="s">
        <v>52</v>
      </c>
      <c r="N3" s="304"/>
      <c r="O3" s="304"/>
      <c r="P3" s="304"/>
      <c r="Q3" s="304"/>
      <c r="R3" s="304"/>
      <c r="S3" s="304"/>
      <c r="T3" s="304"/>
      <c r="U3" s="304"/>
      <c r="V3" s="340"/>
      <c r="W3" s="344" t="s">
        <v>53</v>
      </c>
      <c r="X3" s="344"/>
      <c r="Y3" s="344"/>
      <c r="Z3" s="344"/>
      <c r="AA3" s="344"/>
      <c r="AB3" s="344"/>
      <c r="AC3" s="344"/>
      <c r="AD3" s="344"/>
      <c r="AE3" s="344"/>
      <c r="AF3" s="344"/>
      <c r="AG3" s="344"/>
      <c r="AH3" s="344"/>
      <c r="AI3" s="344"/>
      <c r="AJ3" s="344"/>
      <c r="AK3" s="344"/>
      <c r="AL3" s="344"/>
      <c r="AM3" s="344"/>
      <c r="AN3" s="344"/>
      <c r="AO3" s="344"/>
      <c r="AP3" s="344"/>
      <c r="AQ3" s="344"/>
      <c r="AR3" s="344"/>
      <c r="AS3" s="344"/>
      <c r="AT3" s="344"/>
      <c r="AU3" s="344"/>
      <c r="AV3" s="344"/>
      <c r="AW3" s="344"/>
      <c r="AX3" s="344"/>
      <c r="AY3" s="344"/>
      <c r="AZ3" s="344"/>
      <c r="BA3" s="344"/>
      <c r="BB3" s="344"/>
      <c r="BC3" s="344"/>
      <c r="BD3" s="344"/>
      <c r="BE3" s="344"/>
      <c r="BF3" s="332"/>
    </row>
    <row r="4" spans="1:89" s="4" customFormat="1" ht="16.5" customHeight="1">
      <c r="A4" s="364"/>
      <c r="B4" s="302"/>
      <c r="C4" s="402"/>
      <c r="D4" s="17" t="s">
        <v>80</v>
      </c>
      <c r="E4" s="17"/>
      <c r="F4" s="17"/>
      <c r="G4" s="17"/>
      <c r="H4" s="17"/>
      <c r="I4" s="17"/>
      <c r="J4" s="17"/>
      <c r="K4" s="17"/>
      <c r="L4" s="17"/>
      <c r="M4" s="332" t="s">
        <v>54</v>
      </c>
      <c r="N4" s="304"/>
      <c r="O4" s="304"/>
      <c r="P4" s="304"/>
      <c r="Q4" s="304"/>
      <c r="R4" s="304"/>
      <c r="S4" s="304"/>
      <c r="T4" s="340"/>
      <c r="U4" s="324" t="s">
        <v>55</v>
      </c>
      <c r="V4" s="315"/>
      <c r="W4" s="344" t="s">
        <v>81</v>
      </c>
      <c r="X4" s="344"/>
      <c r="Y4" s="344"/>
      <c r="Z4" s="344"/>
      <c r="AA4" s="344"/>
      <c r="AB4" s="344"/>
      <c r="AC4" s="344"/>
      <c r="AD4" s="344"/>
      <c r="AE4" s="344"/>
      <c r="AF4" s="344"/>
      <c r="AG4" s="344"/>
      <c r="AH4" s="344"/>
      <c r="AI4" s="344" t="s">
        <v>57</v>
      </c>
      <c r="AJ4" s="344"/>
      <c r="AK4" s="344"/>
      <c r="AL4" s="344"/>
      <c r="AM4" s="344"/>
      <c r="AN4" s="344"/>
      <c r="AO4" s="344"/>
      <c r="AP4" s="344"/>
      <c r="AQ4" s="344"/>
      <c r="AR4" s="344"/>
      <c r="AS4" s="344"/>
      <c r="AT4" s="344"/>
      <c r="AU4" s="344" t="s">
        <v>58</v>
      </c>
      <c r="AV4" s="344"/>
      <c r="AW4" s="344"/>
      <c r="AX4" s="344"/>
      <c r="AY4" s="344"/>
      <c r="AZ4" s="344"/>
      <c r="BA4" s="344"/>
      <c r="BB4" s="344"/>
      <c r="BC4" s="344"/>
      <c r="BD4" s="344"/>
      <c r="BE4" s="344"/>
      <c r="BF4" s="332"/>
    </row>
    <row r="5" spans="1:89" s="9" customFormat="1" ht="30" customHeight="1">
      <c r="A5" s="364"/>
      <c r="B5" s="302"/>
      <c r="C5" s="402"/>
      <c r="D5" s="5" t="s">
        <v>59</v>
      </c>
      <c r="E5" s="6"/>
      <c r="F5" s="7"/>
      <c r="G5" s="311" t="s">
        <v>60</v>
      </c>
      <c r="H5" s="340"/>
      <c r="I5" s="311" t="s">
        <v>61</v>
      </c>
      <c r="J5" s="340"/>
      <c r="K5" s="311" t="s">
        <v>62</v>
      </c>
      <c r="L5" s="340"/>
      <c r="M5" s="311" t="s">
        <v>63</v>
      </c>
      <c r="N5" s="340"/>
      <c r="O5" s="311" t="s">
        <v>64</v>
      </c>
      <c r="P5" s="313"/>
      <c r="Q5" s="311" t="s">
        <v>65</v>
      </c>
      <c r="R5" s="313"/>
      <c r="S5" s="311" t="s">
        <v>66</v>
      </c>
      <c r="T5" s="313"/>
      <c r="U5" s="322" t="s">
        <v>67</v>
      </c>
      <c r="V5" s="322" t="s">
        <v>68</v>
      </c>
      <c r="W5" s="5" t="s">
        <v>59</v>
      </c>
      <c r="X5" s="6"/>
      <c r="Y5" s="7"/>
      <c r="Z5" s="339" t="s">
        <v>69</v>
      </c>
      <c r="AA5" s="339"/>
      <c r="AB5" s="339"/>
      <c r="AC5" s="339" t="s">
        <v>70</v>
      </c>
      <c r="AD5" s="339"/>
      <c r="AE5" s="339"/>
      <c r="AF5" s="339" t="s">
        <v>71</v>
      </c>
      <c r="AG5" s="339"/>
      <c r="AH5" s="339"/>
      <c r="AI5" s="5" t="s">
        <v>59</v>
      </c>
      <c r="AJ5" s="6"/>
      <c r="AK5" s="7"/>
      <c r="AL5" s="339" t="s">
        <v>69</v>
      </c>
      <c r="AM5" s="339"/>
      <c r="AN5" s="339"/>
      <c r="AO5" s="339" t="s">
        <v>70</v>
      </c>
      <c r="AP5" s="339"/>
      <c r="AQ5" s="339"/>
      <c r="AR5" s="339" t="s">
        <v>71</v>
      </c>
      <c r="AS5" s="339"/>
      <c r="AT5" s="339"/>
      <c r="AU5" s="5" t="s">
        <v>59</v>
      </c>
      <c r="AV5" s="8"/>
      <c r="AW5" s="7"/>
      <c r="AX5" s="339" t="s">
        <v>69</v>
      </c>
      <c r="AY5" s="339"/>
      <c r="AZ5" s="339"/>
      <c r="BA5" s="339" t="s">
        <v>70</v>
      </c>
      <c r="BB5" s="339"/>
      <c r="BC5" s="339"/>
      <c r="BD5" s="339" t="s">
        <v>71</v>
      </c>
      <c r="BE5" s="339"/>
      <c r="BF5" s="311"/>
    </row>
    <row r="6" spans="1:89" ht="16.5" customHeight="1">
      <c r="A6" s="364"/>
      <c r="B6" s="302"/>
      <c r="C6" s="402"/>
      <c r="D6" s="322" t="s">
        <v>72</v>
      </c>
      <c r="E6" s="322" t="s">
        <v>73</v>
      </c>
      <c r="F6" s="322" t="s">
        <v>74</v>
      </c>
      <c r="G6" s="322" t="s">
        <v>73</v>
      </c>
      <c r="H6" s="322" t="s">
        <v>74</v>
      </c>
      <c r="I6" s="322" t="s">
        <v>73</v>
      </c>
      <c r="J6" s="322" t="s">
        <v>74</v>
      </c>
      <c r="K6" s="322" t="s">
        <v>73</v>
      </c>
      <c r="L6" s="322" t="s">
        <v>74</v>
      </c>
      <c r="M6" s="10" t="s">
        <v>75</v>
      </c>
      <c r="N6" s="10" t="s">
        <v>76</v>
      </c>
      <c r="O6" s="10" t="s">
        <v>75</v>
      </c>
      <c r="P6" s="10" t="s">
        <v>76</v>
      </c>
      <c r="Q6" s="10" t="s">
        <v>75</v>
      </c>
      <c r="R6" s="10" t="s">
        <v>76</v>
      </c>
      <c r="S6" s="10" t="s">
        <v>75</v>
      </c>
      <c r="T6" s="10" t="s">
        <v>76</v>
      </c>
      <c r="U6" s="338"/>
      <c r="V6" s="338"/>
      <c r="W6" s="322" t="s">
        <v>72</v>
      </c>
      <c r="X6" s="322" t="s">
        <v>73</v>
      </c>
      <c r="Y6" s="322" t="s">
        <v>74</v>
      </c>
      <c r="Z6" s="322" t="s">
        <v>72</v>
      </c>
      <c r="AA6" s="322" t="s">
        <v>73</v>
      </c>
      <c r="AB6" s="322" t="s">
        <v>74</v>
      </c>
      <c r="AC6" s="322" t="s">
        <v>72</v>
      </c>
      <c r="AD6" s="322" t="s">
        <v>73</v>
      </c>
      <c r="AE6" s="322" t="s">
        <v>74</v>
      </c>
      <c r="AF6" s="322" t="s">
        <v>72</v>
      </c>
      <c r="AG6" s="322" t="s">
        <v>73</v>
      </c>
      <c r="AH6" s="322" t="s">
        <v>74</v>
      </c>
      <c r="AI6" s="322" t="s">
        <v>72</v>
      </c>
      <c r="AJ6" s="322" t="s">
        <v>73</v>
      </c>
      <c r="AK6" s="322" t="s">
        <v>74</v>
      </c>
      <c r="AL6" s="322" t="s">
        <v>72</v>
      </c>
      <c r="AM6" s="322" t="s">
        <v>73</v>
      </c>
      <c r="AN6" s="322" t="s">
        <v>74</v>
      </c>
      <c r="AO6" s="322" t="s">
        <v>72</v>
      </c>
      <c r="AP6" s="322" t="s">
        <v>73</v>
      </c>
      <c r="AQ6" s="322" t="s">
        <v>74</v>
      </c>
      <c r="AR6" s="322" t="s">
        <v>72</v>
      </c>
      <c r="AS6" s="322" t="s">
        <v>73</v>
      </c>
      <c r="AT6" s="322" t="s">
        <v>74</v>
      </c>
      <c r="AU6" s="322" t="s">
        <v>72</v>
      </c>
      <c r="AV6" s="322" t="s">
        <v>73</v>
      </c>
      <c r="AW6" s="322" t="s">
        <v>74</v>
      </c>
      <c r="AX6" s="322" t="s">
        <v>72</v>
      </c>
      <c r="AY6" s="322" t="s">
        <v>73</v>
      </c>
      <c r="AZ6" s="322" t="s">
        <v>74</v>
      </c>
      <c r="BA6" s="322" t="s">
        <v>72</v>
      </c>
      <c r="BB6" s="322" t="s">
        <v>73</v>
      </c>
      <c r="BC6" s="322" t="s">
        <v>74</v>
      </c>
      <c r="BD6" s="322" t="s">
        <v>72</v>
      </c>
      <c r="BE6" s="322" t="s">
        <v>73</v>
      </c>
      <c r="BF6" s="314" t="s">
        <v>74</v>
      </c>
    </row>
    <row r="7" spans="1:89">
      <c r="A7" s="331"/>
      <c r="B7" s="303"/>
      <c r="C7" s="403"/>
      <c r="D7" s="323"/>
      <c r="E7" s="323"/>
      <c r="F7" s="323"/>
      <c r="G7" s="323"/>
      <c r="H7" s="323"/>
      <c r="I7" s="323"/>
      <c r="J7" s="323"/>
      <c r="K7" s="323"/>
      <c r="L7" s="323"/>
      <c r="M7" s="11" t="s">
        <v>0</v>
      </c>
      <c r="N7" s="11" t="s">
        <v>1</v>
      </c>
      <c r="O7" s="11" t="s">
        <v>0</v>
      </c>
      <c r="P7" s="11" t="s">
        <v>1</v>
      </c>
      <c r="Q7" s="11" t="s">
        <v>0</v>
      </c>
      <c r="R7" s="11" t="s">
        <v>1</v>
      </c>
      <c r="S7" s="11" t="s">
        <v>0</v>
      </c>
      <c r="T7" s="11" t="s">
        <v>1</v>
      </c>
      <c r="U7" s="323"/>
      <c r="V7" s="323"/>
      <c r="W7" s="323"/>
      <c r="X7" s="323"/>
      <c r="Y7" s="323"/>
      <c r="Z7" s="323"/>
      <c r="AA7" s="323"/>
      <c r="AB7" s="323"/>
      <c r="AC7" s="323"/>
      <c r="AD7" s="323"/>
      <c r="AE7" s="323"/>
      <c r="AF7" s="323"/>
      <c r="AG7" s="323"/>
      <c r="AH7" s="323"/>
      <c r="AI7" s="323"/>
      <c r="AJ7" s="323"/>
      <c r="AK7" s="323"/>
      <c r="AL7" s="323"/>
      <c r="AM7" s="323"/>
      <c r="AN7" s="323"/>
      <c r="AO7" s="323"/>
      <c r="AP7" s="323"/>
      <c r="AQ7" s="323"/>
      <c r="AR7" s="323"/>
      <c r="AS7" s="323"/>
      <c r="AT7" s="323"/>
      <c r="AU7" s="323"/>
      <c r="AV7" s="323"/>
      <c r="AW7" s="323"/>
      <c r="AX7" s="323"/>
      <c r="AY7" s="323"/>
      <c r="AZ7" s="323"/>
      <c r="BA7" s="323"/>
      <c r="BB7" s="323"/>
      <c r="BC7" s="323"/>
      <c r="BD7" s="323"/>
      <c r="BE7" s="323"/>
      <c r="BF7" s="326"/>
    </row>
    <row r="8" spans="1:89" s="13" customFormat="1" ht="17.100000000000001" customHeight="1">
      <c r="A8" s="55" t="s">
        <v>177</v>
      </c>
      <c r="B8" s="28" t="s">
        <v>39</v>
      </c>
      <c r="C8" s="41">
        <v>238</v>
      </c>
      <c r="D8" s="41">
        <v>9801</v>
      </c>
      <c r="E8" s="41">
        <v>847</v>
      </c>
      <c r="F8" s="41">
        <v>8954</v>
      </c>
      <c r="G8" s="41">
        <v>653</v>
      </c>
      <c r="H8" s="41">
        <v>6624</v>
      </c>
      <c r="I8" s="41">
        <v>181</v>
      </c>
      <c r="J8" s="41">
        <v>2246</v>
      </c>
      <c r="K8" s="41">
        <v>13</v>
      </c>
      <c r="L8" s="41">
        <v>84</v>
      </c>
      <c r="M8" s="41">
        <v>252</v>
      </c>
      <c r="N8" s="41">
        <v>1148</v>
      </c>
      <c r="O8" s="41">
        <v>194</v>
      </c>
      <c r="P8" s="41">
        <v>942</v>
      </c>
      <c r="Q8" s="41">
        <v>28</v>
      </c>
      <c r="R8" s="41">
        <v>160</v>
      </c>
      <c r="S8" s="41">
        <v>30</v>
      </c>
      <c r="T8" s="41">
        <v>46</v>
      </c>
      <c r="U8" s="41">
        <v>712</v>
      </c>
      <c r="V8" s="41">
        <v>14944</v>
      </c>
      <c r="W8" s="41">
        <v>56056</v>
      </c>
      <c r="X8" s="41">
        <v>23389</v>
      </c>
      <c r="Y8" s="41">
        <v>32667</v>
      </c>
      <c r="Z8" s="41">
        <v>12235</v>
      </c>
      <c r="AA8" s="41">
        <v>6285</v>
      </c>
      <c r="AB8" s="41">
        <v>5950</v>
      </c>
      <c r="AC8" s="41">
        <v>7192</v>
      </c>
      <c r="AD8" s="41">
        <v>3539</v>
      </c>
      <c r="AE8" s="41">
        <v>3653</v>
      </c>
      <c r="AF8" s="41">
        <v>36629</v>
      </c>
      <c r="AG8" s="41">
        <v>13565</v>
      </c>
      <c r="AH8" s="41">
        <v>23064</v>
      </c>
      <c r="AI8" s="41">
        <v>8452801</v>
      </c>
      <c r="AJ8" s="41">
        <v>3415406</v>
      </c>
      <c r="AK8" s="41">
        <v>5037395</v>
      </c>
      <c r="AL8" s="41">
        <v>2010010</v>
      </c>
      <c r="AM8" s="41">
        <v>980120</v>
      </c>
      <c r="AN8" s="41">
        <v>1029890</v>
      </c>
      <c r="AO8" s="41">
        <v>1059086</v>
      </c>
      <c r="AP8" s="41">
        <v>514075</v>
      </c>
      <c r="AQ8" s="41">
        <v>545011</v>
      </c>
      <c r="AR8" s="41">
        <v>5383705</v>
      </c>
      <c r="AS8" s="41">
        <v>1921211</v>
      </c>
      <c r="AT8" s="41">
        <v>3462494</v>
      </c>
      <c r="AU8" s="41">
        <v>14115572.1</v>
      </c>
      <c r="AV8" s="41">
        <v>6345628.5999999996</v>
      </c>
      <c r="AW8" s="41">
        <v>7769943.5</v>
      </c>
      <c r="AX8" s="41">
        <v>3267992.3</v>
      </c>
      <c r="AY8" s="41">
        <v>1585615.9</v>
      </c>
      <c r="AZ8" s="41">
        <v>1682376.4</v>
      </c>
      <c r="BA8" s="41">
        <v>1724167.1</v>
      </c>
      <c r="BB8" s="41">
        <v>864721.3</v>
      </c>
      <c r="BC8" s="41">
        <v>859445.8</v>
      </c>
      <c r="BD8" s="41">
        <v>9123412.6999999993</v>
      </c>
      <c r="BE8" s="41">
        <v>3895291.4</v>
      </c>
      <c r="BF8" s="41">
        <v>5228121.3</v>
      </c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</row>
    <row r="9" spans="1:89" s="18" customFormat="1" ht="21" customHeight="1">
      <c r="A9" s="47" t="s">
        <v>125</v>
      </c>
      <c r="B9" s="35" t="s">
        <v>24</v>
      </c>
      <c r="C9" s="41">
        <v>18</v>
      </c>
      <c r="D9" s="41">
        <v>986</v>
      </c>
      <c r="E9" s="41">
        <v>97</v>
      </c>
      <c r="F9" s="41">
        <v>889</v>
      </c>
      <c r="G9" s="41">
        <v>71</v>
      </c>
      <c r="H9" s="41">
        <v>608</v>
      </c>
      <c r="I9" s="41">
        <v>26</v>
      </c>
      <c r="J9" s="41">
        <v>281</v>
      </c>
      <c r="K9" s="41">
        <v>0</v>
      </c>
      <c r="L9" s="41">
        <v>0</v>
      </c>
      <c r="M9" s="41">
        <v>0</v>
      </c>
      <c r="N9" s="41">
        <v>0</v>
      </c>
      <c r="O9" s="41">
        <v>0</v>
      </c>
      <c r="P9" s="41">
        <v>0</v>
      </c>
      <c r="Q9" s="41">
        <v>0</v>
      </c>
      <c r="R9" s="41">
        <v>0</v>
      </c>
      <c r="S9" s="41">
        <v>0</v>
      </c>
      <c r="T9" s="41">
        <v>0</v>
      </c>
      <c r="U9" s="41">
        <v>84</v>
      </c>
      <c r="V9" s="41">
        <v>2196</v>
      </c>
      <c r="W9" s="41">
        <v>4932</v>
      </c>
      <c r="X9" s="41">
        <v>2066</v>
      </c>
      <c r="Y9" s="41">
        <v>2866</v>
      </c>
      <c r="Z9" s="41">
        <v>889</v>
      </c>
      <c r="AA9" s="41">
        <v>411</v>
      </c>
      <c r="AB9" s="41">
        <v>478</v>
      </c>
      <c r="AC9" s="41">
        <v>634</v>
      </c>
      <c r="AD9" s="41">
        <v>319</v>
      </c>
      <c r="AE9" s="41">
        <v>315</v>
      </c>
      <c r="AF9" s="41">
        <v>3409</v>
      </c>
      <c r="AG9" s="41">
        <v>1336</v>
      </c>
      <c r="AH9" s="41">
        <v>2073</v>
      </c>
      <c r="AI9" s="41">
        <v>804752</v>
      </c>
      <c r="AJ9" s="41">
        <v>332254</v>
      </c>
      <c r="AK9" s="41">
        <v>472498</v>
      </c>
      <c r="AL9" s="41">
        <v>173174</v>
      </c>
      <c r="AM9" s="41">
        <v>75514</v>
      </c>
      <c r="AN9" s="41">
        <v>97660</v>
      </c>
      <c r="AO9" s="41">
        <v>118262</v>
      </c>
      <c r="AP9" s="41">
        <v>56564</v>
      </c>
      <c r="AQ9" s="41">
        <v>61698</v>
      </c>
      <c r="AR9" s="41">
        <v>513316</v>
      </c>
      <c r="AS9" s="41">
        <v>200176</v>
      </c>
      <c r="AT9" s="41">
        <v>313140</v>
      </c>
      <c r="AU9" s="41">
        <v>1376304</v>
      </c>
      <c r="AV9" s="41">
        <v>581500</v>
      </c>
      <c r="AW9" s="41">
        <v>794804</v>
      </c>
      <c r="AX9" s="41">
        <v>300412.3</v>
      </c>
      <c r="AY9" s="41">
        <v>133168.29999999999</v>
      </c>
      <c r="AZ9" s="41">
        <v>167244</v>
      </c>
      <c r="BA9" s="41">
        <v>205919</v>
      </c>
      <c r="BB9" s="41">
        <v>105173</v>
      </c>
      <c r="BC9" s="41">
        <v>100746</v>
      </c>
      <c r="BD9" s="41">
        <v>869972.7</v>
      </c>
      <c r="BE9" s="41">
        <v>343158.7</v>
      </c>
      <c r="BF9" s="41">
        <v>526814</v>
      </c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</row>
    <row r="10" spans="1:89" s="18" customFormat="1" ht="21" customHeight="1">
      <c r="A10" s="47" t="s">
        <v>126</v>
      </c>
      <c r="B10" s="35" t="s">
        <v>25</v>
      </c>
      <c r="C10" s="41">
        <v>19</v>
      </c>
      <c r="D10" s="41">
        <v>657</v>
      </c>
      <c r="E10" s="41">
        <v>98</v>
      </c>
      <c r="F10" s="41">
        <v>559</v>
      </c>
      <c r="G10" s="41">
        <v>68</v>
      </c>
      <c r="H10" s="41">
        <v>341</v>
      </c>
      <c r="I10" s="41">
        <v>30</v>
      </c>
      <c r="J10" s="41">
        <v>217</v>
      </c>
      <c r="K10" s="41">
        <v>0</v>
      </c>
      <c r="L10" s="41">
        <v>1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3382</v>
      </c>
      <c r="X10" s="41">
        <v>1507</v>
      </c>
      <c r="Y10" s="41">
        <v>1875</v>
      </c>
      <c r="Z10" s="41">
        <v>829</v>
      </c>
      <c r="AA10" s="41">
        <v>449</v>
      </c>
      <c r="AB10" s="41">
        <v>380</v>
      </c>
      <c r="AC10" s="41">
        <v>177</v>
      </c>
      <c r="AD10" s="41">
        <v>102</v>
      </c>
      <c r="AE10" s="41">
        <v>75</v>
      </c>
      <c r="AF10" s="41">
        <v>2376</v>
      </c>
      <c r="AG10" s="41">
        <v>956</v>
      </c>
      <c r="AH10" s="41">
        <v>1420</v>
      </c>
      <c r="AI10" s="41">
        <v>447515</v>
      </c>
      <c r="AJ10" s="41">
        <v>197201</v>
      </c>
      <c r="AK10" s="41">
        <v>250314</v>
      </c>
      <c r="AL10" s="41">
        <v>129034</v>
      </c>
      <c r="AM10" s="41">
        <v>65820</v>
      </c>
      <c r="AN10" s="41">
        <v>63214</v>
      </c>
      <c r="AO10" s="41">
        <v>22032</v>
      </c>
      <c r="AP10" s="41">
        <v>11689</v>
      </c>
      <c r="AQ10" s="41">
        <v>10343</v>
      </c>
      <c r="AR10" s="41">
        <v>296449</v>
      </c>
      <c r="AS10" s="41">
        <v>119692</v>
      </c>
      <c r="AT10" s="41">
        <v>176757</v>
      </c>
      <c r="AU10" s="41">
        <v>855497</v>
      </c>
      <c r="AV10" s="41">
        <v>376453</v>
      </c>
      <c r="AW10" s="41">
        <v>479044</v>
      </c>
      <c r="AX10" s="41">
        <v>250247</v>
      </c>
      <c r="AY10" s="41">
        <v>126996.5</v>
      </c>
      <c r="AZ10" s="41">
        <v>123250.5</v>
      </c>
      <c r="BA10" s="41">
        <v>39097</v>
      </c>
      <c r="BB10" s="41">
        <v>21384</v>
      </c>
      <c r="BC10" s="41">
        <v>17713</v>
      </c>
      <c r="BD10" s="41">
        <v>566153</v>
      </c>
      <c r="BE10" s="41">
        <v>228072.5</v>
      </c>
      <c r="BF10" s="41">
        <v>338080.5</v>
      </c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</row>
    <row r="11" spans="1:89" s="18" customFormat="1" ht="21" customHeight="1">
      <c r="A11" s="47" t="s">
        <v>127</v>
      </c>
      <c r="B11" s="35" t="s">
        <v>49</v>
      </c>
      <c r="C11" s="41">
        <v>10</v>
      </c>
      <c r="D11" s="41">
        <v>758</v>
      </c>
      <c r="E11" s="41">
        <v>53</v>
      </c>
      <c r="F11" s="41">
        <v>705</v>
      </c>
      <c r="G11" s="41">
        <v>53</v>
      </c>
      <c r="H11" s="41">
        <v>705</v>
      </c>
      <c r="I11" s="41">
        <v>0</v>
      </c>
      <c r="J11" s="41">
        <v>0</v>
      </c>
      <c r="K11" s="41">
        <v>0</v>
      </c>
      <c r="L11" s="41">
        <v>0</v>
      </c>
      <c r="M11" s="41">
        <v>1</v>
      </c>
      <c r="N11" s="41">
        <v>31</v>
      </c>
      <c r="O11" s="41">
        <v>1</v>
      </c>
      <c r="P11" s="41">
        <v>31</v>
      </c>
      <c r="Q11" s="41">
        <v>0</v>
      </c>
      <c r="R11" s="41">
        <v>0</v>
      </c>
      <c r="S11" s="41">
        <v>0</v>
      </c>
      <c r="T11" s="41">
        <v>0</v>
      </c>
      <c r="U11" s="41">
        <v>104</v>
      </c>
      <c r="V11" s="41">
        <v>1301</v>
      </c>
      <c r="W11" s="41">
        <v>2947</v>
      </c>
      <c r="X11" s="41">
        <v>1417</v>
      </c>
      <c r="Y11" s="41">
        <v>1530</v>
      </c>
      <c r="Z11" s="41">
        <v>692</v>
      </c>
      <c r="AA11" s="41">
        <v>380</v>
      </c>
      <c r="AB11" s="41">
        <v>312</v>
      </c>
      <c r="AC11" s="41">
        <v>417</v>
      </c>
      <c r="AD11" s="41">
        <v>238</v>
      </c>
      <c r="AE11" s="41">
        <v>179</v>
      </c>
      <c r="AF11" s="41">
        <v>1838</v>
      </c>
      <c r="AG11" s="41">
        <v>799</v>
      </c>
      <c r="AH11" s="41">
        <v>1039</v>
      </c>
      <c r="AI11" s="41">
        <v>472767</v>
      </c>
      <c r="AJ11" s="41">
        <v>222613</v>
      </c>
      <c r="AK11" s="41">
        <v>250154</v>
      </c>
      <c r="AL11" s="41">
        <v>113432</v>
      </c>
      <c r="AM11" s="41">
        <v>51485</v>
      </c>
      <c r="AN11" s="41">
        <v>61947</v>
      </c>
      <c r="AO11" s="41">
        <v>71191</v>
      </c>
      <c r="AP11" s="41">
        <v>41180</v>
      </c>
      <c r="AQ11" s="41">
        <v>30011</v>
      </c>
      <c r="AR11" s="41">
        <v>288144</v>
      </c>
      <c r="AS11" s="41">
        <v>129948</v>
      </c>
      <c r="AT11" s="41">
        <v>158196</v>
      </c>
      <c r="AU11" s="41">
        <v>1039979.4</v>
      </c>
      <c r="AV11" s="41">
        <v>490081.5</v>
      </c>
      <c r="AW11" s="41">
        <v>549897.9</v>
      </c>
      <c r="AX11" s="41">
        <v>256307.5</v>
      </c>
      <c r="AY11" s="41">
        <v>114863</v>
      </c>
      <c r="AZ11" s="41">
        <v>141444.5</v>
      </c>
      <c r="BA11" s="41">
        <v>163445.5</v>
      </c>
      <c r="BB11" s="41">
        <v>94809</v>
      </c>
      <c r="BC11" s="41">
        <v>68636.5</v>
      </c>
      <c r="BD11" s="41">
        <v>620226.4</v>
      </c>
      <c r="BE11" s="41">
        <v>280409.5</v>
      </c>
      <c r="BF11" s="41">
        <v>339816.9</v>
      </c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</row>
    <row r="12" spans="1:89" s="18" customFormat="1" ht="21" customHeight="1">
      <c r="A12" s="47" t="s">
        <v>128</v>
      </c>
      <c r="B12" s="35" t="s">
        <v>26</v>
      </c>
      <c r="C12" s="41">
        <v>22</v>
      </c>
      <c r="D12" s="41">
        <v>959</v>
      </c>
      <c r="E12" s="41">
        <v>102</v>
      </c>
      <c r="F12" s="41">
        <v>857</v>
      </c>
      <c r="G12" s="41">
        <v>92</v>
      </c>
      <c r="H12" s="41">
        <v>741</v>
      </c>
      <c r="I12" s="41">
        <v>10</v>
      </c>
      <c r="J12" s="41">
        <v>116</v>
      </c>
      <c r="K12" s="41">
        <v>0</v>
      </c>
      <c r="L12" s="41">
        <v>0</v>
      </c>
      <c r="M12" s="41">
        <v>1</v>
      </c>
      <c r="N12" s="41">
        <v>30</v>
      </c>
      <c r="O12" s="41">
        <v>1</v>
      </c>
      <c r="P12" s="41">
        <v>30</v>
      </c>
      <c r="Q12" s="41">
        <v>0</v>
      </c>
      <c r="R12" s="41">
        <v>0</v>
      </c>
      <c r="S12" s="41">
        <v>0</v>
      </c>
      <c r="T12" s="41">
        <v>0</v>
      </c>
      <c r="U12" s="41">
        <v>60</v>
      </c>
      <c r="V12" s="41">
        <v>1593</v>
      </c>
      <c r="W12" s="41">
        <v>3903</v>
      </c>
      <c r="X12" s="41">
        <v>1569</v>
      </c>
      <c r="Y12" s="41">
        <v>2334</v>
      </c>
      <c r="Z12" s="41">
        <v>1312</v>
      </c>
      <c r="AA12" s="41">
        <v>608</v>
      </c>
      <c r="AB12" s="41">
        <v>704</v>
      </c>
      <c r="AC12" s="41">
        <v>326</v>
      </c>
      <c r="AD12" s="41">
        <v>158</v>
      </c>
      <c r="AE12" s="41">
        <v>168</v>
      </c>
      <c r="AF12" s="41">
        <v>2265</v>
      </c>
      <c r="AG12" s="41">
        <v>803</v>
      </c>
      <c r="AH12" s="41">
        <v>1462</v>
      </c>
      <c r="AI12" s="41">
        <v>589062</v>
      </c>
      <c r="AJ12" s="41">
        <v>242596</v>
      </c>
      <c r="AK12" s="41">
        <v>346466</v>
      </c>
      <c r="AL12" s="41">
        <v>214931</v>
      </c>
      <c r="AM12" s="41">
        <v>98577</v>
      </c>
      <c r="AN12" s="41">
        <v>116354</v>
      </c>
      <c r="AO12" s="41">
        <v>52142</v>
      </c>
      <c r="AP12" s="41">
        <v>25341</v>
      </c>
      <c r="AQ12" s="41">
        <v>26801</v>
      </c>
      <c r="AR12" s="41">
        <v>321989</v>
      </c>
      <c r="AS12" s="41">
        <v>118678</v>
      </c>
      <c r="AT12" s="41">
        <v>203311</v>
      </c>
      <c r="AU12" s="41">
        <v>1159350</v>
      </c>
      <c r="AV12" s="41">
        <v>493407.5</v>
      </c>
      <c r="AW12" s="41">
        <v>665942.5</v>
      </c>
      <c r="AX12" s="41">
        <v>429917</v>
      </c>
      <c r="AY12" s="41">
        <v>202345</v>
      </c>
      <c r="AZ12" s="41">
        <v>227572</v>
      </c>
      <c r="BA12" s="41">
        <v>108068.5</v>
      </c>
      <c r="BB12" s="41">
        <v>55258.5</v>
      </c>
      <c r="BC12" s="41">
        <v>52810</v>
      </c>
      <c r="BD12" s="41">
        <v>621364.5</v>
      </c>
      <c r="BE12" s="41">
        <v>235804</v>
      </c>
      <c r="BF12" s="41">
        <v>385560.5</v>
      </c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</row>
    <row r="13" spans="1:89" s="18" customFormat="1" ht="21" customHeight="1">
      <c r="A13" s="47" t="s">
        <v>129</v>
      </c>
      <c r="B13" s="35" t="s">
        <v>27</v>
      </c>
      <c r="C13" s="41">
        <v>27</v>
      </c>
      <c r="D13" s="41">
        <v>1028</v>
      </c>
      <c r="E13" s="41">
        <v>102</v>
      </c>
      <c r="F13" s="41">
        <v>926</v>
      </c>
      <c r="G13" s="41">
        <v>93</v>
      </c>
      <c r="H13" s="41">
        <v>875</v>
      </c>
      <c r="I13" s="41">
        <v>9</v>
      </c>
      <c r="J13" s="41">
        <v>51</v>
      </c>
      <c r="K13" s="41">
        <v>0</v>
      </c>
      <c r="L13" s="41">
        <v>0</v>
      </c>
      <c r="M13" s="41">
        <v>148</v>
      </c>
      <c r="N13" s="41">
        <v>737</v>
      </c>
      <c r="O13" s="41">
        <v>147</v>
      </c>
      <c r="P13" s="41">
        <v>697</v>
      </c>
      <c r="Q13" s="41">
        <v>1</v>
      </c>
      <c r="R13" s="41">
        <v>40</v>
      </c>
      <c r="S13" s="41">
        <v>0</v>
      </c>
      <c r="T13" s="41">
        <v>0</v>
      </c>
      <c r="U13" s="41">
        <v>154</v>
      </c>
      <c r="V13" s="41">
        <v>3364</v>
      </c>
      <c r="W13" s="41">
        <v>5557</v>
      </c>
      <c r="X13" s="41">
        <v>2117</v>
      </c>
      <c r="Y13" s="41">
        <v>3440</v>
      </c>
      <c r="Z13" s="41">
        <v>819</v>
      </c>
      <c r="AA13" s="41">
        <v>384</v>
      </c>
      <c r="AB13" s="41">
        <v>435</v>
      </c>
      <c r="AC13" s="41">
        <v>725</v>
      </c>
      <c r="AD13" s="41">
        <v>374</v>
      </c>
      <c r="AE13" s="41">
        <v>351</v>
      </c>
      <c r="AF13" s="41">
        <v>4013</v>
      </c>
      <c r="AG13" s="41">
        <v>1359</v>
      </c>
      <c r="AH13" s="41">
        <v>2654</v>
      </c>
      <c r="AI13" s="41">
        <v>1019739</v>
      </c>
      <c r="AJ13" s="41">
        <v>390398</v>
      </c>
      <c r="AK13" s="41">
        <v>629341</v>
      </c>
      <c r="AL13" s="41">
        <v>160978</v>
      </c>
      <c r="AM13" s="41">
        <v>74804</v>
      </c>
      <c r="AN13" s="41">
        <v>86174</v>
      </c>
      <c r="AO13" s="41">
        <v>137423</v>
      </c>
      <c r="AP13" s="41">
        <v>72113</v>
      </c>
      <c r="AQ13" s="41">
        <v>65310</v>
      </c>
      <c r="AR13" s="41">
        <v>721338</v>
      </c>
      <c r="AS13" s="41">
        <v>243481</v>
      </c>
      <c r="AT13" s="41">
        <v>477857</v>
      </c>
      <c r="AU13" s="41">
        <v>1359720</v>
      </c>
      <c r="AV13" s="41">
        <v>516713.5</v>
      </c>
      <c r="AW13" s="41">
        <v>843006.5</v>
      </c>
      <c r="AX13" s="41">
        <v>231442.5</v>
      </c>
      <c r="AY13" s="41">
        <v>102776</v>
      </c>
      <c r="AZ13" s="41">
        <v>128666.5</v>
      </c>
      <c r="BA13" s="41">
        <v>197762</v>
      </c>
      <c r="BB13" s="41">
        <v>102883</v>
      </c>
      <c r="BC13" s="41">
        <v>94879</v>
      </c>
      <c r="BD13" s="41">
        <v>930515.5</v>
      </c>
      <c r="BE13" s="41">
        <v>311054.5</v>
      </c>
      <c r="BF13" s="41">
        <v>619461</v>
      </c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</row>
    <row r="14" spans="1:89" s="18" customFormat="1" ht="21" customHeight="1">
      <c r="A14" s="48" t="s">
        <v>130</v>
      </c>
      <c r="B14" s="35" t="s">
        <v>28</v>
      </c>
      <c r="C14" s="41">
        <v>32</v>
      </c>
      <c r="D14" s="41">
        <v>1577</v>
      </c>
      <c r="E14" s="41">
        <v>107</v>
      </c>
      <c r="F14" s="41">
        <v>1470</v>
      </c>
      <c r="G14" s="41">
        <v>13</v>
      </c>
      <c r="H14" s="41">
        <v>179</v>
      </c>
      <c r="I14" s="41">
        <v>81</v>
      </c>
      <c r="J14" s="41">
        <v>1208</v>
      </c>
      <c r="K14" s="41">
        <v>13</v>
      </c>
      <c r="L14" s="41">
        <v>83</v>
      </c>
      <c r="M14" s="41">
        <v>3</v>
      </c>
      <c r="N14" s="41">
        <v>81</v>
      </c>
      <c r="O14" s="41">
        <v>1</v>
      </c>
      <c r="P14" s="41">
        <v>36</v>
      </c>
      <c r="Q14" s="41">
        <v>1</v>
      </c>
      <c r="R14" s="41">
        <v>33</v>
      </c>
      <c r="S14" s="41">
        <v>1</v>
      </c>
      <c r="T14" s="41">
        <v>12</v>
      </c>
      <c r="U14" s="41">
        <v>10</v>
      </c>
      <c r="V14" s="41">
        <v>935</v>
      </c>
      <c r="W14" s="41">
        <v>7505</v>
      </c>
      <c r="X14" s="41">
        <v>3073</v>
      </c>
      <c r="Y14" s="41">
        <v>4432</v>
      </c>
      <c r="Z14" s="41">
        <v>1845</v>
      </c>
      <c r="AA14" s="41">
        <v>865</v>
      </c>
      <c r="AB14" s="41">
        <v>980</v>
      </c>
      <c r="AC14" s="41">
        <v>886</v>
      </c>
      <c r="AD14" s="41">
        <v>441</v>
      </c>
      <c r="AE14" s="41">
        <v>445</v>
      </c>
      <c r="AF14" s="41">
        <v>4774</v>
      </c>
      <c r="AG14" s="41">
        <v>1767</v>
      </c>
      <c r="AH14" s="41">
        <v>3007</v>
      </c>
      <c r="AI14" s="41">
        <v>1677492</v>
      </c>
      <c r="AJ14" s="41">
        <v>685246</v>
      </c>
      <c r="AK14" s="41">
        <v>992246</v>
      </c>
      <c r="AL14" s="41">
        <v>445608</v>
      </c>
      <c r="AM14" s="41">
        <v>199497</v>
      </c>
      <c r="AN14" s="41">
        <v>246111</v>
      </c>
      <c r="AO14" s="41">
        <v>190222</v>
      </c>
      <c r="AP14" s="41">
        <v>98757</v>
      </c>
      <c r="AQ14" s="41">
        <v>91465</v>
      </c>
      <c r="AR14" s="41">
        <v>1041662</v>
      </c>
      <c r="AS14" s="41">
        <v>386992</v>
      </c>
      <c r="AT14" s="41">
        <v>654670</v>
      </c>
      <c r="AU14" s="41">
        <v>3196733.5</v>
      </c>
      <c r="AV14" s="41">
        <v>1858173</v>
      </c>
      <c r="AW14" s="41">
        <v>1338560.5</v>
      </c>
      <c r="AX14" s="41">
        <v>638145.5</v>
      </c>
      <c r="AY14" s="41">
        <v>289542</v>
      </c>
      <c r="AZ14" s="41">
        <v>348603.5</v>
      </c>
      <c r="BA14" s="41">
        <v>290799.5</v>
      </c>
      <c r="BB14" s="41">
        <v>154842.5</v>
      </c>
      <c r="BC14" s="41">
        <v>135957</v>
      </c>
      <c r="BD14" s="41">
        <v>2267788.5</v>
      </c>
      <c r="BE14" s="41">
        <v>1413788.5</v>
      </c>
      <c r="BF14" s="41">
        <v>854000</v>
      </c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</row>
    <row r="15" spans="1:89" ht="21" customHeight="1">
      <c r="A15" s="45" t="s">
        <v>131</v>
      </c>
      <c r="B15" s="19" t="s">
        <v>7</v>
      </c>
      <c r="C15" s="20">
        <v>7</v>
      </c>
      <c r="D15" s="20">
        <v>87</v>
      </c>
      <c r="E15" s="20">
        <v>11</v>
      </c>
      <c r="F15" s="20">
        <v>76</v>
      </c>
      <c r="G15" s="20">
        <v>8</v>
      </c>
      <c r="H15" s="20">
        <v>70</v>
      </c>
      <c r="I15" s="20">
        <v>3</v>
      </c>
      <c r="J15" s="20">
        <v>6</v>
      </c>
      <c r="K15" s="20">
        <v>0</v>
      </c>
      <c r="L15" s="20">
        <v>0</v>
      </c>
      <c r="M15" s="20">
        <v>31</v>
      </c>
      <c r="N15" s="20">
        <v>17</v>
      </c>
      <c r="O15" s="20">
        <v>5</v>
      </c>
      <c r="P15" s="20">
        <v>10</v>
      </c>
      <c r="Q15" s="20">
        <v>1</v>
      </c>
      <c r="R15" s="20">
        <v>1</v>
      </c>
      <c r="S15" s="20">
        <v>25</v>
      </c>
      <c r="T15" s="20">
        <v>6</v>
      </c>
      <c r="U15" s="20">
        <v>17</v>
      </c>
      <c r="V15" s="20">
        <v>59</v>
      </c>
      <c r="W15" s="20">
        <v>1072</v>
      </c>
      <c r="X15" s="20">
        <v>510</v>
      </c>
      <c r="Y15" s="20">
        <v>562</v>
      </c>
      <c r="Z15" s="20">
        <v>207</v>
      </c>
      <c r="AA15" s="20">
        <v>129</v>
      </c>
      <c r="AB15" s="20">
        <v>78</v>
      </c>
      <c r="AC15" s="20">
        <v>246</v>
      </c>
      <c r="AD15" s="20">
        <v>122</v>
      </c>
      <c r="AE15" s="20">
        <v>124</v>
      </c>
      <c r="AF15" s="20">
        <v>619</v>
      </c>
      <c r="AG15" s="20">
        <v>259</v>
      </c>
      <c r="AH15" s="20">
        <v>360</v>
      </c>
      <c r="AI15" s="20">
        <v>121794</v>
      </c>
      <c r="AJ15" s="20">
        <v>57620</v>
      </c>
      <c r="AK15" s="20">
        <v>64174</v>
      </c>
      <c r="AL15" s="20">
        <v>23526</v>
      </c>
      <c r="AM15" s="20">
        <v>14112</v>
      </c>
      <c r="AN15" s="20">
        <v>9414</v>
      </c>
      <c r="AO15" s="20">
        <v>26572</v>
      </c>
      <c r="AP15" s="20">
        <v>13227</v>
      </c>
      <c r="AQ15" s="20">
        <v>13345</v>
      </c>
      <c r="AR15" s="20">
        <v>71696</v>
      </c>
      <c r="AS15" s="20">
        <v>30281</v>
      </c>
      <c r="AT15" s="20">
        <v>41415</v>
      </c>
      <c r="AU15" s="20">
        <v>196721</v>
      </c>
      <c r="AV15" s="20">
        <v>93262.5</v>
      </c>
      <c r="AW15" s="20">
        <v>103458.5</v>
      </c>
      <c r="AX15" s="20">
        <v>38245</v>
      </c>
      <c r="AY15" s="20">
        <v>23149.5</v>
      </c>
      <c r="AZ15" s="20">
        <v>15095.5</v>
      </c>
      <c r="BA15" s="20">
        <v>43737.5</v>
      </c>
      <c r="BB15" s="20">
        <v>21593</v>
      </c>
      <c r="BC15" s="20">
        <v>22144.5</v>
      </c>
      <c r="BD15" s="20">
        <v>114738.5</v>
      </c>
      <c r="BE15" s="20">
        <v>48520</v>
      </c>
      <c r="BF15" s="20">
        <v>66218.5</v>
      </c>
    </row>
    <row r="16" spans="1:89" ht="21" customHeight="1">
      <c r="A16" s="45" t="s">
        <v>132</v>
      </c>
      <c r="B16" s="19" t="s">
        <v>9</v>
      </c>
      <c r="C16" s="20">
        <v>8</v>
      </c>
      <c r="D16" s="20">
        <v>118</v>
      </c>
      <c r="E16" s="20">
        <v>8</v>
      </c>
      <c r="F16" s="20">
        <v>110</v>
      </c>
      <c r="G16" s="20">
        <v>8</v>
      </c>
      <c r="H16" s="20">
        <v>99</v>
      </c>
      <c r="I16" s="20">
        <v>0</v>
      </c>
      <c r="J16" s="20">
        <v>11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7</v>
      </c>
      <c r="V16" s="20">
        <v>178</v>
      </c>
      <c r="W16" s="20">
        <v>735</v>
      </c>
      <c r="X16" s="20">
        <v>352</v>
      </c>
      <c r="Y16" s="20">
        <v>383</v>
      </c>
      <c r="Z16" s="20">
        <v>225</v>
      </c>
      <c r="AA16" s="20">
        <v>143</v>
      </c>
      <c r="AB16" s="20">
        <v>82</v>
      </c>
      <c r="AC16" s="20">
        <v>26</v>
      </c>
      <c r="AD16" s="20">
        <v>9</v>
      </c>
      <c r="AE16" s="20">
        <v>17</v>
      </c>
      <c r="AF16" s="20">
        <v>484</v>
      </c>
      <c r="AG16" s="20">
        <v>200</v>
      </c>
      <c r="AH16" s="20">
        <v>284</v>
      </c>
      <c r="AI16" s="20">
        <v>148497</v>
      </c>
      <c r="AJ16" s="20">
        <v>67757</v>
      </c>
      <c r="AK16" s="20">
        <v>80740</v>
      </c>
      <c r="AL16" s="20">
        <v>46518</v>
      </c>
      <c r="AM16" s="20">
        <v>28467</v>
      </c>
      <c r="AN16" s="20">
        <v>18051</v>
      </c>
      <c r="AO16" s="20">
        <v>3883</v>
      </c>
      <c r="AP16" s="20">
        <v>1195</v>
      </c>
      <c r="AQ16" s="20">
        <v>2688</v>
      </c>
      <c r="AR16" s="20">
        <v>98096</v>
      </c>
      <c r="AS16" s="20">
        <v>38095</v>
      </c>
      <c r="AT16" s="20">
        <v>60001</v>
      </c>
      <c r="AU16" s="20">
        <v>272391.59999999998</v>
      </c>
      <c r="AV16" s="20">
        <v>125722.3</v>
      </c>
      <c r="AW16" s="20">
        <v>146669.29999999999</v>
      </c>
      <c r="AX16" s="20">
        <v>92524</v>
      </c>
      <c r="AY16" s="20">
        <v>55096.5</v>
      </c>
      <c r="AZ16" s="20">
        <v>37427.5</v>
      </c>
      <c r="BA16" s="20">
        <v>7249.5</v>
      </c>
      <c r="BB16" s="20">
        <v>1971</v>
      </c>
      <c r="BC16" s="20">
        <v>5278.5</v>
      </c>
      <c r="BD16" s="20">
        <v>172618.1</v>
      </c>
      <c r="BE16" s="20">
        <v>68654.8</v>
      </c>
      <c r="BF16" s="20">
        <v>103963.3</v>
      </c>
    </row>
    <row r="17" spans="1:58" ht="21" customHeight="1">
      <c r="A17" s="45" t="s">
        <v>133</v>
      </c>
      <c r="B17" s="19" t="s">
        <v>10</v>
      </c>
      <c r="C17" s="20">
        <v>7</v>
      </c>
      <c r="D17" s="20">
        <v>256</v>
      </c>
      <c r="E17" s="20">
        <v>20</v>
      </c>
      <c r="F17" s="20">
        <v>236</v>
      </c>
      <c r="G17" s="20">
        <v>19</v>
      </c>
      <c r="H17" s="20">
        <v>152</v>
      </c>
      <c r="I17" s="20">
        <v>1</v>
      </c>
      <c r="J17" s="20">
        <v>84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24</v>
      </c>
      <c r="V17" s="20">
        <v>405</v>
      </c>
      <c r="W17" s="20">
        <v>1390</v>
      </c>
      <c r="X17" s="20">
        <v>594</v>
      </c>
      <c r="Y17" s="20">
        <v>796</v>
      </c>
      <c r="Z17" s="20">
        <v>234</v>
      </c>
      <c r="AA17" s="20">
        <v>136</v>
      </c>
      <c r="AB17" s="20">
        <v>98</v>
      </c>
      <c r="AC17" s="20">
        <v>206</v>
      </c>
      <c r="AD17" s="20">
        <v>106</v>
      </c>
      <c r="AE17" s="20">
        <v>100</v>
      </c>
      <c r="AF17" s="20">
        <v>950</v>
      </c>
      <c r="AG17" s="20">
        <v>352</v>
      </c>
      <c r="AH17" s="20">
        <v>598</v>
      </c>
      <c r="AI17" s="20">
        <v>260764</v>
      </c>
      <c r="AJ17" s="20">
        <v>106180</v>
      </c>
      <c r="AK17" s="20">
        <v>154584</v>
      </c>
      <c r="AL17" s="20">
        <v>49387</v>
      </c>
      <c r="AM17" s="20">
        <v>26582</v>
      </c>
      <c r="AN17" s="20">
        <v>22805</v>
      </c>
      <c r="AO17" s="20">
        <v>35293</v>
      </c>
      <c r="AP17" s="20">
        <v>18396</v>
      </c>
      <c r="AQ17" s="20">
        <v>16897</v>
      </c>
      <c r="AR17" s="20">
        <v>176084</v>
      </c>
      <c r="AS17" s="20">
        <v>61202</v>
      </c>
      <c r="AT17" s="20">
        <v>114882</v>
      </c>
      <c r="AU17" s="20">
        <v>330202.5</v>
      </c>
      <c r="AV17" s="20">
        <v>134406.5</v>
      </c>
      <c r="AW17" s="20">
        <v>195796</v>
      </c>
      <c r="AX17" s="20">
        <v>63742</v>
      </c>
      <c r="AY17" s="20">
        <v>33966.5</v>
      </c>
      <c r="AZ17" s="20">
        <v>29775.5</v>
      </c>
      <c r="BA17" s="20">
        <v>47942</v>
      </c>
      <c r="BB17" s="20">
        <v>25073</v>
      </c>
      <c r="BC17" s="20">
        <v>22869</v>
      </c>
      <c r="BD17" s="20">
        <v>218518.5</v>
      </c>
      <c r="BE17" s="20">
        <v>75367</v>
      </c>
      <c r="BF17" s="20">
        <v>143151.5</v>
      </c>
    </row>
    <row r="18" spans="1:58" ht="21" customHeight="1">
      <c r="A18" s="45" t="s">
        <v>134</v>
      </c>
      <c r="B18" s="19" t="s">
        <v>11</v>
      </c>
      <c r="C18" s="20">
        <v>10</v>
      </c>
      <c r="D18" s="20">
        <v>436</v>
      </c>
      <c r="E18" s="20">
        <v>44</v>
      </c>
      <c r="F18" s="20">
        <v>392</v>
      </c>
      <c r="G18" s="20">
        <v>43</v>
      </c>
      <c r="H18" s="20">
        <v>392</v>
      </c>
      <c r="I18" s="20">
        <v>1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4118</v>
      </c>
      <c r="X18" s="20">
        <v>1695</v>
      </c>
      <c r="Y18" s="20">
        <v>2423</v>
      </c>
      <c r="Z18" s="20">
        <v>696</v>
      </c>
      <c r="AA18" s="20">
        <v>366</v>
      </c>
      <c r="AB18" s="20">
        <v>330</v>
      </c>
      <c r="AC18" s="20">
        <v>756</v>
      </c>
      <c r="AD18" s="20">
        <v>355</v>
      </c>
      <c r="AE18" s="20">
        <v>401</v>
      </c>
      <c r="AF18" s="20">
        <v>2666</v>
      </c>
      <c r="AG18" s="20">
        <v>974</v>
      </c>
      <c r="AH18" s="20">
        <v>1692</v>
      </c>
      <c r="AI18" s="20">
        <v>408880</v>
      </c>
      <c r="AJ18" s="20">
        <v>156754</v>
      </c>
      <c r="AK18" s="20">
        <v>252126</v>
      </c>
      <c r="AL18" s="20">
        <v>70184</v>
      </c>
      <c r="AM18" s="20">
        <v>33357</v>
      </c>
      <c r="AN18" s="20">
        <v>36827</v>
      </c>
      <c r="AO18" s="20">
        <v>65590</v>
      </c>
      <c r="AP18" s="20">
        <v>31298</v>
      </c>
      <c r="AQ18" s="20">
        <v>34292</v>
      </c>
      <c r="AR18" s="20">
        <v>273106</v>
      </c>
      <c r="AS18" s="20">
        <v>92099</v>
      </c>
      <c r="AT18" s="20">
        <v>181007</v>
      </c>
      <c r="AU18" s="20">
        <v>791766.4</v>
      </c>
      <c r="AV18" s="20">
        <v>306492.09999999998</v>
      </c>
      <c r="AW18" s="20">
        <v>485274.3</v>
      </c>
      <c r="AX18" s="20">
        <v>137696.9</v>
      </c>
      <c r="AY18" s="20">
        <v>64033.3</v>
      </c>
      <c r="AZ18" s="20">
        <v>73663.600000000006</v>
      </c>
      <c r="BA18" s="20">
        <v>132160.6</v>
      </c>
      <c r="BB18" s="20">
        <v>63478.8</v>
      </c>
      <c r="BC18" s="20">
        <v>68681.8</v>
      </c>
      <c r="BD18" s="20">
        <v>521908.9</v>
      </c>
      <c r="BE18" s="20">
        <v>178980</v>
      </c>
      <c r="BF18" s="20">
        <v>342928.9</v>
      </c>
    </row>
    <row r="19" spans="1:58" ht="21" customHeight="1">
      <c r="A19" s="45" t="s">
        <v>135</v>
      </c>
      <c r="B19" s="19" t="s">
        <v>12</v>
      </c>
      <c r="C19" s="20">
        <v>18</v>
      </c>
      <c r="D19" s="20">
        <v>550</v>
      </c>
      <c r="E19" s="20">
        <v>31</v>
      </c>
      <c r="F19" s="20">
        <v>519</v>
      </c>
      <c r="G19" s="20">
        <v>31</v>
      </c>
      <c r="H19" s="20">
        <v>519</v>
      </c>
      <c r="I19" s="20">
        <v>0</v>
      </c>
      <c r="J19" s="20">
        <v>0</v>
      </c>
      <c r="K19" s="20">
        <v>0</v>
      </c>
      <c r="L19" s="20">
        <v>0</v>
      </c>
      <c r="M19" s="20">
        <v>1</v>
      </c>
      <c r="N19" s="20">
        <v>16</v>
      </c>
      <c r="O19" s="20">
        <v>1</v>
      </c>
      <c r="P19" s="20">
        <v>16</v>
      </c>
      <c r="Q19" s="20">
        <v>0</v>
      </c>
      <c r="R19" s="20">
        <v>0</v>
      </c>
      <c r="S19" s="20">
        <v>0</v>
      </c>
      <c r="T19" s="20">
        <v>0</v>
      </c>
      <c r="U19" s="20">
        <v>31</v>
      </c>
      <c r="V19" s="20">
        <v>1218</v>
      </c>
      <c r="W19" s="20">
        <v>4086</v>
      </c>
      <c r="X19" s="20">
        <v>1652</v>
      </c>
      <c r="Y19" s="20">
        <v>2434</v>
      </c>
      <c r="Z19" s="20">
        <v>699</v>
      </c>
      <c r="AA19" s="20">
        <v>350</v>
      </c>
      <c r="AB19" s="20">
        <v>349</v>
      </c>
      <c r="AC19" s="20">
        <v>396</v>
      </c>
      <c r="AD19" s="20">
        <v>186</v>
      </c>
      <c r="AE19" s="20">
        <v>210</v>
      </c>
      <c r="AF19" s="20">
        <v>2991</v>
      </c>
      <c r="AG19" s="20">
        <v>1116</v>
      </c>
      <c r="AH19" s="20">
        <v>1875</v>
      </c>
      <c r="AI19" s="20">
        <v>329158</v>
      </c>
      <c r="AJ19" s="20">
        <v>133595</v>
      </c>
      <c r="AK19" s="20">
        <v>195563</v>
      </c>
      <c r="AL19" s="20">
        <v>56913</v>
      </c>
      <c r="AM19" s="20">
        <v>31795</v>
      </c>
      <c r="AN19" s="20">
        <v>25118</v>
      </c>
      <c r="AO19" s="20">
        <v>68551</v>
      </c>
      <c r="AP19" s="20">
        <v>27723</v>
      </c>
      <c r="AQ19" s="20">
        <v>40828</v>
      </c>
      <c r="AR19" s="20">
        <v>203694</v>
      </c>
      <c r="AS19" s="20">
        <v>74077</v>
      </c>
      <c r="AT19" s="20">
        <v>129617</v>
      </c>
      <c r="AU19" s="20">
        <v>578775</v>
      </c>
      <c r="AV19" s="20">
        <v>227649</v>
      </c>
      <c r="AW19" s="20">
        <v>351126</v>
      </c>
      <c r="AX19" s="20">
        <v>69058</v>
      </c>
      <c r="AY19" s="20">
        <v>35590</v>
      </c>
      <c r="AZ19" s="20">
        <v>33468</v>
      </c>
      <c r="BA19" s="20">
        <v>97969</v>
      </c>
      <c r="BB19" s="20">
        <v>44839</v>
      </c>
      <c r="BC19" s="20">
        <v>53130</v>
      </c>
      <c r="BD19" s="20">
        <v>411748</v>
      </c>
      <c r="BE19" s="20">
        <v>147220</v>
      </c>
      <c r="BF19" s="20">
        <v>264528</v>
      </c>
    </row>
    <row r="20" spans="1:58" ht="21" customHeight="1">
      <c r="A20" s="45" t="s">
        <v>136</v>
      </c>
      <c r="B20" s="19" t="s">
        <v>13</v>
      </c>
      <c r="C20" s="20">
        <v>13</v>
      </c>
      <c r="D20" s="20">
        <v>366</v>
      </c>
      <c r="E20" s="20">
        <v>27</v>
      </c>
      <c r="F20" s="20">
        <v>339</v>
      </c>
      <c r="G20" s="20">
        <v>27</v>
      </c>
      <c r="H20" s="20">
        <v>331</v>
      </c>
      <c r="I20" s="20">
        <v>0</v>
      </c>
      <c r="J20" s="20">
        <v>8</v>
      </c>
      <c r="K20" s="20">
        <v>0</v>
      </c>
      <c r="L20" s="20">
        <v>0</v>
      </c>
      <c r="M20" s="20">
        <v>22</v>
      </c>
      <c r="N20" s="20">
        <v>24</v>
      </c>
      <c r="O20" s="20">
        <v>20</v>
      </c>
      <c r="P20" s="20">
        <v>20</v>
      </c>
      <c r="Q20" s="20">
        <v>2</v>
      </c>
      <c r="R20" s="20">
        <v>4</v>
      </c>
      <c r="S20" s="20">
        <v>0</v>
      </c>
      <c r="T20" s="20">
        <v>0</v>
      </c>
      <c r="U20" s="20">
        <v>16</v>
      </c>
      <c r="V20" s="20">
        <v>358</v>
      </c>
      <c r="W20" s="20">
        <v>3338</v>
      </c>
      <c r="X20" s="20">
        <v>1198</v>
      </c>
      <c r="Y20" s="20">
        <v>2140</v>
      </c>
      <c r="Z20" s="20">
        <v>574</v>
      </c>
      <c r="AA20" s="20">
        <v>295</v>
      </c>
      <c r="AB20" s="20">
        <v>279</v>
      </c>
      <c r="AC20" s="20">
        <v>272</v>
      </c>
      <c r="AD20" s="20">
        <v>128</v>
      </c>
      <c r="AE20" s="20">
        <v>144</v>
      </c>
      <c r="AF20" s="20">
        <v>2492</v>
      </c>
      <c r="AG20" s="20">
        <v>775</v>
      </c>
      <c r="AH20" s="20">
        <v>1717</v>
      </c>
      <c r="AI20" s="20">
        <v>391111</v>
      </c>
      <c r="AJ20" s="20">
        <v>141906</v>
      </c>
      <c r="AK20" s="20">
        <v>249205</v>
      </c>
      <c r="AL20" s="20">
        <v>79269</v>
      </c>
      <c r="AM20" s="20">
        <v>39585</v>
      </c>
      <c r="AN20" s="20">
        <v>39684</v>
      </c>
      <c r="AO20" s="20">
        <v>36281</v>
      </c>
      <c r="AP20" s="20">
        <v>14509</v>
      </c>
      <c r="AQ20" s="20">
        <v>21772</v>
      </c>
      <c r="AR20" s="20">
        <v>275561</v>
      </c>
      <c r="AS20" s="20">
        <v>87812</v>
      </c>
      <c r="AT20" s="20">
        <v>187749</v>
      </c>
      <c r="AU20" s="20">
        <v>487063.1</v>
      </c>
      <c r="AV20" s="20">
        <v>174588.79999999999</v>
      </c>
      <c r="AW20" s="20">
        <v>312474.3</v>
      </c>
      <c r="AX20" s="20">
        <v>102525.6</v>
      </c>
      <c r="AY20" s="20">
        <v>51117.3</v>
      </c>
      <c r="AZ20" s="20">
        <v>51408.3</v>
      </c>
      <c r="BA20" s="20">
        <v>46776</v>
      </c>
      <c r="BB20" s="20">
        <v>19338.5</v>
      </c>
      <c r="BC20" s="20">
        <v>27437.5</v>
      </c>
      <c r="BD20" s="20">
        <v>337761.5</v>
      </c>
      <c r="BE20" s="20">
        <v>104133</v>
      </c>
      <c r="BF20" s="20">
        <v>233628.5</v>
      </c>
    </row>
    <row r="21" spans="1:58" ht="21" customHeight="1">
      <c r="A21" s="45" t="s">
        <v>137</v>
      </c>
      <c r="B21" s="19" t="s">
        <v>14</v>
      </c>
      <c r="C21" s="20">
        <v>6</v>
      </c>
      <c r="D21" s="20">
        <v>336</v>
      </c>
      <c r="E21" s="20">
        <v>28</v>
      </c>
      <c r="F21" s="20">
        <v>308</v>
      </c>
      <c r="G21" s="20">
        <v>28</v>
      </c>
      <c r="H21" s="20">
        <v>300</v>
      </c>
      <c r="I21" s="20">
        <v>0</v>
      </c>
      <c r="J21" s="20">
        <v>8</v>
      </c>
      <c r="K21" s="20">
        <v>0</v>
      </c>
      <c r="L21" s="20">
        <v>0</v>
      </c>
      <c r="M21" s="20">
        <v>4</v>
      </c>
      <c r="N21" s="20">
        <v>100</v>
      </c>
      <c r="O21" s="20">
        <v>2</v>
      </c>
      <c r="P21" s="20">
        <v>60</v>
      </c>
      <c r="Q21" s="20">
        <v>1</v>
      </c>
      <c r="R21" s="20">
        <v>20</v>
      </c>
      <c r="S21" s="20">
        <v>1</v>
      </c>
      <c r="T21" s="20">
        <v>20</v>
      </c>
      <c r="U21" s="20">
        <v>16</v>
      </c>
      <c r="V21" s="20">
        <v>344</v>
      </c>
      <c r="W21" s="20">
        <v>2250</v>
      </c>
      <c r="X21" s="20">
        <v>788</v>
      </c>
      <c r="Y21" s="20">
        <v>1462</v>
      </c>
      <c r="Z21" s="20">
        <v>548</v>
      </c>
      <c r="AA21" s="20">
        <v>270</v>
      </c>
      <c r="AB21" s="20">
        <v>278</v>
      </c>
      <c r="AC21" s="20">
        <v>137</v>
      </c>
      <c r="AD21" s="20">
        <v>64</v>
      </c>
      <c r="AE21" s="20">
        <v>73</v>
      </c>
      <c r="AF21" s="20">
        <v>1565</v>
      </c>
      <c r="AG21" s="20">
        <v>454</v>
      </c>
      <c r="AH21" s="20">
        <v>1111</v>
      </c>
      <c r="AI21" s="20">
        <v>362875</v>
      </c>
      <c r="AJ21" s="20">
        <v>73275</v>
      </c>
      <c r="AK21" s="20">
        <v>289600</v>
      </c>
      <c r="AL21" s="20">
        <v>74861</v>
      </c>
      <c r="AM21" s="20">
        <v>31444</v>
      </c>
      <c r="AN21" s="20">
        <v>43417</v>
      </c>
      <c r="AO21" s="20">
        <v>26496</v>
      </c>
      <c r="AP21" s="20">
        <v>5984</v>
      </c>
      <c r="AQ21" s="20">
        <v>20512</v>
      </c>
      <c r="AR21" s="20">
        <v>261518</v>
      </c>
      <c r="AS21" s="20">
        <v>35847</v>
      </c>
      <c r="AT21" s="20">
        <v>225671</v>
      </c>
      <c r="AU21" s="20">
        <v>451170.5</v>
      </c>
      <c r="AV21" s="20">
        <v>88159.9</v>
      </c>
      <c r="AW21" s="20">
        <v>363010.6</v>
      </c>
      <c r="AX21" s="20">
        <v>111588</v>
      </c>
      <c r="AY21" s="20">
        <v>39478.5</v>
      </c>
      <c r="AZ21" s="20">
        <v>72109.5</v>
      </c>
      <c r="BA21" s="20">
        <v>31625.5</v>
      </c>
      <c r="BB21" s="20">
        <v>8424.5</v>
      </c>
      <c r="BC21" s="20">
        <v>23201</v>
      </c>
      <c r="BD21" s="20">
        <v>307957</v>
      </c>
      <c r="BE21" s="20">
        <v>40256.9</v>
      </c>
      <c r="BF21" s="20">
        <v>267700.09999999998</v>
      </c>
    </row>
    <row r="22" spans="1:58" ht="21" customHeight="1">
      <c r="A22" s="45" t="s">
        <v>138</v>
      </c>
      <c r="B22" s="19" t="s">
        <v>15</v>
      </c>
      <c r="C22" s="20">
        <v>16</v>
      </c>
      <c r="D22" s="20">
        <v>890</v>
      </c>
      <c r="E22" s="20">
        <v>55</v>
      </c>
      <c r="F22" s="20">
        <v>835</v>
      </c>
      <c r="G22" s="20">
        <v>51</v>
      </c>
      <c r="H22" s="20">
        <v>787</v>
      </c>
      <c r="I22" s="20">
        <v>4</v>
      </c>
      <c r="J22" s="20">
        <v>48</v>
      </c>
      <c r="K22" s="20">
        <v>0</v>
      </c>
      <c r="L22" s="20">
        <v>0</v>
      </c>
      <c r="M22" s="20">
        <v>33</v>
      </c>
      <c r="N22" s="20">
        <v>70</v>
      </c>
      <c r="O22" s="20">
        <v>11</v>
      </c>
      <c r="P22" s="20">
        <v>5</v>
      </c>
      <c r="Q22" s="20">
        <v>20</v>
      </c>
      <c r="R22" s="20">
        <v>62</v>
      </c>
      <c r="S22" s="20">
        <v>2</v>
      </c>
      <c r="T22" s="20">
        <v>3</v>
      </c>
      <c r="U22" s="20">
        <v>118</v>
      </c>
      <c r="V22" s="20">
        <v>2084</v>
      </c>
      <c r="W22" s="20">
        <v>6048</v>
      </c>
      <c r="X22" s="20">
        <v>2697</v>
      </c>
      <c r="Y22" s="20">
        <v>3351</v>
      </c>
      <c r="Z22" s="20">
        <v>1435</v>
      </c>
      <c r="AA22" s="20">
        <v>745</v>
      </c>
      <c r="AB22" s="20">
        <v>690</v>
      </c>
      <c r="AC22" s="20">
        <v>1344</v>
      </c>
      <c r="AD22" s="20">
        <v>617</v>
      </c>
      <c r="AE22" s="20">
        <v>727</v>
      </c>
      <c r="AF22" s="20">
        <v>3269</v>
      </c>
      <c r="AG22" s="20">
        <v>1335</v>
      </c>
      <c r="AH22" s="20">
        <v>1934</v>
      </c>
      <c r="AI22" s="20">
        <v>800194</v>
      </c>
      <c r="AJ22" s="20">
        <v>333890</v>
      </c>
      <c r="AK22" s="20">
        <v>466304</v>
      </c>
      <c r="AL22" s="20">
        <v>186174</v>
      </c>
      <c r="AM22" s="20">
        <v>100391</v>
      </c>
      <c r="AN22" s="20">
        <v>85783</v>
      </c>
      <c r="AO22" s="20">
        <v>123948</v>
      </c>
      <c r="AP22" s="20">
        <v>55542</v>
      </c>
      <c r="AQ22" s="20">
        <v>68406</v>
      </c>
      <c r="AR22" s="20">
        <v>490072</v>
      </c>
      <c r="AS22" s="20">
        <v>177957</v>
      </c>
      <c r="AT22" s="20">
        <v>312115</v>
      </c>
      <c r="AU22" s="20">
        <v>1127659.5</v>
      </c>
      <c r="AV22" s="20">
        <v>475990.5</v>
      </c>
      <c r="AW22" s="20">
        <v>651669</v>
      </c>
      <c r="AX22" s="20">
        <v>268480</v>
      </c>
      <c r="AY22" s="20">
        <v>148001.5</v>
      </c>
      <c r="AZ22" s="20">
        <v>120478.5</v>
      </c>
      <c r="BA22" s="20">
        <v>187714.5</v>
      </c>
      <c r="BB22" s="20">
        <v>83627</v>
      </c>
      <c r="BC22" s="20">
        <v>104087.5</v>
      </c>
      <c r="BD22" s="20">
        <v>671465</v>
      </c>
      <c r="BE22" s="20">
        <v>244362</v>
      </c>
      <c r="BF22" s="20">
        <v>427103</v>
      </c>
    </row>
    <row r="23" spans="1:58" ht="21" customHeight="1">
      <c r="A23" s="45" t="s">
        <v>139</v>
      </c>
      <c r="B23" s="19" t="s">
        <v>16</v>
      </c>
      <c r="C23" s="20">
        <v>6</v>
      </c>
      <c r="D23" s="20">
        <v>202</v>
      </c>
      <c r="E23" s="20">
        <v>12</v>
      </c>
      <c r="F23" s="20">
        <v>190</v>
      </c>
      <c r="G23" s="20">
        <v>8</v>
      </c>
      <c r="H23" s="20">
        <v>92</v>
      </c>
      <c r="I23" s="20">
        <v>4</v>
      </c>
      <c r="J23" s="20">
        <v>98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14</v>
      </c>
      <c r="V23" s="20">
        <v>242</v>
      </c>
      <c r="W23" s="20">
        <v>1108</v>
      </c>
      <c r="X23" s="20">
        <v>511</v>
      </c>
      <c r="Y23" s="20">
        <v>597</v>
      </c>
      <c r="Z23" s="20">
        <v>330</v>
      </c>
      <c r="AA23" s="20">
        <v>227</v>
      </c>
      <c r="AB23" s="20">
        <v>103</v>
      </c>
      <c r="AC23" s="20">
        <v>68</v>
      </c>
      <c r="AD23" s="20">
        <v>32</v>
      </c>
      <c r="AE23" s="20">
        <v>36</v>
      </c>
      <c r="AF23" s="20">
        <v>710</v>
      </c>
      <c r="AG23" s="20">
        <v>252</v>
      </c>
      <c r="AH23" s="20">
        <v>458</v>
      </c>
      <c r="AI23" s="20">
        <v>140628</v>
      </c>
      <c r="AJ23" s="20">
        <v>67936</v>
      </c>
      <c r="AK23" s="20">
        <v>72692</v>
      </c>
      <c r="AL23" s="20">
        <v>51086</v>
      </c>
      <c r="AM23" s="20">
        <v>35060</v>
      </c>
      <c r="AN23" s="20">
        <v>16026</v>
      </c>
      <c r="AO23" s="20">
        <v>8078</v>
      </c>
      <c r="AP23" s="20">
        <v>4004</v>
      </c>
      <c r="AQ23" s="20">
        <v>4074</v>
      </c>
      <c r="AR23" s="20">
        <v>81464</v>
      </c>
      <c r="AS23" s="20">
        <v>28872</v>
      </c>
      <c r="AT23" s="20">
        <v>52592</v>
      </c>
      <c r="AU23" s="20">
        <v>207144</v>
      </c>
      <c r="AV23" s="20">
        <v>100874</v>
      </c>
      <c r="AW23" s="20">
        <v>106270</v>
      </c>
      <c r="AX23" s="20">
        <v>80181</v>
      </c>
      <c r="AY23" s="20">
        <v>54111</v>
      </c>
      <c r="AZ23" s="20">
        <v>26070</v>
      </c>
      <c r="BA23" s="20">
        <v>13444</v>
      </c>
      <c r="BB23" s="20">
        <v>6034</v>
      </c>
      <c r="BC23" s="20">
        <v>7410</v>
      </c>
      <c r="BD23" s="20">
        <v>113519</v>
      </c>
      <c r="BE23" s="20">
        <v>40729</v>
      </c>
      <c r="BF23" s="20">
        <v>72790</v>
      </c>
    </row>
    <row r="24" spans="1:58" ht="21" customHeight="1">
      <c r="A24" s="45" t="s">
        <v>140</v>
      </c>
      <c r="B24" s="19" t="s">
        <v>17</v>
      </c>
      <c r="C24" s="20">
        <v>2</v>
      </c>
      <c r="D24" s="20">
        <v>164</v>
      </c>
      <c r="E24" s="20">
        <v>11</v>
      </c>
      <c r="F24" s="20">
        <v>153</v>
      </c>
      <c r="G24" s="20">
        <v>11</v>
      </c>
      <c r="H24" s="20">
        <v>153</v>
      </c>
      <c r="I24" s="20">
        <v>0</v>
      </c>
      <c r="J24" s="20">
        <v>0</v>
      </c>
      <c r="K24" s="20">
        <v>0</v>
      </c>
      <c r="L24" s="20">
        <v>0</v>
      </c>
      <c r="M24" s="20">
        <v>4</v>
      </c>
      <c r="N24" s="20">
        <v>31</v>
      </c>
      <c r="O24" s="20">
        <v>2</v>
      </c>
      <c r="P24" s="20">
        <v>31</v>
      </c>
      <c r="Q24" s="20">
        <v>2</v>
      </c>
      <c r="R24" s="20">
        <v>0</v>
      </c>
      <c r="S24" s="20">
        <v>0</v>
      </c>
      <c r="T24" s="20">
        <v>0</v>
      </c>
      <c r="U24" s="20">
        <v>21</v>
      </c>
      <c r="V24" s="20">
        <v>254</v>
      </c>
      <c r="W24" s="20">
        <v>1145</v>
      </c>
      <c r="X24" s="20">
        <v>530</v>
      </c>
      <c r="Y24" s="20">
        <v>615</v>
      </c>
      <c r="Z24" s="20">
        <v>301</v>
      </c>
      <c r="AA24" s="20">
        <v>198</v>
      </c>
      <c r="AB24" s="20">
        <v>103</v>
      </c>
      <c r="AC24" s="20">
        <v>199</v>
      </c>
      <c r="AD24" s="20">
        <v>105</v>
      </c>
      <c r="AE24" s="20">
        <v>94</v>
      </c>
      <c r="AF24" s="20">
        <v>645</v>
      </c>
      <c r="AG24" s="20">
        <v>227</v>
      </c>
      <c r="AH24" s="20">
        <v>418</v>
      </c>
      <c r="AI24" s="20">
        <v>155739</v>
      </c>
      <c r="AJ24" s="20">
        <v>71881</v>
      </c>
      <c r="AK24" s="20">
        <v>83858</v>
      </c>
      <c r="AL24" s="20">
        <v>43710</v>
      </c>
      <c r="AM24" s="20">
        <v>28086</v>
      </c>
      <c r="AN24" s="20">
        <v>15624</v>
      </c>
      <c r="AO24" s="20">
        <v>28468</v>
      </c>
      <c r="AP24" s="20">
        <v>14789</v>
      </c>
      <c r="AQ24" s="20">
        <v>13679</v>
      </c>
      <c r="AR24" s="20">
        <v>83561</v>
      </c>
      <c r="AS24" s="20">
        <v>29006</v>
      </c>
      <c r="AT24" s="20">
        <v>54555</v>
      </c>
      <c r="AU24" s="20">
        <v>218522</v>
      </c>
      <c r="AV24" s="20">
        <v>102005</v>
      </c>
      <c r="AW24" s="20">
        <v>116517</v>
      </c>
      <c r="AX24" s="20">
        <v>65680</v>
      </c>
      <c r="AY24" s="20">
        <v>41999</v>
      </c>
      <c r="AZ24" s="20">
        <v>23681</v>
      </c>
      <c r="BA24" s="20">
        <v>39995</v>
      </c>
      <c r="BB24" s="20">
        <v>20952</v>
      </c>
      <c r="BC24" s="20">
        <v>19043</v>
      </c>
      <c r="BD24" s="20">
        <v>112847</v>
      </c>
      <c r="BE24" s="20">
        <v>39054</v>
      </c>
      <c r="BF24" s="20">
        <v>73793</v>
      </c>
    </row>
    <row r="25" spans="1:58" ht="21" customHeight="1">
      <c r="A25" s="45" t="s">
        <v>141</v>
      </c>
      <c r="B25" s="19" t="s">
        <v>18</v>
      </c>
      <c r="C25" s="20">
        <v>2</v>
      </c>
      <c r="D25" s="20">
        <v>83</v>
      </c>
      <c r="E25" s="20">
        <v>8</v>
      </c>
      <c r="F25" s="20">
        <v>75</v>
      </c>
      <c r="G25" s="20">
        <v>0</v>
      </c>
      <c r="H25" s="20">
        <v>0</v>
      </c>
      <c r="I25" s="20">
        <v>8</v>
      </c>
      <c r="J25" s="20">
        <v>75</v>
      </c>
      <c r="K25" s="20">
        <v>0</v>
      </c>
      <c r="L25" s="20">
        <v>0</v>
      </c>
      <c r="M25" s="20">
        <v>2</v>
      </c>
      <c r="N25" s="20">
        <v>9</v>
      </c>
      <c r="O25" s="20">
        <v>1</v>
      </c>
      <c r="P25" s="20">
        <v>4</v>
      </c>
      <c r="Q25" s="20">
        <v>0</v>
      </c>
      <c r="R25" s="20">
        <v>0</v>
      </c>
      <c r="S25" s="20">
        <v>1</v>
      </c>
      <c r="T25" s="20">
        <v>5</v>
      </c>
      <c r="U25" s="20">
        <v>4</v>
      </c>
      <c r="V25" s="20">
        <v>167</v>
      </c>
      <c r="W25" s="20">
        <v>477</v>
      </c>
      <c r="X25" s="20">
        <v>195</v>
      </c>
      <c r="Y25" s="20">
        <v>282</v>
      </c>
      <c r="Z25" s="20">
        <v>146</v>
      </c>
      <c r="AA25" s="20">
        <v>86</v>
      </c>
      <c r="AB25" s="20">
        <v>60</v>
      </c>
      <c r="AC25" s="20">
        <v>41</v>
      </c>
      <c r="AD25" s="20">
        <v>21</v>
      </c>
      <c r="AE25" s="20">
        <v>20</v>
      </c>
      <c r="AF25" s="20">
        <v>290</v>
      </c>
      <c r="AG25" s="20">
        <v>88</v>
      </c>
      <c r="AH25" s="20">
        <v>202</v>
      </c>
      <c r="AI25" s="20">
        <v>71323</v>
      </c>
      <c r="AJ25" s="20">
        <v>29725</v>
      </c>
      <c r="AK25" s="20">
        <v>41598</v>
      </c>
      <c r="AL25" s="20">
        <v>26399</v>
      </c>
      <c r="AM25" s="20">
        <v>14137</v>
      </c>
      <c r="AN25" s="20">
        <v>12262</v>
      </c>
      <c r="AO25" s="20">
        <v>8569</v>
      </c>
      <c r="AP25" s="20">
        <v>3833</v>
      </c>
      <c r="AQ25" s="20">
        <v>4736</v>
      </c>
      <c r="AR25" s="20">
        <v>36355</v>
      </c>
      <c r="AS25" s="20">
        <v>11755</v>
      </c>
      <c r="AT25" s="20">
        <v>24600</v>
      </c>
      <c r="AU25" s="20">
        <v>85204.5</v>
      </c>
      <c r="AV25" s="20">
        <v>36874</v>
      </c>
      <c r="AW25" s="20">
        <v>48330.5</v>
      </c>
      <c r="AX25" s="20">
        <v>30462</v>
      </c>
      <c r="AY25" s="20">
        <v>17635</v>
      </c>
      <c r="AZ25" s="20">
        <v>12827</v>
      </c>
      <c r="BA25" s="20">
        <v>11414</v>
      </c>
      <c r="BB25" s="20">
        <v>5843</v>
      </c>
      <c r="BC25" s="20">
        <v>5571</v>
      </c>
      <c r="BD25" s="20">
        <v>43328.5</v>
      </c>
      <c r="BE25" s="20">
        <v>13396</v>
      </c>
      <c r="BF25" s="20">
        <v>29932.5</v>
      </c>
    </row>
    <row r="26" spans="1:58" ht="21" customHeight="1">
      <c r="A26" s="45" t="s">
        <v>142</v>
      </c>
      <c r="B26" s="19" t="s">
        <v>19</v>
      </c>
      <c r="C26" s="20">
        <v>4</v>
      </c>
      <c r="D26" s="20">
        <v>108</v>
      </c>
      <c r="E26" s="20">
        <v>7</v>
      </c>
      <c r="F26" s="20">
        <v>101</v>
      </c>
      <c r="G26" s="20">
        <v>7</v>
      </c>
      <c r="H26" s="20">
        <v>90</v>
      </c>
      <c r="I26" s="20">
        <v>0</v>
      </c>
      <c r="J26" s="20">
        <v>11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9</v>
      </c>
      <c r="V26" s="20">
        <v>81</v>
      </c>
      <c r="W26" s="20">
        <v>1111</v>
      </c>
      <c r="X26" s="20">
        <v>497</v>
      </c>
      <c r="Y26" s="20">
        <v>614</v>
      </c>
      <c r="Z26" s="20">
        <v>269</v>
      </c>
      <c r="AA26" s="20">
        <v>145</v>
      </c>
      <c r="AB26" s="20">
        <v>124</v>
      </c>
      <c r="AC26" s="20">
        <v>195</v>
      </c>
      <c r="AD26" s="20">
        <v>92</v>
      </c>
      <c r="AE26" s="20">
        <v>103</v>
      </c>
      <c r="AF26" s="20">
        <v>647</v>
      </c>
      <c r="AG26" s="20">
        <v>260</v>
      </c>
      <c r="AH26" s="20">
        <v>387</v>
      </c>
      <c r="AI26" s="20">
        <v>76903</v>
      </c>
      <c r="AJ26" s="20">
        <v>31814</v>
      </c>
      <c r="AK26" s="20">
        <v>45089</v>
      </c>
      <c r="AL26" s="20">
        <v>19792</v>
      </c>
      <c r="AM26" s="20">
        <v>10532</v>
      </c>
      <c r="AN26" s="20">
        <v>9260</v>
      </c>
      <c r="AO26" s="20">
        <v>17474</v>
      </c>
      <c r="AP26" s="20">
        <v>7495</v>
      </c>
      <c r="AQ26" s="20">
        <v>9979</v>
      </c>
      <c r="AR26" s="20">
        <v>39637</v>
      </c>
      <c r="AS26" s="20">
        <v>13787</v>
      </c>
      <c r="AT26" s="20">
        <v>25850</v>
      </c>
      <c r="AU26" s="20">
        <v>129880</v>
      </c>
      <c r="AV26" s="20">
        <v>55133.5</v>
      </c>
      <c r="AW26" s="20">
        <v>74746.5</v>
      </c>
      <c r="AX26" s="20">
        <v>32620.5</v>
      </c>
      <c r="AY26" s="20">
        <v>18745</v>
      </c>
      <c r="AZ26" s="20">
        <v>13875.5</v>
      </c>
      <c r="BA26" s="20">
        <v>31462</v>
      </c>
      <c r="BB26" s="20">
        <v>13577</v>
      </c>
      <c r="BC26" s="20">
        <v>17885</v>
      </c>
      <c r="BD26" s="20">
        <v>65797.5</v>
      </c>
      <c r="BE26" s="20">
        <v>22811.5</v>
      </c>
      <c r="BF26" s="20">
        <v>42986</v>
      </c>
    </row>
    <row r="27" spans="1:58" ht="21" customHeight="1">
      <c r="A27" s="45" t="s">
        <v>143</v>
      </c>
      <c r="B27" s="19" t="s">
        <v>20</v>
      </c>
      <c r="C27" s="20">
        <v>5</v>
      </c>
      <c r="D27" s="20">
        <v>89</v>
      </c>
      <c r="E27" s="20">
        <v>19</v>
      </c>
      <c r="F27" s="20">
        <v>70</v>
      </c>
      <c r="G27" s="20">
        <v>16</v>
      </c>
      <c r="H27" s="20">
        <v>59</v>
      </c>
      <c r="I27" s="20">
        <v>3</v>
      </c>
      <c r="J27" s="20">
        <v>11</v>
      </c>
      <c r="K27" s="20">
        <v>0</v>
      </c>
      <c r="L27" s="20">
        <v>0</v>
      </c>
      <c r="M27" s="20">
        <v>1</v>
      </c>
      <c r="N27" s="20">
        <v>1</v>
      </c>
      <c r="O27" s="20">
        <v>1</v>
      </c>
      <c r="P27" s="20">
        <v>1</v>
      </c>
      <c r="Q27" s="20">
        <v>0</v>
      </c>
      <c r="R27" s="20">
        <v>0</v>
      </c>
      <c r="S27" s="20">
        <v>0</v>
      </c>
      <c r="T27" s="20">
        <v>0</v>
      </c>
      <c r="U27" s="20">
        <v>20</v>
      </c>
      <c r="V27" s="20">
        <v>95</v>
      </c>
      <c r="W27" s="20">
        <v>325</v>
      </c>
      <c r="X27" s="20">
        <v>158</v>
      </c>
      <c r="Y27" s="20">
        <v>167</v>
      </c>
      <c r="Z27" s="20">
        <v>76</v>
      </c>
      <c r="AA27" s="20">
        <v>46</v>
      </c>
      <c r="AB27" s="20">
        <v>30</v>
      </c>
      <c r="AC27" s="20">
        <v>62</v>
      </c>
      <c r="AD27" s="20">
        <v>34</v>
      </c>
      <c r="AE27" s="20">
        <v>28</v>
      </c>
      <c r="AF27" s="20">
        <v>187</v>
      </c>
      <c r="AG27" s="20">
        <v>78</v>
      </c>
      <c r="AH27" s="20">
        <v>109</v>
      </c>
      <c r="AI27" s="20">
        <v>56657</v>
      </c>
      <c r="AJ27" s="20">
        <v>26850</v>
      </c>
      <c r="AK27" s="20">
        <v>29807</v>
      </c>
      <c r="AL27" s="20">
        <v>15641</v>
      </c>
      <c r="AM27" s="20">
        <v>8176</v>
      </c>
      <c r="AN27" s="20">
        <v>7465</v>
      </c>
      <c r="AO27" s="20">
        <v>9359</v>
      </c>
      <c r="AP27" s="20">
        <v>5655</v>
      </c>
      <c r="AQ27" s="20">
        <v>3704</v>
      </c>
      <c r="AR27" s="20">
        <v>31657</v>
      </c>
      <c r="AS27" s="20">
        <v>13019</v>
      </c>
      <c r="AT27" s="20">
        <v>18638</v>
      </c>
      <c r="AU27" s="20">
        <v>90504</v>
      </c>
      <c r="AV27" s="20">
        <v>43473.5</v>
      </c>
      <c r="AW27" s="20">
        <v>47030.5</v>
      </c>
      <c r="AX27" s="20">
        <v>26703.5</v>
      </c>
      <c r="AY27" s="20">
        <v>14240.5</v>
      </c>
      <c r="AZ27" s="20">
        <v>12463</v>
      </c>
      <c r="BA27" s="20">
        <v>15184</v>
      </c>
      <c r="BB27" s="20">
        <v>9315.5</v>
      </c>
      <c r="BC27" s="20">
        <v>5868.5</v>
      </c>
      <c r="BD27" s="20">
        <v>48616.5</v>
      </c>
      <c r="BE27" s="20">
        <v>19917.5</v>
      </c>
      <c r="BF27" s="20">
        <v>28699</v>
      </c>
    </row>
    <row r="28" spans="1:58" ht="21" customHeight="1">
      <c r="A28" s="45" t="s">
        <v>144</v>
      </c>
      <c r="B28" s="19" t="s">
        <v>21</v>
      </c>
      <c r="C28" s="20">
        <v>4</v>
      </c>
      <c r="D28" s="20">
        <v>102</v>
      </c>
      <c r="E28" s="20">
        <v>6</v>
      </c>
      <c r="F28" s="20">
        <v>96</v>
      </c>
      <c r="G28" s="20">
        <v>5</v>
      </c>
      <c r="H28" s="20">
        <v>83</v>
      </c>
      <c r="I28" s="20">
        <v>1</v>
      </c>
      <c r="J28" s="20">
        <v>13</v>
      </c>
      <c r="K28" s="20">
        <v>0</v>
      </c>
      <c r="L28" s="20">
        <v>0</v>
      </c>
      <c r="M28" s="20">
        <v>1</v>
      </c>
      <c r="N28" s="20">
        <v>1</v>
      </c>
      <c r="O28" s="20">
        <v>1</v>
      </c>
      <c r="P28" s="20">
        <v>1</v>
      </c>
      <c r="Q28" s="20">
        <v>0</v>
      </c>
      <c r="R28" s="20">
        <v>0</v>
      </c>
      <c r="S28" s="20">
        <v>0</v>
      </c>
      <c r="T28" s="20">
        <v>0</v>
      </c>
      <c r="U28" s="20">
        <v>1</v>
      </c>
      <c r="V28" s="20">
        <v>1</v>
      </c>
      <c r="W28" s="20">
        <v>590</v>
      </c>
      <c r="X28" s="20">
        <v>243</v>
      </c>
      <c r="Y28" s="20">
        <v>347</v>
      </c>
      <c r="Z28" s="20">
        <v>106</v>
      </c>
      <c r="AA28" s="20">
        <v>50</v>
      </c>
      <c r="AB28" s="20">
        <v>56</v>
      </c>
      <c r="AC28" s="20">
        <v>79</v>
      </c>
      <c r="AD28" s="20">
        <v>36</v>
      </c>
      <c r="AE28" s="20">
        <v>43</v>
      </c>
      <c r="AF28" s="20">
        <v>405</v>
      </c>
      <c r="AG28" s="20">
        <v>157</v>
      </c>
      <c r="AH28" s="20">
        <v>248</v>
      </c>
      <c r="AI28" s="20">
        <v>97591</v>
      </c>
      <c r="AJ28" s="20">
        <v>38273</v>
      </c>
      <c r="AK28" s="20">
        <v>59318</v>
      </c>
      <c r="AL28" s="20">
        <v>27734</v>
      </c>
      <c r="AM28" s="20">
        <v>11692</v>
      </c>
      <c r="AN28" s="20">
        <v>16042</v>
      </c>
      <c r="AO28" s="20">
        <v>9206</v>
      </c>
      <c r="AP28" s="20">
        <v>4743</v>
      </c>
      <c r="AQ28" s="20">
        <v>4463</v>
      </c>
      <c r="AR28" s="20">
        <v>60651</v>
      </c>
      <c r="AS28" s="20">
        <v>21838</v>
      </c>
      <c r="AT28" s="20">
        <v>38813</v>
      </c>
      <c r="AU28" s="20">
        <v>126492.5</v>
      </c>
      <c r="AV28" s="20">
        <v>50032</v>
      </c>
      <c r="AW28" s="20">
        <v>76460.5</v>
      </c>
      <c r="AX28" s="20">
        <v>38239</v>
      </c>
      <c r="AY28" s="20">
        <v>16482.5</v>
      </c>
      <c r="AZ28" s="20">
        <v>21756.5</v>
      </c>
      <c r="BA28" s="20">
        <v>12322.5</v>
      </c>
      <c r="BB28" s="20">
        <v>6239.5</v>
      </c>
      <c r="BC28" s="20">
        <v>6083</v>
      </c>
      <c r="BD28" s="20">
        <v>75931</v>
      </c>
      <c r="BE28" s="20">
        <v>27310</v>
      </c>
      <c r="BF28" s="20">
        <v>48621</v>
      </c>
    </row>
    <row r="29" spans="1:58" ht="16.5" customHeight="1">
      <c r="A29" s="45" t="s">
        <v>145</v>
      </c>
      <c r="B29" s="19" t="s">
        <v>22</v>
      </c>
      <c r="C29" s="20">
        <v>1</v>
      </c>
      <c r="D29" s="20">
        <v>35</v>
      </c>
      <c r="E29" s="20">
        <v>1</v>
      </c>
      <c r="F29" s="20">
        <v>34</v>
      </c>
      <c r="G29" s="20">
        <v>1</v>
      </c>
      <c r="H29" s="20">
        <v>34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1</v>
      </c>
      <c r="V29" s="20">
        <v>43</v>
      </c>
      <c r="W29" s="20">
        <v>24</v>
      </c>
      <c r="X29" s="20">
        <v>12</v>
      </c>
      <c r="Y29" s="20">
        <v>12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24</v>
      </c>
      <c r="AG29" s="20">
        <v>12</v>
      </c>
      <c r="AH29" s="20">
        <v>12</v>
      </c>
      <c r="AI29" s="20">
        <v>18160</v>
      </c>
      <c r="AJ29" s="20">
        <v>6886</v>
      </c>
      <c r="AK29" s="20">
        <v>11274</v>
      </c>
      <c r="AL29" s="20">
        <v>1292</v>
      </c>
      <c r="AM29" s="20">
        <v>791</v>
      </c>
      <c r="AN29" s="20">
        <v>501</v>
      </c>
      <c r="AO29" s="20">
        <v>46</v>
      </c>
      <c r="AP29" s="20">
        <v>38</v>
      </c>
      <c r="AQ29" s="20">
        <v>8</v>
      </c>
      <c r="AR29" s="20">
        <v>16822</v>
      </c>
      <c r="AS29" s="20">
        <v>6057</v>
      </c>
      <c r="AT29" s="20">
        <v>10765</v>
      </c>
      <c r="AU29" s="20">
        <v>31576</v>
      </c>
      <c r="AV29" s="20">
        <v>12586.5</v>
      </c>
      <c r="AW29" s="20">
        <v>18989.5</v>
      </c>
      <c r="AX29" s="20">
        <v>2898</v>
      </c>
      <c r="AY29" s="20">
        <v>1693</v>
      </c>
      <c r="AZ29" s="20">
        <v>1205</v>
      </c>
      <c r="BA29" s="20">
        <v>79.5</v>
      </c>
      <c r="BB29" s="20">
        <v>65.5</v>
      </c>
      <c r="BC29" s="20">
        <v>14</v>
      </c>
      <c r="BD29" s="20">
        <v>28598.5</v>
      </c>
      <c r="BE29" s="20">
        <v>10828</v>
      </c>
      <c r="BF29" s="20">
        <v>17770.5</v>
      </c>
    </row>
    <row r="30" spans="1:58" ht="21" customHeight="1">
      <c r="A30" s="46" t="s">
        <v>146</v>
      </c>
      <c r="B30" s="21" t="s">
        <v>23</v>
      </c>
      <c r="C30" s="22">
        <v>1</v>
      </c>
      <c r="D30" s="22">
        <v>14</v>
      </c>
      <c r="E30" s="22">
        <v>0</v>
      </c>
      <c r="F30" s="22">
        <v>14</v>
      </c>
      <c r="G30" s="22">
        <v>0</v>
      </c>
      <c r="H30" s="22">
        <v>14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1</v>
      </c>
      <c r="V30" s="22">
        <v>26</v>
      </c>
      <c r="W30" s="22">
        <v>13</v>
      </c>
      <c r="X30" s="22">
        <v>8</v>
      </c>
      <c r="Y30" s="22">
        <v>5</v>
      </c>
      <c r="Z30" s="22">
        <v>3</v>
      </c>
      <c r="AA30" s="22">
        <v>2</v>
      </c>
      <c r="AB30" s="22">
        <v>1</v>
      </c>
      <c r="AC30" s="22">
        <v>0</v>
      </c>
      <c r="AD30" s="22">
        <v>0</v>
      </c>
      <c r="AE30" s="22">
        <v>0</v>
      </c>
      <c r="AF30" s="22">
        <v>10</v>
      </c>
      <c r="AG30" s="22">
        <v>6</v>
      </c>
      <c r="AH30" s="22">
        <v>4</v>
      </c>
      <c r="AI30" s="22">
        <v>1200</v>
      </c>
      <c r="AJ30" s="22">
        <v>756</v>
      </c>
      <c r="AK30" s="22">
        <v>444</v>
      </c>
      <c r="AL30" s="22">
        <v>367</v>
      </c>
      <c r="AM30" s="22">
        <v>216</v>
      </c>
      <c r="AN30" s="22">
        <v>151</v>
      </c>
      <c r="AO30" s="22">
        <v>0</v>
      </c>
      <c r="AP30" s="22">
        <v>0</v>
      </c>
      <c r="AQ30" s="22">
        <v>0</v>
      </c>
      <c r="AR30" s="22">
        <v>833</v>
      </c>
      <c r="AS30" s="22">
        <v>540</v>
      </c>
      <c r="AT30" s="22">
        <v>293</v>
      </c>
      <c r="AU30" s="22">
        <v>2915.6</v>
      </c>
      <c r="AV30" s="22">
        <v>2050</v>
      </c>
      <c r="AW30" s="22">
        <v>865.6</v>
      </c>
      <c r="AX30" s="22">
        <v>877</v>
      </c>
      <c r="AY30" s="22">
        <v>586</v>
      </c>
      <c r="AZ30" s="22">
        <v>291</v>
      </c>
      <c r="BA30" s="22">
        <v>0</v>
      </c>
      <c r="BB30" s="22">
        <v>0</v>
      </c>
      <c r="BC30" s="22">
        <v>0</v>
      </c>
      <c r="BD30" s="22">
        <v>2038.6</v>
      </c>
      <c r="BE30" s="22">
        <v>1464</v>
      </c>
      <c r="BF30" s="22">
        <v>574.6</v>
      </c>
    </row>
    <row r="31" spans="1:58" ht="21" customHeight="1">
      <c r="A31" s="14" t="s">
        <v>77</v>
      </c>
      <c r="B31" s="24"/>
    </row>
    <row r="32" spans="1:58" ht="21" customHeight="1">
      <c r="A32" s="15" t="s">
        <v>2</v>
      </c>
      <c r="B32" s="15"/>
    </row>
    <row r="34" spans="1:1">
      <c r="A34" s="31" t="s">
        <v>124</v>
      </c>
    </row>
  </sheetData>
  <mergeCells count="72">
    <mergeCell ref="W3:BF3"/>
    <mergeCell ref="M4:T4"/>
    <mergeCell ref="U4:V4"/>
    <mergeCell ref="W4:AH4"/>
    <mergeCell ref="AI4:AT4"/>
    <mergeCell ref="AU4:BF4"/>
    <mergeCell ref="A3:B7"/>
    <mergeCell ref="C3:C7"/>
    <mergeCell ref="M3:V3"/>
    <mergeCell ref="G5:H5"/>
    <mergeCell ref="I6:I7"/>
    <mergeCell ref="J6:J7"/>
    <mergeCell ref="I5:J5"/>
    <mergeCell ref="K5:L5"/>
    <mergeCell ref="K6:K7"/>
    <mergeCell ref="L6:L7"/>
    <mergeCell ref="BD5:BF5"/>
    <mergeCell ref="D6:D7"/>
    <mergeCell ref="E6:E7"/>
    <mergeCell ref="F6:F7"/>
    <mergeCell ref="G6:G7"/>
    <mergeCell ref="H6:H7"/>
    <mergeCell ref="Z5:AB5"/>
    <mergeCell ref="AC5:AE5"/>
    <mergeCell ref="AF5:AH5"/>
    <mergeCell ref="AL5:AN5"/>
    <mergeCell ref="M5:N5"/>
    <mergeCell ref="O5:P5"/>
    <mergeCell ref="Q5:R5"/>
    <mergeCell ref="S5:T5"/>
    <mergeCell ref="U5:U7"/>
    <mergeCell ref="V5:V7"/>
    <mergeCell ref="AO5:AQ5"/>
    <mergeCell ref="AR5:AT5"/>
    <mergeCell ref="AX5:AZ5"/>
    <mergeCell ref="BA5:BC5"/>
    <mergeCell ref="Y6:Y7"/>
    <mergeCell ref="Z6:Z7"/>
    <mergeCell ref="AA6:AA7"/>
    <mergeCell ref="AB6:AB7"/>
    <mergeCell ref="AC6:AC7"/>
    <mergeCell ref="AD6:AD7"/>
    <mergeCell ref="AL6:AL7"/>
    <mergeCell ref="AG6:AG7"/>
    <mergeCell ref="AH6:AH7"/>
    <mergeCell ref="AE6:AE7"/>
    <mergeCell ref="AF6:AF7"/>
    <mergeCell ref="AX6:AX7"/>
    <mergeCell ref="W6:W7"/>
    <mergeCell ref="X6:X7"/>
    <mergeCell ref="AI6:AI7"/>
    <mergeCell ref="AJ6:AJ7"/>
    <mergeCell ref="AK6:AK7"/>
    <mergeCell ref="AM6:AM7"/>
    <mergeCell ref="AN6:AN7"/>
    <mergeCell ref="AO6:AO7"/>
    <mergeCell ref="AP6:AP7"/>
    <mergeCell ref="AQ6:AQ7"/>
    <mergeCell ref="AR6:AR7"/>
    <mergeCell ref="AS6:AS7"/>
    <mergeCell ref="AT6:AT7"/>
    <mergeCell ref="AU6:AU7"/>
    <mergeCell ref="AV6:AV7"/>
    <mergeCell ref="AW6:AW7"/>
    <mergeCell ref="BE6:BE7"/>
    <mergeCell ref="BF6:BF7"/>
    <mergeCell ref="AY6:AY7"/>
    <mergeCell ref="AZ6:AZ7"/>
    <mergeCell ref="BA6:BA7"/>
    <mergeCell ref="BB6:BB7"/>
    <mergeCell ref="BC6:BC7"/>
    <mergeCell ref="BD6:BD7"/>
  </mergeCells>
  <phoneticPr fontId="6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  <pageSetUpPr fitToPage="1"/>
  </sheetPr>
  <dimension ref="A1:CK34"/>
  <sheetViews>
    <sheetView zoomScaleNormal="100" zoomScaleSheetLayoutView="75" workbookViewId="0">
      <pane xSplit="2" ySplit="7" topLeftCell="C17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0" style="3" customWidth="1"/>
    <col min="2" max="2" width="20" style="3" customWidth="1"/>
    <col min="3" max="12" width="10.83203125" style="3" customWidth="1"/>
    <col min="13" max="58" width="14.1640625" style="3" customWidth="1"/>
    <col min="59" max="16384" width="12" style="3"/>
  </cols>
  <sheetData>
    <row r="1" spans="1:89" ht="21">
      <c r="A1" s="1" t="s">
        <v>50</v>
      </c>
      <c r="B1" s="25"/>
    </row>
    <row r="2" spans="1:89" ht="25.5" customHeight="1">
      <c r="A2" s="26" t="s">
        <v>122</v>
      </c>
      <c r="B2" s="27"/>
      <c r="G2" s="16"/>
      <c r="H2" s="16"/>
    </row>
    <row r="3" spans="1:89" ht="14.25">
      <c r="A3" s="329" t="s">
        <v>78</v>
      </c>
      <c r="B3" s="301"/>
      <c r="C3" s="314" t="s">
        <v>51</v>
      </c>
      <c r="D3" s="17" t="s">
        <v>79</v>
      </c>
      <c r="E3" s="17"/>
      <c r="F3" s="17"/>
      <c r="G3" s="17"/>
      <c r="H3" s="17"/>
      <c r="I3" s="17"/>
      <c r="J3" s="17"/>
      <c r="K3" s="17"/>
      <c r="L3" s="17"/>
      <c r="M3" s="332" t="s">
        <v>52</v>
      </c>
      <c r="N3" s="304"/>
      <c r="O3" s="304"/>
      <c r="P3" s="304"/>
      <c r="Q3" s="304"/>
      <c r="R3" s="304"/>
      <c r="S3" s="304"/>
      <c r="T3" s="304"/>
      <c r="U3" s="304"/>
      <c r="V3" s="340"/>
      <c r="W3" s="344" t="s">
        <v>53</v>
      </c>
      <c r="X3" s="344"/>
      <c r="Y3" s="344"/>
      <c r="Z3" s="344"/>
      <c r="AA3" s="344"/>
      <c r="AB3" s="344"/>
      <c r="AC3" s="344"/>
      <c r="AD3" s="344"/>
      <c r="AE3" s="344"/>
      <c r="AF3" s="344"/>
      <c r="AG3" s="344"/>
      <c r="AH3" s="344"/>
      <c r="AI3" s="344"/>
      <c r="AJ3" s="344"/>
      <c r="AK3" s="344"/>
      <c r="AL3" s="344"/>
      <c r="AM3" s="344"/>
      <c r="AN3" s="344"/>
      <c r="AO3" s="344"/>
      <c r="AP3" s="344"/>
      <c r="AQ3" s="344"/>
      <c r="AR3" s="344"/>
      <c r="AS3" s="344"/>
      <c r="AT3" s="344"/>
      <c r="AU3" s="344"/>
      <c r="AV3" s="344"/>
      <c r="AW3" s="344"/>
      <c r="AX3" s="344"/>
      <c r="AY3" s="344"/>
      <c r="AZ3" s="344"/>
      <c r="BA3" s="344"/>
      <c r="BB3" s="344"/>
      <c r="BC3" s="344"/>
      <c r="BD3" s="344"/>
      <c r="BE3" s="344"/>
      <c r="BF3" s="332"/>
    </row>
    <row r="4" spans="1:89" s="4" customFormat="1" ht="14.25">
      <c r="A4" s="364"/>
      <c r="B4" s="302"/>
      <c r="C4" s="402"/>
      <c r="D4" s="17" t="s">
        <v>80</v>
      </c>
      <c r="E4" s="17"/>
      <c r="F4" s="17"/>
      <c r="G4" s="17"/>
      <c r="H4" s="17"/>
      <c r="I4" s="17"/>
      <c r="J4" s="17"/>
      <c r="K4" s="17"/>
      <c r="L4" s="17"/>
      <c r="M4" s="332" t="s">
        <v>54</v>
      </c>
      <c r="N4" s="304"/>
      <c r="O4" s="304"/>
      <c r="P4" s="304"/>
      <c r="Q4" s="304"/>
      <c r="R4" s="304"/>
      <c r="S4" s="304"/>
      <c r="T4" s="340"/>
      <c r="U4" s="324" t="s">
        <v>55</v>
      </c>
      <c r="V4" s="315"/>
      <c r="W4" s="344" t="s">
        <v>81</v>
      </c>
      <c r="X4" s="344"/>
      <c r="Y4" s="344"/>
      <c r="Z4" s="344"/>
      <c r="AA4" s="344"/>
      <c r="AB4" s="344"/>
      <c r="AC4" s="344"/>
      <c r="AD4" s="344"/>
      <c r="AE4" s="344"/>
      <c r="AF4" s="344"/>
      <c r="AG4" s="344"/>
      <c r="AH4" s="344"/>
      <c r="AI4" s="344" t="s">
        <v>57</v>
      </c>
      <c r="AJ4" s="344"/>
      <c r="AK4" s="344"/>
      <c r="AL4" s="344"/>
      <c r="AM4" s="344"/>
      <c r="AN4" s="344"/>
      <c r="AO4" s="344"/>
      <c r="AP4" s="344"/>
      <c r="AQ4" s="344"/>
      <c r="AR4" s="344"/>
      <c r="AS4" s="344"/>
      <c r="AT4" s="344"/>
      <c r="AU4" s="344" t="s">
        <v>58</v>
      </c>
      <c r="AV4" s="344"/>
      <c r="AW4" s="344"/>
      <c r="AX4" s="344"/>
      <c r="AY4" s="344"/>
      <c r="AZ4" s="344"/>
      <c r="BA4" s="344"/>
      <c r="BB4" s="344"/>
      <c r="BC4" s="344"/>
      <c r="BD4" s="344"/>
      <c r="BE4" s="344"/>
      <c r="BF4" s="332"/>
    </row>
    <row r="5" spans="1:89" s="9" customFormat="1" ht="27">
      <c r="A5" s="364"/>
      <c r="B5" s="302"/>
      <c r="C5" s="402"/>
      <c r="D5" s="5" t="s">
        <v>59</v>
      </c>
      <c r="E5" s="6"/>
      <c r="F5" s="7"/>
      <c r="G5" s="311" t="s">
        <v>60</v>
      </c>
      <c r="H5" s="340"/>
      <c r="I5" s="311" t="s">
        <v>61</v>
      </c>
      <c r="J5" s="340"/>
      <c r="K5" s="311" t="s">
        <v>62</v>
      </c>
      <c r="L5" s="340"/>
      <c r="M5" s="311" t="s">
        <v>63</v>
      </c>
      <c r="N5" s="340"/>
      <c r="O5" s="311" t="s">
        <v>64</v>
      </c>
      <c r="P5" s="313"/>
      <c r="Q5" s="311" t="s">
        <v>65</v>
      </c>
      <c r="R5" s="313"/>
      <c r="S5" s="311" t="s">
        <v>66</v>
      </c>
      <c r="T5" s="313"/>
      <c r="U5" s="322" t="s">
        <v>67</v>
      </c>
      <c r="V5" s="322" t="s">
        <v>68</v>
      </c>
      <c r="W5" s="5" t="s">
        <v>59</v>
      </c>
      <c r="X5" s="6"/>
      <c r="Y5" s="7"/>
      <c r="Z5" s="339" t="s">
        <v>69</v>
      </c>
      <c r="AA5" s="339"/>
      <c r="AB5" s="339"/>
      <c r="AC5" s="339" t="s">
        <v>70</v>
      </c>
      <c r="AD5" s="339"/>
      <c r="AE5" s="339"/>
      <c r="AF5" s="339" t="s">
        <v>71</v>
      </c>
      <c r="AG5" s="339"/>
      <c r="AH5" s="339"/>
      <c r="AI5" s="5" t="s">
        <v>59</v>
      </c>
      <c r="AJ5" s="6"/>
      <c r="AK5" s="7"/>
      <c r="AL5" s="339" t="s">
        <v>69</v>
      </c>
      <c r="AM5" s="339"/>
      <c r="AN5" s="339"/>
      <c r="AO5" s="339" t="s">
        <v>70</v>
      </c>
      <c r="AP5" s="339"/>
      <c r="AQ5" s="339"/>
      <c r="AR5" s="339" t="s">
        <v>71</v>
      </c>
      <c r="AS5" s="339"/>
      <c r="AT5" s="339"/>
      <c r="AU5" s="5" t="s">
        <v>59</v>
      </c>
      <c r="AV5" s="8"/>
      <c r="AW5" s="7"/>
      <c r="AX5" s="339" t="s">
        <v>69</v>
      </c>
      <c r="AY5" s="339"/>
      <c r="AZ5" s="339"/>
      <c r="BA5" s="339" t="s">
        <v>70</v>
      </c>
      <c r="BB5" s="339"/>
      <c r="BC5" s="339"/>
      <c r="BD5" s="339" t="s">
        <v>71</v>
      </c>
      <c r="BE5" s="339"/>
      <c r="BF5" s="311"/>
    </row>
    <row r="6" spans="1:89" ht="14.25">
      <c r="A6" s="364"/>
      <c r="B6" s="302"/>
      <c r="C6" s="402"/>
      <c r="D6" s="322" t="s">
        <v>72</v>
      </c>
      <c r="E6" s="322" t="s">
        <v>73</v>
      </c>
      <c r="F6" s="322" t="s">
        <v>74</v>
      </c>
      <c r="G6" s="322" t="s">
        <v>73</v>
      </c>
      <c r="H6" s="322" t="s">
        <v>74</v>
      </c>
      <c r="I6" s="322" t="s">
        <v>73</v>
      </c>
      <c r="J6" s="322" t="s">
        <v>74</v>
      </c>
      <c r="K6" s="322" t="s">
        <v>73</v>
      </c>
      <c r="L6" s="322" t="s">
        <v>74</v>
      </c>
      <c r="M6" s="10" t="s">
        <v>75</v>
      </c>
      <c r="N6" s="10" t="s">
        <v>76</v>
      </c>
      <c r="O6" s="10" t="s">
        <v>75</v>
      </c>
      <c r="P6" s="10" t="s">
        <v>76</v>
      </c>
      <c r="Q6" s="10" t="s">
        <v>75</v>
      </c>
      <c r="R6" s="10" t="s">
        <v>76</v>
      </c>
      <c r="S6" s="10" t="s">
        <v>75</v>
      </c>
      <c r="T6" s="10" t="s">
        <v>76</v>
      </c>
      <c r="U6" s="338"/>
      <c r="V6" s="338"/>
      <c r="W6" s="322" t="s">
        <v>72</v>
      </c>
      <c r="X6" s="322" t="s">
        <v>73</v>
      </c>
      <c r="Y6" s="322" t="s">
        <v>74</v>
      </c>
      <c r="Z6" s="322" t="s">
        <v>72</v>
      </c>
      <c r="AA6" s="322" t="s">
        <v>73</v>
      </c>
      <c r="AB6" s="322" t="s">
        <v>74</v>
      </c>
      <c r="AC6" s="322" t="s">
        <v>72</v>
      </c>
      <c r="AD6" s="322" t="s">
        <v>73</v>
      </c>
      <c r="AE6" s="322" t="s">
        <v>74</v>
      </c>
      <c r="AF6" s="322" t="s">
        <v>72</v>
      </c>
      <c r="AG6" s="322" t="s">
        <v>73</v>
      </c>
      <c r="AH6" s="322" t="s">
        <v>74</v>
      </c>
      <c r="AI6" s="322" t="s">
        <v>72</v>
      </c>
      <c r="AJ6" s="322" t="s">
        <v>73</v>
      </c>
      <c r="AK6" s="322" t="s">
        <v>74</v>
      </c>
      <c r="AL6" s="322" t="s">
        <v>72</v>
      </c>
      <c r="AM6" s="322" t="s">
        <v>73</v>
      </c>
      <c r="AN6" s="322" t="s">
        <v>74</v>
      </c>
      <c r="AO6" s="322" t="s">
        <v>72</v>
      </c>
      <c r="AP6" s="322" t="s">
        <v>73</v>
      </c>
      <c r="AQ6" s="322" t="s">
        <v>74</v>
      </c>
      <c r="AR6" s="322" t="s">
        <v>72</v>
      </c>
      <c r="AS6" s="322" t="s">
        <v>73</v>
      </c>
      <c r="AT6" s="322" t="s">
        <v>74</v>
      </c>
      <c r="AU6" s="322" t="s">
        <v>72</v>
      </c>
      <c r="AV6" s="322" t="s">
        <v>73</v>
      </c>
      <c r="AW6" s="322" t="s">
        <v>74</v>
      </c>
      <c r="AX6" s="322" t="s">
        <v>72</v>
      </c>
      <c r="AY6" s="322" t="s">
        <v>73</v>
      </c>
      <c r="AZ6" s="322" t="s">
        <v>74</v>
      </c>
      <c r="BA6" s="322" t="s">
        <v>72</v>
      </c>
      <c r="BB6" s="322" t="s">
        <v>73</v>
      </c>
      <c r="BC6" s="322" t="s">
        <v>74</v>
      </c>
      <c r="BD6" s="322" t="s">
        <v>72</v>
      </c>
      <c r="BE6" s="322" t="s">
        <v>73</v>
      </c>
      <c r="BF6" s="314" t="s">
        <v>74</v>
      </c>
    </row>
    <row r="7" spans="1:89">
      <c r="A7" s="331"/>
      <c r="B7" s="303"/>
      <c r="C7" s="403"/>
      <c r="D7" s="323"/>
      <c r="E7" s="323"/>
      <c r="F7" s="323"/>
      <c r="G7" s="323"/>
      <c r="H7" s="323"/>
      <c r="I7" s="323"/>
      <c r="J7" s="323"/>
      <c r="K7" s="323"/>
      <c r="L7" s="323"/>
      <c r="M7" s="11" t="s">
        <v>0</v>
      </c>
      <c r="N7" s="11" t="s">
        <v>1</v>
      </c>
      <c r="O7" s="11" t="s">
        <v>0</v>
      </c>
      <c r="P7" s="11" t="s">
        <v>1</v>
      </c>
      <c r="Q7" s="11" t="s">
        <v>0</v>
      </c>
      <c r="R7" s="11" t="s">
        <v>1</v>
      </c>
      <c r="S7" s="11" t="s">
        <v>0</v>
      </c>
      <c r="T7" s="11" t="s">
        <v>1</v>
      </c>
      <c r="U7" s="323"/>
      <c r="V7" s="323"/>
      <c r="W7" s="323"/>
      <c r="X7" s="323"/>
      <c r="Y7" s="323"/>
      <c r="Z7" s="323"/>
      <c r="AA7" s="323"/>
      <c r="AB7" s="323"/>
      <c r="AC7" s="323"/>
      <c r="AD7" s="323"/>
      <c r="AE7" s="323"/>
      <c r="AF7" s="323"/>
      <c r="AG7" s="323"/>
      <c r="AH7" s="323"/>
      <c r="AI7" s="323"/>
      <c r="AJ7" s="323"/>
      <c r="AK7" s="323"/>
      <c r="AL7" s="323"/>
      <c r="AM7" s="323"/>
      <c r="AN7" s="323"/>
      <c r="AO7" s="323"/>
      <c r="AP7" s="323"/>
      <c r="AQ7" s="323"/>
      <c r="AR7" s="323"/>
      <c r="AS7" s="323"/>
      <c r="AT7" s="323"/>
      <c r="AU7" s="323"/>
      <c r="AV7" s="323"/>
      <c r="AW7" s="323"/>
      <c r="AX7" s="323"/>
      <c r="AY7" s="323"/>
      <c r="AZ7" s="323"/>
      <c r="BA7" s="323"/>
      <c r="BB7" s="323"/>
      <c r="BC7" s="323"/>
      <c r="BD7" s="323"/>
      <c r="BE7" s="323"/>
      <c r="BF7" s="326"/>
    </row>
    <row r="8" spans="1:89" s="13" customFormat="1" ht="17.100000000000001" customHeight="1">
      <c r="A8" s="32" t="s">
        <v>121</v>
      </c>
      <c r="B8" s="28" t="s">
        <v>39</v>
      </c>
      <c r="C8" s="41">
        <v>186</v>
      </c>
      <c r="D8" s="41">
        <v>8988</v>
      </c>
      <c r="E8" s="41">
        <v>738</v>
      </c>
      <c r="F8" s="41">
        <v>8250</v>
      </c>
      <c r="G8" s="41">
        <v>534</v>
      </c>
      <c r="H8" s="41">
        <v>5832</v>
      </c>
      <c r="I8" s="41">
        <v>199</v>
      </c>
      <c r="J8" s="41">
        <v>2350</v>
      </c>
      <c r="K8" s="41">
        <v>5</v>
      </c>
      <c r="L8" s="41">
        <v>68</v>
      </c>
      <c r="M8" s="41">
        <v>86</v>
      </c>
      <c r="N8" s="41">
        <v>650</v>
      </c>
      <c r="O8" s="41">
        <v>40</v>
      </c>
      <c r="P8" s="41">
        <v>295</v>
      </c>
      <c r="Q8" s="41">
        <v>31</v>
      </c>
      <c r="R8" s="41">
        <v>209</v>
      </c>
      <c r="S8" s="41">
        <v>15</v>
      </c>
      <c r="T8" s="41">
        <v>146</v>
      </c>
      <c r="U8" s="41">
        <v>428</v>
      </c>
      <c r="V8" s="41">
        <v>10899</v>
      </c>
      <c r="W8" s="41">
        <v>48962</v>
      </c>
      <c r="X8" s="41">
        <v>20157</v>
      </c>
      <c r="Y8" s="41">
        <v>28805</v>
      </c>
      <c r="Z8" s="41">
        <v>10841</v>
      </c>
      <c r="AA8" s="41">
        <v>5496</v>
      </c>
      <c r="AB8" s="41">
        <v>5345</v>
      </c>
      <c r="AC8" s="41">
        <v>6022</v>
      </c>
      <c r="AD8" s="41">
        <v>2976</v>
      </c>
      <c r="AE8" s="41">
        <v>3046</v>
      </c>
      <c r="AF8" s="41">
        <v>32099</v>
      </c>
      <c r="AG8" s="41">
        <v>11685</v>
      </c>
      <c r="AH8" s="41">
        <v>20414</v>
      </c>
      <c r="AI8" s="41">
        <v>7859184</v>
      </c>
      <c r="AJ8" s="41">
        <v>3253550</v>
      </c>
      <c r="AK8" s="41">
        <v>4605634</v>
      </c>
      <c r="AL8" s="41">
        <v>1919593</v>
      </c>
      <c r="AM8" s="41">
        <v>947930</v>
      </c>
      <c r="AN8" s="41">
        <v>971663</v>
      </c>
      <c r="AO8" s="41">
        <v>1006104</v>
      </c>
      <c r="AP8" s="41">
        <v>496663</v>
      </c>
      <c r="AQ8" s="41">
        <v>509441</v>
      </c>
      <c r="AR8" s="41">
        <v>4933487</v>
      </c>
      <c r="AS8" s="41">
        <v>1808957</v>
      </c>
      <c r="AT8" s="41">
        <v>3124530</v>
      </c>
      <c r="AU8" s="41">
        <v>12617913</v>
      </c>
      <c r="AV8" s="41">
        <v>5307141.4000000004</v>
      </c>
      <c r="AW8" s="41">
        <v>7310771.5999999996</v>
      </c>
      <c r="AX8" s="41">
        <v>3233159.8</v>
      </c>
      <c r="AY8" s="41">
        <v>1568561.4</v>
      </c>
      <c r="AZ8" s="41">
        <v>1664598.4</v>
      </c>
      <c r="BA8" s="41">
        <v>1686064.9</v>
      </c>
      <c r="BB8" s="41">
        <v>855033</v>
      </c>
      <c r="BC8" s="41">
        <v>831031.9</v>
      </c>
      <c r="BD8" s="41">
        <v>7698688.2999999998</v>
      </c>
      <c r="BE8" s="41">
        <v>2883547</v>
      </c>
      <c r="BF8" s="41">
        <v>4815141.3</v>
      </c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29"/>
      <c r="CI8" s="29"/>
      <c r="CJ8" s="29"/>
      <c r="CK8" s="29"/>
    </row>
    <row r="9" spans="1:89" s="18" customFormat="1" ht="17.100000000000001" customHeight="1">
      <c r="A9" s="47" t="s">
        <v>125</v>
      </c>
      <c r="B9" s="35" t="s">
        <v>24</v>
      </c>
      <c r="C9" s="41">
        <v>15</v>
      </c>
      <c r="D9" s="41">
        <v>995</v>
      </c>
      <c r="E9" s="41">
        <v>96</v>
      </c>
      <c r="F9" s="41">
        <v>899</v>
      </c>
      <c r="G9" s="41">
        <v>75</v>
      </c>
      <c r="H9" s="41">
        <v>677</v>
      </c>
      <c r="I9" s="41">
        <v>21</v>
      </c>
      <c r="J9" s="41">
        <v>222</v>
      </c>
      <c r="K9" s="41">
        <v>0</v>
      </c>
      <c r="L9" s="41">
        <v>0</v>
      </c>
      <c r="M9" s="41">
        <v>1</v>
      </c>
      <c r="N9" s="41">
        <v>0</v>
      </c>
      <c r="O9" s="41">
        <v>0</v>
      </c>
      <c r="P9" s="41">
        <v>0</v>
      </c>
      <c r="Q9" s="41">
        <v>0</v>
      </c>
      <c r="R9" s="41">
        <v>0</v>
      </c>
      <c r="S9" s="41">
        <v>1</v>
      </c>
      <c r="T9" s="41">
        <v>0</v>
      </c>
      <c r="U9" s="41">
        <v>52</v>
      </c>
      <c r="V9" s="41">
        <v>1387</v>
      </c>
      <c r="W9" s="41">
        <v>4684</v>
      </c>
      <c r="X9" s="41">
        <v>1984</v>
      </c>
      <c r="Y9" s="41">
        <v>2700</v>
      </c>
      <c r="Z9" s="41">
        <v>862</v>
      </c>
      <c r="AA9" s="41">
        <v>399</v>
      </c>
      <c r="AB9" s="41">
        <v>463</v>
      </c>
      <c r="AC9" s="41">
        <v>636</v>
      </c>
      <c r="AD9" s="41">
        <v>317</v>
      </c>
      <c r="AE9" s="41">
        <v>319</v>
      </c>
      <c r="AF9" s="41">
        <v>3186</v>
      </c>
      <c r="AG9" s="41">
        <v>1268</v>
      </c>
      <c r="AH9" s="41">
        <v>1918</v>
      </c>
      <c r="AI9" s="41">
        <v>803951</v>
      </c>
      <c r="AJ9" s="41">
        <v>332718</v>
      </c>
      <c r="AK9" s="41">
        <v>471233</v>
      </c>
      <c r="AL9" s="41">
        <v>173126</v>
      </c>
      <c r="AM9" s="41">
        <v>75406</v>
      </c>
      <c r="AN9" s="41">
        <v>97720</v>
      </c>
      <c r="AO9" s="41">
        <v>121284</v>
      </c>
      <c r="AP9" s="41">
        <v>57909</v>
      </c>
      <c r="AQ9" s="41">
        <v>63375</v>
      </c>
      <c r="AR9" s="41">
        <v>509541</v>
      </c>
      <c r="AS9" s="41">
        <v>199403</v>
      </c>
      <c r="AT9" s="41">
        <v>310138</v>
      </c>
      <c r="AU9" s="41">
        <v>1379337.5</v>
      </c>
      <c r="AV9" s="41">
        <v>584760</v>
      </c>
      <c r="AW9" s="41">
        <v>794577.5</v>
      </c>
      <c r="AX9" s="41">
        <v>303038.5</v>
      </c>
      <c r="AY9" s="41">
        <v>136699.5</v>
      </c>
      <c r="AZ9" s="41">
        <v>166339</v>
      </c>
      <c r="BA9" s="41">
        <v>214907</v>
      </c>
      <c r="BB9" s="41">
        <v>107439</v>
      </c>
      <c r="BC9" s="41">
        <v>107468</v>
      </c>
      <c r="BD9" s="41">
        <v>861392</v>
      </c>
      <c r="BE9" s="41">
        <v>340621.5</v>
      </c>
      <c r="BF9" s="41">
        <v>520770.5</v>
      </c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30"/>
      <c r="CI9" s="30"/>
    </row>
    <row r="10" spans="1:89" s="18" customFormat="1" ht="17.100000000000001" customHeight="1">
      <c r="A10" s="47" t="s">
        <v>126</v>
      </c>
      <c r="B10" s="35" t="s">
        <v>25</v>
      </c>
      <c r="C10" s="41">
        <v>18</v>
      </c>
      <c r="D10" s="41">
        <v>558</v>
      </c>
      <c r="E10" s="41">
        <v>68</v>
      </c>
      <c r="F10" s="41">
        <v>490</v>
      </c>
      <c r="G10" s="41">
        <v>41</v>
      </c>
      <c r="H10" s="41">
        <v>270</v>
      </c>
      <c r="I10" s="41">
        <v>26</v>
      </c>
      <c r="J10" s="41">
        <v>216</v>
      </c>
      <c r="K10" s="41">
        <v>1</v>
      </c>
      <c r="L10" s="41">
        <v>4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2931</v>
      </c>
      <c r="X10" s="41">
        <v>1274</v>
      </c>
      <c r="Y10" s="41">
        <v>1657</v>
      </c>
      <c r="Z10" s="41">
        <v>747</v>
      </c>
      <c r="AA10" s="41">
        <v>400</v>
      </c>
      <c r="AB10" s="41">
        <v>347</v>
      </c>
      <c r="AC10" s="41">
        <v>137</v>
      </c>
      <c r="AD10" s="41">
        <v>80</v>
      </c>
      <c r="AE10" s="41">
        <v>57</v>
      </c>
      <c r="AF10" s="41">
        <v>2047</v>
      </c>
      <c r="AG10" s="41">
        <v>794</v>
      </c>
      <c r="AH10" s="41">
        <v>1253</v>
      </c>
      <c r="AI10" s="41">
        <v>419298</v>
      </c>
      <c r="AJ10" s="41">
        <v>190534</v>
      </c>
      <c r="AK10" s="41">
        <v>228764</v>
      </c>
      <c r="AL10" s="41">
        <v>125318</v>
      </c>
      <c r="AM10" s="41">
        <v>66216</v>
      </c>
      <c r="AN10" s="41">
        <v>59102</v>
      </c>
      <c r="AO10" s="41">
        <v>21120</v>
      </c>
      <c r="AP10" s="41">
        <v>11892</v>
      </c>
      <c r="AQ10" s="41">
        <v>9228</v>
      </c>
      <c r="AR10" s="41">
        <v>272860</v>
      </c>
      <c r="AS10" s="41">
        <v>112426</v>
      </c>
      <c r="AT10" s="41">
        <v>160434</v>
      </c>
      <c r="AU10" s="41">
        <v>813524.2</v>
      </c>
      <c r="AV10" s="41">
        <v>367398.8</v>
      </c>
      <c r="AW10" s="41">
        <v>446125.4</v>
      </c>
      <c r="AX10" s="41">
        <v>244473.5</v>
      </c>
      <c r="AY10" s="41">
        <v>126675.5</v>
      </c>
      <c r="AZ10" s="41">
        <v>117798</v>
      </c>
      <c r="BA10" s="41">
        <v>39519</v>
      </c>
      <c r="BB10" s="41">
        <v>22791</v>
      </c>
      <c r="BC10" s="41">
        <v>16728</v>
      </c>
      <c r="BD10" s="41">
        <v>529531.69999999995</v>
      </c>
      <c r="BE10" s="41">
        <v>217932.3</v>
      </c>
      <c r="BF10" s="41">
        <v>311599.40000000002</v>
      </c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30"/>
      <c r="CI10" s="30"/>
    </row>
    <row r="11" spans="1:89" s="18" customFormat="1" ht="17.100000000000001" customHeight="1">
      <c r="A11" s="47" t="s">
        <v>127</v>
      </c>
      <c r="B11" s="35" t="s">
        <v>49</v>
      </c>
      <c r="C11" s="41">
        <v>6</v>
      </c>
      <c r="D11" s="41">
        <v>637</v>
      </c>
      <c r="E11" s="41">
        <v>36</v>
      </c>
      <c r="F11" s="41">
        <v>601</v>
      </c>
      <c r="G11" s="41">
        <v>36</v>
      </c>
      <c r="H11" s="41">
        <v>601</v>
      </c>
      <c r="I11" s="41">
        <v>0</v>
      </c>
      <c r="J11" s="41">
        <v>0</v>
      </c>
      <c r="K11" s="41">
        <v>0</v>
      </c>
      <c r="L11" s="41">
        <v>0</v>
      </c>
      <c r="M11" s="41">
        <v>2</v>
      </c>
      <c r="N11" s="41">
        <v>52</v>
      </c>
      <c r="O11" s="41">
        <v>0</v>
      </c>
      <c r="P11" s="41">
        <v>0</v>
      </c>
      <c r="Q11" s="41">
        <v>1</v>
      </c>
      <c r="R11" s="41">
        <v>25</v>
      </c>
      <c r="S11" s="41">
        <v>1</v>
      </c>
      <c r="T11" s="41">
        <v>27</v>
      </c>
      <c r="U11" s="41">
        <v>20</v>
      </c>
      <c r="V11" s="41">
        <v>582</v>
      </c>
      <c r="W11" s="41">
        <v>2502</v>
      </c>
      <c r="X11" s="41">
        <v>1204</v>
      </c>
      <c r="Y11" s="41">
        <v>1298</v>
      </c>
      <c r="Z11" s="41">
        <v>596</v>
      </c>
      <c r="AA11" s="41">
        <v>293</v>
      </c>
      <c r="AB11" s="41">
        <v>303</v>
      </c>
      <c r="AC11" s="41">
        <v>364</v>
      </c>
      <c r="AD11" s="41">
        <v>225</v>
      </c>
      <c r="AE11" s="41">
        <v>139</v>
      </c>
      <c r="AF11" s="41">
        <v>1542</v>
      </c>
      <c r="AG11" s="41">
        <v>686</v>
      </c>
      <c r="AH11" s="41">
        <v>856</v>
      </c>
      <c r="AI11" s="41">
        <v>424465</v>
      </c>
      <c r="AJ11" s="41">
        <v>204415</v>
      </c>
      <c r="AK11" s="41">
        <v>220050</v>
      </c>
      <c r="AL11" s="41">
        <v>114396</v>
      </c>
      <c r="AM11" s="41">
        <v>55535</v>
      </c>
      <c r="AN11" s="41">
        <v>58861</v>
      </c>
      <c r="AO11" s="41">
        <v>56958</v>
      </c>
      <c r="AP11" s="41">
        <v>35666</v>
      </c>
      <c r="AQ11" s="41">
        <v>21292</v>
      </c>
      <c r="AR11" s="41">
        <v>253111</v>
      </c>
      <c r="AS11" s="41">
        <v>113214</v>
      </c>
      <c r="AT11" s="41">
        <v>139897</v>
      </c>
      <c r="AU11" s="41">
        <v>929668.5</v>
      </c>
      <c r="AV11" s="41">
        <v>444307</v>
      </c>
      <c r="AW11" s="41">
        <v>485361.5</v>
      </c>
      <c r="AX11" s="41">
        <v>258192</v>
      </c>
      <c r="AY11" s="41">
        <v>122892.5</v>
      </c>
      <c r="AZ11" s="41">
        <v>135299.5</v>
      </c>
      <c r="BA11" s="41">
        <v>129508</v>
      </c>
      <c r="BB11" s="41">
        <v>80341</v>
      </c>
      <c r="BC11" s="41">
        <v>49167</v>
      </c>
      <c r="BD11" s="41">
        <v>541968.5</v>
      </c>
      <c r="BE11" s="41">
        <v>241073.5</v>
      </c>
      <c r="BF11" s="41">
        <v>300895</v>
      </c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30"/>
      <c r="CI11" s="30"/>
    </row>
    <row r="12" spans="1:89" s="18" customFormat="1" ht="17.100000000000001" customHeight="1">
      <c r="A12" s="47" t="s">
        <v>128</v>
      </c>
      <c r="B12" s="35" t="s">
        <v>26</v>
      </c>
      <c r="C12" s="41">
        <v>14</v>
      </c>
      <c r="D12" s="41">
        <v>750</v>
      </c>
      <c r="E12" s="41">
        <v>51</v>
      </c>
      <c r="F12" s="41">
        <v>699</v>
      </c>
      <c r="G12" s="41">
        <v>34</v>
      </c>
      <c r="H12" s="41">
        <v>476</v>
      </c>
      <c r="I12" s="41">
        <v>17</v>
      </c>
      <c r="J12" s="41">
        <v>223</v>
      </c>
      <c r="K12" s="41">
        <v>0</v>
      </c>
      <c r="L12" s="41">
        <v>0</v>
      </c>
      <c r="M12" s="41">
        <v>0</v>
      </c>
      <c r="N12" s="41">
        <v>0</v>
      </c>
      <c r="O12" s="41">
        <v>0</v>
      </c>
      <c r="P12" s="41">
        <v>0</v>
      </c>
      <c r="Q12" s="41">
        <v>0</v>
      </c>
      <c r="R12" s="41">
        <v>0</v>
      </c>
      <c r="S12" s="41">
        <v>0</v>
      </c>
      <c r="T12" s="41">
        <v>0</v>
      </c>
      <c r="U12" s="41">
        <v>31</v>
      </c>
      <c r="V12" s="41">
        <v>703</v>
      </c>
      <c r="W12" s="41">
        <v>3434</v>
      </c>
      <c r="X12" s="41">
        <v>1471</v>
      </c>
      <c r="Y12" s="41">
        <v>1963</v>
      </c>
      <c r="Z12" s="41">
        <v>1170</v>
      </c>
      <c r="AA12" s="41">
        <v>554</v>
      </c>
      <c r="AB12" s="41">
        <v>616</v>
      </c>
      <c r="AC12" s="41">
        <v>265</v>
      </c>
      <c r="AD12" s="41">
        <v>146</v>
      </c>
      <c r="AE12" s="41">
        <v>119</v>
      </c>
      <c r="AF12" s="41">
        <v>1999</v>
      </c>
      <c r="AG12" s="41">
        <v>771</v>
      </c>
      <c r="AH12" s="41">
        <v>1228</v>
      </c>
      <c r="AI12" s="41">
        <v>515462</v>
      </c>
      <c r="AJ12" s="41">
        <v>222844</v>
      </c>
      <c r="AK12" s="41">
        <v>292618</v>
      </c>
      <c r="AL12" s="41">
        <v>188831</v>
      </c>
      <c r="AM12" s="41">
        <v>89118</v>
      </c>
      <c r="AN12" s="41">
        <v>99713</v>
      </c>
      <c r="AO12" s="41">
        <v>43711</v>
      </c>
      <c r="AP12" s="41">
        <v>23068</v>
      </c>
      <c r="AQ12" s="41">
        <v>20643</v>
      </c>
      <c r="AR12" s="41">
        <v>282920</v>
      </c>
      <c r="AS12" s="41">
        <v>110658</v>
      </c>
      <c r="AT12" s="41">
        <v>172262</v>
      </c>
      <c r="AU12" s="41">
        <v>1069652.5</v>
      </c>
      <c r="AV12" s="41">
        <v>470959.5</v>
      </c>
      <c r="AW12" s="41">
        <v>598693</v>
      </c>
      <c r="AX12" s="41">
        <v>423923.5</v>
      </c>
      <c r="AY12" s="41">
        <v>191807.5</v>
      </c>
      <c r="AZ12" s="41">
        <v>232116</v>
      </c>
      <c r="BA12" s="41">
        <v>95644.5</v>
      </c>
      <c r="BB12" s="41">
        <v>53374.5</v>
      </c>
      <c r="BC12" s="41">
        <v>42270</v>
      </c>
      <c r="BD12" s="41">
        <v>550084.5</v>
      </c>
      <c r="BE12" s="41">
        <v>225777.5</v>
      </c>
      <c r="BF12" s="41">
        <v>324307</v>
      </c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30"/>
      <c r="CI12" s="30"/>
    </row>
    <row r="13" spans="1:89" s="18" customFormat="1" ht="17.100000000000001" customHeight="1">
      <c r="A13" s="47" t="s">
        <v>129</v>
      </c>
      <c r="B13" s="35" t="s">
        <v>27</v>
      </c>
      <c r="C13" s="41">
        <v>12</v>
      </c>
      <c r="D13" s="41">
        <v>778</v>
      </c>
      <c r="E13" s="41">
        <v>71</v>
      </c>
      <c r="F13" s="41">
        <v>707</v>
      </c>
      <c r="G13" s="41">
        <v>70</v>
      </c>
      <c r="H13" s="41">
        <v>685</v>
      </c>
      <c r="I13" s="41">
        <v>1</v>
      </c>
      <c r="J13" s="41">
        <v>22</v>
      </c>
      <c r="K13" s="41">
        <v>0</v>
      </c>
      <c r="L13" s="41">
        <v>0</v>
      </c>
      <c r="M13" s="41">
        <v>25</v>
      </c>
      <c r="N13" s="41">
        <v>164</v>
      </c>
      <c r="O13" s="41">
        <v>20</v>
      </c>
      <c r="P13" s="41">
        <v>128</v>
      </c>
      <c r="Q13" s="41">
        <v>1</v>
      </c>
      <c r="R13" s="41">
        <v>13</v>
      </c>
      <c r="S13" s="41">
        <v>4</v>
      </c>
      <c r="T13" s="41">
        <v>23</v>
      </c>
      <c r="U13" s="41">
        <v>77</v>
      </c>
      <c r="V13" s="41">
        <v>3441</v>
      </c>
      <c r="W13" s="41">
        <v>4693</v>
      </c>
      <c r="X13" s="41">
        <v>1823</v>
      </c>
      <c r="Y13" s="41">
        <v>2870</v>
      </c>
      <c r="Z13" s="41">
        <v>750</v>
      </c>
      <c r="AA13" s="41">
        <v>354</v>
      </c>
      <c r="AB13" s="41">
        <v>396</v>
      </c>
      <c r="AC13" s="41">
        <v>657</v>
      </c>
      <c r="AD13" s="41">
        <v>333</v>
      </c>
      <c r="AE13" s="41">
        <v>324</v>
      </c>
      <c r="AF13" s="41">
        <v>3286</v>
      </c>
      <c r="AG13" s="41">
        <v>1136</v>
      </c>
      <c r="AH13" s="41">
        <v>2150</v>
      </c>
      <c r="AI13" s="41">
        <v>852985</v>
      </c>
      <c r="AJ13" s="41">
        <v>333910</v>
      </c>
      <c r="AK13" s="41">
        <v>519075</v>
      </c>
      <c r="AL13" s="41">
        <v>143130</v>
      </c>
      <c r="AM13" s="41">
        <v>66041</v>
      </c>
      <c r="AN13" s="41">
        <v>77089</v>
      </c>
      <c r="AO13" s="41">
        <v>125023</v>
      </c>
      <c r="AP13" s="41">
        <v>63801</v>
      </c>
      <c r="AQ13" s="41">
        <v>61222</v>
      </c>
      <c r="AR13" s="41">
        <v>584832</v>
      </c>
      <c r="AS13" s="41">
        <v>204068</v>
      </c>
      <c r="AT13" s="41">
        <v>380764</v>
      </c>
      <c r="AU13" s="41">
        <v>1132672.3</v>
      </c>
      <c r="AV13" s="41">
        <v>440137.5</v>
      </c>
      <c r="AW13" s="41">
        <v>692534.8</v>
      </c>
      <c r="AX13" s="41">
        <v>204985.5</v>
      </c>
      <c r="AY13" s="41">
        <v>91452</v>
      </c>
      <c r="AZ13" s="41">
        <v>113533.5</v>
      </c>
      <c r="BA13" s="41">
        <v>178282.3</v>
      </c>
      <c r="BB13" s="41">
        <v>91085</v>
      </c>
      <c r="BC13" s="41">
        <v>87197.3</v>
      </c>
      <c r="BD13" s="41">
        <v>749404.5</v>
      </c>
      <c r="BE13" s="41">
        <v>257600.5</v>
      </c>
      <c r="BF13" s="41">
        <v>491804</v>
      </c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30"/>
      <c r="CI13" s="30"/>
    </row>
    <row r="14" spans="1:89" s="18" customFormat="1" ht="17.100000000000001" customHeight="1">
      <c r="A14" s="48" t="s">
        <v>130</v>
      </c>
      <c r="B14" s="35" t="s">
        <v>28</v>
      </c>
      <c r="C14" s="41">
        <v>32</v>
      </c>
      <c r="D14" s="41">
        <v>1537</v>
      </c>
      <c r="E14" s="41">
        <v>113</v>
      </c>
      <c r="F14" s="41">
        <v>1424</v>
      </c>
      <c r="G14" s="41">
        <v>3</v>
      </c>
      <c r="H14" s="41">
        <v>86</v>
      </c>
      <c r="I14" s="41">
        <v>106</v>
      </c>
      <c r="J14" s="41">
        <v>1275</v>
      </c>
      <c r="K14" s="41">
        <v>4</v>
      </c>
      <c r="L14" s="41">
        <v>63</v>
      </c>
      <c r="M14" s="41">
        <v>5</v>
      </c>
      <c r="N14" s="41">
        <v>168</v>
      </c>
      <c r="O14" s="41">
        <v>2</v>
      </c>
      <c r="P14" s="41">
        <v>67</v>
      </c>
      <c r="Q14" s="41">
        <v>2</v>
      </c>
      <c r="R14" s="41">
        <v>61</v>
      </c>
      <c r="S14" s="41">
        <v>1</v>
      </c>
      <c r="T14" s="41">
        <v>40</v>
      </c>
      <c r="U14" s="41">
        <v>19</v>
      </c>
      <c r="V14" s="41">
        <v>927</v>
      </c>
      <c r="W14" s="41">
        <v>7106</v>
      </c>
      <c r="X14" s="41">
        <v>2919</v>
      </c>
      <c r="Y14" s="41">
        <v>4187</v>
      </c>
      <c r="Z14" s="41">
        <v>1778</v>
      </c>
      <c r="AA14" s="41">
        <v>818</v>
      </c>
      <c r="AB14" s="41">
        <v>960</v>
      </c>
      <c r="AC14" s="41">
        <v>832</v>
      </c>
      <c r="AD14" s="41">
        <v>422</v>
      </c>
      <c r="AE14" s="41">
        <v>410</v>
      </c>
      <c r="AF14" s="41">
        <v>4496</v>
      </c>
      <c r="AG14" s="41">
        <v>1679</v>
      </c>
      <c r="AH14" s="41">
        <v>2817</v>
      </c>
      <c r="AI14" s="41">
        <v>1512957</v>
      </c>
      <c r="AJ14" s="41">
        <v>627092</v>
      </c>
      <c r="AK14" s="41">
        <v>885865</v>
      </c>
      <c r="AL14" s="41">
        <v>417338</v>
      </c>
      <c r="AM14" s="41">
        <v>187980</v>
      </c>
      <c r="AN14" s="41">
        <v>229358</v>
      </c>
      <c r="AO14" s="41">
        <v>179300</v>
      </c>
      <c r="AP14" s="41">
        <v>94536</v>
      </c>
      <c r="AQ14" s="41">
        <v>84764</v>
      </c>
      <c r="AR14" s="41">
        <v>916319</v>
      </c>
      <c r="AS14" s="41">
        <v>344576</v>
      </c>
      <c r="AT14" s="41">
        <v>571743</v>
      </c>
      <c r="AU14" s="41">
        <v>2259168.2999999998</v>
      </c>
      <c r="AV14" s="41">
        <v>957772</v>
      </c>
      <c r="AW14" s="41">
        <v>1301396.3</v>
      </c>
      <c r="AX14" s="41">
        <v>650846.5</v>
      </c>
      <c r="AY14" s="41">
        <v>295700.5</v>
      </c>
      <c r="AZ14" s="41">
        <v>355146</v>
      </c>
      <c r="BA14" s="41">
        <v>289635</v>
      </c>
      <c r="BB14" s="41">
        <v>156081</v>
      </c>
      <c r="BC14" s="41">
        <v>133554</v>
      </c>
      <c r="BD14" s="41">
        <v>1318686.8</v>
      </c>
      <c r="BE14" s="41">
        <v>505990.5</v>
      </c>
      <c r="BF14" s="41">
        <v>812696.3</v>
      </c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30"/>
      <c r="CI14" s="30"/>
    </row>
    <row r="15" spans="1:89" ht="17.100000000000001" customHeight="1">
      <c r="A15" s="45" t="s">
        <v>131</v>
      </c>
      <c r="B15" s="19" t="s">
        <v>7</v>
      </c>
      <c r="C15" s="20">
        <v>7</v>
      </c>
      <c r="D15" s="12">
        <v>103</v>
      </c>
      <c r="E15" s="12">
        <v>15</v>
      </c>
      <c r="F15" s="12">
        <v>88</v>
      </c>
      <c r="G15" s="12">
        <v>11</v>
      </c>
      <c r="H15" s="12">
        <v>87</v>
      </c>
      <c r="I15" s="12">
        <v>4</v>
      </c>
      <c r="J15" s="12">
        <v>1</v>
      </c>
      <c r="K15" s="12">
        <v>0</v>
      </c>
      <c r="L15" s="12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743</v>
      </c>
      <c r="X15" s="20">
        <v>335</v>
      </c>
      <c r="Y15" s="20">
        <v>408</v>
      </c>
      <c r="Z15" s="20">
        <v>141</v>
      </c>
      <c r="AA15" s="20">
        <v>75</v>
      </c>
      <c r="AB15" s="20">
        <v>66</v>
      </c>
      <c r="AC15" s="20">
        <v>136</v>
      </c>
      <c r="AD15" s="20">
        <v>65</v>
      </c>
      <c r="AE15" s="20">
        <v>71</v>
      </c>
      <c r="AF15" s="20">
        <v>466</v>
      </c>
      <c r="AG15" s="20">
        <v>195</v>
      </c>
      <c r="AH15" s="20">
        <v>271</v>
      </c>
      <c r="AI15" s="20">
        <v>95491</v>
      </c>
      <c r="AJ15" s="20">
        <v>45672</v>
      </c>
      <c r="AK15" s="20">
        <v>49819</v>
      </c>
      <c r="AL15" s="20">
        <v>19608</v>
      </c>
      <c r="AM15" s="20">
        <v>10209</v>
      </c>
      <c r="AN15" s="20">
        <v>9399</v>
      </c>
      <c r="AO15" s="20">
        <v>18864</v>
      </c>
      <c r="AP15" s="20">
        <v>9208</v>
      </c>
      <c r="AQ15" s="20">
        <v>9656</v>
      </c>
      <c r="AR15" s="20">
        <v>57019</v>
      </c>
      <c r="AS15" s="20">
        <v>26255</v>
      </c>
      <c r="AT15" s="20">
        <v>30764</v>
      </c>
      <c r="AU15" s="20">
        <v>155416</v>
      </c>
      <c r="AV15" s="20">
        <v>73683</v>
      </c>
      <c r="AW15" s="20">
        <v>81733</v>
      </c>
      <c r="AX15" s="20">
        <v>32601.5</v>
      </c>
      <c r="AY15" s="20">
        <v>17344</v>
      </c>
      <c r="AZ15" s="20">
        <v>15257.5</v>
      </c>
      <c r="BA15" s="20">
        <v>32547.5</v>
      </c>
      <c r="BB15" s="20">
        <v>15404</v>
      </c>
      <c r="BC15" s="20">
        <v>17143.5</v>
      </c>
      <c r="BD15" s="20">
        <v>90267</v>
      </c>
      <c r="BE15" s="20">
        <v>40935</v>
      </c>
      <c r="BF15" s="20">
        <v>49332</v>
      </c>
    </row>
    <row r="16" spans="1:89" ht="17.100000000000001" customHeight="1">
      <c r="A16" s="45" t="s">
        <v>132</v>
      </c>
      <c r="B16" s="19" t="s">
        <v>9</v>
      </c>
      <c r="C16" s="20">
        <v>8</v>
      </c>
      <c r="D16" s="12">
        <v>182</v>
      </c>
      <c r="E16" s="12">
        <v>11</v>
      </c>
      <c r="F16" s="12">
        <v>171</v>
      </c>
      <c r="G16" s="12">
        <v>11</v>
      </c>
      <c r="H16" s="12">
        <v>146</v>
      </c>
      <c r="I16" s="12">
        <v>0</v>
      </c>
      <c r="J16" s="12">
        <v>25</v>
      </c>
      <c r="K16" s="12">
        <v>0</v>
      </c>
      <c r="L16" s="12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7</v>
      </c>
      <c r="V16" s="20">
        <v>193</v>
      </c>
      <c r="W16" s="20">
        <v>704</v>
      </c>
      <c r="X16" s="20">
        <v>327</v>
      </c>
      <c r="Y16" s="20">
        <v>377</v>
      </c>
      <c r="Z16" s="20">
        <v>205</v>
      </c>
      <c r="AA16" s="20">
        <v>125</v>
      </c>
      <c r="AB16" s="20">
        <v>80</v>
      </c>
      <c r="AC16" s="20">
        <v>20</v>
      </c>
      <c r="AD16" s="20">
        <v>11</v>
      </c>
      <c r="AE16" s="20">
        <v>9</v>
      </c>
      <c r="AF16" s="20">
        <v>479</v>
      </c>
      <c r="AG16" s="20">
        <v>191</v>
      </c>
      <c r="AH16" s="20">
        <v>288</v>
      </c>
      <c r="AI16" s="20">
        <v>132960</v>
      </c>
      <c r="AJ16" s="20">
        <v>61026</v>
      </c>
      <c r="AK16" s="20">
        <v>71934</v>
      </c>
      <c r="AL16" s="20">
        <v>39399</v>
      </c>
      <c r="AM16" s="20">
        <v>23042</v>
      </c>
      <c r="AN16" s="20">
        <v>16357</v>
      </c>
      <c r="AO16" s="20">
        <v>3872</v>
      </c>
      <c r="AP16" s="20">
        <v>2217</v>
      </c>
      <c r="AQ16" s="20">
        <v>1655</v>
      </c>
      <c r="AR16" s="20">
        <v>89689</v>
      </c>
      <c r="AS16" s="20">
        <v>35767</v>
      </c>
      <c r="AT16" s="20">
        <v>53922</v>
      </c>
      <c r="AU16" s="20">
        <v>252012.4</v>
      </c>
      <c r="AV16" s="20">
        <v>118394.9</v>
      </c>
      <c r="AW16" s="20">
        <v>133617.5</v>
      </c>
      <c r="AX16" s="20">
        <v>82066</v>
      </c>
      <c r="AY16" s="20">
        <v>46781.5</v>
      </c>
      <c r="AZ16" s="20">
        <v>35284.5</v>
      </c>
      <c r="BA16" s="20">
        <v>8271.5</v>
      </c>
      <c r="BB16" s="20">
        <v>4848</v>
      </c>
      <c r="BC16" s="20">
        <v>3423.5</v>
      </c>
      <c r="BD16" s="20">
        <v>161674.9</v>
      </c>
      <c r="BE16" s="20">
        <v>66765.399999999994</v>
      </c>
      <c r="BF16" s="20">
        <v>94909.5</v>
      </c>
    </row>
    <row r="17" spans="1:58" ht="17.100000000000001" customHeight="1">
      <c r="A17" s="45" t="s">
        <v>133</v>
      </c>
      <c r="B17" s="19" t="s">
        <v>10</v>
      </c>
      <c r="C17" s="20">
        <v>6</v>
      </c>
      <c r="D17" s="12">
        <v>224</v>
      </c>
      <c r="E17" s="12">
        <v>24</v>
      </c>
      <c r="F17" s="12">
        <v>200</v>
      </c>
      <c r="G17" s="12">
        <v>15</v>
      </c>
      <c r="H17" s="12">
        <v>115</v>
      </c>
      <c r="I17" s="12">
        <v>9</v>
      </c>
      <c r="J17" s="12">
        <v>85</v>
      </c>
      <c r="K17" s="12">
        <v>0</v>
      </c>
      <c r="L17" s="12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11</v>
      </c>
      <c r="V17" s="20">
        <v>398</v>
      </c>
      <c r="W17" s="20">
        <v>1292</v>
      </c>
      <c r="X17" s="20">
        <v>538</v>
      </c>
      <c r="Y17" s="20">
        <v>754</v>
      </c>
      <c r="Z17" s="20">
        <v>239</v>
      </c>
      <c r="AA17" s="20">
        <v>125</v>
      </c>
      <c r="AB17" s="20">
        <v>114</v>
      </c>
      <c r="AC17" s="20">
        <v>160</v>
      </c>
      <c r="AD17" s="20">
        <v>91</v>
      </c>
      <c r="AE17" s="20">
        <v>69</v>
      </c>
      <c r="AF17" s="20">
        <v>893</v>
      </c>
      <c r="AG17" s="20">
        <v>322</v>
      </c>
      <c r="AH17" s="20">
        <v>571</v>
      </c>
      <c r="AI17" s="20">
        <v>242822</v>
      </c>
      <c r="AJ17" s="20">
        <v>96762</v>
      </c>
      <c r="AK17" s="20">
        <v>146060</v>
      </c>
      <c r="AL17" s="20">
        <v>46768</v>
      </c>
      <c r="AM17" s="20">
        <v>22101</v>
      </c>
      <c r="AN17" s="20">
        <v>24667</v>
      </c>
      <c r="AO17" s="20">
        <v>33448</v>
      </c>
      <c r="AP17" s="20">
        <v>18268</v>
      </c>
      <c r="AQ17" s="20">
        <v>15180</v>
      </c>
      <c r="AR17" s="20">
        <v>162606</v>
      </c>
      <c r="AS17" s="20">
        <v>56393</v>
      </c>
      <c r="AT17" s="20">
        <v>106213</v>
      </c>
      <c r="AU17" s="20">
        <v>315193</v>
      </c>
      <c r="AV17" s="20">
        <v>127322.5</v>
      </c>
      <c r="AW17" s="20">
        <v>187870.5</v>
      </c>
      <c r="AX17" s="20">
        <v>61296.5</v>
      </c>
      <c r="AY17" s="20">
        <v>29007.5</v>
      </c>
      <c r="AZ17" s="20">
        <v>32289</v>
      </c>
      <c r="BA17" s="20">
        <v>45878.5</v>
      </c>
      <c r="BB17" s="20">
        <v>25387.5</v>
      </c>
      <c r="BC17" s="20">
        <v>20491</v>
      </c>
      <c r="BD17" s="20">
        <v>208018</v>
      </c>
      <c r="BE17" s="20">
        <v>72927.5</v>
      </c>
      <c r="BF17" s="20">
        <v>135090.5</v>
      </c>
    </row>
    <row r="18" spans="1:58" ht="17.100000000000001" customHeight="1">
      <c r="A18" s="45" t="s">
        <v>134</v>
      </c>
      <c r="B18" s="19" t="s">
        <v>11</v>
      </c>
      <c r="C18" s="20">
        <v>7</v>
      </c>
      <c r="D18" s="12">
        <v>544</v>
      </c>
      <c r="E18" s="12">
        <v>54</v>
      </c>
      <c r="F18" s="12">
        <v>490</v>
      </c>
      <c r="G18" s="12">
        <v>54</v>
      </c>
      <c r="H18" s="12">
        <v>486</v>
      </c>
      <c r="I18" s="12">
        <v>0</v>
      </c>
      <c r="J18" s="12">
        <v>4</v>
      </c>
      <c r="K18" s="12">
        <v>0</v>
      </c>
      <c r="L18" s="12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3508</v>
      </c>
      <c r="X18" s="20">
        <v>1243</v>
      </c>
      <c r="Y18" s="20">
        <v>2265</v>
      </c>
      <c r="Z18" s="20">
        <v>518</v>
      </c>
      <c r="AA18" s="20">
        <v>244</v>
      </c>
      <c r="AB18" s="20">
        <v>274</v>
      </c>
      <c r="AC18" s="20">
        <v>479</v>
      </c>
      <c r="AD18" s="20">
        <v>208</v>
      </c>
      <c r="AE18" s="20">
        <v>271</v>
      </c>
      <c r="AF18" s="20">
        <v>2511</v>
      </c>
      <c r="AG18" s="20">
        <v>791</v>
      </c>
      <c r="AH18" s="20">
        <v>1720</v>
      </c>
      <c r="AI18" s="20">
        <v>406143</v>
      </c>
      <c r="AJ18" s="20">
        <v>152373</v>
      </c>
      <c r="AK18" s="20">
        <v>253770</v>
      </c>
      <c r="AL18" s="20">
        <v>67375</v>
      </c>
      <c r="AM18" s="20">
        <v>29571</v>
      </c>
      <c r="AN18" s="20">
        <v>37804</v>
      </c>
      <c r="AO18" s="20">
        <v>62333</v>
      </c>
      <c r="AP18" s="20">
        <v>29659</v>
      </c>
      <c r="AQ18" s="20">
        <v>32674</v>
      </c>
      <c r="AR18" s="20">
        <v>276435</v>
      </c>
      <c r="AS18" s="20">
        <v>93143</v>
      </c>
      <c r="AT18" s="20">
        <v>183292</v>
      </c>
      <c r="AU18" s="20">
        <v>802210.6</v>
      </c>
      <c r="AV18" s="20">
        <v>298498</v>
      </c>
      <c r="AW18" s="20">
        <v>503712.6</v>
      </c>
      <c r="AX18" s="20">
        <v>132889.79999999999</v>
      </c>
      <c r="AY18" s="20">
        <v>57466.400000000001</v>
      </c>
      <c r="AZ18" s="20">
        <v>75423.399999999994</v>
      </c>
      <c r="BA18" s="20">
        <v>126297.1</v>
      </c>
      <c r="BB18" s="20">
        <v>60350.5</v>
      </c>
      <c r="BC18" s="20">
        <v>65946.600000000006</v>
      </c>
      <c r="BD18" s="20">
        <v>543023.69999999995</v>
      </c>
      <c r="BE18" s="20">
        <v>180681.1</v>
      </c>
      <c r="BF18" s="20">
        <v>362342.6</v>
      </c>
    </row>
    <row r="19" spans="1:58" ht="17.100000000000001" customHeight="1">
      <c r="A19" s="45" t="s">
        <v>135</v>
      </c>
      <c r="B19" s="19" t="s">
        <v>12</v>
      </c>
      <c r="C19" s="20">
        <v>11</v>
      </c>
      <c r="D19" s="12">
        <v>436</v>
      </c>
      <c r="E19" s="12">
        <v>27</v>
      </c>
      <c r="F19" s="12">
        <v>409</v>
      </c>
      <c r="G19" s="12">
        <v>27</v>
      </c>
      <c r="H19" s="12">
        <v>409</v>
      </c>
      <c r="I19" s="12">
        <v>0</v>
      </c>
      <c r="J19" s="12">
        <v>0</v>
      </c>
      <c r="K19" s="12">
        <v>0</v>
      </c>
      <c r="L19" s="12">
        <v>0</v>
      </c>
      <c r="M19" s="20">
        <v>1</v>
      </c>
      <c r="N19" s="20">
        <v>12</v>
      </c>
      <c r="O19" s="20">
        <v>1</v>
      </c>
      <c r="P19" s="20">
        <v>12</v>
      </c>
      <c r="Q19" s="20">
        <v>0</v>
      </c>
      <c r="R19" s="20">
        <v>0</v>
      </c>
      <c r="S19" s="20">
        <v>0</v>
      </c>
      <c r="T19" s="20">
        <v>0</v>
      </c>
      <c r="U19" s="20">
        <v>12</v>
      </c>
      <c r="V19" s="20">
        <v>670</v>
      </c>
      <c r="W19" s="20">
        <v>2663</v>
      </c>
      <c r="X19" s="20">
        <v>1049</v>
      </c>
      <c r="Y19" s="20">
        <v>1614</v>
      </c>
      <c r="Z19" s="20">
        <v>197</v>
      </c>
      <c r="AA19" s="20">
        <v>137</v>
      </c>
      <c r="AB19" s="20">
        <v>60</v>
      </c>
      <c r="AC19" s="20">
        <v>611</v>
      </c>
      <c r="AD19" s="20">
        <v>269</v>
      </c>
      <c r="AE19" s="20">
        <v>342</v>
      </c>
      <c r="AF19" s="20">
        <v>1855</v>
      </c>
      <c r="AG19" s="20">
        <v>643</v>
      </c>
      <c r="AH19" s="20">
        <v>1212</v>
      </c>
      <c r="AI19" s="20">
        <v>324239</v>
      </c>
      <c r="AJ19" s="20">
        <v>132918</v>
      </c>
      <c r="AK19" s="20">
        <v>191321</v>
      </c>
      <c r="AL19" s="20">
        <v>26734</v>
      </c>
      <c r="AM19" s="20">
        <v>18553</v>
      </c>
      <c r="AN19" s="20">
        <v>8181</v>
      </c>
      <c r="AO19" s="20">
        <v>85689</v>
      </c>
      <c r="AP19" s="20">
        <v>37657</v>
      </c>
      <c r="AQ19" s="20">
        <v>48032</v>
      </c>
      <c r="AR19" s="20">
        <v>211816</v>
      </c>
      <c r="AS19" s="20">
        <v>76708</v>
      </c>
      <c r="AT19" s="20">
        <v>135108</v>
      </c>
      <c r="AU19" s="20">
        <v>600463</v>
      </c>
      <c r="AV19" s="20">
        <v>250309</v>
      </c>
      <c r="AW19" s="20">
        <v>350154</v>
      </c>
      <c r="AX19" s="20">
        <v>53843</v>
      </c>
      <c r="AY19" s="20">
        <v>31402</v>
      </c>
      <c r="AZ19" s="20">
        <v>22441</v>
      </c>
      <c r="BA19" s="20">
        <v>148726</v>
      </c>
      <c r="BB19" s="20">
        <v>70515</v>
      </c>
      <c r="BC19" s="20">
        <v>78211</v>
      </c>
      <c r="BD19" s="20">
        <v>397894</v>
      </c>
      <c r="BE19" s="20">
        <v>148392</v>
      </c>
      <c r="BF19" s="20">
        <v>249502</v>
      </c>
    </row>
    <row r="20" spans="1:58" ht="17.100000000000001" customHeight="1">
      <c r="A20" s="45" t="s">
        <v>136</v>
      </c>
      <c r="B20" s="19" t="s">
        <v>13</v>
      </c>
      <c r="C20" s="20">
        <v>7</v>
      </c>
      <c r="D20" s="12">
        <v>335</v>
      </c>
      <c r="E20" s="12">
        <v>29</v>
      </c>
      <c r="F20" s="12">
        <v>306</v>
      </c>
      <c r="G20" s="12">
        <v>29</v>
      </c>
      <c r="H20" s="12">
        <v>303</v>
      </c>
      <c r="I20" s="12">
        <v>0</v>
      </c>
      <c r="J20" s="12">
        <v>3</v>
      </c>
      <c r="K20" s="12">
        <v>0</v>
      </c>
      <c r="L20" s="12">
        <v>0</v>
      </c>
      <c r="M20" s="20">
        <v>1</v>
      </c>
      <c r="N20" s="20">
        <v>17</v>
      </c>
      <c r="O20" s="20">
        <v>0</v>
      </c>
      <c r="P20" s="20">
        <v>0</v>
      </c>
      <c r="Q20" s="20">
        <v>1</v>
      </c>
      <c r="R20" s="20">
        <v>17</v>
      </c>
      <c r="S20" s="20">
        <v>0</v>
      </c>
      <c r="T20" s="20">
        <v>0</v>
      </c>
      <c r="U20" s="20">
        <v>14</v>
      </c>
      <c r="V20" s="20">
        <v>797</v>
      </c>
      <c r="W20" s="20">
        <v>2622</v>
      </c>
      <c r="X20" s="20">
        <v>955</v>
      </c>
      <c r="Y20" s="20">
        <v>1667</v>
      </c>
      <c r="Z20" s="20">
        <v>498</v>
      </c>
      <c r="AA20" s="20">
        <v>252</v>
      </c>
      <c r="AB20" s="20">
        <v>246</v>
      </c>
      <c r="AC20" s="20">
        <v>215</v>
      </c>
      <c r="AD20" s="20">
        <v>90</v>
      </c>
      <c r="AE20" s="20">
        <v>125</v>
      </c>
      <c r="AF20" s="20">
        <v>1909</v>
      </c>
      <c r="AG20" s="20">
        <v>613</v>
      </c>
      <c r="AH20" s="20">
        <v>1296</v>
      </c>
      <c r="AI20" s="20">
        <v>386595</v>
      </c>
      <c r="AJ20" s="20">
        <v>139535</v>
      </c>
      <c r="AK20" s="20">
        <v>247060</v>
      </c>
      <c r="AL20" s="20">
        <v>79930</v>
      </c>
      <c r="AM20" s="20">
        <v>39459</v>
      </c>
      <c r="AN20" s="20">
        <v>40471</v>
      </c>
      <c r="AO20" s="20">
        <v>35899</v>
      </c>
      <c r="AP20" s="20">
        <v>13748</v>
      </c>
      <c r="AQ20" s="20">
        <v>22151</v>
      </c>
      <c r="AR20" s="20">
        <v>270766</v>
      </c>
      <c r="AS20" s="20">
        <v>86328</v>
      </c>
      <c r="AT20" s="20">
        <v>184438</v>
      </c>
      <c r="AU20" s="20">
        <v>539063.69999999995</v>
      </c>
      <c r="AV20" s="20">
        <v>192779.7</v>
      </c>
      <c r="AW20" s="20">
        <v>346284</v>
      </c>
      <c r="AX20" s="20">
        <v>119167</v>
      </c>
      <c r="AY20" s="20">
        <v>58072.5</v>
      </c>
      <c r="AZ20" s="20">
        <v>61094.5</v>
      </c>
      <c r="BA20" s="20">
        <v>51446.5</v>
      </c>
      <c r="BB20" s="20">
        <v>20539</v>
      </c>
      <c r="BC20" s="20">
        <v>30907.5</v>
      </c>
      <c r="BD20" s="20">
        <v>368450.2</v>
      </c>
      <c r="BE20" s="20">
        <v>114168.2</v>
      </c>
      <c r="BF20" s="20">
        <v>254282</v>
      </c>
    </row>
    <row r="21" spans="1:58" ht="17.100000000000001" customHeight="1">
      <c r="A21" s="45" t="s">
        <v>137</v>
      </c>
      <c r="B21" s="19" t="s">
        <v>14</v>
      </c>
      <c r="C21" s="20">
        <v>4</v>
      </c>
      <c r="D21" s="12">
        <v>271</v>
      </c>
      <c r="E21" s="12">
        <v>29</v>
      </c>
      <c r="F21" s="12">
        <v>242</v>
      </c>
      <c r="G21" s="12">
        <v>24</v>
      </c>
      <c r="H21" s="12">
        <v>193</v>
      </c>
      <c r="I21" s="12">
        <v>5</v>
      </c>
      <c r="J21" s="12">
        <v>48</v>
      </c>
      <c r="K21" s="12">
        <v>0</v>
      </c>
      <c r="L21" s="12">
        <v>1</v>
      </c>
      <c r="M21" s="20">
        <v>4</v>
      </c>
      <c r="N21" s="20">
        <v>100</v>
      </c>
      <c r="O21" s="20">
        <v>2</v>
      </c>
      <c r="P21" s="20">
        <v>46</v>
      </c>
      <c r="Q21" s="20">
        <v>0</v>
      </c>
      <c r="R21" s="20">
        <v>0</v>
      </c>
      <c r="S21" s="20">
        <v>2</v>
      </c>
      <c r="T21" s="20">
        <v>54</v>
      </c>
      <c r="U21" s="20">
        <v>9</v>
      </c>
      <c r="V21" s="20">
        <v>168</v>
      </c>
      <c r="W21" s="20">
        <v>1862</v>
      </c>
      <c r="X21" s="20">
        <v>694</v>
      </c>
      <c r="Y21" s="20">
        <v>1168</v>
      </c>
      <c r="Z21" s="20">
        <v>485</v>
      </c>
      <c r="AA21" s="20">
        <v>245</v>
      </c>
      <c r="AB21" s="20">
        <v>240</v>
      </c>
      <c r="AC21" s="20">
        <v>122</v>
      </c>
      <c r="AD21" s="20">
        <v>49</v>
      </c>
      <c r="AE21" s="20">
        <v>73</v>
      </c>
      <c r="AF21" s="20">
        <v>1255</v>
      </c>
      <c r="AG21" s="20">
        <v>400</v>
      </c>
      <c r="AH21" s="20">
        <v>855</v>
      </c>
      <c r="AI21" s="20">
        <v>373107</v>
      </c>
      <c r="AJ21" s="20">
        <v>126631</v>
      </c>
      <c r="AK21" s="20">
        <v>246476</v>
      </c>
      <c r="AL21" s="20">
        <v>102326</v>
      </c>
      <c r="AM21" s="20">
        <v>51575</v>
      </c>
      <c r="AN21" s="20">
        <v>50751</v>
      </c>
      <c r="AO21" s="20">
        <v>25684</v>
      </c>
      <c r="AP21" s="20">
        <v>9199</v>
      </c>
      <c r="AQ21" s="20">
        <v>16485</v>
      </c>
      <c r="AR21" s="20">
        <v>245097</v>
      </c>
      <c r="AS21" s="20">
        <v>65857</v>
      </c>
      <c r="AT21" s="20">
        <v>179240</v>
      </c>
      <c r="AU21" s="20">
        <v>420842.5</v>
      </c>
      <c r="AV21" s="20">
        <v>157121.5</v>
      </c>
      <c r="AW21" s="20">
        <v>263721</v>
      </c>
      <c r="AX21" s="20">
        <v>129610.5</v>
      </c>
      <c r="AY21" s="20">
        <v>66242</v>
      </c>
      <c r="AZ21" s="20">
        <v>63368.5</v>
      </c>
      <c r="BA21" s="20">
        <v>32233.5</v>
      </c>
      <c r="BB21" s="20">
        <v>11520</v>
      </c>
      <c r="BC21" s="20">
        <v>20713.5</v>
      </c>
      <c r="BD21" s="20">
        <v>258998.5</v>
      </c>
      <c r="BE21" s="20">
        <v>79359.5</v>
      </c>
      <c r="BF21" s="20">
        <v>179639</v>
      </c>
    </row>
    <row r="22" spans="1:58" ht="17.100000000000001" customHeight="1">
      <c r="A22" s="45" t="s">
        <v>138</v>
      </c>
      <c r="B22" s="19" t="s">
        <v>15</v>
      </c>
      <c r="C22" s="20">
        <v>16</v>
      </c>
      <c r="D22" s="12">
        <v>1033</v>
      </c>
      <c r="E22" s="12">
        <v>68</v>
      </c>
      <c r="F22" s="12">
        <v>965</v>
      </c>
      <c r="G22" s="12">
        <v>64</v>
      </c>
      <c r="H22" s="12">
        <v>824</v>
      </c>
      <c r="I22" s="12">
        <v>4</v>
      </c>
      <c r="J22" s="12">
        <v>141</v>
      </c>
      <c r="K22" s="12">
        <v>0</v>
      </c>
      <c r="L22" s="12">
        <v>0</v>
      </c>
      <c r="M22" s="20">
        <v>39</v>
      </c>
      <c r="N22" s="20">
        <v>99</v>
      </c>
      <c r="O22" s="20">
        <v>9</v>
      </c>
      <c r="P22" s="20">
        <v>7</v>
      </c>
      <c r="Q22" s="20">
        <v>24</v>
      </c>
      <c r="R22" s="20">
        <v>90</v>
      </c>
      <c r="S22" s="20">
        <v>6</v>
      </c>
      <c r="T22" s="20">
        <v>2</v>
      </c>
      <c r="U22" s="20">
        <v>107</v>
      </c>
      <c r="V22" s="20">
        <v>804</v>
      </c>
      <c r="W22" s="20">
        <v>6233</v>
      </c>
      <c r="X22" s="20">
        <v>2614</v>
      </c>
      <c r="Y22" s="20">
        <v>3619</v>
      </c>
      <c r="Z22" s="20">
        <v>1582</v>
      </c>
      <c r="AA22" s="20">
        <v>843</v>
      </c>
      <c r="AB22" s="20">
        <v>739</v>
      </c>
      <c r="AC22" s="20">
        <v>909</v>
      </c>
      <c r="AD22" s="20">
        <v>425</v>
      </c>
      <c r="AE22" s="20">
        <v>484</v>
      </c>
      <c r="AF22" s="20">
        <v>3742</v>
      </c>
      <c r="AG22" s="20">
        <v>1346</v>
      </c>
      <c r="AH22" s="20">
        <v>2396</v>
      </c>
      <c r="AI22" s="20">
        <v>762144</v>
      </c>
      <c r="AJ22" s="20">
        <v>312390</v>
      </c>
      <c r="AK22" s="20">
        <v>449754</v>
      </c>
      <c r="AL22" s="20">
        <v>184550</v>
      </c>
      <c r="AM22" s="20">
        <v>97361</v>
      </c>
      <c r="AN22" s="20">
        <v>87189</v>
      </c>
      <c r="AO22" s="20">
        <v>118269</v>
      </c>
      <c r="AP22" s="20">
        <v>51221</v>
      </c>
      <c r="AQ22" s="20">
        <v>67048</v>
      </c>
      <c r="AR22" s="20">
        <v>459325</v>
      </c>
      <c r="AS22" s="20">
        <v>163808</v>
      </c>
      <c r="AT22" s="20">
        <v>295517</v>
      </c>
      <c r="AU22" s="20">
        <v>1078321</v>
      </c>
      <c r="AV22" s="20">
        <v>442346.5</v>
      </c>
      <c r="AW22" s="20">
        <v>635974.5</v>
      </c>
      <c r="AX22" s="20">
        <v>269764</v>
      </c>
      <c r="AY22" s="20">
        <v>143255.5</v>
      </c>
      <c r="AZ22" s="20">
        <v>126508.5</v>
      </c>
      <c r="BA22" s="20">
        <v>180226</v>
      </c>
      <c r="BB22" s="20">
        <v>77833.5</v>
      </c>
      <c r="BC22" s="20">
        <v>102392.5</v>
      </c>
      <c r="BD22" s="20">
        <v>628331</v>
      </c>
      <c r="BE22" s="20">
        <v>221257.5</v>
      </c>
      <c r="BF22" s="20">
        <v>407073.5</v>
      </c>
    </row>
    <row r="23" spans="1:58" ht="17.100000000000001" customHeight="1">
      <c r="A23" s="45" t="s">
        <v>139</v>
      </c>
      <c r="B23" s="19" t="s">
        <v>16</v>
      </c>
      <c r="C23" s="20">
        <v>6</v>
      </c>
      <c r="D23" s="12">
        <v>168</v>
      </c>
      <c r="E23" s="12">
        <v>10</v>
      </c>
      <c r="F23" s="12">
        <v>158</v>
      </c>
      <c r="G23" s="12">
        <v>10</v>
      </c>
      <c r="H23" s="12">
        <v>158</v>
      </c>
      <c r="I23" s="12">
        <v>0</v>
      </c>
      <c r="J23" s="12">
        <v>0</v>
      </c>
      <c r="K23" s="12">
        <v>0</v>
      </c>
      <c r="L23" s="12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13</v>
      </c>
      <c r="V23" s="20">
        <v>249</v>
      </c>
      <c r="W23" s="20">
        <v>975</v>
      </c>
      <c r="X23" s="20">
        <v>443</v>
      </c>
      <c r="Y23" s="20">
        <v>532</v>
      </c>
      <c r="Z23" s="20">
        <v>305</v>
      </c>
      <c r="AA23" s="20">
        <v>204</v>
      </c>
      <c r="AB23" s="20">
        <v>101</v>
      </c>
      <c r="AC23" s="20">
        <v>36</v>
      </c>
      <c r="AD23" s="20">
        <v>21</v>
      </c>
      <c r="AE23" s="20">
        <v>15</v>
      </c>
      <c r="AF23" s="20">
        <v>634</v>
      </c>
      <c r="AG23" s="20">
        <v>218</v>
      </c>
      <c r="AH23" s="20">
        <v>416</v>
      </c>
      <c r="AI23" s="20">
        <v>136743</v>
      </c>
      <c r="AJ23" s="20">
        <v>67827</v>
      </c>
      <c r="AK23" s="20">
        <v>68916</v>
      </c>
      <c r="AL23" s="20">
        <v>44256</v>
      </c>
      <c r="AM23" s="20">
        <v>30677</v>
      </c>
      <c r="AN23" s="20">
        <v>13579</v>
      </c>
      <c r="AO23" s="20">
        <v>7971</v>
      </c>
      <c r="AP23" s="20">
        <v>4609</v>
      </c>
      <c r="AQ23" s="20">
        <v>3362</v>
      </c>
      <c r="AR23" s="20">
        <v>84516</v>
      </c>
      <c r="AS23" s="20">
        <v>32541</v>
      </c>
      <c r="AT23" s="20">
        <v>51975</v>
      </c>
      <c r="AU23" s="20">
        <v>209005.5</v>
      </c>
      <c r="AV23" s="20">
        <v>99553.5</v>
      </c>
      <c r="AW23" s="20">
        <v>109452</v>
      </c>
      <c r="AX23" s="20">
        <v>69626</v>
      </c>
      <c r="AY23" s="20">
        <v>47588.5</v>
      </c>
      <c r="AZ23" s="20">
        <v>22037.5</v>
      </c>
      <c r="BA23" s="20">
        <v>11581.5</v>
      </c>
      <c r="BB23" s="20">
        <v>6234.5</v>
      </c>
      <c r="BC23" s="20">
        <v>5347</v>
      </c>
      <c r="BD23" s="20">
        <v>127798</v>
      </c>
      <c r="BE23" s="20">
        <v>45730.5</v>
      </c>
      <c r="BF23" s="20">
        <v>82067.5</v>
      </c>
    </row>
    <row r="24" spans="1:58" ht="17.100000000000001" customHeight="1">
      <c r="A24" s="45" t="s">
        <v>140</v>
      </c>
      <c r="B24" s="19" t="s">
        <v>17</v>
      </c>
      <c r="C24" s="20">
        <v>4</v>
      </c>
      <c r="D24" s="12">
        <v>148</v>
      </c>
      <c r="E24" s="12">
        <v>9</v>
      </c>
      <c r="F24" s="12">
        <v>139</v>
      </c>
      <c r="G24" s="12">
        <v>9</v>
      </c>
      <c r="H24" s="12">
        <v>137</v>
      </c>
      <c r="I24" s="12">
        <v>0</v>
      </c>
      <c r="J24" s="12">
        <v>2</v>
      </c>
      <c r="K24" s="12">
        <v>0</v>
      </c>
      <c r="L24" s="12">
        <v>0</v>
      </c>
      <c r="M24" s="20">
        <v>2</v>
      </c>
      <c r="N24" s="20">
        <v>16</v>
      </c>
      <c r="O24" s="20">
        <v>2</v>
      </c>
      <c r="P24" s="20">
        <v>16</v>
      </c>
      <c r="Q24" s="20">
        <v>0</v>
      </c>
      <c r="R24" s="20">
        <v>0</v>
      </c>
      <c r="S24" s="20">
        <v>0</v>
      </c>
      <c r="T24" s="20">
        <v>0</v>
      </c>
      <c r="U24" s="20">
        <v>21</v>
      </c>
      <c r="V24" s="20">
        <v>254</v>
      </c>
      <c r="W24" s="20">
        <v>1075</v>
      </c>
      <c r="X24" s="20">
        <v>489</v>
      </c>
      <c r="Y24" s="20">
        <v>586</v>
      </c>
      <c r="Z24" s="20">
        <v>275</v>
      </c>
      <c r="AA24" s="20">
        <v>173</v>
      </c>
      <c r="AB24" s="20">
        <v>102</v>
      </c>
      <c r="AC24" s="20">
        <v>198</v>
      </c>
      <c r="AD24" s="20">
        <v>108</v>
      </c>
      <c r="AE24" s="20">
        <v>90</v>
      </c>
      <c r="AF24" s="20">
        <v>602</v>
      </c>
      <c r="AG24" s="20">
        <v>208</v>
      </c>
      <c r="AH24" s="20">
        <v>394</v>
      </c>
      <c r="AI24" s="20">
        <v>140182</v>
      </c>
      <c r="AJ24" s="20">
        <v>64866</v>
      </c>
      <c r="AK24" s="20">
        <v>75316</v>
      </c>
      <c r="AL24" s="20">
        <v>35985</v>
      </c>
      <c r="AM24" s="20">
        <v>22827</v>
      </c>
      <c r="AN24" s="20">
        <v>13158</v>
      </c>
      <c r="AO24" s="20">
        <v>27303</v>
      </c>
      <c r="AP24" s="20">
        <v>15174</v>
      </c>
      <c r="AQ24" s="20">
        <v>12129</v>
      </c>
      <c r="AR24" s="20">
        <v>76894</v>
      </c>
      <c r="AS24" s="20">
        <v>26865</v>
      </c>
      <c r="AT24" s="20">
        <v>50029</v>
      </c>
      <c r="AU24" s="20">
        <v>198572.5</v>
      </c>
      <c r="AV24" s="20">
        <v>92231</v>
      </c>
      <c r="AW24" s="20">
        <v>106341.5</v>
      </c>
      <c r="AX24" s="20">
        <v>54586.5</v>
      </c>
      <c r="AY24" s="20">
        <v>34218</v>
      </c>
      <c r="AZ24" s="20">
        <v>20368.5</v>
      </c>
      <c r="BA24" s="20">
        <v>38716</v>
      </c>
      <c r="BB24" s="20">
        <v>21213</v>
      </c>
      <c r="BC24" s="20">
        <v>17503</v>
      </c>
      <c r="BD24" s="20">
        <v>105270</v>
      </c>
      <c r="BE24" s="20">
        <v>36800</v>
      </c>
      <c r="BF24" s="20">
        <v>68470</v>
      </c>
    </row>
    <row r="25" spans="1:58" ht="17.100000000000001" customHeight="1">
      <c r="A25" s="45" t="s">
        <v>141</v>
      </c>
      <c r="B25" s="19" t="s">
        <v>18</v>
      </c>
      <c r="C25" s="20">
        <v>2</v>
      </c>
      <c r="D25" s="12">
        <v>67</v>
      </c>
      <c r="E25" s="12">
        <v>4</v>
      </c>
      <c r="F25" s="12">
        <v>63</v>
      </c>
      <c r="G25" s="12">
        <v>0</v>
      </c>
      <c r="H25" s="12">
        <v>0</v>
      </c>
      <c r="I25" s="12">
        <v>4</v>
      </c>
      <c r="J25" s="12">
        <v>63</v>
      </c>
      <c r="K25" s="12">
        <v>0</v>
      </c>
      <c r="L25" s="12">
        <v>0</v>
      </c>
      <c r="M25" s="20">
        <v>3</v>
      </c>
      <c r="N25" s="20">
        <v>8</v>
      </c>
      <c r="O25" s="20">
        <v>2</v>
      </c>
      <c r="P25" s="20">
        <v>6</v>
      </c>
      <c r="Q25" s="20">
        <v>1</v>
      </c>
      <c r="R25" s="20">
        <v>2</v>
      </c>
      <c r="S25" s="20">
        <v>0</v>
      </c>
      <c r="T25" s="20">
        <v>0</v>
      </c>
      <c r="U25" s="20">
        <v>3</v>
      </c>
      <c r="V25" s="20">
        <v>62</v>
      </c>
      <c r="W25" s="20">
        <v>467</v>
      </c>
      <c r="X25" s="20">
        <v>180</v>
      </c>
      <c r="Y25" s="20">
        <v>287</v>
      </c>
      <c r="Z25" s="20">
        <v>145</v>
      </c>
      <c r="AA25" s="20">
        <v>79</v>
      </c>
      <c r="AB25" s="20">
        <v>66</v>
      </c>
      <c r="AC25" s="20">
        <v>43</v>
      </c>
      <c r="AD25" s="20">
        <v>22</v>
      </c>
      <c r="AE25" s="20">
        <v>21</v>
      </c>
      <c r="AF25" s="20">
        <v>279</v>
      </c>
      <c r="AG25" s="20">
        <v>79</v>
      </c>
      <c r="AH25" s="20">
        <v>200</v>
      </c>
      <c r="AI25" s="20">
        <v>65946</v>
      </c>
      <c r="AJ25" s="20">
        <v>26793</v>
      </c>
      <c r="AK25" s="20">
        <v>39153</v>
      </c>
      <c r="AL25" s="20">
        <v>25498</v>
      </c>
      <c r="AM25" s="20">
        <v>13808</v>
      </c>
      <c r="AN25" s="20">
        <v>11690</v>
      </c>
      <c r="AO25" s="20">
        <v>7357</v>
      </c>
      <c r="AP25" s="20">
        <v>3265</v>
      </c>
      <c r="AQ25" s="20">
        <v>4092</v>
      </c>
      <c r="AR25" s="20">
        <v>33091</v>
      </c>
      <c r="AS25" s="20">
        <v>9720</v>
      </c>
      <c r="AT25" s="20">
        <v>23371</v>
      </c>
      <c r="AU25" s="20">
        <v>76017</v>
      </c>
      <c r="AV25" s="20">
        <v>31789</v>
      </c>
      <c r="AW25" s="20">
        <v>44228</v>
      </c>
      <c r="AX25" s="20">
        <v>28476</v>
      </c>
      <c r="AY25" s="20">
        <v>15831.5</v>
      </c>
      <c r="AZ25" s="20">
        <v>12644.5</v>
      </c>
      <c r="BA25" s="20">
        <v>9044.5</v>
      </c>
      <c r="BB25" s="20">
        <v>4454.5</v>
      </c>
      <c r="BC25" s="20">
        <v>4590</v>
      </c>
      <c r="BD25" s="20">
        <v>38496.5</v>
      </c>
      <c r="BE25" s="20">
        <v>11503</v>
      </c>
      <c r="BF25" s="20">
        <v>26993.5</v>
      </c>
    </row>
    <row r="26" spans="1:58" ht="17.100000000000001" customHeight="1">
      <c r="A26" s="45" t="s">
        <v>142</v>
      </c>
      <c r="B26" s="19" t="s">
        <v>19</v>
      </c>
      <c r="C26" s="20">
        <v>3</v>
      </c>
      <c r="D26" s="12">
        <v>12</v>
      </c>
      <c r="E26" s="12">
        <v>1</v>
      </c>
      <c r="F26" s="12">
        <v>11</v>
      </c>
      <c r="G26" s="12">
        <v>1</v>
      </c>
      <c r="H26" s="12">
        <v>7</v>
      </c>
      <c r="I26" s="12">
        <v>0</v>
      </c>
      <c r="J26" s="12">
        <v>4</v>
      </c>
      <c r="K26" s="12">
        <v>0</v>
      </c>
      <c r="L26" s="12">
        <v>0</v>
      </c>
      <c r="M26" s="20">
        <v>3</v>
      </c>
      <c r="N26" s="20">
        <v>14</v>
      </c>
      <c r="O26" s="20">
        <v>2</v>
      </c>
      <c r="P26" s="20">
        <v>13</v>
      </c>
      <c r="Q26" s="20">
        <v>1</v>
      </c>
      <c r="R26" s="20">
        <v>1</v>
      </c>
      <c r="S26" s="20">
        <v>0</v>
      </c>
      <c r="T26" s="20">
        <v>0</v>
      </c>
      <c r="U26" s="20">
        <v>31</v>
      </c>
      <c r="V26" s="20">
        <v>246</v>
      </c>
      <c r="W26" s="20">
        <v>510</v>
      </c>
      <c r="X26" s="20">
        <v>219</v>
      </c>
      <c r="Y26" s="20">
        <v>291</v>
      </c>
      <c r="Z26" s="20">
        <v>114</v>
      </c>
      <c r="AA26" s="20">
        <v>62</v>
      </c>
      <c r="AB26" s="20">
        <v>52</v>
      </c>
      <c r="AC26" s="20">
        <v>113</v>
      </c>
      <c r="AD26" s="20">
        <v>49</v>
      </c>
      <c r="AE26" s="20">
        <v>64</v>
      </c>
      <c r="AF26" s="20">
        <v>283</v>
      </c>
      <c r="AG26" s="20">
        <v>108</v>
      </c>
      <c r="AH26" s="20">
        <v>175</v>
      </c>
      <c r="AI26" s="20">
        <v>87658</v>
      </c>
      <c r="AJ26" s="20">
        <v>45898</v>
      </c>
      <c r="AK26" s="20">
        <v>41760</v>
      </c>
      <c r="AL26" s="20">
        <v>36143</v>
      </c>
      <c r="AM26" s="20">
        <v>26685</v>
      </c>
      <c r="AN26" s="20">
        <v>9458</v>
      </c>
      <c r="AO26" s="20">
        <v>14695</v>
      </c>
      <c r="AP26" s="20">
        <v>6058</v>
      </c>
      <c r="AQ26" s="20">
        <v>8637</v>
      </c>
      <c r="AR26" s="20">
        <v>36820</v>
      </c>
      <c r="AS26" s="20">
        <v>13155</v>
      </c>
      <c r="AT26" s="20">
        <v>23665</v>
      </c>
      <c r="AU26" s="20">
        <v>127883.5</v>
      </c>
      <c r="AV26" s="20">
        <v>53332</v>
      </c>
      <c r="AW26" s="20">
        <v>74551.5</v>
      </c>
      <c r="AX26" s="20">
        <v>39835</v>
      </c>
      <c r="AY26" s="20">
        <v>21790</v>
      </c>
      <c r="AZ26" s="20">
        <v>18045</v>
      </c>
      <c r="BA26" s="20">
        <v>27458.5</v>
      </c>
      <c r="BB26" s="20">
        <v>11072</v>
      </c>
      <c r="BC26" s="20">
        <v>16386.5</v>
      </c>
      <c r="BD26" s="20">
        <v>60590</v>
      </c>
      <c r="BE26" s="20">
        <v>20470</v>
      </c>
      <c r="BF26" s="20">
        <v>40120</v>
      </c>
    </row>
    <row r="27" spans="1:58" ht="17.100000000000001" customHeight="1">
      <c r="A27" s="45" t="s">
        <v>143</v>
      </c>
      <c r="B27" s="19" t="s">
        <v>20</v>
      </c>
      <c r="C27" s="20">
        <v>3</v>
      </c>
      <c r="D27" s="12">
        <v>60</v>
      </c>
      <c r="E27" s="12">
        <v>12</v>
      </c>
      <c r="F27" s="12">
        <v>48</v>
      </c>
      <c r="G27" s="12">
        <v>10</v>
      </c>
      <c r="H27" s="12">
        <v>45</v>
      </c>
      <c r="I27" s="12">
        <v>2</v>
      </c>
      <c r="J27" s="12">
        <v>3</v>
      </c>
      <c r="K27" s="12">
        <v>0</v>
      </c>
      <c r="L27" s="12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314</v>
      </c>
      <c r="X27" s="20">
        <v>144</v>
      </c>
      <c r="Y27" s="20">
        <v>170</v>
      </c>
      <c r="Z27" s="20">
        <v>89</v>
      </c>
      <c r="AA27" s="20">
        <v>51</v>
      </c>
      <c r="AB27" s="20">
        <v>38</v>
      </c>
      <c r="AC27" s="20">
        <v>50</v>
      </c>
      <c r="AD27" s="20">
        <v>25</v>
      </c>
      <c r="AE27" s="20">
        <v>25</v>
      </c>
      <c r="AF27" s="20">
        <v>175</v>
      </c>
      <c r="AG27" s="20">
        <v>68</v>
      </c>
      <c r="AH27" s="20">
        <v>107</v>
      </c>
      <c r="AI27" s="20">
        <v>52545</v>
      </c>
      <c r="AJ27" s="20">
        <v>24470</v>
      </c>
      <c r="AK27" s="20">
        <v>28075</v>
      </c>
      <c r="AL27" s="20">
        <v>16662</v>
      </c>
      <c r="AM27" s="20">
        <v>8636</v>
      </c>
      <c r="AN27" s="20">
        <v>8026</v>
      </c>
      <c r="AO27" s="20">
        <v>8506</v>
      </c>
      <c r="AP27" s="20">
        <v>4925</v>
      </c>
      <c r="AQ27" s="20">
        <v>3581</v>
      </c>
      <c r="AR27" s="20">
        <v>27377</v>
      </c>
      <c r="AS27" s="20">
        <v>10909</v>
      </c>
      <c r="AT27" s="20">
        <v>16468</v>
      </c>
      <c r="AU27" s="20">
        <v>85005.5</v>
      </c>
      <c r="AV27" s="20">
        <v>40081.5</v>
      </c>
      <c r="AW27" s="20">
        <v>44924</v>
      </c>
      <c r="AX27" s="20">
        <v>28298</v>
      </c>
      <c r="AY27" s="20">
        <v>15139.5</v>
      </c>
      <c r="AZ27" s="20">
        <v>13158.5</v>
      </c>
      <c r="BA27" s="20">
        <v>14297</v>
      </c>
      <c r="BB27" s="20">
        <v>8465</v>
      </c>
      <c r="BC27" s="20">
        <v>5832</v>
      </c>
      <c r="BD27" s="20">
        <v>42410.5</v>
      </c>
      <c r="BE27" s="20">
        <v>16477</v>
      </c>
      <c r="BF27" s="20">
        <v>25933.5</v>
      </c>
    </row>
    <row r="28" spans="1:58" ht="17.100000000000001" customHeight="1">
      <c r="A28" s="45" t="s">
        <v>144</v>
      </c>
      <c r="B28" s="19" t="s">
        <v>21</v>
      </c>
      <c r="C28" s="20">
        <v>3</v>
      </c>
      <c r="D28" s="12">
        <v>101</v>
      </c>
      <c r="E28" s="12">
        <v>8</v>
      </c>
      <c r="F28" s="12">
        <v>93</v>
      </c>
      <c r="G28" s="12">
        <v>8</v>
      </c>
      <c r="H28" s="12">
        <v>91</v>
      </c>
      <c r="I28" s="12">
        <v>0</v>
      </c>
      <c r="J28" s="12">
        <v>2</v>
      </c>
      <c r="K28" s="12">
        <v>0</v>
      </c>
      <c r="L28" s="12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477</v>
      </c>
      <c r="X28" s="20">
        <v>185</v>
      </c>
      <c r="Y28" s="20">
        <v>292</v>
      </c>
      <c r="Z28" s="20">
        <v>138</v>
      </c>
      <c r="AA28" s="20">
        <v>59</v>
      </c>
      <c r="AB28" s="20">
        <v>79</v>
      </c>
      <c r="AC28" s="20">
        <v>38</v>
      </c>
      <c r="AD28" s="20">
        <v>19</v>
      </c>
      <c r="AE28" s="20">
        <v>19</v>
      </c>
      <c r="AF28" s="20">
        <v>301</v>
      </c>
      <c r="AG28" s="20">
        <v>107</v>
      </c>
      <c r="AH28" s="20">
        <v>194</v>
      </c>
      <c r="AI28" s="20">
        <v>95073</v>
      </c>
      <c r="AJ28" s="20">
        <v>35404</v>
      </c>
      <c r="AK28" s="20">
        <v>59669</v>
      </c>
      <c r="AL28" s="20">
        <v>30404</v>
      </c>
      <c r="AM28" s="20">
        <v>12045</v>
      </c>
      <c r="AN28" s="20">
        <v>18359</v>
      </c>
      <c r="AO28" s="20">
        <v>8567</v>
      </c>
      <c r="AP28" s="20">
        <v>4357</v>
      </c>
      <c r="AQ28" s="20">
        <v>4210</v>
      </c>
      <c r="AR28" s="20">
        <v>56102</v>
      </c>
      <c r="AS28" s="20">
        <v>19002</v>
      </c>
      <c r="AT28" s="20">
        <v>37100</v>
      </c>
      <c r="AU28" s="20">
        <v>121624</v>
      </c>
      <c r="AV28" s="20">
        <v>45348</v>
      </c>
      <c r="AW28" s="20">
        <v>76276</v>
      </c>
      <c r="AX28" s="20">
        <v>40939</v>
      </c>
      <c r="AY28" s="20">
        <v>16293.5</v>
      </c>
      <c r="AZ28" s="20">
        <v>24645.5</v>
      </c>
      <c r="BA28" s="20">
        <v>11352</v>
      </c>
      <c r="BB28" s="20">
        <v>5642</v>
      </c>
      <c r="BC28" s="20">
        <v>5710</v>
      </c>
      <c r="BD28" s="20">
        <v>69333</v>
      </c>
      <c r="BE28" s="20">
        <v>23412.5</v>
      </c>
      <c r="BF28" s="20">
        <v>45920.5</v>
      </c>
    </row>
    <row r="29" spans="1:58" ht="17.100000000000001" customHeight="1">
      <c r="A29" s="45" t="s">
        <v>145</v>
      </c>
      <c r="B29" s="19" t="s">
        <v>22</v>
      </c>
      <c r="C29" s="20">
        <v>1</v>
      </c>
      <c r="D29" s="12">
        <v>38</v>
      </c>
      <c r="E29" s="12">
        <v>2</v>
      </c>
      <c r="F29" s="12">
        <v>36</v>
      </c>
      <c r="G29" s="12">
        <v>2</v>
      </c>
      <c r="H29" s="12">
        <v>36</v>
      </c>
      <c r="I29" s="12">
        <v>0</v>
      </c>
      <c r="J29" s="12">
        <v>0</v>
      </c>
      <c r="K29" s="12">
        <v>0</v>
      </c>
      <c r="L29" s="12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1</v>
      </c>
      <c r="V29" s="20">
        <v>18</v>
      </c>
      <c r="W29" s="20">
        <v>156</v>
      </c>
      <c r="X29" s="20">
        <v>63</v>
      </c>
      <c r="Y29" s="20">
        <v>93</v>
      </c>
      <c r="Z29" s="20">
        <v>4</v>
      </c>
      <c r="AA29" s="20">
        <v>2</v>
      </c>
      <c r="AB29" s="20">
        <v>2</v>
      </c>
      <c r="AC29" s="20">
        <v>1</v>
      </c>
      <c r="AD29" s="20">
        <v>1</v>
      </c>
      <c r="AE29" s="20">
        <v>0</v>
      </c>
      <c r="AF29" s="20">
        <v>151</v>
      </c>
      <c r="AG29" s="20">
        <v>60</v>
      </c>
      <c r="AH29" s="20">
        <v>91</v>
      </c>
      <c r="AI29" s="20">
        <v>26856</v>
      </c>
      <c r="AJ29" s="20">
        <v>8935</v>
      </c>
      <c r="AK29" s="20">
        <v>17921</v>
      </c>
      <c r="AL29" s="20">
        <v>1380</v>
      </c>
      <c r="AM29" s="20">
        <v>771</v>
      </c>
      <c r="AN29" s="20">
        <v>609</v>
      </c>
      <c r="AO29" s="20">
        <v>251</v>
      </c>
      <c r="AP29" s="20">
        <v>226</v>
      </c>
      <c r="AQ29" s="20">
        <v>25</v>
      </c>
      <c r="AR29" s="20">
        <v>25225</v>
      </c>
      <c r="AS29" s="20">
        <v>7938</v>
      </c>
      <c r="AT29" s="20">
        <v>17287</v>
      </c>
      <c r="AU29" s="20">
        <v>48757.5</v>
      </c>
      <c r="AV29" s="20">
        <v>17562.5</v>
      </c>
      <c r="AW29" s="20">
        <v>31195</v>
      </c>
      <c r="AX29" s="20">
        <v>3407.5</v>
      </c>
      <c r="AY29" s="20">
        <v>1907.5</v>
      </c>
      <c r="AZ29" s="20">
        <v>1500</v>
      </c>
      <c r="BA29" s="20">
        <v>493</v>
      </c>
      <c r="BB29" s="20">
        <v>443</v>
      </c>
      <c r="BC29" s="20">
        <v>50</v>
      </c>
      <c r="BD29" s="20">
        <v>44857</v>
      </c>
      <c r="BE29" s="20">
        <v>15212</v>
      </c>
      <c r="BF29" s="20">
        <v>29645</v>
      </c>
    </row>
    <row r="30" spans="1:58" ht="17.100000000000001" customHeight="1">
      <c r="A30" s="46" t="s">
        <v>146</v>
      </c>
      <c r="B30" s="21" t="s">
        <v>23</v>
      </c>
      <c r="C30" s="22">
        <v>1</v>
      </c>
      <c r="D30" s="23">
        <v>11</v>
      </c>
      <c r="E30" s="23">
        <v>0</v>
      </c>
      <c r="F30" s="23">
        <v>11</v>
      </c>
      <c r="G30" s="23">
        <v>0</v>
      </c>
      <c r="H30" s="23">
        <v>0</v>
      </c>
      <c r="I30" s="23">
        <v>0</v>
      </c>
      <c r="J30" s="23">
        <v>11</v>
      </c>
      <c r="K30" s="23">
        <v>0</v>
      </c>
      <c r="L30" s="23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11</v>
      </c>
      <c r="X30" s="22">
        <v>4</v>
      </c>
      <c r="Y30" s="22">
        <v>7</v>
      </c>
      <c r="Z30" s="22">
        <v>3</v>
      </c>
      <c r="AA30" s="22">
        <v>2</v>
      </c>
      <c r="AB30" s="22">
        <v>1</v>
      </c>
      <c r="AC30" s="22">
        <v>0</v>
      </c>
      <c r="AD30" s="22">
        <v>0</v>
      </c>
      <c r="AE30" s="22">
        <v>0</v>
      </c>
      <c r="AF30" s="22">
        <v>8</v>
      </c>
      <c r="AG30" s="22">
        <v>2</v>
      </c>
      <c r="AH30" s="22">
        <v>6</v>
      </c>
      <c r="AI30" s="22">
        <v>1562</v>
      </c>
      <c r="AJ30" s="22">
        <v>537</v>
      </c>
      <c r="AK30" s="22">
        <v>1025</v>
      </c>
      <c r="AL30" s="22">
        <v>436</v>
      </c>
      <c r="AM30" s="22">
        <v>314</v>
      </c>
      <c r="AN30" s="22">
        <v>122</v>
      </c>
      <c r="AO30" s="22">
        <v>0</v>
      </c>
      <c r="AP30" s="22">
        <v>0</v>
      </c>
      <c r="AQ30" s="22">
        <v>0</v>
      </c>
      <c r="AR30" s="22">
        <v>1126</v>
      </c>
      <c r="AS30" s="22">
        <v>223</v>
      </c>
      <c r="AT30" s="22">
        <v>903</v>
      </c>
      <c r="AU30" s="22">
        <v>3502</v>
      </c>
      <c r="AV30" s="22">
        <v>1454</v>
      </c>
      <c r="AW30" s="22">
        <v>2048</v>
      </c>
      <c r="AX30" s="22">
        <v>1294</v>
      </c>
      <c r="AY30" s="22">
        <v>994</v>
      </c>
      <c r="AZ30" s="22">
        <v>300</v>
      </c>
      <c r="BA30" s="22">
        <v>0</v>
      </c>
      <c r="BB30" s="22">
        <v>0</v>
      </c>
      <c r="BC30" s="22">
        <v>0</v>
      </c>
      <c r="BD30" s="22">
        <v>2208</v>
      </c>
      <c r="BE30" s="22">
        <v>460</v>
      </c>
      <c r="BF30" s="22">
        <v>1748</v>
      </c>
    </row>
    <row r="31" spans="1:58">
      <c r="A31" s="14" t="s">
        <v>77</v>
      </c>
      <c r="B31" s="24"/>
    </row>
    <row r="32" spans="1:58" ht="15">
      <c r="A32" s="15" t="s">
        <v>2</v>
      </c>
      <c r="B32" s="15"/>
    </row>
    <row r="34" spans="1:1">
      <c r="A34" s="31" t="s">
        <v>111</v>
      </c>
    </row>
  </sheetData>
  <mergeCells count="72">
    <mergeCell ref="BF6:BF7"/>
    <mergeCell ref="AY6:AY7"/>
    <mergeCell ref="AZ6:AZ7"/>
    <mergeCell ref="BA6:BA7"/>
    <mergeCell ref="BB6:BB7"/>
    <mergeCell ref="BC6:BC7"/>
    <mergeCell ref="BD6:BD7"/>
    <mergeCell ref="AU6:AU7"/>
    <mergeCell ref="AV6:AV7"/>
    <mergeCell ref="AW6:AW7"/>
    <mergeCell ref="AX6:AX7"/>
    <mergeCell ref="BE6:BE7"/>
    <mergeCell ref="AP6:AP7"/>
    <mergeCell ref="AQ6:AQ7"/>
    <mergeCell ref="AR6:AR7"/>
    <mergeCell ref="AS6:AS7"/>
    <mergeCell ref="AT6:AT7"/>
    <mergeCell ref="AE6:AE7"/>
    <mergeCell ref="AF6:AF7"/>
    <mergeCell ref="AM6:AM7"/>
    <mergeCell ref="AN6:AN7"/>
    <mergeCell ref="AO6:AO7"/>
    <mergeCell ref="AI6:AI7"/>
    <mergeCell ref="AJ6:AJ7"/>
    <mergeCell ref="AK6:AK7"/>
    <mergeCell ref="AL6:AL7"/>
    <mergeCell ref="AG6:AG7"/>
    <mergeCell ref="AH6:AH7"/>
    <mergeCell ref="AA6:AA7"/>
    <mergeCell ref="AB6:AB7"/>
    <mergeCell ref="AC6:AC7"/>
    <mergeCell ref="AD6:AD7"/>
    <mergeCell ref="W6:W7"/>
    <mergeCell ref="X6:X7"/>
    <mergeCell ref="BD5:BF5"/>
    <mergeCell ref="D6:D7"/>
    <mergeCell ref="E6:E7"/>
    <mergeCell ref="F6:F7"/>
    <mergeCell ref="G6:G7"/>
    <mergeCell ref="H6:H7"/>
    <mergeCell ref="Z5:AB5"/>
    <mergeCell ref="AC5:AE5"/>
    <mergeCell ref="AF5:AH5"/>
    <mergeCell ref="AL5:AN5"/>
    <mergeCell ref="AO5:AQ5"/>
    <mergeCell ref="AR5:AT5"/>
    <mergeCell ref="AX5:AZ5"/>
    <mergeCell ref="BA5:BC5"/>
    <mergeCell ref="Y6:Y7"/>
    <mergeCell ref="Z6:Z7"/>
    <mergeCell ref="A3:B7"/>
    <mergeCell ref="C3:C7"/>
    <mergeCell ref="M3:V3"/>
    <mergeCell ref="G5:H5"/>
    <mergeCell ref="I6:I7"/>
    <mergeCell ref="J6:J7"/>
    <mergeCell ref="I5:J5"/>
    <mergeCell ref="K5:L5"/>
    <mergeCell ref="K6:K7"/>
    <mergeCell ref="L6:L7"/>
    <mergeCell ref="M5:N5"/>
    <mergeCell ref="O5:P5"/>
    <mergeCell ref="Q5:R5"/>
    <mergeCell ref="S5:T5"/>
    <mergeCell ref="U5:U7"/>
    <mergeCell ref="V5:V7"/>
    <mergeCell ref="W3:BF3"/>
    <mergeCell ref="M4:T4"/>
    <mergeCell ref="U4:V4"/>
    <mergeCell ref="W4:AH4"/>
    <mergeCell ref="AI4:AT4"/>
    <mergeCell ref="AU4:BF4"/>
  </mergeCells>
  <phoneticPr fontId="6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  <pageSetUpPr fitToPage="1"/>
  </sheetPr>
  <dimension ref="A1:CK37"/>
  <sheetViews>
    <sheetView zoomScaleNormal="100" zoomScaleSheetLayoutView="75" workbookViewId="0">
      <pane xSplit="2" ySplit="7" topLeftCell="C20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0" style="3" customWidth="1"/>
    <col min="2" max="2" width="20" style="3" customWidth="1"/>
    <col min="3" max="12" width="10.83203125" style="3" customWidth="1"/>
    <col min="13" max="58" width="14.1640625" style="3" customWidth="1"/>
    <col min="59" max="16384" width="12" style="3"/>
  </cols>
  <sheetData>
    <row r="1" spans="1:89" ht="21">
      <c r="A1" s="1" t="s">
        <v>50</v>
      </c>
      <c r="B1" s="25"/>
    </row>
    <row r="2" spans="1:89" ht="25.5" customHeight="1">
      <c r="A2" s="26" t="s">
        <v>119</v>
      </c>
      <c r="B2" s="27"/>
      <c r="G2" s="16"/>
      <c r="H2" s="16"/>
    </row>
    <row r="3" spans="1:89" ht="16.5" customHeight="1">
      <c r="A3" s="329" t="s">
        <v>78</v>
      </c>
      <c r="B3" s="301"/>
      <c r="C3" s="314" t="s">
        <v>51</v>
      </c>
      <c r="D3" s="17" t="s">
        <v>79</v>
      </c>
      <c r="E3" s="17"/>
      <c r="F3" s="17"/>
      <c r="G3" s="17"/>
      <c r="H3" s="17"/>
      <c r="I3" s="17"/>
      <c r="J3" s="17"/>
      <c r="K3" s="17"/>
      <c r="L3" s="17"/>
      <c r="M3" s="332" t="s">
        <v>52</v>
      </c>
      <c r="N3" s="304"/>
      <c r="O3" s="304"/>
      <c r="P3" s="304"/>
      <c r="Q3" s="304"/>
      <c r="R3" s="304"/>
      <c r="S3" s="304"/>
      <c r="T3" s="304"/>
      <c r="U3" s="304"/>
      <c r="V3" s="340"/>
      <c r="W3" s="344" t="s">
        <v>53</v>
      </c>
      <c r="X3" s="344"/>
      <c r="Y3" s="344"/>
      <c r="Z3" s="344"/>
      <c r="AA3" s="344"/>
      <c r="AB3" s="344"/>
      <c r="AC3" s="344"/>
      <c r="AD3" s="344"/>
      <c r="AE3" s="344"/>
      <c r="AF3" s="344"/>
      <c r="AG3" s="344"/>
      <c r="AH3" s="344"/>
      <c r="AI3" s="344"/>
      <c r="AJ3" s="344"/>
      <c r="AK3" s="344"/>
      <c r="AL3" s="344"/>
      <c r="AM3" s="344"/>
      <c r="AN3" s="344"/>
      <c r="AO3" s="344"/>
      <c r="AP3" s="344"/>
      <c r="AQ3" s="344"/>
      <c r="AR3" s="344"/>
      <c r="AS3" s="344"/>
      <c r="AT3" s="344"/>
      <c r="AU3" s="344"/>
      <c r="AV3" s="344"/>
      <c r="AW3" s="344"/>
      <c r="AX3" s="344"/>
      <c r="AY3" s="344"/>
      <c r="AZ3" s="344"/>
      <c r="BA3" s="344"/>
      <c r="BB3" s="344"/>
      <c r="BC3" s="344"/>
      <c r="BD3" s="344"/>
      <c r="BE3" s="344"/>
      <c r="BF3" s="332"/>
    </row>
    <row r="4" spans="1:89" s="4" customFormat="1" ht="16.5" customHeight="1">
      <c r="A4" s="364"/>
      <c r="B4" s="302"/>
      <c r="C4" s="402"/>
      <c r="D4" s="17" t="s">
        <v>80</v>
      </c>
      <c r="E4" s="17"/>
      <c r="F4" s="17"/>
      <c r="G4" s="17"/>
      <c r="H4" s="17"/>
      <c r="I4" s="17"/>
      <c r="J4" s="17"/>
      <c r="K4" s="17"/>
      <c r="L4" s="17"/>
      <c r="M4" s="332" t="s">
        <v>54</v>
      </c>
      <c r="N4" s="304"/>
      <c r="O4" s="304"/>
      <c r="P4" s="304"/>
      <c r="Q4" s="304"/>
      <c r="R4" s="304"/>
      <c r="S4" s="304"/>
      <c r="T4" s="340"/>
      <c r="U4" s="324" t="s">
        <v>55</v>
      </c>
      <c r="V4" s="315"/>
      <c r="W4" s="344" t="s">
        <v>81</v>
      </c>
      <c r="X4" s="344"/>
      <c r="Y4" s="344"/>
      <c r="Z4" s="344"/>
      <c r="AA4" s="344"/>
      <c r="AB4" s="344"/>
      <c r="AC4" s="344"/>
      <c r="AD4" s="344"/>
      <c r="AE4" s="344"/>
      <c r="AF4" s="344"/>
      <c r="AG4" s="344"/>
      <c r="AH4" s="344"/>
      <c r="AI4" s="344" t="s">
        <v>57</v>
      </c>
      <c r="AJ4" s="344"/>
      <c r="AK4" s="344"/>
      <c r="AL4" s="344"/>
      <c r="AM4" s="344"/>
      <c r="AN4" s="344"/>
      <c r="AO4" s="344"/>
      <c r="AP4" s="344"/>
      <c r="AQ4" s="344"/>
      <c r="AR4" s="344"/>
      <c r="AS4" s="344"/>
      <c r="AT4" s="344"/>
      <c r="AU4" s="344" t="s">
        <v>58</v>
      </c>
      <c r="AV4" s="344"/>
      <c r="AW4" s="344"/>
      <c r="AX4" s="344"/>
      <c r="AY4" s="344"/>
      <c r="AZ4" s="344"/>
      <c r="BA4" s="344"/>
      <c r="BB4" s="344"/>
      <c r="BC4" s="344"/>
      <c r="BD4" s="344"/>
      <c r="BE4" s="344"/>
      <c r="BF4" s="332"/>
    </row>
    <row r="5" spans="1:89" s="9" customFormat="1" ht="30" customHeight="1">
      <c r="A5" s="364"/>
      <c r="B5" s="302"/>
      <c r="C5" s="402"/>
      <c r="D5" s="5" t="s">
        <v>59</v>
      </c>
      <c r="E5" s="6"/>
      <c r="F5" s="7"/>
      <c r="G5" s="311" t="s">
        <v>60</v>
      </c>
      <c r="H5" s="340"/>
      <c r="I5" s="311" t="s">
        <v>61</v>
      </c>
      <c r="J5" s="340"/>
      <c r="K5" s="311" t="s">
        <v>62</v>
      </c>
      <c r="L5" s="340"/>
      <c r="M5" s="311" t="s">
        <v>63</v>
      </c>
      <c r="N5" s="340"/>
      <c r="O5" s="311" t="s">
        <v>64</v>
      </c>
      <c r="P5" s="313"/>
      <c r="Q5" s="311" t="s">
        <v>65</v>
      </c>
      <c r="R5" s="313"/>
      <c r="S5" s="311" t="s">
        <v>66</v>
      </c>
      <c r="T5" s="313"/>
      <c r="U5" s="322" t="s">
        <v>67</v>
      </c>
      <c r="V5" s="322" t="s">
        <v>68</v>
      </c>
      <c r="W5" s="5" t="s">
        <v>59</v>
      </c>
      <c r="X5" s="6"/>
      <c r="Y5" s="7"/>
      <c r="Z5" s="339" t="s">
        <v>69</v>
      </c>
      <c r="AA5" s="339"/>
      <c r="AB5" s="339"/>
      <c r="AC5" s="339" t="s">
        <v>70</v>
      </c>
      <c r="AD5" s="339"/>
      <c r="AE5" s="339"/>
      <c r="AF5" s="339" t="s">
        <v>71</v>
      </c>
      <c r="AG5" s="339"/>
      <c r="AH5" s="339"/>
      <c r="AI5" s="5" t="s">
        <v>59</v>
      </c>
      <c r="AJ5" s="6"/>
      <c r="AK5" s="7"/>
      <c r="AL5" s="339" t="s">
        <v>69</v>
      </c>
      <c r="AM5" s="339"/>
      <c r="AN5" s="339"/>
      <c r="AO5" s="339" t="s">
        <v>70</v>
      </c>
      <c r="AP5" s="339"/>
      <c r="AQ5" s="339"/>
      <c r="AR5" s="339" t="s">
        <v>71</v>
      </c>
      <c r="AS5" s="339"/>
      <c r="AT5" s="339"/>
      <c r="AU5" s="5" t="s">
        <v>59</v>
      </c>
      <c r="AV5" s="8"/>
      <c r="AW5" s="7"/>
      <c r="AX5" s="339" t="s">
        <v>69</v>
      </c>
      <c r="AY5" s="339"/>
      <c r="AZ5" s="339"/>
      <c r="BA5" s="339" t="s">
        <v>70</v>
      </c>
      <c r="BB5" s="339"/>
      <c r="BC5" s="339"/>
      <c r="BD5" s="339" t="s">
        <v>71</v>
      </c>
      <c r="BE5" s="339"/>
      <c r="BF5" s="311"/>
    </row>
    <row r="6" spans="1:89" ht="16.5" customHeight="1">
      <c r="A6" s="364"/>
      <c r="B6" s="302"/>
      <c r="C6" s="402"/>
      <c r="D6" s="322" t="s">
        <v>72</v>
      </c>
      <c r="E6" s="322" t="s">
        <v>73</v>
      </c>
      <c r="F6" s="322" t="s">
        <v>74</v>
      </c>
      <c r="G6" s="322" t="s">
        <v>73</v>
      </c>
      <c r="H6" s="322" t="s">
        <v>74</v>
      </c>
      <c r="I6" s="322" t="s">
        <v>73</v>
      </c>
      <c r="J6" s="322" t="s">
        <v>74</v>
      </c>
      <c r="K6" s="322" t="s">
        <v>73</v>
      </c>
      <c r="L6" s="322" t="s">
        <v>74</v>
      </c>
      <c r="M6" s="10" t="s">
        <v>75</v>
      </c>
      <c r="N6" s="10" t="s">
        <v>76</v>
      </c>
      <c r="O6" s="10" t="s">
        <v>75</v>
      </c>
      <c r="P6" s="10" t="s">
        <v>76</v>
      </c>
      <c r="Q6" s="10" t="s">
        <v>75</v>
      </c>
      <c r="R6" s="10" t="s">
        <v>76</v>
      </c>
      <c r="S6" s="10" t="s">
        <v>75</v>
      </c>
      <c r="T6" s="10" t="s">
        <v>76</v>
      </c>
      <c r="U6" s="338"/>
      <c r="V6" s="338"/>
      <c r="W6" s="322" t="s">
        <v>72</v>
      </c>
      <c r="X6" s="322" t="s">
        <v>73</v>
      </c>
      <c r="Y6" s="322" t="s">
        <v>74</v>
      </c>
      <c r="Z6" s="322" t="s">
        <v>72</v>
      </c>
      <c r="AA6" s="322" t="s">
        <v>73</v>
      </c>
      <c r="AB6" s="322" t="s">
        <v>74</v>
      </c>
      <c r="AC6" s="322" t="s">
        <v>72</v>
      </c>
      <c r="AD6" s="322" t="s">
        <v>73</v>
      </c>
      <c r="AE6" s="322" t="s">
        <v>74</v>
      </c>
      <c r="AF6" s="322" t="s">
        <v>72</v>
      </c>
      <c r="AG6" s="322" t="s">
        <v>73</v>
      </c>
      <c r="AH6" s="322" t="s">
        <v>74</v>
      </c>
      <c r="AI6" s="322" t="s">
        <v>72</v>
      </c>
      <c r="AJ6" s="322" t="s">
        <v>73</v>
      </c>
      <c r="AK6" s="322" t="s">
        <v>74</v>
      </c>
      <c r="AL6" s="322" t="s">
        <v>72</v>
      </c>
      <c r="AM6" s="322" t="s">
        <v>73</v>
      </c>
      <c r="AN6" s="322" t="s">
        <v>74</v>
      </c>
      <c r="AO6" s="322" t="s">
        <v>72</v>
      </c>
      <c r="AP6" s="322" t="s">
        <v>73</v>
      </c>
      <c r="AQ6" s="322" t="s">
        <v>74</v>
      </c>
      <c r="AR6" s="322" t="s">
        <v>72</v>
      </c>
      <c r="AS6" s="322" t="s">
        <v>73</v>
      </c>
      <c r="AT6" s="322" t="s">
        <v>74</v>
      </c>
      <c r="AU6" s="322" t="s">
        <v>72</v>
      </c>
      <c r="AV6" s="322" t="s">
        <v>73</v>
      </c>
      <c r="AW6" s="322" t="s">
        <v>74</v>
      </c>
      <c r="AX6" s="322" t="s">
        <v>72</v>
      </c>
      <c r="AY6" s="322" t="s">
        <v>73</v>
      </c>
      <c r="AZ6" s="322" t="s">
        <v>74</v>
      </c>
      <c r="BA6" s="322" t="s">
        <v>72</v>
      </c>
      <c r="BB6" s="322" t="s">
        <v>73</v>
      </c>
      <c r="BC6" s="322" t="s">
        <v>74</v>
      </c>
      <c r="BD6" s="322" t="s">
        <v>72</v>
      </c>
      <c r="BE6" s="322" t="s">
        <v>73</v>
      </c>
      <c r="BF6" s="314" t="s">
        <v>74</v>
      </c>
    </row>
    <row r="7" spans="1:89">
      <c r="A7" s="331"/>
      <c r="B7" s="303"/>
      <c r="C7" s="403"/>
      <c r="D7" s="323"/>
      <c r="E7" s="323"/>
      <c r="F7" s="323"/>
      <c r="G7" s="323"/>
      <c r="H7" s="323"/>
      <c r="I7" s="323"/>
      <c r="J7" s="323"/>
      <c r="K7" s="323"/>
      <c r="L7" s="323"/>
      <c r="M7" s="11" t="s">
        <v>0</v>
      </c>
      <c r="N7" s="11" t="s">
        <v>1</v>
      </c>
      <c r="O7" s="11" t="s">
        <v>0</v>
      </c>
      <c r="P7" s="11" t="s">
        <v>1</v>
      </c>
      <c r="Q7" s="11" t="s">
        <v>0</v>
      </c>
      <c r="R7" s="11" t="s">
        <v>1</v>
      </c>
      <c r="S7" s="11" t="s">
        <v>0</v>
      </c>
      <c r="T7" s="11" t="s">
        <v>1</v>
      </c>
      <c r="U7" s="323"/>
      <c r="V7" s="323"/>
      <c r="W7" s="323"/>
      <c r="X7" s="323"/>
      <c r="Y7" s="323"/>
      <c r="Z7" s="323"/>
      <c r="AA7" s="323"/>
      <c r="AB7" s="323"/>
      <c r="AC7" s="323"/>
      <c r="AD7" s="323"/>
      <c r="AE7" s="323"/>
      <c r="AF7" s="323"/>
      <c r="AG7" s="323"/>
      <c r="AH7" s="323"/>
      <c r="AI7" s="323"/>
      <c r="AJ7" s="323"/>
      <c r="AK7" s="323"/>
      <c r="AL7" s="323"/>
      <c r="AM7" s="323"/>
      <c r="AN7" s="323"/>
      <c r="AO7" s="323"/>
      <c r="AP7" s="323"/>
      <c r="AQ7" s="323"/>
      <c r="AR7" s="323"/>
      <c r="AS7" s="323"/>
      <c r="AT7" s="323"/>
      <c r="AU7" s="323"/>
      <c r="AV7" s="323"/>
      <c r="AW7" s="323"/>
      <c r="AX7" s="323"/>
      <c r="AY7" s="323"/>
      <c r="AZ7" s="323"/>
      <c r="BA7" s="323"/>
      <c r="BB7" s="323"/>
      <c r="BC7" s="323"/>
      <c r="BD7" s="323"/>
      <c r="BE7" s="323"/>
      <c r="BF7" s="326"/>
    </row>
    <row r="8" spans="1:89" s="13" customFormat="1" ht="17.100000000000001" customHeight="1">
      <c r="A8" s="32" t="s">
        <v>121</v>
      </c>
      <c r="B8" s="28" t="s">
        <v>39</v>
      </c>
      <c r="C8" s="41">
        <v>181</v>
      </c>
      <c r="D8" s="41">
        <v>8368</v>
      </c>
      <c r="E8" s="41">
        <v>635</v>
      </c>
      <c r="F8" s="41">
        <v>7733</v>
      </c>
      <c r="G8" s="41">
        <v>422</v>
      </c>
      <c r="H8" s="41">
        <v>5337</v>
      </c>
      <c r="I8" s="41">
        <v>206</v>
      </c>
      <c r="J8" s="41">
        <v>2365</v>
      </c>
      <c r="K8" s="41">
        <v>7</v>
      </c>
      <c r="L8" s="41">
        <v>31</v>
      </c>
      <c r="M8" s="41">
        <v>138</v>
      </c>
      <c r="N8" s="41">
        <v>580</v>
      </c>
      <c r="O8" s="41">
        <v>70</v>
      </c>
      <c r="P8" s="41">
        <v>247</v>
      </c>
      <c r="Q8" s="41">
        <v>51</v>
      </c>
      <c r="R8" s="41">
        <v>159</v>
      </c>
      <c r="S8" s="41">
        <v>17</v>
      </c>
      <c r="T8" s="41">
        <v>174</v>
      </c>
      <c r="U8" s="41">
        <v>472</v>
      </c>
      <c r="V8" s="41">
        <v>12059</v>
      </c>
      <c r="W8" s="41">
        <v>46428</v>
      </c>
      <c r="X8" s="41">
        <v>18630</v>
      </c>
      <c r="Y8" s="41">
        <v>27798</v>
      </c>
      <c r="Z8" s="41">
        <v>10128</v>
      </c>
      <c r="AA8" s="41">
        <v>5134</v>
      </c>
      <c r="AB8" s="41">
        <v>4994</v>
      </c>
      <c r="AC8" s="41">
        <v>5675</v>
      </c>
      <c r="AD8" s="41">
        <v>2720</v>
      </c>
      <c r="AE8" s="41">
        <v>2955</v>
      </c>
      <c r="AF8" s="41">
        <v>30625</v>
      </c>
      <c r="AG8" s="41">
        <v>10776</v>
      </c>
      <c r="AH8" s="41">
        <v>19849</v>
      </c>
      <c r="AI8" s="41">
        <v>7174484</v>
      </c>
      <c r="AJ8" s="41">
        <v>2983757</v>
      </c>
      <c r="AK8" s="41">
        <v>4190727</v>
      </c>
      <c r="AL8" s="41">
        <v>1762029</v>
      </c>
      <c r="AM8" s="41">
        <v>862706</v>
      </c>
      <c r="AN8" s="41">
        <v>899323</v>
      </c>
      <c r="AO8" s="41">
        <v>912105</v>
      </c>
      <c r="AP8" s="41">
        <v>451946</v>
      </c>
      <c r="AQ8" s="41">
        <v>460159</v>
      </c>
      <c r="AR8" s="41">
        <v>4500350</v>
      </c>
      <c r="AS8" s="41">
        <v>1669105</v>
      </c>
      <c r="AT8" s="41">
        <v>2831245</v>
      </c>
      <c r="AU8" s="41">
        <v>11851477.6</v>
      </c>
      <c r="AV8" s="41">
        <v>5069287.8</v>
      </c>
      <c r="AW8" s="41">
        <v>6782189.7999999998</v>
      </c>
      <c r="AX8" s="41">
        <v>3073158.4</v>
      </c>
      <c r="AY8" s="41">
        <v>1497012</v>
      </c>
      <c r="AZ8" s="41">
        <v>1576146.4</v>
      </c>
      <c r="BA8" s="41">
        <v>1594656.7</v>
      </c>
      <c r="BB8" s="41">
        <v>807449</v>
      </c>
      <c r="BC8" s="41">
        <v>787207.7</v>
      </c>
      <c r="BD8" s="41">
        <v>7183662.5</v>
      </c>
      <c r="BE8" s="41">
        <v>2764826.8</v>
      </c>
      <c r="BF8" s="41">
        <v>4418835.7</v>
      </c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29"/>
      <c r="CI8" s="29"/>
      <c r="CJ8" s="29"/>
      <c r="CK8" s="29"/>
    </row>
    <row r="9" spans="1:89" s="18" customFormat="1" ht="21" customHeight="1">
      <c r="A9" s="47" t="s">
        <v>125</v>
      </c>
      <c r="B9" s="35" t="s">
        <v>24</v>
      </c>
      <c r="C9" s="41">
        <v>15</v>
      </c>
      <c r="D9" s="41">
        <v>1010</v>
      </c>
      <c r="E9" s="41">
        <v>92</v>
      </c>
      <c r="F9" s="41">
        <v>918</v>
      </c>
      <c r="G9" s="41">
        <v>59</v>
      </c>
      <c r="H9" s="41">
        <v>671</v>
      </c>
      <c r="I9" s="41">
        <v>33</v>
      </c>
      <c r="J9" s="41">
        <v>247</v>
      </c>
      <c r="K9" s="41">
        <v>0</v>
      </c>
      <c r="L9" s="41">
        <v>0</v>
      </c>
      <c r="M9" s="41">
        <v>0</v>
      </c>
      <c r="N9" s="41">
        <v>0</v>
      </c>
      <c r="O9" s="41">
        <v>0</v>
      </c>
      <c r="P9" s="41">
        <v>0</v>
      </c>
      <c r="Q9" s="41">
        <v>0</v>
      </c>
      <c r="R9" s="41">
        <v>0</v>
      </c>
      <c r="S9" s="41">
        <v>0</v>
      </c>
      <c r="T9" s="41">
        <v>0</v>
      </c>
      <c r="U9" s="41">
        <v>42</v>
      </c>
      <c r="V9" s="41">
        <v>1170</v>
      </c>
      <c r="W9" s="41">
        <v>4564</v>
      </c>
      <c r="X9" s="41">
        <v>1961</v>
      </c>
      <c r="Y9" s="41">
        <v>2603</v>
      </c>
      <c r="Z9" s="41">
        <v>868</v>
      </c>
      <c r="AA9" s="41">
        <v>387</v>
      </c>
      <c r="AB9" s="41">
        <v>481</v>
      </c>
      <c r="AC9" s="41">
        <v>619</v>
      </c>
      <c r="AD9" s="41">
        <v>317</v>
      </c>
      <c r="AE9" s="41">
        <v>302</v>
      </c>
      <c r="AF9" s="41">
        <v>3077</v>
      </c>
      <c r="AG9" s="41">
        <v>1257</v>
      </c>
      <c r="AH9" s="41">
        <v>1820</v>
      </c>
      <c r="AI9" s="41">
        <v>788144</v>
      </c>
      <c r="AJ9" s="41">
        <v>333320</v>
      </c>
      <c r="AK9" s="41">
        <v>454824</v>
      </c>
      <c r="AL9" s="41">
        <v>173589</v>
      </c>
      <c r="AM9" s="41">
        <v>74898</v>
      </c>
      <c r="AN9" s="41">
        <v>98691</v>
      </c>
      <c r="AO9" s="41">
        <v>111413</v>
      </c>
      <c r="AP9" s="41">
        <v>54942</v>
      </c>
      <c r="AQ9" s="41">
        <v>56471</v>
      </c>
      <c r="AR9" s="41">
        <v>503142</v>
      </c>
      <c r="AS9" s="41">
        <v>203480</v>
      </c>
      <c r="AT9" s="41">
        <v>299662</v>
      </c>
      <c r="AU9" s="41">
        <v>1287455.2</v>
      </c>
      <c r="AV9" s="41">
        <v>601709.5</v>
      </c>
      <c r="AW9" s="41">
        <v>685745.7</v>
      </c>
      <c r="AX9" s="41">
        <v>310303.2</v>
      </c>
      <c r="AY9" s="41">
        <v>133510</v>
      </c>
      <c r="AZ9" s="41">
        <v>176793.2</v>
      </c>
      <c r="BA9" s="41">
        <v>208222</v>
      </c>
      <c r="BB9" s="41">
        <v>106513.5</v>
      </c>
      <c r="BC9" s="41">
        <v>101708.5</v>
      </c>
      <c r="BD9" s="41">
        <v>768930</v>
      </c>
      <c r="BE9" s="41">
        <v>361686</v>
      </c>
      <c r="BF9" s="41">
        <v>407244</v>
      </c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30"/>
      <c r="CI9" s="30"/>
    </row>
    <row r="10" spans="1:89" s="18" customFormat="1" ht="21" customHeight="1">
      <c r="A10" s="47" t="s">
        <v>126</v>
      </c>
      <c r="B10" s="35" t="s">
        <v>25</v>
      </c>
      <c r="C10" s="41">
        <v>17</v>
      </c>
      <c r="D10" s="41">
        <v>578</v>
      </c>
      <c r="E10" s="41">
        <v>68</v>
      </c>
      <c r="F10" s="41">
        <v>510</v>
      </c>
      <c r="G10" s="41">
        <v>34</v>
      </c>
      <c r="H10" s="41">
        <v>234</v>
      </c>
      <c r="I10" s="41">
        <v>33</v>
      </c>
      <c r="J10" s="41">
        <v>270</v>
      </c>
      <c r="K10" s="41">
        <v>1</v>
      </c>
      <c r="L10" s="41">
        <v>6</v>
      </c>
      <c r="M10" s="41">
        <v>4</v>
      </c>
      <c r="N10" s="41">
        <v>114</v>
      </c>
      <c r="O10" s="41">
        <v>2</v>
      </c>
      <c r="P10" s="41">
        <v>68</v>
      </c>
      <c r="Q10" s="41">
        <v>1</v>
      </c>
      <c r="R10" s="41">
        <v>23</v>
      </c>
      <c r="S10" s="41">
        <v>1</v>
      </c>
      <c r="T10" s="41">
        <v>23</v>
      </c>
      <c r="U10" s="41">
        <v>2</v>
      </c>
      <c r="V10" s="41">
        <v>87</v>
      </c>
      <c r="W10" s="41">
        <v>2844</v>
      </c>
      <c r="X10" s="41">
        <v>1249</v>
      </c>
      <c r="Y10" s="41">
        <v>1595</v>
      </c>
      <c r="Z10" s="41">
        <v>758</v>
      </c>
      <c r="AA10" s="41">
        <v>413</v>
      </c>
      <c r="AB10" s="41">
        <v>345</v>
      </c>
      <c r="AC10" s="41">
        <v>107</v>
      </c>
      <c r="AD10" s="41">
        <v>58</v>
      </c>
      <c r="AE10" s="41">
        <v>49</v>
      </c>
      <c r="AF10" s="41">
        <v>1979</v>
      </c>
      <c r="AG10" s="41">
        <v>778</v>
      </c>
      <c r="AH10" s="41">
        <v>1201</v>
      </c>
      <c r="AI10" s="41">
        <v>422565</v>
      </c>
      <c r="AJ10" s="41">
        <v>192590</v>
      </c>
      <c r="AK10" s="41">
        <v>229975</v>
      </c>
      <c r="AL10" s="41">
        <v>128176</v>
      </c>
      <c r="AM10" s="41">
        <v>67841</v>
      </c>
      <c r="AN10" s="41">
        <v>60335</v>
      </c>
      <c r="AO10" s="41">
        <v>18366</v>
      </c>
      <c r="AP10" s="41">
        <v>10631</v>
      </c>
      <c r="AQ10" s="41">
        <v>7735</v>
      </c>
      <c r="AR10" s="41">
        <v>276023</v>
      </c>
      <c r="AS10" s="41">
        <v>114118</v>
      </c>
      <c r="AT10" s="41">
        <v>161905</v>
      </c>
      <c r="AU10" s="41">
        <v>829729.7</v>
      </c>
      <c r="AV10" s="41">
        <v>375481.5</v>
      </c>
      <c r="AW10" s="41">
        <v>454248.2</v>
      </c>
      <c r="AX10" s="41">
        <v>253766.2</v>
      </c>
      <c r="AY10" s="41">
        <v>131583.5</v>
      </c>
      <c r="AZ10" s="41">
        <v>122182.7</v>
      </c>
      <c r="BA10" s="41">
        <v>35930.5</v>
      </c>
      <c r="BB10" s="41">
        <v>21180.5</v>
      </c>
      <c r="BC10" s="41">
        <v>14750</v>
      </c>
      <c r="BD10" s="41">
        <v>540033</v>
      </c>
      <c r="BE10" s="41">
        <v>222717.5</v>
      </c>
      <c r="BF10" s="41">
        <v>317315.5</v>
      </c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30"/>
      <c r="CI10" s="30"/>
    </row>
    <row r="11" spans="1:89" s="18" customFormat="1" ht="21" customHeight="1">
      <c r="A11" s="47" t="s">
        <v>127</v>
      </c>
      <c r="B11" s="35" t="s">
        <v>49</v>
      </c>
      <c r="C11" s="41">
        <v>4</v>
      </c>
      <c r="D11" s="41">
        <v>587</v>
      </c>
      <c r="E11" s="41">
        <v>32</v>
      </c>
      <c r="F11" s="41">
        <v>555</v>
      </c>
      <c r="G11" s="41">
        <v>32</v>
      </c>
      <c r="H11" s="41">
        <v>555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2307</v>
      </c>
      <c r="X11" s="41">
        <v>1089</v>
      </c>
      <c r="Y11" s="41">
        <v>1218</v>
      </c>
      <c r="Z11" s="41">
        <v>691</v>
      </c>
      <c r="AA11" s="41">
        <v>347</v>
      </c>
      <c r="AB11" s="41">
        <v>344</v>
      </c>
      <c r="AC11" s="41">
        <v>227</v>
      </c>
      <c r="AD11" s="41">
        <v>140</v>
      </c>
      <c r="AE11" s="41">
        <v>87</v>
      </c>
      <c r="AF11" s="41">
        <v>1389</v>
      </c>
      <c r="AG11" s="41">
        <v>602</v>
      </c>
      <c r="AH11" s="41">
        <v>787</v>
      </c>
      <c r="AI11" s="41">
        <v>387513</v>
      </c>
      <c r="AJ11" s="41">
        <v>183457</v>
      </c>
      <c r="AK11" s="41">
        <v>204056</v>
      </c>
      <c r="AL11" s="41">
        <v>122897</v>
      </c>
      <c r="AM11" s="41">
        <v>59752</v>
      </c>
      <c r="AN11" s="41">
        <v>63145</v>
      </c>
      <c r="AO11" s="41">
        <v>37210</v>
      </c>
      <c r="AP11" s="41">
        <v>23285</v>
      </c>
      <c r="AQ11" s="41">
        <v>13925</v>
      </c>
      <c r="AR11" s="41">
        <v>227406</v>
      </c>
      <c r="AS11" s="41">
        <v>100420</v>
      </c>
      <c r="AT11" s="41">
        <v>126986</v>
      </c>
      <c r="AU11" s="41">
        <v>839089</v>
      </c>
      <c r="AV11" s="41">
        <v>408288.5</v>
      </c>
      <c r="AW11" s="41">
        <v>430800.5</v>
      </c>
      <c r="AX11" s="41">
        <v>285862.5</v>
      </c>
      <c r="AY11" s="41">
        <v>138945.5</v>
      </c>
      <c r="AZ11" s="41">
        <v>146917</v>
      </c>
      <c r="BA11" s="41">
        <v>84263</v>
      </c>
      <c r="BB11" s="41">
        <v>52708.5</v>
      </c>
      <c r="BC11" s="41">
        <v>31554.5</v>
      </c>
      <c r="BD11" s="41">
        <v>468963.5</v>
      </c>
      <c r="BE11" s="41">
        <v>216634.5</v>
      </c>
      <c r="BF11" s="41">
        <v>252329</v>
      </c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30"/>
      <c r="CI11" s="30"/>
    </row>
    <row r="12" spans="1:89" s="18" customFormat="1" ht="21" customHeight="1">
      <c r="A12" s="47" t="s">
        <v>128</v>
      </c>
      <c r="B12" s="35" t="s">
        <v>26</v>
      </c>
      <c r="C12" s="41">
        <v>15</v>
      </c>
      <c r="D12" s="41">
        <v>694</v>
      </c>
      <c r="E12" s="41">
        <v>43</v>
      </c>
      <c r="F12" s="41">
        <v>651</v>
      </c>
      <c r="G12" s="41">
        <v>24</v>
      </c>
      <c r="H12" s="41">
        <v>399</v>
      </c>
      <c r="I12" s="41">
        <v>19</v>
      </c>
      <c r="J12" s="41">
        <v>252</v>
      </c>
      <c r="K12" s="41">
        <v>0</v>
      </c>
      <c r="L12" s="41">
        <v>0</v>
      </c>
      <c r="M12" s="41">
        <v>2</v>
      </c>
      <c r="N12" s="41">
        <v>40</v>
      </c>
      <c r="O12" s="41">
        <v>0</v>
      </c>
      <c r="P12" s="41">
        <v>0</v>
      </c>
      <c r="Q12" s="41">
        <v>0</v>
      </c>
      <c r="R12" s="41">
        <v>0</v>
      </c>
      <c r="S12" s="41">
        <v>2</v>
      </c>
      <c r="T12" s="41">
        <v>40</v>
      </c>
      <c r="U12" s="41">
        <v>40</v>
      </c>
      <c r="V12" s="41">
        <v>1015</v>
      </c>
      <c r="W12" s="41">
        <v>3227</v>
      </c>
      <c r="X12" s="41">
        <v>1393</v>
      </c>
      <c r="Y12" s="41">
        <v>1834</v>
      </c>
      <c r="Z12" s="41">
        <v>981</v>
      </c>
      <c r="AA12" s="41">
        <v>487</v>
      </c>
      <c r="AB12" s="41">
        <v>494</v>
      </c>
      <c r="AC12" s="41">
        <v>340</v>
      </c>
      <c r="AD12" s="41">
        <v>169</v>
      </c>
      <c r="AE12" s="41">
        <v>171</v>
      </c>
      <c r="AF12" s="41">
        <v>1906</v>
      </c>
      <c r="AG12" s="41">
        <v>737</v>
      </c>
      <c r="AH12" s="41">
        <v>1169</v>
      </c>
      <c r="AI12" s="41">
        <v>483148</v>
      </c>
      <c r="AJ12" s="41">
        <v>214199</v>
      </c>
      <c r="AK12" s="41">
        <v>268949</v>
      </c>
      <c r="AL12" s="41">
        <v>159040</v>
      </c>
      <c r="AM12" s="41">
        <v>77964</v>
      </c>
      <c r="AN12" s="41">
        <v>81076</v>
      </c>
      <c r="AO12" s="41">
        <v>58647</v>
      </c>
      <c r="AP12" s="41">
        <v>30057</v>
      </c>
      <c r="AQ12" s="41">
        <v>28590</v>
      </c>
      <c r="AR12" s="41">
        <v>265461</v>
      </c>
      <c r="AS12" s="41">
        <v>106178</v>
      </c>
      <c r="AT12" s="41">
        <v>159283</v>
      </c>
      <c r="AU12" s="41">
        <v>988843.5</v>
      </c>
      <c r="AV12" s="41">
        <v>451791.5</v>
      </c>
      <c r="AW12" s="41">
        <v>537052</v>
      </c>
      <c r="AX12" s="41">
        <v>338414.5</v>
      </c>
      <c r="AY12" s="41">
        <v>167389</v>
      </c>
      <c r="AZ12" s="41">
        <v>171025.5</v>
      </c>
      <c r="BA12" s="41">
        <v>128020.5</v>
      </c>
      <c r="BB12" s="41">
        <v>68777</v>
      </c>
      <c r="BC12" s="41">
        <v>59243.5</v>
      </c>
      <c r="BD12" s="41">
        <v>522408.5</v>
      </c>
      <c r="BE12" s="41">
        <v>215625.5</v>
      </c>
      <c r="BF12" s="41">
        <v>306783</v>
      </c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30"/>
      <c r="CI12" s="30"/>
    </row>
    <row r="13" spans="1:89" s="18" customFormat="1" ht="21" customHeight="1">
      <c r="A13" s="47" t="s">
        <v>129</v>
      </c>
      <c r="B13" s="35" t="s">
        <v>27</v>
      </c>
      <c r="C13" s="41">
        <v>13</v>
      </c>
      <c r="D13" s="41">
        <v>663</v>
      </c>
      <c r="E13" s="41">
        <v>51</v>
      </c>
      <c r="F13" s="41">
        <v>612</v>
      </c>
      <c r="G13" s="41">
        <v>50</v>
      </c>
      <c r="H13" s="41">
        <v>581</v>
      </c>
      <c r="I13" s="41">
        <v>1</v>
      </c>
      <c r="J13" s="41">
        <v>31</v>
      </c>
      <c r="K13" s="41">
        <v>0</v>
      </c>
      <c r="L13" s="41">
        <v>0</v>
      </c>
      <c r="M13" s="41">
        <v>2</v>
      </c>
      <c r="N13" s="41">
        <v>35</v>
      </c>
      <c r="O13" s="41">
        <v>1</v>
      </c>
      <c r="P13" s="41">
        <v>26</v>
      </c>
      <c r="Q13" s="41">
        <v>0</v>
      </c>
      <c r="R13" s="41">
        <v>0</v>
      </c>
      <c r="S13" s="41">
        <v>1</v>
      </c>
      <c r="T13" s="41">
        <v>9</v>
      </c>
      <c r="U13" s="41">
        <v>106</v>
      </c>
      <c r="V13" s="41">
        <v>4699</v>
      </c>
      <c r="W13" s="41">
        <v>4256</v>
      </c>
      <c r="X13" s="41">
        <v>1655</v>
      </c>
      <c r="Y13" s="41">
        <v>2601</v>
      </c>
      <c r="Z13" s="41">
        <v>677</v>
      </c>
      <c r="AA13" s="41">
        <v>332</v>
      </c>
      <c r="AB13" s="41">
        <v>345</v>
      </c>
      <c r="AC13" s="41">
        <v>634</v>
      </c>
      <c r="AD13" s="41">
        <v>323</v>
      </c>
      <c r="AE13" s="41">
        <v>311</v>
      </c>
      <c r="AF13" s="41">
        <v>2945</v>
      </c>
      <c r="AG13" s="41">
        <v>1000</v>
      </c>
      <c r="AH13" s="41">
        <v>1945</v>
      </c>
      <c r="AI13" s="41">
        <v>763457</v>
      </c>
      <c r="AJ13" s="41">
        <v>300807</v>
      </c>
      <c r="AK13" s="41">
        <v>462650</v>
      </c>
      <c r="AL13" s="41">
        <v>130450</v>
      </c>
      <c r="AM13" s="41">
        <v>61451</v>
      </c>
      <c r="AN13" s="41">
        <v>68999</v>
      </c>
      <c r="AO13" s="41">
        <v>112013</v>
      </c>
      <c r="AP13" s="41">
        <v>56260</v>
      </c>
      <c r="AQ13" s="41">
        <v>55753</v>
      </c>
      <c r="AR13" s="41">
        <v>520994</v>
      </c>
      <c r="AS13" s="41">
        <v>183096</v>
      </c>
      <c r="AT13" s="41">
        <v>337898</v>
      </c>
      <c r="AU13" s="41">
        <v>1028109</v>
      </c>
      <c r="AV13" s="41">
        <v>400423</v>
      </c>
      <c r="AW13" s="41">
        <v>627686</v>
      </c>
      <c r="AX13" s="41">
        <v>187631.5</v>
      </c>
      <c r="AY13" s="41">
        <v>85525</v>
      </c>
      <c r="AZ13" s="41">
        <v>102106.5</v>
      </c>
      <c r="BA13" s="41">
        <v>162571.5</v>
      </c>
      <c r="BB13" s="41">
        <v>82135</v>
      </c>
      <c r="BC13" s="41">
        <v>80436.5</v>
      </c>
      <c r="BD13" s="41">
        <v>677906</v>
      </c>
      <c r="BE13" s="41">
        <v>232763</v>
      </c>
      <c r="BF13" s="41">
        <v>445143</v>
      </c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30"/>
      <c r="CI13" s="30"/>
    </row>
    <row r="14" spans="1:89" s="18" customFormat="1" ht="21" customHeight="1">
      <c r="A14" s="48" t="s">
        <v>130</v>
      </c>
      <c r="B14" s="35" t="s">
        <v>28</v>
      </c>
      <c r="C14" s="41">
        <v>32</v>
      </c>
      <c r="D14" s="41">
        <v>1469</v>
      </c>
      <c r="E14" s="41">
        <v>96</v>
      </c>
      <c r="F14" s="41">
        <v>1373</v>
      </c>
      <c r="G14" s="41">
        <v>5</v>
      </c>
      <c r="H14" s="41">
        <v>185</v>
      </c>
      <c r="I14" s="41">
        <v>85</v>
      </c>
      <c r="J14" s="41">
        <v>1163</v>
      </c>
      <c r="K14" s="41">
        <v>6</v>
      </c>
      <c r="L14" s="41">
        <v>25</v>
      </c>
      <c r="M14" s="41">
        <v>4</v>
      </c>
      <c r="N14" s="41">
        <v>113</v>
      </c>
      <c r="O14" s="41">
        <v>1</v>
      </c>
      <c r="P14" s="41">
        <v>40</v>
      </c>
      <c r="Q14" s="41">
        <v>2</v>
      </c>
      <c r="R14" s="41">
        <v>60</v>
      </c>
      <c r="S14" s="41">
        <v>1</v>
      </c>
      <c r="T14" s="41">
        <v>13</v>
      </c>
      <c r="U14" s="41">
        <v>32</v>
      </c>
      <c r="V14" s="41">
        <v>1666</v>
      </c>
      <c r="W14" s="41">
        <v>6922</v>
      </c>
      <c r="X14" s="41">
        <v>2814</v>
      </c>
      <c r="Y14" s="41">
        <v>4108</v>
      </c>
      <c r="Z14" s="41">
        <v>1801</v>
      </c>
      <c r="AA14" s="41">
        <v>824</v>
      </c>
      <c r="AB14" s="41">
        <v>977</v>
      </c>
      <c r="AC14" s="41">
        <v>845</v>
      </c>
      <c r="AD14" s="41">
        <v>419</v>
      </c>
      <c r="AE14" s="41">
        <v>426</v>
      </c>
      <c r="AF14" s="41">
        <v>4276</v>
      </c>
      <c r="AG14" s="41">
        <v>1571</v>
      </c>
      <c r="AH14" s="41">
        <v>2705</v>
      </c>
      <c r="AI14" s="41">
        <v>1375623</v>
      </c>
      <c r="AJ14" s="41">
        <v>573685</v>
      </c>
      <c r="AK14" s="41">
        <v>801938</v>
      </c>
      <c r="AL14" s="41">
        <v>396760</v>
      </c>
      <c r="AM14" s="41">
        <v>180381</v>
      </c>
      <c r="AN14" s="41">
        <v>216379</v>
      </c>
      <c r="AO14" s="41">
        <v>168998</v>
      </c>
      <c r="AP14" s="41">
        <v>88141</v>
      </c>
      <c r="AQ14" s="41">
        <v>80857</v>
      </c>
      <c r="AR14" s="41">
        <v>809865</v>
      </c>
      <c r="AS14" s="41">
        <v>305163</v>
      </c>
      <c r="AT14" s="41">
        <v>504702</v>
      </c>
      <c r="AU14" s="41">
        <v>2177134.5</v>
      </c>
      <c r="AV14" s="41">
        <v>918444.5</v>
      </c>
      <c r="AW14" s="41">
        <v>1258690</v>
      </c>
      <c r="AX14" s="41">
        <v>661707.5</v>
      </c>
      <c r="AY14" s="41">
        <v>296540.5</v>
      </c>
      <c r="AZ14" s="41">
        <v>365167</v>
      </c>
      <c r="BA14" s="41">
        <v>284289.5</v>
      </c>
      <c r="BB14" s="41">
        <v>152674.5</v>
      </c>
      <c r="BC14" s="41">
        <v>131615</v>
      </c>
      <c r="BD14" s="41">
        <v>1231137.5</v>
      </c>
      <c r="BE14" s="41">
        <v>469229.5</v>
      </c>
      <c r="BF14" s="41">
        <v>761908</v>
      </c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30"/>
      <c r="CI14" s="30"/>
    </row>
    <row r="15" spans="1:89" ht="21" customHeight="1">
      <c r="A15" s="45" t="s">
        <v>131</v>
      </c>
      <c r="B15" s="19" t="s">
        <v>7</v>
      </c>
      <c r="C15" s="20">
        <v>5</v>
      </c>
      <c r="D15" s="12">
        <v>104</v>
      </c>
      <c r="E15" s="12">
        <v>12</v>
      </c>
      <c r="F15" s="12">
        <v>92</v>
      </c>
      <c r="G15" s="12">
        <v>12</v>
      </c>
      <c r="H15" s="12">
        <v>91</v>
      </c>
      <c r="I15" s="12">
        <v>0</v>
      </c>
      <c r="J15" s="12">
        <v>1</v>
      </c>
      <c r="K15" s="12">
        <v>0</v>
      </c>
      <c r="L15" s="12">
        <v>0</v>
      </c>
      <c r="M15" s="20">
        <v>35</v>
      </c>
      <c r="N15" s="20">
        <v>68</v>
      </c>
      <c r="O15" s="20">
        <v>23</v>
      </c>
      <c r="P15" s="20">
        <v>48</v>
      </c>
      <c r="Q15" s="20">
        <v>12</v>
      </c>
      <c r="R15" s="20">
        <v>20</v>
      </c>
      <c r="S15" s="20">
        <v>0</v>
      </c>
      <c r="T15" s="20">
        <v>0</v>
      </c>
      <c r="U15" s="20">
        <v>22</v>
      </c>
      <c r="V15" s="20">
        <v>238</v>
      </c>
      <c r="W15" s="20">
        <v>824</v>
      </c>
      <c r="X15" s="20">
        <v>368</v>
      </c>
      <c r="Y15" s="20">
        <v>456</v>
      </c>
      <c r="Z15" s="20">
        <v>158</v>
      </c>
      <c r="AA15" s="20">
        <v>78</v>
      </c>
      <c r="AB15" s="20">
        <v>80</v>
      </c>
      <c r="AC15" s="20">
        <v>154</v>
      </c>
      <c r="AD15" s="20">
        <v>69</v>
      </c>
      <c r="AE15" s="20">
        <v>85</v>
      </c>
      <c r="AF15" s="20">
        <v>512</v>
      </c>
      <c r="AG15" s="20">
        <v>221</v>
      </c>
      <c r="AH15" s="20">
        <v>291</v>
      </c>
      <c r="AI15" s="20">
        <v>97062</v>
      </c>
      <c r="AJ15" s="20">
        <v>45699</v>
      </c>
      <c r="AK15" s="20">
        <v>51363</v>
      </c>
      <c r="AL15" s="20">
        <v>19249</v>
      </c>
      <c r="AM15" s="20">
        <v>9652</v>
      </c>
      <c r="AN15" s="20">
        <v>9597</v>
      </c>
      <c r="AO15" s="20">
        <v>18218</v>
      </c>
      <c r="AP15" s="20">
        <v>8888</v>
      </c>
      <c r="AQ15" s="20">
        <v>9330</v>
      </c>
      <c r="AR15" s="20">
        <v>59595</v>
      </c>
      <c r="AS15" s="20">
        <v>27159</v>
      </c>
      <c r="AT15" s="20">
        <v>32436</v>
      </c>
      <c r="AU15" s="20">
        <v>156850.5</v>
      </c>
      <c r="AV15" s="20">
        <v>73673</v>
      </c>
      <c r="AW15" s="20">
        <v>83177.5</v>
      </c>
      <c r="AX15" s="20">
        <v>31971.5</v>
      </c>
      <c r="AY15" s="20">
        <v>16467.5</v>
      </c>
      <c r="AZ15" s="20">
        <v>15504</v>
      </c>
      <c r="BA15" s="20">
        <v>31091.5</v>
      </c>
      <c r="BB15" s="20">
        <v>15194.5</v>
      </c>
      <c r="BC15" s="20">
        <v>15897</v>
      </c>
      <c r="BD15" s="20">
        <v>93787.5</v>
      </c>
      <c r="BE15" s="20">
        <v>42011</v>
      </c>
      <c r="BF15" s="20">
        <v>51776.5</v>
      </c>
    </row>
    <row r="16" spans="1:89" ht="21" customHeight="1">
      <c r="A16" s="45" t="s">
        <v>132</v>
      </c>
      <c r="B16" s="19" t="s">
        <v>9</v>
      </c>
      <c r="C16" s="20">
        <v>6</v>
      </c>
      <c r="D16" s="12">
        <v>156</v>
      </c>
      <c r="E16" s="12">
        <v>15</v>
      </c>
      <c r="F16" s="12">
        <v>141</v>
      </c>
      <c r="G16" s="12">
        <v>14</v>
      </c>
      <c r="H16" s="12">
        <v>118</v>
      </c>
      <c r="I16" s="12">
        <v>1</v>
      </c>
      <c r="J16" s="12">
        <v>23</v>
      </c>
      <c r="K16" s="12">
        <v>0</v>
      </c>
      <c r="L16" s="12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4</v>
      </c>
      <c r="V16" s="20">
        <v>84</v>
      </c>
      <c r="W16" s="20">
        <v>605</v>
      </c>
      <c r="X16" s="20">
        <v>297</v>
      </c>
      <c r="Y16" s="20">
        <v>308</v>
      </c>
      <c r="Z16" s="20">
        <v>190</v>
      </c>
      <c r="AA16" s="20">
        <v>123</v>
      </c>
      <c r="AB16" s="20">
        <v>67</v>
      </c>
      <c r="AC16" s="20">
        <v>20</v>
      </c>
      <c r="AD16" s="20">
        <v>7</v>
      </c>
      <c r="AE16" s="20">
        <v>13</v>
      </c>
      <c r="AF16" s="20">
        <v>395</v>
      </c>
      <c r="AG16" s="20">
        <v>167</v>
      </c>
      <c r="AH16" s="20">
        <v>228</v>
      </c>
      <c r="AI16" s="20">
        <v>118644</v>
      </c>
      <c r="AJ16" s="20">
        <v>55249</v>
      </c>
      <c r="AK16" s="20">
        <v>63395</v>
      </c>
      <c r="AL16" s="20">
        <v>35499</v>
      </c>
      <c r="AM16" s="20">
        <v>21110</v>
      </c>
      <c r="AN16" s="20">
        <v>14389</v>
      </c>
      <c r="AO16" s="20">
        <v>3887</v>
      </c>
      <c r="AP16" s="20">
        <v>1371</v>
      </c>
      <c r="AQ16" s="20">
        <v>2516</v>
      </c>
      <c r="AR16" s="20">
        <v>79258</v>
      </c>
      <c r="AS16" s="20">
        <v>32768</v>
      </c>
      <c r="AT16" s="20">
        <v>46490</v>
      </c>
      <c r="AU16" s="20">
        <v>234768.8</v>
      </c>
      <c r="AV16" s="20">
        <v>113847.8</v>
      </c>
      <c r="AW16" s="20">
        <v>120921</v>
      </c>
      <c r="AX16" s="20">
        <v>76999.5</v>
      </c>
      <c r="AY16" s="20">
        <v>45837.5</v>
      </c>
      <c r="AZ16" s="20">
        <v>31162</v>
      </c>
      <c r="BA16" s="20">
        <v>7378</v>
      </c>
      <c r="BB16" s="20">
        <v>2476</v>
      </c>
      <c r="BC16" s="20">
        <v>4902</v>
      </c>
      <c r="BD16" s="20">
        <v>150391.29999999999</v>
      </c>
      <c r="BE16" s="20">
        <v>65534.3</v>
      </c>
      <c r="BF16" s="20">
        <v>84857</v>
      </c>
    </row>
    <row r="17" spans="1:58" ht="21" customHeight="1">
      <c r="A17" s="45" t="s">
        <v>133</v>
      </c>
      <c r="B17" s="19" t="s">
        <v>10</v>
      </c>
      <c r="C17" s="20">
        <v>5</v>
      </c>
      <c r="D17" s="12">
        <v>231</v>
      </c>
      <c r="E17" s="12">
        <v>13</v>
      </c>
      <c r="F17" s="12">
        <v>218</v>
      </c>
      <c r="G17" s="12">
        <v>2</v>
      </c>
      <c r="H17" s="12">
        <v>77</v>
      </c>
      <c r="I17" s="12">
        <v>11</v>
      </c>
      <c r="J17" s="12">
        <v>141</v>
      </c>
      <c r="K17" s="12">
        <v>0</v>
      </c>
      <c r="L17" s="12">
        <v>0</v>
      </c>
      <c r="M17" s="20">
        <v>15</v>
      </c>
      <c r="N17" s="20">
        <v>30</v>
      </c>
      <c r="O17" s="20">
        <v>11</v>
      </c>
      <c r="P17" s="20">
        <v>10</v>
      </c>
      <c r="Q17" s="20">
        <v>1</v>
      </c>
      <c r="R17" s="20">
        <v>2</v>
      </c>
      <c r="S17" s="20">
        <v>3</v>
      </c>
      <c r="T17" s="20">
        <v>18</v>
      </c>
      <c r="U17" s="20">
        <v>21</v>
      </c>
      <c r="V17" s="20">
        <v>847</v>
      </c>
      <c r="W17" s="20">
        <v>1241</v>
      </c>
      <c r="X17" s="20">
        <v>486</v>
      </c>
      <c r="Y17" s="20">
        <v>755</v>
      </c>
      <c r="Z17" s="20">
        <v>227</v>
      </c>
      <c r="AA17" s="20">
        <v>109</v>
      </c>
      <c r="AB17" s="20">
        <v>118</v>
      </c>
      <c r="AC17" s="20">
        <v>168</v>
      </c>
      <c r="AD17" s="20">
        <v>89</v>
      </c>
      <c r="AE17" s="20">
        <v>79</v>
      </c>
      <c r="AF17" s="20">
        <v>846</v>
      </c>
      <c r="AG17" s="20">
        <v>288</v>
      </c>
      <c r="AH17" s="20">
        <v>558</v>
      </c>
      <c r="AI17" s="20">
        <v>237064</v>
      </c>
      <c r="AJ17" s="20">
        <v>93936</v>
      </c>
      <c r="AK17" s="20">
        <v>143128</v>
      </c>
      <c r="AL17" s="20">
        <v>42265</v>
      </c>
      <c r="AM17" s="20">
        <v>19425</v>
      </c>
      <c r="AN17" s="20">
        <v>22840</v>
      </c>
      <c r="AO17" s="20">
        <v>35496</v>
      </c>
      <c r="AP17" s="20">
        <v>18648</v>
      </c>
      <c r="AQ17" s="20">
        <v>16848</v>
      </c>
      <c r="AR17" s="20">
        <v>159303</v>
      </c>
      <c r="AS17" s="20">
        <v>55863</v>
      </c>
      <c r="AT17" s="20">
        <v>103440</v>
      </c>
      <c r="AU17" s="20">
        <v>310226.5</v>
      </c>
      <c r="AV17" s="20">
        <v>124663</v>
      </c>
      <c r="AW17" s="20">
        <v>185563.5</v>
      </c>
      <c r="AX17" s="20">
        <v>55412</v>
      </c>
      <c r="AY17" s="20">
        <v>25518.5</v>
      </c>
      <c r="AZ17" s="20">
        <v>29893.5</v>
      </c>
      <c r="BA17" s="20">
        <v>48860</v>
      </c>
      <c r="BB17" s="20">
        <v>25981</v>
      </c>
      <c r="BC17" s="20">
        <v>22879</v>
      </c>
      <c r="BD17" s="20">
        <v>205954.5</v>
      </c>
      <c r="BE17" s="20">
        <v>73163.5</v>
      </c>
      <c r="BF17" s="20">
        <v>132791</v>
      </c>
    </row>
    <row r="18" spans="1:58" ht="21" customHeight="1">
      <c r="A18" s="45" t="s">
        <v>134</v>
      </c>
      <c r="B18" s="19" t="s">
        <v>11</v>
      </c>
      <c r="C18" s="20">
        <v>7</v>
      </c>
      <c r="D18" s="12">
        <v>519</v>
      </c>
      <c r="E18" s="12">
        <v>57</v>
      </c>
      <c r="F18" s="12">
        <v>462</v>
      </c>
      <c r="G18" s="12">
        <v>50</v>
      </c>
      <c r="H18" s="12">
        <v>419</v>
      </c>
      <c r="I18" s="12">
        <v>7</v>
      </c>
      <c r="J18" s="12">
        <v>43</v>
      </c>
      <c r="K18" s="12">
        <v>0</v>
      </c>
      <c r="L18" s="12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3518</v>
      </c>
      <c r="X18" s="20">
        <v>1244</v>
      </c>
      <c r="Y18" s="20">
        <v>2274</v>
      </c>
      <c r="Z18" s="20">
        <v>501</v>
      </c>
      <c r="AA18" s="20">
        <v>235</v>
      </c>
      <c r="AB18" s="20">
        <v>266</v>
      </c>
      <c r="AC18" s="20">
        <v>486</v>
      </c>
      <c r="AD18" s="20">
        <v>222</v>
      </c>
      <c r="AE18" s="20">
        <v>264</v>
      </c>
      <c r="AF18" s="20">
        <v>2531</v>
      </c>
      <c r="AG18" s="20">
        <v>787</v>
      </c>
      <c r="AH18" s="20">
        <v>1744</v>
      </c>
      <c r="AI18" s="20">
        <v>425101</v>
      </c>
      <c r="AJ18" s="20">
        <v>159115</v>
      </c>
      <c r="AK18" s="20">
        <v>265986</v>
      </c>
      <c r="AL18" s="20">
        <v>64605</v>
      </c>
      <c r="AM18" s="20">
        <v>29276</v>
      </c>
      <c r="AN18" s="20">
        <v>35329</v>
      </c>
      <c r="AO18" s="20">
        <v>64921</v>
      </c>
      <c r="AP18" s="20">
        <v>30767</v>
      </c>
      <c r="AQ18" s="20">
        <v>34154</v>
      </c>
      <c r="AR18" s="20">
        <v>295575</v>
      </c>
      <c r="AS18" s="20">
        <v>99072</v>
      </c>
      <c r="AT18" s="20">
        <v>196503</v>
      </c>
      <c r="AU18" s="20">
        <v>854201</v>
      </c>
      <c r="AV18" s="20">
        <v>322892.5</v>
      </c>
      <c r="AW18" s="20">
        <v>531308.5</v>
      </c>
      <c r="AX18" s="20">
        <v>130246</v>
      </c>
      <c r="AY18" s="20">
        <v>58566</v>
      </c>
      <c r="AZ18" s="20">
        <v>71680</v>
      </c>
      <c r="BA18" s="20">
        <v>132617</v>
      </c>
      <c r="BB18" s="20">
        <v>63435</v>
      </c>
      <c r="BC18" s="20">
        <v>69182</v>
      </c>
      <c r="BD18" s="20">
        <v>591338</v>
      </c>
      <c r="BE18" s="20">
        <v>200891.5</v>
      </c>
      <c r="BF18" s="20">
        <v>390446.5</v>
      </c>
    </row>
    <row r="19" spans="1:58" ht="21" customHeight="1">
      <c r="A19" s="45" t="s">
        <v>135</v>
      </c>
      <c r="B19" s="19" t="s">
        <v>12</v>
      </c>
      <c r="C19" s="20">
        <v>11</v>
      </c>
      <c r="D19" s="12">
        <v>430</v>
      </c>
      <c r="E19" s="12">
        <v>20</v>
      </c>
      <c r="F19" s="12">
        <v>410</v>
      </c>
      <c r="G19" s="12">
        <v>20</v>
      </c>
      <c r="H19" s="12">
        <v>410</v>
      </c>
      <c r="I19" s="12">
        <v>0</v>
      </c>
      <c r="J19" s="12">
        <v>0</v>
      </c>
      <c r="K19" s="12">
        <v>0</v>
      </c>
      <c r="L19" s="12">
        <v>0</v>
      </c>
      <c r="M19" s="20">
        <v>1</v>
      </c>
      <c r="N19" s="20">
        <v>21</v>
      </c>
      <c r="O19" s="20">
        <v>1</v>
      </c>
      <c r="P19" s="20">
        <v>21</v>
      </c>
      <c r="Q19" s="20">
        <v>0</v>
      </c>
      <c r="R19" s="20">
        <v>0</v>
      </c>
      <c r="S19" s="20">
        <v>0</v>
      </c>
      <c r="T19" s="20">
        <v>0</v>
      </c>
      <c r="U19" s="20">
        <v>7</v>
      </c>
      <c r="V19" s="20">
        <v>525</v>
      </c>
      <c r="W19" s="20">
        <v>3466</v>
      </c>
      <c r="X19" s="20">
        <v>1013</v>
      </c>
      <c r="Y19" s="20">
        <v>2453</v>
      </c>
      <c r="Z19" s="20">
        <v>218</v>
      </c>
      <c r="AA19" s="20">
        <v>148</v>
      </c>
      <c r="AB19" s="20">
        <v>70</v>
      </c>
      <c r="AC19" s="20">
        <v>593</v>
      </c>
      <c r="AD19" s="20">
        <v>253</v>
      </c>
      <c r="AE19" s="20">
        <v>340</v>
      </c>
      <c r="AF19" s="20">
        <v>2655</v>
      </c>
      <c r="AG19" s="20">
        <v>612</v>
      </c>
      <c r="AH19" s="20">
        <v>2043</v>
      </c>
      <c r="AI19" s="20">
        <v>300291</v>
      </c>
      <c r="AJ19" s="20">
        <v>123406</v>
      </c>
      <c r="AK19" s="20">
        <v>176885</v>
      </c>
      <c r="AL19" s="20">
        <v>29744</v>
      </c>
      <c r="AM19" s="20">
        <v>20812</v>
      </c>
      <c r="AN19" s="20">
        <v>8932</v>
      </c>
      <c r="AO19" s="20">
        <v>77293</v>
      </c>
      <c r="AP19" s="20">
        <v>34152</v>
      </c>
      <c r="AQ19" s="20">
        <v>43141</v>
      </c>
      <c r="AR19" s="20">
        <v>193254</v>
      </c>
      <c r="AS19" s="20">
        <v>68442</v>
      </c>
      <c r="AT19" s="20">
        <v>124812</v>
      </c>
      <c r="AU19" s="20">
        <v>588882</v>
      </c>
      <c r="AV19" s="20">
        <v>247649</v>
      </c>
      <c r="AW19" s="20">
        <v>341233</v>
      </c>
      <c r="AX19" s="20">
        <v>55804</v>
      </c>
      <c r="AY19" s="20">
        <v>38632</v>
      </c>
      <c r="AZ19" s="20">
        <v>17172</v>
      </c>
      <c r="BA19" s="20">
        <v>156239</v>
      </c>
      <c r="BB19" s="20">
        <v>69811</v>
      </c>
      <c r="BC19" s="20">
        <v>86428</v>
      </c>
      <c r="BD19" s="20">
        <v>376839</v>
      </c>
      <c r="BE19" s="20">
        <v>139206</v>
      </c>
      <c r="BF19" s="20">
        <v>237633</v>
      </c>
    </row>
    <row r="20" spans="1:58" ht="21" customHeight="1">
      <c r="A20" s="45" t="s">
        <v>136</v>
      </c>
      <c r="B20" s="19" t="s">
        <v>13</v>
      </c>
      <c r="C20" s="20">
        <v>7</v>
      </c>
      <c r="D20" s="12">
        <v>328</v>
      </c>
      <c r="E20" s="12">
        <v>30</v>
      </c>
      <c r="F20" s="12">
        <v>298</v>
      </c>
      <c r="G20" s="12">
        <v>30</v>
      </c>
      <c r="H20" s="12">
        <v>294</v>
      </c>
      <c r="I20" s="12">
        <v>0</v>
      </c>
      <c r="J20" s="12">
        <v>4</v>
      </c>
      <c r="K20" s="12">
        <v>0</v>
      </c>
      <c r="L20" s="12">
        <v>0</v>
      </c>
      <c r="M20" s="20">
        <v>5</v>
      </c>
      <c r="N20" s="20">
        <v>29</v>
      </c>
      <c r="O20" s="20">
        <v>3</v>
      </c>
      <c r="P20" s="20">
        <v>5</v>
      </c>
      <c r="Q20" s="20">
        <v>0</v>
      </c>
      <c r="R20" s="20">
        <v>0</v>
      </c>
      <c r="S20" s="20">
        <v>2</v>
      </c>
      <c r="T20" s="20">
        <v>24</v>
      </c>
      <c r="U20" s="20">
        <v>7</v>
      </c>
      <c r="V20" s="20">
        <v>181</v>
      </c>
      <c r="W20" s="20">
        <v>2586</v>
      </c>
      <c r="X20" s="20">
        <v>933</v>
      </c>
      <c r="Y20" s="20">
        <v>1653</v>
      </c>
      <c r="Z20" s="20">
        <v>479</v>
      </c>
      <c r="AA20" s="20">
        <v>255</v>
      </c>
      <c r="AB20" s="20">
        <v>224</v>
      </c>
      <c r="AC20" s="20">
        <v>209</v>
      </c>
      <c r="AD20" s="20">
        <v>86</v>
      </c>
      <c r="AE20" s="20">
        <v>123</v>
      </c>
      <c r="AF20" s="20">
        <v>1898</v>
      </c>
      <c r="AG20" s="20">
        <v>592</v>
      </c>
      <c r="AH20" s="20">
        <v>1306</v>
      </c>
      <c r="AI20" s="20">
        <v>348408</v>
      </c>
      <c r="AJ20" s="20">
        <v>128642</v>
      </c>
      <c r="AK20" s="20">
        <v>219766</v>
      </c>
      <c r="AL20" s="20">
        <v>71877</v>
      </c>
      <c r="AM20" s="20">
        <v>36606</v>
      </c>
      <c r="AN20" s="20">
        <v>35271</v>
      </c>
      <c r="AO20" s="20">
        <v>31446</v>
      </c>
      <c r="AP20" s="20">
        <v>12913</v>
      </c>
      <c r="AQ20" s="20">
        <v>18533</v>
      </c>
      <c r="AR20" s="20">
        <v>245085</v>
      </c>
      <c r="AS20" s="20">
        <v>79123</v>
      </c>
      <c r="AT20" s="20">
        <v>165962</v>
      </c>
      <c r="AU20" s="20">
        <v>538103.4</v>
      </c>
      <c r="AV20" s="20">
        <v>197239</v>
      </c>
      <c r="AW20" s="20">
        <v>340864.4</v>
      </c>
      <c r="AX20" s="20">
        <v>117346.5</v>
      </c>
      <c r="AY20" s="20">
        <v>58171</v>
      </c>
      <c r="AZ20" s="20">
        <v>59175.5</v>
      </c>
      <c r="BA20" s="20">
        <v>50223.199999999997</v>
      </c>
      <c r="BB20" s="20">
        <v>21130</v>
      </c>
      <c r="BC20" s="20">
        <v>29093.200000000001</v>
      </c>
      <c r="BD20" s="20">
        <v>370533.7</v>
      </c>
      <c r="BE20" s="20">
        <v>117938</v>
      </c>
      <c r="BF20" s="20">
        <v>252595.7</v>
      </c>
    </row>
    <row r="21" spans="1:58" ht="21" customHeight="1">
      <c r="A21" s="45" t="s">
        <v>137</v>
      </c>
      <c r="B21" s="19" t="s">
        <v>14</v>
      </c>
      <c r="C21" s="20">
        <v>4</v>
      </c>
      <c r="D21" s="12">
        <v>270</v>
      </c>
      <c r="E21" s="12">
        <v>27</v>
      </c>
      <c r="F21" s="12">
        <v>243</v>
      </c>
      <c r="G21" s="12">
        <v>19</v>
      </c>
      <c r="H21" s="12">
        <v>186</v>
      </c>
      <c r="I21" s="12">
        <v>8</v>
      </c>
      <c r="J21" s="12">
        <v>57</v>
      </c>
      <c r="K21" s="12">
        <v>0</v>
      </c>
      <c r="L21" s="12">
        <v>0</v>
      </c>
      <c r="M21" s="20">
        <v>2</v>
      </c>
      <c r="N21" s="20">
        <v>26</v>
      </c>
      <c r="O21" s="20">
        <v>1</v>
      </c>
      <c r="P21" s="20">
        <v>13</v>
      </c>
      <c r="Q21" s="20">
        <v>0</v>
      </c>
      <c r="R21" s="20">
        <v>0</v>
      </c>
      <c r="S21" s="20">
        <v>1</v>
      </c>
      <c r="T21" s="20">
        <v>13</v>
      </c>
      <c r="U21" s="20">
        <v>12</v>
      </c>
      <c r="V21" s="20">
        <v>260</v>
      </c>
      <c r="W21" s="20">
        <v>1787</v>
      </c>
      <c r="X21" s="20">
        <v>661</v>
      </c>
      <c r="Y21" s="20">
        <v>1126</v>
      </c>
      <c r="Z21" s="20">
        <v>465</v>
      </c>
      <c r="AA21" s="20">
        <v>232</v>
      </c>
      <c r="AB21" s="20">
        <v>233</v>
      </c>
      <c r="AC21" s="20">
        <v>133</v>
      </c>
      <c r="AD21" s="20">
        <v>57</v>
      </c>
      <c r="AE21" s="20">
        <v>76</v>
      </c>
      <c r="AF21" s="20">
        <v>1189</v>
      </c>
      <c r="AG21" s="20">
        <v>372</v>
      </c>
      <c r="AH21" s="20">
        <v>817</v>
      </c>
      <c r="AI21" s="20">
        <v>348130</v>
      </c>
      <c r="AJ21" s="20">
        <v>129412</v>
      </c>
      <c r="AK21" s="20">
        <v>218718</v>
      </c>
      <c r="AL21" s="20">
        <v>102565</v>
      </c>
      <c r="AM21" s="20">
        <v>49256</v>
      </c>
      <c r="AN21" s="20">
        <v>53309</v>
      </c>
      <c r="AO21" s="20">
        <v>25649</v>
      </c>
      <c r="AP21" s="20">
        <v>10888</v>
      </c>
      <c r="AQ21" s="20">
        <v>14761</v>
      </c>
      <c r="AR21" s="20">
        <v>219916</v>
      </c>
      <c r="AS21" s="20">
        <v>69268</v>
      </c>
      <c r="AT21" s="20">
        <v>150648</v>
      </c>
      <c r="AU21" s="20">
        <v>428199.5</v>
      </c>
      <c r="AV21" s="20">
        <v>162371.5</v>
      </c>
      <c r="AW21" s="20">
        <v>265828</v>
      </c>
      <c r="AX21" s="20">
        <v>132647</v>
      </c>
      <c r="AY21" s="20">
        <v>64599.5</v>
      </c>
      <c r="AZ21" s="20">
        <v>68047.5</v>
      </c>
      <c r="BA21" s="20">
        <v>31607.5</v>
      </c>
      <c r="BB21" s="20">
        <v>13255.5</v>
      </c>
      <c r="BC21" s="20">
        <v>18352</v>
      </c>
      <c r="BD21" s="20">
        <v>263945</v>
      </c>
      <c r="BE21" s="20">
        <v>84516.5</v>
      </c>
      <c r="BF21" s="20">
        <v>179428.5</v>
      </c>
    </row>
    <row r="22" spans="1:58" ht="21" customHeight="1">
      <c r="A22" s="45" t="s">
        <v>138</v>
      </c>
      <c r="B22" s="19" t="s">
        <v>15</v>
      </c>
      <c r="C22" s="20">
        <v>17</v>
      </c>
      <c r="D22" s="12">
        <v>730</v>
      </c>
      <c r="E22" s="12">
        <v>46</v>
      </c>
      <c r="F22" s="12">
        <v>684</v>
      </c>
      <c r="G22" s="12">
        <v>43</v>
      </c>
      <c r="H22" s="12">
        <v>625</v>
      </c>
      <c r="I22" s="12">
        <v>3</v>
      </c>
      <c r="J22" s="12">
        <v>59</v>
      </c>
      <c r="K22" s="12">
        <v>0</v>
      </c>
      <c r="L22" s="12">
        <v>0</v>
      </c>
      <c r="M22" s="20">
        <v>22</v>
      </c>
      <c r="N22" s="20">
        <v>66</v>
      </c>
      <c r="O22" s="20">
        <v>5</v>
      </c>
      <c r="P22" s="20">
        <v>8</v>
      </c>
      <c r="Q22" s="20">
        <v>12</v>
      </c>
      <c r="R22" s="20">
        <v>27</v>
      </c>
      <c r="S22" s="20">
        <v>5</v>
      </c>
      <c r="T22" s="20">
        <v>31</v>
      </c>
      <c r="U22" s="20">
        <v>115</v>
      </c>
      <c r="V22" s="20">
        <v>730</v>
      </c>
      <c r="W22" s="20">
        <v>4382</v>
      </c>
      <c r="X22" s="20">
        <v>1832</v>
      </c>
      <c r="Y22" s="20">
        <v>2550</v>
      </c>
      <c r="Z22" s="20">
        <v>1040</v>
      </c>
      <c r="AA22" s="20">
        <v>559</v>
      </c>
      <c r="AB22" s="20">
        <v>481</v>
      </c>
      <c r="AC22" s="20">
        <v>707</v>
      </c>
      <c r="AD22" s="20">
        <v>297</v>
      </c>
      <c r="AE22" s="20">
        <v>410</v>
      </c>
      <c r="AF22" s="20">
        <v>2635</v>
      </c>
      <c r="AG22" s="20">
        <v>976</v>
      </c>
      <c r="AH22" s="20">
        <v>1659</v>
      </c>
      <c r="AI22" s="20">
        <v>495691</v>
      </c>
      <c r="AJ22" s="20">
        <v>197547</v>
      </c>
      <c r="AK22" s="20">
        <v>298144</v>
      </c>
      <c r="AL22" s="20">
        <v>109626</v>
      </c>
      <c r="AM22" s="20">
        <v>57083</v>
      </c>
      <c r="AN22" s="20">
        <v>52543</v>
      </c>
      <c r="AO22" s="20">
        <v>78806</v>
      </c>
      <c r="AP22" s="20">
        <v>33007</v>
      </c>
      <c r="AQ22" s="20">
        <v>45799</v>
      </c>
      <c r="AR22" s="20">
        <v>307259</v>
      </c>
      <c r="AS22" s="20">
        <v>107457</v>
      </c>
      <c r="AT22" s="20">
        <v>199802</v>
      </c>
      <c r="AU22" s="20">
        <v>722456.5</v>
      </c>
      <c r="AV22" s="20">
        <v>291425</v>
      </c>
      <c r="AW22" s="20">
        <v>431031.5</v>
      </c>
      <c r="AX22" s="20">
        <v>166975.5</v>
      </c>
      <c r="AY22" s="20">
        <v>86707.5</v>
      </c>
      <c r="AZ22" s="20">
        <v>80268</v>
      </c>
      <c r="BA22" s="20">
        <v>127332</v>
      </c>
      <c r="BB22" s="20">
        <v>53858.5</v>
      </c>
      <c r="BC22" s="20">
        <v>73473.5</v>
      </c>
      <c r="BD22" s="20">
        <v>428149</v>
      </c>
      <c r="BE22" s="20">
        <v>150859</v>
      </c>
      <c r="BF22" s="20">
        <v>277290</v>
      </c>
    </row>
    <row r="23" spans="1:58" ht="21" customHeight="1">
      <c r="A23" s="45" t="s">
        <v>139</v>
      </c>
      <c r="B23" s="19" t="s">
        <v>16</v>
      </c>
      <c r="C23" s="20">
        <v>6</v>
      </c>
      <c r="D23" s="12">
        <v>145</v>
      </c>
      <c r="E23" s="12">
        <v>3</v>
      </c>
      <c r="F23" s="12">
        <v>142</v>
      </c>
      <c r="G23" s="12">
        <v>3</v>
      </c>
      <c r="H23" s="12">
        <v>142</v>
      </c>
      <c r="I23" s="12">
        <v>0</v>
      </c>
      <c r="J23" s="12">
        <v>0</v>
      </c>
      <c r="K23" s="12">
        <v>0</v>
      </c>
      <c r="L23" s="12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13</v>
      </c>
      <c r="V23" s="20">
        <v>204</v>
      </c>
      <c r="W23" s="20">
        <v>927</v>
      </c>
      <c r="X23" s="20">
        <v>411</v>
      </c>
      <c r="Y23" s="20">
        <v>516</v>
      </c>
      <c r="Z23" s="20">
        <v>263</v>
      </c>
      <c r="AA23" s="20">
        <v>176</v>
      </c>
      <c r="AB23" s="20">
        <v>87</v>
      </c>
      <c r="AC23" s="20">
        <v>46</v>
      </c>
      <c r="AD23" s="20">
        <v>23</v>
      </c>
      <c r="AE23" s="20">
        <v>23</v>
      </c>
      <c r="AF23" s="20">
        <v>618</v>
      </c>
      <c r="AG23" s="20">
        <v>212</v>
      </c>
      <c r="AH23" s="20">
        <v>406</v>
      </c>
      <c r="AI23" s="20">
        <v>126594</v>
      </c>
      <c r="AJ23" s="20">
        <v>60344</v>
      </c>
      <c r="AK23" s="20">
        <v>66250</v>
      </c>
      <c r="AL23" s="20">
        <v>41655</v>
      </c>
      <c r="AM23" s="20">
        <v>28074</v>
      </c>
      <c r="AN23" s="20">
        <v>13581</v>
      </c>
      <c r="AO23" s="20">
        <v>6881</v>
      </c>
      <c r="AP23" s="20">
        <v>3734</v>
      </c>
      <c r="AQ23" s="20">
        <v>3147</v>
      </c>
      <c r="AR23" s="20">
        <v>78058</v>
      </c>
      <c r="AS23" s="20">
        <v>28536</v>
      </c>
      <c r="AT23" s="20">
        <v>49522</v>
      </c>
      <c r="AU23" s="20">
        <v>195252.5</v>
      </c>
      <c r="AV23" s="20">
        <v>94727</v>
      </c>
      <c r="AW23" s="20">
        <v>100525.5</v>
      </c>
      <c r="AX23" s="20">
        <v>67418</v>
      </c>
      <c r="AY23" s="20">
        <v>44742.5</v>
      </c>
      <c r="AZ23" s="20">
        <v>22675.5</v>
      </c>
      <c r="BA23" s="20">
        <v>10630.5</v>
      </c>
      <c r="BB23" s="20">
        <v>5647.5</v>
      </c>
      <c r="BC23" s="20">
        <v>4983</v>
      </c>
      <c r="BD23" s="20">
        <v>117204</v>
      </c>
      <c r="BE23" s="20">
        <v>44337</v>
      </c>
      <c r="BF23" s="20">
        <v>72867</v>
      </c>
    </row>
    <row r="24" spans="1:58" ht="21" customHeight="1">
      <c r="A24" s="45" t="s">
        <v>140</v>
      </c>
      <c r="B24" s="19" t="s">
        <v>17</v>
      </c>
      <c r="C24" s="20">
        <v>4</v>
      </c>
      <c r="D24" s="12">
        <v>131</v>
      </c>
      <c r="E24" s="12">
        <v>6</v>
      </c>
      <c r="F24" s="12">
        <v>125</v>
      </c>
      <c r="G24" s="12">
        <v>6</v>
      </c>
      <c r="H24" s="12">
        <v>125</v>
      </c>
      <c r="I24" s="12">
        <v>0</v>
      </c>
      <c r="J24" s="12">
        <v>0</v>
      </c>
      <c r="K24" s="12">
        <v>0</v>
      </c>
      <c r="L24" s="12">
        <v>0</v>
      </c>
      <c r="M24" s="20">
        <v>1</v>
      </c>
      <c r="N24" s="20">
        <v>14</v>
      </c>
      <c r="O24" s="20">
        <v>0</v>
      </c>
      <c r="P24" s="20">
        <v>0</v>
      </c>
      <c r="Q24" s="20">
        <v>1</v>
      </c>
      <c r="R24" s="20">
        <v>14</v>
      </c>
      <c r="S24" s="20">
        <v>0</v>
      </c>
      <c r="T24" s="20">
        <v>0</v>
      </c>
      <c r="U24" s="20">
        <v>23</v>
      </c>
      <c r="V24" s="20">
        <v>178</v>
      </c>
      <c r="W24" s="20">
        <v>1046</v>
      </c>
      <c r="X24" s="20">
        <v>460</v>
      </c>
      <c r="Y24" s="20">
        <v>586</v>
      </c>
      <c r="Z24" s="20">
        <v>252</v>
      </c>
      <c r="AA24" s="20">
        <v>155</v>
      </c>
      <c r="AB24" s="20">
        <v>97</v>
      </c>
      <c r="AC24" s="20">
        <v>195</v>
      </c>
      <c r="AD24" s="20">
        <v>102</v>
      </c>
      <c r="AE24" s="20">
        <v>93</v>
      </c>
      <c r="AF24" s="20">
        <v>599</v>
      </c>
      <c r="AG24" s="20">
        <v>203</v>
      </c>
      <c r="AH24" s="20">
        <v>396</v>
      </c>
      <c r="AI24" s="20">
        <v>140030</v>
      </c>
      <c r="AJ24" s="20">
        <v>65493</v>
      </c>
      <c r="AK24" s="20">
        <v>74537</v>
      </c>
      <c r="AL24" s="20">
        <v>35674</v>
      </c>
      <c r="AM24" s="20">
        <v>22939</v>
      </c>
      <c r="AN24" s="20">
        <v>12735</v>
      </c>
      <c r="AO24" s="20">
        <v>27783</v>
      </c>
      <c r="AP24" s="20">
        <v>16030</v>
      </c>
      <c r="AQ24" s="20">
        <v>11753</v>
      </c>
      <c r="AR24" s="20">
        <v>76573</v>
      </c>
      <c r="AS24" s="20">
        <v>26524</v>
      </c>
      <c r="AT24" s="20">
        <v>50049</v>
      </c>
      <c r="AU24" s="20">
        <v>198458</v>
      </c>
      <c r="AV24" s="20">
        <v>93577.5</v>
      </c>
      <c r="AW24" s="20">
        <v>104880.5</v>
      </c>
      <c r="AX24" s="20">
        <v>52850.5</v>
      </c>
      <c r="AY24" s="20">
        <v>33862</v>
      </c>
      <c r="AZ24" s="20">
        <v>18988.5</v>
      </c>
      <c r="BA24" s="20">
        <v>39359</v>
      </c>
      <c r="BB24" s="20">
        <v>22603</v>
      </c>
      <c r="BC24" s="20">
        <v>16756</v>
      </c>
      <c r="BD24" s="20">
        <v>106248.5</v>
      </c>
      <c r="BE24" s="20">
        <v>37112.5</v>
      </c>
      <c r="BF24" s="20">
        <v>69136</v>
      </c>
    </row>
    <row r="25" spans="1:58" ht="21" customHeight="1">
      <c r="A25" s="45" t="s">
        <v>141</v>
      </c>
      <c r="B25" s="19" t="s">
        <v>18</v>
      </c>
      <c r="C25" s="20">
        <v>2</v>
      </c>
      <c r="D25" s="12">
        <v>65</v>
      </c>
      <c r="E25" s="12">
        <v>4</v>
      </c>
      <c r="F25" s="12">
        <v>61</v>
      </c>
      <c r="G25" s="12">
        <v>0</v>
      </c>
      <c r="H25" s="12">
        <v>0</v>
      </c>
      <c r="I25" s="12">
        <v>4</v>
      </c>
      <c r="J25" s="12">
        <v>61</v>
      </c>
      <c r="K25" s="12">
        <v>0</v>
      </c>
      <c r="L25" s="12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1</v>
      </c>
      <c r="V25" s="20">
        <v>22</v>
      </c>
      <c r="W25" s="20">
        <v>472</v>
      </c>
      <c r="X25" s="20">
        <v>175</v>
      </c>
      <c r="Y25" s="20">
        <v>297</v>
      </c>
      <c r="Z25" s="20">
        <v>161</v>
      </c>
      <c r="AA25" s="20">
        <v>79</v>
      </c>
      <c r="AB25" s="20">
        <v>82</v>
      </c>
      <c r="AC25" s="20">
        <v>49</v>
      </c>
      <c r="AD25" s="20">
        <v>21</v>
      </c>
      <c r="AE25" s="20">
        <v>28</v>
      </c>
      <c r="AF25" s="20">
        <v>262</v>
      </c>
      <c r="AG25" s="20">
        <v>75</v>
      </c>
      <c r="AH25" s="20">
        <v>187</v>
      </c>
      <c r="AI25" s="20">
        <v>71636</v>
      </c>
      <c r="AJ25" s="20">
        <v>28360</v>
      </c>
      <c r="AK25" s="20">
        <v>43276</v>
      </c>
      <c r="AL25" s="20">
        <v>28832</v>
      </c>
      <c r="AM25" s="20">
        <v>14155</v>
      </c>
      <c r="AN25" s="20">
        <v>14677</v>
      </c>
      <c r="AO25" s="20">
        <v>8241</v>
      </c>
      <c r="AP25" s="20">
        <v>3585</v>
      </c>
      <c r="AQ25" s="20">
        <v>4656</v>
      </c>
      <c r="AR25" s="20">
        <v>34563</v>
      </c>
      <c r="AS25" s="20">
        <v>10620</v>
      </c>
      <c r="AT25" s="20">
        <v>23943</v>
      </c>
      <c r="AU25" s="20">
        <v>78768</v>
      </c>
      <c r="AV25" s="20">
        <v>32032</v>
      </c>
      <c r="AW25" s="20">
        <v>46736</v>
      </c>
      <c r="AX25" s="20">
        <v>30396.5</v>
      </c>
      <c r="AY25" s="20">
        <v>15380.5</v>
      </c>
      <c r="AZ25" s="20">
        <v>15016</v>
      </c>
      <c r="BA25" s="20">
        <v>9803.5</v>
      </c>
      <c r="BB25" s="20">
        <v>4211.5</v>
      </c>
      <c r="BC25" s="20">
        <v>5592</v>
      </c>
      <c r="BD25" s="20">
        <v>38568</v>
      </c>
      <c r="BE25" s="20">
        <v>12440</v>
      </c>
      <c r="BF25" s="20">
        <v>26128</v>
      </c>
    </row>
    <row r="26" spans="1:58" ht="21" customHeight="1">
      <c r="A26" s="45" t="s">
        <v>142</v>
      </c>
      <c r="B26" s="19" t="s">
        <v>19</v>
      </c>
      <c r="C26" s="20">
        <v>3</v>
      </c>
      <c r="D26" s="12">
        <v>77</v>
      </c>
      <c r="E26" s="12">
        <v>5</v>
      </c>
      <c r="F26" s="12">
        <v>72</v>
      </c>
      <c r="G26" s="12">
        <v>5</v>
      </c>
      <c r="H26" s="12">
        <v>72</v>
      </c>
      <c r="I26" s="12">
        <v>0</v>
      </c>
      <c r="J26" s="12">
        <v>0</v>
      </c>
      <c r="K26" s="12">
        <v>0</v>
      </c>
      <c r="L26" s="12">
        <v>0</v>
      </c>
      <c r="M26" s="20">
        <v>45</v>
      </c>
      <c r="N26" s="20">
        <v>24</v>
      </c>
      <c r="O26" s="20">
        <v>22</v>
      </c>
      <c r="P26" s="20">
        <v>8</v>
      </c>
      <c r="Q26" s="20">
        <v>22</v>
      </c>
      <c r="R26" s="20">
        <v>13</v>
      </c>
      <c r="S26" s="20">
        <v>1</v>
      </c>
      <c r="T26" s="20">
        <v>3</v>
      </c>
      <c r="U26" s="20">
        <v>25</v>
      </c>
      <c r="V26" s="20">
        <v>153</v>
      </c>
      <c r="W26" s="20">
        <v>471</v>
      </c>
      <c r="X26" s="20">
        <v>197</v>
      </c>
      <c r="Y26" s="20">
        <v>274</v>
      </c>
      <c r="Z26" s="20">
        <v>150</v>
      </c>
      <c r="AA26" s="20">
        <v>78</v>
      </c>
      <c r="AB26" s="20">
        <v>72</v>
      </c>
      <c r="AC26" s="20">
        <v>52</v>
      </c>
      <c r="AD26" s="20">
        <v>23</v>
      </c>
      <c r="AE26" s="20">
        <v>29</v>
      </c>
      <c r="AF26" s="20">
        <v>269</v>
      </c>
      <c r="AG26" s="20">
        <v>96</v>
      </c>
      <c r="AH26" s="20">
        <v>173</v>
      </c>
      <c r="AI26" s="20">
        <v>62668</v>
      </c>
      <c r="AJ26" s="20">
        <v>25979</v>
      </c>
      <c r="AK26" s="20">
        <v>36689</v>
      </c>
      <c r="AL26" s="20">
        <v>21019</v>
      </c>
      <c r="AM26" s="20">
        <v>10737</v>
      </c>
      <c r="AN26" s="20">
        <v>10282</v>
      </c>
      <c r="AO26" s="20">
        <v>8991</v>
      </c>
      <c r="AP26" s="20">
        <v>4063</v>
      </c>
      <c r="AQ26" s="20">
        <v>4928</v>
      </c>
      <c r="AR26" s="20">
        <v>32658</v>
      </c>
      <c r="AS26" s="20">
        <v>11179</v>
      </c>
      <c r="AT26" s="20">
        <v>21479</v>
      </c>
      <c r="AU26" s="20">
        <v>115578.5</v>
      </c>
      <c r="AV26" s="20">
        <v>46503.5</v>
      </c>
      <c r="AW26" s="20">
        <v>69075</v>
      </c>
      <c r="AX26" s="20">
        <v>40847.5</v>
      </c>
      <c r="AY26" s="20">
        <v>20678</v>
      </c>
      <c r="AZ26" s="20">
        <v>20169.5</v>
      </c>
      <c r="BA26" s="20">
        <v>17481.5</v>
      </c>
      <c r="BB26" s="20">
        <v>7651</v>
      </c>
      <c r="BC26" s="20">
        <v>9830.5</v>
      </c>
      <c r="BD26" s="20">
        <v>57249.5</v>
      </c>
      <c r="BE26" s="20">
        <v>18174.5</v>
      </c>
      <c r="BF26" s="20">
        <v>39075</v>
      </c>
    </row>
    <row r="27" spans="1:58" ht="21" customHeight="1">
      <c r="A27" s="45" t="s">
        <v>143</v>
      </c>
      <c r="B27" s="19" t="s">
        <v>20</v>
      </c>
      <c r="C27" s="20">
        <v>3</v>
      </c>
      <c r="D27" s="12">
        <v>47</v>
      </c>
      <c r="E27" s="12">
        <v>7</v>
      </c>
      <c r="F27" s="12">
        <v>40</v>
      </c>
      <c r="G27" s="12">
        <v>6</v>
      </c>
      <c r="H27" s="12">
        <v>39</v>
      </c>
      <c r="I27" s="12">
        <v>1</v>
      </c>
      <c r="J27" s="12">
        <v>1</v>
      </c>
      <c r="K27" s="12">
        <v>0</v>
      </c>
      <c r="L27" s="12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320</v>
      </c>
      <c r="X27" s="20">
        <v>137</v>
      </c>
      <c r="Y27" s="20">
        <v>183</v>
      </c>
      <c r="Z27" s="20">
        <v>92</v>
      </c>
      <c r="AA27" s="20">
        <v>47</v>
      </c>
      <c r="AB27" s="20">
        <v>45</v>
      </c>
      <c r="AC27" s="20">
        <v>42</v>
      </c>
      <c r="AD27" s="20">
        <v>22</v>
      </c>
      <c r="AE27" s="20">
        <v>20</v>
      </c>
      <c r="AF27" s="20">
        <v>186</v>
      </c>
      <c r="AG27" s="20">
        <v>68</v>
      </c>
      <c r="AH27" s="20">
        <v>118</v>
      </c>
      <c r="AI27" s="20">
        <v>55467</v>
      </c>
      <c r="AJ27" s="20">
        <v>25204</v>
      </c>
      <c r="AK27" s="20">
        <v>30263</v>
      </c>
      <c r="AL27" s="20">
        <v>18522</v>
      </c>
      <c r="AM27" s="20">
        <v>8826</v>
      </c>
      <c r="AN27" s="20">
        <v>9696</v>
      </c>
      <c r="AO27" s="20">
        <v>7037</v>
      </c>
      <c r="AP27" s="20">
        <v>4412</v>
      </c>
      <c r="AQ27" s="20">
        <v>2625</v>
      </c>
      <c r="AR27" s="20">
        <v>29908</v>
      </c>
      <c r="AS27" s="20">
        <v>11966</v>
      </c>
      <c r="AT27" s="20">
        <v>17942</v>
      </c>
      <c r="AU27" s="20">
        <v>93329</v>
      </c>
      <c r="AV27" s="20">
        <v>43048</v>
      </c>
      <c r="AW27" s="20">
        <v>50281</v>
      </c>
      <c r="AX27" s="20">
        <v>32762.5</v>
      </c>
      <c r="AY27" s="20">
        <v>15808</v>
      </c>
      <c r="AZ27" s="20">
        <v>16954.5</v>
      </c>
      <c r="BA27" s="20">
        <v>12100</v>
      </c>
      <c r="BB27" s="20">
        <v>8270</v>
      </c>
      <c r="BC27" s="20">
        <v>3830</v>
      </c>
      <c r="BD27" s="20">
        <v>48466.5</v>
      </c>
      <c r="BE27" s="20">
        <v>18970</v>
      </c>
      <c r="BF27" s="20">
        <v>29496.5</v>
      </c>
    </row>
    <row r="28" spans="1:58" ht="21" customHeight="1">
      <c r="A28" s="45" t="s">
        <v>144</v>
      </c>
      <c r="B28" s="19" t="s">
        <v>21</v>
      </c>
      <c r="C28" s="20">
        <v>3</v>
      </c>
      <c r="D28" s="12">
        <v>82</v>
      </c>
      <c r="E28" s="12">
        <v>6</v>
      </c>
      <c r="F28" s="12">
        <v>76</v>
      </c>
      <c r="G28" s="12">
        <v>6</v>
      </c>
      <c r="H28" s="12">
        <v>75</v>
      </c>
      <c r="I28" s="12">
        <v>0</v>
      </c>
      <c r="J28" s="12">
        <v>1</v>
      </c>
      <c r="K28" s="12">
        <v>0</v>
      </c>
      <c r="L28" s="12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489</v>
      </c>
      <c r="X28" s="20">
        <v>192</v>
      </c>
      <c r="Y28" s="20">
        <v>297</v>
      </c>
      <c r="Z28" s="20">
        <v>145</v>
      </c>
      <c r="AA28" s="20">
        <v>62</v>
      </c>
      <c r="AB28" s="20">
        <v>83</v>
      </c>
      <c r="AC28" s="20">
        <v>42</v>
      </c>
      <c r="AD28" s="20">
        <v>19</v>
      </c>
      <c r="AE28" s="20">
        <v>23</v>
      </c>
      <c r="AF28" s="20">
        <v>302</v>
      </c>
      <c r="AG28" s="20">
        <v>111</v>
      </c>
      <c r="AH28" s="20">
        <v>191</v>
      </c>
      <c r="AI28" s="20">
        <v>95759</v>
      </c>
      <c r="AJ28" s="20">
        <v>37017</v>
      </c>
      <c r="AK28" s="20">
        <v>58742</v>
      </c>
      <c r="AL28" s="20">
        <v>27940</v>
      </c>
      <c r="AM28" s="20">
        <v>11286</v>
      </c>
      <c r="AN28" s="20">
        <v>16654</v>
      </c>
      <c r="AO28" s="20">
        <v>8359</v>
      </c>
      <c r="AP28" s="20">
        <v>4846</v>
      </c>
      <c r="AQ28" s="20">
        <v>3513</v>
      </c>
      <c r="AR28" s="20">
        <v>59460</v>
      </c>
      <c r="AS28" s="20">
        <v>20885</v>
      </c>
      <c r="AT28" s="20">
        <v>38575</v>
      </c>
      <c r="AU28" s="20">
        <v>125729</v>
      </c>
      <c r="AV28" s="20">
        <v>48101.5</v>
      </c>
      <c r="AW28" s="20">
        <v>77627.5</v>
      </c>
      <c r="AX28" s="20">
        <v>38544</v>
      </c>
      <c r="AY28" s="20">
        <v>15385</v>
      </c>
      <c r="AZ28" s="20">
        <v>23159</v>
      </c>
      <c r="BA28" s="20">
        <v>11881</v>
      </c>
      <c r="BB28" s="20">
        <v>6837.5</v>
      </c>
      <c r="BC28" s="20">
        <v>5043.5</v>
      </c>
      <c r="BD28" s="20">
        <v>75304</v>
      </c>
      <c r="BE28" s="20">
        <v>25879</v>
      </c>
      <c r="BF28" s="20">
        <v>49425</v>
      </c>
    </row>
    <row r="29" spans="1:58" ht="16.5" customHeight="1">
      <c r="A29" s="45" t="s">
        <v>145</v>
      </c>
      <c r="B29" s="19" t="s">
        <v>22</v>
      </c>
      <c r="C29" s="20">
        <v>1</v>
      </c>
      <c r="D29" s="12">
        <v>41</v>
      </c>
      <c r="E29" s="12">
        <v>2</v>
      </c>
      <c r="F29" s="12">
        <v>39</v>
      </c>
      <c r="G29" s="12">
        <v>2</v>
      </c>
      <c r="H29" s="12">
        <v>39</v>
      </c>
      <c r="I29" s="12">
        <v>0</v>
      </c>
      <c r="J29" s="12">
        <v>0</v>
      </c>
      <c r="K29" s="12">
        <v>0</v>
      </c>
      <c r="L29" s="12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159</v>
      </c>
      <c r="X29" s="20">
        <v>58</v>
      </c>
      <c r="Y29" s="20">
        <v>101</v>
      </c>
      <c r="Z29" s="20">
        <v>7</v>
      </c>
      <c r="AA29" s="20">
        <v>5</v>
      </c>
      <c r="AB29" s="20">
        <v>2</v>
      </c>
      <c r="AC29" s="20">
        <v>7</v>
      </c>
      <c r="AD29" s="20">
        <v>4</v>
      </c>
      <c r="AE29" s="20">
        <v>3</v>
      </c>
      <c r="AF29" s="20">
        <v>145</v>
      </c>
      <c r="AG29" s="20">
        <v>49</v>
      </c>
      <c r="AH29" s="20">
        <v>96</v>
      </c>
      <c r="AI29" s="20">
        <v>29228</v>
      </c>
      <c r="AJ29" s="20">
        <v>9580</v>
      </c>
      <c r="AK29" s="20">
        <v>19648</v>
      </c>
      <c r="AL29" s="20">
        <v>1405</v>
      </c>
      <c r="AM29" s="20">
        <v>750</v>
      </c>
      <c r="AN29" s="20">
        <v>655</v>
      </c>
      <c r="AO29" s="20">
        <v>2450</v>
      </c>
      <c r="AP29" s="20">
        <v>1326</v>
      </c>
      <c r="AQ29" s="20">
        <v>1124</v>
      </c>
      <c r="AR29" s="20">
        <v>25373</v>
      </c>
      <c r="AS29" s="20">
        <v>7504</v>
      </c>
      <c r="AT29" s="20">
        <v>17869</v>
      </c>
      <c r="AU29" s="20">
        <v>55516.5</v>
      </c>
      <c r="AV29" s="20">
        <v>19543</v>
      </c>
      <c r="AW29" s="20">
        <v>35973.5</v>
      </c>
      <c r="AX29" s="20">
        <v>3662</v>
      </c>
      <c r="AY29" s="20">
        <v>1993</v>
      </c>
      <c r="AZ29" s="20">
        <v>1669</v>
      </c>
      <c r="BA29" s="20">
        <v>4756</v>
      </c>
      <c r="BB29" s="20">
        <v>3098</v>
      </c>
      <c r="BC29" s="20">
        <v>1658</v>
      </c>
      <c r="BD29" s="20">
        <v>47098.5</v>
      </c>
      <c r="BE29" s="20">
        <v>14452</v>
      </c>
      <c r="BF29" s="20">
        <v>32646.5</v>
      </c>
    </row>
    <row r="30" spans="1:58" ht="21" customHeight="1">
      <c r="A30" s="46" t="s">
        <v>146</v>
      </c>
      <c r="B30" s="21" t="s">
        <v>23</v>
      </c>
      <c r="C30" s="22">
        <v>1</v>
      </c>
      <c r="D30" s="23">
        <v>11</v>
      </c>
      <c r="E30" s="23">
        <v>0</v>
      </c>
      <c r="F30" s="23">
        <v>11</v>
      </c>
      <c r="G30" s="23">
        <v>0</v>
      </c>
      <c r="H30" s="23">
        <v>0</v>
      </c>
      <c r="I30" s="23">
        <v>0</v>
      </c>
      <c r="J30" s="23">
        <v>11</v>
      </c>
      <c r="K30" s="23">
        <v>0</v>
      </c>
      <c r="L30" s="23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15</v>
      </c>
      <c r="X30" s="22">
        <v>5</v>
      </c>
      <c r="Y30" s="22">
        <v>10</v>
      </c>
      <c r="Z30" s="22">
        <v>4</v>
      </c>
      <c r="AA30" s="22">
        <v>3</v>
      </c>
      <c r="AB30" s="22">
        <v>1</v>
      </c>
      <c r="AC30" s="22">
        <v>0</v>
      </c>
      <c r="AD30" s="22">
        <v>0</v>
      </c>
      <c r="AE30" s="22">
        <v>0</v>
      </c>
      <c r="AF30" s="22">
        <v>11</v>
      </c>
      <c r="AG30" s="22">
        <v>2</v>
      </c>
      <c r="AH30" s="22">
        <v>9</v>
      </c>
      <c r="AI30" s="22">
        <v>2261</v>
      </c>
      <c r="AJ30" s="22">
        <v>716</v>
      </c>
      <c r="AK30" s="22">
        <v>1545</v>
      </c>
      <c r="AL30" s="22">
        <v>640</v>
      </c>
      <c r="AM30" s="22">
        <v>432</v>
      </c>
      <c r="AN30" s="22">
        <v>208</v>
      </c>
      <c r="AO30" s="22">
        <v>0</v>
      </c>
      <c r="AP30" s="22">
        <v>0</v>
      </c>
      <c r="AQ30" s="22">
        <v>0</v>
      </c>
      <c r="AR30" s="22">
        <v>1621</v>
      </c>
      <c r="AS30" s="22">
        <v>284</v>
      </c>
      <c r="AT30" s="22">
        <v>1337</v>
      </c>
      <c r="AU30" s="22">
        <v>4797</v>
      </c>
      <c r="AV30" s="22">
        <v>1856</v>
      </c>
      <c r="AW30" s="22">
        <v>2941</v>
      </c>
      <c r="AX30" s="22">
        <v>1590</v>
      </c>
      <c r="AY30" s="22">
        <v>1170</v>
      </c>
      <c r="AZ30" s="22">
        <v>420</v>
      </c>
      <c r="BA30" s="22">
        <v>0</v>
      </c>
      <c r="BB30" s="22">
        <v>0</v>
      </c>
      <c r="BC30" s="22">
        <v>0</v>
      </c>
      <c r="BD30" s="22">
        <v>3207</v>
      </c>
      <c r="BE30" s="22">
        <v>686</v>
      </c>
      <c r="BF30" s="22">
        <v>2521</v>
      </c>
    </row>
    <row r="31" spans="1:58" ht="21" customHeight="1">
      <c r="A31" s="14" t="s">
        <v>77</v>
      </c>
      <c r="B31" s="24"/>
    </row>
    <row r="32" spans="1:58" ht="21" customHeight="1">
      <c r="A32" s="15" t="s">
        <v>2</v>
      </c>
      <c r="B32" s="15"/>
    </row>
    <row r="33" spans="1:1" ht="21" customHeight="1"/>
    <row r="34" spans="1:1" ht="21" customHeight="1">
      <c r="A34" s="3" t="s">
        <v>120</v>
      </c>
    </row>
    <row r="35" spans="1:1" ht="21" customHeight="1"/>
    <row r="36" spans="1:1" ht="21" customHeight="1"/>
    <row r="37" spans="1:1" ht="21" customHeight="1"/>
  </sheetData>
  <mergeCells count="72">
    <mergeCell ref="BB6:BB7"/>
    <mergeCell ref="BC6:BC7"/>
    <mergeCell ref="BD6:BD7"/>
    <mergeCell ref="BE6:BE7"/>
    <mergeCell ref="BF6:BF7"/>
    <mergeCell ref="AO6:AO7"/>
    <mergeCell ref="BA6:BA7"/>
    <mergeCell ref="AP6:AP7"/>
    <mergeCell ref="AQ6:AQ7"/>
    <mergeCell ref="AR6:AR7"/>
    <mergeCell ref="AS6:AS7"/>
    <mergeCell ref="AT6:AT7"/>
    <mergeCell ref="AU6:AU7"/>
    <mergeCell ref="AV6:AV7"/>
    <mergeCell ref="AW6:AW7"/>
    <mergeCell ref="AX6:AX7"/>
    <mergeCell ref="AY6:AY7"/>
    <mergeCell ref="AZ6:AZ7"/>
    <mergeCell ref="AJ6:AJ7"/>
    <mergeCell ref="AK6:AK7"/>
    <mergeCell ref="AL6:AL7"/>
    <mergeCell ref="AM6:AM7"/>
    <mergeCell ref="AN6:AN7"/>
    <mergeCell ref="AX5:AZ5"/>
    <mergeCell ref="BA5:BC5"/>
    <mergeCell ref="BD5:BF5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C5:AE5"/>
    <mergeCell ref="AF5:AH5"/>
    <mergeCell ref="AL5:AN5"/>
    <mergeCell ref="AO5:AQ5"/>
    <mergeCell ref="AR5:AT5"/>
    <mergeCell ref="A3:B7"/>
    <mergeCell ref="C3:C7"/>
    <mergeCell ref="M3:V3"/>
    <mergeCell ref="W3:BF3"/>
    <mergeCell ref="M4:T4"/>
    <mergeCell ref="U4:V4"/>
    <mergeCell ref="W4:AH4"/>
    <mergeCell ref="AI4:AT4"/>
    <mergeCell ref="AU4:BF4"/>
    <mergeCell ref="M5:N5"/>
    <mergeCell ref="O5:P5"/>
    <mergeCell ref="Q5:R5"/>
    <mergeCell ref="S5:T5"/>
    <mergeCell ref="U5:U7"/>
    <mergeCell ref="V5:V7"/>
    <mergeCell ref="Z5:AB5"/>
    <mergeCell ref="D6:D7"/>
    <mergeCell ref="E6:E7"/>
    <mergeCell ref="F6:F7"/>
    <mergeCell ref="G6:G7"/>
    <mergeCell ref="H6:H7"/>
    <mergeCell ref="K6:K7"/>
    <mergeCell ref="L6:L7"/>
    <mergeCell ref="G5:H5"/>
    <mergeCell ref="I5:J5"/>
    <mergeCell ref="K5:L5"/>
    <mergeCell ref="I6:I7"/>
    <mergeCell ref="J6:J7"/>
  </mergeCells>
  <phoneticPr fontId="6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0.59999389629810485"/>
    <pageSetUpPr fitToPage="1"/>
  </sheetPr>
  <dimension ref="A1:CK37"/>
  <sheetViews>
    <sheetView zoomScaleNormal="100" zoomScaleSheetLayoutView="75" workbookViewId="0">
      <pane xSplit="2" ySplit="7" topLeftCell="C11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0" style="3" customWidth="1"/>
    <col min="2" max="2" width="20" style="3" customWidth="1"/>
    <col min="3" max="12" width="10.83203125" style="3" customWidth="1"/>
    <col min="13" max="58" width="14.1640625" style="3" customWidth="1"/>
    <col min="59" max="16384" width="12" style="3"/>
  </cols>
  <sheetData>
    <row r="1" spans="1:89" ht="21">
      <c r="A1" s="1" t="s">
        <v>50</v>
      </c>
      <c r="B1" s="25"/>
    </row>
    <row r="2" spans="1:89" ht="25.5" customHeight="1">
      <c r="A2" s="26" t="s">
        <v>117</v>
      </c>
      <c r="B2" s="27"/>
    </row>
    <row r="3" spans="1:89" ht="16.5" customHeight="1">
      <c r="A3" s="329" t="s">
        <v>78</v>
      </c>
      <c r="B3" s="301"/>
      <c r="C3" s="314" t="s">
        <v>51</v>
      </c>
      <c r="D3" s="17" t="s">
        <v>79</v>
      </c>
      <c r="E3" s="17"/>
      <c r="F3" s="17"/>
      <c r="G3" s="17"/>
      <c r="H3" s="17"/>
      <c r="I3" s="17"/>
      <c r="J3" s="17"/>
      <c r="K3" s="17"/>
      <c r="L3" s="17"/>
      <c r="M3" s="332" t="s">
        <v>52</v>
      </c>
      <c r="N3" s="304"/>
      <c r="O3" s="304"/>
      <c r="P3" s="304"/>
      <c r="Q3" s="304"/>
      <c r="R3" s="304"/>
      <c r="S3" s="304"/>
      <c r="T3" s="304"/>
      <c r="U3" s="304"/>
      <c r="V3" s="340"/>
      <c r="W3" s="344" t="s">
        <v>53</v>
      </c>
      <c r="X3" s="344"/>
      <c r="Y3" s="344"/>
      <c r="Z3" s="344"/>
      <c r="AA3" s="344"/>
      <c r="AB3" s="344"/>
      <c r="AC3" s="344"/>
      <c r="AD3" s="344"/>
      <c r="AE3" s="344"/>
      <c r="AF3" s="344"/>
      <c r="AG3" s="344"/>
      <c r="AH3" s="344"/>
      <c r="AI3" s="344"/>
      <c r="AJ3" s="344"/>
      <c r="AK3" s="344"/>
      <c r="AL3" s="344"/>
      <c r="AM3" s="344"/>
      <c r="AN3" s="344"/>
      <c r="AO3" s="344"/>
      <c r="AP3" s="344"/>
      <c r="AQ3" s="344"/>
      <c r="AR3" s="344"/>
      <c r="AS3" s="344"/>
      <c r="AT3" s="344"/>
      <c r="AU3" s="344"/>
      <c r="AV3" s="344"/>
      <c r="AW3" s="344"/>
      <c r="AX3" s="344"/>
      <c r="AY3" s="344"/>
      <c r="AZ3" s="344"/>
      <c r="BA3" s="344"/>
      <c r="BB3" s="344"/>
      <c r="BC3" s="344"/>
      <c r="BD3" s="344"/>
      <c r="BE3" s="344"/>
      <c r="BF3" s="332"/>
    </row>
    <row r="4" spans="1:89" s="4" customFormat="1" ht="16.5" customHeight="1">
      <c r="A4" s="364"/>
      <c r="B4" s="302"/>
      <c r="C4" s="402"/>
      <c r="D4" s="17" t="s">
        <v>80</v>
      </c>
      <c r="E4" s="17"/>
      <c r="F4" s="17"/>
      <c r="G4" s="17"/>
      <c r="H4" s="17"/>
      <c r="I4" s="17"/>
      <c r="J4" s="17"/>
      <c r="K4" s="17"/>
      <c r="L4" s="17"/>
      <c r="M4" s="332" t="s">
        <v>54</v>
      </c>
      <c r="N4" s="304"/>
      <c r="O4" s="304"/>
      <c r="P4" s="304"/>
      <c r="Q4" s="304"/>
      <c r="R4" s="304"/>
      <c r="S4" s="304"/>
      <c r="T4" s="340"/>
      <c r="U4" s="324" t="s">
        <v>55</v>
      </c>
      <c r="V4" s="315"/>
      <c r="W4" s="344" t="s">
        <v>81</v>
      </c>
      <c r="X4" s="344"/>
      <c r="Y4" s="344"/>
      <c r="Z4" s="344"/>
      <c r="AA4" s="344"/>
      <c r="AB4" s="344"/>
      <c r="AC4" s="344"/>
      <c r="AD4" s="344"/>
      <c r="AE4" s="344"/>
      <c r="AF4" s="344"/>
      <c r="AG4" s="344"/>
      <c r="AH4" s="344"/>
      <c r="AI4" s="344" t="s">
        <v>57</v>
      </c>
      <c r="AJ4" s="344"/>
      <c r="AK4" s="344"/>
      <c r="AL4" s="344"/>
      <c r="AM4" s="344"/>
      <c r="AN4" s="344"/>
      <c r="AO4" s="344"/>
      <c r="AP4" s="344"/>
      <c r="AQ4" s="344"/>
      <c r="AR4" s="344"/>
      <c r="AS4" s="344"/>
      <c r="AT4" s="344"/>
      <c r="AU4" s="344" t="s">
        <v>58</v>
      </c>
      <c r="AV4" s="344"/>
      <c r="AW4" s="344"/>
      <c r="AX4" s="344"/>
      <c r="AY4" s="344"/>
      <c r="AZ4" s="344"/>
      <c r="BA4" s="344"/>
      <c r="BB4" s="344"/>
      <c r="BC4" s="344"/>
      <c r="BD4" s="344"/>
      <c r="BE4" s="344"/>
      <c r="BF4" s="332"/>
    </row>
    <row r="5" spans="1:89" s="9" customFormat="1" ht="30" customHeight="1">
      <c r="A5" s="364"/>
      <c r="B5" s="302"/>
      <c r="C5" s="402"/>
      <c r="D5" s="5" t="s">
        <v>59</v>
      </c>
      <c r="E5" s="6"/>
      <c r="F5" s="7"/>
      <c r="G5" s="311" t="s">
        <v>60</v>
      </c>
      <c r="H5" s="340"/>
      <c r="I5" s="311" t="s">
        <v>61</v>
      </c>
      <c r="J5" s="340"/>
      <c r="K5" s="311" t="s">
        <v>62</v>
      </c>
      <c r="L5" s="340"/>
      <c r="M5" s="311" t="s">
        <v>63</v>
      </c>
      <c r="N5" s="340"/>
      <c r="O5" s="311" t="s">
        <v>64</v>
      </c>
      <c r="P5" s="313"/>
      <c r="Q5" s="311" t="s">
        <v>65</v>
      </c>
      <c r="R5" s="313"/>
      <c r="S5" s="311" t="s">
        <v>66</v>
      </c>
      <c r="T5" s="313"/>
      <c r="U5" s="322" t="s">
        <v>67</v>
      </c>
      <c r="V5" s="322" t="s">
        <v>68</v>
      </c>
      <c r="W5" s="5" t="s">
        <v>59</v>
      </c>
      <c r="X5" s="6"/>
      <c r="Y5" s="7"/>
      <c r="Z5" s="339" t="s">
        <v>69</v>
      </c>
      <c r="AA5" s="339"/>
      <c r="AB5" s="339"/>
      <c r="AC5" s="339" t="s">
        <v>70</v>
      </c>
      <c r="AD5" s="339"/>
      <c r="AE5" s="339"/>
      <c r="AF5" s="339" t="s">
        <v>71</v>
      </c>
      <c r="AG5" s="339"/>
      <c r="AH5" s="339"/>
      <c r="AI5" s="5" t="s">
        <v>59</v>
      </c>
      <c r="AJ5" s="6"/>
      <c r="AK5" s="7"/>
      <c r="AL5" s="339" t="s">
        <v>69</v>
      </c>
      <c r="AM5" s="339"/>
      <c r="AN5" s="339"/>
      <c r="AO5" s="339" t="s">
        <v>70</v>
      </c>
      <c r="AP5" s="339"/>
      <c r="AQ5" s="339"/>
      <c r="AR5" s="339" t="s">
        <v>71</v>
      </c>
      <c r="AS5" s="339"/>
      <c r="AT5" s="339"/>
      <c r="AU5" s="5" t="s">
        <v>59</v>
      </c>
      <c r="AV5" s="8"/>
      <c r="AW5" s="7"/>
      <c r="AX5" s="339" t="s">
        <v>69</v>
      </c>
      <c r="AY5" s="339"/>
      <c r="AZ5" s="339"/>
      <c r="BA5" s="339" t="s">
        <v>70</v>
      </c>
      <c r="BB5" s="339"/>
      <c r="BC5" s="339"/>
      <c r="BD5" s="339" t="s">
        <v>71</v>
      </c>
      <c r="BE5" s="339"/>
      <c r="BF5" s="311"/>
    </row>
    <row r="6" spans="1:89" ht="16.5" customHeight="1">
      <c r="A6" s="364"/>
      <c r="B6" s="302"/>
      <c r="C6" s="402"/>
      <c r="D6" s="322" t="s">
        <v>72</v>
      </c>
      <c r="E6" s="322" t="s">
        <v>73</v>
      </c>
      <c r="F6" s="322" t="s">
        <v>74</v>
      </c>
      <c r="G6" s="322" t="s">
        <v>73</v>
      </c>
      <c r="H6" s="322" t="s">
        <v>74</v>
      </c>
      <c r="I6" s="322" t="s">
        <v>73</v>
      </c>
      <c r="J6" s="322" t="s">
        <v>74</v>
      </c>
      <c r="K6" s="322" t="s">
        <v>73</v>
      </c>
      <c r="L6" s="322" t="s">
        <v>74</v>
      </c>
      <c r="M6" s="10" t="s">
        <v>75</v>
      </c>
      <c r="N6" s="10" t="s">
        <v>76</v>
      </c>
      <c r="O6" s="10" t="s">
        <v>75</v>
      </c>
      <c r="P6" s="10" t="s">
        <v>76</v>
      </c>
      <c r="Q6" s="10" t="s">
        <v>75</v>
      </c>
      <c r="R6" s="10" t="s">
        <v>76</v>
      </c>
      <c r="S6" s="10" t="s">
        <v>75</v>
      </c>
      <c r="T6" s="10" t="s">
        <v>76</v>
      </c>
      <c r="U6" s="338"/>
      <c r="V6" s="338"/>
      <c r="W6" s="322" t="s">
        <v>72</v>
      </c>
      <c r="X6" s="322" t="s">
        <v>73</v>
      </c>
      <c r="Y6" s="322" t="s">
        <v>74</v>
      </c>
      <c r="Z6" s="322" t="s">
        <v>72</v>
      </c>
      <c r="AA6" s="322" t="s">
        <v>73</v>
      </c>
      <c r="AB6" s="322" t="s">
        <v>74</v>
      </c>
      <c r="AC6" s="322" t="s">
        <v>72</v>
      </c>
      <c r="AD6" s="322" t="s">
        <v>73</v>
      </c>
      <c r="AE6" s="322" t="s">
        <v>74</v>
      </c>
      <c r="AF6" s="322" t="s">
        <v>72</v>
      </c>
      <c r="AG6" s="322" t="s">
        <v>73</v>
      </c>
      <c r="AH6" s="322" t="s">
        <v>74</v>
      </c>
      <c r="AI6" s="322" t="s">
        <v>72</v>
      </c>
      <c r="AJ6" s="322" t="s">
        <v>73</v>
      </c>
      <c r="AK6" s="322" t="s">
        <v>74</v>
      </c>
      <c r="AL6" s="322" t="s">
        <v>72</v>
      </c>
      <c r="AM6" s="322" t="s">
        <v>73</v>
      </c>
      <c r="AN6" s="322" t="s">
        <v>74</v>
      </c>
      <c r="AO6" s="322" t="s">
        <v>72</v>
      </c>
      <c r="AP6" s="322" t="s">
        <v>73</v>
      </c>
      <c r="AQ6" s="322" t="s">
        <v>74</v>
      </c>
      <c r="AR6" s="322" t="s">
        <v>72</v>
      </c>
      <c r="AS6" s="322" t="s">
        <v>73</v>
      </c>
      <c r="AT6" s="322" t="s">
        <v>74</v>
      </c>
      <c r="AU6" s="322" t="s">
        <v>72</v>
      </c>
      <c r="AV6" s="322" t="s">
        <v>73</v>
      </c>
      <c r="AW6" s="322" t="s">
        <v>74</v>
      </c>
      <c r="AX6" s="322" t="s">
        <v>72</v>
      </c>
      <c r="AY6" s="322" t="s">
        <v>73</v>
      </c>
      <c r="AZ6" s="322" t="s">
        <v>74</v>
      </c>
      <c r="BA6" s="322" t="s">
        <v>72</v>
      </c>
      <c r="BB6" s="322" t="s">
        <v>73</v>
      </c>
      <c r="BC6" s="322" t="s">
        <v>74</v>
      </c>
      <c r="BD6" s="322" t="s">
        <v>72</v>
      </c>
      <c r="BE6" s="322" t="s">
        <v>73</v>
      </c>
      <c r="BF6" s="314" t="s">
        <v>74</v>
      </c>
    </row>
    <row r="7" spans="1:89">
      <c r="A7" s="331"/>
      <c r="B7" s="303"/>
      <c r="C7" s="403"/>
      <c r="D7" s="323"/>
      <c r="E7" s="323"/>
      <c r="F7" s="323"/>
      <c r="G7" s="323"/>
      <c r="H7" s="323"/>
      <c r="I7" s="323"/>
      <c r="J7" s="323"/>
      <c r="K7" s="323"/>
      <c r="L7" s="323"/>
      <c r="M7" s="11" t="s">
        <v>0</v>
      </c>
      <c r="N7" s="11" t="s">
        <v>1</v>
      </c>
      <c r="O7" s="11" t="s">
        <v>0</v>
      </c>
      <c r="P7" s="11" t="s">
        <v>1</v>
      </c>
      <c r="Q7" s="11" t="s">
        <v>0</v>
      </c>
      <c r="R7" s="11" t="s">
        <v>1</v>
      </c>
      <c r="S7" s="11" t="s">
        <v>0</v>
      </c>
      <c r="T7" s="11" t="s">
        <v>1</v>
      </c>
      <c r="U7" s="323"/>
      <c r="V7" s="323"/>
      <c r="W7" s="323"/>
      <c r="X7" s="323"/>
      <c r="Y7" s="323"/>
      <c r="Z7" s="323"/>
      <c r="AA7" s="323"/>
      <c r="AB7" s="323"/>
      <c r="AC7" s="323"/>
      <c r="AD7" s="323"/>
      <c r="AE7" s="323"/>
      <c r="AF7" s="323"/>
      <c r="AG7" s="323"/>
      <c r="AH7" s="323"/>
      <c r="AI7" s="323"/>
      <c r="AJ7" s="323"/>
      <c r="AK7" s="323"/>
      <c r="AL7" s="323"/>
      <c r="AM7" s="323"/>
      <c r="AN7" s="323"/>
      <c r="AO7" s="323"/>
      <c r="AP7" s="323"/>
      <c r="AQ7" s="323"/>
      <c r="AR7" s="323"/>
      <c r="AS7" s="323"/>
      <c r="AT7" s="323"/>
      <c r="AU7" s="323"/>
      <c r="AV7" s="323"/>
      <c r="AW7" s="323"/>
      <c r="AX7" s="323"/>
      <c r="AY7" s="323"/>
      <c r="AZ7" s="323"/>
      <c r="BA7" s="323"/>
      <c r="BB7" s="323"/>
      <c r="BC7" s="323"/>
      <c r="BD7" s="323"/>
      <c r="BE7" s="323"/>
      <c r="BF7" s="326"/>
    </row>
    <row r="8" spans="1:89" s="13" customFormat="1" ht="17.100000000000001" customHeight="1">
      <c r="A8" s="34" t="s">
        <v>121</v>
      </c>
      <c r="B8" s="28" t="s">
        <v>39</v>
      </c>
      <c r="C8" s="41">
        <v>168</v>
      </c>
      <c r="D8" s="41">
        <v>7668</v>
      </c>
      <c r="E8" s="41">
        <v>579</v>
      </c>
      <c r="F8" s="41">
        <v>7089</v>
      </c>
      <c r="G8" s="41">
        <v>394</v>
      </c>
      <c r="H8" s="41">
        <v>4896</v>
      </c>
      <c r="I8" s="41">
        <v>184</v>
      </c>
      <c r="J8" s="41">
        <v>2184</v>
      </c>
      <c r="K8" s="41">
        <v>1</v>
      </c>
      <c r="L8" s="41">
        <v>9</v>
      </c>
      <c r="M8" s="41">
        <v>144</v>
      </c>
      <c r="N8" s="41">
        <v>986</v>
      </c>
      <c r="O8" s="41">
        <v>49</v>
      </c>
      <c r="P8" s="41">
        <v>494</v>
      </c>
      <c r="Q8" s="41">
        <v>53</v>
      </c>
      <c r="R8" s="41">
        <v>194</v>
      </c>
      <c r="S8" s="41">
        <v>42</v>
      </c>
      <c r="T8" s="41">
        <v>298</v>
      </c>
      <c r="U8" s="41">
        <v>724</v>
      </c>
      <c r="V8" s="41">
        <v>19365</v>
      </c>
      <c r="W8" s="41">
        <v>43584</v>
      </c>
      <c r="X8" s="41">
        <v>17969</v>
      </c>
      <c r="Y8" s="41">
        <v>25615</v>
      </c>
      <c r="Z8" s="41">
        <v>9458</v>
      </c>
      <c r="AA8" s="41">
        <v>4768</v>
      </c>
      <c r="AB8" s="41">
        <v>4690</v>
      </c>
      <c r="AC8" s="41">
        <v>5509</v>
      </c>
      <c r="AD8" s="41">
        <v>2701</v>
      </c>
      <c r="AE8" s="41">
        <v>2808</v>
      </c>
      <c r="AF8" s="41">
        <v>28617</v>
      </c>
      <c r="AG8" s="41">
        <v>10500</v>
      </c>
      <c r="AH8" s="41">
        <v>18117</v>
      </c>
      <c r="AI8" s="41">
        <v>6904203</v>
      </c>
      <c r="AJ8" s="41">
        <v>2892383</v>
      </c>
      <c r="AK8" s="41">
        <v>4011820</v>
      </c>
      <c r="AL8" s="41">
        <v>1670324</v>
      </c>
      <c r="AM8" s="41">
        <v>818242</v>
      </c>
      <c r="AN8" s="41">
        <v>852082</v>
      </c>
      <c r="AO8" s="41">
        <v>903247</v>
      </c>
      <c r="AP8" s="41">
        <v>449419</v>
      </c>
      <c r="AQ8" s="41">
        <v>453828</v>
      </c>
      <c r="AR8" s="41">
        <v>4330632</v>
      </c>
      <c r="AS8" s="41">
        <v>1624722</v>
      </c>
      <c r="AT8" s="41">
        <v>2705910</v>
      </c>
      <c r="AU8" s="41">
        <v>11707321.199999999</v>
      </c>
      <c r="AV8" s="41">
        <v>4966056.2</v>
      </c>
      <c r="AW8" s="41">
        <v>6741265</v>
      </c>
      <c r="AX8" s="41">
        <v>2938230.6</v>
      </c>
      <c r="AY8" s="41">
        <v>1439021</v>
      </c>
      <c r="AZ8" s="41">
        <v>1499209.6</v>
      </c>
      <c r="BA8" s="41">
        <v>1611691.4</v>
      </c>
      <c r="BB8" s="41">
        <v>809862.5</v>
      </c>
      <c r="BC8" s="41">
        <v>801828.9</v>
      </c>
      <c r="BD8" s="41">
        <v>7157399.2000000002</v>
      </c>
      <c r="BE8" s="41">
        <v>2717172.7</v>
      </c>
      <c r="BF8" s="41">
        <v>4440226.5</v>
      </c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29"/>
      <c r="CI8" s="29"/>
      <c r="CJ8" s="29"/>
      <c r="CK8" s="29"/>
    </row>
    <row r="9" spans="1:89" s="13" customFormat="1" ht="21" customHeight="1">
      <c r="A9" s="49" t="s">
        <v>147</v>
      </c>
      <c r="B9" s="38" t="s">
        <v>24</v>
      </c>
      <c r="C9" s="41">
        <v>14</v>
      </c>
      <c r="D9" s="41">
        <v>962</v>
      </c>
      <c r="E9" s="41">
        <v>84</v>
      </c>
      <c r="F9" s="41">
        <v>878</v>
      </c>
      <c r="G9" s="41">
        <v>61</v>
      </c>
      <c r="H9" s="41">
        <v>651</v>
      </c>
      <c r="I9" s="41">
        <v>23</v>
      </c>
      <c r="J9" s="41">
        <v>227</v>
      </c>
      <c r="K9" s="41">
        <v>0</v>
      </c>
      <c r="L9" s="41">
        <v>0</v>
      </c>
      <c r="M9" s="41">
        <v>1</v>
      </c>
      <c r="N9" s="41">
        <v>26</v>
      </c>
      <c r="O9" s="41">
        <v>0</v>
      </c>
      <c r="P9" s="41">
        <v>0</v>
      </c>
      <c r="Q9" s="41">
        <v>0</v>
      </c>
      <c r="R9" s="41">
        <v>0</v>
      </c>
      <c r="S9" s="41">
        <v>1</v>
      </c>
      <c r="T9" s="41">
        <v>26</v>
      </c>
      <c r="U9" s="41">
        <v>33</v>
      </c>
      <c r="V9" s="41">
        <v>859</v>
      </c>
      <c r="W9" s="41">
        <v>4484</v>
      </c>
      <c r="X9" s="41">
        <v>1942</v>
      </c>
      <c r="Y9" s="41">
        <v>2542</v>
      </c>
      <c r="Z9" s="41">
        <v>808</v>
      </c>
      <c r="AA9" s="41">
        <v>366</v>
      </c>
      <c r="AB9" s="41">
        <v>442</v>
      </c>
      <c r="AC9" s="41">
        <v>597</v>
      </c>
      <c r="AD9" s="41">
        <v>302</v>
      </c>
      <c r="AE9" s="41">
        <v>295</v>
      </c>
      <c r="AF9" s="41">
        <v>3079</v>
      </c>
      <c r="AG9" s="41">
        <v>1274</v>
      </c>
      <c r="AH9" s="41">
        <v>1805</v>
      </c>
      <c r="AI9" s="41">
        <v>754869</v>
      </c>
      <c r="AJ9" s="41">
        <v>319025</v>
      </c>
      <c r="AK9" s="41">
        <v>435844</v>
      </c>
      <c r="AL9" s="41">
        <v>164756</v>
      </c>
      <c r="AM9" s="41">
        <v>71599</v>
      </c>
      <c r="AN9" s="41">
        <v>93157</v>
      </c>
      <c r="AO9" s="41">
        <v>110296</v>
      </c>
      <c r="AP9" s="41">
        <v>54930</v>
      </c>
      <c r="AQ9" s="41">
        <v>55366</v>
      </c>
      <c r="AR9" s="41">
        <v>479817</v>
      </c>
      <c r="AS9" s="41">
        <v>192496</v>
      </c>
      <c r="AT9" s="41">
        <v>287321</v>
      </c>
      <c r="AU9" s="41">
        <v>1372080.5</v>
      </c>
      <c r="AV9" s="41">
        <v>582375.5</v>
      </c>
      <c r="AW9" s="41">
        <v>789705</v>
      </c>
      <c r="AX9" s="41">
        <v>302417.5</v>
      </c>
      <c r="AY9" s="41">
        <v>136181</v>
      </c>
      <c r="AZ9" s="41">
        <v>166236.5</v>
      </c>
      <c r="BA9" s="41">
        <v>211009</v>
      </c>
      <c r="BB9" s="41">
        <v>108681.5</v>
      </c>
      <c r="BC9" s="41">
        <v>102327.5</v>
      </c>
      <c r="BD9" s="41">
        <v>858654</v>
      </c>
      <c r="BE9" s="41">
        <v>337513</v>
      </c>
      <c r="BF9" s="41">
        <v>521141</v>
      </c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29"/>
      <c r="CI9" s="29"/>
    </row>
    <row r="10" spans="1:89" s="13" customFormat="1" ht="21" customHeight="1">
      <c r="A10" s="49" t="s">
        <v>148</v>
      </c>
      <c r="B10" s="38" t="s">
        <v>25</v>
      </c>
      <c r="C10" s="41">
        <v>18</v>
      </c>
      <c r="D10" s="41">
        <v>434</v>
      </c>
      <c r="E10" s="41">
        <v>45</v>
      </c>
      <c r="F10" s="41">
        <v>389</v>
      </c>
      <c r="G10" s="41">
        <v>15</v>
      </c>
      <c r="H10" s="41">
        <v>128</v>
      </c>
      <c r="I10" s="41">
        <v>29</v>
      </c>
      <c r="J10" s="41">
        <v>259</v>
      </c>
      <c r="K10" s="41">
        <v>1</v>
      </c>
      <c r="L10" s="41">
        <v>2</v>
      </c>
      <c r="M10" s="41">
        <v>4</v>
      </c>
      <c r="N10" s="41">
        <v>113</v>
      </c>
      <c r="O10" s="41">
        <v>2</v>
      </c>
      <c r="P10" s="41">
        <v>67</v>
      </c>
      <c r="Q10" s="41">
        <v>1</v>
      </c>
      <c r="R10" s="41">
        <v>30</v>
      </c>
      <c r="S10" s="41">
        <v>1</v>
      </c>
      <c r="T10" s="41">
        <v>16</v>
      </c>
      <c r="U10" s="41">
        <v>171</v>
      </c>
      <c r="V10" s="41">
        <v>5223</v>
      </c>
      <c r="W10" s="41">
        <v>2874</v>
      </c>
      <c r="X10" s="41">
        <v>1276</v>
      </c>
      <c r="Y10" s="41">
        <v>1598</v>
      </c>
      <c r="Z10" s="41">
        <v>746</v>
      </c>
      <c r="AA10" s="41">
        <v>414</v>
      </c>
      <c r="AB10" s="41">
        <v>332</v>
      </c>
      <c r="AC10" s="41">
        <v>111</v>
      </c>
      <c r="AD10" s="41">
        <v>60</v>
      </c>
      <c r="AE10" s="41">
        <v>51</v>
      </c>
      <c r="AF10" s="41">
        <v>2017</v>
      </c>
      <c r="AG10" s="41">
        <v>802</v>
      </c>
      <c r="AH10" s="41">
        <v>1215</v>
      </c>
      <c r="AI10" s="41">
        <v>426600</v>
      </c>
      <c r="AJ10" s="41">
        <v>195514</v>
      </c>
      <c r="AK10" s="41">
        <v>231086</v>
      </c>
      <c r="AL10" s="41">
        <v>128321</v>
      </c>
      <c r="AM10" s="41">
        <v>70188</v>
      </c>
      <c r="AN10" s="41">
        <v>58133</v>
      </c>
      <c r="AO10" s="41">
        <v>20751</v>
      </c>
      <c r="AP10" s="41">
        <v>10902</v>
      </c>
      <c r="AQ10" s="41">
        <v>9849</v>
      </c>
      <c r="AR10" s="41">
        <v>277528</v>
      </c>
      <c r="AS10" s="41">
        <v>114424</v>
      </c>
      <c r="AT10" s="41">
        <v>163104</v>
      </c>
      <c r="AU10" s="41">
        <v>848310</v>
      </c>
      <c r="AV10" s="41">
        <v>385407.5</v>
      </c>
      <c r="AW10" s="41">
        <v>462902.5</v>
      </c>
      <c r="AX10" s="41">
        <v>257439.5</v>
      </c>
      <c r="AY10" s="41">
        <v>138144</v>
      </c>
      <c r="AZ10" s="41">
        <v>119295.5</v>
      </c>
      <c r="BA10" s="41">
        <v>41701.5</v>
      </c>
      <c r="BB10" s="41">
        <v>21917</v>
      </c>
      <c r="BC10" s="41">
        <v>19784.5</v>
      </c>
      <c r="BD10" s="41">
        <v>549169</v>
      </c>
      <c r="BE10" s="41">
        <v>225346.5</v>
      </c>
      <c r="BF10" s="41">
        <v>323822.5</v>
      </c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29"/>
      <c r="CI10" s="29"/>
    </row>
    <row r="11" spans="1:89" s="13" customFormat="1" ht="21" customHeight="1">
      <c r="A11" s="49" t="s">
        <v>149</v>
      </c>
      <c r="B11" s="38" t="s">
        <v>26</v>
      </c>
      <c r="C11" s="41">
        <v>14</v>
      </c>
      <c r="D11" s="41">
        <v>657</v>
      </c>
      <c r="E11" s="41">
        <v>49</v>
      </c>
      <c r="F11" s="41">
        <v>608</v>
      </c>
      <c r="G11" s="41">
        <v>26</v>
      </c>
      <c r="H11" s="41">
        <v>362</v>
      </c>
      <c r="I11" s="41">
        <v>23</v>
      </c>
      <c r="J11" s="41">
        <v>246</v>
      </c>
      <c r="K11" s="41">
        <v>0</v>
      </c>
      <c r="L11" s="41">
        <v>0</v>
      </c>
      <c r="M11" s="41">
        <v>2</v>
      </c>
      <c r="N11" s="41">
        <v>80</v>
      </c>
      <c r="O11" s="41">
        <v>2</v>
      </c>
      <c r="P11" s="41">
        <v>80</v>
      </c>
      <c r="Q11" s="41">
        <v>0</v>
      </c>
      <c r="R11" s="41">
        <v>0</v>
      </c>
      <c r="S11" s="41">
        <v>0</v>
      </c>
      <c r="T11" s="41">
        <v>0</v>
      </c>
      <c r="U11" s="41">
        <v>36</v>
      </c>
      <c r="V11" s="41">
        <v>962</v>
      </c>
      <c r="W11" s="41">
        <v>3091</v>
      </c>
      <c r="X11" s="41">
        <v>1337</v>
      </c>
      <c r="Y11" s="41">
        <v>1754</v>
      </c>
      <c r="Z11" s="41">
        <v>921</v>
      </c>
      <c r="AA11" s="41">
        <v>457</v>
      </c>
      <c r="AB11" s="41">
        <v>464</v>
      </c>
      <c r="AC11" s="41">
        <v>355</v>
      </c>
      <c r="AD11" s="41">
        <v>182</v>
      </c>
      <c r="AE11" s="41">
        <v>173</v>
      </c>
      <c r="AF11" s="41">
        <v>1815</v>
      </c>
      <c r="AG11" s="41">
        <v>698</v>
      </c>
      <c r="AH11" s="41">
        <v>1117</v>
      </c>
      <c r="AI11" s="41">
        <v>455933</v>
      </c>
      <c r="AJ11" s="41">
        <v>205384</v>
      </c>
      <c r="AK11" s="41">
        <v>250549</v>
      </c>
      <c r="AL11" s="41">
        <v>155566</v>
      </c>
      <c r="AM11" s="41">
        <v>77716</v>
      </c>
      <c r="AN11" s="41">
        <v>77850</v>
      </c>
      <c r="AO11" s="41">
        <v>55690</v>
      </c>
      <c r="AP11" s="41">
        <v>28737</v>
      </c>
      <c r="AQ11" s="41">
        <v>26953</v>
      </c>
      <c r="AR11" s="41">
        <v>244677</v>
      </c>
      <c r="AS11" s="41">
        <v>98931</v>
      </c>
      <c r="AT11" s="41">
        <v>145746</v>
      </c>
      <c r="AU11" s="41">
        <v>938522.7</v>
      </c>
      <c r="AV11" s="41">
        <v>432420.2</v>
      </c>
      <c r="AW11" s="41">
        <v>506102.5</v>
      </c>
      <c r="AX11" s="41">
        <v>331342.5</v>
      </c>
      <c r="AY11" s="41">
        <v>165885.5</v>
      </c>
      <c r="AZ11" s="41">
        <v>165457</v>
      </c>
      <c r="BA11" s="41">
        <v>121736</v>
      </c>
      <c r="BB11" s="41">
        <v>64196</v>
      </c>
      <c r="BC11" s="41">
        <v>57540</v>
      </c>
      <c r="BD11" s="41">
        <v>485444.2</v>
      </c>
      <c r="BE11" s="41">
        <v>202338.7</v>
      </c>
      <c r="BF11" s="41">
        <v>283105.5</v>
      </c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29"/>
      <c r="CI11" s="29"/>
    </row>
    <row r="12" spans="1:89" s="13" customFormat="1" ht="21" customHeight="1">
      <c r="A12" s="49" t="s">
        <v>150</v>
      </c>
      <c r="B12" s="38" t="s">
        <v>27</v>
      </c>
      <c r="C12" s="41">
        <v>12</v>
      </c>
      <c r="D12" s="41">
        <v>594</v>
      </c>
      <c r="E12" s="41">
        <v>45</v>
      </c>
      <c r="F12" s="41">
        <v>549</v>
      </c>
      <c r="G12" s="41">
        <v>43</v>
      </c>
      <c r="H12" s="41">
        <v>518</v>
      </c>
      <c r="I12" s="41">
        <v>2</v>
      </c>
      <c r="J12" s="41">
        <v>31</v>
      </c>
      <c r="K12" s="41">
        <v>0</v>
      </c>
      <c r="L12" s="41">
        <v>0</v>
      </c>
      <c r="M12" s="41">
        <v>1</v>
      </c>
      <c r="N12" s="41">
        <v>16</v>
      </c>
      <c r="O12" s="41">
        <v>0</v>
      </c>
      <c r="P12" s="41">
        <v>0</v>
      </c>
      <c r="Q12" s="41">
        <v>1</v>
      </c>
      <c r="R12" s="41">
        <v>16</v>
      </c>
      <c r="S12" s="41">
        <v>0</v>
      </c>
      <c r="T12" s="41">
        <v>0</v>
      </c>
      <c r="U12" s="41">
        <v>92</v>
      </c>
      <c r="V12" s="41">
        <v>3008</v>
      </c>
      <c r="W12" s="41">
        <v>3809</v>
      </c>
      <c r="X12" s="41">
        <v>1472</v>
      </c>
      <c r="Y12" s="41">
        <v>2337</v>
      </c>
      <c r="Z12" s="41">
        <v>633</v>
      </c>
      <c r="AA12" s="41">
        <v>290</v>
      </c>
      <c r="AB12" s="41">
        <v>343</v>
      </c>
      <c r="AC12" s="41">
        <v>571</v>
      </c>
      <c r="AD12" s="41">
        <v>280</v>
      </c>
      <c r="AE12" s="41">
        <v>291</v>
      </c>
      <c r="AF12" s="41">
        <v>2605</v>
      </c>
      <c r="AG12" s="41">
        <v>902</v>
      </c>
      <c r="AH12" s="41">
        <v>1703</v>
      </c>
      <c r="AI12" s="41">
        <v>668797</v>
      </c>
      <c r="AJ12" s="41">
        <v>260695</v>
      </c>
      <c r="AK12" s="41">
        <v>408102</v>
      </c>
      <c r="AL12" s="41">
        <v>116963</v>
      </c>
      <c r="AM12" s="41">
        <v>51732</v>
      </c>
      <c r="AN12" s="41">
        <v>65231</v>
      </c>
      <c r="AO12" s="41">
        <v>103639</v>
      </c>
      <c r="AP12" s="41">
        <v>51938</v>
      </c>
      <c r="AQ12" s="41">
        <v>51701</v>
      </c>
      <c r="AR12" s="41">
        <v>448195</v>
      </c>
      <c r="AS12" s="41">
        <v>157025</v>
      </c>
      <c r="AT12" s="41">
        <v>291170</v>
      </c>
      <c r="AU12" s="41">
        <v>931564.4</v>
      </c>
      <c r="AV12" s="41">
        <v>360745</v>
      </c>
      <c r="AW12" s="41">
        <v>570819.4</v>
      </c>
      <c r="AX12" s="41">
        <v>171207.9</v>
      </c>
      <c r="AY12" s="41">
        <v>73187</v>
      </c>
      <c r="AZ12" s="41">
        <v>98020.9</v>
      </c>
      <c r="BA12" s="41">
        <v>156254.29999999999</v>
      </c>
      <c r="BB12" s="41">
        <v>79150</v>
      </c>
      <c r="BC12" s="41">
        <v>77104.3</v>
      </c>
      <c r="BD12" s="41">
        <v>604102.19999999995</v>
      </c>
      <c r="BE12" s="41">
        <v>208408</v>
      </c>
      <c r="BF12" s="41">
        <v>395694.2</v>
      </c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29"/>
      <c r="CI12" s="29"/>
    </row>
    <row r="13" spans="1:89" s="13" customFormat="1" ht="21" customHeight="1">
      <c r="A13" s="49" t="s">
        <v>151</v>
      </c>
      <c r="B13" s="38" t="s">
        <v>28</v>
      </c>
      <c r="C13" s="41">
        <v>29</v>
      </c>
      <c r="D13" s="41">
        <v>1316</v>
      </c>
      <c r="E13" s="41">
        <v>85</v>
      </c>
      <c r="F13" s="41">
        <v>1231</v>
      </c>
      <c r="G13" s="41">
        <v>6</v>
      </c>
      <c r="H13" s="41">
        <v>207</v>
      </c>
      <c r="I13" s="41">
        <v>79</v>
      </c>
      <c r="J13" s="41">
        <v>1022</v>
      </c>
      <c r="K13" s="41">
        <v>0</v>
      </c>
      <c r="L13" s="41">
        <v>2</v>
      </c>
      <c r="M13" s="41">
        <v>6</v>
      </c>
      <c r="N13" s="41">
        <v>158</v>
      </c>
      <c r="O13" s="41">
        <v>4</v>
      </c>
      <c r="P13" s="41">
        <v>81</v>
      </c>
      <c r="Q13" s="41">
        <v>1</v>
      </c>
      <c r="R13" s="41">
        <v>29</v>
      </c>
      <c r="S13" s="41">
        <v>1</v>
      </c>
      <c r="T13" s="41">
        <v>48</v>
      </c>
      <c r="U13" s="41">
        <v>59</v>
      </c>
      <c r="V13" s="41">
        <v>2462</v>
      </c>
      <c r="W13" s="41">
        <v>6528</v>
      </c>
      <c r="X13" s="41">
        <v>2665</v>
      </c>
      <c r="Y13" s="41">
        <v>3863</v>
      </c>
      <c r="Z13" s="41">
        <v>1711</v>
      </c>
      <c r="AA13" s="41">
        <v>756</v>
      </c>
      <c r="AB13" s="41">
        <v>955</v>
      </c>
      <c r="AC13" s="41">
        <v>795</v>
      </c>
      <c r="AD13" s="41">
        <v>408</v>
      </c>
      <c r="AE13" s="41">
        <v>387</v>
      </c>
      <c r="AF13" s="41">
        <v>4022</v>
      </c>
      <c r="AG13" s="41">
        <v>1501</v>
      </c>
      <c r="AH13" s="41">
        <v>2521</v>
      </c>
      <c r="AI13" s="41">
        <v>1227184</v>
      </c>
      <c r="AJ13" s="41">
        <v>518426</v>
      </c>
      <c r="AK13" s="41">
        <v>708758</v>
      </c>
      <c r="AL13" s="41">
        <v>355132</v>
      </c>
      <c r="AM13" s="41">
        <v>158922</v>
      </c>
      <c r="AN13" s="41">
        <v>196210</v>
      </c>
      <c r="AO13" s="41">
        <v>153669</v>
      </c>
      <c r="AP13" s="41">
        <v>82152</v>
      </c>
      <c r="AQ13" s="41">
        <v>71517</v>
      </c>
      <c r="AR13" s="41">
        <v>718383</v>
      </c>
      <c r="AS13" s="41">
        <v>277352</v>
      </c>
      <c r="AT13" s="41">
        <v>441031</v>
      </c>
      <c r="AU13" s="41">
        <v>1980539.5</v>
      </c>
      <c r="AV13" s="41">
        <v>830465.5</v>
      </c>
      <c r="AW13" s="41">
        <v>1150074</v>
      </c>
      <c r="AX13" s="41">
        <v>595904</v>
      </c>
      <c r="AY13" s="41">
        <v>261414.5</v>
      </c>
      <c r="AZ13" s="41">
        <v>334489.5</v>
      </c>
      <c r="BA13" s="41">
        <v>271497</v>
      </c>
      <c r="BB13" s="41">
        <v>142640</v>
      </c>
      <c r="BC13" s="41">
        <v>128857</v>
      </c>
      <c r="BD13" s="41">
        <v>1113138.5</v>
      </c>
      <c r="BE13" s="41">
        <v>426411</v>
      </c>
      <c r="BF13" s="41">
        <v>686727.5</v>
      </c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29"/>
      <c r="CI13" s="29"/>
    </row>
    <row r="14" spans="1:89" s="13" customFormat="1" ht="21" customHeight="1">
      <c r="A14" s="50" t="s">
        <v>152</v>
      </c>
      <c r="B14" s="39" t="s">
        <v>7</v>
      </c>
      <c r="C14" s="12">
        <v>5</v>
      </c>
      <c r="D14" s="12">
        <v>107</v>
      </c>
      <c r="E14" s="12">
        <v>10</v>
      </c>
      <c r="F14" s="12">
        <v>97</v>
      </c>
      <c r="G14" s="12">
        <v>10</v>
      </c>
      <c r="H14" s="12">
        <v>96</v>
      </c>
      <c r="I14" s="12">
        <v>0</v>
      </c>
      <c r="J14" s="12">
        <v>1</v>
      </c>
      <c r="K14" s="12">
        <v>0</v>
      </c>
      <c r="L14" s="12">
        <v>0</v>
      </c>
      <c r="M14" s="12">
        <v>6</v>
      </c>
      <c r="N14" s="12">
        <v>29</v>
      </c>
      <c r="O14" s="12">
        <v>0</v>
      </c>
      <c r="P14" s="12">
        <v>0</v>
      </c>
      <c r="Q14" s="12">
        <v>6</v>
      </c>
      <c r="R14" s="12">
        <v>29</v>
      </c>
      <c r="S14" s="12">
        <v>0</v>
      </c>
      <c r="T14" s="12">
        <v>0</v>
      </c>
      <c r="U14" s="12">
        <v>22</v>
      </c>
      <c r="V14" s="12">
        <v>123</v>
      </c>
      <c r="W14" s="12">
        <v>833</v>
      </c>
      <c r="X14" s="12">
        <v>359</v>
      </c>
      <c r="Y14" s="12">
        <v>474</v>
      </c>
      <c r="Z14" s="12">
        <v>164</v>
      </c>
      <c r="AA14" s="12">
        <v>77</v>
      </c>
      <c r="AB14" s="12">
        <v>87</v>
      </c>
      <c r="AC14" s="12">
        <v>140</v>
      </c>
      <c r="AD14" s="12">
        <v>61</v>
      </c>
      <c r="AE14" s="12">
        <v>79</v>
      </c>
      <c r="AF14" s="12">
        <v>529</v>
      </c>
      <c r="AG14" s="12">
        <v>221</v>
      </c>
      <c r="AH14" s="12">
        <v>308</v>
      </c>
      <c r="AI14" s="12">
        <v>100486</v>
      </c>
      <c r="AJ14" s="12">
        <v>46715</v>
      </c>
      <c r="AK14" s="12">
        <v>53771</v>
      </c>
      <c r="AL14" s="12">
        <v>20788</v>
      </c>
      <c r="AM14" s="12">
        <v>11568</v>
      </c>
      <c r="AN14" s="12">
        <v>9220</v>
      </c>
      <c r="AO14" s="12">
        <v>17439</v>
      </c>
      <c r="AP14" s="12">
        <v>7866</v>
      </c>
      <c r="AQ14" s="12">
        <v>9573</v>
      </c>
      <c r="AR14" s="12">
        <v>62259</v>
      </c>
      <c r="AS14" s="12">
        <v>27281</v>
      </c>
      <c r="AT14" s="12">
        <v>34978</v>
      </c>
      <c r="AU14" s="12">
        <v>164361.5</v>
      </c>
      <c r="AV14" s="12">
        <v>74518</v>
      </c>
      <c r="AW14" s="12">
        <v>89843.5</v>
      </c>
      <c r="AX14" s="12">
        <v>33715</v>
      </c>
      <c r="AY14" s="12">
        <v>18506.5</v>
      </c>
      <c r="AZ14" s="12">
        <v>15208.5</v>
      </c>
      <c r="BA14" s="12">
        <v>29902</v>
      </c>
      <c r="BB14" s="12">
        <v>13019.5</v>
      </c>
      <c r="BC14" s="12">
        <v>16882.5</v>
      </c>
      <c r="BD14" s="12">
        <v>100744.5</v>
      </c>
      <c r="BE14" s="12">
        <v>42992</v>
      </c>
      <c r="BF14" s="12">
        <v>57752.5</v>
      </c>
    </row>
    <row r="15" spans="1:89" s="13" customFormat="1" ht="21" customHeight="1">
      <c r="A15" s="50" t="s">
        <v>153</v>
      </c>
      <c r="B15" s="39" t="s">
        <v>8</v>
      </c>
      <c r="C15" s="12">
        <v>4</v>
      </c>
      <c r="D15" s="12">
        <v>533</v>
      </c>
      <c r="E15" s="12">
        <v>33</v>
      </c>
      <c r="F15" s="12">
        <v>500</v>
      </c>
      <c r="G15" s="12">
        <v>33</v>
      </c>
      <c r="H15" s="12">
        <v>500</v>
      </c>
      <c r="I15" s="12">
        <v>0</v>
      </c>
      <c r="J15" s="12">
        <v>0</v>
      </c>
      <c r="K15" s="12">
        <v>0</v>
      </c>
      <c r="L15" s="12">
        <v>0</v>
      </c>
      <c r="M15" s="12">
        <v>1</v>
      </c>
      <c r="N15" s="12">
        <v>11</v>
      </c>
      <c r="O15" s="12">
        <v>1</v>
      </c>
      <c r="P15" s="12">
        <v>11</v>
      </c>
      <c r="Q15" s="12">
        <v>0</v>
      </c>
      <c r="R15" s="12">
        <v>0</v>
      </c>
      <c r="S15" s="12">
        <v>0</v>
      </c>
      <c r="T15" s="12">
        <v>0</v>
      </c>
      <c r="U15" s="12">
        <v>24</v>
      </c>
      <c r="V15" s="12">
        <v>527</v>
      </c>
      <c r="W15" s="12">
        <v>2145</v>
      </c>
      <c r="X15" s="12">
        <v>1015</v>
      </c>
      <c r="Y15" s="12">
        <v>1130</v>
      </c>
      <c r="Z15" s="12">
        <v>592</v>
      </c>
      <c r="AA15" s="12">
        <v>290</v>
      </c>
      <c r="AB15" s="12">
        <v>302</v>
      </c>
      <c r="AC15" s="12">
        <v>241</v>
      </c>
      <c r="AD15" s="12">
        <v>142</v>
      </c>
      <c r="AE15" s="12">
        <v>99</v>
      </c>
      <c r="AF15" s="12">
        <v>1312</v>
      </c>
      <c r="AG15" s="12">
        <v>583</v>
      </c>
      <c r="AH15" s="12">
        <v>729</v>
      </c>
      <c r="AI15" s="12">
        <v>365187</v>
      </c>
      <c r="AJ15" s="12">
        <v>176583</v>
      </c>
      <c r="AK15" s="12">
        <v>188604</v>
      </c>
      <c r="AL15" s="12">
        <v>106648</v>
      </c>
      <c r="AM15" s="12">
        <v>52834</v>
      </c>
      <c r="AN15" s="12">
        <v>53814</v>
      </c>
      <c r="AO15" s="12">
        <v>44616</v>
      </c>
      <c r="AP15" s="12">
        <v>26877</v>
      </c>
      <c r="AQ15" s="12">
        <v>17739</v>
      </c>
      <c r="AR15" s="12">
        <v>213923</v>
      </c>
      <c r="AS15" s="12">
        <v>96872</v>
      </c>
      <c r="AT15" s="12">
        <v>117051</v>
      </c>
      <c r="AU15" s="12">
        <v>828362</v>
      </c>
      <c r="AV15" s="12">
        <v>400750.5</v>
      </c>
      <c r="AW15" s="12">
        <v>427611.5</v>
      </c>
      <c r="AX15" s="12">
        <v>251144</v>
      </c>
      <c r="AY15" s="12">
        <v>123482.5</v>
      </c>
      <c r="AZ15" s="12">
        <v>127661.5</v>
      </c>
      <c r="BA15" s="12">
        <v>101830.5</v>
      </c>
      <c r="BB15" s="12">
        <v>61451.5</v>
      </c>
      <c r="BC15" s="12">
        <v>40379</v>
      </c>
      <c r="BD15" s="12">
        <v>475387.5</v>
      </c>
      <c r="BE15" s="12">
        <v>215816.5</v>
      </c>
      <c r="BF15" s="12">
        <v>259571</v>
      </c>
    </row>
    <row r="16" spans="1:89" s="13" customFormat="1" ht="21" customHeight="1">
      <c r="A16" s="50" t="s">
        <v>154</v>
      </c>
      <c r="B16" s="39" t="s">
        <v>9</v>
      </c>
      <c r="C16" s="12">
        <v>6</v>
      </c>
      <c r="D16" s="12">
        <v>156</v>
      </c>
      <c r="E16" s="12">
        <v>11</v>
      </c>
      <c r="F16" s="12">
        <v>145</v>
      </c>
      <c r="G16" s="12">
        <v>8</v>
      </c>
      <c r="H16" s="12">
        <v>95</v>
      </c>
      <c r="I16" s="12">
        <v>3</v>
      </c>
      <c r="J16" s="12">
        <v>50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564</v>
      </c>
      <c r="X16" s="12">
        <v>273</v>
      </c>
      <c r="Y16" s="12">
        <v>291</v>
      </c>
      <c r="Z16" s="12">
        <v>167</v>
      </c>
      <c r="AA16" s="12">
        <v>105</v>
      </c>
      <c r="AB16" s="12">
        <v>62</v>
      </c>
      <c r="AC16" s="12">
        <v>14</v>
      </c>
      <c r="AD16" s="12">
        <v>6</v>
      </c>
      <c r="AE16" s="12">
        <v>8</v>
      </c>
      <c r="AF16" s="12">
        <v>383</v>
      </c>
      <c r="AG16" s="12">
        <v>162</v>
      </c>
      <c r="AH16" s="12">
        <v>221</v>
      </c>
      <c r="AI16" s="12">
        <v>108808</v>
      </c>
      <c r="AJ16" s="12">
        <v>50446</v>
      </c>
      <c r="AK16" s="12">
        <v>58362</v>
      </c>
      <c r="AL16" s="12">
        <v>32712</v>
      </c>
      <c r="AM16" s="12">
        <v>19203</v>
      </c>
      <c r="AN16" s="12">
        <v>13509</v>
      </c>
      <c r="AO16" s="12">
        <v>2105</v>
      </c>
      <c r="AP16" s="12">
        <v>1211</v>
      </c>
      <c r="AQ16" s="12">
        <v>894</v>
      </c>
      <c r="AR16" s="12">
        <v>73991</v>
      </c>
      <c r="AS16" s="12">
        <v>30032</v>
      </c>
      <c r="AT16" s="12">
        <v>43959</v>
      </c>
      <c r="AU16" s="12">
        <v>234591</v>
      </c>
      <c r="AV16" s="12">
        <v>110644</v>
      </c>
      <c r="AW16" s="12">
        <v>123947</v>
      </c>
      <c r="AX16" s="12">
        <v>76664</v>
      </c>
      <c r="AY16" s="12">
        <v>44319</v>
      </c>
      <c r="AZ16" s="12">
        <v>32345</v>
      </c>
      <c r="BA16" s="12">
        <v>4359</v>
      </c>
      <c r="BB16" s="12">
        <v>2117.5</v>
      </c>
      <c r="BC16" s="12">
        <v>2241.5</v>
      </c>
      <c r="BD16" s="12">
        <v>153568</v>
      </c>
      <c r="BE16" s="12">
        <v>64207.5</v>
      </c>
      <c r="BF16" s="12">
        <v>89360.5</v>
      </c>
    </row>
    <row r="17" spans="1:58" s="13" customFormat="1" ht="21" customHeight="1">
      <c r="A17" s="50" t="s">
        <v>155</v>
      </c>
      <c r="B17" s="39" t="s">
        <v>10</v>
      </c>
      <c r="C17" s="12">
        <v>5</v>
      </c>
      <c r="D17" s="12">
        <v>231</v>
      </c>
      <c r="E17" s="12">
        <v>11</v>
      </c>
      <c r="F17" s="12">
        <v>220</v>
      </c>
      <c r="G17" s="12">
        <v>8</v>
      </c>
      <c r="H17" s="12">
        <v>118</v>
      </c>
      <c r="I17" s="12">
        <v>3</v>
      </c>
      <c r="J17" s="12">
        <v>99</v>
      </c>
      <c r="K17" s="12">
        <v>0</v>
      </c>
      <c r="L17" s="12">
        <v>3</v>
      </c>
      <c r="M17" s="12">
        <v>8</v>
      </c>
      <c r="N17" s="12">
        <v>40</v>
      </c>
      <c r="O17" s="12">
        <v>3</v>
      </c>
      <c r="P17" s="12">
        <v>13</v>
      </c>
      <c r="Q17" s="12">
        <v>3</v>
      </c>
      <c r="R17" s="12">
        <v>15</v>
      </c>
      <c r="S17" s="12">
        <v>2</v>
      </c>
      <c r="T17" s="12">
        <v>12</v>
      </c>
      <c r="U17" s="12">
        <v>28</v>
      </c>
      <c r="V17" s="12">
        <v>1140</v>
      </c>
      <c r="W17" s="12">
        <v>1239</v>
      </c>
      <c r="X17" s="12">
        <v>488</v>
      </c>
      <c r="Y17" s="12">
        <v>751</v>
      </c>
      <c r="Z17" s="12">
        <v>215</v>
      </c>
      <c r="AA17" s="12">
        <v>103</v>
      </c>
      <c r="AB17" s="12">
        <v>112</v>
      </c>
      <c r="AC17" s="12">
        <v>173</v>
      </c>
      <c r="AD17" s="12">
        <v>89</v>
      </c>
      <c r="AE17" s="12">
        <v>84</v>
      </c>
      <c r="AF17" s="12">
        <v>851</v>
      </c>
      <c r="AG17" s="12">
        <v>296</v>
      </c>
      <c r="AH17" s="12">
        <v>555</v>
      </c>
      <c r="AI17" s="12">
        <v>232596</v>
      </c>
      <c r="AJ17" s="12">
        <v>92465</v>
      </c>
      <c r="AK17" s="12">
        <v>140131</v>
      </c>
      <c r="AL17" s="12">
        <v>40668</v>
      </c>
      <c r="AM17" s="12">
        <v>17988</v>
      </c>
      <c r="AN17" s="12">
        <v>22680</v>
      </c>
      <c r="AO17" s="12">
        <v>35158</v>
      </c>
      <c r="AP17" s="12">
        <v>18517</v>
      </c>
      <c r="AQ17" s="12">
        <v>16641</v>
      </c>
      <c r="AR17" s="12">
        <v>156770</v>
      </c>
      <c r="AS17" s="12">
        <v>55960</v>
      </c>
      <c r="AT17" s="12">
        <v>100810</v>
      </c>
      <c r="AU17" s="12">
        <v>315703</v>
      </c>
      <c r="AV17" s="12">
        <v>128504</v>
      </c>
      <c r="AW17" s="12">
        <v>187199</v>
      </c>
      <c r="AX17" s="12">
        <v>57116.5</v>
      </c>
      <c r="AY17" s="12">
        <v>25551</v>
      </c>
      <c r="AZ17" s="12">
        <v>31565.5</v>
      </c>
      <c r="BA17" s="12">
        <v>50344.5</v>
      </c>
      <c r="BB17" s="12">
        <v>26840</v>
      </c>
      <c r="BC17" s="12">
        <v>23504.5</v>
      </c>
      <c r="BD17" s="12">
        <v>208242</v>
      </c>
      <c r="BE17" s="12">
        <v>76113</v>
      </c>
      <c r="BF17" s="12">
        <v>132129</v>
      </c>
    </row>
    <row r="18" spans="1:58" s="13" customFormat="1" ht="21" customHeight="1">
      <c r="A18" s="50" t="s">
        <v>156</v>
      </c>
      <c r="B18" s="39" t="s">
        <v>11</v>
      </c>
      <c r="C18" s="12">
        <v>6</v>
      </c>
      <c r="D18" s="12">
        <v>491</v>
      </c>
      <c r="E18" s="12">
        <v>51</v>
      </c>
      <c r="F18" s="12">
        <v>440</v>
      </c>
      <c r="G18" s="12">
        <v>47</v>
      </c>
      <c r="H18" s="12">
        <v>402</v>
      </c>
      <c r="I18" s="12">
        <v>4</v>
      </c>
      <c r="J18" s="12">
        <v>38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3378</v>
      </c>
      <c r="X18" s="12">
        <v>1172</v>
      </c>
      <c r="Y18" s="12">
        <v>2206</v>
      </c>
      <c r="Z18" s="12">
        <v>438</v>
      </c>
      <c r="AA18" s="12">
        <v>203</v>
      </c>
      <c r="AB18" s="12">
        <v>235</v>
      </c>
      <c r="AC18" s="12">
        <v>464</v>
      </c>
      <c r="AD18" s="12">
        <v>200</v>
      </c>
      <c r="AE18" s="12">
        <v>264</v>
      </c>
      <c r="AF18" s="12">
        <v>2476</v>
      </c>
      <c r="AG18" s="12">
        <v>769</v>
      </c>
      <c r="AH18" s="12">
        <v>1707</v>
      </c>
      <c r="AI18" s="12">
        <v>414906</v>
      </c>
      <c r="AJ18" s="12">
        <v>152742</v>
      </c>
      <c r="AK18" s="12">
        <v>262164</v>
      </c>
      <c r="AL18" s="12">
        <v>57098</v>
      </c>
      <c r="AM18" s="12">
        <v>25860</v>
      </c>
      <c r="AN18" s="12">
        <v>31238</v>
      </c>
      <c r="AO18" s="12">
        <v>61137</v>
      </c>
      <c r="AP18" s="12">
        <v>27641</v>
      </c>
      <c r="AQ18" s="12">
        <v>33496</v>
      </c>
      <c r="AR18" s="12">
        <v>296671</v>
      </c>
      <c r="AS18" s="12">
        <v>99241</v>
      </c>
      <c r="AT18" s="12">
        <v>197430</v>
      </c>
      <c r="AU18" s="12">
        <v>810719.5</v>
      </c>
      <c r="AV18" s="12">
        <v>305803</v>
      </c>
      <c r="AW18" s="12">
        <v>504916.5</v>
      </c>
      <c r="AX18" s="12">
        <v>115472</v>
      </c>
      <c r="AY18" s="12">
        <v>51801.5</v>
      </c>
      <c r="AZ18" s="12">
        <v>63670.5</v>
      </c>
      <c r="BA18" s="12">
        <v>122843.5</v>
      </c>
      <c r="BB18" s="12">
        <v>56010</v>
      </c>
      <c r="BC18" s="12">
        <v>66833.5</v>
      </c>
      <c r="BD18" s="12">
        <v>572404</v>
      </c>
      <c r="BE18" s="12">
        <v>197991.5</v>
      </c>
      <c r="BF18" s="12">
        <v>374412.5</v>
      </c>
    </row>
    <row r="19" spans="1:58" s="13" customFormat="1" ht="21" customHeight="1">
      <c r="A19" s="50" t="s">
        <v>157</v>
      </c>
      <c r="B19" s="39" t="s">
        <v>12</v>
      </c>
      <c r="C19" s="12">
        <v>11</v>
      </c>
      <c r="D19" s="12">
        <v>398</v>
      </c>
      <c r="E19" s="12">
        <v>20</v>
      </c>
      <c r="F19" s="12">
        <v>378</v>
      </c>
      <c r="G19" s="12">
        <v>20</v>
      </c>
      <c r="H19" s="12">
        <v>378</v>
      </c>
      <c r="I19" s="12">
        <v>0</v>
      </c>
      <c r="J19" s="12">
        <v>0</v>
      </c>
      <c r="K19" s="12">
        <v>0</v>
      </c>
      <c r="L19" s="12">
        <v>0</v>
      </c>
      <c r="M19" s="12">
        <v>2</v>
      </c>
      <c r="N19" s="12">
        <v>42</v>
      </c>
      <c r="O19" s="12">
        <v>0</v>
      </c>
      <c r="P19" s="12">
        <v>0</v>
      </c>
      <c r="Q19" s="12">
        <v>0</v>
      </c>
      <c r="R19" s="12">
        <v>0</v>
      </c>
      <c r="S19" s="12">
        <v>2</v>
      </c>
      <c r="T19" s="12">
        <v>42</v>
      </c>
      <c r="U19" s="12">
        <v>9</v>
      </c>
      <c r="V19" s="12">
        <v>362</v>
      </c>
      <c r="W19" s="12">
        <v>2555</v>
      </c>
      <c r="X19" s="12">
        <v>1029</v>
      </c>
      <c r="Y19" s="12">
        <v>1526</v>
      </c>
      <c r="Z19" s="12">
        <v>233</v>
      </c>
      <c r="AA19" s="12">
        <v>164</v>
      </c>
      <c r="AB19" s="12">
        <v>69</v>
      </c>
      <c r="AC19" s="12">
        <v>578</v>
      </c>
      <c r="AD19" s="12">
        <v>256</v>
      </c>
      <c r="AE19" s="12">
        <v>322</v>
      </c>
      <c r="AF19" s="12">
        <v>1744</v>
      </c>
      <c r="AG19" s="12">
        <v>609</v>
      </c>
      <c r="AH19" s="12">
        <v>1135</v>
      </c>
      <c r="AI19" s="12">
        <v>290420</v>
      </c>
      <c r="AJ19" s="12">
        <v>125811</v>
      </c>
      <c r="AK19" s="12">
        <v>164609</v>
      </c>
      <c r="AL19" s="12">
        <v>30049</v>
      </c>
      <c r="AM19" s="12">
        <v>21091</v>
      </c>
      <c r="AN19" s="12">
        <v>8958</v>
      </c>
      <c r="AO19" s="12">
        <v>72853</v>
      </c>
      <c r="AP19" s="12">
        <v>32920</v>
      </c>
      <c r="AQ19" s="12">
        <v>39933</v>
      </c>
      <c r="AR19" s="12">
        <v>187518</v>
      </c>
      <c r="AS19" s="12">
        <v>71800</v>
      </c>
      <c r="AT19" s="12">
        <v>115718</v>
      </c>
      <c r="AU19" s="12">
        <v>582875</v>
      </c>
      <c r="AV19" s="12">
        <v>256618</v>
      </c>
      <c r="AW19" s="12">
        <v>326257</v>
      </c>
      <c r="AX19" s="12">
        <v>57479</v>
      </c>
      <c r="AY19" s="12">
        <v>39973</v>
      </c>
      <c r="AZ19" s="12">
        <v>17506</v>
      </c>
      <c r="BA19" s="12">
        <v>147901</v>
      </c>
      <c r="BB19" s="12">
        <v>68210</v>
      </c>
      <c r="BC19" s="12">
        <v>79691</v>
      </c>
      <c r="BD19" s="12">
        <v>377495</v>
      </c>
      <c r="BE19" s="12">
        <v>148435</v>
      </c>
      <c r="BF19" s="12">
        <v>229060</v>
      </c>
    </row>
    <row r="20" spans="1:58" s="13" customFormat="1" ht="21" customHeight="1">
      <c r="A20" s="50" t="s">
        <v>158</v>
      </c>
      <c r="B20" s="39" t="s">
        <v>13</v>
      </c>
      <c r="C20" s="12">
        <v>7</v>
      </c>
      <c r="D20" s="12">
        <v>321</v>
      </c>
      <c r="E20" s="12">
        <v>29</v>
      </c>
      <c r="F20" s="12">
        <v>292</v>
      </c>
      <c r="G20" s="12">
        <v>29</v>
      </c>
      <c r="H20" s="12">
        <v>288</v>
      </c>
      <c r="I20" s="12">
        <v>0</v>
      </c>
      <c r="J20" s="12">
        <v>4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8</v>
      </c>
      <c r="V20" s="12">
        <v>220</v>
      </c>
      <c r="W20" s="12">
        <v>2515</v>
      </c>
      <c r="X20" s="12">
        <v>938</v>
      </c>
      <c r="Y20" s="12">
        <v>1577</v>
      </c>
      <c r="Z20" s="12">
        <v>470</v>
      </c>
      <c r="AA20" s="12">
        <v>251</v>
      </c>
      <c r="AB20" s="12">
        <v>219</v>
      </c>
      <c r="AC20" s="12">
        <v>198</v>
      </c>
      <c r="AD20" s="12">
        <v>92</v>
      </c>
      <c r="AE20" s="12">
        <v>106</v>
      </c>
      <c r="AF20" s="12">
        <v>1847</v>
      </c>
      <c r="AG20" s="12">
        <v>595</v>
      </c>
      <c r="AH20" s="12">
        <v>1252</v>
      </c>
      <c r="AI20" s="12">
        <v>332083</v>
      </c>
      <c r="AJ20" s="12">
        <v>125046</v>
      </c>
      <c r="AK20" s="12">
        <v>207037</v>
      </c>
      <c r="AL20" s="12">
        <v>68360</v>
      </c>
      <c r="AM20" s="12">
        <v>35520</v>
      </c>
      <c r="AN20" s="12">
        <v>32840</v>
      </c>
      <c r="AO20" s="12">
        <v>28036</v>
      </c>
      <c r="AP20" s="12">
        <v>11610</v>
      </c>
      <c r="AQ20" s="12">
        <v>16426</v>
      </c>
      <c r="AR20" s="12">
        <v>235687</v>
      </c>
      <c r="AS20" s="12">
        <v>77916</v>
      </c>
      <c r="AT20" s="12">
        <v>157771</v>
      </c>
      <c r="AU20" s="12">
        <v>540048.19999999995</v>
      </c>
      <c r="AV20" s="12">
        <v>202737.5</v>
      </c>
      <c r="AW20" s="12">
        <v>337310.7</v>
      </c>
      <c r="AX20" s="12">
        <v>116919.1</v>
      </c>
      <c r="AY20" s="12">
        <v>59013.5</v>
      </c>
      <c r="AZ20" s="12">
        <v>57905.599999999999</v>
      </c>
      <c r="BA20" s="12">
        <v>48048.6</v>
      </c>
      <c r="BB20" s="12">
        <v>20317</v>
      </c>
      <c r="BC20" s="12">
        <v>27731.599999999999</v>
      </c>
      <c r="BD20" s="12">
        <v>375080.5</v>
      </c>
      <c r="BE20" s="12">
        <v>123407</v>
      </c>
      <c r="BF20" s="12">
        <v>251673.5</v>
      </c>
    </row>
    <row r="21" spans="1:58" s="13" customFormat="1" ht="21" customHeight="1">
      <c r="A21" s="50" t="s">
        <v>159</v>
      </c>
      <c r="B21" s="39" t="s">
        <v>14</v>
      </c>
      <c r="C21" s="12">
        <v>4</v>
      </c>
      <c r="D21" s="12">
        <v>263</v>
      </c>
      <c r="E21" s="12">
        <v>29</v>
      </c>
      <c r="F21" s="12">
        <v>234</v>
      </c>
      <c r="G21" s="12">
        <v>17</v>
      </c>
      <c r="H21" s="12">
        <v>176</v>
      </c>
      <c r="I21" s="12">
        <v>12</v>
      </c>
      <c r="J21" s="12">
        <v>56</v>
      </c>
      <c r="K21" s="12">
        <v>0</v>
      </c>
      <c r="L21" s="12">
        <v>2</v>
      </c>
      <c r="M21" s="12">
        <v>2</v>
      </c>
      <c r="N21" s="12">
        <v>47</v>
      </c>
      <c r="O21" s="12">
        <v>1</v>
      </c>
      <c r="P21" s="12">
        <v>17</v>
      </c>
      <c r="Q21" s="12">
        <v>0</v>
      </c>
      <c r="R21" s="12">
        <v>0</v>
      </c>
      <c r="S21" s="12">
        <v>1</v>
      </c>
      <c r="T21" s="12">
        <v>30</v>
      </c>
      <c r="U21" s="12">
        <v>15</v>
      </c>
      <c r="V21" s="12">
        <v>267</v>
      </c>
      <c r="W21" s="12">
        <v>1779</v>
      </c>
      <c r="X21" s="12">
        <v>679</v>
      </c>
      <c r="Y21" s="12">
        <v>1100</v>
      </c>
      <c r="Z21" s="12">
        <v>484</v>
      </c>
      <c r="AA21" s="12">
        <v>230</v>
      </c>
      <c r="AB21" s="12">
        <v>254</v>
      </c>
      <c r="AC21" s="12">
        <v>125</v>
      </c>
      <c r="AD21" s="12">
        <v>65</v>
      </c>
      <c r="AE21" s="12">
        <v>60</v>
      </c>
      <c r="AF21" s="12">
        <v>1170</v>
      </c>
      <c r="AG21" s="12">
        <v>384</v>
      </c>
      <c r="AH21" s="12">
        <v>786</v>
      </c>
      <c r="AI21" s="12">
        <v>355154</v>
      </c>
      <c r="AJ21" s="12">
        <v>139341</v>
      </c>
      <c r="AK21" s="12">
        <v>215813</v>
      </c>
      <c r="AL21" s="12">
        <v>103990</v>
      </c>
      <c r="AM21" s="12">
        <v>49180</v>
      </c>
      <c r="AN21" s="12">
        <v>54810</v>
      </c>
      <c r="AO21" s="12">
        <v>25748</v>
      </c>
      <c r="AP21" s="12">
        <v>13207</v>
      </c>
      <c r="AQ21" s="12">
        <v>12541</v>
      </c>
      <c r="AR21" s="12">
        <v>225416</v>
      </c>
      <c r="AS21" s="12">
        <v>76954</v>
      </c>
      <c r="AT21" s="12">
        <v>148462</v>
      </c>
      <c r="AU21" s="12">
        <v>417598</v>
      </c>
      <c r="AV21" s="12">
        <v>168014.5</v>
      </c>
      <c r="AW21" s="12">
        <v>249583.5</v>
      </c>
      <c r="AX21" s="12">
        <v>131982.5</v>
      </c>
      <c r="AY21" s="12">
        <v>63009.5</v>
      </c>
      <c r="AZ21" s="12">
        <v>68973</v>
      </c>
      <c r="BA21" s="12">
        <v>31612.5</v>
      </c>
      <c r="BB21" s="12">
        <v>16948</v>
      </c>
      <c r="BC21" s="12">
        <v>14664.5</v>
      </c>
      <c r="BD21" s="12">
        <v>254003</v>
      </c>
      <c r="BE21" s="12">
        <v>88057</v>
      </c>
      <c r="BF21" s="12">
        <v>165946</v>
      </c>
    </row>
    <row r="22" spans="1:58" s="13" customFormat="1" ht="21" customHeight="1">
      <c r="A22" s="50" t="s">
        <v>160</v>
      </c>
      <c r="B22" s="39" t="s">
        <v>15</v>
      </c>
      <c r="C22" s="12">
        <v>16</v>
      </c>
      <c r="D22" s="12">
        <v>623</v>
      </c>
      <c r="E22" s="12">
        <v>40</v>
      </c>
      <c r="F22" s="12">
        <v>583</v>
      </c>
      <c r="G22" s="12">
        <v>38</v>
      </c>
      <c r="H22" s="12">
        <v>496</v>
      </c>
      <c r="I22" s="12">
        <v>2</v>
      </c>
      <c r="J22" s="12">
        <v>87</v>
      </c>
      <c r="K22" s="12">
        <v>0</v>
      </c>
      <c r="L22" s="12">
        <v>0</v>
      </c>
      <c r="M22" s="12">
        <v>76</v>
      </c>
      <c r="N22" s="12">
        <v>187</v>
      </c>
      <c r="O22" s="12">
        <v>25</v>
      </c>
      <c r="P22" s="12">
        <v>66</v>
      </c>
      <c r="Q22" s="12">
        <v>25</v>
      </c>
      <c r="R22" s="12">
        <v>31</v>
      </c>
      <c r="S22" s="12">
        <v>26</v>
      </c>
      <c r="T22" s="12">
        <v>90</v>
      </c>
      <c r="U22" s="12">
        <v>127</v>
      </c>
      <c r="V22" s="12">
        <v>3430</v>
      </c>
      <c r="W22" s="12">
        <v>4024</v>
      </c>
      <c r="X22" s="12">
        <v>1667</v>
      </c>
      <c r="Y22" s="12">
        <v>2357</v>
      </c>
      <c r="Z22" s="12">
        <v>894</v>
      </c>
      <c r="AA22" s="12">
        <v>480</v>
      </c>
      <c r="AB22" s="12">
        <v>414</v>
      </c>
      <c r="AC22" s="12">
        <v>675</v>
      </c>
      <c r="AD22" s="12">
        <v>301</v>
      </c>
      <c r="AE22" s="12">
        <v>374</v>
      </c>
      <c r="AF22" s="12">
        <v>2455</v>
      </c>
      <c r="AG22" s="12">
        <v>886</v>
      </c>
      <c r="AH22" s="12">
        <v>1569</v>
      </c>
      <c r="AI22" s="12">
        <v>612611</v>
      </c>
      <c r="AJ22" s="12">
        <v>236379</v>
      </c>
      <c r="AK22" s="12">
        <v>376232</v>
      </c>
      <c r="AL22" s="12">
        <v>130085</v>
      </c>
      <c r="AM22" s="12">
        <v>65402</v>
      </c>
      <c r="AN22" s="12">
        <v>64683</v>
      </c>
      <c r="AO22" s="12">
        <v>104274</v>
      </c>
      <c r="AP22" s="12">
        <v>45552</v>
      </c>
      <c r="AQ22" s="12">
        <v>58722</v>
      </c>
      <c r="AR22" s="12">
        <v>378252</v>
      </c>
      <c r="AS22" s="12">
        <v>125425</v>
      </c>
      <c r="AT22" s="12">
        <v>252827</v>
      </c>
      <c r="AU22" s="12">
        <v>905905.7</v>
      </c>
      <c r="AV22" s="12">
        <v>352683.5</v>
      </c>
      <c r="AW22" s="12">
        <v>553222.19999999995</v>
      </c>
      <c r="AX22" s="12">
        <v>202465.1</v>
      </c>
      <c r="AY22" s="12">
        <v>103406</v>
      </c>
      <c r="AZ22" s="12">
        <v>99059.1</v>
      </c>
      <c r="BA22" s="12">
        <v>167617</v>
      </c>
      <c r="BB22" s="12">
        <v>72977</v>
      </c>
      <c r="BC22" s="12">
        <v>94640</v>
      </c>
      <c r="BD22" s="12">
        <v>535823.6</v>
      </c>
      <c r="BE22" s="12">
        <v>176300.5</v>
      </c>
      <c r="BF22" s="12">
        <v>359523.1</v>
      </c>
    </row>
    <row r="23" spans="1:58" s="13" customFormat="1" ht="21" customHeight="1">
      <c r="A23" s="50" t="s">
        <v>161</v>
      </c>
      <c r="B23" s="39" t="s">
        <v>16</v>
      </c>
      <c r="C23" s="12">
        <v>3</v>
      </c>
      <c r="D23" s="12">
        <v>137</v>
      </c>
      <c r="E23" s="12">
        <v>6</v>
      </c>
      <c r="F23" s="12">
        <v>131</v>
      </c>
      <c r="G23" s="12">
        <v>6</v>
      </c>
      <c r="H23" s="12">
        <v>131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13</v>
      </c>
      <c r="V23" s="12">
        <v>190</v>
      </c>
      <c r="W23" s="12">
        <v>867</v>
      </c>
      <c r="X23" s="12">
        <v>400</v>
      </c>
      <c r="Y23" s="12">
        <v>467</v>
      </c>
      <c r="Z23" s="12">
        <v>275</v>
      </c>
      <c r="AA23" s="12">
        <v>190</v>
      </c>
      <c r="AB23" s="12">
        <v>85</v>
      </c>
      <c r="AC23" s="12">
        <v>36</v>
      </c>
      <c r="AD23" s="12">
        <v>18</v>
      </c>
      <c r="AE23" s="12">
        <v>18</v>
      </c>
      <c r="AF23" s="12">
        <v>556</v>
      </c>
      <c r="AG23" s="12">
        <v>192</v>
      </c>
      <c r="AH23" s="12">
        <v>364</v>
      </c>
      <c r="AI23" s="12">
        <v>117967</v>
      </c>
      <c r="AJ23" s="12">
        <v>57881</v>
      </c>
      <c r="AK23" s="12">
        <v>60086</v>
      </c>
      <c r="AL23" s="12">
        <v>39758</v>
      </c>
      <c r="AM23" s="12">
        <v>25757</v>
      </c>
      <c r="AN23" s="12">
        <v>14001</v>
      </c>
      <c r="AO23" s="12">
        <v>7629</v>
      </c>
      <c r="AP23" s="12">
        <v>4212</v>
      </c>
      <c r="AQ23" s="12">
        <v>3417</v>
      </c>
      <c r="AR23" s="12">
        <v>70580</v>
      </c>
      <c r="AS23" s="12">
        <v>27912</v>
      </c>
      <c r="AT23" s="12">
        <v>42668</v>
      </c>
      <c r="AU23" s="12">
        <v>184001.7</v>
      </c>
      <c r="AV23" s="12">
        <v>90883.5</v>
      </c>
      <c r="AW23" s="12">
        <v>93118.2</v>
      </c>
      <c r="AX23" s="12">
        <v>64214.5</v>
      </c>
      <c r="AY23" s="12">
        <v>41471.5</v>
      </c>
      <c r="AZ23" s="12">
        <v>22743</v>
      </c>
      <c r="BA23" s="12">
        <v>11914.5</v>
      </c>
      <c r="BB23" s="12">
        <v>6478</v>
      </c>
      <c r="BC23" s="12">
        <v>5436.5</v>
      </c>
      <c r="BD23" s="12">
        <v>107872.7</v>
      </c>
      <c r="BE23" s="12">
        <v>42934</v>
      </c>
      <c r="BF23" s="12">
        <v>64938.7</v>
      </c>
    </row>
    <row r="24" spans="1:58" s="13" customFormat="1" ht="21" customHeight="1">
      <c r="A24" s="50" t="s">
        <v>162</v>
      </c>
      <c r="B24" s="39" t="s">
        <v>17</v>
      </c>
      <c r="C24" s="12">
        <v>2</v>
      </c>
      <c r="D24" s="12">
        <v>121</v>
      </c>
      <c r="E24" s="12">
        <v>5</v>
      </c>
      <c r="F24" s="12">
        <v>116</v>
      </c>
      <c r="G24" s="12">
        <v>5</v>
      </c>
      <c r="H24" s="12">
        <v>115</v>
      </c>
      <c r="I24" s="12">
        <v>0</v>
      </c>
      <c r="J24" s="12">
        <v>1</v>
      </c>
      <c r="K24" s="12">
        <v>0</v>
      </c>
      <c r="L24" s="12">
        <v>0</v>
      </c>
      <c r="M24" s="12">
        <v>2</v>
      </c>
      <c r="N24" s="12">
        <v>40</v>
      </c>
      <c r="O24" s="12">
        <v>1</v>
      </c>
      <c r="P24" s="12">
        <v>25</v>
      </c>
      <c r="Q24" s="12">
        <v>0</v>
      </c>
      <c r="R24" s="12">
        <v>0</v>
      </c>
      <c r="S24" s="12">
        <v>1</v>
      </c>
      <c r="T24" s="12">
        <v>15</v>
      </c>
      <c r="U24" s="12">
        <v>24</v>
      </c>
      <c r="V24" s="12">
        <v>234</v>
      </c>
      <c r="W24" s="12">
        <v>1008</v>
      </c>
      <c r="X24" s="12">
        <v>460</v>
      </c>
      <c r="Y24" s="12">
        <v>548</v>
      </c>
      <c r="Z24" s="12">
        <v>227</v>
      </c>
      <c r="AA24" s="12">
        <v>148</v>
      </c>
      <c r="AB24" s="12">
        <v>79</v>
      </c>
      <c r="AC24" s="12">
        <v>187</v>
      </c>
      <c r="AD24" s="12">
        <v>116</v>
      </c>
      <c r="AE24" s="12">
        <v>71</v>
      </c>
      <c r="AF24" s="12">
        <v>594</v>
      </c>
      <c r="AG24" s="12">
        <v>196</v>
      </c>
      <c r="AH24" s="12">
        <v>398</v>
      </c>
      <c r="AI24" s="12">
        <v>128963</v>
      </c>
      <c r="AJ24" s="12">
        <v>61787</v>
      </c>
      <c r="AK24" s="12">
        <v>67176</v>
      </c>
      <c r="AL24" s="12">
        <v>31675</v>
      </c>
      <c r="AM24" s="12">
        <v>20499</v>
      </c>
      <c r="AN24" s="12">
        <v>11176</v>
      </c>
      <c r="AO24" s="12">
        <v>25519</v>
      </c>
      <c r="AP24" s="12">
        <v>15018</v>
      </c>
      <c r="AQ24" s="12">
        <v>10501</v>
      </c>
      <c r="AR24" s="12">
        <v>71769</v>
      </c>
      <c r="AS24" s="12">
        <v>26270</v>
      </c>
      <c r="AT24" s="12">
        <v>45499</v>
      </c>
      <c r="AU24" s="12">
        <v>186709.5</v>
      </c>
      <c r="AV24" s="12">
        <v>89772</v>
      </c>
      <c r="AW24" s="12">
        <v>96937.5</v>
      </c>
      <c r="AX24" s="12">
        <v>47205.5</v>
      </c>
      <c r="AY24" s="12">
        <v>30418.5</v>
      </c>
      <c r="AZ24" s="12">
        <v>16787</v>
      </c>
      <c r="BA24" s="12">
        <v>37736.5</v>
      </c>
      <c r="BB24" s="12">
        <v>22293.5</v>
      </c>
      <c r="BC24" s="12">
        <v>15443</v>
      </c>
      <c r="BD24" s="12">
        <v>101767.5</v>
      </c>
      <c r="BE24" s="12">
        <v>37060</v>
      </c>
      <c r="BF24" s="12">
        <v>64707.5</v>
      </c>
    </row>
    <row r="25" spans="1:58" s="13" customFormat="1" ht="21" customHeight="1">
      <c r="A25" s="50" t="s">
        <v>163</v>
      </c>
      <c r="B25" s="39" t="s">
        <v>18</v>
      </c>
      <c r="C25" s="12">
        <v>1</v>
      </c>
      <c r="D25" s="12">
        <v>55</v>
      </c>
      <c r="E25" s="12">
        <v>4</v>
      </c>
      <c r="F25" s="12">
        <v>51</v>
      </c>
      <c r="G25" s="12">
        <v>0</v>
      </c>
      <c r="H25" s="12">
        <v>0</v>
      </c>
      <c r="I25" s="12">
        <v>4</v>
      </c>
      <c r="J25" s="12">
        <v>51</v>
      </c>
      <c r="K25" s="12">
        <v>0</v>
      </c>
      <c r="L25" s="12">
        <v>0</v>
      </c>
      <c r="M25" s="12">
        <v>2</v>
      </c>
      <c r="N25" s="12">
        <v>23</v>
      </c>
      <c r="O25" s="12">
        <v>1</v>
      </c>
      <c r="P25" s="12">
        <v>7</v>
      </c>
      <c r="Q25" s="12">
        <v>0</v>
      </c>
      <c r="R25" s="12">
        <v>0</v>
      </c>
      <c r="S25" s="12">
        <v>1</v>
      </c>
      <c r="T25" s="12">
        <v>16</v>
      </c>
      <c r="U25" s="12">
        <v>2</v>
      </c>
      <c r="V25" s="12">
        <v>36</v>
      </c>
      <c r="W25" s="12">
        <v>468</v>
      </c>
      <c r="X25" s="12">
        <v>191</v>
      </c>
      <c r="Y25" s="12">
        <v>277</v>
      </c>
      <c r="Z25" s="12">
        <v>171</v>
      </c>
      <c r="AA25" s="12">
        <v>90</v>
      </c>
      <c r="AB25" s="12">
        <v>81</v>
      </c>
      <c r="AC25" s="12">
        <v>52</v>
      </c>
      <c r="AD25" s="12">
        <v>26</v>
      </c>
      <c r="AE25" s="12">
        <v>26</v>
      </c>
      <c r="AF25" s="12">
        <v>245</v>
      </c>
      <c r="AG25" s="12">
        <v>75</v>
      </c>
      <c r="AH25" s="12">
        <v>170</v>
      </c>
      <c r="AI25" s="12">
        <v>69672</v>
      </c>
      <c r="AJ25" s="12">
        <v>27754</v>
      </c>
      <c r="AK25" s="12">
        <v>41918</v>
      </c>
      <c r="AL25" s="12">
        <v>29519</v>
      </c>
      <c r="AM25" s="12">
        <v>15287</v>
      </c>
      <c r="AN25" s="12">
        <v>14232</v>
      </c>
      <c r="AO25" s="12">
        <v>7064</v>
      </c>
      <c r="AP25" s="12">
        <v>2804</v>
      </c>
      <c r="AQ25" s="12">
        <v>4260</v>
      </c>
      <c r="AR25" s="12">
        <v>33089</v>
      </c>
      <c r="AS25" s="12">
        <v>9663</v>
      </c>
      <c r="AT25" s="12">
        <v>23426</v>
      </c>
      <c r="AU25" s="12">
        <v>77656</v>
      </c>
      <c r="AV25" s="12">
        <v>31483</v>
      </c>
      <c r="AW25" s="12">
        <v>46173</v>
      </c>
      <c r="AX25" s="12">
        <v>31313</v>
      </c>
      <c r="AY25" s="12">
        <v>16482.5</v>
      </c>
      <c r="AZ25" s="12">
        <v>14830.5</v>
      </c>
      <c r="BA25" s="12">
        <v>8711</v>
      </c>
      <c r="BB25" s="12">
        <v>3527.5</v>
      </c>
      <c r="BC25" s="12">
        <v>5183.5</v>
      </c>
      <c r="BD25" s="12">
        <v>37632</v>
      </c>
      <c r="BE25" s="12">
        <v>11473</v>
      </c>
      <c r="BF25" s="12">
        <v>26159</v>
      </c>
    </row>
    <row r="26" spans="1:58" s="13" customFormat="1" ht="21" customHeight="1">
      <c r="A26" s="50" t="s">
        <v>164</v>
      </c>
      <c r="B26" s="39" t="s">
        <v>19</v>
      </c>
      <c r="C26" s="12">
        <v>2</v>
      </c>
      <c r="D26" s="12">
        <v>77</v>
      </c>
      <c r="E26" s="12">
        <v>4</v>
      </c>
      <c r="F26" s="12">
        <v>73</v>
      </c>
      <c r="G26" s="12">
        <v>4</v>
      </c>
      <c r="H26" s="12">
        <v>73</v>
      </c>
      <c r="I26" s="12">
        <v>0</v>
      </c>
      <c r="J26" s="12">
        <v>0</v>
      </c>
      <c r="K26" s="12">
        <v>0</v>
      </c>
      <c r="L26" s="12">
        <v>0</v>
      </c>
      <c r="M26" s="12">
        <v>31</v>
      </c>
      <c r="N26" s="12">
        <v>174</v>
      </c>
      <c r="O26" s="12">
        <v>9</v>
      </c>
      <c r="P26" s="12">
        <v>127</v>
      </c>
      <c r="Q26" s="12">
        <v>16</v>
      </c>
      <c r="R26" s="12">
        <v>44</v>
      </c>
      <c r="S26" s="12">
        <v>6</v>
      </c>
      <c r="T26" s="12">
        <v>3</v>
      </c>
      <c r="U26" s="12">
        <v>32</v>
      </c>
      <c r="V26" s="12">
        <v>147</v>
      </c>
      <c r="W26" s="12">
        <v>421</v>
      </c>
      <c r="X26" s="12">
        <v>184</v>
      </c>
      <c r="Y26" s="12">
        <v>237</v>
      </c>
      <c r="Z26" s="12">
        <v>90</v>
      </c>
      <c r="AA26" s="12">
        <v>52</v>
      </c>
      <c r="AB26" s="12">
        <v>38</v>
      </c>
      <c r="AC26" s="12">
        <v>93</v>
      </c>
      <c r="AD26" s="12">
        <v>41</v>
      </c>
      <c r="AE26" s="12">
        <v>52</v>
      </c>
      <c r="AF26" s="12">
        <v>238</v>
      </c>
      <c r="AG26" s="12">
        <v>91</v>
      </c>
      <c r="AH26" s="12">
        <v>147</v>
      </c>
      <c r="AI26" s="12">
        <v>56736</v>
      </c>
      <c r="AJ26" s="12">
        <v>23142</v>
      </c>
      <c r="AK26" s="12">
        <v>33594</v>
      </c>
      <c r="AL26" s="12">
        <v>14271</v>
      </c>
      <c r="AM26" s="12">
        <v>7991</v>
      </c>
      <c r="AN26" s="12">
        <v>6280</v>
      </c>
      <c r="AO26" s="12">
        <v>12209</v>
      </c>
      <c r="AP26" s="12">
        <v>4620</v>
      </c>
      <c r="AQ26" s="12">
        <v>7589</v>
      </c>
      <c r="AR26" s="12">
        <v>30256</v>
      </c>
      <c r="AS26" s="12">
        <v>10531</v>
      </c>
      <c r="AT26" s="12">
        <v>19725</v>
      </c>
      <c r="AU26" s="12">
        <v>107920.5</v>
      </c>
      <c r="AV26" s="12">
        <v>43105.5</v>
      </c>
      <c r="AW26" s="12">
        <v>64815</v>
      </c>
      <c r="AX26" s="12">
        <v>27075</v>
      </c>
      <c r="AY26" s="12">
        <v>15202.5</v>
      </c>
      <c r="AZ26" s="12">
        <v>11872.5</v>
      </c>
      <c r="BA26" s="12">
        <v>24668.5</v>
      </c>
      <c r="BB26" s="12">
        <v>9469.5</v>
      </c>
      <c r="BC26" s="12">
        <v>15199</v>
      </c>
      <c r="BD26" s="12">
        <v>56177</v>
      </c>
      <c r="BE26" s="12">
        <v>18433.5</v>
      </c>
      <c r="BF26" s="12">
        <v>37743.5</v>
      </c>
    </row>
    <row r="27" spans="1:58" s="13" customFormat="1" ht="21" customHeight="1">
      <c r="A27" s="50" t="s">
        <v>165</v>
      </c>
      <c r="B27" s="39" t="s">
        <v>20</v>
      </c>
      <c r="C27" s="12">
        <v>4</v>
      </c>
      <c r="D27" s="12">
        <v>53</v>
      </c>
      <c r="E27" s="12">
        <v>9</v>
      </c>
      <c r="F27" s="12">
        <v>44</v>
      </c>
      <c r="G27" s="12">
        <v>9</v>
      </c>
      <c r="H27" s="12">
        <v>42</v>
      </c>
      <c r="I27" s="12">
        <v>0</v>
      </c>
      <c r="J27" s="12">
        <v>2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335</v>
      </c>
      <c r="X27" s="12">
        <v>148</v>
      </c>
      <c r="Y27" s="12">
        <v>187</v>
      </c>
      <c r="Z27" s="12">
        <v>99</v>
      </c>
      <c r="AA27" s="12">
        <v>50</v>
      </c>
      <c r="AB27" s="12">
        <v>49</v>
      </c>
      <c r="AC27" s="12">
        <v>38</v>
      </c>
      <c r="AD27" s="12">
        <v>22</v>
      </c>
      <c r="AE27" s="12">
        <v>16</v>
      </c>
      <c r="AF27" s="12">
        <v>198</v>
      </c>
      <c r="AG27" s="12">
        <v>76</v>
      </c>
      <c r="AH27" s="12">
        <v>122</v>
      </c>
      <c r="AI27" s="12">
        <v>55077</v>
      </c>
      <c r="AJ27" s="12">
        <v>25279</v>
      </c>
      <c r="AK27" s="12">
        <v>29798</v>
      </c>
      <c r="AL27" s="12">
        <v>17126</v>
      </c>
      <c r="AM27" s="12">
        <v>8130</v>
      </c>
      <c r="AN27" s="12">
        <v>8996</v>
      </c>
      <c r="AO27" s="12">
        <v>5819</v>
      </c>
      <c r="AP27" s="12">
        <v>3574</v>
      </c>
      <c r="AQ27" s="12">
        <v>2245</v>
      </c>
      <c r="AR27" s="12">
        <v>32132</v>
      </c>
      <c r="AS27" s="12">
        <v>13575</v>
      </c>
      <c r="AT27" s="12">
        <v>18557</v>
      </c>
      <c r="AU27" s="12">
        <v>94487.5</v>
      </c>
      <c r="AV27" s="12">
        <v>44115</v>
      </c>
      <c r="AW27" s="12">
        <v>50372.5</v>
      </c>
      <c r="AX27" s="12">
        <v>30455.5</v>
      </c>
      <c r="AY27" s="12">
        <v>14765.5</v>
      </c>
      <c r="AZ27" s="12">
        <v>15690</v>
      </c>
      <c r="BA27" s="12">
        <v>11103.5</v>
      </c>
      <c r="BB27" s="12">
        <v>7384.5</v>
      </c>
      <c r="BC27" s="12">
        <v>3719</v>
      </c>
      <c r="BD27" s="12">
        <v>52928.5</v>
      </c>
      <c r="BE27" s="12">
        <v>21965</v>
      </c>
      <c r="BF27" s="12">
        <v>30963.5</v>
      </c>
    </row>
    <row r="28" spans="1:58" s="13" customFormat="1" ht="21" customHeight="1">
      <c r="A28" s="50" t="s">
        <v>166</v>
      </c>
      <c r="B28" s="39" t="s">
        <v>21</v>
      </c>
      <c r="C28" s="12">
        <v>3</v>
      </c>
      <c r="D28" s="12">
        <v>82</v>
      </c>
      <c r="E28" s="12">
        <v>6</v>
      </c>
      <c r="F28" s="12">
        <v>76</v>
      </c>
      <c r="G28" s="12">
        <v>6</v>
      </c>
      <c r="H28" s="12">
        <v>76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24</v>
      </c>
      <c r="V28" s="12">
        <v>75</v>
      </c>
      <c r="W28" s="12">
        <v>467</v>
      </c>
      <c r="X28" s="12">
        <v>188</v>
      </c>
      <c r="Y28" s="12">
        <v>279</v>
      </c>
      <c r="Z28" s="12">
        <v>107</v>
      </c>
      <c r="AA28" s="12">
        <v>44</v>
      </c>
      <c r="AB28" s="12">
        <v>63</v>
      </c>
      <c r="AC28" s="12">
        <v>62</v>
      </c>
      <c r="AD28" s="12">
        <v>32</v>
      </c>
      <c r="AE28" s="12">
        <v>30</v>
      </c>
      <c r="AF28" s="12">
        <v>298</v>
      </c>
      <c r="AG28" s="12">
        <v>112</v>
      </c>
      <c r="AH28" s="12">
        <v>186</v>
      </c>
      <c r="AI28" s="12">
        <v>93817</v>
      </c>
      <c r="AJ28" s="12">
        <v>37672</v>
      </c>
      <c r="AK28" s="12">
        <v>56145</v>
      </c>
      <c r="AL28" s="12">
        <v>24769</v>
      </c>
      <c r="AM28" s="12">
        <v>10491</v>
      </c>
      <c r="AN28" s="12">
        <v>14278</v>
      </c>
      <c r="AO28" s="12">
        <v>7951</v>
      </c>
      <c r="AP28" s="12">
        <v>4294</v>
      </c>
      <c r="AQ28" s="12">
        <v>3657</v>
      </c>
      <c r="AR28" s="12">
        <v>61097</v>
      </c>
      <c r="AS28" s="12">
        <v>22887</v>
      </c>
      <c r="AT28" s="12">
        <v>38210</v>
      </c>
      <c r="AU28" s="12">
        <v>108370.5</v>
      </c>
      <c r="AV28" s="12">
        <v>42708</v>
      </c>
      <c r="AW28" s="12">
        <v>65662.5</v>
      </c>
      <c r="AX28" s="12">
        <v>31122.5</v>
      </c>
      <c r="AY28" s="12">
        <v>13218</v>
      </c>
      <c r="AZ28" s="12">
        <v>17904.5</v>
      </c>
      <c r="BA28" s="12">
        <v>7568</v>
      </c>
      <c r="BB28" s="12">
        <v>4215.5</v>
      </c>
      <c r="BC28" s="12">
        <v>3352.5</v>
      </c>
      <c r="BD28" s="12">
        <v>69680</v>
      </c>
      <c r="BE28" s="12">
        <v>25274.5</v>
      </c>
      <c r="BF28" s="12">
        <v>44405.5</v>
      </c>
    </row>
    <row r="29" spans="1:58" s="13" customFormat="1" ht="16.5" customHeight="1">
      <c r="A29" s="50" t="s">
        <v>167</v>
      </c>
      <c r="B29" s="39" t="s">
        <v>22</v>
      </c>
      <c r="C29" s="12">
        <v>1</v>
      </c>
      <c r="D29" s="12">
        <v>47</v>
      </c>
      <c r="E29" s="12">
        <v>3</v>
      </c>
      <c r="F29" s="12">
        <v>44</v>
      </c>
      <c r="G29" s="12">
        <v>3</v>
      </c>
      <c r="H29" s="12">
        <v>44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5</v>
      </c>
      <c r="V29" s="12">
        <v>100</v>
      </c>
      <c r="W29" s="12">
        <v>182</v>
      </c>
      <c r="X29" s="12">
        <v>79</v>
      </c>
      <c r="Y29" s="12">
        <v>103</v>
      </c>
      <c r="Z29" s="12">
        <v>6</v>
      </c>
      <c r="AA29" s="12">
        <v>3</v>
      </c>
      <c r="AB29" s="12">
        <v>3</v>
      </c>
      <c r="AC29" s="12">
        <v>4</v>
      </c>
      <c r="AD29" s="12">
        <v>2</v>
      </c>
      <c r="AE29" s="12">
        <v>2</v>
      </c>
      <c r="AF29" s="12">
        <v>172</v>
      </c>
      <c r="AG29" s="12">
        <v>74</v>
      </c>
      <c r="AH29" s="12">
        <v>98</v>
      </c>
      <c r="AI29" s="12">
        <v>32025</v>
      </c>
      <c r="AJ29" s="12">
        <v>13379</v>
      </c>
      <c r="AK29" s="12">
        <v>18646</v>
      </c>
      <c r="AL29" s="12">
        <v>1314</v>
      </c>
      <c r="AM29" s="12">
        <v>639</v>
      </c>
      <c r="AN29" s="12">
        <v>675</v>
      </c>
      <c r="AO29" s="12">
        <v>1645</v>
      </c>
      <c r="AP29" s="12">
        <v>837</v>
      </c>
      <c r="AQ29" s="12">
        <v>808</v>
      </c>
      <c r="AR29" s="12">
        <v>29066</v>
      </c>
      <c r="AS29" s="12">
        <v>11903</v>
      </c>
      <c r="AT29" s="12">
        <v>17163</v>
      </c>
      <c r="AU29" s="12">
        <v>68058.5</v>
      </c>
      <c r="AV29" s="12">
        <v>29882.5</v>
      </c>
      <c r="AW29" s="12">
        <v>38176</v>
      </c>
      <c r="AX29" s="12">
        <v>3556</v>
      </c>
      <c r="AY29" s="12">
        <v>1790</v>
      </c>
      <c r="AZ29" s="12">
        <v>1766</v>
      </c>
      <c r="BA29" s="12">
        <v>3333</v>
      </c>
      <c r="BB29" s="12">
        <v>2019</v>
      </c>
      <c r="BC29" s="12">
        <v>1314</v>
      </c>
      <c r="BD29" s="12">
        <v>61169.5</v>
      </c>
      <c r="BE29" s="12">
        <v>26073.5</v>
      </c>
      <c r="BF29" s="12">
        <v>35096</v>
      </c>
    </row>
    <row r="30" spans="1:58" s="13" customFormat="1" ht="21" customHeight="1">
      <c r="A30" s="51" t="s">
        <v>168</v>
      </c>
      <c r="B30" s="40" t="s">
        <v>23</v>
      </c>
      <c r="C30" s="23">
        <v>1</v>
      </c>
      <c r="D30" s="23">
        <v>10</v>
      </c>
      <c r="E30" s="23">
        <v>0</v>
      </c>
      <c r="F30" s="23">
        <v>10</v>
      </c>
      <c r="G30" s="23">
        <v>0</v>
      </c>
      <c r="H30" s="23">
        <v>0</v>
      </c>
      <c r="I30" s="23">
        <v>0</v>
      </c>
      <c r="J30" s="23">
        <v>10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18</v>
      </c>
      <c r="X30" s="23">
        <v>7</v>
      </c>
      <c r="Y30" s="23">
        <v>11</v>
      </c>
      <c r="Z30" s="23">
        <v>7</v>
      </c>
      <c r="AA30" s="23">
        <v>5</v>
      </c>
      <c r="AB30" s="23">
        <v>2</v>
      </c>
      <c r="AC30" s="23">
        <v>0</v>
      </c>
      <c r="AD30" s="23">
        <v>0</v>
      </c>
      <c r="AE30" s="23">
        <v>0</v>
      </c>
      <c r="AF30" s="23">
        <v>11</v>
      </c>
      <c r="AG30" s="23">
        <v>2</v>
      </c>
      <c r="AH30" s="23">
        <v>9</v>
      </c>
      <c r="AI30" s="23">
        <v>4312</v>
      </c>
      <c r="AJ30" s="23">
        <v>917</v>
      </c>
      <c r="AK30" s="23">
        <v>3395</v>
      </c>
      <c r="AL30" s="23">
        <v>756</v>
      </c>
      <c r="AM30" s="23">
        <v>645</v>
      </c>
      <c r="AN30" s="23">
        <v>111</v>
      </c>
      <c r="AO30" s="23">
        <v>0</v>
      </c>
      <c r="AP30" s="23">
        <v>0</v>
      </c>
      <c r="AQ30" s="23">
        <v>0</v>
      </c>
      <c r="AR30" s="23">
        <v>3556</v>
      </c>
      <c r="AS30" s="23">
        <v>272</v>
      </c>
      <c r="AT30" s="23">
        <v>3284</v>
      </c>
      <c r="AU30" s="23">
        <v>8936</v>
      </c>
      <c r="AV30" s="23">
        <v>2420</v>
      </c>
      <c r="AW30" s="23">
        <v>6516</v>
      </c>
      <c r="AX30" s="23">
        <v>2020</v>
      </c>
      <c r="AY30" s="23">
        <v>1798</v>
      </c>
      <c r="AZ30" s="23">
        <v>222</v>
      </c>
      <c r="BA30" s="23">
        <v>0</v>
      </c>
      <c r="BB30" s="23">
        <v>0</v>
      </c>
      <c r="BC30" s="23">
        <v>0</v>
      </c>
      <c r="BD30" s="23">
        <v>6916</v>
      </c>
      <c r="BE30" s="23">
        <v>622</v>
      </c>
      <c r="BF30" s="23">
        <v>6294</v>
      </c>
    </row>
    <row r="31" spans="1:58" ht="21" customHeight="1">
      <c r="A31" s="14" t="s">
        <v>77</v>
      </c>
      <c r="B31" s="24"/>
    </row>
    <row r="32" spans="1:58" ht="21" customHeight="1">
      <c r="A32" s="15" t="s">
        <v>2</v>
      </c>
      <c r="B32" s="15"/>
    </row>
    <row r="33" spans="1:1" ht="21" customHeight="1"/>
    <row r="34" spans="1:1" ht="21" customHeight="1">
      <c r="A34" s="3" t="s">
        <v>118</v>
      </c>
    </row>
    <row r="35" spans="1:1" ht="21" customHeight="1"/>
    <row r="36" spans="1:1" ht="21" customHeight="1"/>
    <row r="37" spans="1:1" ht="21" customHeight="1"/>
  </sheetData>
  <mergeCells count="72">
    <mergeCell ref="BB6:BB7"/>
    <mergeCell ref="BC6:BC7"/>
    <mergeCell ref="BD6:BD7"/>
    <mergeCell ref="BE6:BE7"/>
    <mergeCell ref="BF6:BF7"/>
    <mergeCell ref="AO6:AO7"/>
    <mergeCell ref="BA6:BA7"/>
    <mergeCell ref="AP6:AP7"/>
    <mergeCell ref="AQ6:AQ7"/>
    <mergeCell ref="AR6:AR7"/>
    <mergeCell ref="AS6:AS7"/>
    <mergeCell ref="AT6:AT7"/>
    <mergeCell ref="AU6:AU7"/>
    <mergeCell ref="AV6:AV7"/>
    <mergeCell ref="AW6:AW7"/>
    <mergeCell ref="AX6:AX7"/>
    <mergeCell ref="AY6:AY7"/>
    <mergeCell ref="AZ6:AZ7"/>
    <mergeCell ref="AJ6:AJ7"/>
    <mergeCell ref="AK6:AK7"/>
    <mergeCell ref="AL6:AL7"/>
    <mergeCell ref="AM6:AM7"/>
    <mergeCell ref="AN6:AN7"/>
    <mergeCell ref="AX5:AZ5"/>
    <mergeCell ref="BA5:BC5"/>
    <mergeCell ref="BD5:BF5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C5:AE5"/>
    <mergeCell ref="AF5:AH5"/>
    <mergeCell ref="AL5:AN5"/>
    <mergeCell ref="AO5:AQ5"/>
    <mergeCell ref="AR5:AT5"/>
    <mergeCell ref="A3:B7"/>
    <mergeCell ref="C3:C7"/>
    <mergeCell ref="M3:V3"/>
    <mergeCell ref="W3:BF3"/>
    <mergeCell ref="M4:T4"/>
    <mergeCell ref="U4:V4"/>
    <mergeCell ref="W4:AH4"/>
    <mergeCell ref="AI4:AT4"/>
    <mergeCell ref="AU4:BF4"/>
    <mergeCell ref="M5:N5"/>
    <mergeCell ref="O5:P5"/>
    <mergeCell ref="Q5:R5"/>
    <mergeCell ref="S5:T5"/>
    <mergeCell ref="U5:U7"/>
    <mergeCell ref="V5:V7"/>
    <mergeCell ref="Z5:AB5"/>
    <mergeCell ref="D6:D7"/>
    <mergeCell ref="E6:E7"/>
    <mergeCell ref="F6:F7"/>
    <mergeCell ref="G6:G7"/>
    <mergeCell ref="H6:H7"/>
    <mergeCell ref="K6:K7"/>
    <mergeCell ref="L6:L7"/>
    <mergeCell ref="G5:H5"/>
    <mergeCell ref="I5:J5"/>
    <mergeCell ref="K5:L5"/>
    <mergeCell ref="I6:I7"/>
    <mergeCell ref="J6:J7"/>
  </mergeCells>
  <phoneticPr fontId="6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  <pageSetUpPr fitToPage="1"/>
  </sheetPr>
  <dimension ref="A1:CK37"/>
  <sheetViews>
    <sheetView zoomScaleNormal="100" zoomScaleSheetLayoutView="75" workbookViewId="0">
      <pane xSplit="2" ySplit="7" topLeftCell="C20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0" style="3" customWidth="1"/>
    <col min="2" max="2" width="20" style="3" customWidth="1"/>
    <col min="3" max="12" width="10.83203125" style="3" customWidth="1"/>
    <col min="13" max="58" width="14.1640625" style="3" customWidth="1"/>
    <col min="59" max="16384" width="12" style="3"/>
  </cols>
  <sheetData>
    <row r="1" spans="1:89" ht="21">
      <c r="A1" s="1" t="s">
        <v>50</v>
      </c>
      <c r="B1" s="25"/>
    </row>
    <row r="2" spans="1:89" ht="25.5" customHeight="1">
      <c r="A2" s="404" t="s">
        <v>116</v>
      </c>
      <c r="B2" s="404"/>
      <c r="C2" s="404"/>
    </row>
    <row r="3" spans="1:89" ht="16.5" customHeight="1">
      <c r="A3" s="329" t="s">
        <v>78</v>
      </c>
      <c r="B3" s="301"/>
      <c r="C3" s="314" t="s">
        <v>51</v>
      </c>
      <c r="D3" s="17" t="s">
        <v>79</v>
      </c>
      <c r="E3" s="17"/>
      <c r="F3" s="17"/>
      <c r="G3" s="17"/>
      <c r="H3" s="17"/>
      <c r="I3" s="17"/>
      <c r="J3" s="17"/>
      <c r="K3" s="17"/>
      <c r="L3" s="17"/>
      <c r="M3" s="332" t="s">
        <v>52</v>
      </c>
      <c r="N3" s="304"/>
      <c r="O3" s="304"/>
      <c r="P3" s="304"/>
      <c r="Q3" s="304"/>
      <c r="R3" s="304"/>
      <c r="S3" s="304"/>
      <c r="T3" s="304"/>
      <c r="U3" s="304"/>
      <c r="V3" s="340"/>
      <c r="W3" s="344" t="s">
        <v>53</v>
      </c>
      <c r="X3" s="344"/>
      <c r="Y3" s="344"/>
      <c r="Z3" s="344"/>
      <c r="AA3" s="344"/>
      <c r="AB3" s="344"/>
      <c r="AC3" s="344"/>
      <c r="AD3" s="344"/>
      <c r="AE3" s="344"/>
      <c r="AF3" s="344"/>
      <c r="AG3" s="344"/>
      <c r="AH3" s="344"/>
      <c r="AI3" s="344"/>
      <c r="AJ3" s="344"/>
      <c r="AK3" s="344"/>
      <c r="AL3" s="344"/>
      <c r="AM3" s="344"/>
      <c r="AN3" s="344"/>
      <c r="AO3" s="344"/>
      <c r="AP3" s="344"/>
      <c r="AQ3" s="344"/>
      <c r="AR3" s="344"/>
      <c r="AS3" s="344"/>
      <c r="AT3" s="344"/>
      <c r="AU3" s="344"/>
      <c r="AV3" s="344"/>
      <c r="AW3" s="344"/>
      <c r="AX3" s="344"/>
      <c r="AY3" s="344"/>
      <c r="AZ3" s="344"/>
      <c r="BA3" s="344"/>
      <c r="BB3" s="344"/>
      <c r="BC3" s="344"/>
      <c r="BD3" s="344"/>
      <c r="BE3" s="344"/>
      <c r="BF3" s="332"/>
    </row>
    <row r="4" spans="1:89" s="4" customFormat="1" ht="16.5" customHeight="1">
      <c r="A4" s="364"/>
      <c r="B4" s="302"/>
      <c r="C4" s="402"/>
      <c r="D4" s="17" t="s">
        <v>80</v>
      </c>
      <c r="E4" s="17"/>
      <c r="F4" s="17"/>
      <c r="G4" s="17"/>
      <c r="H4" s="17"/>
      <c r="I4" s="17"/>
      <c r="J4" s="17"/>
      <c r="K4" s="17"/>
      <c r="L4" s="17"/>
      <c r="M4" s="332" t="s">
        <v>54</v>
      </c>
      <c r="N4" s="304"/>
      <c r="O4" s="304"/>
      <c r="P4" s="304"/>
      <c r="Q4" s="304"/>
      <c r="R4" s="304"/>
      <c r="S4" s="304"/>
      <c r="T4" s="340"/>
      <c r="U4" s="324" t="s">
        <v>55</v>
      </c>
      <c r="V4" s="315"/>
      <c r="W4" s="344" t="s">
        <v>81</v>
      </c>
      <c r="X4" s="344"/>
      <c r="Y4" s="344"/>
      <c r="Z4" s="344"/>
      <c r="AA4" s="344"/>
      <c r="AB4" s="344"/>
      <c r="AC4" s="344"/>
      <c r="AD4" s="344"/>
      <c r="AE4" s="344"/>
      <c r="AF4" s="344"/>
      <c r="AG4" s="344"/>
      <c r="AH4" s="344"/>
      <c r="AI4" s="344" t="s">
        <v>57</v>
      </c>
      <c r="AJ4" s="344"/>
      <c r="AK4" s="344"/>
      <c r="AL4" s="344"/>
      <c r="AM4" s="344"/>
      <c r="AN4" s="344"/>
      <c r="AO4" s="344"/>
      <c r="AP4" s="344"/>
      <c r="AQ4" s="344"/>
      <c r="AR4" s="344"/>
      <c r="AS4" s="344"/>
      <c r="AT4" s="344"/>
      <c r="AU4" s="344" t="s">
        <v>58</v>
      </c>
      <c r="AV4" s="344"/>
      <c r="AW4" s="344"/>
      <c r="AX4" s="344"/>
      <c r="AY4" s="344"/>
      <c r="AZ4" s="344"/>
      <c r="BA4" s="344"/>
      <c r="BB4" s="344"/>
      <c r="BC4" s="344"/>
      <c r="BD4" s="344"/>
      <c r="BE4" s="344"/>
      <c r="BF4" s="332"/>
    </row>
    <row r="5" spans="1:89" s="9" customFormat="1" ht="30" customHeight="1">
      <c r="A5" s="364"/>
      <c r="B5" s="302"/>
      <c r="C5" s="402"/>
      <c r="D5" s="5" t="s">
        <v>59</v>
      </c>
      <c r="E5" s="6"/>
      <c r="F5" s="7"/>
      <c r="G5" s="311" t="s">
        <v>60</v>
      </c>
      <c r="H5" s="340"/>
      <c r="I5" s="311" t="s">
        <v>61</v>
      </c>
      <c r="J5" s="340"/>
      <c r="K5" s="311" t="s">
        <v>62</v>
      </c>
      <c r="L5" s="340"/>
      <c r="M5" s="311" t="s">
        <v>63</v>
      </c>
      <c r="N5" s="340"/>
      <c r="O5" s="311" t="s">
        <v>64</v>
      </c>
      <c r="P5" s="313"/>
      <c r="Q5" s="311" t="s">
        <v>65</v>
      </c>
      <c r="R5" s="313"/>
      <c r="S5" s="311" t="s">
        <v>66</v>
      </c>
      <c r="T5" s="313"/>
      <c r="U5" s="322" t="s">
        <v>67</v>
      </c>
      <c r="V5" s="322" t="s">
        <v>68</v>
      </c>
      <c r="W5" s="5" t="s">
        <v>59</v>
      </c>
      <c r="X5" s="6"/>
      <c r="Y5" s="7"/>
      <c r="Z5" s="339" t="s">
        <v>69</v>
      </c>
      <c r="AA5" s="339"/>
      <c r="AB5" s="339"/>
      <c r="AC5" s="339" t="s">
        <v>70</v>
      </c>
      <c r="AD5" s="339"/>
      <c r="AE5" s="339"/>
      <c r="AF5" s="339" t="s">
        <v>71</v>
      </c>
      <c r="AG5" s="339"/>
      <c r="AH5" s="339"/>
      <c r="AI5" s="5" t="s">
        <v>59</v>
      </c>
      <c r="AJ5" s="6"/>
      <c r="AK5" s="7"/>
      <c r="AL5" s="339" t="s">
        <v>69</v>
      </c>
      <c r="AM5" s="339"/>
      <c r="AN5" s="339"/>
      <c r="AO5" s="339" t="s">
        <v>70</v>
      </c>
      <c r="AP5" s="339"/>
      <c r="AQ5" s="339"/>
      <c r="AR5" s="339" t="s">
        <v>71</v>
      </c>
      <c r="AS5" s="339"/>
      <c r="AT5" s="339"/>
      <c r="AU5" s="5" t="s">
        <v>59</v>
      </c>
      <c r="AV5" s="8"/>
      <c r="AW5" s="7"/>
      <c r="AX5" s="339" t="s">
        <v>69</v>
      </c>
      <c r="AY5" s="339"/>
      <c r="AZ5" s="339"/>
      <c r="BA5" s="339" t="s">
        <v>70</v>
      </c>
      <c r="BB5" s="339"/>
      <c r="BC5" s="339"/>
      <c r="BD5" s="339" t="s">
        <v>71</v>
      </c>
      <c r="BE5" s="339"/>
      <c r="BF5" s="311"/>
    </row>
    <row r="6" spans="1:89" ht="16.5" customHeight="1">
      <c r="A6" s="364"/>
      <c r="B6" s="302"/>
      <c r="C6" s="402"/>
      <c r="D6" s="322" t="s">
        <v>72</v>
      </c>
      <c r="E6" s="322" t="s">
        <v>73</v>
      </c>
      <c r="F6" s="322" t="s">
        <v>74</v>
      </c>
      <c r="G6" s="322" t="s">
        <v>73</v>
      </c>
      <c r="H6" s="322" t="s">
        <v>74</v>
      </c>
      <c r="I6" s="322" t="s">
        <v>73</v>
      </c>
      <c r="J6" s="322" t="s">
        <v>74</v>
      </c>
      <c r="K6" s="322" t="s">
        <v>73</v>
      </c>
      <c r="L6" s="322" t="s">
        <v>74</v>
      </c>
      <c r="M6" s="10" t="s">
        <v>75</v>
      </c>
      <c r="N6" s="10" t="s">
        <v>76</v>
      </c>
      <c r="O6" s="10" t="s">
        <v>75</v>
      </c>
      <c r="P6" s="10" t="s">
        <v>76</v>
      </c>
      <c r="Q6" s="10" t="s">
        <v>75</v>
      </c>
      <c r="R6" s="10" t="s">
        <v>76</v>
      </c>
      <c r="S6" s="10" t="s">
        <v>75</v>
      </c>
      <c r="T6" s="10" t="s">
        <v>76</v>
      </c>
      <c r="U6" s="338"/>
      <c r="V6" s="338"/>
      <c r="W6" s="322" t="s">
        <v>72</v>
      </c>
      <c r="X6" s="322" t="s">
        <v>73</v>
      </c>
      <c r="Y6" s="322" t="s">
        <v>74</v>
      </c>
      <c r="Z6" s="322" t="s">
        <v>72</v>
      </c>
      <c r="AA6" s="322" t="s">
        <v>73</v>
      </c>
      <c r="AB6" s="322" t="s">
        <v>74</v>
      </c>
      <c r="AC6" s="322" t="s">
        <v>72</v>
      </c>
      <c r="AD6" s="322" t="s">
        <v>73</v>
      </c>
      <c r="AE6" s="322" t="s">
        <v>74</v>
      </c>
      <c r="AF6" s="322" t="s">
        <v>72</v>
      </c>
      <c r="AG6" s="322" t="s">
        <v>73</v>
      </c>
      <c r="AH6" s="322" t="s">
        <v>74</v>
      </c>
      <c r="AI6" s="322" t="s">
        <v>72</v>
      </c>
      <c r="AJ6" s="322" t="s">
        <v>73</v>
      </c>
      <c r="AK6" s="322" t="s">
        <v>74</v>
      </c>
      <c r="AL6" s="322" t="s">
        <v>72</v>
      </c>
      <c r="AM6" s="322" t="s">
        <v>73</v>
      </c>
      <c r="AN6" s="322" t="s">
        <v>74</v>
      </c>
      <c r="AO6" s="322" t="s">
        <v>72</v>
      </c>
      <c r="AP6" s="322" t="s">
        <v>73</v>
      </c>
      <c r="AQ6" s="322" t="s">
        <v>74</v>
      </c>
      <c r="AR6" s="322" t="s">
        <v>72</v>
      </c>
      <c r="AS6" s="322" t="s">
        <v>73</v>
      </c>
      <c r="AT6" s="322" t="s">
        <v>74</v>
      </c>
      <c r="AU6" s="322" t="s">
        <v>72</v>
      </c>
      <c r="AV6" s="322" t="s">
        <v>73</v>
      </c>
      <c r="AW6" s="322" t="s">
        <v>74</v>
      </c>
      <c r="AX6" s="322" t="s">
        <v>72</v>
      </c>
      <c r="AY6" s="322" t="s">
        <v>73</v>
      </c>
      <c r="AZ6" s="322" t="s">
        <v>74</v>
      </c>
      <c r="BA6" s="322" t="s">
        <v>72</v>
      </c>
      <c r="BB6" s="322" t="s">
        <v>73</v>
      </c>
      <c r="BC6" s="322" t="s">
        <v>74</v>
      </c>
      <c r="BD6" s="322" t="s">
        <v>72</v>
      </c>
      <c r="BE6" s="322" t="s">
        <v>73</v>
      </c>
      <c r="BF6" s="314" t="s">
        <v>74</v>
      </c>
    </row>
    <row r="7" spans="1:89">
      <c r="A7" s="331"/>
      <c r="B7" s="303"/>
      <c r="C7" s="403"/>
      <c r="D7" s="323"/>
      <c r="E7" s="323"/>
      <c r="F7" s="323"/>
      <c r="G7" s="323"/>
      <c r="H7" s="323"/>
      <c r="I7" s="323"/>
      <c r="J7" s="323"/>
      <c r="K7" s="323"/>
      <c r="L7" s="323"/>
      <c r="M7" s="11" t="s">
        <v>0</v>
      </c>
      <c r="N7" s="11" t="s">
        <v>1</v>
      </c>
      <c r="O7" s="11" t="s">
        <v>0</v>
      </c>
      <c r="P7" s="11" t="s">
        <v>1</v>
      </c>
      <c r="Q7" s="11" t="s">
        <v>0</v>
      </c>
      <c r="R7" s="11" t="s">
        <v>1</v>
      </c>
      <c r="S7" s="11" t="s">
        <v>0</v>
      </c>
      <c r="T7" s="11" t="s">
        <v>1</v>
      </c>
      <c r="U7" s="323"/>
      <c r="V7" s="323"/>
      <c r="W7" s="323"/>
      <c r="X7" s="323"/>
      <c r="Y7" s="323"/>
      <c r="Z7" s="323"/>
      <c r="AA7" s="323"/>
      <c r="AB7" s="323"/>
      <c r="AC7" s="323"/>
      <c r="AD7" s="323"/>
      <c r="AE7" s="323"/>
      <c r="AF7" s="323"/>
      <c r="AG7" s="323"/>
      <c r="AH7" s="323"/>
      <c r="AI7" s="323"/>
      <c r="AJ7" s="323"/>
      <c r="AK7" s="323"/>
      <c r="AL7" s="323"/>
      <c r="AM7" s="323"/>
      <c r="AN7" s="323"/>
      <c r="AO7" s="323"/>
      <c r="AP7" s="323"/>
      <c r="AQ7" s="323"/>
      <c r="AR7" s="323"/>
      <c r="AS7" s="323"/>
      <c r="AT7" s="323"/>
      <c r="AU7" s="323"/>
      <c r="AV7" s="323"/>
      <c r="AW7" s="323"/>
      <c r="AX7" s="323"/>
      <c r="AY7" s="323"/>
      <c r="AZ7" s="323"/>
      <c r="BA7" s="323"/>
      <c r="BB7" s="323"/>
      <c r="BC7" s="323"/>
      <c r="BD7" s="323"/>
      <c r="BE7" s="323"/>
      <c r="BF7" s="326"/>
    </row>
    <row r="8" spans="1:89" s="18" customFormat="1" ht="17.100000000000001" customHeight="1">
      <c r="A8" s="32" t="s">
        <v>121</v>
      </c>
      <c r="B8" s="37" t="s">
        <v>40</v>
      </c>
      <c r="C8" s="41">
        <v>162</v>
      </c>
      <c r="D8" s="41">
        <v>7463</v>
      </c>
      <c r="E8" s="41">
        <v>659</v>
      </c>
      <c r="F8" s="41">
        <v>6804</v>
      </c>
      <c r="G8" s="41">
        <v>462</v>
      </c>
      <c r="H8" s="41">
        <v>4652</v>
      </c>
      <c r="I8" s="41">
        <v>196</v>
      </c>
      <c r="J8" s="41">
        <v>2148</v>
      </c>
      <c r="K8" s="41">
        <v>1</v>
      </c>
      <c r="L8" s="41">
        <v>4</v>
      </c>
      <c r="M8" s="41">
        <v>67</v>
      </c>
      <c r="N8" s="41">
        <v>684</v>
      </c>
      <c r="O8" s="41">
        <v>17</v>
      </c>
      <c r="P8" s="41">
        <v>235</v>
      </c>
      <c r="Q8" s="41">
        <v>30</v>
      </c>
      <c r="R8" s="41">
        <v>274</v>
      </c>
      <c r="S8" s="41">
        <v>20</v>
      </c>
      <c r="T8" s="41">
        <v>175</v>
      </c>
      <c r="U8" s="41">
        <v>431</v>
      </c>
      <c r="V8" s="41">
        <v>13570</v>
      </c>
      <c r="W8" s="41">
        <v>41486</v>
      </c>
      <c r="X8" s="41">
        <v>17224</v>
      </c>
      <c r="Y8" s="41">
        <v>24262</v>
      </c>
      <c r="Z8" s="41">
        <v>9005</v>
      </c>
      <c r="AA8" s="41">
        <v>4558</v>
      </c>
      <c r="AB8" s="41">
        <v>4447</v>
      </c>
      <c r="AC8" s="41">
        <v>5256</v>
      </c>
      <c r="AD8" s="41">
        <v>2560</v>
      </c>
      <c r="AE8" s="41">
        <v>2696</v>
      </c>
      <c r="AF8" s="41">
        <v>27225</v>
      </c>
      <c r="AG8" s="41">
        <v>10106</v>
      </c>
      <c r="AH8" s="41">
        <v>17119</v>
      </c>
      <c r="AI8" s="41">
        <v>6498195</v>
      </c>
      <c r="AJ8" s="41">
        <v>2759773</v>
      </c>
      <c r="AK8" s="41">
        <v>3738422</v>
      </c>
      <c r="AL8" s="41">
        <v>1562564</v>
      </c>
      <c r="AM8" s="41">
        <v>765413</v>
      </c>
      <c r="AN8" s="41">
        <v>797151</v>
      </c>
      <c r="AO8" s="41">
        <v>908773</v>
      </c>
      <c r="AP8" s="41">
        <v>450239</v>
      </c>
      <c r="AQ8" s="41">
        <v>458534</v>
      </c>
      <c r="AR8" s="41">
        <v>4026858</v>
      </c>
      <c r="AS8" s="41">
        <v>1544121</v>
      </c>
      <c r="AT8" s="41">
        <v>2482737</v>
      </c>
      <c r="AU8" s="41">
        <v>11553091.300000001</v>
      </c>
      <c r="AV8" s="41">
        <v>4964716.2</v>
      </c>
      <c r="AW8" s="41">
        <v>6588375.0999999996</v>
      </c>
      <c r="AX8" s="41">
        <v>2877119.4</v>
      </c>
      <c r="AY8" s="41">
        <v>1419724</v>
      </c>
      <c r="AZ8" s="41">
        <v>1457395.4</v>
      </c>
      <c r="BA8" s="41">
        <v>1670637.9</v>
      </c>
      <c r="BB8" s="41">
        <v>827619</v>
      </c>
      <c r="BC8" s="41">
        <v>843018.9</v>
      </c>
      <c r="BD8" s="41">
        <v>7005334</v>
      </c>
      <c r="BE8" s="41">
        <v>2717373.2</v>
      </c>
      <c r="BF8" s="41">
        <v>4287960.8</v>
      </c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30"/>
      <c r="CI8" s="30"/>
      <c r="CJ8" s="30"/>
      <c r="CK8" s="30"/>
    </row>
    <row r="9" spans="1:89" s="18" customFormat="1" ht="21" customHeight="1">
      <c r="A9" s="52" t="s">
        <v>147</v>
      </c>
      <c r="B9" s="35" t="s">
        <v>29</v>
      </c>
      <c r="C9" s="41">
        <v>14</v>
      </c>
      <c r="D9" s="41">
        <v>933</v>
      </c>
      <c r="E9" s="41">
        <v>78</v>
      </c>
      <c r="F9" s="41">
        <v>855</v>
      </c>
      <c r="G9" s="41">
        <v>57</v>
      </c>
      <c r="H9" s="41">
        <v>622</v>
      </c>
      <c r="I9" s="41">
        <v>21</v>
      </c>
      <c r="J9" s="41">
        <v>233</v>
      </c>
      <c r="K9" s="41">
        <v>0</v>
      </c>
      <c r="L9" s="41">
        <v>0</v>
      </c>
      <c r="M9" s="41">
        <v>2</v>
      </c>
      <c r="N9" s="41">
        <v>65</v>
      </c>
      <c r="O9" s="41">
        <v>1</v>
      </c>
      <c r="P9" s="41">
        <v>37</v>
      </c>
      <c r="Q9" s="41">
        <v>0</v>
      </c>
      <c r="R9" s="41">
        <v>0</v>
      </c>
      <c r="S9" s="41">
        <v>1</v>
      </c>
      <c r="T9" s="41">
        <v>28</v>
      </c>
      <c r="U9" s="41">
        <v>28</v>
      </c>
      <c r="V9" s="41">
        <v>1067</v>
      </c>
      <c r="W9" s="41">
        <v>4204</v>
      </c>
      <c r="X9" s="41">
        <v>1828</v>
      </c>
      <c r="Y9" s="41">
        <v>2376</v>
      </c>
      <c r="Z9" s="41">
        <v>789</v>
      </c>
      <c r="AA9" s="41">
        <v>375</v>
      </c>
      <c r="AB9" s="41">
        <v>414</v>
      </c>
      <c r="AC9" s="41">
        <v>570</v>
      </c>
      <c r="AD9" s="41">
        <v>300</v>
      </c>
      <c r="AE9" s="41">
        <v>270</v>
      </c>
      <c r="AF9" s="41">
        <v>2845</v>
      </c>
      <c r="AG9" s="41">
        <v>1153</v>
      </c>
      <c r="AH9" s="41">
        <v>1692</v>
      </c>
      <c r="AI9" s="41">
        <v>692645</v>
      </c>
      <c r="AJ9" s="41">
        <v>298836</v>
      </c>
      <c r="AK9" s="41">
        <v>393809</v>
      </c>
      <c r="AL9" s="41">
        <v>149489</v>
      </c>
      <c r="AM9" s="41">
        <v>68428</v>
      </c>
      <c r="AN9" s="41">
        <v>81061</v>
      </c>
      <c r="AO9" s="41">
        <v>101401</v>
      </c>
      <c r="AP9" s="41">
        <v>51170</v>
      </c>
      <c r="AQ9" s="41">
        <v>50231</v>
      </c>
      <c r="AR9" s="41">
        <v>441755</v>
      </c>
      <c r="AS9" s="41">
        <v>179238</v>
      </c>
      <c r="AT9" s="41">
        <v>262517</v>
      </c>
      <c r="AU9" s="41">
        <v>1310060.5</v>
      </c>
      <c r="AV9" s="41">
        <v>573292</v>
      </c>
      <c r="AW9" s="41">
        <v>736768.5</v>
      </c>
      <c r="AX9" s="41">
        <v>282808.5</v>
      </c>
      <c r="AY9" s="41">
        <v>131433.5</v>
      </c>
      <c r="AZ9" s="41">
        <v>151375</v>
      </c>
      <c r="BA9" s="41">
        <v>195065</v>
      </c>
      <c r="BB9" s="41">
        <v>100168</v>
      </c>
      <c r="BC9" s="41">
        <v>94897</v>
      </c>
      <c r="BD9" s="41">
        <v>832187</v>
      </c>
      <c r="BE9" s="41">
        <v>341690.5</v>
      </c>
      <c r="BF9" s="41">
        <v>490496.5</v>
      </c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30"/>
      <c r="CI9" s="30"/>
    </row>
    <row r="10" spans="1:89" s="18" customFormat="1" ht="21" customHeight="1">
      <c r="A10" s="52" t="s">
        <v>148</v>
      </c>
      <c r="B10" s="35" t="s">
        <v>30</v>
      </c>
      <c r="C10" s="41">
        <v>18</v>
      </c>
      <c r="D10" s="41">
        <v>610</v>
      </c>
      <c r="E10" s="41">
        <v>64</v>
      </c>
      <c r="F10" s="41">
        <v>546</v>
      </c>
      <c r="G10" s="41">
        <v>30</v>
      </c>
      <c r="H10" s="41">
        <v>242</v>
      </c>
      <c r="I10" s="41">
        <v>34</v>
      </c>
      <c r="J10" s="41">
        <v>303</v>
      </c>
      <c r="K10" s="41">
        <v>0</v>
      </c>
      <c r="L10" s="41">
        <v>1</v>
      </c>
      <c r="M10" s="41">
        <v>1</v>
      </c>
      <c r="N10" s="41">
        <v>12</v>
      </c>
      <c r="O10" s="41">
        <v>0</v>
      </c>
      <c r="P10" s="41">
        <v>0</v>
      </c>
      <c r="Q10" s="41">
        <v>0</v>
      </c>
      <c r="R10" s="41">
        <v>0</v>
      </c>
      <c r="S10" s="41">
        <v>1</v>
      </c>
      <c r="T10" s="41">
        <v>12</v>
      </c>
      <c r="U10" s="41">
        <v>84</v>
      </c>
      <c r="V10" s="41">
        <v>2858</v>
      </c>
      <c r="W10" s="41">
        <v>2850</v>
      </c>
      <c r="X10" s="41">
        <v>1268</v>
      </c>
      <c r="Y10" s="41">
        <v>1582</v>
      </c>
      <c r="Z10" s="41">
        <v>751</v>
      </c>
      <c r="AA10" s="41">
        <v>399</v>
      </c>
      <c r="AB10" s="41">
        <v>352</v>
      </c>
      <c r="AC10" s="41">
        <v>120</v>
      </c>
      <c r="AD10" s="41">
        <v>69</v>
      </c>
      <c r="AE10" s="41">
        <v>51</v>
      </c>
      <c r="AF10" s="41">
        <v>1979</v>
      </c>
      <c r="AG10" s="41">
        <v>800</v>
      </c>
      <c r="AH10" s="41">
        <v>1179</v>
      </c>
      <c r="AI10" s="41">
        <v>415161</v>
      </c>
      <c r="AJ10" s="41">
        <v>188702</v>
      </c>
      <c r="AK10" s="41">
        <v>226459</v>
      </c>
      <c r="AL10" s="41">
        <v>126926</v>
      </c>
      <c r="AM10" s="41">
        <v>64267</v>
      </c>
      <c r="AN10" s="41">
        <v>62659</v>
      </c>
      <c r="AO10" s="41">
        <v>18681</v>
      </c>
      <c r="AP10" s="41">
        <v>10238</v>
      </c>
      <c r="AQ10" s="41">
        <v>8443</v>
      </c>
      <c r="AR10" s="41">
        <v>269554</v>
      </c>
      <c r="AS10" s="41">
        <v>114197</v>
      </c>
      <c r="AT10" s="41">
        <v>155357</v>
      </c>
      <c r="AU10" s="41">
        <v>839095.5</v>
      </c>
      <c r="AV10" s="41">
        <v>379906.5</v>
      </c>
      <c r="AW10" s="41">
        <v>459189</v>
      </c>
      <c r="AX10" s="41">
        <v>257238</v>
      </c>
      <c r="AY10" s="41">
        <v>129355</v>
      </c>
      <c r="AZ10" s="41">
        <v>127883</v>
      </c>
      <c r="BA10" s="41">
        <v>38337</v>
      </c>
      <c r="BB10" s="41">
        <v>21216.5</v>
      </c>
      <c r="BC10" s="41">
        <v>17120.5</v>
      </c>
      <c r="BD10" s="41">
        <v>543520.5</v>
      </c>
      <c r="BE10" s="41">
        <v>229335</v>
      </c>
      <c r="BF10" s="41">
        <v>314185.5</v>
      </c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30"/>
      <c r="CI10" s="30"/>
    </row>
    <row r="11" spans="1:89" s="18" customFormat="1" ht="21" customHeight="1">
      <c r="A11" s="52" t="s">
        <v>149</v>
      </c>
      <c r="B11" s="35" t="s">
        <v>31</v>
      </c>
      <c r="C11" s="41">
        <v>14</v>
      </c>
      <c r="D11" s="41">
        <v>607</v>
      </c>
      <c r="E11" s="41">
        <v>41</v>
      </c>
      <c r="F11" s="41">
        <v>566</v>
      </c>
      <c r="G11" s="41">
        <v>22</v>
      </c>
      <c r="H11" s="41">
        <v>361</v>
      </c>
      <c r="I11" s="41">
        <v>19</v>
      </c>
      <c r="J11" s="41">
        <v>205</v>
      </c>
      <c r="K11" s="41">
        <v>0</v>
      </c>
      <c r="L11" s="41">
        <v>0</v>
      </c>
      <c r="M11" s="41">
        <v>2</v>
      </c>
      <c r="N11" s="41">
        <v>47</v>
      </c>
      <c r="O11" s="41">
        <v>0</v>
      </c>
      <c r="P11" s="41">
        <v>0</v>
      </c>
      <c r="Q11" s="41">
        <v>1</v>
      </c>
      <c r="R11" s="41">
        <v>21</v>
      </c>
      <c r="S11" s="41">
        <v>1</v>
      </c>
      <c r="T11" s="41">
        <v>26</v>
      </c>
      <c r="U11" s="41">
        <v>24</v>
      </c>
      <c r="V11" s="41">
        <v>639</v>
      </c>
      <c r="W11" s="41">
        <v>2902</v>
      </c>
      <c r="X11" s="41">
        <v>1283</v>
      </c>
      <c r="Y11" s="41">
        <v>1619</v>
      </c>
      <c r="Z11" s="41">
        <v>900</v>
      </c>
      <c r="AA11" s="41">
        <v>452</v>
      </c>
      <c r="AB11" s="41">
        <v>448</v>
      </c>
      <c r="AC11" s="41">
        <v>308</v>
      </c>
      <c r="AD11" s="41">
        <v>161</v>
      </c>
      <c r="AE11" s="41">
        <v>147</v>
      </c>
      <c r="AF11" s="41">
        <v>1694</v>
      </c>
      <c r="AG11" s="41">
        <v>670</v>
      </c>
      <c r="AH11" s="41">
        <v>1024</v>
      </c>
      <c r="AI11" s="41">
        <v>418146</v>
      </c>
      <c r="AJ11" s="41">
        <v>192068</v>
      </c>
      <c r="AK11" s="41">
        <v>226078</v>
      </c>
      <c r="AL11" s="41">
        <v>142590</v>
      </c>
      <c r="AM11" s="41">
        <v>70036</v>
      </c>
      <c r="AN11" s="41">
        <v>72554</v>
      </c>
      <c r="AO11" s="41">
        <v>50890</v>
      </c>
      <c r="AP11" s="41">
        <v>25467</v>
      </c>
      <c r="AQ11" s="41">
        <v>25423</v>
      </c>
      <c r="AR11" s="41">
        <v>224666</v>
      </c>
      <c r="AS11" s="41">
        <v>96565</v>
      </c>
      <c r="AT11" s="41">
        <v>128101</v>
      </c>
      <c r="AU11" s="41">
        <v>868166.8</v>
      </c>
      <c r="AV11" s="41">
        <v>404092</v>
      </c>
      <c r="AW11" s="41">
        <v>464074.8</v>
      </c>
      <c r="AX11" s="41">
        <v>310894</v>
      </c>
      <c r="AY11" s="41">
        <v>153168.5</v>
      </c>
      <c r="AZ11" s="41">
        <v>157725.5</v>
      </c>
      <c r="BA11" s="41">
        <v>108296.5</v>
      </c>
      <c r="BB11" s="41">
        <v>54339.5</v>
      </c>
      <c r="BC11" s="41">
        <v>53957</v>
      </c>
      <c r="BD11" s="41">
        <v>448976.3</v>
      </c>
      <c r="BE11" s="41">
        <v>196584</v>
      </c>
      <c r="BF11" s="41">
        <v>252392.3</v>
      </c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30"/>
      <c r="CI11" s="30"/>
    </row>
    <row r="12" spans="1:89" s="18" customFormat="1" ht="21" customHeight="1">
      <c r="A12" s="52" t="s">
        <v>150</v>
      </c>
      <c r="B12" s="35" t="s">
        <v>32</v>
      </c>
      <c r="C12" s="41">
        <v>12</v>
      </c>
      <c r="D12" s="41">
        <v>553</v>
      </c>
      <c r="E12" s="41">
        <v>42</v>
      </c>
      <c r="F12" s="41">
        <v>511</v>
      </c>
      <c r="G12" s="41">
        <v>29</v>
      </c>
      <c r="H12" s="41">
        <v>394</v>
      </c>
      <c r="I12" s="41">
        <v>13</v>
      </c>
      <c r="J12" s="41">
        <v>117</v>
      </c>
      <c r="K12" s="41">
        <v>0</v>
      </c>
      <c r="L12" s="41">
        <v>0</v>
      </c>
      <c r="M12" s="41">
        <v>8</v>
      </c>
      <c r="N12" s="41">
        <v>12</v>
      </c>
      <c r="O12" s="41">
        <v>0</v>
      </c>
      <c r="P12" s="41">
        <v>0</v>
      </c>
      <c r="Q12" s="41">
        <v>4</v>
      </c>
      <c r="R12" s="41">
        <v>8</v>
      </c>
      <c r="S12" s="41">
        <v>4</v>
      </c>
      <c r="T12" s="41">
        <v>4</v>
      </c>
      <c r="U12" s="41">
        <v>78</v>
      </c>
      <c r="V12" s="41">
        <v>2626</v>
      </c>
      <c r="W12" s="41">
        <v>3283</v>
      </c>
      <c r="X12" s="41">
        <v>1228</v>
      </c>
      <c r="Y12" s="41">
        <v>2055</v>
      </c>
      <c r="Z12" s="41">
        <v>542</v>
      </c>
      <c r="AA12" s="41">
        <v>231</v>
      </c>
      <c r="AB12" s="41">
        <v>311</v>
      </c>
      <c r="AC12" s="41">
        <v>503</v>
      </c>
      <c r="AD12" s="41">
        <v>257</v>
      </c>
      <c r="AE12" s="41">
        <v>246</v>
      </c>
      <c r="AF12" s="41">
        <v>2238</v>
      </c>
      <c r="AG12" s="41">
        <v>740</v>
      </c>
      <c r="AH12" s="41">
        <v>1498</v>
      </c>
      <c r="AI12" s="41">
        <v>591204</v>
      </c>
      <c r="AJ12" s="41">
        <v>237022</v>
      </c>
      <c r="AK12" s="41">
        <v>354182</v>
      </c>
      <c r="AL12" s="41">
        <v>104658</v>
      </c>
      <c r="AM12" s="41">
        <v>48096</v>
      </c>
      <c r="AN12" s="41">
        <v>56562</v>
      </c>
      <c r="AO12" s="41">
        <v>92679</v>
      </c>
      <c r="AP12" s="41">
        <v>48057</v>
      </c>
      <c r="AQ12" s="41">
        <v>44622</v>
      </c>
      <c r="AR12" s="41">
        <v>393867</v>
      </c>
      <c r="AS12" s="41">
        <v>140869</v>
      </c>
      <c r="AT12" s="41">
        <v>252998</v>
      </c>
      <c r="AU12" s="41">
        <v>879133.9</v>
      </c>
      <c r="AV12" s="41">
        <v>353994</v>
      </c>
      <c r="AW12" s="41">
        <v>525139.9</v>
      </c>
      <c r="AX12" s="41">
        <v>163327.9</v>
      </c>
      <c r="AY12" s="41">
        <v>73950.5</v>
      </c>
      <c r="AZ12" s="41">
        <v>89377.4</v>
      </c>
      <c r="BA12" s="41">
        <v>146722.5</v>
      </c>
      <c r="BB12" s="41">
        <v>76461</v>
      </c>
      <c r="BC12" s="41">
        <v>70261.5</v>
      </c>
      <c r="BD12" s="41">
        <v>569083.5</v>
      </c>
      <c r="BE12" s="41">
        <v>203582.5</v>
      </c>
      <c r="BF12" s="41">
        <v>365501</v>
      </c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30"/>
      <c r="CI12" s="30"/>
    </row>
    <row r="13" spans="1:89" s="18" customFormat="1" ht="21" customHeight="1">
      <c r="A13" s="52" t="s">
        <v>151</v>
      </c>
      <c r="B13" s="35" t="s">
        <v>33</v>
      </c>
      <c r="C13" s="41">
        <v>24</v>
      </c>
      <c r="D13" s="41">
        <v>1167</v>
      </c>
      <c r="E13" s="41">
        <v>80</v>
      </c>
      <c r="F13" s="41">
        <v>1087</v>
      </c>
      <c r="G13" s="41">
        <v>3</v>
      </c>
      <c r="H13" s="41">
        <v>146</v>
      </c>
      <c r="I13" s="41">
        <v>77</v>
      </c>
      <c r="J13" s="41">
        <v>941</v>
      </c>
      <c r="K13" s="41">
        <v>0</v>
      </c>
      <c r="L13" s="41">
        <v>0</v>
      </c>
      <c r="M13" s="41">
        <v>5</v>
      </c>
      <c r="N13" s="41">
        <v>124</v>
      </c>
      <c r="O13" s="41">
        <v>1</v>
      </c>
      <c r="P13" s="41">
        <v>29</v>
      </c>
      <c r="Q13" s="41">
        <v>1</v>
      </c>
      <c r="R13" s="41">
        <v>20</v>
      </c>
      <c r="S13" s="41">
        <v>3</v>
      </c>
      <c r="T13" s="41">
        <v>75</v>
      </c>
      <c r="U13" s="41">
        <v>49</v>
      </c>
      <c r="V13" s="41">
        <v>2271</v>
      </c>
      <c r="W13" s="41">
        <v>6202</v>
      </c>
      <c r="X13" s="41">
        <v>2550</v>
      </c>
      <c r="Y13" s="41">
        <v>3652</v>
      </c>
      <c r="Z13" s="41">
        <v>1564</v>
      </c>
      <c r="AA13" s="41">
        <v>689</v>
      </c>
      <c r="AB13" s="41">
        <v>875</v>
      </c>
      <c r="AC13" s="41">
        <v>767</v>
      </c>
      <c r="AD13" s="41">
        <v>398</v>
      </c>
      <c r="AE13" s="41">
        <v>369</v>
      </c>
      <c r="AF13" s="41">
        <v>3871</v>
      </c>
      <c r="AG13" s="41">
        <v>1463</v>
      </c>
      <c r="AH13" s="41">
        <v>2408</v>
      </c>
      <c r="AI13" s="41">
        <v>1165228</v>
      </c>
      <c r="AJ13" s="41">
        <v>492797</v>
      </c>
      <c r="AK13" s="41">
        <v>672431</v>
      </c>
      <c r="AL13" s="41">
        <v>333036</v>
      </c>
      <c r="AM13" s="41">
        <v>142738</v>
      </c>
      <c r="AN13" s="41">
        <v>190298</v>
      </c>
      <c r="AO13" s="41">
        <v>171348</v>
      </c>
      <c r="AP13" s="41">
        <v>92985</v>
      </c>
      <c r="AQ13" s="41">
        <v>78363</v>
      </c>
      <c r="AR13" s="41">
        <v>660844</v>
      </c>
      <c r="AS13" s="41">
        <v>257074</v>
      </c>
      <c r="AT13" s="41">
        <v>403770</v>
      </c>
      <c r="AU13" s="41">
        <v>1983051.5</v>
      </c>
      <c r="AV13" s="41">
        <v>847517</v>
      </c>
      <c r="AW13" s="41">
        <v>1135534.5</v>
      </c>
      <c r="AX13" s="41">
        <v>596496</v>
      </c>
      <c r="AY13" s="41">
        <v>264039.5</v>
      </c>
      <c r="AZ13" s="41">
        <v>332456.5</v>
      </c>
      <c r="BA13" s="41">
        <v>300842.5</v>
      </c>
      <c r="BB13" s="41">
        <v>162287.5</v>
      </c>
      <c r="BC13" s="41">
        <v>138555</v>
      </c>
      <c r="BD13" s="41">
        <v>1085713</v>
      </c>
      <c r="BE13" s="41">
        <v>421190</v>
      </c>
      <c r="BF13" s="41">
        <v>664523</v>
      </c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30"/>
      <c r="CI13" s="30"/>
    </row>
    <row r="14" spans="1:89" ht="21" customHeight="1">
      <c r="A14" s="53" t="s">
        <v>152</v>
      </c>
      <c r="B14" s="19" t="s">
        <v>7</v>
      </c>
      <c r="C14" s="20">
        <v>5</v>
      </c>
      <c r="D14" s="20">
        <v>110</v>
      </c>
      <c r="E14" s="20">
        <v>9</v>
      </c>
      <c r="F14" s="20">
        <v>101</v>
      </c>
      <c r="G14" s="20">
        <v>7</v>
      </c>
      <c r="H14" s="20">
        <v>100</v>
      </c>
      <c r="I14" s="20">
        <v>2</v>
      </c>
      <c r="J14" s="20">
        <v>1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842</v>
      </c>
      <c r="X14" s="20">
        <v>366</v>
      </c>
      <c r="Y14" s="20">
        <v>476</v>
      </c>
      <c r="Z14" s="20">
        <v>143</v>
      </c>
      <c r="AA14" s="20">
        <v>81</v>
      </c>
      <c r="AB14" s="20">
        <v>62</v>
      </c>
      <c r="AC14" s="20">
        <v>144</v>
      </c>
      <c r="AD14" s="20">
        <v>53</v>
      </c>
      <c r="AE14" s="20">
        <v>91</v>
      </c>
      <c r="AF14" s="20">
        <v>555</v>
      </c>
      <c r="AG14" s="20">
        <v>232</v>
      </c>
      <c r="AH14" s="20">
        <v>323</v>
      </c>
      <c r="AI14" s="20">
        <v>93766</v>
      </c>
      <c r="AJ14" s="20">
        <v>42633</v>
      </c>
      <c r="AK14" s="20">
        <v>51133</v>
      </c>
      <c r="AL14" s="20">
        <v>16265</v>
      </c>
      <c r="AM14" s="20">
        <v>10157</v>
      </c>
      <c r="AN14" s="20">
        <v>6108</v>
      </c>
      <c r="AO14" s="20">
        <v>17049</v>
      </c>
      <c r="AP14" s="20">
        <v>7458</v>
      </c>
      <c r="AQ14" s="20">
        <v>9591</v>
      </c>
      <c r="AR14" s="20">
        <v>60452</v>
      </c>
      <c r="AS14" s="20">
        <v>25018</v>
      </c>
      <c r="AT14" s="20">
        <v>35434</v>
      </c>
      <c r="AU14" s="20">
        <v>156421.5</v>
      </c>
      <c r="AV14" s="20">
        <v>68115.5</v>
      </c>
      <c r="AW14" s="20">
        <v>88306</v>
      </c>
      <c r="AX14" s="20">
        <v>25967.5</v>
      </c>
      <c r="AY14" s="20">
        <v>15862.5</v>
      </c>
      <c r="AZ14" s="20">
        <v>10105</v>
      </c>
      <c r="BA14" s="20">
        <v>30460.5</v>
      </c>
      <c r="BB14" s="20">
        <v>12531.5</v>
      </c>
      <c r="BC14" s="20">
        <v>17929</v>
      </c>
      <c r="BD14" s="20">
        <v>99993.5</v>
      </c>
      <c r="BE14" s="20">
        <v>39721.5</v>
      </c>
      <c r="BF14" s="20">
        <v>60272</v>
      </c>
    </row>
    <row r="15" spans="1:89" ht="21" customHeight="1">
      <c r="A15" s="53" t="s">
        <v>153</v>
      </c>
      <c r="B15" s="19" t="s">
        <v>8</v>
      </c>
      <c r="C15" s="20">
        <v>4</v>
      </c>
      <c r="D15" s="20">
        <v>496</v>
      </c>
      <c r="E15" s="20">
        <v>27</v>
      </c>
      <c r="F15" s="20">
        <v>469</v>
      </c>
      <c r="G15" s="20">
        <v>27</v>
      </c>
      <c r="H15" s="20">
        <v>469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1981</v>
      </c>
      <c r="X15" s="20">
        <v>954</v>
      </c>
      <c r="Y15" s="20">
        <v>1027</v>
      </c>
      <c r="Z15" s="20">
        <v>540</v>
      </c>
      <c r="AA15" s="20">
        <v>267</v>
      </c>
      <c r="AB15" s="20">
        <v>273</v>
      </c>
      <c r="AC15" s="20">
        <v>236</v>
      </c>
      <c r="AD15" s="20">
        <v>135</v>
      </c>
      <c r="AE15" s="20">
        <v>101</v>
      </c>
      <c r="AF15" s="20">
        <v>1205</v>
      </c>
      <c r="AG15" s="20">
        <v>552</v>
      </c>
      <c r="AH15" s="20">
        <v>653</v>
      </c>
      <c r="AI15" s="20">
        <v>326381</v>
      </c>
      <c r="AJ15" s="20">
        <v>157768</v>
      </c>
      <c r="AK15" s="20">
        <v>168613</v>
      </c>
      <c r="AL15" s="20">
        <v>97486</v>
      </c>
      <c r="AM15" s="20">
        <v>48159</v>
      </c>
      <c r="AN15" s="20">
        <v>49327</v>
      </c>
      <c r="AO15" s="20">
        <v>40189</v>
      </c>
      <c r="AP15" s="20">
        <v>24252</v>
      </c>
      <c r="AQ15" s="20">
        <v>15937</v>
      </c>
      <c r="AR15" s="20">
        <v>188706</v>
      </c>
      <c r="AS15" s="20">
        <v>85357</v>
      </c>
      <c r="AT15" s="20">
        <v>103349</v>
      </c>
      <c r="AU15" s="20">
        <v>734732.5</v>
      </c>
      <c r="AV15" s="20">
        <v>357330</v>
      </c>
      <c r="AW15" s="20">
        <v>377402.5</v>
      </c>
      <c r="AX15" s="20">
        <v>230486.5</v>
      </c>
      <c r="AY15" s="20">
        <v>113328.5</v>
      </c>
      <c r="AZ15" s="20">
        <v>117158</v>
      </c>
      <c r="BA15" s="20">
        <v>90935</v>
      </c>
      <c r="BB15" s="20">
        <v>54947.5</v>
      </c>
      <c r="BC15" s="20">
        <v>35987.5</v>
      </c>
      <c r="BD15" s="20">
        <v>413311</v>
      </c>
      <c r="BE15" s="20">
        <v>189054</v>
      </c>
      <c r="BF15" s="20">
        <v>224257</v>
      </c>
    </row>
    <row r="16" spans="1:89" ht="21" customHeight="1">
      <c r="A16" s="53" t="s">
        <v>154</v>
      </c>
      <c r="B16" s="19" t="s">
        <v>9</v>
      </c>
      <c r="C16" s="20">
        <v>5</v>
      </c>
      <c r="D16" s="20">
        <v>148</v>
      </c>
      <c r="E16" s="20">
        <v>11</v>
      </c>
      <c r="F16" s="20">
        <v>137</v>
      </c>
      <c r="G16" s="20">
        <v>6</v>
      </c>
      <c r="H16" s="20">
        <v>104</v>
      </c>
      <c r="I16" s="20">
        <v>5</v>
      </c>
      <c r="J16" s="20">
        <v>33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12</v>
      </c>
      <c r="V16" s="20">
        <v>368</v>
      </c>
      <c r="W16" s="20">
        <v>529</v>
      </c>
      <c r="X16" s="20">
        <v>246</v>
      </c>
      <c r="Y16" s="20">
        <v>283</v>
      </c>
      <c r="Z16" s="20">
        <v>153</v>
      </c>
      <c r="AA16" s="20">
        <v>91</v>
      </c>
      <c r="AB16" s="20">
        <v>62</v>
      </c>
      <c r="AC16" s="20">
        <v>12</v>
      </c>
      <c r="AD16" s="20">
        <v>5</v>
      </c>
      <c r="AE16" s="20">
        <v>7</v>
      </c>
      <c r="AF16" s="20">
        <v>364</v>
      </c>
      <c r="AG16" s="20">
        <v>150</v>
      </c>
      <c r="AH16" s="20">
        <v>214</v>
      </c>
      <c r="AI16" s="20">
        <v>101615</v>
      </c>
      <c r="AJ16" s="20">
        <v>46779</v>
      </c>
      <c r="AK16" s="20">
        <v>54836</v>
      </c>
      <c r="AL16" s="20">
        <v>30640</v>
      </c>
      <c r="AM16" s="20">
        <v>17621</v>
      </c>
      <c r="AN16" s="20">
        <v>13019</v>
      </c>
      <c r="AO16" s="20">
        <v>2603</v>
      </c>
      <c r="AP16" s="20">
        <v>1063</v>
      </c>
      <c r="AQ16" s="20">
        <v>1540</v>
      </c>
      <c r="AR16" s="20">
        <v>68372</v>
      </c>
      <c r="AS16" s="20">
        <v>28095</v>
      </c>
      <c r="AT16" s="20">
        <v>40277</v>
      </c>
      <c r="AU16" s="20">
        <v>221445.5</v>
      </c>
      <c r="AV16" s="20">
        <v>103634.5</v>
      </c>
      <c r="AW16" s="20">
        <v>117811</v>
      </c>
      <c r="AX16" s="20">
        <v>74224.5</v>
      </c>
      <c r="AY16" s="20">
        <v>42712</v>
      </c>
      <c r="AZ16" s="20">
        <v>31512.5</v>
      </c>
      <c r="BA16" s="20">
        <v>6270</v>
      </c>
      <c r="BB16" s="20">
        <v>3009</v>
      </c>
      <c r="BC16" s="20">
        <v>3261</v>
      </c>
      <c r="BD16" s="20">
        <v>140951</v>
      </c>
      <c r="BE16" s="20">
        <v>57913.5</v>
      </c>
      <c r="BF16" s="20">
        <v>83037.5</v>
      </c>
    </row>
    <row r="17" spans="1:58" ht="21" customHeight="1">
      <c r="A17" s="53" t="s">
        <v>155</v>
      </c>
      <c r="B17" s="19" t="s">
        <v>10</v>
      </c>
      <c r="C17" s="20">
        <v>4</v>
      </c>
      <c r="D17" s="20">
        <v>237</v>
      </c>
      <c r="E17" s="20">
        <v>11</v>
      </c>
      <c r="F17" s="20">
        <v>226</v>
      </c>
      <c r="G17" s="20">
        <v>6</v>
      </c>
      <c r="H17" s="20">
        <v>149</v>
      </c>
      <c r="I17" s="20">
        <v>5</v>
      </c>
      <c r="J17" s="20">
        <v>77</v>
      </c>
      <c r="K17" s="20">
        <v>0</v>
      </c>
      <c r="L17" s="20">
        <v>0</v>
      </c>
      <c r="M17" s="20">
        <v>2</v>
      </c>
      <c r="N17" s="20">
        <v>31</v>
      </c>
      <c r="O17" s="20">
        <v>1</v>
      </c>
      <c r="P17" s="20">
        <v>12</v>
      </c>
      <c r="Q17" s="20">
        <v>0</v>
      </c>
      <c r="R17" s="20">
        <v>0</v>
      </c>
      <c r="S17" s="20">
        <v>1</v>
      </c>
      <c r="T17" s="20">
        <v>19</v>
      </c>
      <c r="U17" s="20">
        <v>14</v>
      </c>
      <c r="V17" s="20">
        <v>738</v>
      </c>
      <c r="W17" s="20">
        <v>1277</v>
      </c>
      <c r="X17" s="20">
        <v>506</v>
      </c>
      <c r="Y17" s="20">
        <v>771</v>
      </c>
      <c r="Z17" s="20">
        <v>216</v>
      </c>
      <c r="AA17" s="20">
        <v>102</v>
      </c>
      <c r="AB17" s="20">
        <v>114</v>
      </c>
      <c r="AC17" s="20">
        <v>174</v>
      </c>
      <c r="AD17" s="20">
        <v>82</v>
      </c>
      <c r="AE17" s="20">
        <v>92</v>
      </c>
      <c r="AF17" s="20">
        <v>887</v>
      </c>
      <c r="AG17" s="20">
        <v>322</v>
      </c>
      <c r="AH17" s="20">
        <v>565</v>
      </c>
      <c r="AI17" s="20">
        <v>232527</v>
      </c>
      <c r="AJ17" s="20">
        <v>96035</v>
      </c>
      <c r="AK17" s="20">
        <v>136492</v>
      </c>
      <c r="AL17" s="20">
        <v>39243</v>
      </c>
      <c r="AM17" s="20">
        <v>18007</v>
      </c>
      <c r="AN17" s="20">
        <v>21236</v>
      </c>
      <c r="AO17" s="20">
        <v>34489</v>
      </c>
      <c r="AP17" s="20">
        <v>17097</v>
      </c>
      <c r="AQ17" s="20">
        <v>17392</v>
      </c>
      <c r="AR17" s="20">
        <v>158795</v>
      </c>
      <c r="AS17" s="20">
        <v>60931</v>
      </c>
      <c r="AT17" s="20">
        <v>97864</v>
      </c>
      <c r="AU17" s="20">
        <v>348882.5</v>
      </c>
      <c r="AV17" s="20">
        <v>143187</v>
      </c>
      <c r="AW17" s="20">
        <v>205695.5</v>
      </c>
      <c r="AX17" s="20">
        <v>59787</v>
      </c>
      <c r="AY17" s="20">
        <v>27009</v>
      </c>
      <c r="AZ17" s="20">
        <v>32778</v>
      </c>
      <c r="BA17" s="20">
        <v>57215</v>
      </c>
      <c r="BB17" s="20">
        <v>27779.5</v>
      </c>
      <c r="BC17" s="20">
        <v>29435.5</v>
      </c>
      <c r="BD17" s="20">
        <v>231880.5</v>
      </c>
      <c r="BE17" s="20">
        <v>88398.5</v>
      </c>
      <c r="BF17" s="20">
        <v>143482</v>
      </c>
    </row>
    <row r="18" spans="1:58" ht="21" customHeight="1">
      <c r="A18" s="53" t="s">
        <v>156</v>
      </c>
      <c r="B18" s="19" t="s">
        <v>11</v>
      </c>
      <c r="C18" s="20">
        <v>6</v>
      </c>
      <c r="D18" s="20">
        <v>482</v>
      </c>
      <c r="E18" s="20">
        <v>47</v>
      </c>
      <c r="F18" s="20">
        <v>435</v>
      </c>
      <c r="G18" s="20">
        <v>44</v>
      </c>
      <c r="H18" s="20">
        <v>411</v>
      </c>
      <c r="I18" s="20">
        <v>3</v>
      </c>
      <c r="J18" s="20">
        <v>24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3160</v>
      </c>
      <c r="X18" s="20">
        <v>1123</v>
      </c>
      <c r="Y18" s="20">
        <v>2037</v>
      </c>
      <c r="Z18" s="20">
        <v>412</v>
      </c>
      <c r="AA18" s="20">
        <v>203</v>
      </c>
      <c r="AB18" s="20">
        <v>209</v>
      </c>
      <c r="AC18" s="20">
        <v>418</v>
      </c>
      <c r="AD18" s="20">
        <v>181</v>
      </c>
      <c r="AE18" s="20">
        <v>237</v>
      </c>
      <c r="AF18" s="20">
        <v>2330</v>
      </c>
      <c r="AG18" s="20">
        <v>739</v>
      </c>
      <c r="AH18" s="20">
        <v>1591</v>
      </c>
      <c r="AI18" s="20">
        <v>387049</v>
      </c>
      <c r="AJ18" s="20">
        <v>149403</v>
      </c>
      <c r="AK18" s="20">
        <v>237646</v>
      </c>
      <c r="AL18" s="20">
        <v>53243</v>
      </c>
      <c r="AM18" s="20">
        <v>24782</v>
      </c>
      <c r="AN18" s="20">
        <v>28461</v>
      </c>
      <c r="AO18" s="20">
        <v>58551</v>
      </c>
      <c r="AP18" s="20">
        <v>26736</v>
      </c>
      <c r="AQ18" s="20">
        <v>31815</v>
      </c>
      <c r="AR18" s="20">
        <v>275255</v>
      </c>
      <c r="AS18" s="20">
        <v>97885</v>
      </c>
      <c r="AT18" s="20">
        <v>177370</v>
      </c>
      <c r="AU18" s="20">
        <v>769552</v>
      </c>
      <c r="AV18" s="20">
        <v>298617</v>
      </c>
      <c r="AW18" s="20">
        <v>470935</v>
      </c>
      <c r="AX18" s="20">
        <v>107105</v>
      </c>
      <c r="AY18" s="20">
        <v>49470.5</v>
      </c>
      <c r="AZ18" s="20">
        <v>57634.5</v>
      </c>
      <c r="BA18" s="20">
        <v>117629</v>
      </c>
      <c r="BB18" s="20">
        <v>53669</v>
      </c>
      <c r="BC18" s="20">
        <v>63960</v>
      </c>
      <c r="BD18" s="20">
        <v>544818</v>
      </c>
      <c r="BE18" s="20">
        <v>195477.5</v>
      </c>
      <c r="BF18" s="20">
        <v>349340.5</v>
      </c>
    </row>
    <row r="19" spans="1:58" ht="21" customHeight="1">
      <c r="A19" s="53" t="s">
        <v>157</v>
      </c>
      <c r="B19" s="19" t="s">
        <v>12</v>
      </c>
      <c r="C19" s="20">
        <v>11</v>
      </c>
      <c r="D19" s="20">
        <v>285</v>
      </c>
      <c r="E19" s="20">
        <v>100</v>
      </c>
      <c r="F19" s="20">
        <v>185</v>
      </c>
      <c r="G19" s="20">
        <v>100</v>
      </c>
      <c r="H19" s="20">
        <v>185</v>
      </c>
      <c r="I19" s="20">
        <v>0</v>
      </c>
      <c r="J19" s="20">
        <v>0</v>
      </c>
      <c r="K19" s="20">
        <v>0</v>
      </c>
      <c r="L19" s="20">
        <v>0</v>
      </c>
      <c r="M19" s="20">
        <v>1</v>
      </c>
      <c r="N19" s="20">
        <v>30</v>
      </c>
      <c r="O19" s="20">
        <v>0</v>
      </c>
      <c r="P19" s="20">
        <v>0</v>
      </c>
      <c r="Q19" s="20">
        <v>1</v>
      </c>
      <c r="R19" s="20">
        <v>30</v>
      </c>
      <c r="S19" s="20">
        <v>0</v>
      </c>
      <c r="T19" s="20">
        <v>0</v>
      </c>
      <c r="U19" s="20">
        <v>2</v>
      </c>
      <c r="V19" s="20">
        <v>209</v>
      </c>
      <c r="W19" s="20">
        <v>2390</v>
      </c>
      <c r="X19" s="20">
        <v>985</v>
      </c>
      <c r="Y19" s="20">
        <v>1405</v>
      </c>
      <c r="Z19" s="20">
        <v>215</v>
      </c>
      <c r="AA19" s="20">
        <v>154</v>
      </c>
      <c r="AB19" s="20">
        <v>61</v>
      </c>
      <c r="AC19" s="20">
        <v>545</v>
      </c>
      <c r="AD19" s="20">
        <v>229</v>
      </c>
      <c r="AE19" s="20">
        <v>316</v>
      </c>
      <c r="AF19" s="20">
        <v>1630</v>
      </c>
      <c r="AG19" s="20">
        <v>602</v>
      </c>
      <c r="AH19" s="20">
        <v>1028</v>
      </c>
      <c r="AI19" s="20">
        <v>273275</v>
      </c>
      <c r="AJ19" s="20">
        <v>120679</v>
      </c>
      <c r="AK19" s="20">
        <v>152596</v>
      </c>
      <c r="AL19" s="20">
        <v>28163</v>
      </c>
      <c r="AM19" s="20">
        <v>20089</v>
      </c>
      <c r="AN19" s="20">
        <v>8074</v>
      </c>
      <c r="AO19" s="20">
        <v>70195</v>
      </c>
      <c r="AP19" s="20">
        <v>30471</v>
      </c>
      <c r="AQ19" s="20">
        <v>39724</v>
      </c>
      <c r="AR19" s="20">
        <v>174917</v>
      </c>
      <c r="AS19" s="20">
        <v>70119</v>
      </c>
      <c r="AT19" s="20">
        <v>104798</v>
      </c>
      <c r="AU19" s="20">
        <v>544080</v>
      </c>
      <c r="AV19" s="20">
        <v>240529</v>
      </c>
      <c r="AW19" s="20">
        <v>303551</v>
      </c>
      <c r="AX19" s="20">
        <v>54972.5</v>
      </c>
      <c r="AY19" s="20">
        <v>39016</v>
      </c>
      <c r="AZ19" s="20">
        <v>15956.5</v>
      </c>
      <c r="BA19" s="20">
        <v>141721.5</v>
      </c>
      <c r="BB19" s="20">
        <v>61939.5</v>
      </c>
      <c r="BC19" s="20">
        <v>79782</v>
      </c>
      <c r="BD19" s="20">
        <v>347386</v>
      </c>
      <c r="BE19" s="20">
        <v>139573.5</v>
      </c>
      <c r="BF19" s="20">
        <v>207812.5</v>
      </c>
    </row>
    <row r="20" spans="1:58" ht="21" customHeight="1">
      <c r="A20" s="53" t="s">
        <v>158</v>
      </c>
      <c r="B20" s="19" t="s">
        <v>13</v>
      </c>
      <c r="C20" s="20">
        <v>8</v>
      </c>
      <c r="D20" s="20">
        <v>326</v>
      </c>
      <c r="E20" s="20">
        <v>26</v>
      </c>
      <c r="F20" s="20">
        <v>300</v>
      </c>
      <c r="G20" s="20">
        <v>26</v>
      </c>
      <c r="H20" s="20">
        <v>296</v>
      </c>
      <c r="I20" s="20">
        <v>0</v>
      </c>
      <c r="J20" s="20">
        <v>4</v>
      </c>
      <c r="K20" s="20">
        <v>0</v>
      </c>
      <c r="L20" s="20">
        <v>0</v>
      </c>
      <c r="M20" s="20">
        <v>6</v>
      </c>
      <c r="N20" s="20">
        <v>94</v>
      </c>
      <c r="O20" s="20">
        <v>2</v>
      </c>
      <c r="P20" s="20">
        <v>46</v>
      </c>
      <c r="Q20" s="20">
        <v>4</v>
      </c>
      <c r="R20" s="20">
        <v>48</v>
      </c>
      <c r="S20" s="20">
        <v>0</v>
      </c>
      <c r="T20" s="20">
        <v>0</v>
      </c>
      <c r="U20" s="20">
        <v>6</v>
      </c>
      <c r="V20" s="20">
        <v>178</v>
      </c>
      <c r="W20" s="20">
        <v>2488</v>
      </c>
      <c r="X20" s="20">
        <v>925</v>
      </c>
      <c r="Y20" s="20">
        <v>1563</v>
      </c>
      <c r="Z20" s="20">
        <v>464</v>
      </c>
      <c r="AA20" s="20">
        <v>247</v>
      </c>
      <c r="AB20" s="20">
        <v>217</v>
      </c>
      <c r="AC20" s="20">
        <v>194</v>
      </c>
      <c r="AD20" s="20">
        <v>91</v>
      </c>
      <c r="AE20" s="20">
        <v>103</v>
      </c>
      <c r="AF20" s="20">
        <v>1830</v>
      </c>
      <c r="AG20" s="20">
        <v>587</v>
      </c>
      <c r="AH20" s="20">
        <v>1243</v>
      </c>
      <c r="AI20" s="20">
        <v>317078</v>
      </c>
      <c r="AJ20" s="20">
        <v>117635</v>
      </c>
      <c r="AK20" s="20">
        <v>199443</v>
      </c>
      <c r="AL20" s="20">
        <v>48805</v>
      </c>
      <c r="AM20" s="20">
        <v>27707</v>
      </c>
      <c r="AN20" s="20">
        <v>21098</v>
      </c>
      <c r="AO20" s="20">
        <v>42706</v>
      </c>
      <c r="AP20" s="20">
        <v>16252</v>
      </c>
      <c r="AQ20" s="20">
        <v>26454</v>
      </c>
      <c r="AR20" s="20">
        <v>225567</v>
      </c>
      <c r="AS20" s="20">
        <v>73676</v>
      </c>
      <c r="AT20" s="20">
        <v>151891</v>
      </c>
      <c r="AU20" s="20">
        <v>551742.5</v>
      </c>
      <c r="AV20" s="20">
        <v>204461.5</v>
      </c>
      <c r="AW20" s="20">
        <v>347281</v>
      </c>
      <c r="AX20" s="20">
        <v>86610.5</v>
      </c>
      <c r="AY20" s="20">
        <v>48694.5</v>
      </c>
      <c r="AZ20" s="20">
        <v>37916</v>
      </c>
      <c r="BA20" s="20">
        <v>78835.5</v>
      </c>
      <c r="BB20" s="20">
        <v>29911</v>
      </c>
      <c r="BC20" s="20">
        <v>48924.5</v>
      </c>
      <c r="BD20" s="20">
        <v>386296.5</v>
      </c>
      <c r="BE20" s="20">
        <v>125856</v>
      </c>
      <c r="BF20" s="20">
        <v>260440.5</v>
      </c>
    </row>
    <row r="21" spans="1:58" ht="21" customHeight="1">
      <c r="A21" s="53" t="s">
        <v>159</v>
      </c>
      <c r="B21" s="19" t="s">
        <v>14</v>
      </c>
      <c r="C21" s="20">
        <v>4</v>
      </c>
      <c r="D21" s="20">
        <v>268</v>
      </c>
      <c r="E21" s="20">
        <v>33</v>
      </c>
      <c r="F21" s="20">
        <v>235</v>
      </c>
      <c r="G21" s="20">
        <v>23</v>
      </c>
      <c r="H21" s="20">
        <v>177</v>
      </c>
      <c r="I21" s="20">
        <v>9</v>
      </c>
      <c r="J21" s="20">
        <v>55</v>
      </c>
      <c r="K21" s="20">
        <v>1</v>
      </c>
      <c r="L21" s="20">
        <v>3</v>
      </c>
      <c r="M21" s="20">
        <v>2</v>
      </c>
      <c r="N21" s="20">
        <v>29</v>
      </c>
      <c r="O21" s="20">
        <v>1</v>
      </c>
      <c r="P21" s="20">
        <v>13</v>
      </c>
      <c r="Q21" s="20">
        <v>1</v>
      </c>
      <c r="R21" s="20">
        <v>16</v>
      </c>
      <c r="S21" s="20">
        <v>0</v>
      </c>
      <c r="T21" s="20">
        <v>0</v>
      </c>
      <c r="U21" s="20">
        <v>11</v>
      </c>
      <c r="V21" s="20">
        <v>209</v>
      </c>
      <c r="W21" s="20">
        <v>1724</v>
      </c>
      <c r="X21" s="20">
        <v>668</v>
      </c>
      <c r="Y21" s="20">
        <v>1056</v>
      </c>
      <c r="Z21" s="20">
        <v>476</v>
      </c>
      <c r="AA21" s="20">
        <v>229</v>
      </c>
      <c r="AB21" s="20">
        <v>247</v>
      </c>
      <c r="AC21" s="20">
        <v>136</v>
      </c>
      <c r="AD21" s="20">
        <v>65</v>
      </c>
      <c r="AE21" s="20">
        <v>71</v>
      </c>
      <c r="AF21" s="20">
        <v>1112</v>
      </c>
      <c r="AG21" s="20">
        <v>374</v>
      </c>
      <c r="AH21" s="20">
        <v>738</v>
      </c>
      <c r="AI21" s="20">
        <v>338502</v>
      </c>
      <c r="AJ21" s="20">
        <v>131588</v>
      </c>
      <c r="AK21" s="20">
        <v>206914</v>
      </c>
      <c r="AL21" s="20">
        <v>93634</v>
      </c>
      <c r="AM21" s="20">
        <v>43394</v>
      </c>
      <c r="AN21" s="20">
        <v>50240</v>
      </c>
      <c r="AO21" s="20">
        <v>35092</v>
      </c>
      <c r="AP21" s="20">
        <v>17136</v>
      </c>
      <c r="AQ21" s="20">
        <v>17956</v>
      </c>
      <c r="AR21" s="20">
        <v>209776</v>
      </c>
      <c r="AS21" s="20">
        <v>71058</v>
      </c>
      <c r="AT21" s="20">
        <v>138718</v>
      </c>
      <c r="AU21" s="20">
        <v>451323.5</v>
      </c>
      <c r="AV21" s="20">
        <v>176620</v>
      </c>
      <c r="AW21" s="20">
        <v>274703.5</v>
      </c>
      <c r="AX21" s="20">
        <v>131638</v>
      </c>
      <c r="AY21" s="20">
        <v>61515</v>
      </c>
      <c r="AZ21" s="20">
        <v>70123</v>
      </c>
      <c r="BA21" s="20">
        <v>47853</v>
      </c>
      <c r="BB21" s="20">
        <v>23224</v>
      </c>
      <c r="BC21" s="20">
        <v>24629</v>
      </c>
      <c r="BD21" s="20">
        <v>271832.5</v>
      </c>
      <c r="BE21" s="20">
        <v>91881</v>
      </c>
      <c r="BF21" s="20">
        <v>179951.5</v>
      </c>
    </row>
    <row r="22" spans="1:58" ht="21" customHeight="1">
      <c r="A22" s="53" t="s">
        <v>160</v>
      </c>
      <c r="B22" s="19" t="s">
        <v>15</v>
      </c>
      <c r="C22" s="20">
        <v>16</v>
      </c>
      <c r="D22" s="20">
        <v>587</v>
      </c>
      <c r="E22" s="20">
        <v>41</v>
      </c>
      <c r="F22" s="20">
        <v>546</v>
      </c>
      <c r="G22" s="20">
        <v>38</v>
      </c>
      <c r="H22" s="20">
        <v>460</v>
      </c>
      <c r="I22" s="20">
        <v>3</v>
      </c>
      <c r="J22" s="20">
        <v>86</v>
      </c>
      <c r="K22" s="20">
        <v>0</v>
      </c>
      <c r="L22" s="20">
        <v>0</v>
      </c>
      <c r="M22" s="20">
        <v>24</v>
      </c>
      <c r="N22" s="20">
        <v>138</v>
      </c>
      <c r="O22" s="20">
        <v>3</v>
      </c>
      <c r="P22" s="20">
        <v>5</v>
      </c>
      <c r="Q22" s="20">
        <v>12</v>
      </c>
      <c r="R22" s="20">
        <v>122</v>
      </c>
      <c r="S22" s="20">
        <v>9</v>
      </c>
      <c r="T22" s="20">
        <v>11</v>
      </c>
      <c r="U22" s="20">
        <v>68</v>
      </c>
      <c r="V22" s="20">
        <v>1614</v>
      </c>
      <c r="W22" s="20">
        <v>3643</v>
      </c>
      <c r="X22" s="20">
        <v>1453</v>
      </c>
      <c r="Y22" s="20">
        <v>2190</v>
      </c>
      <c r="Z22" s="20">
        <v>780</v>
      </c>
      <c r="AA22" s="20">
        <v>414</v>
      </c>
      <c r="AB22" s="20">
        <v>366</v>
      </c>
      <c r="AC22" s="20">
        <v>647</v>
      </c>
      <c r="AD22" s="20">
        <v>283</v>
      </c>
      <c r="AE22" s="20">
        <v>364</v>
      </c>
      <c r="AF22" s="20">
        <v>2216</v>
      </c>
      <c r="AG22" s="20">
        <v>756</v>
      </c>
      <c r="AH22" s="20">
        <v>1460</v>
      </c>
      <c r="AI22" s="20">
        <v>530867</v>
      </c>
      <c r="AJ22" s="20">
        <v>213108</v>
      </c>
      <c r="AK22" s="20">
        <v>317759</v>
      </c>
      <c r="AL22" s="20">
        <v>108952</v>
      </c>
      <c r="AM22" s="20">
        <v>56078</v>
      </c>
      <c r="AN22" s="20">
        <v>52874</v>
      </c>
      <c r="AO22" s="20">
        <v>101203</v>
      </c>
      <c r="AP22" s="20">
        <v>44893</v>
      </c>
      <c r="AQ22" s="20">
        <v>56310</v>
      </c>
      <c r="AR22" s="20">
        <v>320712</v>
      </c>
      <c r="AS22" s="20">
        <v>112137</v>
      </c>
      <c r="AT22" s="20">
        <v>208575</v>
      </c>
      <c r="AU22" s="20">
        <v>899104.2</v>
      </c>
      <c r="AV22" s="20">
        <v>361943.2</v>
      </c>
      <c r="AW22" s="20">
        <v>537161</v>
      </c>
      <c r="AX22" s="20">
        <v>198332.5</v>
      </c>
      <c r="AY22" s="20">
        <v>100807</v>
      </c>
      <c r="AZ22" s="20">
        <v>97525.5</v>
      </c>
      <c r="BA22" s="20">
        <v>185136</v>
      </c>
      <c r="BB22" s="20">
        <v>79959.5</v>
      </c>
      <c r="BC22" s="20">
        <v>105176.5</v>
      </c>
      <c r="BD22" s="20">
        <v>515635.7</v>
      </c>
      <c r="BE22" s="20">
        <v>181176.7</v>
      </c>
      <c r="BF22" s="20">
        <v>334459</v>
      </c>
    </row>
    <row r="23" spans="1:58" ht="21" customHeight="1">
      <c r="A23" s="53" t="s">
        <v>161</v>
      </c>
      <c r="B23" s="19" t="s">
        <v>16</v>
      </c>
      <c r="C23" s="20">
        <v>4</v>
      </c>
      <c r="D23" s="20">
        <v>123</v>
      </c>
      <c r="E23" s="20">
        <v>1</v>
      </c>
      <c r="F23" s="20">
        <v>122</v>
      </c>
      <c r="G23" s="20">
        <v>1</v>
      </c>
      <c r="H23" s="20">
        <v>122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838</v>
      </c>
      <c r="X23" s="20">
        <v>403</v>
      </c>
      <c r="Y23" s="20">
        <v>435</v>
      </c>
      <c r="Z23" s="20">
        <v>259</v>
      </c>
      <c r="AA23" s="20">
        <v>178</v>
      </c>
      <c r="AB23" s="20">
        <v>81</v>
      </c>
      <c r="AC23" s="20">
        <v>63</v>
      </c>
      <c r="AD23" s="20">
        <v>29</v>
      </c>
      <c r="AE23" s="20">
        <v>34</v>
      </c>
      <c r="AF23" s="20">
        <v>516</v>
      </c>
      <c r="AG23" s="20">
        <v>196</v>
      </c>
      <c r="AH23" s="20">
        <v>320</v>
      </c>
      <c r="AI23" s="20">
        <v>116035</v>
      </c>
      <c r="AJ23" s="20">
        <v>58357</v>
      </c>
      <c r="AK23" s="20">
        <v>57678</v>
      </c>
      <c r="AL23" s="20">
        <v>38412</v>
      </c>
      <c r="AM23" s="20">
        <v>26177</v>
      </c>
      <c r="AN23" s="20">
        <v>12235</v>
      </c>
      <c r="AO23" s="20">
        <v>12596</v>
      </c>
      <c r="AP23" s="20">
        <v>6921</v>
      </c>
      <c r="AQ23" s="20">
        <v>5675</v>
      </c>
      <c r="AR23" s="20">
        <v>65027</v>
      </c>
      <c r="AS23" s="20">
        <v>25259</v>
      </c>
      <c r="AT23" s="20">
        <v>39768</v>
      </c>
      <c r="AU23" s="20">
        <v>186338</v>
      </c>
      <c r="AV23" s="20">
        <v>94674</v>
      </c>
      <c r="AW23" s="20">
        <v>91664</v>
      </c>
      <c r="AX23" s="20">
        <v>65224</v>
      </c>
      <c r="AY23" s="20">
        <v>43870.5</v>
      </c>
      <c r="AZ23" s="20">
        <v>21353.5</v>
      </c>
      <c r="BA23" s="20">
        <v>20130</v>
      </c>
      <c r="BB23" s="20">
        <v>10398.5</v>
      </c>
      <c r="BC23" s="20">
        <v>9731.5</v>
      </c>
      <c r="BD23" s="20">
        <v>100984</v>
      </c>
      <c r="BE23" s="20">
        <v>40405</v>
      </c>
      <c r="BF23" s="20">
        <v>60579</v>
      </c>
    </row>
    <row r="24" spans="1:58" ht="21" customHeight="1">
      <c r="A24" s="53" t="s">
        <v>162</v>
      </c>
      <c r="B24" s="19" t="s">
        <v>17</v>
      </c>
      <c r="C24" s="20">
        <v>2</v>
      </c>
      <c r="D24" s="20">
        <v>119</v>
      </c>
      <c r="E24" s="20">
        <v>4</v>
      </c>
      <c r="F24" s="20">
        <v>115</v>
      </c>
      <c r="G24" s="20">
        <v>4</v>
      </c>
      <c r="H24" s="20">
        <v>115</v>
      </c>
      <c r="I24" s="20">
        <v>0</v>
      </c>
      <c r="J24" s="20">
        <v>0</v>
      </c>
      <c r="K24" s="20">
        <v>0</v>
      </c>
      <c r="L24" s="20">
        <v>0</v>
      </c>
      <c r="M24" s="20">
        <v>2</v>
      </c>
      <c r="N24" s="20">
        <v>32</v>
      </c>
      <c r="O24" s="20">
        <v>2</v>
      </c>
      <c r="P24" s="20">
        <v>32</v>
      </c>
      <c r="Q24" s="20">
        <v>0</v>
      </c>
      <c r="R24" s="20">
        <v>0</v>
      </c>
      <c r="S24" s="20">
        <v>0</v>
      </c>
      <c r="T24" s="20">
        <v>0</v>
      </c>
      <c r="U24" s="20">
        <v>16</v>
      </c>
      <c r="V24" s="20">
        <v>134</v>
      </c>
      <c r="W24" s="20">
        <v>962</v>
      </c>
      <c r="X24" s="20">
        <v>448</v>
      </c>
      <c r="Y24" s="20">
        <v>514</v>
      </c>
      <c r="Z24" s="20">
        <v>233</v>
      </c>
      <c r="AA24" s="20">
        <v>142</v>
      </c>
      <c r="AB24" s="20">
        <v>91</v>
      </c>
      <c r="AC24" s="20">
        <v>185</v>
      </c>
      <c r="AD24" s="20">
        <v>106</v>
      </c>
      <c r="AE24" s="20">
        <v>79</v>
      </c>
      <c r="AF24" s="20">
        <v>544</v>
      </c>
      <c r="AG24" s="20">
        <v>200</v>
      </c>
      <c r="AH24" s="20">
        <v>344</v>
      </c>
      <c r="AI24" s="20">
        <v>126726</v>
      </c>
      <c r="AJ24" s="20">
        <v>59993</v>
      </c>
      <c r="AK24" s="20">
        <v>66733</v>
      </c>
      <c r="AL24" s="20">
        <v>35956</v>
      </c>
      <c r="AM24" s="20">
        <v>21525</v>
      </c>
      <c r="AN24" s="20">
        <v>14431</v>
      </c>
      <c r="AO24" s="20">
        <v>24107</v>
      </c>
      <c r="AP24" s="20">
        <v>13488</v>
      </c>
      <c r="AQ24" s="20">
        <v>10619</v>
      </c>
      <c r="AR24" s="20">
        <v>66663</v>
      </c>
      <c r="AS24" s="20">
        <v>24980</v>
      </c>
      <c r="AT24" s="20">
        <v>41683</v>
      </c>
      <c r="AU24" s="20">
        <v>234437.5</v>
      </c>
      <c r="AV24" s="20">
        <v>110441.5</v>
      </c>
      <c r="AW24" s="20">
        <v>123996</v>
      </c>
      <c r="AX24" s="20">
        <v>66263</v>
      </c>
      <c r="AY24" s="20">
        <v>39600.5</v>
      </c>
      <c r="AZ24" s="20">
        <v>26662.5</v>
      </c>
      <c r="BA24" s="20">
        <v>44370.5</v>
      </c>
      <c r="BB24" s="20">
        <v>24365.5</v>
      </c>
      <c r="BC24" s="20">
        <v>20005</v>
      </c>
      <c r="BD24" s="20">
        <v>123804</v>
      </c>
      <c r="BE24" s="20">
        <v>46475.5</v>
      </c>
      <c r="BF24" s="20">
        <v>77328.5</v>
      </c>
    </row>
    <row r="25" spans="1:58" ht="21" customHeight="1">
      <c r="A25" s="53" t="s">
        <v>163</v>
      </c>
      <c r="B25" s="19" t="s">
        <v>18</v>
      </c>
      <c r="C25" s="20">
        <v>1</v>
      </c>
      <c r="D25" s="20">
        <v>58</v>
      </c>
      <c r="E25" s="20">
        <v>2</v>
      </c>
      <c r="F25" s="20">
        <v>56</v>
      </c>
      <c r="G25" s="20">
        <v>0</v>
      </c>
      <c r="H25" s="20">
        <v>0</v>
      </c>
      <c r="I25" s="20">
        <v>2</v>
      </c>
      <c r="J25" s="20">
        <v>56</v>
      </c>
      <c r="K25" s="20">
        <v>0</v>
      </c>
      <c r="L25" s="20">
        <v>0</v>
      </c>
      <c r="M25" s="20">
        <v>2</v>
      </c>
      <c r="N25" s="20">
        <v>26</v>
      </c>
      <c r="O25" s="20">
        <v>2</v>
      </c>
      <c r="P25" s="20">
        <v>26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454</v>
      </c>
      <c r="X25" s="20">
        <v>224</v>
      </c>
      <c r="Y25" s="20">
        <v>230</v>
      </c>
      <c r="Z25" s="20">
        <v>138</v>
      </c>
      <c r="AA25" s="20">
        <v>86</v>
      </c>
      <c r="AB25" s="20">
        <v>52</v>
      </c>
      <c r="AC25" s="20">
        <v>39</v>
      </c>
      <c r="AD25" s="20">
        <v>16</v>
      </c>
      <c r="AE25" s="20">
        <v>23</v>
      </c>
      <c r="AF25" s="20">
        <v>277</v>
      </c>
      <c r="AG25" s="20">
        <v>122</v>
      </c>
      <c r="AH25" s="20">
        <v>155</v>
      </c>
      <c r="AI25" s="20">
        <v>105759</v>
      </c>
      <c r="AJ25" s="20">
        <v>44758</v>
      </c>
      <c r="AK25" s="20">
        <v>61001</v>
      </c>
      <c r="AL25" s="20">
        <v>47842</v>
      </c>
      <c r="AM25" s="20">
        <v>24858</v>
      </c>
      <c r="AN25" s="20">
        <v>22984</v>
      </c>
      <c r="AO25" s="20">
        <v>7870</v>
      </c>
      <c r="AP25" s="20">
        <v>3417</v>
      </c>
      <c r="AQ25" s="20">
        <v>4453</v>
      </c>
      <c r="AR25" s="20">
        <v>50047</v>
      </c>
      <c r="AS25" s="20">
        <v>16483</v>
      </c>
      <c r="AT25" s="20">
        <v>33564</v>
      </c>
      <c r="AU25" s="20">
        <v>119526.3</v>
      </c>
      <c r="AV25" s="20">
        <v>52114</v>
      </c>
      <c r="AW25" s="20">
        <v>67412.3</v>
      </c>
      <c r="AX25" s="20">
        <v>52129</v>
      </c>
      <c r="AY25" s="20">
        <v>27018.5</v>
      </c>
      <c r="AZ25" s="20">
        <v>25110.5</v>
      </c>
      <c r="BA25" s="20">
        <v>9937.7999999999993</v>
      </c>
      <c r="BB25" s="20">
        <v>4828.5</v>
      </c>
      <c r="BC25" s="20">
        <v>5109.3</v>
      </c>
      <c r="BD25" s="20">
        <v>57459.5</v>
      </c>
      <c r="BE25" s="20">
        <v>20267</v>
      </c>
      <c r="BF25" s="20">
        <v>37192.5</v>
      </c>
    </row>
    <row r="26" spans="1:58" ht="21" customHeight="1">
      <c r="A26" s="53" t="s">
        <v>164</v>
      </c>
      <c r="B26" s="19" t="s">
        <v>19</v>
      </c>
      <c r="C26" s="20">
        <v>2</v>
      </c>
      <c r="D26" s="20">
        <v>78</v>
      </c>
      <c r="E26" s="20">
        <v>6</v>
      </c>
      <c r="F26" s="20">
        <v>72</v>
      </c>
      <c r="G26" s="20">
        <v>6</v>
      </c>
      <c r="H26" s="20">
        <v>72</v>
      </c>
      <c r="I26" s="20">
        <v>0</v>
      </c>
      <c r="J26" s="20">
        <v>0</v>
      </c>
      <c r="K26" s="20">
        <v>0</v>
      </c>
      <c r="L26" s="20">
        <v>0</v>
      </c>
      <c r="M26" s="20">
        <v>8</v>
      </c>
      <c r="N26" s="20">
        <v>14</v>
      </c>
      <c r="O26" s="20">
        <v>2</v>
      </c>
      <c r="P26" s="20">
        <v>5</v>
      </c>
      <c r="Q26" s="20">
        <v>6</v>
      </c>
      <c r="R26" s="20">
        <v>9</v>
      </c>
      <c r="S26" s="20">
        <v>0</v>
      </c>
      <c r="T26" s="20">
        <v>0</v>
      </c>
      <c r="U26" s="20">
        <v>23</v>
      </c>
      <c r="V26" s="20">
        <v>170</v>
      </c>
      <c r="W26" s="20">
        <v>382</v>
      </c>
      <c r="X26" s="20">
        <v>157</v>
      </c>
      <c r="Y26" s="20">
        <v>225</v>
      </c>
      <c r="Z26" s="20">
        <v>86</v>
      </c>
      <c r="AA26" s="20">
        <v>49</v>
      </c>
      <c r="AB26" s="20">
        <v>37</v>
      </c>
      <c r="AC26" s="20">
        <v>79</v>
      </c>
      <c r="AD26" s="20">
        <v>32</v>
      </c>
      <c r="AE26" s="20">
        <v>47</v>
      </c>
      <c r="AF26" s="20">
        <v>217</v>
      </c>
      <c r="AG26" s="20">
        <v>76</v>
      </c>
      <c r="AH26" s="20">
        <v>141</v>
      </c>
      <c r="AI26" s="20">
        <v>51304</v>
      </c>
      <c r="AJ26" s="20">
        <v>20453</v>
      </c>
      <c r="AK26" s="20">
        <v>30851</v>
      </c>
      <c r="AL26" s="20">
        <v>14744</v>
      </c>
      <c r="AM26" s="20">
        <v>7656</v>
      </c>
      <c r="AN26" s="20">
        <v>7088</v>
      </c>
      <c r="AO26" s="20">
        <v>10709</v>
      </c>
      <c r="AP26" s="20">
        <v>4315</v>
      </c>
      <c r="AQ26" s="20">
        <v>6394</v>
      </c>
      <c r="AR26" s="20">
        <v>25851</v>
      </c>
      <c r="AS26" s="20">
        <v>8482</v>
      </c>
      <c r="AT26" s="20">
        <v>17369</v>
      </c>
      <c r="AU26" s="20">
        <v>103930.5</v>
      </c>
      <c r="AV26" s="20">
        <v>42538.5</v>
      </c>
      <c r="AW26" s="20">
        <v>61392</v>
      </c>
      <c r="AX26" s="20">
        <v>31566.5</v>
      </c>
      <c r="AY26" s="20">
        <v>16430</v>
      </c>
      <c r="AZ26" s="20">
        <v>15136.5</v>
      </c>
      <c r="BA26" s="20">
        <v>21902.5</v>
      </c>
      <c r="BB26" s="20">
        <v>10027.5</v>
      </c>
      <c r="BC26" s="20">
        <v>11875</v>
      </c>
      <c r="BD26" s="20">
        <v>50461.5</v>
      </c>
      <c r="BE26" s="20">
        <v>16081</v>
      </c>
      <c r="BF26" s="20">
        <v>34380.5</v>
      </c>
    </row>
    <row r="27" spans="1:58" ht="21" customHeight="1">
      <c r="A27" s="53" t="s">
        <v>165</v>
      </c>
      <c r="B27" s="19" t="s">
        <v>20</v>
      </c>
      <c r="C27" s="20">
        <v>3</v>
      </c>
      <c r="D27" s="20">
        <v>132</v>
      </c>
      <c r="E27" s="20">
        <v>22</v>
      </c>
      <c r="F27" s="20">
        <v>110</v>
      </c>
      <c r="G27" s="20">
        <v>20</v>
      </c>
      <c r="H27" s="20">
        <v>108</v>
      </c>
      <c r="I27" s="20">
        <v>2</v>
      </c>
      <c r="J27" s="20">
        <v>2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668</v>
      </c>
      <c r="X27" s="20">
        <v>310</v>
      </c>
      <c r="Y27" s="20">
        <v>358</v>
      </c>
      <c r="Z27" s="20">
        <v>192</v>
      </c>
      <c r="AA27" s="20">
        <v>102</v>
      </c>
      <c r="AB27" s="20">
        <v>90</v>
      </c>
      <c r="AC27" s="20">
        <v>74</v>
      </c>
      <c r="AD27" s="20">
        <v>46</v>
      </c>
      <c r="AE27" s="20">
        <v>28</v>
      </c>
      <c r="AF27" s="20">
        <v>402</v>
      </c>
      <c r="AG27" s="20">
        <v>162</v>
      </c>
      <c r="AH27" s="20">
        <v>240</v>
      </c>
      <c r="AI27" s="20">
        <v>80124</v>
      </c>
      <c r="AJ27" s="20">
        <v>36600</v>
      </c>
      <c r="AK27" s="20">
        <v>43524</v>
      </c>
      <c r="AL27" s="20">
        <v>24581</v>
      </c>
      <c r="AM27" s="20">
        <v>13070</v>
      </c>
      <c r="AN27" s="20">
        <v>11511</v>
      </c>
      <c r="AO27" s="20">
        <v>8250</v>
      </c>
      <c r="AP27" s="20">
        <v>4772</v>
      </c>
      <c r="AQ27" s="20">
        <v>3478</v>
      </c>
      <c r="AR27" s="20">
        <v>47293</v>
      </c>
      <c r="AS27" s="20">
        <v>18758</v>
      </c>
      <c r="AT27" s="20">
        <v>28535</v>
      </c>
      <c r="AU27" s="20">
        <v>135735.6</v>
      </c>
      <c r="AV27" s="20">
        <v>63935</v>
      </c>
      <c r="AW27" s="20">
        <v>71800.600000000006</v>
      </c>
      <c r="AX27" s="20">
        <v>42616</v>
      </c>
      <c r="AY27" s="20">
        <v>24539</v>
      </c>
      <c r="AZ27" s="20">
        <v>18077</v>
      </c>
      <c r="BA27" s="20">
        <v>14546.1</v>
      </c>
      <c r="BB27" s="20">
        <v>9118</v>
      </c>
      <c r="BC27" s="20">
        <v>5428.1</v>
      </c>
      <c r="BD27" s="20">
        <v>78573.5</v>
      </c>
      <c r="BE27" s="20">
        <v>30278</v>
      </c>
      <c r="BF27" s="20">
        <v>48295.5</v>
      </c>
    </row>
    <row r="28" spans="1:58" ht="21" customHeight="1">
      <c r="A28" s="53" t="s">
        <v>166</v>
      </c>
      <c r="B28" s="19" t="s">
        <v>21</v>
      </c>
      <c r="C28" s="20">
        <v>3</v>
      </c>
      <c r="D28" s="20">
        <v>84</v>
      </c>
      <c r="E28" s="20">
        <v>8</v>
      </c>
      <c r="F28" s="20">
        <v>76</v>
      </c>
      <c r="G28" s="20">
        <v>8</v>
      </c>
      <c r="H28" s="20">
        <v>76</v>
      </c>
      <c r="I28" s="20">
        <v>0</v>
      </c>
      <c r="J28" s="20">
        <v>0</v>
      </c>
      <c r="K28" s="20">
        <v>0</v>
      </c>
      <c r="L28" s="20">
        <v>0</v>
      </c>
      <c r="M28" s="20">
        <v>1</v>
      </c>
      <c r="N28" s="20">
        <v>6</v>
      </c>
      <c r="O28" s="20">
        <v>1</v>
      </c>
      <c r="P28" s="20">
        <v>6</v>
      </c>
      <c r="Q28" s="20">
        <v>0</v>
      </c>
      <c r="R28" s="20">
        <v>0</v>
      </c>
      <c r="S28" s="20">
        <v>0</v>
      </c>
      <c r="T28" s="20">
        <v>0</v>
      </c>
      <c r="U28" s="20">
        <v>15</v>
      </c>
      <c r="V28" s="20">
        <v>439</v>
      </c>
      <c r="W28" s="20">
        <v>463</v>
      </c>
      <c r="X28" s="20">
        <v>201</v>
      </c>
      <c r="Y28" s="20">
        <v>262</v>
      </c>
      <c r="Z28" s="20">
        <v>129</v>
      </c>
      <c r="AA28" s="20">
        <v>58</v>
      </c>
      <c r="AB28" s="20">
        <v>71</v>
      </c>
      <c r="AC28" s="20">
        <v>32</v>
      </c>
      <c r="AD28" s="20">
        <v>17</v>
      </c>
      <c r="AE28" s="20">
        <v>15</v>
      </c>
      <c r="AF28" s="20">
        <v>302</v>
      </c>
      <c r="AG28" s="20">
        <v>126</v>
      </c>
      <c r="AH28" s="20">
        <v>176</v>
      </c>
      <c r="AI28" s="20">
        <v>91036</v>
      </c>
      <c r="AJ28" s="20">
        <v>37944</v>
      </c>
      <c r="AK28" s="20">
        <v>53092</v>
      </c>
      <c r="AL28" s="20">
        <v>25568</v>
      </c>
      <c r="AM28" s="20">
        <v>11295</v>
      </c>
      <c r="AN28" s="20">
        <v>14273</v>
      </c>
      <c r="AO28" s="20">
        <v>6246</v>
      </c>
      <c r="AP28" s="20">
        <v>2885</v>
      </c>
      <c r="AQ28" s="20">
        <v>3361</v>
      </c>
      <c r="AR28" s="20">
        <v>59222</v>
      </c>
      <c r="AS28" s="20">
        <v>23764</v>
      </c>
      <c r="AT28" s="20">
        <v>35458</v>
      </c>
      <c r="AU28" s="20">
        <v>120856</v>
      </c>
      <c r="AV28" s="20">
        <v>49223</v>
      </c>
      <c r="AW28" s="20">
        <v>71633</v>
      </c>
      <c r="AX28" s="20">
        <v>33631.5</v>
      </c>
      <c r="AY28" s="20">
        <v>14478.5</v>
      </c>
      <c r="AZ28" s="20">
        <v>19153</v>
      </c>
      <c r="BA28" s="20">
        <v>9218</v>
      </c>
      <c r="BB28" s="20">
        <v>4152</v>
      </c>
      <c r="BC28" s="20">
        <v>5066</v>
      </c>
      <c r="BD28" s="20">
        <v>78006.5</v>
      </c>
      <c r="BE28" s="20">
        <v>30592.5</v>
      </c>
      <c r="BF28" s="20">
        <v>47414</v>
      </c>
    </row>
    <row r="29" spans="1:58" ht="16.5" customHeight="1">
      <c r="A29" s="53" t="s">
        <v>167</v>
      </c>
      <c r="B29" s="19" t="s">
        <v>22</v>
      </c>
      <c r="C29" s="20">
        <v>1</v>
      </c>
      <c r="D29" s="20">
        <v>47</v>
      </c>
      <c r="E29" s="20">
        <v>5</v>
      </c>
      <c r="F29" s="20">
        <v>42</v>
      </c>
      <c r="G29" s="20">
        <v>5</v>
      </c>
      <c r="H29" s="20">
        <v>42</v>
      </c>
      <c r="I29" s="20">
        <v>0</v>
      </c>
      <c r="J29" s="20">
        <v>0</v>
      </c>
      <c r="K29" s="20">
        <v>0</v>
      </c>
      <c r="L29" s="20">
        <v>0</v>
      </c>
      <c r="M29" s="20">
        <v>1</v>
      </c>
      <c r="N29" s="20">
        <v>24</v>
      </c>
      <c r="O29" s="20">
        <v>1</v>
      </c>
      <c r="P29" s="20">
        <v>24</v>
      </c>
      <c r="Q29" s="20">
        <v>0</v>
      </c>
      <c r="R29" s="20">
        <v>0</v>
      </c>
      <c r="S29" s="20">
        <v>0</v>
      </c>
      <c r="T29" s="20">
        <v>0</v>
      </c>
      <c r="U29" s="20">
        <v>1</v>
      </c>
      <c r="V29" s="20">
        <v>50</v>
      </c>
      <c r="W29" s="20">
        <v>210</v>
      </c>
      <c r="X29" s="20">
        <v>89</v>
      </c>
      <c r="Y29" s="20">
        <v>121</v>
      </c>
      <c r="Z29" s="20">
        <v>5</v>
      </c>
      <c r="AA29" s="20">
        <v>2</v>
      </c>
      <c r="AB29" s="20">
        <v>3</v>
      </c>
      <c r="AC29" s="20">
        <v>7</v>
      </c>
      <c r="AD29" s="20">
        <v>5</v>
      </c>
      <c r="AE29" s="20">
        <v>2</v>
      </c>
      <c r="AF29" s="20">
        <v>198</v>
      </c>
      <c r="AG29" s="20">
        <v>82</v>
      </c>
      <c r="AH29" s="20">
        <v>116</v>
      </c>
      <c r="AI29" s="20">
        <v>39686</v>
      </c>
      <c r="AJ29" s="20">
        <v>15867</v>
      </c>
      <c r="AK29" s="20">
        <v>23819</v>
      </c>
      <c r="AL29" s="20">
        <v>1591</v>
      </c>
      <c r="AM29" s="20">
        <v>835</v>
      </c>
      <c r="AN29" s="20">
        <v>756</v>
      </c>
      <c r="AO29" s="20">
        <v>1651</v>
      </c>
      <c r="AP29" s="20">
        <v>1166</v>
      </c>
      <c r="AQ29" s="20">
        <v>485</v>
      </c>
      <c r="AR29" s="20">
        <v>36444</v>
      </c>
      <c r="AS29" s="20">
        <v>13866</v>
      </c>
      <c r="AT29" s="20">
        <v>22578</v>
      </c>
      <c r="AU29" s="20">
        <v>87377</v>
      </c>
      <c r="AV29" s="20">
        <v>36721</v>
      </c>
      <c r="AW29" s="20">
        <v>50656</v>
      </c>
      <c r="AX29" s="20">
        <v>4060</v>
      </c>
      <c r="AY29" s="20">
        <v>2224</v>
      </c>
      <c r="AZ29" s="20">
        <v>1836</v>
      </c>
      <c r="BA29" s="20">
        <v>4666</v>
      </c>
      <c r="BB29" s="20">
        <v>3286</v>
      </c>
      <c r="BC29" s="20">
        <v>1380</v>
      </c>
      <c r="BD29" s="20">
        <v>78651</v>
      </c>
      <c r="BE29" s="20">
        <v>31211</v>
      </c>
      <c r="BF29" s="20">
        <v>47440</v>
      </c>
    </row>
    <row r="30" spans="1:58" ht="21" customHeight="1">
      <c r="A30" s="54" t="s">
        <v>168</v>
      </c>
      <c r="B30" s="21" t="s">
        <v>23</v>
      </c>
      <c r="C30" s="22">
        <v>1</v>
      </c>
      <c r="D30" s="22">
        <v>13</v>
      </c>
      <c r="E30" s="22">
        <v>1</v>
      </c>
      <c r="F30" s="22">
        <v>12</v>
      </c>
      <c r="G30" s="22">
        <v>0</v>
      </c>
      <c r="H30" s="22">
        <v>1</v>
      </c>
      <c r="I30" s="22">
        <v>1</v>
      </c>
      <c r="J30" s="22">
        <v>11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34</v>
      </c>
      <c r="X30" s="22">
        <v>9</v>
      </c>
      <c r="Y30" s="22">
        <v>25</v>
      </c>
      <c r="Z30" s="22">
        <v>18</v>
      </c>
      <c r="AA30" s="22">
        <v>7</v>
      </c>
      <c r="AB30" s="22">
        <v>11</v>
      </c>
      <c r="AC30" s="22">
        <v>3</v>
      </c>
      <c r="AD30" s="22">
        <v>0</v>
      </c>
      <c r="AE30" s="22">
        <v>3</v>
      </c>
      <c r="AF30" s="22">
        <v>13</v>
      </c>
      <c r="AG30" s="22">
        <v>2</v>
      </c>
      <c r="AH30" s="22">
        <v>11</v>
      </c>
      <c r="AI30" s="22">
        <v>4081</v>
      </c>
      <c r="AJ30" s="22">
        <v>748</v>
      </c>
      <c r="AK30" s="22">
        <v>3333</v>
      </c>
      <c r="AL30" s="22">
        <v>740</v>
      </c>
      <c r="AM30" s="22">
        <v>438</v>
      </c>
      <c r="AN30" s="22">
        <v>302</v>
      </c>
      <c r="AO30" s="22">
        <v>268</v>
      </c>
      <c r="AP30" s="22">
        <v>0</v>
      </c>
      <c r="AQ30" s="22">
        <v>268</v>
      </c>
      <c r="AR30" s="22">
        <v>3073</v>
      </c>
      <c r="AS30" s="22">
        <v>310</v>
      </c>
      <c r="AT30" s="22">
        <v>2763</v>
      </c>
      <c r="AU30" s="22">
        <v>8098</v>
      </c>
      <c r="AV30" s="22">
        <v>1830</v>
      </c>
      <c r="AW30" s="22">
        <v>6268</v>
      </c>
      <c r="AX30" s="22">
        <v>1741</v>
      </c>
      <c r="AY30" s="22">
        <v>1201</v>
      </c>
      <c r="AZ30" s="22">
        <v>540</v>
      </c>
      <c r="BA30" s="22">
        <v>548</v>
      </c>
      <c r="BB30" s="22">
        <v>0</v>
      </c>
      <c r="BC30" s="22">
        <v>548</v>
      </c>
      <c r="BD30" s="22">
        <v>5809</v>
      </c>
      <c r="BE30" s="22">
        <v>629</v>
      </c>
      <c r="BF30" s="22">
        <v>5180</v>
      </c>
    </row>
    <row r="31" spans="1:58" ht="21" customHeight="1">
      <c r="A31" s="14" t="s">
        <v>77</v>
      </c>
      <c r="B31" s="24"/>
    </row>
    <row r="32" spans="1:58" ht="21" customHeight="1">
      <c r="A32" s="15" t="s">
        <v>2</v>
      </c>
      <c r="B32" s="15"/>
    </row>
    <row r="33" ht="21" customHeight="1"/>
    <row r="34" ht="21" customHeight="1"/>
    <row r="35" ht="21" customHeight="1"/>
    <row r="36" ht="21" customHeight="1"/>
    <row r="37" ht="21" customHeight="1"/>
  </sheetData>
  <mergeCells count="73">
    <mergeCell ref="AU4:BF4"/>
    <mergeCell ref="AL5:AN5"/>
    <mergeCell ref="W6:W7"/>
    <mergeCell ref="X6:X7"/>
    <mergeCell ref="A2:C2"/>
    <mergeCell ref="C3:C7"/>
    <mergeCell ref="M3:V3"/>
    <mergeCell ref="W3:BF3"/>
    <mergeCell ref="M4:T4"/>
    <mergeCell ref="U4:V4"/>
    <mergeCell ref="AX5:AZ5"/>
    <mergeCell ref="BA5:BC5"/>
    <mergeCell ref="BD5:BF5"/>
    <mergeCell ref="Z5:AB5"/>
    <mergeCell ref="AC5:AE5"/>
    <mergeCell ref="AF5:AH5"/>
    <mergeCell ref="AO5:AQ5"/>
    <mergeCell ref="AR5:AT5"/>
    <mergeCell ref="BF6:BF7"/>
    <mergeCell ref="BA6:BA7"/>
    <mergeCell ref="AT6:AT7"/>
    <mergeCell ref="AU6:AU7"/>
    <mergeCell ref="AW6:AW7"/>
    <mergeCell ref="AX6:AX7"/>
    <mergeCell ref="AY6:AY7"/>
    <mergeCell ref="AV6:AV7"/>
    <mergeCell ref="BB6:BB7"/>
    <mergeCell ref="BC6:BC7"/>
    <mergeCell ref="BD6:BD7"/>
    <mergeCell ref="BE6:BE7"/>
    <mergeCell ref="AZ6:AZ7"/>
    <mergeCell ref="AJ6:AJ7"/>
    <mergeCell ref="AK6:AK7"/>
    <mergeCell ref="AS6:AS7"/>
    <mergeCell ref="AL6:AL7"/>
    <mergeCell ref="AM6:AM7"/>
    <mergeCell ref="AN6:AN7"/>
    <mergeCell ref="AO6:AO7"/>
    <mergeCell ref="AE6:AE7"/>
    <mergeCell ref="AF6:AF7"/>
    <mergeCell ref="AG6:AG7"/>
    <mergeCell ref="AH6:AH7"/>
    <mergeCell ref="AA6:AA7"/>
    <mergeCell ref="AB6:AB7"/>
    <mergeCell ref="AC6:AC7"/>
    <mergeCell ref="AD6:AD7"/>
    <mergeCell ref="AI6:AI7"/>
    <mergeCell ref="AP6:AP7"/>
    <mergeCell ref="AQ6:AQ7"/>
    <mergeCell ref="AR6:AR7"/>
    <mergeCell ref="A3:B7"/>
    <mergeCell ref="G5:H5"/>
    <mergeCell ref="W4:AH4"/>
    <mergeCell ref="AI4:AT4"/>
    <mergeCell ref="M5:N5"/>
    <mergeCell ref="O5:P5"/>
    <mergeCell ref="Q5:R5"/>
    <mergeCell ref="S5:T5"/>
    <mergeCell ref="U5:U7"/>
    <mergeCell ref="V5:V7"/>
    <mergeCell ref="Y6:Y7"/>
    <mergeCell ref="Z6:Z7"/>
    <mergeCell ref="I5:J5"/>
    <mergeCell ref="K5:L5"/>
    <mergeCell ref="D6:D7"/>
    <mergeCell ref="E6:E7"/>
    <mergeCell ref="F6:F7"/>
    <mergeCell ref="G6:G7"/>
    <mergeCell ref="H6:H7"/>
    <mergeCell ref="I6:I7"/>
    <mergeCell ref="J6:J7"/>
    <mergeCell ref="K6:K7"/>
    <mergeCell ref="L6:L7"/>
  </mergeCells>
  <phoneticPr fontId="6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  <pageSetUpPr fitToPage="1"/>
  </sheetPr>
  <dimension ref="A1:CK37"/>
  <sheetViews>
    <sheetView zoomScaleNormal="100" zoomScaleSheetLayoutView="75" workbookViewId="0">
      <pane xSplit="2" ySplit="7" topLeftCell="C20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0" style="3" customWidth="1"/>
    <col min="2" max="2" width="20" style="3" customWidth="1"/>
    <col min="3" max="12" width="10.83203125" style="3" customWidth="1"/>
    <col min="13" max="58" width="14.1640625" style="3" customWidth="1"/>
    <col min="59" max="16384" width="12" style="3"/>
  </cols>
  <sheetData>
    <row r="1" spans="1:89" ht="21">
      <c r="A1" s="1" t="s">
        <v>50</v>
      </c>
      <c r="B1" s="25"/>
    </row>
    <row r="2" spans="1:89" ht="25.5" customHeight="1">
      <c r="A2" s="404" t="s">
        <v>115</v>
      </c>
      <c r="B2" s="404"/>
      <c r="C2" s="404"/>
    </row>
    <row r="3" spans="1:89" ht="16.5" customHeight="1">
      <c r="A3" s="329" t="s">
        <v>78</v>
      </c>
      <c r="B3" s="301"/>
      <c r="C3" s="314" t="s">
        <v>51</v>
      </c>
      <c r="D3" s="17" t="s">
        <v>79</v>
      </c>
      <c r="E3" s="17"/>
      <c r="F3" s="17"/>
      <c r="G3" s="17"/>
      <c r="H3" s="17"/>
      <c r="I3" s="17"/>
      <c r="J3" s="17"/>
      <c r="K3" s="17"/>
      <c r="L3" s="17"/>
      <c r="M3" s="332" t="s">
        <v>52</v>
      </c>
      <c r="N3" s="304"/>
      <c r="O3" s="304"/>
      <c r="P3" s="304"/>
      <c r="Q3" s="304"/>
      <c r="R3" s="304"/>
      <c r="S3" s="304"/>
      <c r="T3" s="304"/>
      <c r="U3" s="304"/>
      <c r="V3" s="340"/>
      <c r="W3" s="344" t="s">
        <v>53</v>
      </c>
      <c r="X3" s="344"/>
      <c r="Y3" s="344"/>
      <c r="Z3" s="344"/>
      <c r="AA3" s="344"/>
      <c r="AB3" s="344"/>
      <c r="AC3" s="344"/>
      <c r="AD3" s="344"/>
      <c r="AE3" s="344"/>
      <c r="AF3" s="344"/>
      <c r="AG3" s="344"/>
      <c r="AH3" s="344"/>
      <c r="AI3" s="344"/>
      <c r="AJ3" s="344"/>
      <c r="AK3" s="344"/>
      <c r="AL3" s="344"/>
      <c r="AM3" s="344"/>
      <c r="AN3" s="344"/>
      <c r="AO3" s="344"/>
      <c r="AP3" s="344"/>
      <c r="AQ3" s="344"/>
      <c r="AR3" s="344"/>
      <c r="AS3" s="344"/>
      <c r="AT3" s="344"/>
      <c r="AU3" s="344"/>
      <c r="AV3" s="344"/>
      <c r="AW3" s="344"/>
      <c r="AX3" s="344"/>
      <c r="AY3" s="344"/>
      <c r="AZ3" s="344"/>
      <c r="BA3" s="344"/>
      <c r="BB3" s="344"/>
      <c r="BC3" s="344"/>
      <c r="BD3" s="344"/>
      <c r="BE3" s="344"/>
      <c r="BF3" s="332"/>
    </row>
    <row r="4" spans="1:89" s="4" customFormat="1" ht="16.5" customHeight="1">
      <c r="A4" s="364"/>
      <c r="B4" s="302"/>
      <c r="C4" s="402"/>
      <c r="D4" s="17" t="s">
        <v>80</v>
      </c>
      <c r="E4" s="17"/>
      <c r="F4" s="17"/>
      <c r="G4" s="17"/>
      <c r="H4" s="17"/>
      <c r="I4" s="17"/>
      <c r="J4" s="17"/>
      <c r="K4" s="17"/>
      <c r="L4" s="17"/>
      <c r="M4" s="332" t="s">
        <v>54</v>
      </c>
      <c r="N4" s="304"/>
      <c r="O4" s="304"/>
      <c r="P4" s="304"/>
      <c r="Q4" s="304"/>
      <c r="R4" s="304"/>
      <c r="S4" s="304"/>
      <c r="T4" s="340"/>
      <c r="U4" s="324" t="s">
        <v>55</v>
      </c>
      <c r="V4" s="315"/>
      <c r="W4" s="344" t="s">
        <v>81</v>
      </c>
      <c r="X4" s="344"/>
      <c r="Y4" s="344"/>
      <c r="Z4" s="344"/>
      <c r="AA4" s="344"/>
      <c r="AB4" s="344"/>
      <c r="AC4" s="344"/>
      <c r="AD4" s="344"/>
      <c r="AE4" s="344"/>
      <c r="AF4" s="344"/>
      <c r="AG4" s="344"/>
      <c r="AH4" s="344"/>
      <c r="AI4" s="344" t="s">
        <v>57</v>
      </c>
      <c r="AJ4" s="344"/>
      <c r="AK4" s="344"/>
      <c r="AL4" s="344"/>
      <c r="AM4" s="344"/>
      <c r="AN4" s="344"/>
      <c r="AO4" s="344"/>
      <c r="AP4" s="344"/>
      <c r="AQ4" s="344"/>
      <c r="AR4" s="344"/>
      <c r="AS4" s="344"/>
      <c r="AT4" s="344"/>
      <c r="AU4" s="344" t="s">
        <v>58</v>
      </c>
      <c r="AV4" s="344"/>
      <c r="AW4" s="344"/>
      <c r="AX4" s="344"/>
      <c r="AY4" s="344"/>
      <c r="AZ4" s="344"/>
      <c r="BA4" s="344"/>
      <c r="BB4" s="344"/>
      <c r="BC4" s="344"/>
      <c r="BD4" s="344"/>
      <c r="BE4" s="344"/>
      <c r="BF4" s="332"/>
    </row>
    <row r="5" spans="1:89" s="9" customFormat="1" ht="30" customHeight="1">
      <c r="A5" s="364"/>
      <c r="B5" s="302"/>
      <c r="C5" s="402"/>
      <c r="D5" s="5" t="s">
        <v>59</v>
      </c>
      <c r="E5" s="6"/>
      <c r="F5" s="7"/>
      <c r="G5" s="311" t="s">
        <v>60</v>
      </c>
      <c r="H5" s="340"/>
      <c r="I5" s="311" t="s">
        <v>61</v>
      </c>
      <c r="J5" s="340"/>
      <c r="K5" s="311" t="s">
        <v>62</v>
      </c>
      <c r="L5" s="340"/>
      <c r="M5" s="311" t="s">
        <v>63</v>
      </c>
      <c r="N5" s="340"/>
      <c r="O5" s="311" t="s">
        <v>64</v>
      </c>
      <c r="P5" s="313"/>
      <c r="Q5" s="311" t="s">
        <v>65</v>
      </c>
      <c r="R5" s="313"/>
      <c r="S5" s="311" t="s">
        <v>66</v>
      </c>
      <c r="T5" s="313"/>
      <c r="U5" s="322" t="s">
        <v>67</v>
      </c>
      <c r="V5" s="322" t="s">
        <v>68</v>
      </c>
      <c r="W5" s="5" t="s">
        <v>59</v>
      </c>
      <c r="X5" s="6"/>
      <c r="Y5" s="7"/>
      <c r="Z5" s="339" t="s">
        <v>69</v>
      </c>
      <c r="AA5" s="339"/>
      <c r="AB5" s="339"/>
      <c r="AC5" s="339" t="s">
        <v>70</v>
      </c>
      <c r="AD5" s="339"/>
      <c r="AE5" s="339"/>
      <c r="AF5" s="339" t="s">
        <v>71</v>
      </c>
      <c r="AG5" s="339"/>
      <c r="AH5" s="339"/>
      <c r="AI5" s="5" t="s">
        <v>59</v>
      </c>
      <c r="AJ5" s="6"/>
      <c r="AK5" s="7"/>
      <c r="AL5" s="339" t="s">
        <v>69</v>
      </c>
      <c r="AM5" s="339"/>
      <c r="AN5" s="339"/>
      <c r="AO5" s="339" t="s">
        <v>70</v>
      </c>
      <c r="AP5" s="339"/>
      <c r="AQ5" s="339"/>
      <c r="AR5" s="339" t="s">
        <v>71</v>
      </c>
      <c r="AS5" s="339"/>
      <c r="AT5" s="339"/>
      <c r="AU5" s="5" t="s">
        <v>59</v>
      </c>
      <c r="AV5" s="8"/>
      <c r="AW5" s="7"/>
      <c r="AX5" s="339" t="s">
        <v>69</v>
      </c>
      <c r="AY5" s="339"/>
      <c r="AZ5" s="339"/>
      <c r="BA5" s="339" t="s">
        <v>70</v>
      </c>
      <c r="BB5" s="339"/>
      <c r="BC5" s="339"/>
      <c r="BD5" s="339" t="s">
        <v>71</v>
      </c>
      <c r="BE5" s="339"/>
      <c r="BF5" s="311"/>
    </row>
    <row r="6" spans="1:89" ht="16.5" customHeight="1">
      <c r="A6" s="364"/>
      <c r="B6" s="302"/>
      <c r="C6" s="402"/>
      <c r="D6" s="322" t="s">
        <v>72</v>
      </c>
      <c r="E6" s="322" t="s">
        <v>73</v>
      </c>
      <c r="F6" s="322" t="s">
        <v>74</v>
      </c>
      <c r="G6" s="322" t="s">
        <v>73</v>
      </c>
      <c r="H6" s="322" t="s">
        <v>74</v>
      </c>
      <c r="I6" s="322" t="s">
        <v>73</v>
      </c>
      <c r="J6" s="322" t="s">
        <v>74</v>
      </c>
      <c r="K6" s="322" t="s">
        <v>73</v>
      </c>
      <c r="L6" s="322" t="s">
        <v>74</v>
      </c>
      <c r="M6" s="10" t="s">
        <v>75</v>
      </c>
      <c r="N6" s="10" t="s">
        <v>76</v>
      </c>
      <c r="O6" s="10" t="s">
        <v>75</v>
      </c>
      <c r="P6" s="10" t="s">
        <v>76</v>
      </c>
      <c r="Q6" s="10" t="s">
        <v>75</v>
      </c>
      <c r="R6" s="10" t="s">
        <v>76</v>
      </c>
      <c r="S6" s="10" t="s">
        <v>75</v>
      </c>
      <c r="T6" s="10" t="s">
        <v>76</v>
      </c>
      <c r="U6" s="338"/>
      <c r="V6" s="338"/>
      <c r="W6" s="322" t="s">
        <v>72</v>
      </c>
      <c r="X6" s="322" t="s">
        <v>73</v>
      </c>
      <c r="Y6" s="322" t="s">
        <v>74</v>
      </c>
      <c r="Z6" s="322" t="s">
        <v>72</v>
      </c>
      <c r="AA6" s="322" t="s">
        <v>73</v>
      </c>
      <c r="AB6" s="322" t="s">
        <v>74</v>
      </c>
      <c r="AC6" s="322" t="s">
        <v>72</v>
      </c>
      <c r="AD6" s="322" t="s">
        <v>73</v>
      </c>
      <c r="AE6" s="322" t="s">
        <v>74</v>
      </c>
      <c r="AF6" s="322" t="s">
        <v>72</v>
      </c>
      <c r="AG6" s="322" t="s">
        <v>73</v>
      </c>
      <c r="AH6" s="322" t="s">
        <v>74</v>
      </c>
      <c r="AI6" s="322" t="s">
        <v>72</v>
      </c>
      <c r="AJ6" s="322" t="s">
        <v>73</v>
      </c>
      <c r="AK6" s="322" t="s">
        <v>74</v>
      </c>
      <c r="AL6" s="322" t="s">
        <v>72</v>
      </c>
      <c r="AM6" s="322" t="s">
        <v>73</v>
      </c>
      <c r="AN6" s="322" t="s">
        <v>74</v>
      </c>
      <c r="AO6" s="322" t="s">
        <v>72</v>
      </c>
      <c r="AP6" s="322" t="s">
        <v>73</v>
      </c>
      <c r="AQ6" s="322" t="s">
        <v>74</v>
      </c>
      <c r="AR6" s="322" t="s">
        <v>72</v>
      </c>
      <c r="AS6" s="322" t="s">
        <v>73</v>
      </c>
      <c r="AT6" s="322" t="s">
        <v>74</v>
      </c>
      <c r="AU6" s="322" t="s">
        <v>72</v>
      </c>
      <c r="AV6" s="322" t="s">
        <v>73</v>
      </c>
      <c r="AW6" s="322" t="s">
        <v>74</v>
      </c>
      <c r="AX6" s="322" t="s">
        <v>72</v>
      </c>
      <c r="AY6" s="322" t="s">
        <v>73</v>
      </c>
      <c r="AZ6" s="322" t="s">
        <v>74</v>
      </c>
      <c r="BA6" s="322" t="s">
        <v>72</v>
      </c>
      <c r="BB6" s="322" t="s">
        <v>73</v>
      </c>
      <c r="BC6" s="322" t="s">
        <v>74</v>
      </c>
      <c r="BD6" s="322" t="s">
        <v>72</v>
      </c>
      <c r="BE6" s="322" t="s">
        <v>73</v>
      </c>
      <c r="BF6" s="314" t="s">
        <v>74</v>
      </c>
    </row>
    <row r="7" spans="1:89">
      <c r="A7" s="331"/>
      <c r="B7" s="303"/>
      <c r="C7" s="403"/>
      <c r="D7" s="323"/>
      <c r="E7" s="323"/>
      <c r="F7" s="323"/>
      <c r="G7" s="323"/>
      <c r="H7" s="323"/>
      <c r="I7" s="323"/>
      <c r="J7" s="323"/>
      <c r="K7" s="323"/>
      <c r="L7" s="323"/>
      <c r="M7" s="11" t="s">
        <v>0</v>
      </c>
      <c r="N7" s="11" t="s">
        <v>1</v>
      </c>
      <c r="O7" s="11" t="s">
        <v>0</v>
      </c>
      <c r="P7" s="11" t="s">
        <v>1</v>
      </c>
      <c r="Q7" s="11" t="s">
        <v>0</v>
      </c>
      <c r="R7" s="11" t="s">
        <v>1</v>
      </c>
      <c r="S7" s="11" t="s">
        <v>0</v>
      </c>
      <c r="T7" s="11" t="s">
        <v>1</v>
      </c>
      <c r="U7" s="323"/>
      <c r="V7" s="323"/>
      <c r="W7" s="323"/>
      <c r="X7" s="323"/>
      <c r="Y7" s="323"/>
      <c r="Z7" s="323"/>
      <c r="AA7" s="323"/>
      <c r="AB7" s="323"/>
      <c r="AC7" s="323"/>
      <c r="AD7" s="323"/>
      <c r="AE7" s="323"/>
      <c r="AF7" s="323"/>
      <c r="AG7" s="323"/>
      <c r="AH7" s="323"/>
      <c r="AI7" s="323"/>
      <c r="AJ7" s="323"/>
      <c r="AK7" s="323"/>
      <c r="AL7" s="323"/>
      <c r="AM7" s="323"/>
      <c r="AN7" s="323"/>
      <c r="AO7" s="323"/>
      <c r="AP7" s="323"/>
      <c r="AQ7" s="323"/>
      <c r="AR7" s="323"/>
      <c r="AS7" s="323"/>
      <c r="AT7" s="323"/>
      <c r="AU7" s="323"/>
      <c r="AV7" s="323"/>
      <c r="AW7" s="323"/>
      <c r="AX7" s="323"/>
      <c r="AY7" s="323"/>
      <c r="AZ7" s="323"/>
      <c r="BA7" s="323"/>
      <c r="BB7" s="323"/>
      <c r="BC7" s="323"/>
      <c r="BD7" s="323"/>
      <c r="BE7" s="323"/>
      <c r="BF7" s="326"/>
    </row>
    <row r="8" spans="1:89" s="18" customFormat="1" ht="17.100000000000001" customHeight="1">
      <c r="A8" s="32" t="s">
        <v>121</v>
      </c>
      <c r="B8" s="37" t="s">
        <v>40</v>
      </c>
      <c r="C8" s="41">
        <v>149</v>
      </c>
      <c r="D8" s="41">
        <v>7118</v>
      </c>
      <c r="E8" s="41">
        <v>552</v>
      </c>
      <c r="F8" s="41">
        <v>6566</v>
      </c>
      <c r="G8" s="41">
        <v>350</v>
      </c>
      <c r="H8" s="41">
        <v>4476</v>
      </c>
      <c r="I8" s="41">
        <v>198</v>
      </c>
      <c r="J8" s="41">
        <v>2061</v>
      </c>
      <c r="K8" s="41">
        <v>4</v>
      </c>
      <c r="L8" s="41">
        <v>29</v>
      </c>
      <c r="M8" s="41">
        <v>75</v>
      </c>
      <c r="N8" s="41">
        <v>1121</v>
      </c>
      <c r="O8" s="41">
        <v>19</v>
      </c>
      <c r="P8" s="41">
        <v>414</v>
      </c>
      <c r="Q8" s="41">
        <v>35</v>
      </c>
      <c r="R8" s="41">
        <v>407</v>
      </c>
      <c r="S8" s="41">
        <v>21</v>
      </c>
      <c r="T8" s="41">
        <v>300</v>
      </c>
      <c r="U8" s="41">
        <v>319</v>
      </c>
      <c r="V8" s="41">
        <v>12155</v>
      </c>
      <c r="W8" s="41">
        <v>37994</v>
      </c>
      <c r="X8" s="41">
        <v>15753</v>
      </c>
      <c r="Y8" s="41">
        <v>22241</v>
      </c>
      <c r="Z8" s="41">
        <v>8140</v>
      </c>
      <c r="AA8" s="41">
        <v>4075</v>
      </c>
      <c r="AB8" s="41">
        <v>4065</v>
      </c>
      <c r="AC8" s="41">
        <v>5102</v>
      </c>
      <c r="AD8" s="41">
        <v>2456</v>
      </c>
      <c r="AE8" s="41">
        <v>2646</v>
      </c>
      <c r="AF8" s="41">
        <v>24752</v>
      </c>
      <c r="AG8" s="41">
        <v>9222</v>
      </c>
      <c r="AH8" s="41">
        <v>15530</v>
      </c>
      <c r="AI8" s="41">
        <v>5595740</v>
      </c>
      <c r="AJ8" s="41">
        <v>2404270</v>
      </c>
      <c r="AK8" s="41">
        <v>3191470</v>
      </c>
      <c r="AL8" s="41">
        <v>1343844</v>
      </c>
      <c r="AM8" s="41">
        <v>666848</v>
      </c>
      <c r="AN8" s="41">
        <v>676996</v>
      </c>
      <c r="AO8" s="41">
        <v>810594</v>
      </c>
      <c r="AP8" s="41">
        <v>401490</v>
      </c>
      <c r="AQ8" s="41">
        <v>409104</v>
      </c>
      <c r="AR8" s="41">
        <v>3441302</v>
      </c>
      <c r="AS8" s="41">
        <v>1335932</v>
      </c>
      <c r="AT8" s="41">
        <v>2105370</v>
      </c>
      <c r="AU8" s="41">
        <v>10366734.199999999</v>
      </c>
      <c r="AV8" s="41">
        <v>4470667.9000000004</v>
      </c>
      <c r="AW8" s="41">
        <v>5896066.2999999998</v>
      </c>
      <c r="AX8" s="41">
        <v>2554583.4</v>
      </c>
      <c r="AY8" s="41">
        <v>1259624.3999999999</v>
      </c>
      <c r="AZ8" s="41">
        <v>1294959</v>
      </c>
      <c r="BA8" s="41">
        <v>1547746.8</v>
      </c>
      <c r="BB8" s="41">
        <v>764765.5</v>
      </c>
      <c r="BC8" s="41">
        <v>782981.3</v>
      </c>
      <c r="BD8" s="41">
        <v>6264404</v>
      </c>
      <c r="BE8" s="41">
        <v>2446278</v>
      </c>
      <c r="BF8" s="41">
        <v>3818126</v>
      </c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30"/>
      <c r="CI8" s="30"/>
      <c r="CJ8" s="30"/>
      <c r="CK8" s="30"/>
    </row>
    <row r="9" spans="1:89" s="18" customFormat="1" ht="21" customHeight="1">
      <c r="A9" s="52" t="s">
        <v>147</v>
      </c>
      <c r="B9" s="35" t="s">
        <v>34</v>
      </c>
      <c r="C9" s="41">
        <v>14</v>
      </c>
      <c r="D9" s="41">
        <v>915</v>
      </c>
      <c r="E9" s="41">
        <v>98</v>
      </c>
      <c r="F9" s="41">
        <v>817</v>
      </c>
      <c r="G9" s="41">
        <v>54</v>
      </c>
      <c r="H9" s="41">
        <v>553</v>
      </c>
      <c r="I9" s="41">
        <v>44</v>
      </c>
      <c r="J9" s="41">
        <v>264</v>
      </c>
      <c r="K9" s="41">
        <v>0</v>
      </c>
      <c r="L9" s="41">
        <v>0</v>
      </c>
      <c r="M9" s="41">
        <v>4</v>
      </c>
      <c r="N9" s="41">
        <v>150</v>
      </c>
      <c r="O9" s="41">
        <v>2</v>
      </c>
      <c r="P9" s="41">
        <v>65</v>
      </c>
      <c r="Q9" s="41">
        <v>1</v>
      </c>
      <c r="R9" s="41">
        <v>45</v>
      </c>
      <c r="S9" s="41">
        <v>1</v>
      </c>
      <c r="T9" s="41">
        <v>40</v>
      </c>
      <c r="U9" s="41">
        <v>31</v>
      </c>
      <c r="V9" s="41">
        <v>1055</v>
      </c>
      <c r="W9" s="41">
        <v>3581</v>
      </c>
      <c r="X9" s="41">
        <v>1523</v>
      </c>
      <c r="Y9" s="41">
        <v>2058</v>
      </c>
      <c r="Z9" s="41">
        <v>651</v>
      </c>
      <c r="AA9" s="41">
        <v>292</v>
      </c>
      <c r="AB9" s="41">
        <v>359</v>
      </c>
      <c r="AC9" s="41">
        <v>474</v>
      </c>
      <c r="AD9" s="41">
        <v>243</v>
      </c>
      <c r="AE9" s="41">
        <v>231</v>
      </c>
      <c r="AF9" s="41">
        <v>2456</v>
      </c>
      <c r="AG9" s="41">
        <v>988</v>
      </c>
      <c r="AH9" s="41">
        <v>1468</v>
      </c>
      <c r="AI9" s="41">
        <v>581597</v>
      </c>
      <c r="AJ9" s="41">
        <v>252088</v>
      </c>
      <c r="AK9" s="41">
        <v>329509</v>
      </c>
      <c r="AL9" s="41">
        <v>124951</v>
      </c>
      <c r="AM9" s="41">
        <v>56281</v>
      </c>
      <c r="AN9" s="41">
        <v>68670</v>
      </c>
      <c r="AO9" s="41">
        <v>84609</v>
      </c>
      <c r="AP9" s="41">
        <v>45865</v>
      </c>
      <c r="AQ9" s="41">
        <v>38744</v>
      </c>
      <c r="AR9" s="41">
        <v>372037</v>
      </c>
      <c r="AS9" s="41">
        <v>149942</v>
      </c>
      <c r="AT9" s="41">
        <v>222095</v>
      </c>
      <c r="AU9" s="41">
        <v>1150619</v>
      </c>
      <c r="AV9" s="41">
        <v>505499</v>
      </c>
      <c r="AW9" s="41">
        <v>645120</v>
      </c>
      <c r="AX9" s="41">
        <v>245325.5</v>
      </c>
      <c r="AY9" s="41">
        <v>111404</v>
      </c>
      <c r="AZ9" s="41">
        <v>133921.5</v>
      </c>
      <c r="BA9" s="41">
        <v>164659.5</v>
      </c>
      <c r="BB9" s="41">
        <v>88442</v>
      </c>
      <c r="BC9" s="41">
        <v>76217.5</v>
      </c>
      <c r="BD9" s="41">
        <v>740634</v>
      </c>
      <c r="BE9" s="41">
        <v>305653</v>
      </c>
      <c r="BF9" s="41">
        <v>434981</v>
      </c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30"/>
      <c r="CI9" s="30"/>
    </row>
    <row r="10" spans="1:89" s="18" customFormat="1" ht="21" customHeight="1">
      <c r="A10" s="52" t="s">
        <v>148</v>
      </c>
      <c r="B10" s="35" t="s">
        <v>35</v>
      </c>
      <c r="C10" s="41">
        <v>15</v>
      </c>
      <c r="D10" s="41">
        <v>572</v>
      </c>
      <c r="E10" s="41">
        <v>58</v>
      </c>
      <c r="F10" s="41">
        <v>514</v>
      </c>
      <c r="G10" s="41">
        <v>24</v>
      </c>
      <c r="H10" s="41">
        <v>201</v>
      </c>
      <c r="I10" s="41">
        <v>30</v>
      </c>
      <c r="J10" s="41">
        <v>291</v>
      </c>
      <c r="K10" s="41">
        <v>4</v>
      </c>
      <c r="L10" s="41">
        <v>22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2813</v>
      </c>
      <c r="X10" s="41">
        <v>1274</v>
      </c>
      <c r="Y10" s="41">
        <v>1539</v>
      </c>
      <c r="Z10" s="41">
        <v>725</v>
      </c>
      <c r="AA10" s="41">
        <v>382</v>
      </c>
      <c r="AB10" s="41">
        <v>343</v>
      </c>
      <c r="AC10" s="41">
        <v>132</v>
      </c>
      <c r="AD10" s="41">
        <v>76</v>
      </c>
      <c r="AE10" s="41">
        <v>56</v>
      </c>
      <c r="AF10" s="41">
        <v>1956</v>
      </c>
      <c r="AG10" s="41">
        <v>816</v>
      </c>
      <c r="AH10" s="41">
        <v>1140</v>
      </c>
      <c r="AI10" s="41">
        <v>374184</v>
      </c>
      <c r="AJ10" s="41">
        <v>170546</v>
      </c>
      <c r="AK10" s="41">
        <v>203638</v>
      </c>
      <c r="AL10" s="41">
        <v>111030</v>
      </c>
      <c r="AM10" s="41">
        <v>55978</v>
      </c>
      <c r="AN10" s="41">
        <v>55052</v>
      </c>
      <c r="AO10" s="41">
        <v>18671</v>
      </c>
      <c r="AP10" s="41">
        <v>9888</v>
      </c>
      <c r="AQ10" s="41">
        <v>8783</v>
      </c>
      <c r="AR10" s="41">
        <v>244483</v>
      </c>
      <c r="AS10" s="41">
        <v>104680</v>
      </c>
      <c r="AT10" s="41">
        <v>139803</v>
      </c>
      <c r="AU10" s="41">
        <v>766580.5</v>
      </c>
      <c r="AV10" s="41">
        <v>344739.5</v>
      </c>
      <c r="AW10" s="41">
        <v>421841</v>
      </c>
      <c r="AX10" s="41">
        <v>228847.5</v>
      </c>
      <c r="AY10" s="41">
        <v>113767.5</v>
      </c>
      <c r="AZ10" s="41">
        <v>115080</v>
      </c>
      <c r="BA10" s="41">
        <v>38051</v>
      </c>
      <c r="BB10" s="41">
        <v>20527</v>
      </c>
      <c r="BC10" s="41">
        <v>17524</v>
      </c>
      <c r="BD10" s="41">
        <v>499682</v>
      </c>
      <c r="BE10" s="41">
        <v>210445</v>
      </c>
      <c r="BF10" s="41">
        <v>289237</v>
      </c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30"/>
      <c r="CI10" s="30"/>
    </row>
    <row r="11" spans="1:89" s="18" customFormat="1" ht="21" customHeight="1">
      <c r="A11" s="52" t="s">
        <v>149</v>
      </c>
      <c r="B11" s="35" t="s">
        <v>36</v>
      </c>
      <c r="C11" s="41">
        <v>13</v>
      </c>
      <c r="D11" s="41">
        <v>578</v>
      </c>
      <c r="E11" s="41">
        <v>36</v>
      </c>
      <c r="F11" s="41">
        <v>542</v>
      </c>
      <c r="G11" s="41">
        <v>18</v>
      </c>
      <c r="H11" s="41">
        <v>333</v>
      </c>
      <c r="I11" s="41">
        <v>18</v>
      </c>
      <c r="J11" s="41">
        <v>209</v>
      </c>
      <c r="K11" s="41">
        <v>0</v>
      </c>
      <c r="L11" s="41">
        <v>0</v>
      </c>
      <c r="M11" s="41">
        <v>1</v>
      </c>
      <c r="N11" s="41">
        <v>19</v>
      </c>
      <c r="O11" s="41">
        <v>1</v>
      </c>
      <c r="P11" s="41">
        <v>19</v>
      </c>
      <c r="Q11" s="41">
        <v>0</v>
      </c>
      <c r="R11" s="41">
        <v>0</v>
      </c>
      <c r="S11" s="41">
        <v>0</v>
      </c>
      <c r="T11" s="41">
        <v>0</v>
      </c>
      <c r="U11" s="41">
        <v>3</v>
      </c>
      <c r="V11" s="41">
        <v>453</v>
      </c>
      <c r="W11" s="41">
        <v>2685</v>
      </c>
      <c r="X11" s="41">
        <v>1173</v>
      </c>
      <c r="Y11" s="41">
        <v>1512</v>
      </c>
      <c r="Z11" s="41">
        <v>806</v>
      </c>
      <c r="AA11" s="41">
        <v>389</v>
      </c>
      <c r="AB11" s="41">
        <v>417</v>
      </c>
      <c r="AC11" s="41">
        <v>289</v>
      </c>
      <c r="AD11" s="41">
        <v>126</v>
      </c>
      <c r="AE11" s="41">
        <v>163</v>
      </c>
      <c r="AF11" s="41">
        <v>1590</v>
      </c>
      <c r="AG11" s="41">
        <v>658</v>
      </c>
      <c r="AH11" s="41">
        <v>932</v>
      </c>
      <c r="AI11" s="41">
        <v>386432</v>
      </c>
      <c r="AJ11" s="41">
        <v>175083</v>
      </c>
      <c r="AK11" s="41">
        <v>211349</v>
      </c>
      <c r="AL11" s="41">
        <v>133004</v>
      </c>
      <c r="AM11" s="41">
        <v>64610</v>
      </c>
      <c r="AN11" s="41">
        <v>68394</v>
      </c>
      <c r="AO11" s="41">
        <v>44309</v>
      </c>
      <c r="AP11" s="41">
        <v>19829</v>
      </c>
      <c r="AQ11" s="41">
        <v>24480</v>
      </c>
      <c r="AR11" s="41">
        <v>209119</v>
      </c>
      <c r="AS11" s="41">
        <v>90644</v>
      </c>
      <c r="AT11" s="41">
        <v>118475</v>
      </c>
      <c r="AU11" s="41">
        <v>825126.9</v>
      </c>
      <c r="AV11" s="41">
        <v>375582.4</v>
      </c>
      <c r="AW11" s="41">
        <v>449544.5</v>
      </c>
      <c r="AX11" s="41">
        <v>295402.90000000002</v>
      </c>
      <c r="AY11" s="41">
        <v>142405.9</v>
      </c>
      <c r="AZ11" s="41">
        <v>152997</v>
      </c>
      <c r="BA11" s="41">
        <v>99050</v>
      </c>
      <c r="BB11" s="41">
        <v>45401</v>
      </c>
      <c r="BC11" s="41">
        <v>53649</v>
      </c>
      <c r="BD11" s="41">
        <v>430674</v>
      </c>
      <c r="BE11" s="41">
        <v>187775.5</v>
      </c>
      <c r="BF11" s="41">
        <v>242898.5</v>
      </c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30"/>
      <c r="CI11" s="30"/>
    </row>
    <row r="12" spans="1:89" s="18" customFormat="1" ht="21" customHeight="1">
      <c r="A12" s="52" t="s">
        <v>150</v>
      </c>
      <c r="B12" s="35" t="s">
        <v>37</v>
      </c>
      <c r="C12" s="41">
        <v>12</v>
      </c>
      <c r="D12" s="41">
        <v>504</v>
      </c>
      <c r="E12" s="41">
        <v>37</v>
      </c>
      <c r="F12" s="41">
        <v>467</v>
      </c>
      <c r="G12" s="41">
        <v>31</v>
      </c>
      <c r="H12" s="41">
        <v>406</v>
      </c>
      <c r="I12" s="41">
        <v>6</v>
      </c>
      <c r="J12" s="41">
        <v>61</v>
      </c>
      <c r="K12" s="41">
        <v>0</v>
      </c>
      <c r="L12" s="41">
        <v>0</v>
      </c>
      <c r="M12" s="41">
        <v>1</v>
      </c>
      <c r="N12" s="41">
        <v>26</v>
      </c>
      <c r="O12" s="41">
        <v>0</v>
      </c>
      <c r="P12" s="41">
        <v>0</v>
      </c>
      <c r="Q12" s="41">
        <v>1</v>
      </c>
      <c r="R12" s="41">
        <v>26</v>
      </c>
      <c r="S12" s="41">
        <v>0</v>
      </c>
      <c r="T12" s="41">
        <v>0</v>
      </c>
      <c r="U12" s="41">
        <v>8</v>
      </c>
      <c r="V12" s="41">
        <v>263</v>
      </c>
      <c r="W12" s="41">
        <v>3008</v>
      </c>
      <c r="X12" s="41">
        <v>1208</v>
      </c>
      <c r="Y12" s="41">
        <v>1800</v>
      </c>
      <c r="Z12" s="41">
        <v>545</v>
      </c>
      <c r="AA12" s="41">
        <v>255</v>
      </c>
      <c r="AB12" s="41">
        <v>290</v>
      </c>
      <c r="AC12" s="41">
        <v>458</v>
      </c>
      <c r="AD12" s="41">
        <v>235</v>
      </c>
      <c r="AE12" s="41">
        <v>223</v>
      </c>
      <c r="AF12" s="41">
        <v>2005</v>
      </c>
      <c r="AG12" s="41">
        <v>718</v>
      </c>
      <c r="AH12" s="41">
        <v>1287</v>
      </c>
      <c r="AI12" s="41">
        <v>500274</v>
      </c>
      <c r="AJ12" s="41">
        <v>202264</v>
      </c>
      <c r="AK12" s="41">
        <v>298010</v>
      </c>
      <c r="AL12" s="41">
        <v>94194</v>
      </c>
      <c r="AM12" s="41">
        <v>45451</v>
      </c>
      <c r="AN12" s="41">
        <v>48743</v>
      </c>
      <c r="AO12" s="41">
        <v>78468</v>
      </c>
      <c r="AP12" s="41">
        <v>39555</v>
      </c>
      <c r="AQ12" s="41">
        <v>38913</v>
      </c>
      <c r="AR12" s="41">
        <v>327612</v>
      </c>
      <c r="AS12" s="41">
        <v>117258</v>
      </c>
      <c r="AT12" s="41">
        <v>210354</v>
      </c>
      <c r="AU12" s="41">
        <v>798483</v>
      </c>
      <c r="AV12" s="41">
        <v>322569.5</v>
      </c>
      <c r="AW12" s="41">
        <v>475913.5</v>
      </c>
      <c r="AX12" s="41">
        <v>155976.5</v>
      </c>
      <c r="AY12" s="41">
        <v>71964.5</v>
      </c>
      <c r="AZ12" s="41">
        <v>84012</v>
      </c>
      <c r="BA12" s="41">
        <v>137499.5</v>
      </c>
      <c r="BB12" s="41">
        <v>69221.5</v>
      </c>
      <c r="BC12" s="41">
        <v>68278</v>
      </c>
      <c r="BD12" s="41">
        <v>505007</v>
      </c>
      <c r="BE12" s="41">
        <v>181383.5</v>
      </c>
      <c r="BF12" s="41">
        <v>323623.5</v>
      </c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30"/>
      <c r="CI12" s="30"/>
    </row>
    <row r="13" spans="1:89" s="18" customFormat="1" ht="21" customHeight="1">
      <c r="A13" s="52" t="s">
        <v>151</v>
      </c>
      <c r="B13" s="35" t="s">
        <v>38</v>
      </c>
      <c r="C13" s="41">
        <v>24</v>
      </c>
      <c r="D13" s="41">
        <v>1109</v>
      </c>
      <c r="E13" s="41">
        <v>79</v>
      </c>
      <c r="F13" s="41">
        <v>1030</v>
      </c>
      <c r="G13" s="41">
        <v>12</v>
      </c>
      <c r="H13" s="41">
        <v>177</v>
      </c>
      <c r="I13" s="41">
        <v>67</v>
      </c>
      <c r="J13" s="41">
        <v>853</v>
      </c>
      <c r="K13" s="41">
        <v>0</v>
      </c>
      <c r="L13" s="41">
        <v>0</v>
      </c>
      <c r="M13" s="41">
        <v>8</v>
      </c>
      <c r="N13" s="41">
        <v>254</v>
      </c>
      <c r="O13" s="41">
        <v>4</v>
      </c>
      <c r="P13" s="41">
        <v>142</v>
      </c>
      <c r="Q13" s="41">
        <v>4</v>
      </c>
      <c r="R13" s="41">
        <v>112</v>
      </c>
      <c r="S13" s="41">
        <v>0</v>
      </c>
      <c r="T13" s="41">
        <v>0</v>
      </c>
      <c r="U13" s="41">
        <v>19</v>
      </c>
      <c r="V13" s="41">
        <v>1553</v>
      </c>
      <c r="W13" s="41">
        <v>5893</v>
      </c>
      <c r="X13" s="41">
        <v>2408</v>
      </c>
      <c r="Y13" s="41">
        <v>3485</v>
      </c>
      <c r="Z13" s="41">
        <v>1540</v>
      </c>
      <c r="AA13" s="41">
        <v>660</v>
      </c>
      <c r="AB13" s="41">
        <v>880</v>
      </c>
      <c r="AC13" s="41">
        <v>630</v>
      </c>
      <c r="AD13" s="41">
        <v>355</v>
      </c>
      <c r="AE13" s="41">
        <v>275</v>
      </c>
      <c r="AF13" s="41">
        <v>3723</v>
      </c>
      <c r="AG13" s="41">
        <v>1393</v>
      </c>
      <c r="AH13" s="41">
        <v>2330</v>
      </c>
      <c r="AI13" s="41">
        <v>931005</v>
      </c>
      <c r="AJ13" s="41">
        <v>400134</v>
      </c>
      <c r="AK13" s="41">
        <v>530871</v>
      </c>
      <c r="AL13" s="41">
        <v>263940</v>
      </c>
      <c r="AM13" s="41">
        <v>115782</v>
      </c>
      <c r="AN13" s="41">
        <v>148158</v>
      </c>
      <c r="AO13" s="41">
        <v>118895</v>
      </c>
      <c r="AP13" s="41">
        <v>68332</v>
      </c>
      <c r="AQ13" s="41">
        <v>50563</v>
      </c>
      <c r="AR13" s="41">
        <v>548170</v>
      </c>
      <c r="AS13" s="41">
        <v>216020</v>
      </c>
      <c r="AT13" s="41">
        <v>332150</v>
      </c>
      <c r="AU13" s="41">
        <v>1622447.5</v>
      </c>
      <c r="AV13" s="41">
        <v>693395.5</v>
      </c>
      <c r="AW13" s="41">
        <v>929052</v>
      </c>
      <c r="AX13" s="41">
        <v>473731</v>
      </c>
      <c r="AY13" s="41">
        <v>205921</v>
      </c>
      <c r="AZ13" s="41">
        <v>267810</v>
      </c>
      <c r="BA13" s="41">
        <v>221049</v>
      </c>
      <c r="BB13" s="41">
        <v>127580.5</v>
      </c>
      <c r="BC13" s="41">
        <v>93468.5</v>
      </c>
      <c r="BD13" s="41">
        <v>927667.5</v>
      </c>
      <c r="BE13" s="41">
        <v>359894</v>
      </c>
      <c r="BF13" s="41">
        <v>567773.5</v>
      </c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30"/>
      <c r="CI13" s="30"/>
    </row>
    <row r="14" spans="1:89" ht="21" customHeight="1">
      <c r="A14" s="53" t="s">
        <v>152</v>
      </c>
      <c r="B14" s="19" t="s">
        <v>7</v>
      </c>
      <c r="C14" s="20">
        <v>4</v>
      </c>
      <c r="D14" s="20">
        <v>94</v>
      </c>
      <c r="E14" s="20">
        <v>8</v>
      </c>
      <c r="F14" s="20">
        <v>86</v>
      </c>
      <c r="G14" s="20">
        <v>6</v>
      </c>
      <c r="H14" s="20">
        <v>85</v>
      </c>
      <c r="I14" s="20">
        <v>2</v>
      </c>
      <c r="J14" s="20">
        <v>1</v>
      </c>
      <c r="K14" s="20">
        <v>0</v>
      </c>
      <c r="L14" s="20">
        <v>0</v>
      </c>
      <c r="M14" s="20">
        <v>9</v>
      </c>
      <c r="N14" s="20">
        <v>160</v>
      </c>
      <c r="O14" s="20">
        <v>0</v>
      </c>
      <c r="P14" s="20">
        <v>0</v>
      </c>
      <c r="Q14" s="20">
        <v>3</v>
      </c>
      <c r="R14" s="20">
        <v>46</v>
      </c>
      <c r="S14" s="20">
        <v>6</v>
      </c>
      <c r="T14" s="20">
        <v>114</v>
      </c>
      <c r="U14" s="20">
        <v>15</v>
      </c>
      <c r="V14" s="20">
        <v>958</v>
      </c>
      <c r="W14" s="20">
        <v>746</v>
      </c>
      <c r="X14" s="20">
        <v>311</v>
      </c>
      <c r="Y14" s="20">
        <v>435</v>
      </c>
      <c r="Z14" s="20">
        <v>111</v>
      </c>
      <c r="AA14" s="20">
        <v>67</v>
      </c>
      <c r="AB14" s="20">
        <v>44</v>
      </c>
      <c r="AC14" s="20">
        <v>158</v>
      </c>
      <c r="AD14" s="20">
        <v>56</v>
      </c>
      <c r="AE14" s="20">
        <v>102</v>
      </c>
      <c r="AF14" s="20">
        <v>477</v>
      </c>
      <c r="AG14" s="20">
        <v>188</v>
      </c>
      <c r="AH14" s="20">
        <v>289</v>
      </c>
      <c r="AI14" s="20">
        <v>81397</v>
      </c>
      <c r="AJ14" s="20">
        <v>36182</v>
      </c>
      <c r="AK14" s="20">
        <v>45215</v>
      </c>
      <c r="AL14" s="20">
        <v>12474</v>
      </c>
      <c r="AM14" s="20">
        <v>8441</v>
      </c>
      <c r="AN14" s="20">
        <v>4033</v>
      </c>
      <c r="AO14" s="20">
        <v>17110</v>
      </c>
      <c r="AP14" s="20">
        <v>7270</v>
      </c>
      <c r="AQ14" s="20">
        <v>9840</v>
      </c>
      <c r="AR14" s="20">
        <v>51813</v>
      </c>
      <c r="AS14" s="20">
        <v>20471</v>
      </c>
      <c r="AT14" s="20">
        <v>31342</v>
      </c>
      <c r="AU14" s="20">
        <v>141116</v>
      </c>
      <c r="AV14" s="20">
        <v>60243.5</v>
      </c>
      <c r="AW14" s="20">
        <v>80872.5</v>
      </c>
      <c r="AX14" s="20">
        <v>21375.5</v>
      </c>
      <c r="AY14" s="20">
        <v>14267</v>
      </c>
      <c r="AZ14" s="20">
        <v>7108.5</v>
      </c>
      <c r="BA14" s="20">
        <v>30545</v>
      </c>
      <c r="BB14" s="20">
        <v>12050</v>
      </c>
      <c r="BC14" s="20">
        <v>18495</v>
      </c>
      <c r="BD14" s="20">
        <v>89195.5</v>
      </c>
      <c r="BE14" s="20">
        <v>33926.5</v>
      </c>
      <c r="BF14" s="20">
        <v>55269</v>
      </c>
    </row>
    <row r="15" spans="1:89" ht="21" customHeight="1">
      <c r="A15" s="53" t="s">
        <v>153</v>
      </c>
      <c r="B15" s="19" t="s">
        <v>8</v>
      </c>
      <c r="C15" s="20">
        <v>4</v>
      </c>
      <c r="D15" s="20">
        <v>463</v>
      </c>
      <c r="E15" s="20">
        <v>24</v>
      </c>
      <c r="F15" s="20">
        <v>439</v>
      </c>
      <c r="G15" s="20">
        <v>24</v>
      </c>
      <c r="H15" s="20">
        <v>439</v>
      </c>
      <c r="I15" s="20">
        <v>0</v>
      </c>
      <c r="J15" s="20">
        <v>0</v>
      </c>
      <c r="K15" s="20">
        <v>0</v>
      </c>
      <c r="L15" s="20">
        <v>0</v>
      </c>
      <c r="M15" s="20">
        <v>2</v>
      </c>
      <c r="N15" s="20">
        <v>27</v>
      </c>
      <c r="O15" s="20">
        <v>1</v>
      </c>
      <c r="P15" s="20">
        <v>4</v>
      </c>
      <c r="Q15" s="20">
        <v>1</v>
      </c>
      <c r="R15" s="20">
        <v>23</v>
      </c>
      <c r="S15" s="20">
        <v>0</v>
      </c>
      <c r="T15" s="20">
        <v>0</v>
      </c>
      <c r="U15" s="20">
        <v>14</v>
      </c>
      <c r="V15" s="20">
        <v>903</v>
      </c>
      <c r="W15" s="20">
        <v>1750</v>
      </c>
      <c r="X15" s="20">
        <v>823</v>
      </c>
      <c r="Y15" s="20">
        <v>927</v>
      </c>
      <c r="Z15" s="20">
        <v>540</v>
      </c>
      <c r="AA15" s="20">
        <v>253</v>
      </c>
      <c r="AB15" s="20">
        <v>287</v>
      </c>
      <c r="AC15" s="20">
        <v>173</v>
      </c>
      <c r="AD15" s="20">
        <v>106</v>
      </c>
      <c r="AE15" s="20">
        <v>67</v>
      </c>
      <c r="AF15" s="20">
        <v>1037</v>
      </c>
      <c r="AG15" s="20">
        <v>464</v>
      </c>
      <c r="AH15" s="20">
        <v>573</v>
      </c>
      <c r="AI15" s="20">
        <v>290700</v>
      </c>
      <c r="AJ15" s="20">
        <v>141063</v>
      </c>
      <c r="AK15" s="20">
        <v>149637</v>
      </c>
      <c r="AL15" s="20">
        <v>95613</v>
      </c>
      <c r="AM15" s="20">
        <v>45303</v>
      </c>
      <c r="AN15" s="20">
        <v>50310</v>
      </c>
      <c r="AO15" s="20">
        <v>33505</v>
      </c>
      <c r="AP15" s="20">
        <v>22236</v>
      </c>
      <c r="AQ15" s="20">
        <v>11269</v>
      </c>
      <c r="AR15" s="20">
        <v>161582</v>
      </c>
      <c r="AS15" s="20">
        <v>73524</v>
      </c>
      <c r="AT15" s="20">
        <v>88058</v>
      </c>
      <c r="AU15" s="20">
        <v>658995.5</v>
      </c>
      <c r="AV15" s="20">
        <v>318218.5</v>
      </c>
      <c r="AW15" s="20">
        <v>340777</v>
      </c>
      <c r="AX15" s="20">
        <v>228083</v>
      </c>
      <c r="AY15" s="20">
        <v>107159.5</v>
      </c>
      <c r="AZ15" s="20">
        <v>120923.5</v>
      </c>
      <c r="BA15" s="20">
        <v>75993.5</v>
      </c>
      <c r="BB15" s="20">
        <v>50519.5</v>
      </c>
      <c r="BC15" s="20">
        <v>25474</v>
      </c>
      <c r="BD15" s="20">
        <v>354919</v>
      </c>
      <c r="BE15" s="20">
        <v>160539.5</v>
      </c>
      <c r="BF15" s="20">
        <v>194379.5</v>
      </c>
    </row>
    <row r="16" spans="1:89" ht="21" customHeight="1">
      <c r="A16" s="53" t="s">
        <v>154</v>
      </c>
      <c r="B16" s="19" t="s">
        <v>9</v>
      </c>
      <c r="C16" s="20">
        <v>5</v>
      </c>
      <c r="D16" s="20">
        <v>138</v>
      </c>
      <c r="E16" s="20">
        <v>15</v>
      </c>
      <c r="F16" s="20">
        <v>123</v>
      </c>
      <c r="G16" s="20">
        <v>10</v>
      </c>
      <c r="H16" s="20">
        <v>112</v>
      </c>
      <c r="I16" s="20">
        <v>5</v>
      </c>
      <c r="J16" s="20">
        <v>11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14</v>
      </c>
      <c r="V16" s="20">
        <v>306</v>
      </c>
      <c r="W16" s="20">
        <v>479</v>
      </c>
      <c r="X16" s="20">
        <v>213</v>
      </c>
      <c r="Y16" s="20">
        <v>266</v>
      </c>
      <c r="Z16" s="20">
        <v>143</v>
      </c>
      <c r="AA16" s="20">
        <v>86</v>
      </c>
      <c r="AB16" s="20">
        <v>57</v>
      </c>
      <c r="AC16" s="20">
        <v>20</v>
      </c>
      <c r="AD16" s="20">
        <v>9</v>
      </c>
      <c r="AE16" s="20">
        <v>11</v>
      </c>
      <c r="AF16" s="20">
        <v>316</v>
      </c>
      <c r="AG16" s="20">
        <v>118</v>
      </c>
      <c r="AH16" s="20">
        <v>198</v>
      </c>
      <c r="AI16" s="20">
        <v>87456</v>
      </c>
      <c r="AJ16" s="20">
        <v>40076</v>
      </c>
      <c r="AK16" s="20">
        <v>47380</v>
      </c>
      <c r="AL16" s="20">
        <v>27075</v>
      </c>
      <c r="AM16" s="20">
        <v>16602</v>
      </c>
      <c r="AN16" s="20">
        <v>10473</v>
      </c>
      <c r="AO16" s="20">
        <v>2883</v>
      </c>
      <c r="AP16" s="20">
        <v>1266</v>
      </c>
      <c r="AQ16" s="20">
        <v>1617</v>
      </c>
      <c r="AR16" s="20">
        <v>57498</v>
      </c>
      <c r="AS16" s="20">
        <v>22208</v>
      </c>
      <c r="AT16" s="20">
        <v>35290</v>
      </c>
      <c r="AU16" s="20">
        <v>200307.5</v>
      </c>
      <c r="AV16" s="20">
        <v>91613</v>
      </c>
      <c r="AW16" s="20">
        <v>108694.5</v>
      </c>
      <c r="AX16" s="20">
        <v>69075.5</v>
      </c>
      <c r="AY16" s="20">
        <v>41814.5</v>
      </c>
      <c r="AZ16" s="20">
        <v>27261</v>
      </c>
      <c r="BA16" s="20">
        <v>7244</v>
      </c>
      <c r="BB16" s="20">
        <v>3191</v>
      </c>
      <c r="BC16" s="20">
        <v>4053</v>
      </c>
      <c r="BD16" s="20">
        <v>123988</v>
      </c>
      <c r="BE16" s="20">
        <v>46607.5</v>
      </c>
      <c r="BF16" s="20">
        <v>77380.5</v>
      </c>
    </row>
    <row r="17" spans="1:58" ht="21" customHeight="1">
      <c r="A17" s="53" t="s">
        <v>155</v>
      </c>
      <c r="B17" s="19" t="s">
        <v>10</v>
      </c>
      <c r="C17" s="20">
        <v>3</v>
      </c>
      <c r="D17" s="20">
        <v>253</v>
      </c>
      <c r="E17" s="20">
        <v>10</v>
      </c>
      <c r="F17" s="20">
        <v>243</v>
      </c>
      <c r="G17" s="20">
        <v>2</v>
      </c>
      <c r="H17" s="20">
        <v>49</v>
      </c>
      <c r="I17" s="20">
        <v>8</v>
      </c>
      <c r="J17" s="20">
        <v>194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1279</v>
      </c>
      <c r="X17" s="20">
        <v>530</v>
      </c>
      <c r="Y17" s="20">
        <v>749</v>
      </c>
      <c r="Z17" s="20">
        <v>203</v>
      </c>
      <c r="AA17" s="20">
        <v>97</v>
      </c>
      <c r="AB17" s="20">
        <v>106</v>
      </c>
      <c r="AC17" s="20">
        <v>203</v>
      </c>
      <c r="AD17" s="20">
        <v>100</v>
      </c>
      <c r="AE17" s="20">
        <v>103</v>
      </c>
      <c r="AF17" s="20">
        <v>873</v>
      </c>
      <c r="AG17" s="20">
        <v>333</v>
      </c>
      <c r="AH17" s="20">
        <v>540</v>
      </c>
      <c r="AI17" s="20">
        <v>208586</v>
      </c>
      <c r="AJ17" s="20">
        <v>88337</v>
      </c>
      <c r="AK17" s="20">
        <v>120249</v>
      </c>
      <c r="AL17" s="20">
        <v>33163</v>
      </c>
      <c r="AM17" s="20">
        <v>15187</v>
      </c>
      <c r="AN17" s="20">
        <v>17976</v>
      </c>
      <c r="AO17" s="20">
        <v>35109</v>
      </c>
      <c r="AP17" s="20">
        <v>18472</v>
      </c>
      <c r="AQ17" s="20">
        <v>16637</v>
      </c>
      <c r="AR17" s="20">
        <v>140314</v>
      </c>
      <c r="AS17" s="20">
        <v>54678</v>
      </c>
      <c r="AT17" s="20">
        <v>85636</v>
      </c>
      <c r="AU17" s="20">
        <v>337578</v>
      </c>
      <c r="AV17" s="20">
        <v>141365</v>
      </c>
      <c r="AW17" s="20">
        <v>196213</v>
      </c>
      <c r="AX17" s="20">
        <v>55048</v>
      </c>
      <c r="AY17" s="20">
        <v>24323</v>
      </c>
      <c r="AZ17" s="20">
        <v>30725</v>
      </c>
      <c r="BA17" s="20">
        <v>62341</v>
      </c>
      <c r="BB17" s="20">
        <v>31735</v>
      </c>
      <c r="BC17" s="20">
        <v>30606</v>
      </c>
      <c r="BD17" s="20">
        <v>220189</v>
      </c>
      <c r="BE17" s="20">
        <v>85307</v>
      </c>
      <c r="BF17" s="20">
        <v>134882</v>
      </c>
    </row>
    <row r="18" spans="1:58" ht="21" customHeight="1">
      <c r="A18" s="53" t="s">
        <v>156</v>
      </c>
      <c r="B18" s="19" t="s">
        <v>11</v>
      </c>
      <c r="C18" s="20">
        <v>5</v>
      </c>
      <c r="D18" s="20">
        <v>418</v>
      </c>
      <c r="E18" s="20">
        <v>38</v>
      </c>
      <c r="F18" s="20">
        <v>380</v>
      </c>
      <c r="G18" s="20">
        <v>38</v>
      </c>
      <c r="H18" s="20">
        <v>380</v>
      </c>
      <c r="I18" s="20">
        <v>0</v>
      </c>
      <c r="J18" s="20">
        <v>0</v>
      </c>
      <c r="K18" s="20">
        <v>0</v>
      </c>
      <c r="L18" s="20">
        <v>0</v>
      </c>
      <c r="M18" s="20">
        <v>4</v>
      </c>
      <c r="N18" s="20">
        <v>183</v>
      </c>
      <c r="O18" s="20">
        <v>1</v>
      </c>
      <c r="P18" s="20">
        <v>52</v>
      </c>
      <c r="Q18" s="20">
        <v>1</v>
      </c>
      <c r="R18" s="20">
        <v>56</v>
      </c>
      <c r="S18" s="20">
        <v>2</v>
      </c>
      <c r="T18" s="20">
        <v>75</v>
      </c>
      <c r="U18" s="20">
        <v>35</v>
      </c>
      <c r="V18" s="20">
        <v>976</v>
      </c>
      <c r="W18" s="20">
        <v>2791</v>
      </c>
      <c r="X18" s="20">
        <v>1004</v>
      </c>
      <c r="Y18" s="20">
        <v>1787</v>
      </c>
      <c r="Z18" s="20">
        <v>353</v>
      </c>
      <c r="AA18" s="20">
        <v>170</v>
      </c>
      <c r="AB18" s="20">
        <v>183</v>
      </c>
      <c r="AC18" s="20">
        <v>377</v>
      </c>
      <c r="AD18" s="20">
        <v>160</v>
      </c>
      <c r="AE18" s="20">
        <v>217</v>
      </c>
      <c r="AF18" s="20">
        <v>2061</v>
      </c>
      <c r="AG18" s="20">
        <v>674</v>
      </c>
      <c r="AH18" s="20">
        <v>1387</v>
      </c>
      <c r="AI18" s="20">
        <v>345120</v>
      </c>
      <c r="AJ18" s="20">
        <v>136175</v>
      </c>
      <c r="AK18" s="20">
        <v>208945</v>
      </c>
      <c r="AL18" s="20">
        <v>46858</v>
      </c>
      <c r="AM18" s="20">
        <v>22223</v>
      </c>
      <c r="AN18" s="20">
        <v>24635</v>
      </c>
      <c r="AO18" s="20">
        <v>55349</v>
      </c>
      <c r="AP18" s="20">
        <v>24835</v>
      </c>
      <c r="AQ18" s="20">
        <v>30514</v>
      </c>
      <c r="AR18" s="20">
        <v>242913</v>
      </c>
      <c r="AS18" s="20">
        <v>89117</v>
      </c>
      <c r="AT18" s="20">
        <v>153796</v>
      </c>
      <c r="AU18" s="20">
        <v>690739</v>
      </c>
      <c r="AV18" s="20">
        <v>273963</v>
      </c>
      <c r="AW18" s="20">
        <v>416776</v>
      </c>
      <c r="AX18" s="20">
        <v>94017</v>
      </c>
      <c r="AY18" s="20">
        <v>44234</v>
      </c>
      <c r="AZ18" s="20">
        <v>49783</v>
      </c>
      <c r="BA18" s="20">
        <v>111769</v>
      </c>
      <c r="BB18" s="20">
        <v>50093.5</v>
      </c>
      <c r="BC18" s="20">
        <v>61675.5</v>
      </c>
      <c r="BD18" s="20">
        <v>484953</v>
      </c>
      <c r="BE18" s="20">
        <v>179635.5</v>
      </c>
      <c r="BF18" s="20">
        <v>305317.5</v>
      </c>
    </row>
    <row r="19" spans="1:58" ht="21" customHeight="1">
      <c r="A19" s="53" t="s">
        <v>157</v>
      </c>
      <c r="B19" s="19" t="s">
        <v>12</v>
      </c>
      <c r="C19" s="20">
        <v>10</v>
      </c>
      <c r="D19" s="20">
        <v>371</v>
      </c>
      <c r="E19" s="20">
        <v>23</v>
      </c>
      <c r="F19" s="20">
        <v>348</v>
      </c>
      <c r="G19" s="20">
        <v>23</v>
      </c>
      <c r="H19" s="20">
        <v>348</v>
      </c>
      <c r="I19" s="20">
        <v>0</v>
      </c>
      <c r="J19" s="20">
        <v>0</v>
      </c>
      <c r="K19" s="20">
        <v>0</v>
      </c>
      <c r="L19" s="20">
        <v>0</v>
      </c>
      <c r="M19" s="20">
        <v>2</v>
      </c>
      <c r="N19" s="20">
        <v>48</v>
      </c>
      <c r="O19" s="20">
        <v>1</v>
      </c>
      <c r="P19" s="20">
        <v>25</v>
      </c>
      <c r="Q19" s="20">
        <v>0</v>
      </c>
      <c r="R19" s="20">
        <v>0</v>
      </c>
      <c r="S19" s="20">
        <v>1</v>
      </c>
      <c r="T19" s="20">
        <v>23</v>
      </c>
      <c r="U19" s="20">
        <v>36</v>
      </c>
      <c r="V19" s="20">
        <v>813</v>
      </c>
      <c r="W19" s="20">
        <v>2182</v>
      </c>
      <c r="X19" s="20">
        <v>895</v>
      </c>
      <c r="Y19" s="20">
        <v>1287</v>
      </c>
      <c r="Z19" s="20">
        <v>221</v>
      </c>
      <c r="AA19" s="20">
        <v>152</v>
      </c>
      <c r="AB19" s="20">
        <v>69</v>
      </c>
      <c r="AC19" s="20">
        <v>532</v>
      </c>
      <c r="AD19" s="20">
        <v>226</v>
      </c>
      <c r="AE19" s="20">
        <v>306</v>
      </c>
      <c r="AF19" s="20">
        <v>1429</v>
      </c>
      <c r="AG19" s="20">
        <v>517</v>
      </c>
      <c r="AH19" s="20">
        <v>912</v>
      </c>
      <c r="AI19" s="20">
        <v>249862</v>
      </c>
      <c r="AJ19" s="20">
        <v>110105</v>
      </c>
      <c r="AK19" s="20">
        <v>139757</v>
      </c>
      <c r="AL19" s="20">
        <v>27043</v>
      </c>
      <c r="AM19" s="20">
        <v>19542</v>
      </c>
      <c r="AN19" s="20">
        <v>7501</v>
      </c>
      <c r="AO19" s="20">
        <v>65857</v>
      </c>
      <c r="AP19" s="20">
        <v>28049</v>
      </c>
      <c r="AQ19" s="20">
        <v>37808</v>
      </c>
      <c r="AR19" s="20">
        <v>156962</v>
      </c>
      <c r="AS19" s="20">
        <v>62514</v>
      </c>
      <c r="AT19" s="20">
        <v>94448</v>
      </c>
      <c r="AU19" s="20">
        <v>509380.1</v>
      </c>
      <c r="AV19" s="20">
        <v>226653</v>
      </c>
      <c r="AW19" s="20">
        <v>282727.09999999998</v>
      </c>
      <c r="AX19" s="20">
        <v>53825</v>
      </c>
      <c r="AY19" s="20">
        <v>38493</v>
      </c>
      <c r="AZ19" s="20">
        <v>15332</v>
      </c>
      <c r="BA19" s="20">
        <v>134549</v>
      </c>
      <c r="BB19" s="20">
        <v>58499</v>
      </c>
      <c r="BC19" s="20">
        <v>76050</v>
      </c>
      <c r="BD19" s="20">
        <v>321006.09999999998</v>
      </c>
      <c r="BE19" s="20">
        <v>129661</v>
      </c>
      <c r="BF19" s="20">
        <v>191345.1</v>
      </c>
    </row>
    <row r="20" spans="1:58" ht="21" customHeight="1">
      <c r="A20" s="53" t="s">
        <v>158</v>
      </c>
      <c r="B20" s="19" t="s">
        <v>13</v>
      </c>
      <c r="C20" s="20">
        <v>8</v>
      </c>
      <c r="D20" s="20">
        <v>305</v>
      </c>
      <c r="E20" s="20">
        <v>25</v>
      </c>
      <c r="F20" s="20">
        <v>280</v>
      </c>
      <c r="G20" s="20">
        <v>25</v>
      </c>
      <c r="H20" s="20">
        <v>278</v>
      </c>
      <c r="I20" s="20">
        <v>0</v>
      </c>
      <c r="J20" s="20">
        <v>2</v>
      </c>
      <c r="K20" s="20">
        <v>0</v>
      </c>
      <c r="L20" s="20">
        <v>0</v>
      </c>
      <c r="M20" s="20">
        <v>5</v>
      </c>
      <c r="N20" s="20">
        <v>53</v>
      </c>
      <c r="O20" s="20">
        <v>0</v>
      </c>
      <c r="P20" s="20">
        <v>0</v>
      </c>
      <c r="Q20" s="20">
        <v>4</v>
      </c>
      <c r="R20" s="20">
        <v>33</v>
      </c>
      <c r="S20" s="20">
        <v>1</v>
      </c>
      <c r="T20" s="20">
        <v>20</v>
      </c>
      <c r="U20" s="20">
        <v>7</v>
      </c>
      <c r="V20" s="20">
        <v>185</v>
      </c>
      <c r="W20" s="20">
        <v>2288</v>
      </c>
      <c r="X20" s="20">
        <v>839</v>
      </c>
      <c r="Y20" s="20">
        <v>1449</v>
      </c>
      <c r="Z20" s="20">
        <v>263</v>
      </c>
      <c r="AA20" s="20">
        <v>182</v>
      </c>
      <c r="AB20" s="20">
        <v>81</v>
      </c>
      <c r="AC20" s="20">
        <v>363</v>
      </c>
      <c r="AD20" s="20">
        <v>141</v>
      </c>
      <c r="AE20" s="20">
        <v>222</v>
      </c>
      <c r="AF20" s="20">
        <v>1662</v>
      </c>
      <c r="AG20" s="20">
        <v>516</v>
      </c>
      <c r="AH20" s="20">
        <v>1146</v>
      </c>
      <c r="AI20" s="20">
        <v>291246</v>
      </c>
      <c r="AJ20" s="20">
        <v>109047</v>
      </c>
      <c r="AK20" s="20">
        <v>182199</v>
      </c>
      <c r="AL20" s="20">
        <v>35093</v>
      </c>
      <c r="AM20" s="20">
        <v>23392</v>
      </c>
      <c r="AN20" s="20">
        <v>11701</v>
      </c>
      <c r="AO20" s="20">
        <v>53083</v>
      </c>
      <c r="AP20" s="20">
        <v>20354</v>
      </c>
      <c r="AQ20" s="20">
        <v>32729</v>
      </c>
      <c r="AR20" s="20">
        <v>203070</v>
      </c>
      <c r="AS20" s="20">
        <v>65301</v>
      </c>
      <c r="AT20" s="20">
        <v>137769</v>
      </c>
      <c r="AU20" s="20">
        <v>538399</v>
      </c>
      <c r="AV20" s="20">
        <v>201018</v>
      </c>
      <c r="AW20" s="20">
        <v>337381</v>
      </c>
      <c r="AX20" s="20">
        <v>64896</v>
      </c>
      <c r="AY20" s="20">
        <v>42886.5</v>
      </c>
      <c r="AZ20" s="20">
        <v>22009.5</v>
      </c>
      <c r="BA20" s="20">
        <v>102701</v>
      </c>
      <c r="BB20" s="20">
        <v>38945.5</v>
      </c>
      <c r="BC20" s="20">
        <v>63755.5</v>
      </c>
      <c r="BD20" s="20">
        <v>370802</v>
      </c>
      <c r="BE20" s="20">
        <v>119186</v>
      </c>
      <c r="BF20" s="20">
        <v>251616</v>
      </c>
    </row>
    <row r="21" spans="1:58" ht="21" customHeight="1">
      <c r="A21" s="53" t="s">
        <v>159</v>
      </c>
      <c r="B21" s="19" t="s">
        <v>14</v>
      </c>
      <c r="C21" s="20">
        <v>4</v>
      </c>
      <c r="D21" s="20">
        <v>262</v>
      </c>
      <c r="E21" s="20">
        <v>32</v>
      </c>
      <c r="F21" s="20">
        <v>230</v>
      </c>
      <c r="G21" s="20">
        <v>25</v>
      </c>
      <c r="H21" s="20">
        <v>169</v>
      </c>
      <c r="I21" s="20">
        <v>7</v>
      </c>
      <c r="J21" s="20">
        <v>54</v>
      </c>
      <c r="K21" s="20">
        <v>0</v>
      </c>
      <c r="L21" s="20">
        <v>7</v>
      </c>
      <c r="M21" s="20">
        <v>3</v>
      </c>
      <c r="N21" s="20">
        <v>50</v>
      </c>
      <c r="O21" s="20">
        <v>2</v>
      </c>
      <c r="P21" s="20">
        <v>32</v>
      </c>
      <c r="Q21" s="20">
        <v>1</v>
      </c>
      <c r="R21" s="20">
        <v>18</v>
      </c>
      <c r="S21" s="20">
        <v>0</v>
      </c>
      <c r="T21" s="20">
        <v>0</v>
      </c>
      <c r="U21" s="20">
        <v>12</v>
      </c>
      <c r="V21" s="20">
        <v>254</v>
      </c>
      <c r="W21" s="20">
        <v>1555</v>
      </c>
      <c r="X21" s="20">
        <v>608</v>
      </c>
      <c r="Y21" s="20">
        <v>947</v>
      </c>
      <c r="Z21" s="20">
        <v>386</v>
      </c>
      <c r="AA21" s="20">
        <v>181</v>
      </c>
      <c r="AB21" s="20">
        <v>205</v>
      </c>
      <c r="AC21" s="20">
        <v>201</v>
      </c>
      <c r="AD21" s="20">
        <v>99</v>
      </c>
      <c r="AE21" s="20">
        <v>102</v>
      </c>
      <c r="AF21" s="20">
        <v>968</v>
      </c>
      <c r="AG21" s="20">
        <v>328</v>
      </c>
      <c r="AH21" s="20">
        <v>640</v>
      </c>
      <c r="AI21" s="20">
        <v>300382</v>
      </c>
      <c r="AJ21" s="20">
        <v>121004</v>
      </c>
      <c r="AK21" s="20">
        <v>179378</v>
      </c>
      <c r="AL21" s="20">
        <v>88163</v>
      </c>
      <c r="AM21" s="20">
        <v>41851</v>
      </c>
      <c r="AN21" s="20">
        <v>46312</v>
      </c>
      <c r="AO21" s="20">
        <v>39274</v>
      </c>
      <c r="AP21" s="20">
        <v>17190</v>
      </c>
      <c r="AQ21" s="20">
        <v>22084</v>
      </c>
      <c r="AR21" s="20">
        <v>172945</v>
      </c>
      <c r="AS21" s="20">
        <v>61963</v>
      </c>
      <c r="AT21" s="20">
        <v>110982</v>
      </c>
      <c r="AU21" s="20">
        <v>424038</v>
      </c>
      <c r="AV21" s="20">
        <v>171570</v>
      </c>
      <c r="AW21" s="20">
        <v>252468</v>
      </c>
      <c r="AX21" s="20">
        <v>127876</v>
      </c>
      <c r="AY21" s="20">
        <v>60291</v>
      </c>
      <c r="AZ21" s="20">
        <v>67585</v>
      </c>
      <c r="BA21" s="20">
        <v>55473</v>
      </c>
      <c r="BB21" s="20">
        <v>24048.5</v>
      </c>
      <c r="BC21" s="20">
        <v>31424.5</v>
      </c>
      <c r="BD21" s="20">
        <v>240689</v>
      </c>
      <c r="BE21" s="20">
        <v>87230.5</v>
      </c>
      <c r="BF21" s="20">
        <v>153458.5</v>
      </c>
    </row>
    <row r="22" spans="1:58" ht="21" customHeight="1">
      <c r="A22" s="53" t="s">
        <v>160</v>
      </c>
      <c r="B22" s="19" t="s">
        <v>15</v>
      </c>
      <c r="C22" s="20">
        <v>12</v>
      </c>
      <c r="D22" s="20">
        <v>527</v>
      </c>
      <c r="E22" s="20">
        <v>28</v>
      </c>
      <c r="F22" s="20">
        <v>499</v>
      </c>
      <c r="G22" s="20">
        <v>21</v>
      </c>
      <c r="H22" s="20">
        <v>440</v>
      </c>
      <c r="I22" s="20">
        <v>7</v>
      </c>
      <c r="J22" s="20">
        <v>59</v>
      </c>
      <c r="K22" s="20">
        <v>0</v>
      </c>
      <c r="L22" s="20">
        <v>0</v>
      </c>
      <c r="M22" s="20">
        <v>2</v>
      </c>
      <c r="N22" s="20">
        <v>46</v>
      </c>
      <c r="O22" s="20">
        <v>1</v>
      </c>
      <c r="P22" s="20">
        <v>35</v>
      </c>
      <c r="Q22" s="20">
        <v>0</v>
      </c>
      <c r="R22" s="20">
        <v>0</v>
      </c>
      <c r="S22" s="20">
        <v>1</v>
      </c>
      <c r="T22" s="20">
        <v>11</v>
      </c>
      <c r="U22" s="20">
        <v>30</v>
      </c>
      <c r="V22" s="20">
        <v>1003</v>
      </c>
      <c r="W22" s="20">
        <v>3389</v>
      </c>
      <c r="X22" s="20">
        <v>1356</v>
      </c>
      <c r="Y22" s="20">
        <v>2033</v>
      </c>
      <c r="Z22" s="20">
        <v>684</v>
      </c>
      <c r="AA22" s="20">
        <v>358</v>
      </c>
      <c r="AB22" s="20">
        <v>326</v>
      </c>
      <c r="AC22" s="20">
        <v>612</v>
      </c>
      <c r="AD22" s="20">
        <v>271</v>
      </c>
      <c r="AE22" s="20">
        <v>341</v>
      </c>
      <c r="AF22" s="20">
        <v>2093</v>
      </c>
      <c r="AG22" s="20">
        <v>727</v>
      </c>
      <c r="AH22" s="20">
        <v>1366</v>
      </c>
      <c r="AI22" s="20">
        <v>437509</v>
      </c>
      <c r="AJ22" s="20">
        <v>179432</v>
      </c>
      <c r="AK22" s="20">
        <v>258077</v>
      </c>
      <c r="AL22" s="20">
        <v>96403</v>
      </c>
      <c r="AM22" s="20">
        <v>49301</v>
      </c>
      <c r="AN22" s="20">
        <v>47102</v>
      </c>
      <c r="AO22" s="20">
        <v>87571</v>
      </c>
      <c r="AP22" s="20">
        <v>39668</v>
      </c>
      <c r="AQ22" s="20">
        <v>47903</v>
      </c>
      <c r="AR22" s="20">
        <v>253535</v>
      </c>
      <c r="AS22" s="20">
        <v>90463</v>
      </c>
      <c r="AT22" s="20">
        <v>163072</v>
      </c>
      <c r="AU22" s="20">
        <v>790808.5</v>
      </c>
      <c r="AV22" s="20">
        <v>322152.5</v>
      </c>
      <c r="AW22" s="20">
        <v>468656</v>
      </c>
      <c r="AX22" s="20">
        <v>179284.5</v>
      </c>
      <c r="AY22" s="20">
        <v>94139</v>
      </c>
      <c r="AZ22" s="20">
        <v>85145.5</v>
      </c>
      <c r="BA22" s="20">
        <v>172326.5</v>
      </c>
      <c r="BB22" s="20">
        <v>74070</v>
      </c>
      <c r="BC22" s="20">
        <v>98256.5</v>
      </c>
      <c r="BD22" s="20">
        <v>439197.5</v>
      </c>
      <c r="BE22" s="20">
        <v>153943.5</v>
      </c>
      <c r="BF22" s="20">
        <v>285254</v>
      </c>
    </row>
    <row r="23" spans="1:58" ht="21" customHeight="1">
      <c r="A23" s="53" t="s">
        <v>161</v>
      </c>
      <c r="B23" s="19" t="s">
        <v>16</v>
      </c>
      <c r="C23" s="20">
        <v>3</v>
      </c>
      <c r="D23" s="20">
        <v>134</v>
      </c>
      <c r="E23" s="20">
        <v>6</v>
      </c>
      <c r="F23" s="20">
        <v>128</v>
      </c>
      <c r="G23" s="20">
        <v>6</v>
      </c>
      <c r="H23" s="20">
        <v>128</v>
      </c>
      <c r="I23" s="20">
        <v>0</v>
      </c>
      <c r="J23" s="20">
        <v>0</v>
      </c>
      <c r="K23" s="20">
        <v>0</v>
      </c>
      <c r="L23" s="20">
        <v>0</v>
      </c>
      <c r="M23" s="20">
        <v>2</v>
      </c>
      <c r="N23" s="20">
        <v>16</v>
      </c>
      <c r="O23" s="20">
        <v>2</v>
      </c>
      <c r="P23" s="20">
        <v>16</v>
      </c>
      <c r="Q23" s="20">
        <v>0</v>
      </c>
      <c r="R23" s="20">
        <v>0</v>
      </c>
      <c r="S23" s="20">
        <v>0</v>
      </c>
      <c r="T23" s="20">
        <v>0</v>
      </c>
      <c r="U23" s="20">
        <v>2</v>
      </c>
      <c r="V23" s="20">
        <v>40</v>
      </c>
      <c r="W23" s="20">
        <v>767</v>
      </c>
      <c r="X23" s="20">
        <v>367</v>
      </c>
      <c r="Y23" s="20">
        <v>400</v>
      </c>
      <c r="Z23" s="20">
        <v>250</v>
      </c>
      <c r="AA23" s="20">
        <v>163</v>
      </c>
      <c r="AB23" s="20">
        <v>87</v>
      </c>
      <c r="AC23" s="20">
        <v>135</v>
      </c>
      <c r="AD23" s="20">
        <v>73</v>
      </c>
      <c r="AE23" s="20">
        <v>62</v>
      </c>
      <c r="AF23" s="20">
        <v>382</v>
      </c>
      <c r="AG23" s="20">
        <v>131</v>
      </c>
      <c r="AH23" s="20">
        <v>251</v>
      </c>
      <c r="AI23" s="20">
        <v>104205</v>
      </c>
      <c r="AJ23" s="20">
        <v>52185</v>
      </c>
      <c r="AK23" s="20">
        <v>52020</v>
      </c>
      <c r="AL23" s="20">
        <v>37025</v>
      </c>
      <c r="AM23" s="20">
        <v>23865</v>
      </c>
      <c r="AN23" s="20">
        <v>13160</v>
      </c>
      <c r="AO23" s="20">
        <v>20381</v>
      </c>
      <c r="AP23" s="20">
        <v>10287</v>
      </c>
      <c r="AQ23" s="20">
        <v>10094</v>
      </c>
      <c r="AR23" s="20">
        <v>46799</v>
      </c>
      <c r="AS23" s="20">
        <v>18033</v>
      </c>
      <c r="AT23" s="20">
        <v>28766</v>
      </c>
      <c r="AU23" s="20">
        <v>183920.9</v>
      </c>
      <c r="AV23" s="20">
        <v>92765.5</v>
      </c>
      <c r="AW23" s="20">
        <v>91155.4</v>
      </c>
      <c r="AX23" s="20">
        <v>65031.5</v>
      </c>
      <c r="AY23" s="20">
        <v>40900.5</v>
      </c>
      <c r="AZ23" s="20">
        <v>24131</v>
      </c>
      <c r="BA23" s="20">
        <v>39038.5</v>
      </c>
      <c r="BB23" s="20">
        <v>19868</v>
      </c>
      <c r="BC23" s="20">
        <v>19170.5</v>
      </c>
      <c r="BD23" s="20">
        <v>79850.899999999994</v>
      </c>
      <c r="BE23" s="20">
        <v>31997</v>
      </c>
      <c r="BF23" s="20">
        <v>47853.9</v>
      </c>
    </row>
    <row r="24" spans="1:58" ht="21" customHeight="1">
      <c r="A24" s="53" t="s">
        <v>162</v>
      </c>
      <c r="B24" s="19" t="s">
        <v>17</v>
      </c>
      <c r="C24" s="20">
        <v>2</v>
      </c>
      <c r="D24" s="20">
        <v>128</v>
      </c>
      <c r="E24" s="20">
        <v>4</v>
      </c>
      <c r="F24" s="20">
        <v>124</v>
      </c>
      <c r="G24" s="20">
        <v>4</v>
      </c>
      <c r="H24" s="20">
        <v>124</v>
      </c>
      <c r="I24" s="20">
        <v>0</v>
      </c>
      <c r="J24" s="20">
        <v>0</v>
      </c>
      <c r="K24" s="20">
        <v>0</v>
      </c>
      <c r="L24" s="20">
        <v>0</v>
      </c>
      <c r="M24" s="20">
        <v>2</v>
      </c>
      <c r="N24" s="20">
        <v>18</v>
      </c>
      <c r="O24" s="20">
        <v>2</v>
      </c>
      <c r="P24" s="20">
        <v>18</v>
      </c>
      <c r="Q24" s="20">
        <v>0</v>
      </c>
      <c r="R24" s="20">
        <v>0</v>
      </c>
      <c r="S24" s="20">
        <v>0</v>
      </c>
      <c r="T24" s="20">
        <v>0</v>
      </c>
      <c r="U24" s="20">
        <v>11</v>
      </c>
      <c r="V24" s="20">
        <v>158</v>
      </c>
      <c r="W24" s="20">
        <v>1005</v>
      </c>
      <c r="X24" s="20">
        <v>477</v>
      </c>
      <c r="Y24" s="20">
        <v>528</v>
      </c>
      <c r="Z24" s="20">
        <v>275</v>
      </c>
      <c r="AA24" s="20">
        <v>171</v>
      </c>
      <c r="AB24" s="20">
        <v>104</v>
      </c>
      <c r="AC24" s="20">
        <v>167</v>
      </c>
      <c r="AD24" s="20">
        <v>94</v>
      </c>
      <c r="AE24" s="20">
        <v>73</v>
      </c>
      <c r="AF24" s="20">
        <v>563</v>
      </c>
      <c r="AG24" s="20">
        <v>212</v>
      </c>
      <c r="AH24" s="20">
        <v>351</v>
      </c>
      <c r="AI24" s="20">
        <v>127875</v>
      </c>
      <c r="AJ24" s="20">
        <v>64000</v>
      </c>
      <c r="AK24" s="20">
        <v>63875</v>
      </c>
      <c r="AL24" s="20">
        <v>39887</v>
      </c>
      <c r="AM24" s="20">
        <v>24272</v>
      </c>
      <c r="AN24" s="20">
        <v>15615</v>
      </c>
      <c r="AO24" s="20">
        <v>20059</v>
      </c>
      <c r="AP24" s="20">
        <v>11131</v>
      </c>
      <c r="AQ24" s="20">
        <v>8928</v>
      </c>
      <c r="AR24" s="20">
        <v>67929</v>
      </c>
      <c r="AS24" s="20">
        <v>28597</v>
      </c>
      <c r="AT24" s="20">
        <v>39332</v>
      </c>
      <c r="AU24" s="20">
        <v>239992.5</v>
      </c>
      <c r="AV24" s="20">
        <v>120134.5</v>
      </c>
      <c r="AW24" s="20">
        <v>119858</v>
      </c>
      <c r="AX24" s="20">
        <v>73516</v>
      </c>
      <c r="AY24" s="20">
        <v>44126</v>
      </c>
      <c r="AZ24" s="20">
        <v>29390</v>
      </c>
      <c r="BA24" s="20">
        <v>37353.5</v>
      </c>
      <c r="BB24" s="20">
        <v>20857</v>
      </c>
      <c r="BC24" s="20">
        <v>16496.5</v>
      </c>
      <c r="BD24" s="20">
        <v>129123</v>
      </c>
      <c r="BE24" s="20">
        <v>55151.5</v>
      </c>
      <c r="BF24" s="20">
        <v>73971.5</v>
      </c>
    </row>
    <row r="25" spans="1:58" ht="21" customHeight="1">
      <c r="A25" s="53" t="s">
        <v>163</v>
      </c>
      <c r="B25" s="19" t="s">
        <v>18</v>
      </c>
      <c r="C25" s="20">
        <v>1</v>
      </c>
      <c r="D25" s="20">
        <v>53</v>
      </c>
      <c r="E25" s="20">
        <v>3</v>
      </c>
      <c r="F25" s="20">
        <v>50</v>
      </c>
      <c r="G25" s="20">
        <v>0</v>
      </c>
      <c r="H25" s="20">
        <v>0</v>
      </c>
      <c r="I25" s="20">
        <v>3</v>
      </c>
      <c r="J25" s="20">
        <v>50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3</v>
      </c>
      <c r="V25" s="20">
        <v>200</v>
      </c>
      <c r="W25" s="20">
        <v>411</v>
      </c>
      <c r="X25" s="20">
        <v>173</v>
      </c>
      <c r="Y25" s="20">
        <v>238</v>
      </c>
      <c r="Z25" s="20">
        <v>159</v>
      </c>
      <c r="AA25" s="20">
        <v>82</v>
      </c>
      <c r="AB25" s="20">
        <v>77</v>
      </c>
      <c r="AC25" s="20">
        <v>23</v>
      </c>
      <c r="AD25" s="20">
        <v>12</v>
      </c>
      <c r="AE25" s="20">
        <v>11</v>
      </c>
      <c r="AF25" s="20">
        <v>229</v>
      </c>
      <c r="AG25" s="20">
        <v>79</v>
      </c>
      <c r="AH25" s="20">
        <v>150</v>
      </c>
      <c r="AI25" s="20">
        <v>61166</v>
      </c>
      <c r="AJ25" s="20">
        <v>26862</v>
      </c>
      <c r="AK25" s="20">
        <v>34304</v>
      </c>
      <c r="AL25" s="20">
        <v>23752</v>
      </c>
      <c r="AM25" s="20">
        <v>12703</v>
      </c>
      <c r="AN25" s="20">
        <v>11049</v>
      </c>
      <c r="AO25" s="20">
        <v>10833</v>
      </c>
      <c r="AP25" s="20">
        <v>4734</v>
      </c>
      <c r="AQ25" s="20">
        <v>6099</v>
      </c>
      <c r="AR25" s="20">
        <v>26581</v>
      </c>
      <c r="AS25" s="20">
        <v>9425</v>
      </c>
      <c r="AT25" s="20">
        <v>17156</v>
      </c>
      <c r="AU25" s="20">
        <v>63686</v>
      </c>
      <c r="AV25" s="20">
        <v>28344</v>
      </c>
      <c r="AW25" s="20">
        <v>35342</v>
      </c>
      <c r="AX25" s="20">
        <v>24187</v>
      </c>
      <c r="AY25" s="20">
        <v>13111.5</v>
      </c>
      <c r="AZ25" s="20">
        <v>11075.5</v>
      </c>
      <c r="BA25" s="20">
        <v>11342</v>
      </c>
      <c r="BB25" s="20">
        <v>4859</v>
      </c>
      <c r="BC25" s="20">
        <v>6483</v>
      </c>
      <c r="BD25" s="20">
        <v>28157</v>
      </c>
      <c r="BE25" s="20">
        <v>10373.5</v>
      </c>
      <c r="BF25" s="20">
        <v>17783.5</v>
      </c>
    </row>
    <row r="26" spans="1:58" ht="21" customHeight="1">
      <c r="A26" s="53" t="s">
        <v>164</v>
      </c>
      <c r="B26" s="19" t="s">
        <v>19</v>
      </c>
      <c r="C26" s="20">
        <v>2</v>
      </c>
      <c r="D26" s="20">
        <v>77</v>
      </c>
      <c r="E26" s="20">
        <v>6</v>
      </c>
      <c r="F26" s="20">
        <v>71</v>
      </c>
      <c r="G26" s="20">
        <v>6</v>
      </c>
      <c r="H26" s="20">
        <v>71</v>
      </c>
      <c r="I26" s="20">
        <v>0</v>
      </c>
      <c r="J26" s="20">
        <v>0</v>
      </c>
      <c r="K26" s="20">
        <v>0</v>
      </c>
      <c r="L26" s="20">
        <v>0</v>
      </c>
      <c r="M26" s="20">
        <v>25</v>
      </c>
      <c r="N26" s="20">
        <v>60</v>
      </c>
      <c r="O26" s="20">
        <v>0</v>
      </c>
      <c r="P26" s="20">
        <v>0</v>
      </c>
      <c r="Q26" s="20">
        <v>19</v>
      </c>
      <c r="R26" s="20">
        <v>48</v>
      </c>
      <c r="S26" s="20">
        <v>6</v>
      </c>
      <c r="T26" s="20">
        <v>12</v>
      </c>
      <c r="U26" s="20">
        <v>30</v>
      </c>
      <c r="V26" s="20">
        <v>554</v>
      </c>
      <c r="W26" s="20">
        <v>363</v>
      </c>
      <c r="X26" s="20">
        <v>154</v>
      </c>
      <c r="Y26" s="20">
        <v>209</v>
      </c>
      <c r="Z26" s="20">
        <v>98</v>
      </c>
      <c r="AA26" s="20">
        <v>48</v>
      </c>
      <c r="AB26" s="20">
        <v>50</v>
      </c>
      <c r="AC26" s="20">
        <v>54</v>
      </c>
      <c r="AD26" s="20">
        <v>25</v>
      </c>
      <c r="AE26" s="20">
        <v>29</v>
      </c>
      <c r="AF26" s="20">
        <v>211</v>
      </c>
      <c r="AG26" s="20">
        <v>81</v>
      </c>
      <c r="AH26" s="20">
        <v>130</v>
      </c>
      <c r="AI26" s="20">
        <v>52216</v>
      </c>
      <c r="AJ26" s="20">
        <v>21394</v>
      </c>
      <c r="AK26" s="20">
        <v>30822</v>
      </c>
      <c r="AL26" s="20">
        <v>17474</v>
      </c>
      <c r="AM26" s="20">
        <v>8460</v>
      </c>
      <c r="AN26" s="20">
        <v>9014</v>
      </c>
      <c r="AO26" s="20">
        <v>8632</v>
      </c>
      <c r="AP26" s="20">
        <v>3901</v>
      </c>
      <c r="AQ26" s="20">
        <v>4731</v>
      </c>
      <c r="AR26" s="20">
        <v>26110</v>
      </c>
      <c r="AS26" s="20">
        <v>9033</v>
      </c>
      <c r="AT26" s="20">
        <v>17077</v>
      </c>
      <c r="AU26" s="20">
        <v>113270.5</v>
      </c>
      <c r="AV26" s="20">
        <v>47094</v>
      </c>
      <c r="AW26" s="20">
        <v>66176.5</v>
      </c>
      <c r="AX26" s="20">
        <v>39907</v>
      </c>
      <c r="AY26" s="20">
        <v>19090.5</v>
      </c>
      <c r="AZ26" s="20">
        <v>20816.5</v>
      </c>
      <c r="BA26" s="20">
        <v>18746.5</v>
      </c>
      <c r="BB26" s="20">
        <v>8924.5</v>
      </c>
      <c r="BC26" s="20">
        <v>9822</v>
      </c>
      <c r="BD26" s="20">
        <v>54617</v>
      </c>
      <c r="BE26" s="20">
        <v>19079</v>
      </c>
      <c r="BF26" s="20">
        <v>35538</v>
      </c>
    </row>
    <row r="27" spans="1:58" ht="21" customHeight="1">
      <c r="A27" s="53" t="s">
        <v>165</v>
      </c>
      <c r="B27" s="19" t="s">
        <v>20</v>
      </c>
      <c r="C27" s="20">
        <v>3</v>
      </c>
      <c r="D27" s="20">
        <v>67</v>
      </c>
      <c r="E27" s="20">
        <v>10</v>
      </c>
      <c r="F27" s="20">
        <v>57</v>
      </c>
      <c r="G27" s="20">
        <v>9</v>
      </c>
      <c r="H27" s="20">
        <v>54</v>
      </c>
      <c r="I27" s="20">
        <v>1</v>
      </c>
      <c r="J27" s="20">
        <v>3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337</v>
      </c>
      <c r="X27" s="20">
        <v>139</v>
      </c>
      <c r="Y27" s="20">
        <v>198</v>
      </c>
      <c r="Z27" s="20">
        <v>66</v>
      </c>
      <c r="AA27" s="20">
        <v>29</v>
      </c>
      <c r="AB27" s="20">
        <v>37</v>
      </c>
      <c r="AC27" s="20">
        <v>64</v>
      </c>
      <c r="AD27" s="20">
        <v>33</v>
      </c>
      <c r="AE27" s="20">
        <v>31</v>
      </c>
      <c r="AF27" s="20">
        <v>207</v>
      </c>
      <c r="AG27" s="20">
        <v>77</v>
      </c>
      <c r="AH27" s="20">
        <v>130</v>
      </c>
      <c r="AI27" s="20">
        <v>51424</v>
      </c>
      <c r="AJ27" s="20">
        <v>23153</v>
      </c>
      <c r="AK27" s="20">
        <v>28271</v>
      </c>
      <c r="AL27" s="20">
        <v>11534</v>
      </c>
      <c r="AM27" s="20">
        <v>6130</v>
      </c>
      <c r="AN27" s="20">
        <v>5404</v>
      </c>
      <c r="AO27" s="20">
        <v>8699</v>
      </c>
      <c r="AP27" s="20">
        <v>4986</v>
      </c>
      <c r="AQ27" s="20">
        <v>3713</v>
      </c>
      <c r="AR27" s="20">
        <v>31191</v>
      </c>
      <c r="AS27" s="20">
        <v>12037</v>
      </c>
      <c r="AT27" s="20">
        <v>19154</v>
      </c>
      <c r="AU27" s="20">
        <v>92105.8</v>
      </c>
      <c r="AV27" s="20">
        <v>42668</v>
      </c>
      <c r="AW27" s="20">
        <v>49437.8</v>
      </c>
      <c r="AX27" s="20">
        <v>22190.5</v>
      </c>
      <c r="AY27" s="20">
        <v>12357</v>
      </c>
      <c r="AZ27" s="20">
        <v>9833.5</v>
      </c>
      <c r="BA27" s="20">
        <v>15992.8</v>
      </c>
      <c r="BB27" s="20">
        <v>9909</v>
      </c>
      <c r="BC27" s="20">
        <v>6083.8</v>
      </c>
      <c r="BD27" s="20">
        <v>53922.5</v>
      </c>
      <c r="BE27" s="20">
        <v>20402</v>
      </c>
      <c r="BF27" s="20">
        <v>33520.5</v>
      </c>
    </row>
    <row r="28" spans="1:58" ht="21" customHeight="1">
      <c r="A28" s="53" t="s">
        <v>166</v>
      </c>
      <c r="B28" s="19" t="s">
        <v>21</v>
      </c>
      <c r="C28" s="20">
        <v>3</v>
      </c>
      <c r="D28" s="20">
        <v>76</v>
      </c>
      <c r="E28" s="20">
        <v>7</v>
      </c>
      <c r="F28" s="20">
        <v>69</v>
      </c>
      <c r="G28" s="20">
        <v>7</v>
      </c>
      <c r="H28" s="20">
        <v>69</v>
      </c>
      <c r="I28" s="20">
        <v>0</v>
      </c>
      <c r="J28" s="20">
        <v>0</v>
      </c>
      <c r="K28" s="20">
        <v>0</v>
      </c>
      <c r="L28" s="20">
        <v>0</v>
      </c>
      <c r="M28" s="20">
        <v>5</v>
      </c>
      <c r="N28" s="20">
        <v>11</v>
      </c>
      <c r="O28" s="20">
        <v>2</v>
      </c>
      <c r="P28" s="20">
        <v>6</v>
      </c>
      <c r="Q28" s="20">
        <v>0</v>
      </c>
      <c r="R28" s="20">
        <v>0</v>
      </c>
      <c r="S28" s="20">
        <v>3</v>
      </c>
      <c r="T28" s="20">
        <v>5</v>
      </c>
      <c r="U28" s="20">
        <v>47</v>
      </c>
      <c r="V28" s="20">
        <v>2380</v>
      </c>
      <c r="W28" s="20">
        <v>434</v>
      </c>
      <c r="X28" s="20">
        <v>184</v>
      </c>
      <c r="Y28" s="20">
        <v>250</v>
      </c>
      <c r="Z28" s="20">
        <v>113</v>
      </c>
      <c r="AA28" s="20">
        <v>52</v>
      </c>
      <c r="AB28" s="20">
        <v>61</v>
      </c>
      <c r="AC28" s="20">
        <v>32</v>
      </c>
      <c r="AD28" s="20">
        <v>13</v>
      </c>
      <c r="AE28" s="20">
        <v>19</v>
      </c>
      <c r="AF28" s="20">
        <v>289</v>
      </c>
      <c r="AG28" s="20">
        <v>119</v>
      </c>
      <c r="AH28" s="20">
        <v>170</v>
      </c>
      <c r="AI28" s="20">
        <v>84557</v>
      </c>
      <c r="AJ28" s="20">
        <v>34849</v>
      </c>
      <c r="AK28" s="20">
        <v>49708</v>
      </c>
      <c r="AL28" s="20">
        <v>22797</v>
      </c>
      <c r="AM28" s="20">
        <v>9683</v>
      </c>
      <c r="AN28" s="20">
        <v>13114</v>
      </c>
      <c r="AO28" s="20">
        <v>5691</v>
      </c>
      <c r="AP28" s="20">
        <v>2356</v>
      </c>
      <c r="AQ28" s="20">
        <v>3335</v>
      </c>
      <c r="AR28" s="20">
        <v>56069</v>
      </c>
      <c r="AS28" s="20">
        <v>22810</v>
      </c>
      <c r="AT28" s="20">
        <v>33259</v>
      </c>
      <c r="AU28" s="20">
        <v>113401</v>
      </c>
      <c r="AV28" s="20">
        <v>46007.5</v>
      </c>
      <c r="AW28" s="20">
        <v>67393.5</v>
      </c>
      <c r="AX28" s="20">
        <v>31092.5</v>
      </c>
      <c r="AY28" s="20">
        <v>12615.5</v>
      </c>
      <c r="AZ28" s="20">
        <v>18477</v>
      </c>
      <c r="BA28" s="20">
        <v>8192.5</v>
      </c>
      <c r="BB28" s="20">
        <v>3058</v>
      </c>
      <c r="BC28" s="20">
        <v>5134.5</v>
      </c>
      <c r="BD28" s="20">
        <v>74116</v>
      </c>
      <c r="BE28" s="20">
        <v>30334</v>
      </c>
      <c r="BF28" s="20">
        <v>43782</v>
      </c>
    </row>
    <row r="29" spans="1:58" ht="16.5" customHeight="1">
      <c r="A29" s="53" t="s">
        <v>167</v>
      </c>
      <c r="B29" s="19" t="s">
        <v>22</v>
      </c>
      <c r="C29" s="20">
        <v>1</v>
      </c>
      <c r="D29" s="20">
        <v>62</v>
      </c>
      <c r="E29" s="20">
        <v>5</v>
      </c>
      <c r="F29" s="20">
        <v>57</v>
      </c>
      <c r="G29" s="20">
        <v>5</v>
      </c>
      <c r="H29" s="20">
        <v>57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2</v>
      </c>
      <c r="V29" s="20">
        <v>101</v>
      </c>
      <c r="W29" s="20">
        <v>213</v>
      </c>
      <c r="X29" s="20">
        <v>86</v>
      </c>
      <c r="Y29" s="20">
        <v>127</v>
      </c>
      <c r="Z29" s="20">
        <v>4</v>
      </c>
      <c r="AA29" s="20">
        <v>3</v>
      </c>
      <c r="AB29" s="20">
        <v>1</v>
      </c>
      <c r="AC29" s="20">
        <v>3</v>
      </c>
      <c r="AD29" s="20">
        <v>1</v>
      </c>
      <c r="AE29" s="20">
        <v>2</v>
      </c>
      <c r="AF29" s="20">
        <v>206</v>
      </c>
      <c r="AG29" s="20">
        <v>82</v>
      </c>
      <c r="AH29" s="20">
        <v>124</v>
      </c>
      <c r="AI29" s="20">
        <v>42442</v>
      </c>
      <c r="AJ29" s="20">
        <v>18360</v>
      </c>
      <c r="AK29" s="20">
        <v>24082</v>
      </c>
      <c r="AL29" s="20">
        <v>1740</v>
      </c>
      <c r="AM29" s="20">
        <v>1196</v>
      </c>
      <c r="AN29" s="20">
        <v>544</v>
      </c>
      <c r="AO29" s="20">
        <v>1014</v>
      </c>
      <c r="AP29" s="20">
        <v>694</v>
      </c>
      <c r="AQ29" s="20">
        <v>320</v>
      </c>
      <c r="AR29" s="20">
        <v>39688</v>
      </c>
      <c r="AS29" s="20">
        <v>16470</v>
      </c>
      <c r="AT29" s="20">
        <v>23218</v>
      </c>
      <c r="AU29" s="20">
        <v>93381</v>
      </c>
      <c r="AV29" s="20">
        <v>40925</v>
      </c>
      <c r="AW29" s="20">
        <v>52456</v>
      </c>
      <c r="AX29" s="20">
        <v>4045</v>
      </c>
      <c r="AY29" s="20">
        <v>2599</v>
      </c>
      <c r="AZ29" s="20">
        <v>1446</v>
      </c>
      <c r="BA29" s="20">
        <v>2924</v>
      </c>
      <c r="BB29" s="20">
        <v>2060</v>
      </c>
      <c r="BC29" s="20">
        <v>864</v>
      </c>
      <c r="BD29" s="20">
        <v>86412</v>
      </c>
      <c r="BE29" s="20">
        <v>36266</v>
      </c>
      <c r="BF29" s="20">
        <v>50146</v>
      </c>
    </row>
    <row r="30" spans="1:58" ht="21" customHeight="1">
      <c r="A30" s="54" t="s">
        <v>168</v>
      </c>
      <c r="B30" s="21" t="s">
        <v>23</v>
      </c>
      <c r="C30" s="22">
        <v>1</v>
      </c>
      <c r="D30" s="22">
        <v>12</v>
      </c>
      <c r="E30" s="22">
        <v>0</v>
      </c>
      <c r="F30" s="22">
        <v>12</v>
      </c>
      <c r="G30" s="22">
        <v>0</v>
      </c>
      <c r="H30" s="22">
        <v>3</v>
      </c>
      <c r="I30" s="22">
        <v>0</v>
      </c>
      <c r="J30" s="22">
        <v>9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25</v>
      </c>
      <c r="X30" s="22">
        <v>8</v>
      </c>
      <c r="Y30" s="22">
        <v>17</v>
      </c>
      <c r="Z30" s="22">
        <v>4</v>
      </c>
      <c r="AA30" s="22">
        <v>3</v>
      </c>
      <c r="AB30" s="22">
        <v>1</v>
      </c>
      <c r="AC30" s="22">
        <v>2</v>
      </c>
      <c r="AD30" s="22">
        <v>2</v>
      </c>
      <c r="AE30" s="22">
        <v>0</v>
      </c>
      <c r="AF30" s="22">
        <v>19</v>
      </c>
      <c r="AG30" s="22">
        <v>3</v>
      </c>
      <c r="AH30" s="22">
        <v>16</v>
      </c>
      <c r="AI30" s="22">
        <v>6105</v>
      </c>
      <c r="AJ30" s="22">
        <v>1931</v>
      </c>
      <c r="AK30" s="22">
        <v>4174</v>
      </c>
      <c r="AL30" s="22">
        <v>631</v>
      </c>
      <c r="AM30" s="22">
        <v>595</v>
      </c>
      <c r="AN30" s="22">
        <v>36</v>
      </c>
      <c r="AO30" s="22">
        <v>592</v>
      </c>
      <c r="AP30" s="22">
        <v>592</v>
      </c>
      <c r="AQ30" s="22">
        <v>0</v>
      </c>
      <c r="AR30" s="22">
        <v>4882</v>
      </c>
      <c r="AS30" s="22">
        <v>744</v>
      </c>
      <c r="AT30" s="22">
        <v>4138</v>
      </c>
      <c r="AU30" s="22">
        <v>12358</v>
      </c>
      <c r="AV30" s="22">
        <v>4147</v>
      </c>
      <c r="AW30" s="22">
        <v>8211</v>
      </c>
      <c r="AX30" s="22">
        <v>1850</v>
      </c>
      <c r="AY30" s="22">
        <v>1754</v>
      </c>
      <c r="AZ30" s="22">
        <v>96</v>
      </c>
      <c r="BA30" s="22">
        <v>906</v>
      </c>
      <c r="BB30" s="22">
        <v>906</v>
      </c>
      <c r="BC30" s="22">
        <v>0</v>
      </c>
      <c r="BD30" s="22">
        <v>9602</v>
      </c>
      <c r="BE30" s="22">
        <v>1487</v>
      </c>
      <c r="BF30" s="22">
        <v>8115</v>
      </c>
    </row>
    <row r="31" spans="1:58" ht="21" customHeight="1">
      <c r="A31" s="14" t="s">
        <v>77</v>
      </c>
      <c r="B31" s="24"/>
    </row>
    <row r="32" spans="1:58" ht="21" customHeight="1">
      <c r="A32" s="15" t="s">
        <v>2</v>
      </c>
      <c r="B32" s="15"/>
    </row>
    <row r="33" ht="21" customHeight="1"/>
    <row r="34" ht="21" customHeight="1"/>
    <row r="35" ht="21" customHeight="1"/>
    <row r="36" ht="21" customHeight="1"/>
    <row r="37" ht="21" customHeight="1"/>
  </sheetData>
  <mergeCells count="73">
    <mergeCell ref="AU4:BF4"/>
    <mergeCell ref="AL5:AN5"/>
    <mergeCell ref="W6:W7"/>
    <mergeCell ref="X6:X7"/>
    <mergeCell ref="A2:C2"/>
    <mergeCell ref="C3:C7"/>
    <mergeCell ref="M3:V3"/>
    <mergeCell ref="W3:BF3"/>
    <mergeCell ref="M4:T4"/>
    <mergeCell ref="U4:V4"/>
    <mergeCell ref="AX5:AZ5"/>
    <mergeCell ref="BA5:BC5"/>
    <mergeCell ref="BD5:BF5"/>
    <mergeCell ref="Z5:AB5"/>
    <mergeCell ref="AC5:AE5"/>
    <mergeCell ref="AF5:AH5"/>
    <mergeCell ref="AO5:AQ5"/>
    <mergeCell ref="AR5:AT5"/>
    <mergeCell ref="BF6:BF7"/>
    <mergeCell ref="BA6:BA7"/>
    <mergeCell ref="AT6:AT7"/>
    <mergeCell ref="AU6:AU7"/>
    <mergeCell ref="AW6:AW7"/>
    <mergeCell ref="AX6:AX7"/>
    <mergeCell ref="AY6:AY7"/>
    <mergeCell ref="AV6:AV7"/>
    <mergeCell ref="BB6:BB7"/>
    <mergeCell ref="BC6:BC7"/>
    <mergeCell ref="BD6:BD7"/>
    <mergeCell ref="BE6:BE7"/>
    <mergeCell ref="AZ6:AZ7"/>
    <mergeCell ref="AJ6:AJ7"/>
    <mergeCell ref="AK6:AK7"/>
    <mergeCell ref="AS6:AS7"/>
    <mergeCell ref="AL6:AL7"/>
    <mergeCell ref="AM6:AM7"/>
    <mergeCell ref="AN6:AN7"/>
    <mergeCell ref="AO6:AO7"/>
    <mergeCell ref="AE6:AE7"/>
    <mergeCell ref="AF6:AF7"/>
    <mergeCell ref="AG6:AG7"/>
    <mergeCell ref="AH6:AH7"/>
    <mergeCell ref="AA6:AA7"/>
    <mergeCell ref="AB6:AB7"/>
    <mergeCell ref="AC6:AC7"/>
    <mergeCell ref="AD6:AD7"/>
    <mergeCell ref="AI6:AI7"/>
    <mergeCell ref="AP6:AP7"/>
    <mergeCell ref="AQ6:AQ7"/>
    <mergeCell ref="AR6:AR7"/>
    <mergeCell ref="A3:B7"/>
    <mergeCell ref="G5:H5"/>
    <mergeCell ref="W4:AH4"/>
    <mergeCell ref="AI4:AT4"/>
    <mergeCell ref="M5:N5"/>
    <mergeCell ref="O5:P5"/>
    <mergeCell ref="Q5:R5"/>
    <mergeCell ref="S5:T5"/>
    <mergeCell ref="U5:U7"/>
    <mergeCell ref="V5:V7"/>
    <mergeCell ref="Y6:Y7"/>
    <mergeCell ref="Z6:Z7"/>
    <mergeCell ref="I5:J5"/>
    <mergeCell ref="K5:L5"/>
    <mergeCell ref="D6:D7"/>
    <mergeCell ref="E6:E7"/>
    <mergeCell ref="F6:F7"/>
    <mergeCell ref="G6:G7"/>
    <mergeCell ref="H6:H7"/>
    <mergeCell ref="I6:I7"/>
    <mergeCell ref="J6:J7"/>
    <mergeCell ref="K6:K7"/>
    <mergeCell ref="L6:L7"/>
  </mergeCells>
  <phoneticPr fontId="6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  <pageSetUpPr fitToPage="1"/>
  </sheetPr>
  <dimension ref="A1:CK37"/>
  <sheetViews>
    <sheetView zoomScaleNormal="100" zoomScaleSheetLayoutView="75" workbookViewId="0">
      <pane xSplit="2" ySplit="7" topLeftCell="C17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0" style="3" customWidth="1"/>
    <col min="2" max="2" width="20" style="3" customWidth="1"/>
    <col min="3" max="12" width="10.83203125" style="3" customWidth="1"/>
    <col min="13" max="58" width="14.1640625" style="3" customWidth="1"/>
    <col min="59" max="16384" width="12" style="3"/>
  </cols>
  <sheetData>
    <row r="1" spans="1:89" ht="21">
      <c r="A1" s="1" t="s">
        <v>50</v>
      </c>
      <c r="B1" s="25"/>
    </row>
    <row r="2" spans="1:89" ht="25.5" customHeight="1">
      <c r="A2" s="404" t="s">
        <v>114</v>
      </c>
      <c r="B2" s="404"/>
      <c r="C2" s="404"/>
    </row>
    <row r="3" spans="1:89" ht="16.5" customHeight="1">
      <c r="A3" s="329" t="s">
        <v>78</v>
      </c>
      <c r="B3" s="301"/>
      <c r="C3" s="314" t="s">
        <v>51</v>
      </c>
      <c r="D3" s="17" t="s">
        <v>79</v>
      </c>
      <c r="E3" s="17"/>
      <c r="F3" s="17"/>
      <c r="G3" s="17"/>
      <c r="H3" s="17"/>
      <c r="I3" s="17"/>
      <c r="J3" s="17"/>
      <c r="K3" s="17"/>
      <c r="L3" s="17"/>
      <c r="M3" s="332" t="s">
        <v>52</v>
      </c>
      <c r="N3" s="304"/>
      <c r="O3" s="304"/>
      <c r="P3" s="304"/>
      <c r="Q3" s="304"/>
      <c r="R3" s="304"/>
      <c r="S3" s="304"/>
      <c r="T3" s="304"/>
      <c r="U3" s="304"/>
      <c r="V3" s="340"/>
      <c r="W3" s="344" t="s">
        <v>53</v>
      </c>
      <c r="X3" s="344"/>
      <c r="Y3" s="344"/>
      <c r="Z3" s="344"/>
      <c r="AA3" s="344"/>
      <c r="AB3" s="344"/>
      <c r="AC3" s="344"/>
      <c r="AD3" s="344"/>
      <c r="AE3" s="344"/>
      <c r="AF3" s="344"/>
      <c r="AG3" s="344"/>
      <c r="AH3" s="344"/>
      <c r="AI3" s="344"/>
      <c r="AJ3" s="344"/>
      <c r="AK3" s="344"/>
      <c r="AL3" s="344"/>
      <c r="AM3" s="344"/>
      <c r="AN3" s="344"/>
      <c r="AO3" s="344"/>
      <c r="AP3" s="344"/>
      <c r="AQ3" s="344"/>
      <c r="AR3" s="344"/>
      <c r="AS3" s="344"/>
      <c r="AT3" s="344"/>
      <c r="AU3" s="344"/>
      <c r="AV3" s="344"/>
      <c r="AW3" s="344"/>
      <c r="AX3" s="344"/>
      <c r="AY3" s="344"/>
      <c r="AZ3" s="344"/>
      <c r="BA3" s="344"/>
      <c r="BB3" s="344"/>
      <c r="BC3" s="344"/>
      <c r="BD3" s="344"/>
      <c r="BE3" s="344"/>
      <c r="BF3" s="332"/>
    </row>
    <row r="4" spans="1:89" s="4" customFormat="1" ht="16.5" customHeight="1">
      <c r="A4" s="364"/>
      <c r="B4" s="302"/>
      <c r="C4" s="402"/>
      <c r="D4" s="17" t="s">
        <v>80</v>
      </c>
      <c r="E4" s="17"/>
      <c r="F4" s="17"/>
      <c r="G4" s="17"/>
      <c r="H4" s="17"/>
      <c r="I4" s="17"/>
      <c r="J4" s="17"/>
      <c r="K4" s="17"/>
      <c r="L4" s="17"/>
      <c r="M4" s="332" t="s">
        <v>54</v>
      </c>
      <c r="N4" s="304"/>
      <c r="O4" s="304"/>
      <c r="P4" s="304"/>
      <c r="Q4" s="304"/>
      <c r="R4" s="304"/>
      <c r="S4" s="304"/>
      <c r="T4" s="340"/>
      <c r="U4" s="324" t="s">
        <v>55</v>
      </c>
      <c r="V4" s="315"/>
      <c r="W4" s="344" t="s">
        <v>81</v>
      </c>
      <c r="X4" s="344"/>
      <c r="Y4" s="344"/>
      <c r="Z4" s="344"/>
      <c r="AA4" s="344"/>
      <c r="AB4" s="344"/>
      <c r="AC4" s="344"/>
      <c r="AD4" s="344"/>
      <c r="AE4" s="344"/>
      <c r="AF4" s="344"/>
      <c r="AG4" s="344"/>
      <c r="AH4" s="344"/>
      <c r="AI4" s="344" t="s">
        <v>57</v>
      </c>
      <c r="AJ4" s="344"/>
      <c r="AK4" s="344"/>
      <c r="AL4" s="344"/>
      <c r="AM4" s="344"/>
      <c r="AN4" s="344"/>
      <c r="AO4" s="344"/>
      <c r="AP4" s="344"/>
      <c r="AQ4" s="344"/>
      <c r="AR4" s="344"/>
      <c r="AS4" s="344"/>
      <c r="AT4" s="344"/>
      <c r="AU4" s="344" t="s">
        <v>58</v>
      </c>
      <c r="AV4" s="344"/>
      <c r="AW4" s="344"/>
      <c r="AX4" s="344"/>
      <c r="AY4" s="344"/>
      <c r="AZ4" s="344"/>
      <c r="BA4" s="344"/>
      <c r="BB4" s="344"/>
      <c r="BC4" s="344"/>
      <c r="BD4" s="344"/>
      <c r="BE4" s="344"/>
      <c r="BF4" s="332"/>
    </row>
    <row r="5" spans="1:89" s="9" customFormat="1" ht="30" customHeight="1">
      <c r="A5" s="364"/>
      <c r="B5" s="302"/>
      <c r="C5" s="402"/>
      <c r="D5" s="5" t="s">
        <v>59</v>
      </c>
      <c r="E5" s="6"/>
      <c r="F5" s="7"/>
      <c r="G5" s="311" t="s">
        <v>60</v>
      </c>
      <c r="H5" s="340"/>
      <c r="I5" s="311" t="s">
        <v>61</v>
      </c>
      <c r="J5" s="340"/>
      <c r="K5" s="311" t="s">
        <v>62</v>
      </c>
      <c r="L5" s="340"/>
      <c r="M5" s="311" t="s">
        <v>63</v>
      </c>
      <c r="N5" s="340"/>
      <c r="O5" s="311" t="s">
        <v>64</v>
      </c>
      <c r="P5" s="313"/>
      <c r="Q5" s="311" t="s">
        <v>65</v>
      </c>
      <c r="R5" s="313"/>
      <c r="S5" s="311" t="s">
        <v>66</v>
      </c>
      <c r="T5" s="313"/>
      <c r="U5" s="322" t="s">
        <v>67</v>
      </c>
      <c r="V5" s="322" t="s">
        <v>68</v>
      </c>
      <c r="W5" s="5" t="s">
        <v>59</v>
      </c>
      <c r="X5" s="6"/>
      <c r="Y5" s="7"/>
      <c r="Z5" s="339" t="s">
        <v>69</v>
      </c>
      <c r="AA5" s="339"/>
      <c r="AB5" s="339"/>
      <c r="AC5" s="339" t="s">
        <v>70</v>
      </c>
      <c r="AD5" s="339"/>
      <c r="AE5" s="339"/>
      <c r="AF5" s="339" t="s">
        <v>71</v>
      </c>
      <c r="AG5" s="339"/>
      <c r="AH5" s="339"/>
      <c r="AI5" s="5" t="s">
        <v>59</v>
      </c>
      <c r="AJ5" s="6"/>
      <c r="AK5" s="7"/>
      <c r="AL5" s="339" t="s">
        <v>69</v>
      </c>
      <c r="AM5" s="339"/>
      <c r="AN5" s="339"/>
      <c r="AO5" s="339" t="s">
        <v>70</v>
      </c>
      <c r="AP5" s="339"/>
      <c r="AQ5" s="339"/>
      <c r="AR5" s="339" t="s">
        <v>71</v>
      </c>
      <c r="AS5" s="339"/>
      <c r="AT5" s="339"/>
      <c r="AU5" s="5" t="s">
        <v>59</v>
      </c>
      <c r="AV5" s="8"/>
      <c r="AW5" s="7"/>
      <c r="AX5" s="339" t="s">
        <v>69</v>
      </c>
      <c r="AY5" s="339"/>
      <c r="AZ5" s="339"/>
      <c r="BA5" s="339" t="s">
        <v>70</v>
      </c>
      <c r="BB5" s="339"/>
      <c r="BC5" s="339"/>
      <c r="BD5" s="339" t="s">
        <v>71</v>
      </c>
      <c r="BE5" s="339"/>
      <c r="BF5" s="311"/>
    </row>
    <row r="6" spans="1:89" ht="16.5" customHeight="1">
      <c r="A6" s="364"/>
      <c r="B6" s="302"/>
      <c r="C6" s="402"/>
      <c r="D6" s="322" t="s">
        <v>72</v>
      </c>
      <c r="E6" s="322" t="s">
        <v>73</v>
      </c>
      <c r="F6" s="322" t="s">
        <v>74</v>
      </c>
      <c r="G6" s="322" t="s">
        <v>73</v>
      </c>
      <c r="H6" s="322" t="s">
        <v>74</v>
      </c>
      <c r="I6" s="322" t="s">
        <v>73</v>
      </c>
      <c r="J6" s="322" t="s">
        <v>74</v>
      </c>
      <c r="K6" s="322" t="s">
        <v>73</v>
      </c>
      <c r="L6" s="322" t="s">
        <v>74</v>
      </c>
      <c r="M6" s="10" t="s">
        <v>75</v>
      </c>
      <c r="N6" s="10" t="s">
        <v>76</v>
      </c>
      <c r="O6" s="10" t="s">
        <v>75</v>
      </c>
      <c r="P6" s="10" t="s">
        <v>76</v>
      </c>
      <c r="Q6" s="10" t="s">
        <v>75</v>
      </c>
      <c r="R6" s="10" t="s">
        <v>76</v>
      </c>
      <c r="S6" s="10" t="s">
        <v>75</v>
      </c>
      <c r="T6" s="10" t="s">
        <v>76</v>
      </c>
      <c r="U6" s="338"/>
      <c r="V6" s="338"/>
      <c r="W6" s="322" t="s">
        <v>72</v>
      </c>
      <c r="X6" s="322" t="s">
        <v>73</v>
      </c>
      <c r="Y6" s="322" t="s">
        <v>74</v>
      </c>
      <c r="Z6" s="322" t="s">
        <v>72</v>
      </c>
      <c r="AA6" s="322" t="s">
        <v>73</v>
      </c>
      <c r="AB6" s="322" t="s">
        <v>74</v>
      </c>
      <c r="AC6" s="322" t="s">
        <v>72</v>
      </c>
      <c r="AD6" s="322" t="s">
        <v>73</v>
      </c>
      <c r="AE6" s="322" t="s">
        <v>74</v>
      </c>
      <c r="AF6" s="322" t="s">
        <v>72</v>
      </c>
      <c r="AG6" s="322" t="s">
        <v>73</v>
      </c>
      <c r="AH6" s="322" t="s">
        <v>74</v>
      </c>
      <c r="AI6" s="322" t="s">
        <v>72</v>
      </c>
      <c r="AJ6" s="322" t="s">
        <v>73</v>
      </c>
      <c r="AK6" s="322" t="s">
        <v>74</v>
      </c>
      <c r="AL6" s="322" t="s">
        <v>72</v>
      </c>
      <c r="AM6" s="322" t="s">
        <v>73</v>
      </c>
      <c r="AN6" s="322" t="s">
        <v>74</v>
      </c>
      <c r="AO6" s="322" t="s">
        <v>72</v>
      </c>
      <c r="AP6" s="322" t="s">
        <v>73</v>
      </c>
      <c r="AQ6" s="322" t="s">
        <v>74</v>
      </c>
      <c r="AR6" s="322" t="s">
        <v>72</v>
      </c>
      <c r="AS6" s="322" t="s">
        <v>73</v>
      </c>
      <c r="AT6" s="322" t="s">
        <v>74</v>
      </c>
      <c r="AU6" s="322" t="s">
        <v>72</v>
      </c>
      <c r="AV6" s="322" t="s">
        <v>73</v>
      </c>
      <c r="AW6" s="322" t="s">
        <v>74</v>
      </c>
      <c r="AX6" s="322" t="s">
        <v>72</v>
      </c>
      <c r="AY6" s="322" t="s">
        <v>73</v>
      </c>
      <c r="AZ6" s="322" t="s">
        <v>74</v>
      </c>
      <c r="BA6" s="322" t="s">
        <v>72</v>
      </c>
      <c r="BB6" s="322" t="s">
        <v>73</v>
      </c>
      <c r="BC6" s="322" t="s">
        <v>74</v>
      </c>
      <c r="BD6" s="322" t="s">
        <v>72</v>
      </c>
      <c r="BE6" s="322" t="s">
        <v>73</v>
      </c>
      <c r="BF6" s="314" t="s">
        <v>74</v>
      </c>
    </row>
    <row r="7" spans="1:89">
      <c r="A7" s="331"/>
      <c r="B7" s="303"/>
      <c r="C7" s="403"/>
      <c r="D7" s="323"/>
      <c r="E7" s="323"/>
      <c r="F7" s="323"/>
      <c r="G7" s="323"/>
      <c r="H7" s="323"/>
      <c r="I7" s="323"/>
      <c r="J7" s="323"/>
      <c r="K7" s="323"/>
      <c r="L7" s="323"/>
      <c r="M7" s="11" t="s">
        <v>0</v>
      </c>
      <c r="N7" s="11" t="s">
        <v>1</v>
      </c>
      <c r="O7" s="11" t="s">
        <v>0</v>
      </c>
      <c r="P7" s="11" t="s">
        <v>1</v>
      </c>
      <c r="Q7" s="11" t="s">
        <v>0</v>
      </c>
      <c r="R7" s="11" t="s">
        <v>1</v>
      </c>
      <c r="S7" s="11" t="s">
        <v>0</v>
      </c>
      <c r="T7" s="11" t="s">
        <v>1</v>
      </c>
      <c r="U7" s="323"/>
      <c r="V7" s="323"/>
      <c r="W7" s="323"/>
      <c r="X7" s="323"/>
      <c r="Y7" s="323"/>
      <c r="Z7" s="323"/>
      <c r="AA7" s="323"/>
      <c r="AB7" s="323"/>
      <c r="AC7" s="323"/>
      <c r="AD7" s="323"/>
      <c r="AE7" s="323"/>
      <c r="AF7" s="323"/>
      <c r="AG7" s="323"/>
      <c r="AH7" s="323"/>
      <c r="AI7" s="323"/>
      <c r="AJ7" s="323"/>
      <c r="AK7" s="323"/>
      <c r="AL7" s="323"/>
      <c r="AM7" s="323"/>
      <c r="AN7" s="323"/>
      <c r="AO7" s="323"/>
      <c r="AP7" s="323"/>
      <c r="AQ7" s="323"/>
      <c r="AR7" s="323"/>
      <c r="AS7" s="323"/>
      <c r="AT7" s="323"/>
      <c r="AU7" s="323"/>
      <c r="AV7" s="323"/>
      <c r="AW7" s="323"/>
      <c r="AX7" s="323"/>
      <c r="AY7" s="323"/>
      <c r="AZ7" s="323"/>
      <c r="BA7" s="323"/>
      <c r="BB7" s="323"/>
      <c r="BC7" s="323"/>
      <c r="BD7" s="323"/>
      <c r="BE7" s="323"/>
      <c r="BF7" s="326"/>
    </row>
    <row r="8" spans="1:89" s="18" customFormat="1" ht="17.100000000000001" customHeight="1">
      <c r="A8" s="32" t="s">
        <v>121</v>
      </c>
      <c r="B8" s="37" t="s">
        <v>40</v>
      </c>
      <c r="C8" s="41">
        <v>144</v>
      </c>
      <c r="D8" s="41">
        <v>6353</v>
      </c>
      <c r="E8" s="41">
        <v>479</v>
      </c>
      <c r="F8" s="41">
        <v>5874</v>
      </c>
      <c r="G8" s="41">
        <v>314</v>
      </c>
      <c r="H8" s="41">
        <v>4092</v>
      </c>
      <c r="I8" s="41">
        <v>162</v>
      </c>
      <c r="J8" s="41">
        <v>1768</v>
      </c>
      <c r="K8" s="41">
        <v>3</v>
      </c>
      <c r="L8" s="41">
        <v>14</v>
      </c>
      <c r="M8" s="41">
        <v>269</v>
      </c>
      <c r="N8" s="41">
        <v>1875</v>
      </c>
      <c r="O8" s="41">
        <v>50</v>
      </c>
      <c r="P8" s="41">
        <v>824</v>
      </c>
      <c r="Q8" s="41">
        <v>190</v>
      </c>
      <c r="R8" s="41">
        <v>895</v>
      </c>
      <c r="S8" s="41">
        <v>29</v>
      </c>
      <c r="T8" s="41">
        <v>156</v>
      </c>
      <c r="U8" s="41">
        <v>932</v>
      </c>
      <c r="V8" s="41">
        <v>15985</v>
      </c>
      <c r="W8" s="41">
        <v>33193</v>
      </c>
      <c r="X8" s="41">
        <v>13947</v>
      </c>
      <c r="Y8" s="41">
        <v>19246</v>
      </c>
      <c r="Z8" s="41">
        <v>7028</v>
      </c>
      <c r="AA8" s="41">
        <v>3621</v>
      </c>
      <c r="AB8" s="41">
        <v>3407</v>
      </c>
      <c r="AC8" s="41">
        <v>4984</v>
      </c>
      <c r="AD8" s="41">
        <v>2355</v>
      </c>
      <c r="AE8" s="41">
        <v>2629</v>
      </c>
      <c r="AF8" s="41">
        <v>21181</v>
      </c>
      <c r="AG8" s="41">
        <v>7971</v>
      </c>
      <c r="AH8" s="41">
        <v>13210</v>
      </c>
      <c r="AI8" s="41">
        <v>4749949</v>
      </c>
      <c r="AJ8" s="41">
        <v>2055982</v>
      </c>
      <c r="AK8" s="41">
        <v>2693967</v>
      </c>
      <c r="AL8" s="41">
        <v>1077860</v>
      </c>
      <c r="AM8" s="41">
        <v>550029</v>
      </c>
      <c r="AN8" s="41">
        <v>527831</v>
      </c>
      <c r="AO8" s="41">
        <v>823694</v>
      </c>
      <c r="AP8" s="41">
        <v>400600</v>
      </c>
      <c r="AQ8" s="41">
        <v>423094</v>
      </c>
      <c r="AR8" s="41">
        <v>2848395</v>
      </c>
      <c r="AS8" s="41">
        <v>1105353</v>
      </c>
      <c r="AT8" s="41">
        <v>1743042</v>
      </c>
      <c r="AU8" s="41">
        <v>9002334.6999999993</v>
      </c>
      <c r="AV8" s="41">
        <v>3917101.4</v>
      </c>
      <c r="AW8" s="41">
        <v>5085233.3</v>
      </c>
      <c r="AX8" s="41">
        <v>2106391.9</v>
      </c>
      <c r="AY8" s="41">
        <v>1060450.7</v>
      </c>
      <c r="AZ8" s="41">
        <v>1045941.2</v>
      </c>
      <c r="BA8" s="41">
        <v>1588411.2</v>
      </c>
      <c r="BB8" s="41">
        <v>772812</v>
      </c>
      <c r="BC8" s="41">
        <v>815599.2</v>
      </c>
      <c r="BD8" s="41">
        <v>5307531.5999999996</v>
      </c>
      <c r="BE8" s="41">
        <v>2083838.7</v>
      </c>
      <c r="BF8" s="41">
        <v>3223692.9</v>
      </c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30"/>
      <c r="CI8" s="30"/>
      <c r="CJ8" s="30"/>
      <c r="CK8" s="30"/>
    </row>
    <row r="9" spans="1:89" s="18" customFormat="1" ht="21" customHeight="1">
      <c r="A9" s="52" t="s">
        <v>147</v>
      </c>
      <c r="B9" s="35" t="s">
        <v>29</v>
      </c>
      <c r="C9" s="41">
        <v>14</v>
      </c>
      <c r="D9" s="41">
        <v>805</v>
      </c>
      <c r="E9" s="41">
        <v>66</v>
      </c>
      <c r="F9" s="41">
        <v>739</v>
      </c>
      <c r="G9" s="41">
        <v>41</v>
      </c>
      <c r="H9" s="41">
        <v>502</v>
      </c>
      <c r="I9" s="41">
        <v>25</v>
      </c>
      <c r="J9" s="41">
        <v>237</v>
      </c>
      <c r="K9" s="41">
        <v>0</v>
      </c>
      <c r="L9" s="41">
        <v>0</v>
      </c>
      <c r="M9" s="41">
        <v>2</v>
      </c>
      <c r="N9" s="41">
        <v>63</v>
      </c>
      <c r="O9" s="41">
        <v>2</v>
      </c>
      <c r="P9" s="41">
        <v>63</v>
      </c>
      <c r="Q9" s="41">
        <v>0</v>
      </c>
      <c r="R9" s="41">
        <v>0</v>
      </c>
      <c r="S9" s="41">
        <v>0</v>
      </c>
      <c r="T9" s="41">
        <v>0</v>
      </c>
      <c r="U9" s="41">
        <v>24</v>
      </c>
      <c r="V9" s="41">
        <v>904</v>
      </c>
      <c r="W9" s="41">
        <v>2938</v>
      </c>
      <c r="X9" s="41">
        <v>1295</v>
      </c>
      <c r="Y9" s="41">
        <v>1643</v>
      </c>
      <c r="Z9" s="41">
        <v>522</v>
      </c>
      <c r="AA9" s="41">
        <v>247</v>
      </c>
      <c r="AB9" s="41">
        <v>275</v>
      </c>
      <c r="AC9" s="41">
        <v>400</v>
      </c>
      <c r="AD9" s="41">
        <v>224</v>
      </c>
      <c r="AE9" s="41">
        <v>176</v>
      </c>
      <c r="AF9" s="41">
        <v>2016</v>
      </c>
      <c r="AG9" s="41">
        <v>824</v>
      </c>
      <c r="AH9" s="41">
        <v>1192</v>
      </c>
      <c r="AI9" s="41">
        <v>469951</v>
      </c>
      <c r="AJ9" s="41">
        <v>207420</v>
      </c>
      <c r="AK9" s="41">
        <v>262531</v>
      </c>
      <c r="AL9" s="41">
        <v>101982</v>
      </c>
      <c r="AM9" s="41">
        <v>48970</v>
      </c>
      <c r="AN9" s="41">
        <v>53012</v>
      </c>
      <c r="AO9" s="41">
        <v>71062</v>
      </c>
      <c r="AP9" s="41">
        <v>39315</v>
      </c>
      <c r="AQ9" s="41">
        <v>31747</v>
      </c>
      <c r="AR9" s="41">
        <v>296907</v>
      </c>
      <c r="AS9" s="41">
        <v>119135</v>
      </c>
      <c r="AT9" s="41">
        <v>177772</v>
      </c>
      <c r="AU9" s="41">
        <v>945962.5</v>
      </c>
      <c r="AV9" s="41">
        <v>419537.5</v>
      </c>
      <c r="AW9" s="41">
        <v>526425</v>
      </c>
      <c r="AX9" s="41">
        <v>205266.5</v>
      </c>
      <c r="AY9" s="41">
        <v>96829</v>
      </c>
      <c r="AZ9" s="41">
        <v>108437.5</v>
      </c>
      <c r="BA9" s="41">
        <v>141438.5</v>
      </c>
      <c r="BB9" s="41">
        <v>77362.5</v>
      </c>
      <c r="BC9" s="41">
        <v>64076</v>
      </c>
      <c r="BD9" s="41">
        <v>599257.5</v>
      </c>
      <c r="BE9" s="41">
        <v>245346</v>
      </c>
      <c r="BF9" s="41">
        <v>353911.5</v>
      </c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30"/>
      <c r="CI9" s="30"/>
    </row>
    <row r="10" spans="1:89" s="18" customFormat="1" ht="21" customHeight="1">
      <c r="A10" s="52" t="s">
        <v>148</v>
      </c>
      <c r="B10" s="35" t="s">
        <v>30</v>
      </c>
      <c r="C10" s="41">
        <v>15</v>
      </c>
      <c r="D10" s="41">
        <v>531</v>
      </c>
      <c r="E10" s="41">
        <v>50</v>
      </c>
      <c r="F10" s="41">
        <v>481</v>
      </c>
      <c r="G10" s="41">
        <v>21</v>
      </c>
      <c r="H10" s="41">
        <v>161</v>
      </c>
      <c r="I10" s="41">
        <v>27</v>
      </c>
      <c r="J10" s="41">
        <v>308</v>
      </c>
      <c r="K10" s="41">
        <v>2</v>
      </c>
      <c r="L10" s="41">
        <v>12</v>
      </c>
      <c r="M10" s="41">
        <v>141</v>
      </c>
      <c r="N10" s="41">
        <v>608</v>
      </c>
      <c r="O10" s="41">
        <v>1</v>
      </c>
      <c r="P10" s="41">
        <v>19</v>
      </c>
      <c r="Q10" s="41">
        <v>140</v>
      </c>
      <c r="R10" s="41">
        <v>589</v>
      </c>
      <c r="S10" s="41">
        <v>0</v>
      </c>
      <c r="T10" s="41">
        <v>0</v>
      </c>
      <c r="U10" s="41">
        <v>97</v>
      </c>
      <c r="V10" s="41">
        <v>5036</v>
      </c>
      <c r="W10" s="41">
        <v>2492</v>
      </c>
      <c r="X10" s="41">
        <v>1113</v>
      </c>
      <c r="Y10" s="41">
        <v>1379</v>
      </c>
      <c r="Z10" s="41">
        <v>629</v>
      </c>
      <c r="AA10" s="41">
        <v>336</v>
      </c>
      <c r="AB10" s="41">
        <v>293</v>
      </c>
      <c r="AC10" s="41">
        <v>112</v>
      </c>
      <c r="AD10" s="41">
        <v>56</v>
      </c>
      <c r="AE10" s="41">
        <v>56</v>
      </c>
      <c r="AF10" s="41">
        <v>1751</v>
      </c>
      <c r="AG10" s="41">
        <v>721</v>
      </c>
      <c r="AH10" s="41">
        <v>1030</v>
      </c>
      <c r="AI10" s="41">
        <v>332254</v>
      </c>
      <c r="AJ10" s="41">
        <v>154241</v>
      </c>
      <c r="AK10" s="41">
        <v>178013</v>
      </c>
      <c r="AL10" s="41">
        <v>95629</v>
      </c>
      <c r="AM10" s="41">
        <v>50296</v>
      </c>
      <c r="AN10" s="41">
        <v>45333</v>
      </c>
      <c r="AO10" s="41">
        <v>16432</v>
      </c>
      <c r="AP10" s="41">
        <v>8255</v>
      </c>
      <c r="AQ10" s="41">
        <v>8177</v>
      </c>
      <c r="AR10" s="41">
        <v>220193</v>
      </c>
      <c r="AS10" s="41">
        <v>95690</v>
      </c>
      <c r="AT10" s="41">
        <v>124503</v>
      </c>
      <c r="AU10" s="41">
        <v>687667</v>
      </c>
      <c r="AV10" s="41">
        <v>317059.5</v>
      </c>
      <c r="AW10" s="41">
        <v>370607.5</v>
      </c>
      <c r="AX10" s="41">
        <v>197849.5</v>
      </c>
      <c r="AY10" s="41">
        <v>102474</v>
      </c>
      <c r="AZ10" s="41">
        <v>95375.5</v>
      </c>
      <c r="BA10" s="41">
        <v>34162.5</v>
      </c>
      <c r="BB10" s="41">
        <v>17556</v>
      </c>
      <c r="BC10" s="41">
        <v>16606.5</v>
      </c>
      <c r="BD10" s="41">
        <v>455655</v>
      </c>
      <c r="BE10" s="41">
        <v>197029.5</v>
      </c>
      <c r="BF10" s="41">
        <v>258625.5</v>
      </c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30"/>
      <c r="CI10" s="30"/>
    </row>
    <row r="11" spans="1:89" s="18" customFormat="1" ht="21" customHeight="1">
      <c r="A11" s="52" t="s">
        <v>149</v>
      </c>
      <c r="B11" s="35" t="s">
        <v>31</v>
      </c>
      <c r="C11" s="41">
        <v>13</v>
      </c>
      <c r="D11" s="41">
        <v>565</v>
      </c>
      <c r="E11" s="41">
        <v>34</v>
      </c>
      <c r="F11" s="41">
        <v>531</v>
      </c>
      <c r="G11" s="41">
        <v>20</v>
      </c>
      <c r="H11" s="41">
        <v>296</v>
      </c>
      <c r="I11" s="41">
        <v>14</v>
      </c>
      <c r="J11" s="41">
        <v>235</v>
      </c>
      <c r="K11" s="41">
        <v>0</v>
      </c>
      <c r="L11" s="41">
        <v>0</v>
      </c>
      <c r="M11" s="41">
        <v>44</v>
      </c>
      <c r="N11" s="41">
        <v>260</v>
      </c>
      <c r="O11" s="41">
        <v>25</v>
      </c>
      <c r="P11" s="41">
        <v>148</v>
      </c>
      <c r="Q11" s="41">
        <v>11</v>
      </c>
      <c r="R11" s="41">
        <v>72</v>
      </c>
      <c r="S11" s="41">
        <v>8</v>
      </c>
      <c r="T11" s="41">
        <v>40</v>
      </c>
      <c r="U11" s="41">
        <v>16</v>
      </c>
      <c r="V11" s="41">
        <v>1073</v>
      </c>
      <c r="W11" s="41">
        <v>2615</v>
      </c>
      <c r="X11" s="41">
        <v>1120</v>
      </c>
      <c r="Y11" s="41">
        <v>1495</v>
      </c>
      <c r="Z11" s="41">
        <v>760</v>
      </c>
      <c r="AA11" s="41">
        <v>368</v>
      </c>
      <c r="AB11" s="41">
        <v>392</v>
      </c>
      <c r="AC11" s="41">
        <v>288</v>
      </c>
      <c r="AD11" s="41">
        <v>128</v>
      </c>
      <c r="AE11" s="41">
        <v>160</v>
      </c>
      <c r="AF11" s="41">
        <v>1567</v>
      </c>
      <c r="AG11" s="41">
        <v>624</v>
      </c>
      <c r="AH11" s="41">
        <v>943</v>
      </c>
      <c r="AI11" s="41">
        <v>366306</v>
      </c>
      <c r="AJ11" s="41">
        <v>165986</v>
      </c>
      <c r="AK11" s="41">
        <v>200320</v>
      </c>
      <c r="AL11" s="41">
        <v>110912</v>
      </c>
      <c r="AM11" s="41">
        <v>54872</v>
      </c>
      <c r="AN11" s="41">
        <v>56040</v>
      </c>
      <c r="AO11" s="41">
        <v>60430</v>
      </c>
      <c r="AP11" s="41">
        <v>28124</v>
      </c>
      <c r="AQ11" s="41">
        <v>32306</v>
      </c>
      <c r="AR11" s="41">
        <v>194964</v>
      </c>
      <c r="AS11" s="41">
        <v>82990</v>
      </c>
      <c r="AT11" s="41">
        <v>111974</v>
      </c>
      <c r="AU11" s="41">
        <v>800879.4</v>
      </c>
      <c r="AV11" s="41">
        <v>364009</v>
      </c>
      <c r="AW11" s="41">
        <v>436870.40000000002</v>
      </c>
      <c r="AX11" s="41">
        <v>250475.5</v>
      </c>
      <c r="AY11" s="41">
        <v>121635.5</v>
      </c>
      <c r="AZ11" s="41">
        <v>128840</v>
      </c>
      <c r="BA11" s="41">
        <v>136384.4</v>
      </c>
      <c r="BB11" s="41">
        <v>63468.5</v>
      </c>
      <c r="BC11" s="41">
        <v>72915.899999999994</v>
      </c>
      <c r="BD11" s="41">
        <v>414019.5</v>
      </c>
      <c r="BE11" s="41">
        <v>178905</v>
      </c>
      <c r="BF11" s="41">
        <v>235114.5</v>
      </c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30"/>
      <c r="CI11" s="30"/>
    </row>
    <row r="12" spans="1:89" s="18" customFormat="1" ht="21" customHeight="1">
      <c r="A12" s="52" t="s">
        <v>150</v>
      </c>
      <c r="B12" s="35" t="s">
        <v>32</v>
      </c>
      <c r="C12" s="41">
        <v>12</v>
      </c>
      <c r="D12" s="41">
        <v>454</v>
      </c>
      <c r="E12" s="41">
        <v>37</v>
      </c>
      <c r="F12" s="41">
        <v>417</v>
      </c>
      <c r="G12" s="41">
        <v>25</v>
      </c>
      <c r="H12" s="41">
        <v>330</v>
      </c>
      <c r="I12" s="41">
        <v>12</v>
      </c>
      <c r="J12" s="41">
        <v>87</v>
      </c>
      <c r="K12" s="41">
        <v>0</v>
      </c>
      <c r="L12" s="41">
        <v>0</v>
      </c>
      <c r="M12" s="41">
        <v>13</v>
      </c>
      <c r="N12" s="41">
        <v>127</v>
      </c>
      <c r="O12" s="41">
        <v>6</v>
      </c>
      <c r="P12" s="41">
        <v>114</v>
      </c>
      <c r="Q12" s="41">
        <v>4</v>
      </c>
      <c r="R12" s="41">
        <v>10</v>
      </c>
      <c r="S12" s="41">
        <v>3</v>
      </c>
      <c r="T12" s="41">
        <v>3</v>
      </c>
      <c r="U12" s="41">
        <v>441</v>
      </c>
      <c r="V12" s="41">
        <v>2335</v>
      </c>
      <c r="W12" s="41">
        <v>2528</v>
      </c>
      <c r="X12" s="41">
        <v>994</v>
      </c>
      <c r="Y12" s="41">
        <v>1534</v>
      </c>
      <c r="Z12" s="41">
        <v>405</v>
      </c>
      <c r="AA12" s="41">
        <v>210</v>
      </c>
      <c r="AB12" s="41">
        <v>195</v>
      </c>
      <c r="AC12" s="41">
        <v>460</v>
      </c>
      <c r="AD12" s="41">
        <v>220</v>
      </c>
      <c r="AE12" s="41">
        <v>240</v>
      </c>
      <c r="AF12" s="41">
        <v>1663</v>
      </c>
      <c r="AG12" s="41">
        <v>564</v>
      </c>
      <c r="AH12" s="41">
        <v>1099</v>
      </c>
      <c r="AI12" s="41">
        <v>412505</v>
      </c>
      <c r="AJ12" s="41">
        <v>164925</v>
      </c>
      <c r="AK12" s="41">
        <v>247580</v>
      </c>
      <c r="AL12" s="41">
        <v>68468</v>
      </c>
      <c r="AM12" s="41">
        <v>33890</v>
      </c>
      <c r="AN12" s="41">
        <v>34578</v>
      </c>
      <c r="AO12" s="41">
        <v>82369</v>
      </c>
      <c r="AP12" s="41">
        <v>39988</v>
      </c>
      <c r="AQ12" s="41">
        <v>42381</v>
      </c>
      <c r="AR12" s="41">
        <v>261668</v>
      </c>
      <c r="AS12" s="41">
        <v>91047</v>
      </c>
      <c r="AT12" s="41">
        <v>170621</v>
      </c>
      <c r="AU12" s="41">
        <v>716120.2</v>
      </c>
      <c r="AV12" s="41">
        <v>284961.7</v>
      </c>
      <c r="AW12" s="41">
        <v>431158.5</v>
      </c>
      <c r="AX12" s="41">
        <v>124373.9</v>
      </c>
      <c r="AY12" s="41">
        <v>58658.2</v>
      </c>
      <c r="AZ12" s="41">
        <v>65715.7</v>
      </c>
      <c r="BA12" s="41">
        <v>153234.29999999999</v>
      </c>
      <c r="BB12" s="41">
        <v>73827</v>
      </c>
      <c r="BC12" s="41">
        <v>79407.3</v>
      </c>
      <c r="BD12" s="41">
        <v>438512</v>
      </c>
      <c r="BE12" s="41">
        <v>152476.5</v>
      </c>
      <c r="BF12" s="41">
        <v>286035.5</v>
      </c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30"/>
      <c r="CI12" s="30"/>
    </row>
    <row r="13" spans="1:89" s="18" customFormat="1" ht="21" customHeight="1">
      <c r="A13" s="52" t="s">
        <v>151</v>
      </c>
      <c r="B13" s="35" t="s">
        <v>33</v>
      </c>
      <c r="C13" s="41">
        <v>23</v>
      </c>
      <c r="D13" s="41">
        <v>912</v>
      </c>
      <c r="E13" s="41">
        <v>69</v>
      </c>
      <c r="F13" s="41">
        <v>843</v>
      </c>
      <c r="G13" s="41">
        <v>9</v>
      </c>
      <c r="H13" s="41">
        <v>185</v>
      </c>
      <c r="I13" s="41">
        <v>60</v>
      </c>
      <c r="J13" s="41">
        <v>658</v>
      </c>
      <c r="K13" s="41">
        <v>0</v>
      </c>
      <c r="L13" s="41">
        <v>0</v>
      </c>
      <c r="M13" s="41">
        <v>4</v>
      </c>
      <c r="N13" s="41">
        <v>155</v>
      </c>
      <c r="O13" s="41">
        <v>4</v>
      </c>
      <c r="P13" s="41">
        <v>155</v>
      </c>
      <c r="Q13" s="41">
        <v>0</v>
      </c>
      <c r="R13" s="41">
        <v>0</v>
      </c>
      <c r="S13" s="41">
        <v>0</v>
      </c>
      <c r="T13" s="41">
        <v>0</v>
      </c>
      <c r="U13" s="41">
        <v>39</v>
      </c>
      <c r="V13" s="41">
        <v>1186</v>
      </c>
      <c r="W13" s="41">
        <v>5005</v>
      </c>
      <c r="X13" s="41">
        <v>2096</v>
      </c>
      <c r="Y13" s="41">
        <v>2909</v>
      </c>
      <c r="Z13" s="41">
        <v>1126</v>
      </c>
      <c r="AA13" s="41">
        <v>492</v>
      </c>
      <c r="AB13" s="41">
        <v>634</v>
      </c>
      <c r="AC13" s="41">
        <v>726</v>
      </c>
      <c r="AD13" s="41">
        <v>395</v>
      </c>
      <c r="AE13" s="41">
        <v>331</v>
      </c>
      <c r="AF13" s="41">
        <v>3153</v>
      </c>
      <c r="AG13" s="41">
        <v>1209</v>
      </c>
      <c r="AH13" s="41">
        <v>1944</v>
      </c>
      <c r="AI13" s="41">
        <v>792728</v>
      </c>
      <c r="AJ13" s="41">
        <v>347138</v>
      </c>
      <c r="AK13" s="41">
        <v>445590</v>
      </c>
      <c r="AL13" s="41">
        <v>179465</v>
      </c>
      <c r="AM13" s="41">
        <v>83051</v>
      </c>
      <c r="AN13" s="41">
        <v>96414</v>
      </c>
      <c r="AO13" s="41">
        <v>154926</v>
      </c>
      <c r="AP13" s="41">
        <v>84200</v>
      </c>
      <c r="AQ13" s="41">
        <v>70726</v>
      </c>
      <c r="AR13" s="41">
        <v>458337</v>
      </c>
      <c r="AS13" s="41">
        <v>179887</v>
      </c>
      <c r="AT13" s="41">
        <v>278450</v>
      </c>
      <c r="AU13" s="41">
        <v>1305257.5</v>
      </c>
      <c r="AV13" s="41">
        <v>575932</v>
      </c>
      <c r="AW13" s="41">
        <v>729325.5</v>
      </c>
      <c r="AX13" s="41">
        <v>309336</v>
      </c>
      <c r="AY13" s="41">
        <v>142880</v>
      </c>
      <c r="AZ13" s="41">
        <v>166456</v>
      </c>
      <c r="BA13" s="41">
        <v>264026</v>
      </c>
      <c r="BB13" s="41">
        <v>145235</v>
      </c>
      <c r="BC13" s="41">
        <v>118791</v>
      </c>
      <c r="BD13" s="41">
        <v>731895.5</v>
      </c>
      <c r="BE13" s="41">
        <v>287817</v>
      </c>
      <c r="BF13" s="41">
        <v>444078.5</v>
      </c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30"/>
      <c r="CI13" s="30"/>
    </row>
    <row r="14" spans="1:89" ht="21" customHeight="1">
      <c r="A14" s="53" t="s">
        <v>152</v>
      </c>
      <c r="B14" s="19" t="s">
        <v>7</v>
      </c>
      <c r="C14" s="20">
        <v>3</v>
      </c>
      <c r="D14" s="20">
        <v>93</v>
      </c>
      <c r="E14" s="20">
        <v>10</v>
      </c>
      <c r="F14" s="20">
        <v>83</v>
      </c>
      <c r="G14" s="20">
        <v>8</v>
      </c>
      <c r="H14" s="20">
        <v>80</v>
      </c>
      <c r="I14" s="20">
        <v>2</v>
      </c>
      <c r="J14" s="20">
        <v>3</v>
      </c>
      <c r="K14" s="20">
        <v>0</v>
      </c>
      <c r="L14" s="20">
        <v>0</v>
      </c>
      <c r="M14" s="20">
        <v>1</v>
      </c>
      <c r="N14" s="20">
        <v>23</v>
      </c>
      <c r="O14" s="20">
        <v>0</v>
      </c>
      <c r="P14" s="20">
        <v>0</v>
      </c>
      <c r="Q14" s="20">
        <v>1</v>
      </c>
      <c r="R14" s="20">
        <v>23</v>
      </c>
      <c r="S14" s="20">
        <v>0</v>
      </c>
      <c r="T14" s="20">
        <v>0</v>
      </c>
      <c r="U14" s="20">
        <v>4</v>
      </c>
      <c r="V14" s="20">
        <v>259</v>
      </c>
      <c r="W14" s="20">
        <v>677</v>
      </c>
      <c r="X14" s="20">
        <v>290</v>
      </c>
      <c r="Y14" s="20">
        <v>387</v>
      </c>
      <c r="Z14" s="20">
        <v>84</v>
      </c>
      <c r="AA14" s="20">
        <v>59</v>
      </c>
      <c r="AB14" s="20">
        <v>25</v>
      </c>
      <c r="AC14" s="20">
        <v>154</v>
      </c>
      <c r="AD14" s="20">
        <v>60</v>
      </c>
      <c r="AE14" s="20">
        <v>94</v>
      </c>
      <c r="AF14" s="20">
        <v>439</v>
      </c>
      <c r="AG14" s="20">
        <v>171</v>
      </c>
      <c r="AH14" s="20">
        <v>268</v>
      </c>
      <c r="AI14" s="20">
        <v>76129</v>
      </c>
      <c r="AJ14" s="20">
        <v>32872</v>
      </c>
      <c r="AK14" s="20">
        <v>43257</v>
      </c>
      <c r="AL14" s="20">
        <v>9494</v>
      </c>
      <c r="AM14" s="20">
        <v>6779</v>
      </c>
      <c r="AN14" s="20">
        <v>2715</v>
      </c>
      <c r="AO14" s="20">
        <v>17273</v>
      </c>
      <c r="AP14" s="20">
        <v>6901</v>
      </c>
      <c r="AQ14" s="20">
        <v>10372</v>
      </c>
      <c r="AR14" s="20">
        <v>49362</v>
      </c>
      <c r="AS14" s="20">
        <v>19192</v>
      </c>
      <c r="AT14" s="20">
        <v>30170</v>
      </c>
      <c r="AU14" s="20">
        <v>140484.5</v>
      </c>
      <c r="AV14" s="20">
        <v>60173</v>
      </c>
      <c r="AW14" s="20">
        <v>80311.5</v>
      </c>
      <c r="AX14" s="20">
        <v>17653</v>
      </c>
      <c r="AY14" s="20">
        <v>12382.5</v>
      </c>
      <c r="AZ14" s="20">
        <v>5270.5</v>
      </c>
      <c r="BA14" s="20">
        <v>32401.5</v>
      </c>
      <c r="BB14" s="20">
        <v>12680.5</v>
      </c>
      <c r="BC14" s="20">
        <v>19721</v>
      </c>
      <c r="BD14" s="20">
        <v>90430</v>
      </c>
      <c r="BE14" s="20">
        <v>35110</v>
      </c>
      <c r="BF14" s="20">
        <v>55320</v>
      </c>
    </row>
    <row r="15" spans="1:89" ht="21" customHeight="1">
      <c r="A15" s="53" t="s">
        <v>153</v>
      </c>
      <c r="B15" s="19" t="s">
        <v>8</v>
      </c>
      <c r="C15" s="20">
        <v>4</v>
      </c>
      <c r="D15" s="20">
        <v>433</v>
      </c>
      <c r="E15" s="20">
        <v>27</v>
      </c>
      <c r="F15" s="20">
        <v>406</v>
      </c>
      <c r="G15" s="20">
        <v>27</v>
      </c>
      <c r="H15" s="20">
        <v>406</v>
      </c>
      <c r="I15" s="20">
        <v>0</v>
      </c>
      <c r="J15" s="20">
        <v>0</v>
      </c>
      <c r="K15" s="20">
        <v>0</v>
      </c>
      <c r="L15" s="20">
        <v>0</v>
      </c>
      <c r="M15" s="20">
        <v>7</v>
      </c>
      <c r="N15" s="20">
        <v>82</v>
      </c>
      <c r="O15" s="20">
        <v>1</v>
      </c>
      <c r="P15" s="20">
        <v>40</v>
      </c>
      <c r="Q15" s="20">
        <v>2</v>
      </c>
      <c r="R15" s="20">
        <v>15</v>
      </c>
      <c r="S15" s="20">
        <v>4</v>
      </c>
      <c r="T15" s="20">
        <v>27</v>
      </c>
      <c r="U15" s="20">
        <v>12</v>
      </c>
      <c r="V15" s="20">
        <v>433</v>
      </c>
      <c r="W15" s="20">
        <v>1537</v>
      </c>
      <c r="X15" s="20">
        <v>719</v>
      </c>
      <c r="Y15" s="20">
        <v>818</v>
      </c>
      <c r="Z15" s="20">
        <v>504</v>
      </c>
      <c r="AA15" s="20">
        <v>223</v>
      </c>
      <c r="AB15" s="20">
        <v>281</v>
      </c>
      <c r="AC15" s="20">
        <v>176</v>
      </c>
      <c r="AD15" s="20">
        <v>115</v>
      </c>
      <c r="AE15" s="20">
        <v>61</v>
      </c>
      <c r="AF15" s="20">
        <v>857</v>
      </c>
      <c r="AG15" s="20">
        <v>381</v>
      </c>
      <c r="AH15" s="20">
        <v>476</v>
      </c>
      <c r="AI15" s="20">
        <v>242906</v>
      </c>
      <c r="AJ15" s="20">
        <v>118091</v>
      </c>
      <c r="AK15" s="20">
        <v>124815</v>
      </c>
      <c r="AL15" s="20">
        <v>85207</v>
      </c>
      <c r="AM15" s="20">
        <v>39485</v>
      </c>
      <c r="AN15" s="20">
        <v>45722</v>
      </c>
      <c r="AO15" s="20">
        <v>31790</v>
      </c>
      <c r="AP15" s="20">
        <v>21560</v>
      </c>
      <c r="AQ15" s="20">
        <v>10230</v>
      </c>
      <c r="AR15" s="20">
        <v>125909</v>
      </c>
      <c r="AS15" s="20">
        <v>57046</v>
      </c>
      <c r="AT15" s="20">
        <v>68863</v>
      </c>
      <c r="AU15" s="20">
        <v>570189</v>
      </c>
      <c r="AV15" s="20">
        <v>278591.5</v>
      </c>
      <c r="AW15" s="20">
        <v>291597.5</v>
      </c>
      <c r="AX15" s="20">
        <v>208465.5</v>
      </c>
      <c r="AY15" s="20">
        <v>95540</v>
      </c>
      <c r="AZ15" s="20">
        <v>112925.5</v>
      </c>
      <c r="BA15" s="20">
        <v>75129</v>
      </c>
      <c r="BB15" s="20">
        <v>50722</v>
      </c>
      <c r="BC15" s="20">
        <v>24407</v>
      </c>
      <c r="BD15" s="20">
        <v>286594.5</v>
      </c>
      <c r="BE15" s="20">
        <v>132329.5</v>
      </c>
      <c r="BF15" s="20">
        <v>154265</v>
      </c>
    </row>
    <row r="16" spans="1:89" ht="21" customHeight="1">
      <c r="A16" s="53" t="s">
        <v>154</v>
      </c>
      <c r="B16" s="19" t="s">
        <v>9</v>
      </c>
      <c r="C16" s="20">
        <v>5</v>
      </c>
      <c r="D16" s="20">
        <v>113</v>
      </c>
      <c r="E16" s="20">
        <v>12</v>
      </c>
      <c r="F16" s="20">
        <v>101</v>
      </c>
      <c r="G16" s="20">
        <v>9</v>
      </c>
      <c r="H16" s="20">
        <v>90</v>
      </c>
      <c r="I16" s="20">
        <v>3</v>
      </c>
      <c r="J16" s="20">
        <v>11</v>
      </c>
      <c r="K16" s="20">
        <v>0</v>
      </c>
      <c r="L16" s="20">
        <v>0</v>
      </c>
      <c r="M16" s="20">
        <v>1</v>
      </c>
      <c r="N16" s="20">
        <v>62</v>
      </c>
      <c r="O16" s="20">
        <v>1</v>
      </c>
      <c r="P16" s="20">
        <v>62</v>
      </c>
      <c r="Q16" s="20">
        <v>0</v>
      </c>
      <c r="R16" s="20">
        <v>0</v>
      </c>
      <c r="S16" s="20">
        <v>0</v>
      </c>
      <c r="T16" s="20">
        <v>0</v>
      </c>
      <c r="U16" s="20">
        <v>11</v>
      </c>
      <c r="V16" s="20">
        <v>214</v>
      </c>
      <c r="W16" s="20">
        <v>403</v>
      </c>
      <c r="X16" s="20">
        <v>191</v>
      </c>
      <c r="Y16" s="20">
        <v>212</v>
      </c>
      <c r="Z16" s="20">
        <v>140</v>
      </c>
      <c r="AA16" s="20">
        <v>93</v>
      </c>
      <c r="AB16" s="20">
        <v>47</v>
      </c>
      <c r="AC16" s="20">
        <v>15</v>
      </c>
      <c r="AD16" s="20">
        <v>6</v>
      </c>
      <c r="AE16" s="20">
        <v>9</v>
      </c>
      <c r="AF16" s="20">
        <v>248</v>
      </c>
      <c r="AG16" s="20">
        <v>92</v>
      </c>
      <c r="AH16" s="20">
        <v>156</v>
      </c>
      <c r="AI16" s="20">
        <v>68316</v>
      </c>
      <c r="AJ16" s="20">
        <v>32408</v>
      </c>
      <c r="AK16" s="20">
        <v>35908</v>
      </c>
      <c r="AL16" s="20">
        <v>23441</v>
      </c>
      <c r="AM16" s="20">
        <v>15243</v>
      </c>
      <c r="AN16" s="20">
        <v>8198</v>
      </c>
      <c r="AO16" s="20">
        <v>1846</v>
      </c>
      <c r="AP16" s="20">
        <v>589</v>
      </c>
      <c r="AQ16" s="20">
        <v>1257</v>
      </c>
      <c r="AR16" s="20">
        <v>43029</v>
      </c>
      <c r="AS16" s="20">
        <v>16576</v>
      </c>
      <c r="AT16" s="20">
        <v>26453</v>
      </c>
      <c r="AU16" s="20">
        <v>149247</v>
      </c>
      <c r="AV16" s="20">
        <v>72579.5</v>
      </c>
      <c r="AW16" s="20">
        <v>76667.5</v>
      </c>
      <c r="AX16" s="20">
        <v>55718.5</v>
      </c>
      <c r="AY16" s="20">
        <v>35529.5</v>
      </c>
      <c r="AZ16" s="20">
        <v>20189</v>
      </c>
      <c r="BA16" s="20">
        <v>4087.5</v>
      </c>
      <c r="BB16" s="20">
        <v>1230</v>
      </c>
      <c r="BC16" s="20">
        <v>2857.5</v>
      </c>
      <c r="BD16" s="20">
        <v>89441</v>
      </c>
      <c r="BE16" s="20">
        <v>35820</v>
      </c>
      <c r="BF16" s="20">
        <v>53621</v>
      </c>
    </row>
    <row r="17" spans="1:58" ht="21" customHeight="1">
      <c r="A17" s="53" t="s">
        <v>155</v>
      </c>
      <c r="B17" s="19" t="s">
        <v>10</v>
      </c>
      <c r="C17" s="20">
        <v>3</v>
      </c>
      <c r="D17" s="20">
        <v>234</v>
      </c>
      <c r="E17" s="20">
        <v>13</v>
      </c>
      <c r="F17" s="20">
        <v>221</v>
      </c>
      <c r="G17" s="20">
        <v>1</v>
      </c>
      <c r="H17" s="20">
        <v>91</v>
      </c>
      <c r="I17" s="20">
        <v>12</v>
      </c>
      <c r="J17" s="20">
        <v>130</v>
      </c>
      <c r="K17" s="20">
        <v>0</v>
      </c>
      <c r="L17" s="20">
        <v>0</v>
      </c>
      <c r="M17" s="20">
        <v>6</v>
      </c>
      <c r="N17" s="20">
        <v>92</v>
      </c>
      <c r="O17" s="20">
        <v>2</v>
      </c>
      <c r="P17" s="20">
        <v>42</v>
      </c>
      <c r="Q17" s="20">
        <v>0</v>
      </c>
      <c r="R17" s="20">
        <v>0</v>
      </c>
      <c r="S17" s="20">
        <v>4</v>
      </c>
      <c r="T17" s="20">
        <v>50</v>
      </c>
      <c r="U17" s="20">
        <v>4</v>
      </c>
      <c r="V17" s="20">
        <v>212</v>
      </c>
      <c r="W17" s="20">
        <v>1137</v>
      </c>
      <c r="X17" s="20">
        <v>474</v>
      </c>
      <c r="Y17" s="20">
        <v>663</v>
      </c>
      <c r="Z17" s="20">
        <v>195</v>
      </c>
      <c r="AA17" s="20">
        <v>90</v>
      </c>
      <c r="AB17" s="20">
        <v>105</v>
      </c>
      <c r="AC17" s="20">
        <v>203</v>
      </c>
      <c r="AD17" s="20">
        <v>101</v>
      </c>
      <c r="AE17" s="20">
        <v>102</v>
      </c>
      <c r="AF17" s="20">
        <v>739</v>
      </c>
      <c r="AG17" s="20">
        <v>283</v>
      </c>
      <c r="AH17" s="20">
        <v>456</v>
      </c>
      <c r="AI17" s="20">
        <v>173288</v>
      </c>
      <c r="AJ17" s="20">
        <v>75648</v>
      </c>
      <c r="AK17" s="20">
        <v>97640</v>
      </c>
      <c r="AL17" s="20">
        <v>28595</v>
      </c>
      <c r="AM17" s="20">
        <v>12843</v>
      </c>
      <c r="AN17" s="20">
        <v>15752</v>
      </c>
      <c r="AO17" s="20">
        <v>36372</v>
      </c>
      <c r="AP17" s="20">
        <v>18694</v>
      </c>
      <c r="AQ17" s="20">
        <v>17678</v>
      </c>
      <c r="AR17" s="20">
        <v>108321</v>
      </c>
      <c r="AS17" s="20">
        <v>44111</v>
      </c>
      <c r="AT17" s="20">
        <v>64210</v>
      </c>
      <c r="AU17" s="20">
        <v>308101</v>
      </c>
      <c r="AV17" s="20">
        <v>132644</v>
      </c>
      <c r="AW17" s="20">
        <v>175457</v>
      </c>
      <c r="AX17" s="20">
        <v>51043</v>
      </c>
      <c r="AY17" s="20">
        <v>22576</v>
      </c>
      <c r="AZ17" s="20">
        <v>28467</v>
      </c>
      <c r="BA17" s="20">
        <v>69448</v>
      </c>
      <c r="BB17" s="20">
        <v>35211</v>
      </c>
      <c r="BC17" s="20">
        <v>34237</v>
      </c>
      <c r="BD17" s="20">
        <v>187610</v>
      </c>
      <c r="BE17" s="20">
        <v>74857</v>
      </c>
      <c r="BF17" s="20">
        <v>112753</v>
      </c>
    </row>
    <row r="18" spans="1:58" ht="21" customHeight="1">
      <c r="A18" s="53" t="s">
        <v>156</v>
      </c>
      <c r="B18" s="19" t="s">
        <v>11</v>
      </c>
      <c r="C18" s="20">
        <v>5</v>
      </c>
      <c r="D18" s="20">
        <v>379</v>
      </c>
      <c r="E18" s="20">
        <v>37</v>
      </c>
      <c r="F18" s="20">
        <v>342</v>
      </c>
      <c r="G18" s="20">
        <v>37</v>
      </c>
      <c r="H18" s="20">
        <v>342</v>
      </c>
      <c r="I18" s="20">
        <v>0</v>
      </c>
      <c r="J18" s="20">
        <v>0</v>
      </c>
      <c r="K18" s="20">
        <v>0</v>
      </c>
      <c r="L18" s="20">
        <v>0</v>
      </c>
      <c r="M18" s="20">
        <v>9</v>
      </c>
      <c r="N18" s="20">
        <v>141</v>
      </c>
      <c r="O18" s="20">
        <v>2</v>
      </c>
      <c r="P18" s="20">
        <v>68</v>
      </c>
      <c r="Q18" s="20">
        <v>7</v>
      </c>
      <c r="R18" s="20">
        <v>73</v>
      </c>
      <c r="S18" s="20">
        <v>0</v>
      </c>
      <c r="T18" s="20">
        <v>0</v>
      </c>
      <c r="U18" s="20">
        <v>29</v>
      </c>
      <c r="V18" s="20">
        <v>1297</v>
      </c>
      <c r="W18" s="20">
        <v>2519</v>
      </c>
      <c r="X18" s="20">
        <v>906</v>
      </c>
      <c r="Y18" s="20">
        <v>1613</v>
      </c>
      <c r="Z18" s="20">
        <v>326</v>
      </c>
      <c r="AA18" s="20">
        <v>166</v>
      </c>
      <c r="AB18" s="20">
        <v>160</v>
      </c>
      <c r="AC18" s="20">
        <v>359</v>
      </c>
      <c r="AD18" s="20">
        <v>142</v>
      </c>
      <c r="AE18" s="20">
        <v>217</v>
      </c>
      <c r="AF18" s="20">
        <v>1834</v>
      </c>
      <c r="AG18" s="20">
        <v>598</v>
      </c>
      <c r="AH18" s="20">
        <v>1236</v>
      </c>
      <c r="AI18" s="20">
        <v>300765</v>
      </c>
      <c r="AJ18" s="20">
        <v>112778</v>
      </c>
      <c r="AK18" s="20">
        <v>187987</v>
      </c>
      <c r="AL18" s="20">
        <v>41767</v>
      </c>
      <c r="AM18" s="20">
        <v>20118</v>
      </c>
      <c r="AN18" s="20">
        <v>21649</v>
      </c>
      <c r="AO18" s="20">
        <v>50064</v>
      </c>
      <c r="AP18" s="20">
        <v>21780</v>
      </c>
      <c r="AQ18" s="20">
        <v>28284</v>
      </c>
      <c r="AR18" s="20">
        <v>208934</v>
      </c>
      <c r="AS18" s="20">
        <v>70880</v>
      </c>
      <c r="AT18" s="20">
        <v>138054</v>
      </c>
      <c r="AU18" s="20">
        <v>601423</v>
      </c>
      <c r="AV18" s="20">
        <v>227667.5</v>
      </c>
      <c r="AW18" s="20">
        <v>373755.5</v>
      </c>
      <c r="AX18" s="20">
        <v>84327</v>
      </c>
      <c r="AY18" s="20">
        <v>40497.5</v>
      </c>
      <c r="AZ18" s="20">
        <v>43829.5</v>
      </c>
      <c r="BA18" s="20">
        <v>102239.5</v>
      </c>
      <c r="BB18" s="20">
        <v>45140.5</v>
      </c>
      <c r="BC18" s="20">
        <v>57099</v>
      </c>
      <c r="BD18" s="20">
        <v>414856.5</v>
      </c>
      <c r="BE18" s="20">
        <v>142029.5</v>
      </c>
      <c r="BF18" s="20">
        <v>272827</v>
      </c>
    </row>
    <row r="19" spans="1:58" ht="21" customHeight="1">
      <c r="A19" s="53" t="s">
        <v>157</v>
      </c>
      <c r="B19" s="19" t="s">
        <v>12</v>
      </c>
      <c r="C19" s="20">
        <v>11</v>
      </c>
      <c r="D19" s="20">
        <v>339</v>
      </c>
      <c r="E19" s="20">
        <v>17</v>
      </c>
      <c r="F19" s="20">
        <v>322</v>
      </c>
      <c r="G19" s="20">
        <v>17</v>
      </c>
      <c r="H19" s="20">
        <v>322</v>
      </c>
      <c r="I19" s="20">
        <v>0</v>
      </c>
      <c r="J19" s="20">
        <v>0</v>
      </c>
      <c r="K19" s="20">
        <v>0</v>
      </c>
      <c r="L19" s="20">
        <v>0</v>
      </c>
      <c r="M19" s="20">
        <v>16</v>
      </c>
      <c r="N19" s="20">
        <v>52</v>
      </c>
      <c r="O19" s="20">
        <v>1</v>
      </c>
      <c r="P19" s="20">
        <v>8</v>
      </c>
      <c r="Q19" s="20">
        <v>10</v>
      </c>
      <c r="R19" s="20">
        <v>35</v>
      </c>
      <c r="S19" s="20">
        <v>5</v>
      </c>
      <c r="T19" s="20">
        <v>9</v>
      </c>
      <c r="U19" s="20">
        <v>20</v>
      </c>
      <c r="V19" s="20">
        <v>136</v>
      </c>
      <c r="W19" s="20">
        <v>1970</v>
      </c>
      <c r="X19" s="20">
        <v>805</v>
      </c>
      <c r="Y19" s="20">
        <v>1165</v>
      </c>
      <c r="Z19" s="20">
        <v>196</v>
      </c>
      <c r="AA19" s="20">
        <v>135</v>
      </c>
      <c r="AB19" s="20">
        <v>61</v>
      </c>
      <c r="AC19" s="20">
        <v>492</v>
      </c>
      <c r="AD19" s="20">
        <v>201</v>
      </c>
      <c r="AE19" s="20">
        <v>291</v>
      </c>
      <c r="AF19" s="20">
        <v>1282</v>
      </c>
      <c r="AG19" s="20">
        <v>469</v>
      </c>
      <c r="AH19" s="20">
        <v>813</v>
      </c>
      <c r="AI19" s="20">
        <v>215495</v>
      </c>
      <c r="AJ19" s="20">
        <v>90928</v>
      </c>
      <c r="AK19" s="20">
        <v>124567</v>
      </c>
      <c r="AL19" s="20">
        <v>23723</v>
      </c>
      <c r="AM19" s="20">
        <v>16133</v>
      </c>
      <c r="AN19" s="20">
        <v>7590</v>
      </c>
      <c r="AO19" s="20">
        <v>58039</v>
      </c>
      <c r="AP19" s="20">
        <v>23848</v>
      </c>
      <c r="AQ19" s="20">
        <v>34191</v>
      </c>
      <c r="AR19" s="20">
        <v>133733</v>
      </c>
      <c r="AS19" s="20">
        <v>50947</v>
      </c>
      <c r="AT19" s="20">
        <v>82786</v>
      </c>
      <c r="AU19" s="20">
        <v>450046</v>
      </c>
      <c r="AV19" s="20">
        <v>191957.5</v>
      </c>
      <c r="AW19" s="20">
        <v>258088.5</v>
      </c>
      <c r="AX19" s="20">
        <v>47305.5</v>
      </c>
      <c r="AY19" s="20">
        <v>32394.5</v>
      </c>
      <c r="AZ19" s="20">
        <v>14911</v>
      </c>
      <c r="BA19" s="20">
        <v>122657.5</v>
      </c>
      <c r="BB19" s="20">
        <v>51834.5</v>
      </c>
      <c r="BC19" s="20">
        <v>70823</v>
      </c>
      <c r="BD19" s="20">
        <v>280083</v>
      </c>
      <c r="BE19" s="20">
        <v>107728.5</v>
      </c>
      <c r="BF19" s="20">
        <v>172354.5</v>
      </c>
    </row>
    <row r="20" spans="1:58" ht="21" customHeight="1">
      <c r="A20" s="53" t="s">
        <v>158</v>
      </c>
      <c r="B20" s="19" t="s">
        <v>13</v>
      </c>
      <c r="C20" s="20">
        <v>7</v>
      </c>
      <c r="D20" s="20">
        <v>289</v>
      </c>
      <c r="E20" s="20">
        <v>22</v>
      </c>
      <c r="F20" s="20">
        <v>267</v>
      </c>
      <c r="G20" s="20">
        <v>22</v>
      </c>
      <c r="H20" s="20">
        <v>267</v>
      </c>
      <c r="I20" s="20">
        <v>0</v>
      </c>
      <c r="J20" s="20">
        <v>0</v>
      </c>
      <c r="K20" s="20">
        <v>0</v>
      </c>
      <c r="L20" s="20">
        <v>0</v>
      </c>
      <c r="M20" s="20">
        <v>3</v>
      </c>
      <c r="N20" s="20">
        <v>75</v>
      </c>
      <c r="O20" s="20">
        <v>2</v>
      </c>
      <c r="P20" s="20">
        <v>50</v>
      </c>
      <c r="Q20" s="20">
        <v>1</v>
      </c>
      <c r="R20" s="20">
        <v>25</v>
      </c>
      <c r="S20" s="20">
        <v>0</v>
      </c>
      <c r="T20" s="20">
        <v>0</v>
      </c>
      <c r="U20" s="20">
        <v>30</v>
      </c>
      <c r="V20" s="20">
        <v>1174</v>
      </c>
      <c r="W20" s="20">
        <v>2101</v>
      </c>
      <c r="X20" s="20">
        <v>816</v>
      </c>
      <c r="Y20" s="20">
        <v>1285</v>
      </c>
      <c r="Z20" s="20">
        <v>270</v>
      </c>
      <c r="AA20" s="20">
        <v>189</v>
      </c>
      <c r="AB20" s="20">
        <v>81</v>
      </c>
      <c r="AC20" s="20">
        <v>363</v>
      </c>
      <c r="AD20" s="20">
        <v>147</v>
      </c>
      <c r="AE20" s="20">
        <v>216</v>
      </c>
      <c r="AF20" s="20">
        <v>1468</v>
      </c>
      <c r="AG20" s="20">
        <v>480</v>
      </c>
      <c r="AH20" s="20">
        <v>988</v>
      </c>
      <c r="AI20" s="20">
        <v>270014</v>
      </c>
      <c r="AJ20" s="20">
        <v>103327</v>
      </c>
      <c r="AK20" s="20">
        <v>166687</v>
      </c>
      <c r="AL20" s="20">
        <v>35414</v>
      </c>
      <c r="AM20" s="20">
        <v>23586</v>
      </c>
      <c r="AN20" s="20">
        <v>11828</v>
      </c>
      <c r="AO20" s="20">
        <v>51154</v>
      </c>
      <c r="AP20" s="20">
        <v>19824</v>
      </c>
      <c r="AQ20" s="20">
        <v>31330</v>
      </c>
      <c r="AR20" s="20">
        <v>183446</v>
      </c>
      <c r="AS20" s="20">
        <v>59917</v>
      </c>
      <c r="AT20" s="20">
        <v>123529</v>
      </c>
      <c r="AU20" s="20">
        <v>524793</v>
      </c>
      <c r="AV20" s="20">
        <v>200852.5</v>
      </c>
      <c r="AW20" s="20">
        <v>323940.5</v>
      </c>
      <c r="AX20" s="20">
        <v>68941</v>
      </c>
      <c r="AY20" s="20">
        <v>46151</v>
      </c>
      <c r="AZ20" s="20">
        <v>22790</v>
      </c>
      <c r="BA20" s="20">
        <v>100090</v>
      </c>
      <c r="BB20" s="20">
        <v>38852.5</v>
      </c>
      <c r="BC20" s="20">
        <v>61237.5</v>
      </c>
      <c r="BD20" s="20">
        <v>355762</v>
      </c>
      <c r="BE20" s="20">
        <v>115849</v>
      </c>
      <c r="BF20" s="20">
        <v>239913</v>
      </c>
    </row>
    <row r="21" spans="1:58" ht="21" customHeight="1">
      <c r="A21" s="53" t="s">
        <v>159</v>
      </c>
      <c r="B21" s="19" t="s">
        <v>14</v>
      </c>
      <c r="C21" s="20">
        <v>3</v>
      </c>
      <c r="D21" s="20">
        <v>236</v>
      </c>
      <c r="E21" s="20">
        <v>26</v>
      </c>
      <c r="F21" s="20">
        <v>210</v>
      </c>
      <c r="G21" s="20">
        <v>22</v>
      </c>
      <c r="H21" s="20">
        <v>163</v>
      </c>
      <c r="I21" s="20">
        <v>3</v>
      </c>
      <c r="J21" s="20">
        <v>45</v>
      </c>
      <c r="K21" s="20">
        <v>1</v>
      </c>
      <c r="L21" s="20">
        <v>2</v>
      </c>
      <c r="M21" s="20">
        <v>2</v>
      </c>
      <c r="N21" s="20">
        <v>22</v>
      </c>
      <c r="O21" s="20">
        <v>1</v>
      </c>
      <c r="P21" s="20">
        <v>11</v>
      </c>
      <c r="Q21" s="20">
        <v>0</v>
      </c>
      <c r="R21" s="20">
        <v>0</v>
      </c>
      <c r="S21" s="20">
        <v>1</v>
      </c>
      <c r="T21" s="20">
        <v>11</v>
      </c>
      <c r="U21" s="20">
        <v>5</v>
      </c>
      <c r="V21" s="20">
        <v>79</v>
      </c>
      <c r="W21" s="20">
        <v>1395</v>
      </c>
      <c r="X21" s="20">
        <v>554</v>
      </c>
      <c r="Y21" s="20">
        <v>841</v>
      </c>
      <c r="Z21" s="20">
        <v>387</v>
      </c>
      <c r="AA21" s="20">
        <v>184</v>
      </c>
      <c r="AB21" s="20">
        <v>203</v>
      </c>
      <c r="AC21" s="20">
        <v>191</v>
      </c>
      <c r="AD21" s="20">
        <v>84</v>
      </c>
      <c r="AE21" s="20">
        <v>107</v>
      </c>
      <c r="AF21" s="20">
        <v>817</v>
      </c>
      <c r="AG21" s="20">
        <v>286</v>
      </c>
      <c r="AH21" s="20">
        <v>531</v>
      </c>
      <c r="AI21" s="20">
        <v>256838</v>
      </c>
      <c r="AJ21" s="20">
        <v>107184</v>
      </c>
      <c r="AK21" s="20">
        <v>149654</v>
      </c>
      <c r="AL21" s="20">
        <v>81347</v>
      </c>
      <c r="AM21" s="20">
        <v>39298</v>
      </c>
      <c r="AN21" s="20">
        <v>42049</v>
      </c>
      <c r="AO21" s="20">
        <v>34279</v>
      </c>
      <c r="AP21" s="20">
        <v>14211</v>
      </c>
      <c r="AQ21" s="20">
        <v>20068</v>
      </c>
      <c r="AR21" s="20">
        <v>141212</v>
      </c>
      <c r="AS21" s="20">
        <v>53675</v>
      </c>
      <c r="AT21" s="20">
        <v>87537</v>
      </c>
      <c r="AU21" s="20">
        <v>380567.5</v>
      </c>
      <c r="AV21" s="20">
        <v>159827</v>
      </c>
      <c r="AW21" s="20">
        <v>220740.5</v>
      </c>
      <c r="AX21" s="20">
        <v>123475</v>
      </c>
      <c r="AY21" s="20">
        <v>58823</v>
      </c>
      <c r="AZ21" s="20">
        <v>64652</v>
      </c>
      <c r="BA21" s="20">
        <v>49942.5</v>
      </c>
      <c r="BB21" s="20">
        <v>20150</v>
      </c>
      <c r="BC21" s="20">
        <v>29792.5</v>
      </c>
      <c r="BD21" s="20">
        <v>207150</v>
      </c>
      <c r="BE21" s="20">
        <v>80854</v>
      </c>
      <c r="BF21" s="20">
        <v>126296</v>
      </c>
    </row>
    <row r="22" spans="1:58" ht="21" customHeight="1">
      <c r="A22" s="53" t="s">
        <v>160</v>
      </c>
      <c r="B22" s="19" t="s">
        <v>15</v>
      </c>
      <c r="C22" s="20">
        <v>10</v>
      </c>
      <c r="D22" s="20">
        <v>398</v>
      </c>
      <c r="E22" s="20">
        <v>24</v>
      </c>
      <c r="F22" s="20">
        <v>374</v>
      </c>
      <c r="G22" s="20">
        <v>24</v>
      </c>
      <c r="H22" s="20">
        <v>374</v>
      </c>
      <c r="I22" s="20">
        <v>0</v>
      </c>
      <c r="J22" s="20">
        <v>0</v>
      </c>
      <c r="K22" s="20">
        <v>0</v>
      </c>
      <c r="L22" s="20">
        <v>0</v>
      </c>
      <c r="M22" s="20">
        <v>1</v>
      </c>
      <c r="N22" s="20">
        <v>39</v>
      </c>
      <c r="O22" s="20">
        <v>1</v>
      </c>
      <c r="P22" s="20">
        <v>39</v>
      </c>
      <c r="Q22" s="20">
        <v>0</v>
      </c>
      <c r="R22" s="20">
        <v>0</v>
      </c>
      <c r="S22" s="20">
        <v>0</v>
      </c>
      <c r="T22" s="20">
        <v>0</v>
      </c>
      <c r="U22" s="20">
        <v>153</v>
      </c>
      <c r="V22" s="20">
        <v>784</v>
      </c>
      <c r="W22" s="20">
        <v>2518</v>
      </c>
      <c r="X22" s="20">
        <v>1046</v>
      </c>
      <c r="Y22" s="20">
        <v>1472</v>
      </c>
      <c r="Z22" s="20">
        <v>578</v>
      </c>
      <c r="AA22" s="20">
        <v>313</v>
      </c>
      <c r="AB22" s="20">
        <v>265</v>
      </c>
      <c r="AC22" s="20">
        <v>482</v>
      </c>
      <c r="AD22" s="20">
        <v>208</v>
      </c>
      <c r="AE22" s="20">
        <v>274</v>
      </c>
      <c r="AF22" s="20">
        <v>1458</v>
      </c>
      <c r="AG22" s="20">
        <v>525</v>
      </c>
      <c r="AH22" s="20">
        <v>933</v>
      </c>
      <c r="AI22" s="20">
        <v>310739</v>
      </c>
      <c r="AJ22" s="20">
        <v>132729</v>
      </c>
      <c r="AK22" s="20">
        <v>178010</v>
      </c>
      <c r="AL22" s="20">
        <v>63286</v>
      </c>
      <c r="AM22" s="20">
        <v>34253</v>
      </c>
      <c r="AN22" s="20">
        <v>29033</v>
      </c>
      <c r="AO22" s="20">
        <v>77228</v>
      </c>
      <c r="AP22" s="20">
        <v>33212</v>
      </c>
      <c r="AQ22" s="20">
        <v>44016</v>
      </c>
      <c r="AR22" s="20">
        <v>170225</v>
      </c>
      <c r="AS22" s="20">
        <v>65264</v>
      </c>
      <c r="AT22" s="20">
        <v>104961</v>
      </c>
      <c r="AU22" s="20">
        <v>616653.6</v>
      </c>
      <c r="AV22" s="20">
        <v>260849.2</v>
      </c>
      <c r="AW22" s="20">
        <v>355804.4</v>
      </c>
      <c r="AX22" s="20">
        <v>129984.5</v>
      </c>
      <c r="AY22" s="20">
        <v>70865.5</v>
      </c>
      <c r="AZ22" s="20">
        <v>59119</v>
      </c>
      <c r="BA22" s="20">
        <v>166773</v>
      </c>
      <c r="BB22" s="20">
        <v>67683.5</v>
      </c>
      <c r="BC22" s="20">
        <v>99089.5</v>
      </c>
      <c r="BD22" s="20">
        <v>319896.09999999998</v>
      </c>
      <c r="BE22" s="20">
        <v>122300.2</v>
      </c>
      <c r="BF22" s="20">
        <v>197595.9</v>
      </c>
    </row>
    <row r="23" spans="1:58" ht="21" customHeight="1">
      <c r="A23" s="53" t="s">
        <v>161</v>
      </c>
      <c r="B23" s="19" t="s">
        <v>16</v>
      </c>
      <c r="C23" s="20">
        <v>3</v>
      </c>
      <c r="D23" s="20">
        <v>132</v>
      </c>
      <c r="E23" s="20">
        <v>4</v>
      </c>
      <c r="F23" s="20">
        <v>128</v>
      </c>
      <c r="G23" s="20">
        <v>4</v>
      </c>
      <c r="H23" s="20">
        <v>128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689</v>
      </c>
      <c r="X23" s="20">
        <v>318</v>
      </c>
      <c r="Y23" s="20">
        <v>371</v>
      </c>
      <c r="Z23" s="20">
        <v>257</v>
      </c>
      <c r="AA23" s="20">
        <v>161</v>
      </c>
      <c r="AB23" s="20">
        <v>96</v>
      </c>
      <c r="AC23" s="20">
        <v>133</v>
      </c>
      <c r="AD23" s="20">
        <v>59</v>
      </c>
      <c r="AE23" s="20">
        <v>74</v>
      </c>
      <c r="AF23" s="20">
        <v>299</v>
      </c>
      <c r="AG23" s="20">
        <v>98</v>
      </c>
      <c r="AH23" s="20">
        <v>201</v>
      </c>
      <c r="AI23" s="20">
        <v>85775</v>
      </c>
      <c r="AJ23" s="20">
        <v>41920</v>
      </c>
      <c r="AK23" s="20">
        <v>43855</v>
      </c>
      <c r="AL23" s="20">
        <v>34137</v>
      </c>
      <c r="AM23" s="20">
        <v>19804</v>
      </c>
      <c r="AN23" s="20">
        <v>14333</v>
      </c>
      <c r="AO23" s="20">
        <v>18587</v>
      </c>
      <c r="AP23" s="20">
        <v>8892</v>
      </c>
      <c r="AQ23" s="20">
        <v>9695</v>
      </c>
      <c r="AR23" s="20">
        <v>33051</v>
      </c>
      <c r="AS23" s="20">
        <v>13224</v>
      </c>
      <c r="AT23" s="20">
        <v>19827</v>
      </c>
      <c r="AU23" s="20">
        <v>156602</v>
      </c>
      <c r="AV23" s="20">
        <v>77396</v>
      </c>
      <c r="AW23" s="20">
        <v>79206</v>
      </c>
      <c r="AX23" s="20">
        <v>64150.5</v>
      </c>
      <c r="AY23" s="20">
        <v>34456</v>
      </c>
      <c r="AZ23" s="20">
        <v>29694.5</v>
      </c>
      <c r="BA23" s="20">
        <v>36276</v>
      </c>
      <c r="BB23" s="20">
        <v>19592</v>
      </c>
      <c r="BC23" s="20">
        <v>16684</v>
      </c>
      <c r="BD23" s="20">
        <v>56175.5</v>
      </c>
      <c r="BE23" s="20">
        <v>23348</v>
      </c>
      <c r="BF23" s="20">
        <v>32827.5</v>
      </c>
    </row>
    <row r="24" spans="1:58" ht="21" customHeight="1">
      <c r="A24" s="53" t="s">
        <v>162</v>
      </c>
      <c r="B24" s="19" t="s">
        <v>17</v>
      </c>
      <c r="C24" s="20">
        <v>2</v>
      </c>
      <c r="D24" s="20">
        <v>121</v>
      </c>
      <c r="E24" s="20">
        <v>3</v>
      </c>
      <c r="F24" s="20">
        <v>118</v>
      </c>
      <c r="G24" s="20">
        <v>3</v>
      </c>
      <c r="H24" s="20">
        <v>118</v>
      </c>
      <c r="I24" s="20">
        <v>0</v>
      </c>
      <c r="J24" s="20">
        <v>0</v>
      </c>
      <c r="K24" s="20">
        <v>0</v>
      </c>
      <c r="L24" s="20">
        <v>0</v>
      </c>
      <c r="M24" s="20">
        <v>2</v>
      </c>
      <c r="N24" s="20">
        <v>18</v>
      </c>
      <c r="O24" s="20">
        <v>0</v>
      </c>
      <c r="P24" s="20">
        <v>0</v>
      </c>
      <c r="Q24" s="20">
        <v>1</v>
      </c>
      <c r="R24" s="20">
        <v>8</v>
      </c>
      <c r="S24" s="20">
        <v>1</v>
      </c>
      <c r="T24" s="20">
        <v>10</v>
      </c>
      <c r="U24" s="20">
        <v>30</v>
      </c>
      <c r="V24" s="20">
        <v>147</v>
      </c>
      <c r="W24" s="20">
        <v>932</v>
      </c>
      <c r="X24" s="20">
        <v>484</v>
      </c>
      <c r="Y24" s="20">
        <v>448</v>
      </c>
      <c r="Z24" s="20">
        <v>274</v>
      </c>
      <c r="AA24" s="20">
        <v>170</v>
      </c>
      <c r="AB24" s="20">
        <v>104</v>
      </c>
      <c r="AC24" s="20">
        <v>158</v>
      </c>
      <c r="AD24" s="20">
        <v>86</v>
      </c>
      <c r="AE24" s="20">
        <v>72</v>
      </c>
      <c r="AF24" s="20">
        <v>500</v>
      </c>
      <c r="AG24" s="20">
        <v>228</v>
      </c>
      <c r="AH24" s="20">
        <v>272</v>
      </c>
      <c r="AI24" s="20">
        <v>111282</v>
      </c>
      <c r="AJ24" s="20">
        <v>56925</v>
      </c>
      <c r="AK24" s="20">
        <v>54357</v>
      </c>
      <c r="AL24" s="20">
        <v>34154</v>
      </c>
      <c r="AM24" s="20">
        <v>20988</v>
      </c>
      <c r="AN24" s="20">
        <v>13166</v>
      </c>
      <c r="AO24" s="20">
        <v>20473</v>
      </c>
      <c r="AP24" s="20">
        <v>11461</v>
      </c>
      <c r="AQ24" s="20">
        <v>9012</v>
      </c>
      <c r="AR24" s="20">
        <v>56655</v>
      </c>
      <c r="AS24" s="20">
        <v>24476</v>
      </c>
      <c r="AT24" s="20">
        <v>32179</v>
      </c>
      <c r="AU24" s="20">
        <v>214077</v>
      </c>
      <c r="AV24" s="20">
        <v>110701</v>
      </c>
      <c r="AW24" s="20">
        <v>103376</v>
      </c>
      <c r="AX24" s="20">
        <v>65704.5</v>
      </c>
      <c r="AY24" s="20">
        <v>39757.5</v>
      </c>
      <c r="AZ24" s="20">
        <v>25947</v>
      </c>
      <c r="BA24" s="20">
        <v>38448.5</v>
      </c>
      <c r="BB24" s="20">
        <v>21314.5</v>
      </c>
      <c r="BC24" s="20">
        <v>17134</v>
      </c>
      <c r="BD24" s="20">
        <v>109924</v>
      </c>
      <c r="BE24" s="20">
        <v>49629</v>
      </c>
      <c r="BF24" s="20">
        <v>60295</v>
      </c>
    </row>
    <row r="25" spans="1:58" ht="21" customHeight="1">
      <c r="A25" s="53" t="s">
        <v>163</v>
      </c>
      <c r="B25" s="19" t="s">
        <v>18</v>
      </c>
      <c r="C25" s="20">
        <v>1</v>
      </c>
      <c r="D25" s="20">
        <v>47</v>
      </c>
      <c r="E25" s="20">
        <v>3</v>
      </c>
      <c r="F25" s="20">
        <v>44</v>
      </c>
      <c r="G25" s="20">
        <v>0</v>
      </c>
      <c r="H25" s="20">
        <v>0</v>
      </c>
      <c r="I25" s="20">
        <v>3</v>
      </c>
      <c r="J25" s="20">
        <v>44</v>
      </c>
      <c r="K25" s="20">
        <v>0</v>
      </c>
      <c r="L25" s="20">
        <v>0</v>
      </c>
      <c r="M25" s="20">
        <v>1</v>
      </c>
      <c r="N25" s="20">
        <v>5</v>
      </c>
      <c r="O25" s="20">
        <v>1</v>
      </c>
      <c r="P25" s="20">
        <v>5</v>
      </c>
      <c r="Q25" s="20">
        <v>0</v>
      </c>
      <c r="R25" s="20">
        <v>0</v>
      </c>
      <c r="S25" s="20">
        <v>0</v>
      </c>
      <c r="T25" s="20">
        <v>0</v>
      </c>
      <c r="U25" s="20">
        <v>3</v>
      </c>
      <c r="V25" s="20">
        <v>76</v>
      </c>
      <c r="W25" s="20">
        <v>437</v>
      </c>
      <c r="X25" s="20">
        <v>177</v>
      </c>
      <c r="Y25" s="20">
        <v>260</v>
      </c>
      <c r="Z25" s="20">
        <v>83</v>
      </c>
      <c r="AA25" s="20">
        <v>49</v>
      </c>
      <c r="AB25" s="20">
        <v>34</v>
      </c>
      <c r="AC25" s="20">
        <v>125</v>
      </c>
      <c r="AD25" s="20">
        <v>52</v>
      </c>
      <c r="AE25" s="20">
        <v>73</v>
      </c>
      <c r="AF25" s="20">
        <v>229</v>
      </c>
      <c r="AG25" s="20">
        <v>76</v>
      </c>
      <c r="AH25" s="20">
        <v>153</v>
      </c>
      <c r="AI25" s="20">
        <v>60216</v>
      </c>
      <c r="AJ25" s="20">
        <v>25234</v>
      </c>
      <c r="AK25" s="20">
        <v>34982</v>
      </c>
      <c r="AL25" s="20">
        <v>13633</v>
      </c>
      <c r="AM25" s="20">
        <v>7382</v>
      </c>
      <c r="AN25" s="20">
        <v>6251</v>
      </c>
      <c r="AO25" s="20">
        <v>19496</v>
      </c>
      <c r="AP25" s="20">
        <v>8462</v>
      </c>
      <c r="AQ25" s="20">
        <v>11034</v>
      </c>
      <c r="AR25" s="20">
        <v>27087</v>
      </c>
      <c r="AS25" s="20">
        <v>9390</v>
      </c>
      <c r="AT25" s="20">
        <v>17697</v>
      </c>
      <c r="AU25" s="20">
        <v>55438</v>
      </c>
      <c r="AV25" s="20">
        <v>24082</v>
      </c>
      <c r="AW25" s="20">
        <v>31356</v>
      </c>
      <c r="AX25" s="20">
        <v>12309.5</v>
      </c>
      <c r="AY25" s="20">
        <v>6887.5</v>
      </c>
      <c r="AZ25" s="20">
        <v>5422</v>
      </c>
      <c r="BA25" s="20">
        <v>18238.5</v>
      </c>
      <c r="BB25" s="20">
        <v>7990</v>
      </c>
      <c r="BC25" s="20">
        <v>10248.5</v>
      </c>
      <c r="BD25" s="20">
        <v>24890</v>
      </c>
      <c r="BE25" s="20">
        <v>9204.5</v>
      </c>
      <c r="BF25" s="20">
        <v>15685.5</v>
      </c>
    </row>
    <row r="26" spans="1:58" ht="21" customHeight="1">
      <c r="A26" s="53" t="s">
        <v>164</v>
      </c>
      <c r="B26" s="19" t="s">
        <v>19</v>
      </c>
      <c r="C26" s="20">
        <v>2</v>
      </c>
      <c r="D26" s="20">
        <v>70</v>
      </c>
      <c r="E26" s="20">
        <v>8</v>
      </c>
      <c r="F26" s="20">
        <v>62</v>
      </c>
      <c r="G26" s="20">
        <v>8</v>
      </c>
      <c r="H26" s="20">
        <v>62</v>
      </c>
      <c r="I26" s="20">
        <v>0</v>
      </c>
      <c r="J26" s="20">
        <v>0</v>
      </c>
      <c r="K26" s="20">
        <v>0</v>
      </c>
      <c r="L26" s="20">
        <v>0</v>
      </c>
      <c r="M26" s="20">
        <v>9</v>
      </c>
      <c r="N26" s="20">
        <v>37</v>
      </c>
      <c r="O26" s="20">
        <v>0</v>
      </c>
      <c r="P26" s="20">
        <v>0</v>
      </c>
      <c r="Q26" s="20">
        <v>7</v>
      </c>
      <c r="R26" s="20">
        <v>34</v>
      </c>
      <c r="S26" s="20">
        <v>2</v>
      </c>
      <c r="T26" s="20">
        <v>3</v>
      </c>
      <c r="U26" s="20">
        <v>5</v>
      </c>
      <c r="V26" s="20">
        <v>368</v>
      </c>
      <c r="W26" s="20">
        <v>351</v>
      </c>
      <c r="X26" s="20">
        <v>140</v>
      </c>
      <c r="Y26" s="20">
        <v>211</v>
      </c>
      <c r="Z26" s="20">
        <v>113</v>
      </c>
      <c r="AA26" s="20">
        <v>48</v>
      </c>
      <c r="AB26" s="20">
        <v>65</v>
      </c>
      <c r="AC26" s="20">
        <v>56</v>
      </c>
      <c r="AD26" s="20">
        <v>26</v>
      </c>
      <c r="AE26" s="20">
        <v>30</v>
      </c>
      <c r="AF26" s="20">
        <v>182</v>
      </c>
      <c r="AG26" s="20">
        <v>66</v>
      </c>
      <c r="AH26" s="20">
        <v>116</v>
      </c>
      <c r="AI26" s="20">
        <v>46030</v>
      </c>
      <c r="AJ26" s="20">
        <v>18896</v>
      </c>
      <c r="AK26" s="20">
        <v>27134</v>
      </c>
      <c r="AL26" s="20">
        <v>16637</v>
      </c>
      <c r="AM26" s="20">
        <v>7616</v>
      </c>
      <c r="AN26" s="20">
        <v>9021</v>
      </c>
      <c r="AO26" s="20">
        <v>7676</v>
      </c>
      <c r="AP26" s="20">
        <v>4051</v>
      </c>
      <c r="AQ26" s="20">
        <v>3625</v>
      </c>
      <c r="AR26" s="20">
        <v>21717</v>
      </c>
      <c r="AS26" s="20">
        <v>7229</v>
      </c>
      <c r="AT26" s="20">
        <v>14488</v>
      </c>
      <c r="AU26" s="20">
        <v>102651</v>
      </c>
      <c r="AV26" s="20">
        <v>41415</v>
      </c>
      <c r="AW26" s="20">
        <v>61236</v>
      </c>
      <c r="AX26" s="20">
        <v>39212</v>
      </c>
      <c r="AY26" s="20">
        <v>16405</v>
      </c>
      <c r="AZ26" s="20">
        <v>22807</v>
      </c>
      <c r="BA26" s="20">
        <v>18211</v>
      </c>
      <c r="BB26" s="20">
        <v>9545</v>
      </c>
      <c r="BC26" s="20">
        <v>8666</v>
      </c>
      <c r="BD26" s="20">
        <v>45228</v>
      </c>
      <c r="BE26" s="20">
        <v>15465</v>
      </c>
      <c r="BF26" s="20">
        <v>29763</v>
      </c>
    </row>
    <row r="27" spans="1:58" ht="21" customHeight="1">
      <c r="A27" s="53" t="s">
        <v>165</v>
      </c>
      <c r="B27" s="19" t="s">
        <v>20</v>
      </c>
      <c r="C27" s="20">
        <v>3</v>
      </c>
      <c r="D27" s="20">
        <v>60</v>
      </c>
      <c r="E27" s="20">
        <v>9</v>
      </c>
      <c r="F27" s="20">
        <v>51</v>
      </c>
      <c r="G27" s="20">
        <v>8</v>
      </c>
      <c r="H27" s="20">
        <v>49</v>
      </c>
      <c r="I27" s="20">
        <v>1</v>
      </c>
      <c r="J27" s="20">
        <v>2</v>
      </c>
      <c r="K27" s="20">
        <v>0</v>
      </c>
      <c r="L27" s="20">
        <v>0</v>
      </c>
      <c r="M27" s="20">
        <v>7</v>
      </c>
      <c r="N27" s="20">
        <v>14</v>
      </c>
      <c r="O27" s="20">
        <v>0</v>
      </c>
      <c r="P27" s="20">
        <v>0</v>
      </c>
      <c r="Q27" s="20">
        <v>6</v>
      </c>
      <c r="R27" s="20">
        <v>11</v>
      </c>
      <c r="S27" s="20">
        <v>1</v>
      </c>
      <c r="T27" s="20">
        <v>3</v>
      </c>
      <c r="U27" s="20">
        <v>6</v>
      </c>
      <c r="V27" s="20">
        <v>158</v>
      </c>
      <c r="W27" s="20">
        <v>302</v>
      </c>
      <c r="X27" s="20">
        <v>136</v>
      </c>
      <c r="Y27" s="20">
        <v>166</v>
      </c>
      <c r="Z27" s="20">
        <v>64</v>
      </c>
      <c r="AA27" s="20">
        <v>35</v>
      </c>
      <c r="AB27" s="20">
        <v>29</v>
      </c>
      <c r="AC27" s="20">
        <v>55</v>
      </c>
      <c r="AD27" s="20">
        <v>29</v>
      </c>
      <c r="AE27" s="20">
        <v>26</v>
      </c>
      <c r="AF27" s="20">
        <v>183</v>
      </c>
      <c r="AG27" s="20">
        <v>72</v>
      </c>
      <c r="AH27" s="20">
        <v>111</v>
      </c>
      <c r="AI27" s="20">
        <v>41295</v>
      </c>
      <c r="AJ27" s="20">
        <v>19746</v>
      </c>
      <c r="AK27" s="20">
        <v>21549</v>
      </c>
      <c r="AL27" s="20">
        <v>8545</v>
      </c>
      <c r="AM27" s="20">
        <v>4611</v>
      </c>
      <c r="AN27" s="20">
        <v>3934</v>
      </c>
      <c r="AO27" s="20">
        <v>7525</v>
      </c>
      <c r="AP27" s="20">
        <v>4452</v>
      </c>
      <c r="AQ27" s="20">
        <v>3073</v>
      </c>
      <c r="AR27" s="20">
        <v>25225</v>
      </c>
      <c r="AS27" s="20">
        <v>10683</v>
      </c>
      <c r="AT27" s="20">
        <v>14542</v>
      </c>
      <c r="AU27" s="20">
        <v>76158</v>
      </c>
      <c r="AV27" s="20">
        <v>35950</v>
      </c>
      <c r="AW27" s="20">
        <v>40208</v>
      </c>
      <c r="AX27" s="20">
        <v>15888.5</v>
      </c>
      <c r="AY27" s="20">
        <v>8388.5</v>
      </c>
      <c r="AZ27" s="20">
        <v>7500</v>
      </c>
      <c r="BA27" s="20">
        <v>14367.5</v>
      </c>
      <c r="BB27" s="20">
        <v>8700</v>
      </c>
      <c r="BC27" s="20">
        <v>5667.5</v>
      </c>
      <c r="BD27" s="20">
        <v>45902</v>
      </c>
      <c r="BE27" s="20">
        <v>18861.5</v>
      </c>
      <c r="BF27" s="20">
        <v>27040.5</v>
      </c>
    </row>
    <row r="28" spans="1:58" ht="21" customHeight="1">
      <c r="A28" s="53" t="s">
        <v>166</v>
      </c>
      <c r="B28" s="19" t="s">
        <v>21</v>
      </c>
      <c r="C28" s="20">
        <v>3</v>
      </c>
      <c r="D28" s="20">
        <v>69</v>
      </c>
      <c r="E28" s="20">
        <v>4</v>
      </c>
      <c r="F28" s="20">
        <v>65</v>
      </c>
      <c r="G28" s="20">
        <v>4</v>
      </c>
      <c r="H28" s="20">
        <v>65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2</v>
      </c>
      <c r="V28" s="20">
        <v>49</v>
      </c>
      <c r="W28" s="20">
        <v>395</v>
      </c>
      <c r="X28" s="20">
        <v>160</v>
      </c>
      <c r="Y28" s="20">
        <v>235</v>
      </c>
      <c r="Z28" s="20">
        <v>99</v>
      </c>
      <c r="AA28" s="20">
        <v>41</v>
      </c>
      <c r="AB28" s="20">
        <v>58</v>
      </c>
      <c r="AC28" s="20">
        <v>31</v>
      </c>
      <c r="AD28" s="20">
        <v>14</v>
      </c>
      <c r="AE28" s="20">
        <v>17</v>
      </c>
      <c r="AF28" s="20">
        <v>265</v>
      </c>
      <c r="AG28" s="20">
        <v>105</v>
      </c>
      <c r="AH28" s="20">
        <v>160</v>
      </c>
      <c r="AI28" s="20">
        <v>73548</v>
      </c>
      <c r="AJ28" s="20">
        <v>29957</v>
      </c>
      <c r="AK28" s="20">
        <v>43591</v>
      </c>
      <c r="AL28" s="20">
        <v>18058</v>
      </c>
      <c r="AM28" s="20">
        <v>7669</v>
      </c>
      <c r="AN28" s="20">
        <v>10389</v>
      </c>
      <c r="AO28" s="20">
        <v>5165</v>
      </c>
      <c r="AP28" s="20">
        <v>1974</v>
      </c>
      <c r="AQ28" s="20">
        <v>3191</v>
      </c>
      <c r="AR28" s="20">
        <v>50325</v>
      </c>
      <c r="AS28" s="20">
        <v>20314</v>
      </c>
      <c r="AT28" s="20">
        <v>30011</v>
      </c>
      <c r="AU28" s="20">
        <v>96850</v>
      </c>
      <c r="AV28" s="20">
        <v>38924</v>
      </c>
      <c r="AW28" s="20">
        <v>57926</v>
      </c>
      <c r="AX28" s="20">
        <v>25132.5</v>
      </c>
      <c r="AY28" s="20">
        <v>9952</v>
      </c>
      <c r="AZ28" s="20">
        <v>15180.5</v>
      </c>
      <c r="BA28" s="20">
        <v>6516.5</v>
      </c>
      <c r="BB28" s="20">
        <v>2195</v>
      </c>
      <c r="BC28" s="20">
        <v>4321.5</v>
      </c>
      <c r="BD28" s="20">
        <v>65201</v>
      </c>
      <c r="BE28" s="20">
        <v>26777</v>
      </c>
      <c r="BF28" s="20">
        <v>38424</v>
      </c>
    </row>
    <row r="29" spans="1:58" ht="16.5" customHeight="1">
      <c r="A29" s="53" t="s">
        <v>167</v>
      </c>
      <c r="B29" s="19" t="s">
        <v>22</v>
      </c>
      <c r="C29" s="20">
        <v>1</v>
      </c>
      <c r="D29" s="20">
        <v>65</v>
      </c>
      <c r="E29" s="20">
        <v>4</v>
      </c>
      <c r="F29" s="20">
        <v>61</v>
      </c>
      <c r="G29" s="20">
        <v>4</v>
      </c>
      <c r="H29" s="20">
        <v>61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1</v>
      </c>
      <c r="V29" s="20">
        <v>65</v>
      </c>
      <c r="W29" s="20">
        <v>232</v>
      </c>
      <c r="X29" s="20">
        <v>104</v>
      </c>
      <c r="Y29" s="20">
        <v>128</v>
      </c>
      <c r="Z29" s="20">
        <v>11</v>
      </c>
      <c r="AA29" s="20">
        <v>7</v>
      </c>
      <c r="AB29" s="20">
        <v>4</v>
      </c>
      <c r="AC29" s="20">
        <v>5</v>
      </c>
      <c r="AD29" s="20">
        <v>2</v>
      </c>
      <c r="AE29" s="20">
        <v>3</v>
      </c>
      <c r="AF29" s="20">
        <v>216</v>
      </c>
      <c r="AG29" s="20">
        <v>95</v>
      </c>
      <c r="AH29" s="20">
        <v>121</v>
      </c>
      <c r="AI29" s="20">
        <v>39056</v>
      </c>
      <c r="AJ29" s="20">
        <v>16280</v>
      </c>
      <c r="AK29" s="20">
        <v>22776</v>
      </c>
      <c r="AL29" s="20">
        <v>3128</v>
      </c>
      <c r="AM29" s="20">
        <v>2304</v>
      </c>
      <c r="AN29" s="20">
        <v>824</v>
      </c>
      <c r="AO29" s="20">
        <v>1508</v>
      </c>
      <c r="AP29" s="20">
        <v>807</v>
      </c>
      <c r="AQ29" s="20">
        <v>701</v>
      </c>
      <c r="AR29" s="20">
        <v>34420</v>
      </c>
      <c r="AS29" s="20">
        <v>13169</v>
      </c>
      <c r="AT29" s="20">
        <v>21251</v>
      </c>
      <c r="AU29" s="20">
        <v>92332</v>
      </c>
      <c r="AV29" s="20">
        <v>38094</v>
      </c>
      <c r="AW29" s="20">
        <v>54238</v>
      </c>
      <c r="AX29" s="20">
        <v>7327</v>
      </c>
      <c r="AY29" s="20">
        <v>4915</v>
      </c>
      <c r="AZ29" s="20">
        <v>2412</v>
      </c>
      <c r="BA29" s="20">
        <v>4339</v>
      </c>
      <c r="BB29" s="20">
        <v>2522</v>
      </c>
      <c r="BC29" s="20">
        <v>1817</v>
      </c>
      <c r="BD29" s="20">
        <v>80666</v>
      </c>
      <c r="BE29" s="20">
        <v>30657</v>
      </c>
      <c r="BF29" s="20">
        <v>50009</v>
      </c>
    </row>
    <row r="30" spans="1:58" ht="21" customHeight="1">
      <c r="A30" s="54" t="s">
        <v>168</v>
      </c>
      <c r="B30" s="21" t="s">
        <v>23</v>
      </c>
      <c r="C30" s="22">
        <v>1</v>
      </c>
      <c r="D30" s="22">
        <v>8</v>
      </c>
      <c r="E30" s="22">
        <v>0</v>
      </c>
      <c r="F30" s="22">
        <v>8</v>
      </c>
      <c r="G30" s="22">
        <v>0</v>
      </c>
      <c r="H30" s="22">
        <v>0</v>
      </c>
      <c r="I30" s="22">
        <v>0</v>
      </c>
      <c r="J30" s="22">
        <v>8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20</v>
      </c>
      <c r="X30" s="22">
        <v>9</v>
      </c>
      <c r="Y30" s="22">
        <v>11</v>
      </c>
      <c r="Z30" s="22">
        <v>5</v>
      </c>
      <c r="AA30" s="22">
        <v>5</v>
      </c>
      <c r="AB30" s="22">
        <v>0</v>
      </c>
      <c r="AC30" s="22">
        <v>0</v>
      </c>
      <c r="AD30" s="22">
        <v>0</v>
      </c>
      <c r="AE30" s="22">
        <v>0</v>
      </c>
      <c r="AF30" s="22">
        <v>15</v>
      </c>
      <c r="AG30" s="22">
        <v>4</v>
      </c>
      <c r="AH30" s="22">
        <v>11</v>
      </c>
      <c r="AI30" s="22">
        <v>4513</v>
      </c>
      <c r="AJ30" s="22">
        <v>1349</v>
      </c>
      <c r="AK30" s="22">
        <v>3164</v>
      </c>
      <c r="AL30" s="22">
        <v>838</v>
      </c>
      <c r="AM30" s="22">
        <v>838</v>
      </c>
      <c r="AN30" s="22">
        <v>0</v>
      </c>
      <c r="AO30" s="22">
        <v>0</v>
      </c>
      <c r="AP30" s="22">
        <v>0</v>
      </c>
      <c r="AQ30" s="22">
        <v>0</v>
      </c>
      <c r="AR30" s="22">
        <v>3675</v>
      </c>
      <c r="AS30" s="22">
        <v>511</v>
      </c>
      <c r="AT30" s="22">
        <v>3164</v>
      </c>
      <c r="AU30" s="22">
        <v>10835.5</v>
      </c>
      <c r="AV30" s="22">
        <v>3898</v>
      </c>
      <c r="AW30" s="22">
        <v>6937.5</v>
      </c>
      <c r="AX30" s="22">
        <v>2453</v>
      </c>
      <c r="AY30" s="22">
        <v>2453</v>
      </c>
      <c r="AZ30" s="22">
        <v>0</v>
      </c>
      <c r="BA30" s="22">
        <v>0</v>
      </c>
      <c r="BB30" s="22">
        <v>0</v>
      </c>
      <c r="BC30" s="22">
        <v>0</v>
      </c>
      <c r="BD30" s="22">
        <v>8382.5</v>
      </c>
      <c r="BE30" s="22">
        <v>1445</v>
      </c>
      <c r="BF30" s="22">
        <v>6937.5</v>
      </c>
    </row>
    <row r="31" spans="1:58" ht="21" customHeight="1">
      <c r="A31" s="14" t="s">
        <v>77</v>
      </c>
      <c r="B31" s="24"/>
    </row>
    <row r="32" spans="1:58" ht="21" customHeight="1">
      <c r="A32" s="15" t="s">
        <v>2</v>
      </c>
      <c r="B32" s="15"/>
    </row>
    <row r="33" ht="21" customHeight="1"/>
    <row r="34" ht="21" customHeight="1"/>
    <row r="35" ht="21" customHeight="1"/>
    <row r="36" ht="21" customHeight="1"/>
    <row r="37" ht="21" customHeight="1"/>
  </sheetData>
  <mergeCells count="73">
    <mergeCell ref="AU4:BF4"/>
    <mergeCell ref="AL5:AN5"/>
    <mergeCell ref="W6:W7"/>
    <mergeCell ref="X6:X7"/>
    <mergeCell ref="A2:C2"/>
    <mergeCell ref="C3:C7"/>
    <mergeCell ref="M3:V3"/>
    <mergeCell ref="W3:BF3"/>
    <mergeCell ref="M4:T4"/>
    <mergeCell ref="U4:V4"/>
    <mergeCell ref="AX5:AZ5"/>
    <mergeCell ref="BA5:BC5"/>
    <mergeCell ref="BD5:BF5"/>
    <mergeCell ref="Z5:AB5"/>
    <mergeCell ref="AC5:AE5"/>
    <mergeCell ref="AF5:AH5"/>
    <mergeCell ref="AO5:AQ5"/>
    <mergeCell ref="AR5:AT5"/>
    <mergeCell ref="BF6:BF7"/>
    <mergeCell ref="BA6:BA7"/>
    <mergeCell ref="AT6:AT7"/>
    <mergeCell ref="AU6:AU7"/>
    <mergeCell ref="AW6:AW7"/>
    <mergeCell ref="AX6:AX7"/>
    <mergeCell ref="AY6:AY7"/>
    <mergeCell ref="AV6:AV7"/>
    <mergeCell ref="BB6:BB7"/>
    <mergeCell ref="BC6:BC7"/>
    <mergeCell ref="BD6:BD7"/>
    <mergeCell ref="BE6:BE7"/>
    <mergeCell ref="AZ6:AZ7"/>
    <mergeCell ref="AJ6:AJ7"/>
    <mergeCell ref="AK6:AK7"/>
    <mergeCell ref="AS6:AS7"/>
    <mergeCell ref="AL6:AL7"/>
    <mergeCell ref="AM6:AM7"/>
    <mergeCell ref="AN6:AN7"/>
    <mergeCell ref="AO6:AO7"/>
    <mergeCell ref="AE6:AE7"/>
    <mergeCell ref="AF6:AF7"/>
    <mergeCell ref="AG6:AG7"/>
    <mergeCell ref="AH6:AH7"/>
    <mergeCell ref="AA6:AA7"/>
    <mergeCell ref="AB6:AB7"/>
    <mergeCell ref="AC6:AC7"/>
    <mergeCell ref="AD6:AD7"/>
    <mergeCell ref="AI6:AI7"/>
    <mergeCell ref="AP6:AP7"/>
    <mergeCell ref="AQ6:AQ7"/>
    <mergeCell ref="AR6:AR7"/>
    <mergeCell ref="A3:B7"/>
    <mergeCell ref="G5:H5"/>
    <mergeCell ref="W4:AH4"/>
    <mergeCell ref="AI4:AT4"/>
    <mergeCell ref="M5:N5"/>
    <mergeCell ref="O5:P5"/>
    <mergeCell ref="Q5:R5"/>
    <mergeCell ref="S5:T5"/>
    <mergeCell ref="U5:U7"/>
    <mergeCell ref="V5:V7"/>
    <mergeCell ref="Y6:Y7"/>
    <mergeCell ref="Z6:Z7"/>
    <mergeCell ref="I5:J5"/>
    <mergeCell ref="K5:L5"/>
    <mergeCell ref="D6:D7"/>
    <mergeCell ref="E6:E7"/>
    <mergeCell ref="F6:F7"/>
    <mergeCell ref="G6:G7"/>
    <mergeCell ref="H6:H7"/>
    <mergeCell ref="I6:I7"/>
    <mergeCell ref="J6:J7"/>
    <mergeCell ref="K6:K7"/>
    <mergeCell ref="L6:L7"/>
  </mergeCells>
  <phoneticPr fontId="5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  <pageSetUpPr fitToPage="1"/>
  </sheetPr>
  <dimension ref="A1:CJ35"/>
  <sheetViews>
    <sheetView zoomScaleNormal="100" zoomScaleSheetLayoutView="75" workbookViewId="0">
      <pane xSplit="2" ySplit="7" topLeftCell="C20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0" style="3" customWidth="1"/>
    <col min="2" max="2" width="20.1640625" style="3" customWidth="1"/>
    <col min="3" max="12" width="10.83203125" style="3" customWidth="1"/>
    <col min="13" max="13" width="11.1640625" style="3" bestFit="1" customWidth="1"/>
    <col min="14" max="14" width="10" style="3" bestFit="1" customWidth="1"/>
    <col min="15" max="15" width="11.1640625" style="3" bestFit="1" customWidth="1"/>
    <col min="16" max="16" width="10" style="3" bestFit="1" customWidth="1"/>
    <col min="17" max="17" width="11.1640625" style="3" bestFit="1" customWidth="1"/>
    <col min="18" max="18" width="10" style="3" bestFit="1" customWidth="1"/>
    <col min="19" max="20" width="11.1640625" style="3" bestFit="1" customWidth="1"/>
    <col min="21" max="21" width="14.1640625" style="3" bestFit="1" customWidth="1"/>
    <col min="22" max="22" width="11.33203125" style="3" customWidth="1"/>
    <col min="23" max="25" width="11" style="3" customWidth="1"/>
    <col min="26" max="34" width="11.6640625" style="3" customWidth="1"/>
    <col min="35" max="46" width="13.6640625" style="3" customWidth="1"/>
    <col min="47" max="58" width="13" style="3" customWidth="1"/>
    <col min="59" max="16384" width="12" style="3"/>
  </cols>
  <sheetData>
    <row r="1" spans="1:88" ht="21">
      <c r="A1" s="1" t="s">
        <v>50</v>
      </c>
      <c r="B1" s="25"/>
    </row>
    <row r="2" spans="1:88" ht="26.25" customHeight="1">
      <c r="A2" s="404" t="s">
        <v>113</v>
      </c>
      <c r="B2" s="404"/>
      <c r="C2" s="404"/>
      <c r="D2" s="16"/>
      <c r="E2" s="16"/>
      <c r="F2" s="16"/>
      <c r="M2" s="16"/>
      <c r="N2" s="16"/>
      <c r="W2" s="16"/>
      <c r="X2" s="16"/>
      <c r="Y2" s="16"/>
      <c r="AI2" s="16"/>
      <c r="AJ2" s="16"/>
      <c r="AK2" s="16"/>
      <c r="AU2" s="16"/>
      <c r="AV2" s="16"/>
      <c r="AW2" s="16"/>
    </row>
    <row r="3" spans="1:88" ht="16.5" customHeight="1">
      <c r="A3" s="329" t="s">
        <v>78</v>
      </c>
      <c r="B3" s="301"/>
      <c r="C3" s="314" t="s">
        <v>51</v>
      </c>
      <c r="D3" s="17" t="s">
        <v>79</v>
      </c>
      <c r="E3" s="17"/>
      <c r="F3" s="17"/>
      <c r="G3" s="17"/>
      <c r="H3" s="17"/>
      <c r="I3" s="17"/>
      <c r="J3" s="17"/>
      <c r="K3" s="17"/>
      <c r="L3" s="17"/>
      <c r="M3" s="332" t="s">
        <v>52</v>
      </c>
      <c r="N3" s="304"/>
      <c r="O3" s="304"/>
      <c r="P3" s="304"/>
      <c r="Q3" s="304"/>
      <c r="R3" s="304"/>
      <c r="S3" s="304"/>
      <c r="T3" s="304"/>
      <c r="U3" s="304"/>
      <c r="V3" s="340"/>
      <c r="W3" s="344" t="s">
        <v>53</v>
      </c>
      <c r="X3" s="344"/>
      <c r="Y3" s="344"/>
      <c r="Z3" s="344"/>
      <c r="AA3" s="344"/>
      <c r="AB3" s="344"/>
      <c r="AC3" s="344"/>
      <c r="AD3" s="344"/>
      <c r="AE3" s="344"/>
      <c r="AF3" s="344"/>
      <c r="AG3" s="344"/>
      <c r="AH3" s="344"/>
      <c r="AI3" s="344"/>
      <c r="AJ3" s="344"/>
      <c r="AK3" s="344"/>
      <c r="AL3" s="344"/>
      <c r="AM3" s="344"/>
      <c r="AN3" s="344"/>
      <c r="AO3" s="344"/>
      <c r="AP3" s="344"/>
      <c r="AQ3" s="344"/>
      <c r="AR3" s="344"/>
      <c r="AS3" s="344"/>
      <c r="AT3" s="344"/>
      <c r="AU3" s="344"/>
      <c r="AV3" s="344"/>
      <c r="AW3" s="344"/>
      <c r="AX3" s="344"/>
      <c r="AY3" s="344"/>
      <c r="AZ3" s="344"/>
      <c r="BA3" s="344"/>
      <c r="BB3" s="344"/>
      <c r="BC3" s="344"/>
      <c r="BD3" s="344"/>
      <c r="BE3" s="344"/>
      <c r="BF3" s="332"/>
    </row>
    <row r="4" spans="1:88" s="4" customFormat="1" ht="16.5" customHeight="1">
      <c r="A4" s="364"/>
      <c r="B4" s="302"/>
      <c r="C4" s="402"/>
      <c r="D4" s="17" t="s">
        <v>80</v>
      </c>
      <c r="E4" s="17"/>
      <c r="F4" s="17"/>
      <c r="G4" s="17"/>
      <c r="H4" s="17"/>
      <c r="I4" s="17"/>
      <c r="J4" s="17"/>
      <c r="K4" s="17"/>
      <c r="L4" s="17"/>
      <c r="M4" s="332" t="s">
        <v>54</v>
      </c>
      <c r="N4" s="304"/>
      <c r="O4" s="304"/>
      <c r="P4" s="304"/>
      <c r="Q4" s="304"/>
      <c r="R4" s="304"/>
      <c r="S4" s="304"/>
      <c r="T4" s="340"/>
      <c r="U4" s="324" t="s">
        <v>55</v>
      </c>
      <c r="V4" s="315"/>
      <c r="W4" s="344" t="s">
        <v>81</v>
      </c>
      <c r="X4" s="344"/>
      <c r="Y4" s="344"/>
      <c r="Z4" s="344"/>
      <c r="AA4" s="344"/>
      <c r="AB4" s="344"/>
      <c r="AC4" s="344"/>
      <c r="AD4" s="344"/>
      <c r="AE4" s="344"/>
      <c r="AF4" s="344"/>
      <c r="AG4" s="344"/>
      <c r="AH4" s="344"/>
      <c r="AI4" s="344" t="s">
        <v>57</v>
      </c>
      <c r="AJ4" s="344"/>
      <c r="AK4" s="344"/>
      <c r="AL4" s="344"/>
      <c r="AM4" s="344"/>
      <c r="AN4" s="344"/>
      <c r="AO4" s="344"/>
      <c r="AP4" s="344"/>
      <c r="AQ4" s="344"/>
      <c r="AR4" s="344"/>
      <c r="AS4" s="344"/>
      <c r="AT4" s="344"/>
      <c r="AU4" s="344" t="s">
        <v>58</v>
      </c>
      <c r="AV4" s="344"/>
      <c r="AW4" s="344"/>
      <c r="AX4" s="344"/>
      <c r="AY4" s="344"/>
      <c r="AZ4" s="344"/>
      <c r="BA4" s="344"/>
      <c r="BB4" s="344"/>
      <c r="BC4" s="344"/>
      <c r="BD4" s="344"/>
      <c r="BE4" s="344"/>
      <c r="BF4" s="332"/>
    </row>
    <row r="5" spans="1:88" s="9" customFormat="1" ht="30" customHeight="1">
      <c r="A5" s="364"/>
      <c r="B5" s="302"/>
      <c r="C5" s="402"/>
      <c r="D5" s="5" t="s">
        <v>59</v>
      </c>
      <c r="E5" s="6"/>
      <c r="F5" s="7"/>
      <c r="G5" s="311" t="s">
        <v>60</v>
      </c>
      <c r="H5" s="340"/>
      <c r="I5" s="311" t="s">
        <v>61</v>
      </c>
      <c r="J5" s="340"/>
      <c r="K5" s="311" t="s">
        <v>62</v>
      </c>
      <c r="L5" s="340"/>
      <c r="M5" s="311" t="s">
        <v>63</v>
      </c>
      <c r="N5" s="340"/>
      <c r="O5" s="311" t="s">
        <v>64</v>
      </c>
      <c r="P5" s="313"/>
      <c r="Q5" s="311" t="s">
        <v>65</v>
      </c>
      <c r="R5" s="313"/>
      <c r="S5" s="311" t="s">
        <v>66</v>
      </c>
      <c r="T5" s="313"/>
      <c r="U5" s="322" t="s">
        <v>67</v>
      </c>
      <c r="V5" s="322" t="s">
        <v>68</v>
      </c>
      <c r="W5" s="5" t="s">
        <v>59</v>
      </c>
      <c r="X5" s="6"/>
      <c r="Y5" s="7"/>
      <c r="Z5" s="339" t="s">
        <v>69</v>
      </c>
      <c r="AA5" s="339"/>
      <c r="AB5" s="339"/>
      <c r="AC5" s="339" t="s">
        <v>70</v>
      </c>
      <c r="AD5" s="339"/>
      <c r="AE5" s="339"/>
      <c r="AF5" s="339" t="s">
        <v>71</v>
      </c>
      <c r="AG5" s="339"/>
      <c r="AH5" s="339"/>
      <c r="AI5" s="5" t="s">
        <v>59</v>
      </c>
      <c r="AJ5" s="6"/>
      <c r="AK5" s="7"/>
      <c r="AL5" s="339" t="s">
        <v>69</v>
      </c>
      <c r="AM5" s="339"/>
      <c r="AN5" s="339"/>
      <c r="AO5" s="339" t="s">
        <v>70</v>
      </c>
      <c r="AP5" s="339"/>
      <c r="AQ5" s="339"/>
      <c r="AR5" s="339" t="s">
        <v>71</v>
      </c>
      <c r="AS5" s="339"/>
      <c r="AT5" s="339"/>
      <c r="AU5" s="5" t="s">
        <v>59</v>
      </c>
      <c r="AV5" s="8"/>
      <c r="AW5" s="7"/>
      <c r="AX5" s="339" t="s">
        <v>69</v>
      </c>
      <c r="AY5" s="339"/>
      <c r="AZ5" s="339"/>
      <c r="BA5" s="339" t="s">
        <v>70</v>
      </c>
      <c r="BB5" s="339"/>
      <c r="BC5" s="339"/>
      <c r="BD5" s="339" t="s">
        <v>71</v>
      </c>
      <c r="BE5" s="339"/>
      <c r="BF5" s="311"/>
    </row>
    <row r="6" spans="1:88" ht="16.5" customHeight="1">
      <c r="A6" s="364"/>
      <c r="B6" s="302"/>
      <c r="C6" s="402"/>
      <c r="D6" s="322" t="s">
        <v>72</v>
      </c>
      <c r="E6" s="322" t="s">
        <v>73</v>
      </c>
      <c r="F6" s="322" t="s">
        <v>74</v>
      </c>
      <c r="G6" s="322" t="s">
        <v>73</v>
      </c>
      <c r="H6" s="322" t="s">
        <v>74</v>
      </c>
      <c r="I6" s="322" t="s">
        <v>73</v>
      </c>
      <c r="J6" s="322" t="s">
        <v>74</v>
      </c>
      <c r="K6" s="322" t="s">
        <v>73</v>
      </c>
      <c r="L6" s="322" t="s">
        <v>74</v>
      </c>
      <c r="M6" s="10" t="s">
        <v>75</v>
      </c>
      <c r="N6" s="10" t="s">
        <v>76</v>
      </c>
      <c r="O6" s="10" t="s">
        <v>75</v>
      </c>
      <c r="P6" s="10" t="s">
        <v>76</v>
      </c>
      <c r="Q6" s="10" t="s">
        <v>75</v>
      </c>
      <c r="R6" s="10" t="s">
        <v>76</v>
      </c>
      <c r="S6" s="10" t="s">
        <v>75</v>
      </c>
      <c r="T6" s="10" t="s">
        <v>76</v>
      </c>
      <c r="U6" s="338"/>
      <c r="V6" s="338"/>
      <c r="W6" s="322" t="s">
        <v>72</v>
      </c>
      <c r="X6" s="322" t="s">
        <v>73</v>
      </c>
      <c r="Y6" s="322" t="s">
        <v>74</v>
      </c>
      <c r="Z6" s="322" t="s">
        <v>72</v>
      </c>
      <c r="AA6" s="322" t="s">
        <v>73</v>
      </c>
      <c r="AB6" s="322" t="s">
        <v>74</v>
      </c>
      <c r="AC6" s="322" t="s">
        <v>72</v>
      </c>
      <c r="AD6" s="322" t="s">
        <v>73</v>
      </c>
      <c r="AE6" s="322" t="s">
        <v>74</v>
      </c>
      <c r="AF6" s="322" t="s">
        <v>72</v>
      </c>
      <c r="AG6" s="322" t="s">
        <v>73</v>
      </c>
      <c r="AH6" s="322" t="s">
        <v>74</v>
      </c>
      <c r="AI6" s="322" t="s">
        <v>72</v>
      </c>
      <c r="AJ6" s="322" t="s">
        <v>73</v>
      </c>
      <c r="AK6" s="322" t="s">
        <v>74</v>
      </c>
      <c r="AL6" s="322" t="s">
        <v>72</v>
      </c>
      <c r="AM6" s="322" t="s">
        <v>73</v>
      </c>
      <c r="AN6" s="322" t="s">
        <v>74</v>
      </c>
      <c r="AO6" s="322" t="s">
        <v>72</v>
      </c>
      <c r="AP6" s="322" t="s">
        <v>73</v>
      </c>
      <c r="AQ6" s="322" t="s">
        <v>74</v>
      </c>
      <c r="AR6" s="322" t="s">
        <v>72</v>
      </c>
      <c r="AS6" s="322" t="s">
        <v>73</v>
      </c>
      <c r="AT6" s="322" t="s">
        <v>74</v>
      </c>
      <c r="AU6" s="322" t="s">
        <v>72</v>
      </c>
      <c r="AV6" s="322" t="s">
        <v>73</v>
      </c>
      <c r="AW6" s="322" t="s">
        <v>74</v>
      </c>
      <c r="AX6" s="322" t="s">
        <v>72</v>
      </c>
      <c r="AY6" s="322" t="s">
        <v>73</v>
      </c>
      <c r="AZ6" s="322" t="s">
        <v>74</v>
      </c>
      <c r="BA6" s="322" t="s">
        <v>72</v>
      </c>
      <c r="BB6" s="322" t="s">
        <v>73</v>
      </c>
      <c r="BC6" s="322" t="s">
        <v>74</v>
      </c>
      <c r="BD6" s="322" t="s">
        <v>72</v>
      </c>
      <c r="BE6" s="322" t="s">
        <v>73</v>
      </c>
      <c r="BF6" s="314" t="s">
        <v>74</v>
      </c>
    </row>
    <row r="7" spans="1:88">
      <c r="A7" s="331"/>
      <c r="B7" s="303"/>
      <c r="C7" s="403"/>
      <c r="D7" s="323"/>
      <c r="E7" s="323"/>
      <c r="F7" s="323"/>
      <c r="G7" s="323"/>
      <c r="H7" s="323"/>
      <c r="I7" s="323"/>
      <c r="J7" s="323"/>
      <c r="K7" s="323"/>
      <c r="L7" s="323"/>
      <c r="M7" s="11" t="s">
        <v>45</v>
      </c>
      <c r="N7" s="11" t="s">
        <v>46</v>
      </c>
      <c r="O7" s="11" t="s">
        <v>45</v>
      </c>
      <c r="P7" s="11" t="s">
        <v>46</v>
      </c>
      <c r="Q7" s="11" t="s">
        <v>45</v>
      </c>
      <c r="R7" s="11" t="s">
        <v>46</v>
      </c>
      <c r="S7" s="11" t="s">
        <v>45</v>
      </c>
      <c r="T7" s="11" t="s">
        <v>46</v>
      </c>
      <c r="U7" s="323"/>
      <c r="V7" s="323"/>
      <c r="W7" s="323"/>
      <c r="X7" s="323"/>
      <c r="Y7" s="323"/>
      <c r="Z7" s="323"/>
      <c r="AA7" s="323"/>
      <c r="AB7" s="323"/>
      <c r="AC7" s="323"/>
      <c r="AD7" s="323"/>
      <c r="AE7" s="323"/>
      <c r="AF7" s="323"/>
      <c r="AG7" s="323"/>
      <c r="AH7" s="323"/>
      <c r="AI7" s="323"/>
      <c r="AJ7" s="323"/>
      <c r="AK7" s="323"/>
      <c r="AL7" s="323"/>
      <c r="AM7" s="323"/>
      <c r="AN7" s="323"/>
      <c r="AO7" s="323"/>
      <c r="AP7" s="323"/>
      <c r="AQ7" s="323"/>
      <c r="AR7" s="323"/>
      <c r="AS7" s="323"/>
      <c r="AT7" s="323"/>
      <c r="AU7" s="323"/>
      <c r="AV7" s="323"/>
      <c r="AW7" s="323"/>
      <c r="AX7" s="323"/>
      <c r="AY7" s="323"/>
      <c r="AZ7" s="323"/>
      <c r="BA7" s="323"/>
      <c r="BB7" s="323"/>
      <c r="BC7" s="323"/>
      <c r="BD7" s="323"/>
      <c r="BE7" s="323"/>
      <c r="BF7" s="326"/>
    </row>
    <row r="8" spans="1:88" s="18" customFormat="1" ht="17.100000000000001" customHeight="1">
      <c r="A8" s="33" t="s">
        <v>121</v>
      </c>
      <c r="B8" s="36" t="s">
        <v>47</v>
      </c>
      <c r="C8" s="41">
        <v>132</v>
      </c>
      <c r="D8" s="41">
        <v>5591</v>
      </c>
      <c r="E8" s="41">
        <v>400</v>
      </c>
      <c r="F8" s="41">
        <v>5191</v>
      </c>
      <c r="G8" s="41">
        <v>260</v>
      </c>
      <c r="H8" s="41">
        <v>3391</v>
      </c>
      <c r="I8" s="41">
        <v>135</v>
      </c>
      <c r="J8" s="41">
        <v>1731</v>
      </c>
      <c r="K8" s="41">
        <v>5</v>
      </c>
      <c r="L8" s="41">
        <v>69</v>
      </c>
      <c r="M8" s="41">
        <v>240</v>
      </c>
      <c r="N8" s="41">
        <v>1036</v>
      </c>
      <c r="O8" s="41">
        <v>46</v>
      </c>
      <c r="P8" s="41">
        <v>529</v>
      </c>
      <c r="Q8" s="41">
        <v>181</v>
      </c>
      <c r="R8" s="41">
        <v>331</v>
      </c>
      <c r="S8" s="41">
        <v>13</v>
      </c>
      <c r="T8" s="41">
        <v>176</v>
      </c>
      <c r="U8" s="41">
        <v>902</v>
      </c>
      <c r="V8" s="41">
        <v>14703</v>
      </c>
      <c r="W8" s="41">
        <v>28398</v>
      </c>
      <c r="X8" s="41">
        <v>12084</v>
      </c>
      <c r="Y8" s="41">
        <v>16314</v>
      </c>
      <c r="Z8" s="41">
        <v>5491</v>
      </c>
      <c r="AA8" s="41">
        <v>2878</v>
      </c>
      <c r="AB8" s="41">
        <v>2613</v>
      </c>
      <c r="AC8" s="41">
        <v>5249</v>
      </c>
      <c r="AD8" s="41">
        <v>2469</v>
      </c>
      <c r="AE8" s="41">
        <v>2780</v>
      </c>
      <c r="AF8" s="41">
        <v>17658</v>
      </c>
      <c r="AG8" s="41">
        <v>6737</v>
      </c>
      <c r="AH8" s="41">
        <v>10921</v>
      </c>
      <c r="AI8" s="41">
        <v>4076860</v>
      </c>
      <c r="AJ8" s="41">
        <v>1764012</v>
      </c>
      <c r="AK8" s="41">
        <v>2312848</v>
      </c>
      <c r="AL8" s="41">
        <v>864711</v>
      </c>
      <c r="AM8" s="41">
        <v>440249</v>
      </c>
      <c r="AN8" s="41">
        <v>424462</v>
      </c>
      <c r="AO8" s="41">
        <v>875942</v>
      </c>
      <c r="AP8" s="41">
        <v>414557</v>
      </c>
      <c r="AQ8" s="41">
        <v>461385</v>
      </c>
      <c r="AR8" s="41">
        <v>2336207</v>
      </c>
      <c r="AS8" s="41">
        <v>909206</v>
      </c>
      <c r="AT8" s="41">
        <v>1427001</v>
      </c>
      <c r="AU8" s="41">
        <v>7371916.5</v>
      </c>
      <c r="AV8" s="41">
        <v>3207475</v>
      </c>
      <c r="AW8" s="41">
        <v>4164441.5</v>
      </c>
      <c r="AX8" s="41">
        <v>1669729.1</v>
      </c>
      <c r="AY8" s="41">
        <v>844948</v>
      </c>
      <c r="AZ8" s="41">
        <v>824781.1</v>
      </c>
      <c r="BA8" s="41">
        <v>1592414.3</v>
      </c>
      <c r="BB8" s="41">
        <v>744354.5</v>
      </c>
      <c r="BC8" s="41">
        <v>848059.8</v>
      </c>
      <c r="BD8" s="41">
        <v>4109773.1</v>
      </c>
      <c r="BE8" s="41">
        <v>1618172.5</v>
      </c>
      <c r="BF8" s="41">
        <v>2491600.6</v>
      </c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30"/>
      <c r="CI8" s="30"/>
      <c r="CJ8" s="30"/>
    </row>
    <row r="9" spans="1:88" ht="21" customHeight="1">
      <c r="A9" s="53" t="s">
        <v>169</v>
      </c>
      <c r="B9" s="19" t="s">
        <v>41</v>
      </c>
      <c r="C9" s="20">
        <v>10</v>
      </c>
      <c r="D9" s="20">
        <v>638</v>
      </c>
      <c r="E9" s="20">
        <v>49</v>
      </c>
      <c r="F9" s="20">
        <v>589</v>
      </c>
      <c r="G9" s="20">
        <v>32</v>
      </c>
      <c r="H9" s="20">
        <v>429</v>
      </c>
      <c r="I9" s="20">
        <v>17</v>
      </c>
      <c r="J9" s="20">
        <v>160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17</v>
      </c>
      <c r="V9" s="20">
        <v>768</v>
      </c>
      <c r="W9" s="20">
        <v>2390</v>
      </c>
      <c r="X9" s="20">
        <v>1067</v>
      </c>
      <c r="Y9" s="20">
        <v>1323</v>
      </c>
      <c r="Z9" s="20">
        <v>229</v>
      </c>
      <c r="AA9" s="20">
        <v>133</v>
      </c>
      <c r="AB9" s="20">
        <v>96</v>
      </c>
      <c r="AC9" s="20">
        <v>554</v>
      </c>
      <c r="AD9" s="20">
        <v>268</v>
      </c>
      <c r="AE9" s="20">
        <v>286</v>
      </c>
      <c r="AF9" s="20">
        <v>1607</v>
      </c>
      <c r="AG9" s="20">
        <v>666</v>
      </c>
      <c r="AH9" s="20">
        <v>941</v>
      </c>
      <c r="AI9" s="20">
        <v>368005</v>
      </c>
      <c r="AJ9" s="20">
        <v>165062</v>
      </c>
      <c r="AK9" s="20">
        <v>202943</v>
      </c>
      <c r="AL9" s="20">
        <v>64150</v>
      </c>
      <c r="AM9" s="20">
        <v>33976</v>
      </c>
      <c r="AN9" s="20">
        <v>30174</v>
      </c>
      <c r="AO9" s="20">
        <v>86240</v>
      </c>
      <c r="AP9" s="20">
        <v>42244</v>
      </c>
      <c r="AQ9" s="20">
        <v>43996</v>
      </c>
      <c r="AR9" s="20">
        <v>217615</v>
      </c>
      <c r="AS9" s="20">
        <v>88842</v>
      </c>
      <c r="AT9" s="20">
        <v>128773</v>
      </c>
      <c r="AU9" s="20">
        <v>743799</v>
      </c>
      <c r="AV9" s="20">
        <v>336088</v>
      </c>
      <c r="AW9" s="20">
        <v>407711</v>
      </c>
      <c r="AX9" s="20">
        <v>129947</v>
      </c>
      <c r="AY9" s="20">
        <v>68854.5</v>
      </c>
      <c r="AZ9" s="20">
        <v>61092.5</v>
      </c>
      <c r="BA9" s="20">
        <v>180711.5</v>
      </c>
      <c r="BB9" s="20">
        <v>87965.5</v>
      </c>
      <c r="BC9" s="20">
        <v>92746</v>
      </c>
      <c r="BD9" s="20">
        <v>433140.5</v>
      </c>
      <c r="BE9" s="20">
        <v>179268</v>
      </c>
      <c r="BF9" s="20">
        <v>253872.5</v>
      </c>
    </row>
    <row r="10" spans="1:88" ht="21" customHeight="1">
      <c r="A10" s="53" t="s">
        <v>152</v>
      </c>
      <c r="B10" s="19" t="s">
        <v>7</v>
      </c>
      <c r="C10" s="20">
        <v>4</v>
      </c>
      <c r="D10" s="20">
        <v>92</v>
      </c>
      <c r="E10" s="20">
        <v>10</v>
      </c>
      <c r="F10" s="20">
        <v>82</v>
      </c>
      <c r="G10" s="20">
        <v>8</v>
      </c>
      <c r="H10" s="20">
        <v>80</v>
      </c>
      <c r="I10" s="20">
        <v>2</v>
      </c>
      <c r="J10" s="20">
        <v>2</v>
      </c>
      <c r="K10" s="20">
        <v>0</v>
      </c>
      <c r="L10" s="20">
        <v>0</v>
      </c>
      <c r="M10" s="20">
        <v>8</v>
      </c>
      <c r="N10" s="20">
        <v>18</v>
      </c>
      <c r="O10" s="20">
        <v>4</v>
      </c>
      <c r="P10" s="20">
        <v>8</v>
      </c>
      <c r="Q10" s="20">
        <v>2</v>
      </c>
      <c r="R10" s="20">
        <v>3</v>
      </c>
      <c r="S10" s="20">
        <v>2</v>
      </c>
      <c r="T10" s="20">
        <v>7</v>
      </c>
      <c r="U10" s="20">
        <v>29</v>
      </c>
      <c r="V10" s="20">
        <v>262</v>
      </c>
      <c r="W10" s="20">
        <v>627</v>
      </c>
      <c r="X10" s="20">
        <v>277</v>
      </c>
      <c r="Y10" s="20">
        <v>350</v>
      </c>
      <c r="Z10" s="20">
        <v>87</v>
      </c>
      <c r="AA10" s="20">
        <v>59</v>
      </c>
      <c r="AB10" s="20">
        <v>28</v>
      </c>
      <c r="AC10" s="20">
        <v>112</v>
      </c>
      <c r="AD10" s="20">
        <v>43</v>
      </c>
      <c r="AE10" s="20">
        <v>69</v>
      </c>
      <c r="AF10" s="20">
        <v>428</v>
      </c>
      <c r="AG10" s="20">
        <v>175</v>
      </c>
      <c r="AH10" s="20">
        <v>253</v>
      </c>
      <c r="AI10" s="20">
        <v>68126</v>
      </c>
      <c r="AJ10" s="20">
        <v>29896</v>
      </c>
      <c r="AK10" s="20">
        <v>38230</v>
      </c>
      <c r="AL10" s="20">
        <v>8542</v>
      </c>
      <c r="AM10" s="20">
        <v>6036</v>
      </c>
      <c r="AN10" s="20">
        <v>2506</v>
      </c>
      <c r="AO10" s="20">
        <v>12602</v>
      </c>
      <c r="AP10" s="20">
        <v>5013</v>
      </c>
      <c r="AQ10" s="20">
        <v>7589</v>
      </c>
      <c r="AR10" s="20">
        <v>46982</v>
      </c>
      <c r="AS10" s="20">
        <v>18847</v>
      </c>
      <c r="AT10" s="20">
        <v>28135</v>
      </c>
      <c r="AU10" s="20">
        <v>129949.5</v>
      </c>
      <c r="AV10" s="20">
        <v>56731.5</v>
      </c>
      <c r="AW10" s="20">
        <v>73218</v>
      </c>
      <c r="AX10" s="20">
        <v>16868</v>
      </c>
      <c r="AY10" s="20">
        <v>11590</v>
      </c>
      <c r="AZ10" s="20">
        <v>5278</v>
      </c>
      <c r="BA10" s="20">
        <v>24707</v>
      </c>
      <c r="BB10" s="20">
        <v>9707</v>
      </c>
      <c r="BC10" s="20">
        <v>15000</v>
      </c>
      <c r="BD10" s="20">
        <v>88374.5</v>
      </c>
      <c r="BE10" s="20">
        <v>35434.5</v>
      </c>
      <c r="BF10" s="20">
        <v>52940</v>
      </c>
    </row>
    <row r="11" spans="1:88" ht="21" customHeight="1">
      <c r="A11" s="53" t="s">
        <v>153</v>
      </c>
      <c r="B11" s="19" t="s">
        <v>8</v>
      </c>
      <c r="C11" s="20">
        <v>4</v>
      </c>
      <c r="D11" s="20">
        <v>377</v>
      </c>
      <c r="E11" s="20">
        <v>26</v>
      </c>
      <c r="F11" s="20">
        <v>351</v>
      </c>
      <c r="G11" s="20">
        <v>26</v>
      </c>
      <c r="H11" s="20">
        <v>351</v>
      </c>
      <c r="I11" s="20">
        <v>0</v>
      </c>
      <c r="J11" s="20">
        <v>0</v>
      </c>
      <c r="K11" s="20">
        <v>0</v>
      </c>
      <c r="L11" s="20">
        <v>0</v>
      </c>
      <c r="M11" s="20">
        <v>4</v>
      </c>
      <c r="N11" s="20">
        <v>68</v>
      </c>
      <c r="O11" s="20">
        <v>2</v>
      </c>
      <c r="P11" s="20">
        <v>34</v>
      </c>
      <c r="Q11" s="20">
        <v>2</v>
      </c>
      <c r="R11" s="20">
        <v>34</v>
      </c>
      <c r="S11" s="20">
        <v>0</v>
      </c>
      <c r="T11" s="20">
        <v>0</v>
      </c>
      <c r="U11" s="20">
        <v>51</v>
      </c>
      <c r="V11" s="20">
        <v>2327</v>
      </c>
      <c r="W11" s="20">
        <v>1266</v>
      </c>
      <c r="X11" s="20">
        <v>624</v>
      </c>
      <c r="Y11" s="20">
        <v>642</v>
      </c>
      <c r="Z11" s="20">
        <v>463</v>
      </c>
      <c r="AA11" s="20">
        <v>224</v>
      </c>
      <c r="AB11" s="20">
        <v>239</v>
      </c>
      <c r="AC11" s="20">
        <v>145</v>
      </c>
      <c r="AD11" s="20">
        <v>99</v>
      </c>
      <c r="AE11" s="20">
        <v>46</v>
      </c>
      <c r="AF11" s="20">
        <v>658</v>
      </c>
      <c r="AG11" s="20">
        <v>301</v>
      </c>
      <c r="AH11" s="20">
        <v>357</v>
      </c>
      <c r="AI11" s="20">
        <v>169919</v>
      </c>
      <c r="AJ11" s="20">
        <v>83632</v>
      </c>
      <c r="AK11" s="20">
        <v>86287</v>
      </c>
      <c r="AL11" s="20">
        <v>65549</v>
      </c>
      <c r="AM11" s="20">
        <v>30011</v>
      </c>
      <c r="AN11" s="20">
        <v>35538</v>
      </c>
      <c r="AO11" s="20">
        <v>23243</v>
      </c>
      <c r="AP11" s="20">
        <v>15157</v>
      </c>
      <c r="AQ11" s="20">
        <v>8086</v>
      </c>
      <c r="AR11" s="20">
        <v>81127</v>
      </c>
      <c r="AS11" s="20">
        <v>38464</v>
      </c>
      <c r="AT11" s="20">
        <v>42663</v>
      </c>
      <c r="AU11" s="20">
        <v>393311.5</v>
      </c>
      <c r="AV11" s="20">
        <v>193576</v>
      </c>
      <c r="AW11" s="20">
        <v>199735.5</v>
      </c>
      <c r="AX11" s="20">
        <v>158050</v>
      </c>
      <c r="AY11" s="20">
        <v>72887</v>
      </c>
      <c r="AZ11" s="20">
        <v>85163</v>
      </c>
      <c r="BA11" s="20">
        <v>53060</v>
      </c>
      <c r="BB11" s="20">
        <v>34428</v>
      </c>
      <c r="BC11" s="20">
        <v>18632</v>
      </c>
      <c r="BD11" s="20">
        <v>182201.5</v>
      </c>
      <c r="BE11" s="20">
        <v>86261</v>
      </c>
      <c r="BF11" s="20">
        <v>95940.5</v>
      </c>
    </row>
    <row r="12" spans="1:88" ht="21" customHeight="1">
      <c r="A12" s="53" t="s">
        <v>154</v>
      </c>
      <c r="B12" s="19" t="s">
        <v>9</v>
      </c>
      <c r="C12" s="20">
        <v>5</v>
      </c>
      <c r="D12" s="20">
        <v>91</v>
      </c>
      <c r="E12" s="20">
        <v>9</v>
      </c>
      <c r="F12" s="20">
        <v>82</v>
      </c>
      <c r="G12" s="20">
        <v>6</v>
      </c>
      <c r="H12" s="20">
        <v>63</v>
      </c>
      <c r="I12" s="20">
        <v>3</v>
      </c>
      <c r="J12" s="20">
        <v>19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16</v>
      </c>
      <c r="V12" s="20">
        <v>329</v>
      </c>
      <c r="W12" s="20">
        <v>281</v>
      </c>
      <c r="X12" s="20">
        <v>148</v>
      </c>
      <c r="Y12" s="20">
        <v>133</v>
      </c>
      <c r="Z12" s="20">
        <v>76</v>
      </c>
      <c r="AA12" s="20">
        <v>52</v>
      </c>
      <c r="AB12" s="20">
        <v>24</v>
      </c>
      <c r="AC12" s="20">
        <v>34</v>
      </c>
      <c r="AD12" s="20">
        <v>22</v>
      </c>
      <c r="AE12" s="20">
        <v>12</v>
      </c>
      <c r="AF12" s="20">
        <v>171</v>
      </c>
      <c r="AG12" s="20">
        <v>74</v>
      </c>
      <c r="AH12" s="20">
        <v>97</v>
      </c>
      <c r="AI12" s="20">
        <v>39875</v>
      </c>
      <c r="AJ12" s="20">
        <v>21271</v>
      </c>
      <c r="AK12" s="20">
        <v>18604</v>
      </c>
      <c r="AL12" s="20">
        <v>11329</v>
      </c>
      <c r="AM12" s="20">
        <v>7828</v>
      </c>
      <c r="AN12" s="20">
        <v>3501</v>
      </c>
      <c r="AO12" s="20">
        <v>5158</v>
      </c>
      <c r="AP12" s="20">
        <v>3250</v>
      </c>
      <c r="AQ12" s="20">
        <v>1908</v>
      </c>
      <c r="AR12" s="20">
        <v>23388</v>
      </c>
      <c r="AS12" s="20">
        <v>10193</v>
      </c>
      <c r="AT12" s="20">
        <v>13195</v>
      </c>
      <c r="AU12" s="20">
        <v>95310</v>
      </c>
      <c r="AV12" s="20">
        <v>52382</v>
      </c>
      <c r="AW12" s="20">
        <v>42928</v>
      </c>
      <c r="AX12" s="20">
        <v>27129</v>
      </c>
      <c r="AY12" s="20">
        <v>18109</v>
      </c>
      <c r="AZ12" s="20">
        <v>9020</v>
      </c>
      <c r="BA12" s="20">
        <v>14472</v>
      </c>
      <c r="BB12" s="20">
        <v>8302</v>
      </c>
      <c r="BC12" s="20">
        <v>6170</v>
      </c>
      <c r="BD12" s="20">
        <v>53709</v>
      </c>
      <c r="BE12" s="20">
        <v>25971</v>
      </c>
      <c r="BF12" s="20">
        <v>27738</v>
      </c>
    </row>
    <row r="13" spans="1:88" ht="21" customHeight="1">
      <c r="A13" s="53" t="s">
        <v>155</v>
      </c>
      <c r="B13" s="19" t="s">
        <v>10</v>
      </c>
      <c r="C13" s="20">
        <v>3</v>
      </c>
      <c r="D13" s="20">
        <v>207</v>
      </c>
      <c r="E13" s="20">
        <v>9</v>
      </c>
      <c r="F13" s="20">
        <v>198</v>
      </c>
      <c r="G13" s="20">
        <v>1</v>
      </c>
      <c r="H13" s="20">
        <v>57</v>
      </c>
      <c r="I13" s="20">
        <v>8</v>
      </c>
      <c r="J13" s="20">
        <v>141</v>
      </c>
      <c r="K13" s="20">
        <v>0</v>
      </c>
      <c r="L13" s="20">
        <v>0</v>
      </c>
      <c r="M13" s="20">
        <v>7</v>
      </c>
      <c r="N13" s="20">
        <v>206</v>
      </c>
      <c r="O13" s="20">
        <v>2</v>
      </c>
      <c r="P13" s="20">
        <v>70</v>
      </c>
      <c r="Q13" s="20">
        <v>0</v>
      </c>
      <c r="R13" s="20">
        <v>0</v>
      </c>
      <c r="S13" s="20">
        <v>5</v>
      </c>
      <c r="T13" s="20">
        <v>136</v>
      </c>
      <c r="U13" s="20">
        <v>4</v>
      </c>
      <c r="V13" s="20">
        <v>318</v>
      </c>
      <c r="W13" s="20">
        <v>1110</v>
      </c>
      <c r="X13" s="20">
        <v>473</v>
      </c>
      <c r="Y13" s="20">
        <v>637</v>
      </c>
      <c r="Z13" s="20">
        <v>145</v>
      </c>
      <c r="AA13" s="20">
        <v>79</v>
      </c>
      <c r="AB13" s="20">
        <v>66</v>
      </c>
      <c r="AC13" s="20">
        <v>284</v>
      </c>
      <c r="AD13" s="20">
        <v>136</v>
      </c>
      <c r="AE13" s="20">
        <v>148</v>
      </c>
      <c r="AF13" s="20">
        <v>681</v>
      </c>
      <c r="AG13" s="20">
        <v>258</v>
      </c>
      <c r="AH13" s="20">
        <v>423</v>
      </c>
      <c r="AI13" s="20">
        <v>122627</v>
      </c>
      <c r="AJ13" s="20">
        <v>52651</v>
      </c>
      <c r="AK13" s="20">
        <v>69976</v>
      </c>
      <c r="AL13" s="20">
        <v>15874</v>
      </c>
      <c r="AM13" s="20">
        <v>8784</v>
      </c>
      <c r="AN13" s="20">
        <v>7090</v>
      </c>
      <c r="AO13" s="20">
        <v>37852</v>
      </c>
      <c r="AP13" s="20">
        <v>17886</v>
      </c>
      <c r="AQ13" s="20">
        <v>19966</v>
      </c>
      <c r="AR13" s="20">
        <v>68901</v>
      </c>
      <c r="AS13" s="20">
        <v>25981</v>
      </c>
      <c r="AT13" s="20">
        <v>42920</v>
      </c>
      <c r="AU13" s="20">
        <v>233630</v>
      </c>
      <c r="AV13" s="20">
        <v>98626</v>
      </c>
      <c r="AW13" s="20">
        <v>135004</v>
      </c>
      <c r="AX13" s="20">
        <v>30550</v>
      </c>
      <c r="AY13" s="20">
        <v>16481</v>
      </c>
      <c r="AZ13" s="20">
        <v>14069</v>
      </c>
      <c r="BA13" s="20">
        <v>76364</v>
      </c>
      <c r="BB13" s="20">
        <v>36801</v>
      </c>
      <c r="BC13" s="20">
        <v>39563</v>
      </c>
      <c r="BD13" s="20">
        <v>126716</v>
      </c>
      <c r="BE13" s="20">
        <v>45344</v>
      </c>
      <c r="BF13" s="20">
        <v>81372</v>
      </c>
    </row>
    <row r="14" spans="1:88" ht="21" customHeight="1">
      <c r="A14" s="53" t="s">
        <v>170</v>
      </c>
      <c r="B14" s="19" t="s">
        <v>42</v>
      </c>
      <c r="C14" s="20">
        <v>7</v>
      </c>
      <c r="D14" s="20">
        <v>357</v>
      </c>
      <c r="E14" s="20">
        <v>24</v>
      </c>
      <c r="F14" s="20">
        <v>333</v>
      </c>
      <c r="G14" s="20">
        <v>21</v>
      </c>
      <c r="H14" s="20">
        <v>272</v>
      </c>
      <c r="I14" s="20">
        <v>1</v>
      </c>
      <c r="J14" s="20">
        <v>43</v>
      </c>
      <c r="K14" s="20">
        <v>2</v>
      </c>
      <c r="L14" s="20">
        <v>18</v>
      </c>
      <c r="M14" s="20">
        <v>1</v>
      </c>
      <c r="N14" s="20">
        <v>14</v>
      </c>
      <c r="O14" s="20">
        <v>1</v>
      </c>
      <c r="P14" s="20">
        <v>14</v>
      </c>
      <c r="Q14" s="20">
        <v>0</v>
      </c>
      <c r="R14" s="20">
        <v>0</v>
      </c>
      <c r="S14" s="20">
        <v>0</v>
      </c>
      <c r="T14" s="20">
        <v>0</v>
      </c>
      <c r="U14" s="20">
        <v>16</v>
      </c>
      <c r="V14" s="20">
        <v>254</v>
      </c>
      <c r="W14" s="20">
        <v>1139</v>
      </c>
      <c r="X14" s="20">
        <v>524</v>
      </c>
      <c r="Y14" s="20">
        <v>615</v>
      </c>
      <c r="Z14" s="20">
        <v>266</v>
      </c>
      <c r="AA14" s="20">
        <v>130</v>
      </c>
      <c r="AB14" s="20">
        <v>136</v>
      </c>
      <c r="AC14" s="20">
        <v>301</v>
      </c>
      <c r="AD14" s="20">
        <v>134</v>
      </c>
      <c r="AE14" s="20">
        <v>167</v>
      </c>
      <c r="AF14" s="20">
        <v>572</v>
      </c>
      <c r="AG14" s="20">
        <v>260</v>
      </c>
      <c r="AH14" s="20">
        <v>312</v>
      </c>
      <c r="AI14" s="20">
        <v>194984</v>
      </c>
      <c r="AJ14" s="20">
        <v>93061</v>
      </c>
      <c r="AK14" s="20">
        <v>101923</v>
      </c>
      <c r="AL14" s="20">
        <v>48450</v>
      </c>
      <c r="AM14" s="20">
        <v>23885</v>
      </c>
      <c r="AN14" s="20">
        <v>24565</v>
      </c>
      <c r="AO14" s="20">
        <v>55871</v>
      </c>
      <c r="AP14" s="20">
        <v>26145</v>
      </c>
      <c r="AQ14" s="20">
        <v>29726</v>
      </c>
      <c r="AR14" s="20">
        <v>90663</v>
      </c>
      <c r="AS14" s="20">
        <v>43031</v>
      </c>
      <c r="AT14" s="20">
        <v>47632</v>
      </c>
      <c r="AU14" s="20">
        <v>449327</v>
      </c>
      <c r="AV14" s="20">
        <v>213719.5</v>
      </c>
      <c r="AW14" s="20">
        <v>235607.5</v>
      </c>
      <c r="AX14" s="20">
        <v>119605</v>
      </c>
      <c r="AY14" s="20">
        <v>58292.5</v>
      </c>
      <c r="AZ14" s="20">
        <v>61312.5</v>
      </c>
      <c r="BA14" s="20">
        <v>134820.5</v>
      </c>
      <c r="BB14" s="20">
        <v>62391</v>
      </c>
      <c r="BC14" s="20">
        <v>72429.5</v>
      </c>
      <c r="BD14" s="20">
        <v>194901.5</v>
      </c>
      <c r="BE14" s="20">
        <v>93036</v>
      </c>
      <c r="BF14" s="20">
        <v>101865.5</v>
      </c>
    </row>
    <row r="15" spans="1:88" ht="21" customHeight="1">
      <c r="A15" s="53" t="s">
        <v>156</v>
      </c>
      <c r="B15" s="19" t="s">
        <v>11</v>
      </c>
      <c r="C15" s="20">
        <v>5</v>
      </c>
      <c r="D15" s="20">
        <v>310</v>
      </c>
      <c r="E15" s="20">
        <v>28</v>
      </c>
      <c r="F15" s="20">
        <v>282</v>
      </c>
      <c r="G15" s="20">
        <v>28</v>
      </c>
      <c r="H15" s="20">
        <v>282</v>
      </c>
      <c r="I15" s="20">
        <v>0</v>
      </c>
      <c r="J15" s="20">
        <v>0</v>
      </c>
      <c r="K15" s="20">
        <v>0</v>
      </c>
      <c r="L15" s="20">
        <v>0</v>
      </c>
      <c r="M15" s="20">
        <v>2</v>
      </c>
      <c r="N15" s="20">
        <v>31</v>
      </c>
      <c r="O15" s="20">
        <v>1</v>
      </c>
      <c r="P15" s="20">
        <v>20</v>
      </c>
      <c r="Q15" s="20">
        <v>1</v>
      </c>
      <c r="R15" s="20">
        <v>11</v>
      </c>
      <c r="S15" s="20">
        <v>0</v>
      </c>
      <c r="T15" s="20">
        <v>0</v>
      </c>
      <c r="U15" s="20">
        <v>0</v>
      </c>
      <c r="V15" s="20">
        <v>0</v>
      </c>
      <c r="W15" s="20">
        <v>2144</v>
      </c>
      <c r="X15" s="20">
        <v>789</v>
      </c>
      <c r="Y15" s="20">
        <v>1355</v>
      </c>
      <c r="Z15" s="20">
        <v>254</v>
      </c>
      <c r="AA15" s="20">
        <v>139</v>
      </c>
      <c r="AB15" s="20">
        <v>115</v>
      </c>
      <c r="AC15" s="20">
        <v>336</v>
      </c>
      <c r="AD15" s="20">
        <v>135</v>
      </c>
      <c r="AE15" s="20">
        <v>201</v>
      </c>
      <c r="AF15" s="20">
        <v>1554</v>
      </c>
      <c r="AG15" s="20">
        <v>515</v>
      </c>
      <c r="AH15" s="20">
        <v>1039</v>
      </c>
      <c r="AI15" s="20">
        <v>222606</v>
      </c>
      <c r="AJ15" s="20">
        <v>83072</v>
      </c>
      <c r="AK15" s="20">
        <v>139534</v>
      </c>
      <c r="AL15" s="20">
        <v>27217</v>
      </c>
      <c r="AM15" s="20">
        <v>13780</v>
      </c>
      <c r="AN15" s="20">
        <v>13437</v>
      </c>
      <c r="AO15" s="20">
        <v>40806</v>
      </c>
      <c r="AP15" s="20">
        <v>17884</v>
      </c>
      <c r="AQ15" s="20">
        <v>22922</v>
      </c>
      <c r="AR15" s="20">
        <v>154583</v>
      </c>
      <c r="AS15" s="20">
        <v>51408</v>
      </c>
      <c r="AT15" s="20">
        <v>103175</v>
      </c>
      <c r="AU15" s="20">
        <v>437625</v>
      </c>
      <c r="AV15" s="20">
        <v>164918</v>
      </c>
      <c r="AW15" s="20">
        <v>272707</v>
      </c>
      <c r="AX15" s="20">
        <v>53949</v>
      </c>
      <c r="AY15" s="20">
        <v>27207</v>
      </c>
      <c r="AZ15" s="20">
        <v>26742</v>
      </c>
      <c r="BA15" s="20">
        <v>81915</v>
      </c>
      <c r="BB15" s="20">
        <v>36176</v>
      </c>
      <c r="BC15" s="20">
        <v>45739</v>
      </c>
      <c r="BD15" s="20">
        <v>301761</v>
      </c>
      <c r="BE15" s="20">
        <v>101535</v>
      </c>
      <c r="BF15" s="20">
        <v>200226</v>
      </c>
    </row>
    <row r="16" spans="1:88" ht="21" customHeight="1">
      <c r="A16" s="53" t="s">
        <v>157</v>
      </c>
      <c r="B16" s="19" t="s">
        <v>12</v>
      </c>
      <c r="C16" s="20">
        <v>11</v>
      </c>
      <c r="D16" s="20">
        <v>300</v>
      </c>
      <c r="E16" s="20">
        <v>13</v>
      </c>
      <c r="F16" s="20">
        <v>287</v>
      </c>
      <c r="G16" s="20">
        <v>9</v>
      </c>
      <c r="H16" s="20">
        <v>173</v>
      </c>
      <c r="I16" s="20">
        <v>4</v>
      </c>
      <c r="J16" s="20">
        <v>114</v>
      </c>
      <c r="K16" s="20">
        <v>0</v>
      </c>
      <c r="L16" s="20">
        <v>0</v>
      </c>
      <c r="M16" s="20">
        <v>31</v>
      </c>
      <c r="N16" s="20">
        <v>24</v>
      </c>
      <c r="O16" s="20">
        <v>6</v>
      </c>
      <c r="P16" s="20">
        <v>12</v>
      </c>
      <c r="Q16" s="20">
        <v>24</v>
      </c>
      <c r="R16" s="20">
        <v>10</v>
      </c>
      <c r="S16" s="20">
        <v>1</v>
      </c>
      <c r="T16" s="20">
        <v>2</v>
      </c>
      <c r="U16" s="20">
        <v>109</v>
      </c>
      <c r="V16" s="20">
        <v>311</v>
      </c>
      <c r="W16" s="20">
        <v>1795</v>
      </c>
      <c r="X16" s="20">
        <v>747</v>
      </c>
      <c r="Y16" s="20">
        <v>1048</v>
      </c>
      <c r="Z16" s="20">
        <v>198</v>
      </c>
      <c r="AA16" s="20">
        <v>130</v>
      </c>
      <c r="AB16" s="20">
        <v>68</v>
      </c>
      <c r="AC16" s="20">
        <v>476</v>
      </c>
      <c r="AD16" s="20">
        <v>207</v>
      </c>
      <c r="AE16" s="20">
        <v>269</v>
      </c>
      <c r="AF16" s="20">
        <v>1121</v>
      </c>
      <c r="AG16" s="20">
        <v>410</v>
      </c>
      <c r="AH16" s="20">
        <v>711</v>
      </c>
      <c r="AI16" s="20">
        <v>192347</v>
      </c>
      <c r="AJ16" s="20">
        <v>85248</v>
      </c>
      <c r="AK16" s="20">
        <v>107099</v>
      </c>
      <c r="AL16" s="20">
        <v>22806</v>
      </c>
      <c r="AM16" s="20">
        <v>15319</v>
      </c>
      <c r="AN16" s="20">
        <v>7487</v>
      </c>
      <c r="AO16" s="20">
        <v>53344</v>
      </c>
      <c r="AP16" s="20">
        <v>23705</v>
      </c>
      <c r="AQ16" s="20">
        <v>29639</v>
      </c>
      <c r="AR16" s="20">
        <v>116197</v>
      </c>
      <c r="AS16" s="20">
        <v>46224</v>
      </c>
      <c r="AT16" s="20">
        <v>69973</v>
      </c>
      <c r="AU16" s="20">
        <v>389732.6</v>
      </c>
      <c r="AV16" s="20">
        <v>169267</v>
      </c>
      <c r="AW16" s="20">
        <v>220465.6</v>
      </c>
      <c r="AX16" s="20">
        <v>46371</v>
      </c>
      <c r="AY16" s="20">
        <v>30970.5</v>
      </c>
      <c r="AZ16" s="20">
        <v>15400.5</v>
      </c>
      <c r="BA16" s="20">
        <v>111663.3</v>
      </c>
      <c r="BB16" s="20">
        <v>48398</v>
      </c>
      <c r="BC16" s="20">
        <v>63265.3</v>
      </c>
      <c r="BD16" s="20">
        <v>231698.3</v>
      </c>
      <c r="BE16" s="20">
        <v>89898.5</v>
      </c>
      <c r="BF16" s="20">
        <v>141799.79999999999</v>
      </c>
    </row>
    <row r="17" spans="1:88" ht="21" customHeight="1">
      <c r="A17" s="53" t="s">
        <v>158</v>
      </c>
      <c r="B17" s="19" t="s">
        <v>13</v>
      </c>
      <c r="C17" s="20">
        <v>5</v>
      </c>
      <c r="D17" s="20">
        <v>269</v>
      </c>
      <c r="E17" s="20">
        <v>16</v>
      </c>
      <c r="F17" s="20">
        <v>253</v>
      </c>
      <c r="G17" s="20">
        <v>12</v>
      </c>
      <c r="H17" s="20">
        <v>122</v>
      </c>
      <c r="I17" s="20">
        <v>4</v>
      </c>
      <c r="J17" s="20">
        <v>131</v>
      </c>
      <c r="K17" s="20">
        <v>0</v>
      </c>
      <c r="L17" s="20">
        <v>0</v>
      </c>
      <c r="M17" s="20">
        <v>10</v>
      </c>
      <c r="N17" s="20">
        <v>50</v>
      </c>
      <c r="O17" s="20">
        <v>7</v>
      </c>
      <c r="P17" s="20">
        <v>35</v>
      </c>
      <c r="Q17" s="20">
        <v>1</v>
      </c>
      <c r="R17" s="20">
        <v>1</v>
      </c>
      <c r="S17" s="20">
        <v>2</v>
      </c>
      <c r="T17" s="20">
        <v>14</v>
      </c>
      <c r="U17" s="20">
        <v>21</v>
      </c>
      <c r="V17" s="20">
        <v>597</v>
      </c>
      <c r="W17" s="20">
        <v>1913</v>
      </c>
      <c r="X17" s="20">
        <v>733</v>
      </c>
      <c r="Y17" s="20">
        <v>1180</v>
      </c>
      <c r="Z17" s="20">
        <v>262</v>
      </c>
      <c r="AA17" s="20">
        <v>181</v>
      </c>
      <c r="AB17" s="20">
        <v>81</v>
      </c>
      <c r="AC17" s="20">
        <v>343</v>
      </c>
      <c r="AD17" s="20">
        <v>137</v>
      </c>
      <c r="AE17" s="20">
        <v>206</v>
      </c>
      <c r="AF17" s="20">
        <v>1308</v>
      </c>
      <c r="AG17" s="20">
        <v>415</v>
      </c>
      <c r="AH17" s="20">
        <v>893</v>
      </c>
      <c r="AI17" s="20">
        <v>239900</v>
      </c>
      <c r="AJ17" s="20">
        <v>94525</v>
      </c>
      <c r="AK17" s="20">
        <v>145375</v>
      </c>
      <c r="AL17" s="20">
        <v>37390</v>
      </c>
      <c r="AM17" s="20">
        <v>24202</v>
      </c>
      <c r="AN17" s="20">
        <v>13188</v>
      </c>
      <c r="AO17" s="20">
        <v>47734</v>
      </c>
      <c r="AP17" s="20">
        <v>18343</v>
      </c>
      <c r="AQ17" s="20">
        <v>29391</v>
      </c>
      <c r="AR17" s="20">
        <v>154776</v>
      </c>
      <c r="AS17" s="20">
        <v>51980</v>
      </c>
      <c r="AT17" s="20">
        <v>102796</v>
      </c>
      <c r="AU17" s="20">
        <v>469797.5</v>
      </c>
      <c r="AV17" s="20">
        <v>184527</v>
      </c>
      <c r="AW17" s="20">
        <v>285270.5</v>
      </c>
      <c r="AX17" s="20">
        <v>72301.5</v>
      </c>
      <c r="AY17" s="20">
        <v>47283</v>
      </c>
      <c r="AZ17" s="20">
        <v>25018.5</v>
      </c>
      <c r="BA17" s="20">
        <v>94349.5</v>
      </c>
      <c r="BB17" s="20">
        <v>36386.5</v>
      </c>
      <c r="BC17" s="20">
        <v>57963</v>
      </c>
      <c r="BD17" s="20">
        <v>303146.5</v>
      </c>
      <c r="BE17" s="20">
        <v>100857.5</v>
      </c>
      <c r="BF17" s="20">
        <v>202289</v>
      </c>
    </row>
    <row r="18" spans="1:88" ht="21" customHeight="1">
      <c r="A18" s="53" t="s">
        <v>159</v>
      </c>
      <c r="B18" s="19" t="s">
        <v>14</v>
      </c>
      <c r="C18" s="20">
        <v>2</v>
      </c>
      <c r="D18" s="20">
        <v>201</v>
      </c>
      <c r="E18" s="20">
        <v>27</v>
      </c>
      <c r="F18" s="20">
        <v>174</v>
      </c>
      <c r="G18" s="20">
        <v>9</v>
      </c>
      <c r="H18" s="20">
        <v>43</v>
      </c>
      <c r="I18" s="20">
        <v>18</v>
      </c>
      <c r="J18" s="20">
        <v>131</v>
      </c>
      <c r="K18" s="20">
        <v>0</v>
      </c>
      <c r="L18" s="20">
        <v>0</v>
      </c>
      <c r="M18" s="20">
        <v>16</v>
      </c>
      <c r="N18" s="20">
        <v>141</v>
      </c>
      <c r="O18" s="20">
        <v>4</v>
      </c>
      <c r="P18" s="20">
        <v>81</v>
      </c>
      <c r="Q18" s="20">
        <v>12</v>
      </c>
      <c r="R18" s="20">
        <v>60</v>
      </c>
      <c r="S18" s="20">
        <v>0</v>
      </c>
      <c r="T18" s="20">
        <v>0</v>
      </c>
      <c r="U18" s="20">
        <v>9</v>
      </c>
      <c r="V18" s="20">
        <v>323</v>
      </c>
      <c r="W18" s="20">
        <v>1132</v>
      </c>
      <c r="X18" s="20">
        <v>471</v>
      </c>
      <c r="Y18" s="20">
        <v>661</v>
      </c>
      <c r="Z18" s="20">
        <v>357</v>
      </c>
      <c r="AA18" s="20">
        <v>177</v>
      </c>
      <c r="AB18" s="20">
        <v>180</v>
      </c>
      <c r="AC18" s="20">
        <v>142</v>
      </c>
      <c r="AD18" s="20">
        <v>63</v>
      </c>
      <c r="AE18" s="20">
        <v>79</v>
      </c>
      <c r="AF18" s="20">
        <v>633</v>
      </c>
      <c r="AG18" s="20">
        <v>231</v>
      </c>
      <c r="AH18" s="20">
        <v>402</v>
      </c>
      <c r="AI18" s="20">
        <v>208947</v>
      </c>
      <c r="AJ18" s="20">
        <v>92404</v>
      </c>
      <c r="AK18" s="20">
        <v>116543</v>
      </c>
      <c r="AL18" s="20">
        <v>84772</v>
      </c>
      <c r="AM18" s="20">
        <v>42196</v>
      </c>
      <c r="AN18" s="20">
        <v>42576</v>
      </c>
      <c r="AO18" s="20">
        <v>25054</v>
      </c>
      <c r="AP18" s="20">
        <v>10268</v>
      </c>
      <c r="AQ18" s="20">
        <v>14786</v>
      </c>
      <c r="AR18" s="20">
        <v>99121</v>
      </c>
      <c r="AS18" s="20">
        <v>39940</v>
      </c>
      <c r="AT18" s="20">
        <v>59181</v>
      </c>
      <c r="AU18" s="20">
        <v>298805</v>
      </c>
      <c r="AV18" s="20">
        <v>131753</v>
      </c>
      <c r="AW18" s="20">
        <v>167052</v>
      </c>
      <c r="AX18" s="20">
        <v>121107.5</v>
      </c>
      <c r="AY18" s="20">
        <v>59515.5</v>
      </c>
      <c r="AZ18" s="20">
        <v>61592</v>
      </c>
      <c r="BA18" s="20">
        <v>37536</v>
      </c>
      <c r="BB18" s="20">
        <v>14795.5</v>
      </c>
      <c r="BC18" s="20">
        <v>22740.5</v>
      </c>
      <c r="BD18" s="20">
        <v>140161.5</v>
      </c>
      <c r="BE18" s="20">
        <v>57442</v>
      </c>
      <c r="BF18" s="20">
        <v>82719.5</v>
      </c>
    </row>
    <row r="19" spans="1:88" ht="21" customHeight="1">
      <c r="A19" s="53" t="s">
        <v>171</v>
      </c>
      <c r="B19" s="19" t="s">
        <v>43</v>
      </c>
      <c r="C19" s="20">
        <v>7</v>
      </c>
      <c r="D19" s="20">
        <v>273</v>
      </c>
      <c r="E19" s="20">
        <v>33</v>
      </c>
      <c r="F19" s="20">
        <v>240</v>
      </c>
      <c r="G19" s="20">
        <v>20</v>
      </c>
      <c r="H19" s="20">
        <v>187</v>
      </c>
      <c r="I19" s="20">
        <v>13</v>
      </c>
      <c r="J19" s="20">
        <v>53</v>
      </c>
      <c r="K19" s="20">
        <v>0</v>
      </c>
      <c r="L19" s="20">
        <v>0</v>
      </c>
      <c r="M19" s="20">
        <v>12</v>
      </c>
      <c r="N19" s="20">
        <v>25</v>
      </c>
      <c r="O19" s="20">
        <v>2</v>
      </c>
      <c r="P19" s="20">
        <v>2</v>
      </c>
      <c r="Q19" s="20">
        <v>10</v>
      </c>
      <c r="R19" s="20">
        <v>23</v>
      </c>
      <c r="S19" s="20">
        <v>0</v>
      </c>
      <c r="T19" s="20">
        <v>0</v>
      </c>
      <c r="U19" s="20">
        <v>60</v>
      </c>
      <c r="V19" s="20">
        <v>309</v>
      </c>
      <c r="W19" s="20">
        <v>1361</v>
      </c>
      <c r="X19" s="20">
        <v>568</v>
      </c>
      <c r="Y19" s="20">
        <v>793</v>
      </c>
      <c r="Z19" s="20">
        <v>268</v>
      </c>
      <c r="AA19" s="20">
        <v>139</v>
      </c>
      <c r="AB19" s="20">
        <v>129</v>
      </c>
      <c r="AC19" s="20">
        <v>261</v>
      </c>
      <c r="AD19" s="20">
        <v>132</v>
      </c>
      <c r="AE19" s="20">
        <v>129</v>
      </c>
      <c r="AF19" s="20">
        <v>832</v>
      </c>
      <c r="AG19" s="20">
        <v>297</v>
      </c>
      <c r="AH19" s="20">
        <v>535</v>
      </c>
      <c r="AI19" s="20">
        <v>221988</v>
      </c>
      <c r="AJ19" s="20">
        <v>96135</v>
      </c>
      <c r="AK19" s="20">
        <v>125853</v>
      </c>
      <c r="AL19" s="20">
        <v>46552</v>
      </c>
      <c r="AM19" s="20">
        <v>23640</v>
      </c>
      <c r="AN19" s="20">
        <v>22912</v>
      </c>
      <c r="AO19" s="20">
        <v>47353</v>
      </c>
      <c r="AP19" s="20">
        <v>24336</v>
      </c>
      <c r="AQ19" s="20">
        <v>23017</v>
      </c>
      <c r="AR19" s="20">
        <v>128083</v>
      </c>
      <c r="AS19" s="20">
        <v>48159</v>
      </c>
      <c r="AT19" s="20">
        <v>79924</v>
      </c>
      <c r="AU19" s="20">
        <v>429152</v>
      </c>
      <c r="AV19" s="20">
        <v>183662.5</v>
      </c>
      <c r="AW19" s="20">
        <v>245489.5</v>
      </c>
      <c r="AX19" s="20">
        <v>94903</v>
      </c>
      <c r="AY19" s="20">
        <v>46738</v>
      </c>
      <c r="AZ19" s="20">
        <v>48165</v>
      </c>
      <c r="BA19" s="20">
        <v>100394</v>
      </c>
      <c r="BB19" s="20">
        <v>51329</v>
      </c>
      <c r="BC19" s="20">
        <v>49065</v>
      </c>
      <c r="BD19" s="20">
        <v>233855</v>
      </c>
      <c r="BE19" s="20">
        <v>85595.5</v>
      </c>
      <c r="BF19" s="20">
        <v>148259.5</v>
      </c>
    </row>
    <row r="20" spans="1:88" ht="21" customHeight="1">
      <c r="A20" s="53" t="s">
        <v>172</v>
      </c>
      <c r="B20" s="19" t="s">
        <v>44</v>
      </c>
      <c r="C20" s="20">
        <v>13</v>
      </c>
      <c r="D20" s="20">
        <v>385</v>
      </c>
      <c r="E20" s="20">
        <v>28</v>
      </c>
      <c r="F20" s="20">
        <v>357</v>
      </c>
      <c r="G20" s="20">
        <v>24</v>
      </c>
      <c r="H20" s="20">
        <v>303</v>
      </c>
      <c r="I20" s="20">
        <v>4</v>
      </c>
      <c r="J20" s="20">
        <v>54</v>
      </c>
      <c r="K20" s="20">
        <v>0</v>
      </c>
      <c r="L20" s="20">
        <v>0</v>
      </c>
      <c r="M20" s="20">
        <v>2</v>
      </c>
      <c r="N20" s="20">
        <v>56</v>
      </c>
      <c r="O20" s="20">
        <v>1</v>
      </c>
      <c r="P20" s="20">
        <v>37</v>
      </c>
      <c r="Q20" s="20">
        <v>1</v>
      </c>
      <c r="R20" s="20">
        <v>19</v>
      </c>
      <c r="S20" s="20">
        <v>0</v>
      </c>
      <c r="T20" s="20">
        <v>0</v>
      </c>
      <c r="U20" s="20">
        <v>19</v>
      </c>
      <c r="V20" s="20">
        <v>578</v>
      </c>
      <c r="W20" s="20">
        <v>2156</v>
      </c>
      <c r="X20" s="20">
        <v>948</v>
      </c>
      <c r="Y20" s="20">
        <v>1208</v>
      </c>
      <c r="Z20" s="20">
        <v>162</v>
      </c>
      <c r="AA20" s="20">
        <v>100</v>
      </c>
      <c r="AB20" s="20">
        <v>62</v>
      </c>
      <c r="AC20" s="20">
        <v>571</v>
      </c>
      <c r="AD20" s="20">
        <v>282</v>
      </c>
      <c r="AE20" s="20">
        <v>289</v>
      </c>
      <c r="AF20" s="20">
        <v>1423</v>
      </c>
      <c r="AG20" s="20">
        <v>566</v>
      </c>
      <c r="AH20" s="20">
        <v>857</v>
      </c>
      <c r="AI20" s="20">
        <v>625020</v>
      </c>
      <c r="AJ20" s="20">
        <v>285706</v>
      </c>
      <c r="AK20" s="20">
        <v>339314</v>
      </c>
      <c r="AL20" s="20">
        <v>62252</v>
      </c>
      <c r="AM20" s="20">
        <v>37835</v>
      </c>
      <c r="AN20" s="20">
        <v>24417</v>
      </c>
      <c r="AO20" s="20">
        <v>191404</v>
      </c>
      <c r="AP20" s="20">
        <v>99442</v>
      </c>
      <c r="AQ20" s="20">
        <v>91962</v>
      </c>
      <c r="AR20" s="20">
        <v>371364</v>
      </c>
      <c r="AS20" s="20">
        <v>148429</v>
      </c>
      <c r="AT20" s="20">
        <v>222935</v>
      </c>
      <c r="AU20" s="20">
        <v>580904.5</v>
      </c>
      <c r="AV20" s="20">
        <v>272206.5</v>
      </c>
      <c r="AW20" s="20">
        <v>308698</v>
      </c>
      <c r="AX20" s="20">
        <v>58442.5</v>
      </c>
      <c r="AY20" s="20">
        <v>34637.5</v>
      </c>
      <c r="AZ20" s="20">
        <v>23805</v>
      </c>
      <c r="BA20" s="20">
        <v>192635.5</v>
      </c>
      <c r="BB20" s="20">
        <v>98982</v>
      </c>
      <c r="BC20" s="20">
        <v>93653.5</v>
      </c>
      <c r="BD20" s="20">
        <v>329826.5</v>
      </c>
      <c r="BE20" s="20">
        <v>138587</v>
      </c>
      <c r="BF20" s="20">
        <v>191239.5</v>
      </c>
    </row>
    <row r="21" spans="1:88" ht="21" customHeight="1">
      <c r="A21" s="53" t="s">
        <v>160</v>
      </c>
      <c r="B21" s="19" t="s">
        <v>15</v>
      </c>
      <c r="C21" s="20">
        <v>8</v>
      </c>
      <c r="D21" s="20">
        <v>335</v>
      </c>
      <c r="E21" s="20">
        <v>18</v>
      </c>
      <c r="F21" s="20">
        <v>317</v>
      </c>
      <c r="G21" s="20">
        <v>11</v>
      </c>
      <c r="H21" s="20">
        <v>204</v>
      </c>
      <c r="I21" s="20">
        <v>7</v>
      </c>
      <c r="J21" s="20">
        <v>113</v>
      </c>
      <c r="K21" s="20">
        <v>0</v>
      </c>
      <c r="L21" s="20">
        <v>0</v>
      </c>
      <c r="M21" s="20">
        <v>4</v>
      </c>
      <c r="N21" s="20">
        <v>4</v>
      </c>
      <c r="O21" s="20">
        <v>4</v>
      </c>
      <c r="P21" s="20">
        <v>4</v>
      </c>
      <c r="Q21" s="20">
        <v>0</v>
      </c>
      <c r="R21" s="20">
        <v>0</v>
      </c>
      <c r="S21" s="20">
        <v>0</v>
      </c>
      <c r="T21" s="20">
        <v>0</v>
      </c>
      <c r="U21" s="20">
        <v>91</v>
      </c>
      <c r="V21" s="20">
        <v>841</v>
      </c>
      <c r="W21" s="20">
        <v>1550</v>
      </c>
      <c r="X21" s="20">
        <v>644</v>
      </c>
      <c r="Y21" s="20">
        <v>906</v>
      </c>
      <c r="Z21" s="20">
        <v>290</v>
      </c>
      <c r="AA21" s="20">
        <v>164</v>
      </c>
      <c r="AB21" s="20">
        <v>126</v>
      </c>
      <c r="AC21" s="20">
        <v>433</v>
      </c>
      <c r="AD21" s="20">
        <v>174</v>
      </c>
      <c r="AE21" s="20">
        <v>259</v>
      </c>
      <c r="AF21" s="20">
        <v>827</v>
      </c>
      <c r="AG21" s="20">
        <v>306</v>
      </c>
      <c r="AH21" s="20">
        <v>521</v>
      </c>
      <c r="AI21" s="20">
        <v>209367</v>
      </c>
      <c r="AJ21" s="20">
        <v>87934</v>
      </c>
      <c r="AK21" s="20">
        <v>121433</v>
      </c>
      <c r="AL21" s="20">
        <v>36770</v>
      </c>
      <c r="AM21" s="20">
        <v>20209</v>
      </c>
      <c r="AN21" s="20">
        <v>16561</v>
      </c>
      <c r="AO21" s="20">
        <v>75980</v>
      </c>
      <c r="AP21" s="20">
        <v>29486</v>
      </c>
      <c r="AQ21" s="20">
        <v>46494</v>
      </c>
      <c r="AR21" s="20">
        <v>96617</v>
      </c>
      <c r="AS21" s="20">
        <v>38239</v>
      </c>
      <c r="AT21" s="20">
        <v>58378</v>
      </c>
      <c r="AU21" s="20">
        <v>458897</v>
      </c>
      <c r="AV21" s="20">
        <v>189425.5</v>
      </c>
      <c r="AW21" s="20">
        <v>269471.5</v>
      </c>
      <c r="AX21" s="20">
        <v>80607</v>
      </c>
      <c r="AY21" s="20">
        <v>44210.5</v>
      </c>
      <c r="AZ21" s="20">
        <v>36396.5</v>
      </c>
      <c r="BA21" s="20">
        <v>179566.5</v>
      </c>
      <c r="BB21" s="20">
        <v>66686</v>
      </c>
      <c r="BC21" s="20">
        <v>112880.5</v>
      </c>
      <c r="BD21" s="20">
        <v>198723.5</v>
      </c>
      <c r="BE21" s="20">
        <v>78529</v>
      </c>
      <c r="BF21" s="20">
        <v>120194.5</v>
      </c>
    </row>
    <row r="22" spans="1:88" ht="21" customHeight="1">
      <c r="A22" s="53" t="s">
        <v>161</v>
      </c>
      <c r="B22" s="19" t="s">
        <v>16</v>
      </c>
      <c r="C22" s="20">
        <v>5</v>
      </c>
      <c r="D22" s="20">
        <v>119</v>
      </c>
      <c r="E22" s="20">
        <v>4</v>
      </c>
      <c r="F22" s="20">
        <v>115</v>
      </c>
      <c r="G22" s="20">
        <v>4</v>
      </c>
      <c r="H22" s="20">
        <v>115</v>
      </c>
      <c r="I22" s="20">
        <v>0</v>
      </c>
      <c r="J22" s="20">
        <v>0</v>
      </c>
      <c r="K22" s="20">
        <v>0</v>
      </c>
      <c r="L22" s="20">
        <v>0</v>
      </c>
      <c r="M22" s="20">
        <v>4</v>
      </c>
      <c r="N22" s="20">
        <v>80</v>
      </c>
      <c r="O22" s="20">
        <v>3</v>
      </c>
      <c r="P22" s="20">
        <v>60</v>
      </c>
      <c r="Q22" s="20">
        <v>1</v>
      </c>
      <c r="R22" s="20">
        <v>20</v>
      </c>
      <c r="S22" s="20">
        <v>0</v>
      </c>
      <c r="T22" s="20">
        <v>0</v>
      </c>
      <c r="U22" s="20">
        <v>9</v>
      </c>
      <c r="V22" s="20">
        <v>865</v>
      </c>
      <c r="W22" s="20">
        <v>639</v>
      </c>
      <c r="X22" s="20">
        <v>315</v>
      </c>
      <c r="Y22" s="20">
        <v>324</v>
      </c>
      <c r="Z22" s="20">
        <v>232</v>
      </c>
      <c r="AA22" s="20">
        <v>142</v>
      </c>
      <c r="AB22" s="20">
        <v>90</v>
      </c>
      <c r="AC22" s="20">
        <v>156</v>
      </c>
      <c r="AD22" s="20">
        <v>74</v>
      </c>
      <c r="AE22" s="20">
        <v>82</v>
      </c>
      <c r="AF22" s="20">
        <v>251</v>
      </c>
      <c r="AG22" s="20">
        <v>99</v>
      </c>
      <c r="AH22" s="20">
        <v>152</v>
      </c>
      <c r="AI22" s="20">
        <v>59215</v>
      </c>
      <c r="AJ22" s="20">
        <v>28198</v>
      </c>
      <c r="AK22" s="20">
        <v>31017</v>
      </c>
      <c r="AL22" s="20">
        <v>22251</v>
      </c>
      <c r="AM22" s="20">
        <v>11879</v>
      </c>
      <c r="AN22" s="20">
        <v>10372</v>
      </c>
      <c r="AO22" s="20">
        <v>14226</v>
      </c>
      <c r="AP22" s="20">
        <v>6801</v>
      </c>
      <c r="AQ22" s="20">
        <v>7425</v>
      </c>
      <c r="AR22" s="20">
        <v>22738</v>
      </c>
      <c r="AS22" s="20">
        <v>9518</v>
      </c>
      <c r="AT22" s="20">
        <v>13220</v>
      </c>
      <c r="AU22" s="20">
        <v>118558</v>
      </c>
      <c r="AV22" s="20">
        <v>58290</v>
      </c>
      <c r="AW22" s="20">
        <v>60268</v>
      </c>
      <c r="AX22" s="20">
        <v>47528</v>
      </c>
      <c r="AY22" s="20">
        <v>26726</v>
      </c>
      <c r="AZ22" s="20">
        <v>20802</v>
      </c>
      <c r="BA22" s="20">
        <v>28176</v>
      </c>
      <c r="BB22" s="20">
        <v>13540</v>
      </c>
      <c r="BC22" s="20">
        <v>14636</v>
      </c>
      <c r="BD22" s="20">
        <v>42854</v>
      </c>
      <c r="BE22" s="20">
        <v>18024</v>
      </c>
      <c r="BF22" s="20">
        <v>24830</v>
      </c>
    </row>
    <row r="23" spans="1:88" ht="21" customHeight="1">
      <c r="A23" s="53" t="s">
        <v>162</v>
      </c>
      <c r="B23" s="19" t="s">
        <v>17</v>
      </c>
      <c r="C23" s="20">
        <v>2</v>
      </c>
      <c r="D23" s="20">
        <v>107</v>
      </c>
      <c r="E23" s="20">
        <v>3</v>
      </c>
      <c r="F23" s="20">
        <v>104</v>
      </c>
      <c r="G23" s="20">
        <v>3</v>
      </c>
      <c r="H23" s="20">
        <v>104</v>
      </c>
      <c r="I23" s="20">
        <v>0</v>
      </c>
      <c r="J23" s="20">
        <v>0</v>
      </c>
      <c r="K23" s="20">
        <v>0</v>
      </c>
      <c r="L23" s="20">
        <v>0</v>
      </c>
      <c r="M23" s="20">
        <v>1</v>
      </c>
      <c r="N23" s="20">
        <v>12</v>
      </c>
      <c r="O23" s="20">
        <v>1</v>
      </c>
      <c r="P23" s="20">
        <v>12</v>
      </c>
      <c r="Q23" s="20">
        <v>0</v>
      </c>
      <c r="R23" s="20">
        <v>0</v>
      </c>
      <c r="S23" s="20">
        <v>0</v>
      </c>
      <c r="T23" s="20">
        <v>0</v>
      </c>
      <c r="U23" s="20">
        <v>7</v>
      </c>
      <c r="V23" s="20">
        <v>225</v>
      </c>
      <c r="W23" s="20">
        <v>978</v>
      </c>
      <c r="X23" s="20">
        <v>509</v>
      </c>
      <c r="Y23" s="20">
        <v>469</v>
      </c>
      <c r="Z23" s="20">
        <v>269</v>
      </c>
      <c r="AA23" s="20">
        <v>164</v>
      </c>
      <c r="AB23" s="20">
        <v>105</v>
      </c>
      <c r="AC23" s="20">
        <v>185</v>
      </c>
      <c r="AD23" s="20">
        <v>108</v>
      </c>
      <c r="AE23" s="20">
        <v>77</v>
      </c>
      <c r="AF23" s="20">
        <v>524</v>
      </c>
      <c r="AG23" s="20">
        <v>237</v>
      </c>
      <c r="AH23" s="20">
        <v>287</v>
      </c>
      <c r="AI23" s="20">
        <v>130291</v>
      </c>
      <c r="AJ23" s="20">
        <v>36516</v>
      </c>
      <c r="AK23" s="20">
        <v>93775</v>
      </c>
      <c r="AL23" s="20">
        <v>33919</v>
      </c>
      <c r="AM23" s="20">
        <v>13774</v>
      </c>
      <c r="AN23" s="20">
        <v>20145</v>
      </c>
      <c r="AO23" s="20">
        <v>24052</v>
      </c>
      <c r="AP23" s="20">
        <v>7724</v>
      </c>
      <c r="AQ23" s="20">
        <v>16328</v>
      </c>
      <c r="AR23" s="20">
        <v>72320</v>
      </c>
      <c r="AS23" s="20">
        <v>15018</v>
      </c>
      <c r="AT23" s="20">
        <v>57302</v>
      </c>
      <c r="AU23" s="20">
        <v>208643.5</v>
      </c>
      <c r="AV23" s="20">
        <v>69551</v>
      </c>
      <c r="AW23" s="20">
        <v>139092.5</v>
      </c>
      <c r="AX23" s="20">
        <v>56532.5</v>
      </c>
      <c r="AY23" s="20">
        <v>26221.5</v>
      </c>
      <c r="AZ23" s="20">
        <v>30311</v>
      </c>
      <c r="BA23" s="20">
        <v>38140.5</v>
      </c>
      <c r="BB23" s="20">
        <v>13537.5</v>
      </c>
      <c r="BC23" s="20">
        <v>24603</v>
      </c>
      <c r="BD23" s="20">
        <v>113970.5</v>
      </c>
      <c r="BE23" s="20">
        <v>29792</v>
      </c>
      <c r="BF23" s="20">
        <v>84178.5</v>
      </c>
    </row>
    <row r="24" spans="1:88" ht="21" customHeight="1">
      <c r="A24" s="53" t="s">
        <v>163</v>
      </c>
      <c r="B24" s="19" t="s">
        <v>18</v>
      </c>
      <c r="C24" s="20">
        <v>1</v>
      </c>
      <c r="D24" s="20">
        <v>38</v>
      </c>
      <c r="E24" s="20">
        <v>1</v>
      </c>
      <c r="F24" s="20">
        <v>37</v>
      </c>
      <c r="G24" s="20">
        <v>0</v>
      </c>
      <c r="H24" s="20">
        <v>0</v>
      </c>
      <c r="I24" s="20">
        <v>1</v>
      </c>
      <c r="J24" s="20">
        <v>37</v>
      </c>
      <c r="K24" s="20">
        <v>0</v>
      </c>
      <c r="L24" s="20">
        <v>0</v>
      </c>
      <c r="M24" s="20">
        <v>1</v>
      </c>
      <c r="N24" s="20">
        <v>9</v>
      </c>
      <c r="O24" s="20">
        <v>1</v>
      </c>
      <c r="P24" s="20">
        <v>9</v>
      </c>
      <c r="Q24" s="20">
        <v>0</v>
      </c>
      <c r="R24" s="20">
        <v>0</v>
      </c>
      <c r="S24" s="20">
        <v>0</v>
      </c>
      <c r="T24" s="20">
        <v>0</v>
      </c>
      <c r="U24" s="20">
        <v>21</v>
      </c>
      <c r="V24" s="20">
        <v>1162</v>
      </c>
      <c r="W24" s="20">
        <v>407</v>
      </c>
      <c r="X24" s="20">
        <v>163</v>
      </c>
      <c r="Y24" s="20">
        <v>244</v>
      </c>
      <c r="Z24" s="20">
        <v>84</v>
      </c>
      <c r="AA24" s="20">
        <v>43</v>
      </c>
      <c r="AB24" s="20">
        <v>41</v>
      </c>
      <c r="AC24" s="20">
        <v>120</v>
      </c>
      <c r="AD24" s="20">
        <v>52</v>
      </c>
      <c r="AE24" s="20">
        <v>68</v>
      </c>
      <c r="AF24" s="20">
        <v>203</v>
      </c>
      <c r="AG24" s="20">
        <v>68</v>
      </c>
      <c r="AH24" s="20">
        <v>135</v>
      </c>
      <c r="AI24" s="20">
        <v>51613</v>
      </c>
      <c r="AJ24" s="20">
        <v>21595</v>
      </c>
      <c r="AK24" s="20">
        <v>30018</v>
      </c>
      <c r="AL24" s="20">
        <v>11534</v>
      </c>
      <c r="AM24" s="20">
        <v>6146</v>
      </c>
      <c r="AN24" s="20">
        <v>5388</v>
      </c>
      <c r="AO24" s="20">
        <v>16670</v>
      </c>
      <c r="AP24" s="20">
        <v>6902</v>
      </c>
      <c r="AQ24" s="20">
        <v>9768</v>
      </c>
      <c r="AR24" s="20">
        <v>23409</v>
      </c>
      <c r="AS24" s="20">
        <v>8547</v>
      </c>
      <c r="AT24" s="20">
        <v>14862</v>
      </c>
      <c r="AU24" s="20">
        <v>44998</v>
      </c>
      <c r="AV24" s="20">
        <v>19734.5</v>
      </c>
      <c r="AW24" s="20">
        <v>25263.5</v>
      </c>
      <c r="AX24" s="20">
        <v>9374</v>
      </c>
      <c r="AY24" s="20">
        <v>4857</v>
      </c>
      <c r="AZ24" s="20">
        <v>4517</v>
      </c>
      <c r="BA24" s="20">
        <v>14905.5</v>
      </c>
      <c r="BB24" s="20">
        <v>6845</v>
      </c>
      <c r="BC24" s="20">
        <v>8060.5</v>
      </c>
      <c r="BD24" s="20">
        <v>20718.5</v>
      </c>
      <c r="BE24" s="20">
        <v>8032.5</v>
      </c>
      <c r="BF24" s="20">
        <v>12686</v>
      </c>
    </row>
    <row r="25" spans="1:88" ht="21" customHeight="1">
      <c r="A25" s="53" t="s">
        <v>164</v>
      </c>
      <c r="B25" s="19" t="s">
        <v>19</v>
      </c>
      <c r="C25" s="20">
        <v>2</v>
      </c>
      <c r="D25" s="20">
        <v>70</v>
      </c>
      <c r="E25" s="20">
        <v>4</v>
      </c>
      <c r="F25" s="20">
        <v>66</v>
      </c>
      <c r="G25" s="20">
        <v>4</v>
      </c>
      <c r="H25" s="20">
        <v>66</v>
      </c>
      <c r="I25" s="20">
        <v>0</v>
      </c>
      <c r="J25" s="20">
        <v>0</v>
      </c>
      <c r="K25" s="20">
        <v>0</v>
      </c>
      <c r="L25" s="20">
        <v>0</v>
      </c>
      <c r="M25" s="20">
        <v>90</v>
      </c>
      <c r="N25" s="20">
        <v>15</v>
      </c>
      <c r="O25" s="20">
        <v>2</v>
      </c>
      <c r="P25" s="20">
        <v>2</v>
      </c>
      <c r="Q25" s="20">
        <v>86</v>
      </c>
      <c r="R25" s="20">
        <v>9</v>
      </c>
      <c r="S25" s="20">
        <v>2</v>
      </c>
      <c r="T25" s="20">
        <v>4</v>
      </c>
      <c r="U25" s="20">
        <v>218</v>
      </c>
      <c r="V25" s="20">
        <v>132</v>
      </c>
      <c r="W25" s="20">
        <v>361</v>
      </c>
      <c r="X25" s="20">
        <v>153</v>
      </c>
      <c r="Y25" s="20">
        <v>208</v>
      </c>
      <c r="Z25" s="20">
        <v>112</v>
      </c>
      <c r="AA25" s="20">
        <v>45</v>
      </c>
      <c r="AB25" s="20">
        <v>67</v>
      </c>
      <c r="AC25" s="20">
        <v>62</v>
      </c>
      <c r="AD25" s="20">
        <v>31</v>
      </c>
      <c r="AE25" s="20">
        <v>31</v>
      </c>
      <c r="AF25" s="20">
        <v>187</v>
      </c>
      <c r="AG25" s="20">
        <v>77</v>
      </c>
      <c r="AH25" s="20">
        <v>110</v>
      </c>
      <c r="AI25" s="20">
        <v>40997</v>
      </c>
      <c r="AJ25" s="20">
        <v>17110</v>
      </c>
      <c r="AK25" s="20">
        <v>23887</v>
      </c>
      <c r="AL25" s="20">
        <v>15336</v>
      </c>
      <c r="AM25" s="20">
        <v>6188</v>
      </c>
      <c r="AN25" s="20">
        <v>9148</v>
      </c>
      <c r="AO25" s="20">
        <v>7414</v>
      </c>
      <c r="AP25" s="20">
        <v>3330</v>
      </c>
      <c r="AQ25" s="20">
        <v>4084</v>
      </c>
      <c r="AR25" s="20">
        <v>18247</v>
      </c>
      <c r="AS25" s="20">
        <v>7592</v>
      </c>
      <c r="AT25" s="20">
        <v>10655</v>
      </c>
      <c r="AU25" s="20">
        <v>85376</v>
      </c>
      <c r="AV25" s="20">
        <v>36585</v>
      </c>
      <c r="AW25" s="20">
        <v>48791</v>
      </c>
      <c r="AX25" s="20">
        <v>35079</v>
      </c>
      <c r="AY25" s="20">
        <v>14106</v>
      </c>
      <c r="AZ25" s="20">
        <v>20973</v>
      </c>
      <c r="BA25" s="20">
        <v>14948</v>
      </c>
      <c r="BB25" s="20">
        <v>7081</v>
      </c>
      <c r="BC25" s="20">
        <v>7867</v>
      </c>
      <c r="BD25" s="20">
        <v>35349</v>
      </c>
      <c r="BE25" s="20">
        <v>15398</v>
      </c>
      <c r="BF25" s="20">
        <v>19951</v>
      </c>
    </row>
    <row r="26" spans="1:88" ht="21" customHeight="1">
      <c r="A26" s="53" t="s">
        <v>165</v>
      </c>
      <c r="B26" s="19" t="s">
        <v>20</v>
      </c>
      <c r="C26" s="20">
        <v>2</v>
      </c>
      <c r="D26" s="20">
        <v>53</v>
      </c>
      <c r="E26" s="20">
        <v>6</v>
      </c>
      <c r="F26" s="20">
        <v>47</v>
      </c>
      <c r="G26" s="20">
        <v>5</v>
      </c>
      <c r="H26" s="20">
        <v>45</v>
      </c>
      <c r="I26" s="20">
        <v>1</v>
      </c>
      <c r="J26" s="20">
        <v>2</v>
      </c>
      <c r="K26" s="20">
        <v>0</v>
      </c>
      <c r="L26" s="20">
        <v>0</v>
      </c>
      <c r="M26" s="20">
        <v>19</v>
      </c>
      <c r="N26" s="20">
        <v>10</v>
      </c>
      <c r="O26" s="20">
        <v>0</v>
      </c>
      <c r="P26" s="20">
        <v>0</v>
      </c>
      <c r="Q26" s="20">
        <v>19</v>
      </c>
      <c r="R26" s="20">
        <v>10</v>
      </c>
      <c r="S26" s="20">
        <v>0</v>
      </c>
      <c r="T26" s="20">
        <v>0</v>
      </c>
      <c r="U26" s="20">
        <v>8</v>
      </c>
      <c r="V26" s="20">
        <v>94</v>
      </c>
      <c r="W26" s="20">
        <v>346</v>
      </c>
      <c r="X26" s="20">
        <v>157</v>
      </c>
      <c r="Y26" s="20">
        <v>189</v>
      </c>
      <c r="Z26" s="20">
        <v>62</v>
      </c>
      <c r="AA26" s="20">
        <v>26</v>
      </c>
      <c r="AB26" s="20">
        <v>36</v>
      </c>
      <c r="AC26" s="20">
        <v>56</v>
      </c>
      <c r="AD26" s="20">
        <v>32</v>
      </c>
      <c r="AE26" s="20">
        <v>24</v>
      </c>
      <c r="AF26" s="20">
        <v>228</v>
      </c>
      <c r="AG26" s="20">
        <v>99</v>
      </c>
      <c r="AH26" s="20">
        <v>129</v>
      </c>
      <c r="AI26" s="20">
        <v>35148</v>
      </c>
      <c r="AJ26" s="20">
        <v>15189</v>
      </c>
      <c r="AK26" s="20">
        <v>19959</v>
      </c>
      <c r="AL26" s="20">
        <v>7550</v>
      </c>
      <c r="AM26" s="20">
        <v>3389</v>
      </c>
      <c r="AN26" s="20">
        <v>4161</v>
      </c>
      <c r="AO26" s="20">
        <v>6264</v>
      </c>
      <c r="AP26" s="20">
        <v>3865</v>
      </c>
      <c r="AQ26" s="20">
        <v>2399</v>
      </c>
      <c r="AR26" s="20">
        <v>21334</v>
      </c>
      <c r="AS26" s="20">
        <v>7935</v>
      </c>
      <c r="AT26" s="20">
        <v>13399</v>
      </c>
      <c r="AU26" s="20">
        <v>66148</v>
      </c>
      <c r="AV26" s="20">
        <v>29272.5</v>
      </c>
      <c r="AW26" s="20">
        <v>36875.5</v>
      </c>
      <c r="AX26" s="20">
        <v>13715</v>
      </c>
      <c r="AY26" s="20">
        <v>6401.5</v>
      </c>
      <c r="AZ26" s="20">
        <v>7313.5</v>
      </c>
      <c r="BA26" s="20">
        <v>11932</v>
      </c>
      <c r="BB26" s="20">
        <v>7742.5</v>
      </c>
      <c r="BC26" s="20">
        <v>4189.5</v>
      </c>
      <c r="BD26" s="20">
        <v>40501</v>
      </c>
      <c r="BE26" s="20">
        <v>15128.5</v>
      </c>
      <c r="BF26" s="20">
        <v>25372.5</v>
      </c>
    </row>
    <row r="27" spans="1:88" ht="21" customHeight="1">
      <c r="A27" s="53" t="s">
        <v>173</v>
      </c>
      <c r="B27" s="19" t="s">
        <v>4</v>
      </c>
      <c r="C27" s="20">
        <v>7</v>
      </c>
      <c r="D27" s="20">
        <v>246</v>
      </c>
      <c r="E27" s="20">
        <v>14</v>
      </c>
      <c r="F27" s="20">
        <v>232</v>
      </c>
      <c r="G27" s="20">
        <v>0</v>
      </c>
      <c r="H27" s="20">
        <v>1</v>
      </c>
      <c r="I27" s="20">
        <v>14</v>
      </c>
      <c r="J27" s="20">
        <v>231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26</v>
      </c>
      <c r="V27" s="20">
        <v>690</v>
      </c>
      <c r="W27" s="20">
        <v>1383</v>
      </c>
      <c r="X27" s="20">
        <v>509</v>
      </c>
      <c r="Y27" s="20">
        <v>874</v>
      </c>
      <c r="Z27" s="20">
        <v>406</v>
      </c>
      <c r="AA27" s="20">
        <v>160</v>
      </c>
      <c r="AB27" s="20">
        <v>246</v>
      </c>
      <c r="AC27" s="20">
        <v>79</v>
      </c>
      <c r="AD27" s="20">
        <v>37</v>
      </c>
      <c r="AE27" s="20">
        <v>42</v>
      </c>
      <c r="AF27" s="20">
        <v>898</v>
      </c>
      <c r="AG27" s="20">
        <v>312</v>
      </c>
      <c r="AH27" s="20">
        <v>586</v>
      </c>
      <c r="AI27" s="20">
        <v>138411</v>
      </c>
      <c r="AJ27" s="20">
        <v>57798</v>
      </c>
      <c r="AK27" s="20">
        <v>80613</v>
      </c>
      <c r="AL27" s="20">
        <v>50102</v>
      </c>
      <c r="AM27" s="20">
        <v>24360</v>
      </c>
      <c r="AN27" s="20">
        <v>25742</v>
      </c>
      <c r="AO27" s="20">
        <v>9766</v>
      </c>
      <c r="AP27" s="20">
        <v>4523</v>
      </c>
      <c r="AQ27" s="20">
        <v>5243</v>
      </c>
      <c r="AR27" s="20">
        <v>78543</v>
      </c>
      <c r="AS27" s="20">
        <v>28915</v>
      </c>
      <c r="AT27" s="20">
        <v>49628</v>
      </c>
      <c r="AU27" s="20">
        <v>318654.8</v>
      </c>
      <c r="AV27" s="20">
        <v>136477</v>
      </c>
      <c r="AW27" s="20">
        <v>182177.8</v>
      </c>
      <c r="AX27" s="20">
        <v>120653</v>
      </c>
      <c r="AY27" s="20">
        <v>60129.5</v>
      </c>
      <c r="AZ27" s="20">
        <v>60523.5</v>
      </c>
      <c r="BA27" s="20">
        <v>22021.5</v>
      </c>
      <c r="BB27" s="20">
        <v>10703.5</v>
      </c>
      <c r="BC27" s="20">
        <v>11318</v>
      </c>
      <c r="BD27" s="20">
        <v>175980.3</v>
      </c>
      <c r="BE27" s="20">
        <v>65644</v>
      </c>
      <c r="BF27" s="20">
        <v>110336.3</v>
      </c>
    </row>
    <row r="28" spans="1:88" ht="21" customHeight="1">
      <c r="A28" s="53" t="s">
        <v>166</v>
      </c>
      <c r="B28" s="19" t="s">
        <v>21</v>
      </c>
      <c r="C28" s="20">
        <v>3</v>
      </c>
      <c r="D28" s="20">
        <v>55</v>
      </c>
      <c r="E28" s="20">
        <v>2</v>
      </c>
      <c r="F28" s="20">
        <v>53</v>
      </c>
      <c r="G28" s="20">
        <v>1</v>
      </c>
      <c r="H28" s="20">
        <v>38</v>
      </c>
      <c r="I28" s="20">
        <v>1</v>
      </c>
      <c r="J28" s="20">
        <v>15</v>
      </c>
      <c r="K28" s="20">
        <v>0</v>
      </c>
      <c r="L28" s="20">
        <v>0</v>
      </c>
      <c r="M28" s="20">
        <v>21</v>
      </c>
      <c r="N28" s="20">
        <v>95</v>
      </c>
      <c r="O28" s="20">
        <v>1</v>
      </c>
      <c r="P28" s="20">
        <v>1</v>
      </c>
      <c r="Q28" s="20">
        <v>20</v>
      </c>
      <c r="R28" s="20">
        <v>94</v>
      </c>
      <c r="S28" s="20">
        <v>0</v>
      </c>
      <c r="T28" s="20">
        <v>0</v>
      </c>
      <c r="U28" s="20">
        <v>25</v>
      </c>
      <c r="V28" s="20">
        <v>249</v>
      </c>
      <c r="W28" s="20">
        <v>351</v>
      </c>
      <c r="X28" s="20">
        <v>140</v>
      </c>
      <c r="Y28" s="20">
        <v>211</v>
      </c>
      <c r="Z28" s="20">
        <v>91</v>
      </c>
      <c r="AA28" s="20">
        <v>39</v>
      </c>
      <c r="AB28" s="20">
        <v>52</v>
      </c>
      <c r="AC28" s="20">
        <v>29</v>
      </c>
      <c r="AD28" s="20">
        <v>11</v>
      </c>
      <c r="AE28" s="20">
        <v>18</v>
      </c>
      <c r="AF28" s="20">
        <v>231</v>
      </c>
      <c r="AG28" s="20">
        <v>90</v>
      </c>
      <c r="AH28" s="20">
        <v>141</v>
      </c>
      <c r="AI28" s="20">
        <v>61683</v>
      </c>
      <c r="AJ28" s="20">
        <v>24612</v>
      </c>
      <c r="AK28" s="20">
        <v>37071</v>
      </c>
      <c r="AL28" s="20">
        <v>13830</v>
      </c>
      <c r="AM28" s="20">
        <v>5062</v>
      </c>
      <c r="AN28" s="20">
        <v>8768</v>
      </c>
      <c r="AO28" s="20">
        <v>6358</v>
      </c>
      <c r="AP28" s="20">
        <v>2971</v>
      </c>
      <c r="AQ28" s="20">
        <v>3387</v>
      </c>
      <c r="AR28" s="20">
        <v>41495</v>
      </c>
      <c r="AS28" s="20">
        <v>16579</v>
      </c>
      <c r="AT28" s="20">
        <v>24916</v>
      </c>
      <c r="AU28" s="20">
        <v>81965</v>
      </c>
      <c r="AV28" s="20">
        <v>31279.5</v>
      </c>
      <c r="AW28" s="20">
        <v>50685.5</v>
      </c>
      <c r="AX28" s="20">
        <v>18940</v>
      </c>
      <c r="AY28" s="20">
        <v>6258</v>
      </c>
      <c r="AZ28" s="20">
        <v>12682</v>
      </c>
      <c r="BA28" s="20">
        <v>8716</v>
      </c>
      <c r="BB28" s="20">
        <v>4052</v>
      </c>
      <c r="BC28" s="20">
        <v>4664</v>
      </c>
      <c r="BD28" s="20">
        <v>54309</v>
      </c>
      <c r="BE28" s="20">
        <v>20969.5</v>
      </c>
      <c r="BF28" s="20">
        <v>33339.5</v>
      </c>
    </row>
    <row r="29" spans="1:88" ht="21" customHeight="1">
      <c r="A29" s="53" t="s">
        <v>174</v>
      </c>
      <c r="B29" s="19" t="s">
        <v>5</v>
      </c>
      <c r="C29" s="20">
        <v>4</v>
      </c>
      <c r="D29" s="20">
        <v>150</v>
      </c>
      <c r="E29" s="20">
        <v>9</v>
      </c>
      <c r="F29" s="20">
        <v>141</v>
      </c>
      <c r="G29" s="20">
        <v>5</v>
      </c>
      <c r="H29" s="20">
        <v>88</v>
      </c>
      <c r="I29" s="20">
        <v>4</v>
      </c>
      <c r="J29" s="20">
        <v>53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5</v>
      </c>
      <c r="V29" s="20">
        <v>161</v>
      </c>
      <c r="W29" s="20">
        <v>874</v>
      </c>
      <c r="X29" s="20">
        <v>309</v>
      </c>
      <c r="Y29" s="20">
        <v>565</v>
      </c>
      <c r="Z29" s="20">
        <v>109</v>
      </c>
      <c r="AA29" s="20">
        <v>51</v>
      </c>
      <c r="AB29" s="20">
        <v>58</v>
      </c>
      <c r="AC29" s="20">
        <v>152</v>
      </c>
      <c r="AD29" s="20">
        <v>63</v>
      </c>
      <c r="AE29" s="20">
        <v>89</v>
      </c>
      <c r="AF29" s="20">
        <v>613</v>
      </c>
      <c r="AG29" s="20">
        <v>195</v>
      </c>
      <c r="AH29" s="20">
        <v>418</v>
      </c>
      <c r="AI29" s="20">
        <v>128462</v>
      </c>
      <c r="AJ29" s="20">
        <v>48503</v>
      </c>
      <c r="AK29" s="20">
        <v>79959</v>
      </c>
      <c r="AL29" s="20">
        <v>17587</v>
      </c>
      <c r="AM29" s="20">
        <v>7430</v>
      </c>
      <c r="AN29" s="20">
        <v>10157</v>
      </c>
      <c r="AO29" s="20">
        <v>27593</v>
      </c>
      <c r="AP29" s="20">
        <v>12272</v>
      </c>
      <c r="AQ29" s="20">
        <v>15321</v>
      </c>
      <c r="AR29" s="20">
        <v>83282</v>
      </c>
      <c r="AS29" s="20">
        <v>28801</v>
      </c>
      <c r="AT29" s="20">
        <v>54481</v>
      </c>
      <c r="AU29" s="20">
        <v>229340.6</v>
      </c>
      <c r="AV29" s="20">
        <v>86151.5</v>
      </c>
      <c r="AW29" s="20">
        <v>143189.1</v>
      </c>
      <c r="AX29" s="20">
        <v>31554.6</v>
      </c>
      <c r="AY29" s="20">
        <v>13400.5</v>
      </c>
      <c r="AZ29" s="20">
        <v>18154.099999999999</v>
      </c>
      <c r="BA29" s="20">
        <v>49789.5</v>
      </c>
      <c r="BB29" s="20">
        <v>22432.5</v>
      </c>
      <c r="BC29" s="20">
        <v>27357</v>
      </c>
      <c r="BD29" s="20">
        <v>147996.5</v>
      </c>
      <c r="BE29" s="20">
        <v>50318.5</v>
      </c>
      <c r="BF29" s="20">
        <v>97678</v>
      </c>
    </row>
    <row r="30" spans="1:88" s="18" customFormat="1" ht="16.5" customHeight="1">
      <c r="A30" s="52" t="s">
        <v>148</v>
      </c>
      <c r="B30" s="35" t="s">
        <v>3</v>
      </c>
      <c r="C30" s="41">
        <v>14</v>
      </c>
      <c r="D30" s="41">
        <v>525</v>
      </c>
      <c r="E30" s="41">
        <v>42</v>
      </c>
      <c r="F30" s="41">
        <v>483</v>
      </c>
      <c r="G30" s="41">
        <v>16</v>
      </c>
      <c r="H30" s="41">
        <v>182</v>
      </c>
      <c r="I30" s="41">
        <v>25</v>
      </c>
      <c r="J30" s="41">
        <v>290</v>
      </c>
      <c r="K30" s="41">
        <v>1</v>
      </c>
      <c r="L30" s="41">
        <v>11</v>
      </c>
      <c r="M30" s="41">
        <v>4</v>
      </c>
      <c r="N30" s="41">
        <v>77</v>
      </c>
      <c r="O30" s="41">
        <v>2</v>
      </c>
      <c r="P30" s="41">
        <v>51</v>
      </c>
      <c r="Q30" s="41">
        <v>1</v>
      </c>
      <c r="R30" s="41">
        <v>13</v>
      </c>
      <c r="S30" s="41">
        <v>1</v>
      </c>
      <c r="T30" s="41">
        <v>13</v>
      </c>
      <c r="U30" s="41">
        <v>128</v>
      </c>
      <c r="V30" s="41">
        <v>3441</v>
      </c>
      <c r="W30" s="41">
        <v>2208</v>
      </c>
      <c r="X30" s="41">
        <v>987</v>
      </c>
      <c r="Y30" s="41">
        <v>1221</v>
      </c>
      <c r="Z30" s="41">
        <v>537</v>
      </c>
      <c r="AA30" s="41">
        <v>288</v>
      </c>
      <c r="AB30" s="41">
        <v>249</v>
      </c>
      <c r="AC30" s="41">
        <v>114</v>
      </c>
      <c r="AD30" s="41">
        <v>55</v>
      </c>
      <c r="AE30" s="41">
        <v>59</v>
      </c>
      <c r="AF30" s="41">
        <v>1557</v>
      </c>
      <c r="AG30" s="41">
        <v>644</v>
      </c>
      <c r="AH30" s="41">
        <v>913</v>
      </c>
      <c r="AI30" s="41">
        <v>270152</v>
      </c>
      <c r="AJ30" s="41">
        <v>123859</v>
      </c>
      <c r="AK30" s="41">
        <v>146293</v>
      </c>
      <c r="AL30" s="41">
        <v>77231</v>
      </c>
      <c r="AM30" s="41">
        <v>40537</v>
      </c>
      <c r="AN30" s="41">
        <v>36694</v>
      </c>
      <c r="AO30" s="41">
        <v>16726</v>
      </c>
      <c r="AP30" s="41">
        <v>7508</v>
      </c>
      <c r="AQ30" s="41">
        <v>9218</v>
      </c>
      <c r="AR30" s="41">
        <v>176195</v>
      </c>
      <c r="AS30" s="41">
        <v>75814</v>
      </c>
      <c r="AT30" s="41">
        <v>100381</v>
      </c>
      <c r="AU30" s="41">
        <v>560254</v>
      </c>
      <c r="AV30" s="41">
        <v>254332</v>
      </c>
      <c r="AW30" s="41">
        <v>305922</v>
      </c>
      <c r="AX30" s="41">
        <v>161157</v>
      </c>
      <c r="AY30" s="41">
        <v>83025</v>
      </c>
      <c r="AZ30" s="41">
        <v>78132</v>
      </c>
      <c r="BA30" s="41">
        <v>35877.5</v>
      </c>
      <c r="BB30" s="41">
        <v>16134</v>
      </c>
      <c r="BC30" s="41">
        <v>19743.5</v>
      </c>
      <c r="BD30" s="41">
        <v>363219.5</v>
      </c>
      <c r="BE30" s="41">
        <v>155173</v>
      </c>
      <c r="BF30" s="41">
        <v>208046.5</v>
      </c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  <c r="CH30" s="30"/>
      <c r="CI30" s="30"/>
      <c r="CJ30" s="30"/>
    </row>
    <row r="31" spans="1:88" s="18" customFormat="1" ht="21" customHeight="1">
      <c r="A31" s="52" t="s">
        <v>151</v>
      </c>
      <c r="B31" s="35" t="s">
        <v>6</v>
      </c>
      <c r="C31" s="41">
        <v>7</v>
      </c>
      <c r="D31" s="41">
        <v>324</v>
      </c>
      <c r="E31" s="41">
        <v>21</v>
      </c>
      <c r="F31" s="41">
        <v>303</v>
      </c>
      <c r="G31" s="41">
        <v>13</v>
      </c>
      <c r="H31" s="41">
        <v>144</v>
      </c>
      <c r="I31" s="41">
        <v>6</v>
      </c>
      <c r="J31" s="41">
        <v>119</v>
      </c>
      <c r="K31" s="41">
        <v>2</v>
      </c>
      <c r="L31" s="41">
        <v>40</v>
      </c>
      <c r="M31" s="41">
        <v>3</v>
      </c>
      <c r="N31" s="41">
        <v>101</v>
      </c>
      <c r="O31" s="41">
        <v>2</v>
      </c>
      <c r="P31" s="41">
        <v>77</v>
      </c>
      <c r="Q31" s="41">
        <v>1</v>
      </c>
      <c r="R31" s="41">
        <v>24</v>
      </c>
      <c r="S31" s="41">
        <v>0</v>
      </c>
      <c r="T31" s="41">
        <v>0</v>
      </c>
      <c r="U31" s="41">
        <v>13</v>
      </c>
      <c r="V31" s="41">
        <v>467</v>
      </c>
      <c r="W31" s="41">
        <v>1755</v>
      </c>
      <c r="X31" s="41">
        <v>725</v>
      </c>
      <c r="Y31" s="41">
        <v>1030</v>
      </c>
      <c r="Z31" s="41">
        <v>516</v>
      </c>
      <c r="AA31" s="41">
        <v>201</v>
      </c>
      <c r="AB31" s="41">
        <v>315</v>
      </c>
      <c r="AC31" s="41">
        <v>294</v>
      </c>
      <c r="AD31" s="41">
        <v>169</v>
      </c>
      <c r="AE31" s="41">
        <v>125</v>
      </c>
      <c r="AF31" s="41">
        <v>945</v>
      </c>
      <c r="AG31" s="41">
        <v>355</v>
      </c>
      <c r="AH31" s="41">
        <v>590</v>
      </c>
      <c r="AI31" s="41">
        <v>246783</v>
      </c>
      <c r="AJ31" s="41">
        <v>105556</v>
      </c>
      <c r="AK31" s="41">
        <v>141227</v>
      </c>
      <c r="AL31" s="41">
        <v>80798</v>
      </c>
      <c r="AM31" s="41">
        <v>31751</v>
      </c>
      <c r="AN31" s="41">
        <v>49047</v>
      </c>
      <c r="AO31" s="41">
        <v>42562</v>
      </c>
      <c r="AP31" s="41">
        <v>24597</v>
      </c>
      <c r="AQ31" s="41">
        <v>17965</v>
      </c>
      <c r="AR31" s="41">
        <v>123423</v>
      </c>
      <c r="AS31" s="41">
        <v>49208</v>
      </c>
      <c r="AT31" s="41">
        <v>74215</v>
      </c>
      <c r="AU31" s="41">
        <v>462736</v>
      </c>
      <c r="AV31" s="41">
        <v>197237.5</v>
      </c>
      <c r="AW31" s="41">
        <v>265498.5</v>
      </c>
      <c r="AX31" s="41">
        <v>156942.5</v>
      </c>
      <c r="AY31" s="41">
        <v>61135</v>
      </c>
      <c r="AZ31" s="41">
        <v>95807.5</v>
      </c>
      <c r="BA31" s="41">
        <v>79898</v>
      </c>
      <c r="BB31" s="41">
        <v>46546</v>
      </c>
      <c r="BC31" s="41">
        <v>33352</v>
      </c>
      <c r="BD31" s="41">
        <v>225895.5</v>
      </c>
      <c r="BE31" s="41">
        <v>89556.5</v>
      </c>
      <c r="BF31" s="41">
        <v>136339</v>
      </c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  <c r="CH31" s="30"/>
      <c r="CI31" s="30"/>
      <c r="CJ31" s="30"/>
    </row>
    <row r="32" spans="1:88" ht="21" customHeight="1">
      <c r="A32" s="53" t="s">
        <v>167</v>
      </c>
      <c r="B32" s="19" t="s">
        <v>22</v>
      </c>
      <c r="C32" s="20">
        <v>1</v>
      </c>
      <c r="D32" s="20">
        <v>59</v>
      </c>
      <c r="E32" s="20">
        <v>4</v>
      </c>
      <c r="F32" s="20">
        <v>55</v>
      </c>
      <c r="G32" s="20">
        <v>2</v>
      </c>
      <c r="H32" s="20">
        <v>42</v>
      </c>
      <c r="I32" s="20">
        <v>2</v>
      </c>
      <c r="J32" s="20">
        <v>13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208</v>
      </c>
      <c r="X32" s="20">
        <v>95</v>
      </c>
      <c r="Y32" s="20">
        <v>113</v>
      </c>
      <c r="Z32" s="20">
        <v>13</v>
      </c>
      <c r="AA32" s="20">
        <v>9</v>
      </c>
      <c r="AB32" s="20">
        <v>4</v>
      </c>
      <c r="AC32" s="20">
        <v>9</v>
      </c>
      <c r="AD32" s="20">
        <v>4</v>
      </c>
      <c r="AE32" s="20">
        <v>5</v>
      </c>
      <c r="AF32" s="20">
        <v>186</v>
      </c>
      <c r="AG32" s="20">
        <v>82</v>
      </c>
      <c r="AH32" s="20">
        <v>104</v>
      </c>
      <c r="AI32" s="20">
        <v>28276</v>
      </c>
      <c r="AJ32" s="20">
        <v>13735</v>
      </c>
      <c r="AK32" s="20">
        <v>14541</v>
      </c>
      <c r="AL32" s="20">
        <v>2632</v>
      </c>
      <c r="AM32" s="20">
        <v>1744</v>
      </c>
      <c r="AN32" s="20">
        <v>888</v>
      </c>
      <c r="AO32" s="20">
        <v>1622</v>
      </c>
      <c r="AP32" s="20">
        <v>857</v>
      </c>
      <c r="AQ32" s="20">
        <v>765</v>
      </c>
      <c r="AR32" s="20">
        <v>24022</v>
      </c>
      <c r="AS32" s="20">
        <v>11134</v>
      </c>
      <c r="AT32" s="20">
        <v>12888</v>
      </c>
      <c r="AU32" s="20">
        <v>80538</v>
      </c>
      <c r="AV32" s="20">
        <v>40098</v>
      </c>
      <c r="AW32" s="20">
        <v>40440</v>
      </c>
      <c r="AX32" s="20">
        <v>7751</v>
      </c>
      <c r="AY32" s="20">
        <v>5240</v>
      </c>
      <c r="AZ32" s="20">
        <v>2511</v>
      </c>
      <c r="BA32" s="20">
        <v>5743</v>
      </c>
      <c r="BB32" s="20">
        <v>3321</v>
      </c>
      <c r="BC32" s="20">
        <v>2422</v>
      </c>
      <c r="BD32" s="20">
        <v>67044</v>
      </c>
      <c r="BE32" s="20">
        <v>31537</v>
      </c>
      <c r="BF32" s="20">
        <v>35507</v>
      </c>
    </row>
    <row r="33" spans="1:58" ht="21" customHeight="1">
      <c r="A33" s="54" t="s">
        <v>168</v>
      </c>
      <c r="B33" s="21" t="s">
        <v>23</v>
      </c>
      <c r="C33" s="22">
        <v>0</v>
      </c>
      <c r="D33" s="22">
        <v>10</v>
      </c>
      <c r="E33" s="22">
        <v>0</v>
      </c>
      <c r="F33" s="22">
        <v>10</v>
      </c>
      <c r="G33" s="22">
        <v>0</v>
      </c>
      <c r="H33" s="22">
        <v>0</v>
      </c>
      <c r="I33" s="22">
        <v>0</v>
      </c>
      <c r="J33" s="22">
        <v>10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24</v>
      </c>
      <c r="X33" s="22">
        <v>9</v>
      </c>
      <c r="Y33" s="22">
        <v>15</v>
      </c>
      <c r="Z33" s="22">
        <v>3</v>
      </c>
      <c r="AA33" s="22">
        <v>3</v>
      </c>
      <c r="AB33" s="22">
        <v>0</v>
      </c>
      <c r="AC33" s="22">
        <v>1</v>
      </c>
      <c r="AD33" s="22">
        <v>1</v>
      </c>
      <c r="AE33" s="22">
        <v>0</v>
      </c>
      <c r="AF33" s="22">
        <v>20</v>
      </c>
      <c r="AG33" s="22">
        <v>5</v>
      </c>
      <c r="AH33" s="22">
        <v>15</v>
      </c>
      <c r="AI33" s="22">
        <v>2118</v>
      </c>
      <c r="AJ33" s="22">
        <v>744</v>
      </c>
      <c r="AK33" s="22">
        <v>1374</v>
      </c>
      <c r="AL33" s="22">
        <v>288</v>
      </c>
      <c r="AM33" s="22">
        <v>288</v>
      </c>
      <c r="AN33" s="22">
        <v>0</v>
      </c>
      <c r="AO33" s="22">
        <v>48</v>
      </c>
      <c r="AP33" s="22">
        <v>48</v>
      </c>
      <c r="AQ33" s="22">
        <v>0</v>
      </c>
      <c r="AR33" s="22">
        <v>1782</v>
      </c>
      <c r="AS33" s="22">
        <v>408</v>
      </c>
      <c r="AT33" s="22">
        <v>1374</v>
      </c>
      <c r="AU33" s="22">
        <v>4464</v>
      </c>
      <c r="AV33" s="22">
        <v>1584</v>
      </c>
      <c r="AW33" s="22">
        <v>2880</v>
      </c>
      <c r="AX33" s="22">
        <v>672</v>
      </c>
      <c r="AY33" s="22">
        <v>672</v>
      </c>
      <c r="AZ33" s="22">
        <v>0</v>
      </c>
      <c r="BA33" s="22">
        <v>72</v>
      </c>
      <c r="BB33" s="22">
        <v>72</v>
      </c>
      <c r="BC33" s="22">
        <v>0</v>
      </c>
      <c r="BD33" s="22">
        <v>3720</v>
      </c>
      <c r="BE33" s="22">
        <v>840</v>
      </c>
      <c r="BF33" s="22">
        <v>2880</v>
      </c>
    </row>
    <row r="34" spans="1:58" ht="21" customHeight="1">
      <c r="A34" s="14" t="s">
        <v>77</v>
      </c>
      <c r="B34" s="24"/>
    </row>
    <row r="35" spans="1:58" ht="21" customHeight="1">
      <c r="A35" s="15" t="s">
        <v>48</v>
      </c>
      <c r="B35" s="15"/>
    </row>
  </sheetData>
  <mergeCells count="73">
    <mergeCell ref="A2:C2"/>
    <mergeCell ref="C3:C7"/>
    <mergeCell ref="M3:V3"/>
    <mergeCell ref="W3:BF3"/>
    <mergeCell ref="M4:T4"/>
    <mergeCell ref="U4:V4"/>
    <mergeCell ref="W4:AH4"/>
    <mergeCell ref="AI4:AT4"/>
    <mergeCell ref="AU4:BF4"/>
    <mergeCell ref="M5:N5"/>
    <mergeCell ref="Z5:AB5"/>
    <mergeCell ref="Y6:Y7"/>
    <mergeCell ref="Z6:Z7"/>
    <mergeCell ref="AA6:AA7"/>
    <mergeCell ref="AB6:AB7"/>
    <mergeCell ref="O5:P5"/>
    <mergeCell ref="Q5:R5"/>
    <mergeCell ref="S5:T5"/>
    <mergeCell ref="U5:U7"/>
    <mergeCell ref="V5:V7"/>
    <mergeCell ref="AI6:AI7"/>
    <mergeCell ref="AC5:AE5"/>
    <mergeCell ref="AD6:AD7"/>
    <mergeCell ref="AE6:AE7"/>
    <mergeCell ref="X6:X7"/>
    <mergeCell ref="AC6:AC7"/>
    <mergeCell ref="AF6:AF7"/>
    <mergeCell ref="AG6:AG7"/>
    <mergeCell ref="AH6:AH7"/>
    <mergeCell ref="BD5:BF5"/>
    <mergeCell ref="AF5:AH5"/>
    <mergeCell ref="AL5:AN5"/>
    <mergeCell ref="AO5:AQ5"/>
    <mergeCell ref="AR5:AT5"/>
    <mergeCell ref="AX5:AZ5"/>
    <mergeCell ref="BA5:BC5"/>
    <mergeCell ref="AJ6:AJ7"/>
    <mergeCell ref="AK6:AK7"/>
    <mergeCell ref="AL6:AL7"/>
    <mergeCell ref="AM6:AM7"/>
    <mergeCell ref="BF6:BF7"/>
    <mergeCell ref="AU6:AU7"/>
    <mergeCell ref="AV6:AV7"/>
    <mergeCell ref="AW6:AW7"/>
    <mergeCell ref="AX6:AX7"/>
    <mergeCell ref="AY6:AY7"/>
    <mergeCell ref="AZ6:AZ7"/>
    <mergeCell ref="BD6:BD7"/>
    <mergeCell ref="BE6:BE7"/>
    <mergeCell ref="A3:B7"/>
    <mergeCell ref="BA6:BA7"/>
    <mergeCell ref="BB6:BB7"/>
    <mergeCell ref="BC6:BC7"/>
    <mergeCell ref="AN6:AN7"/>
    <mergeCell ref="AS6:AS7"/>
    <mergeCell ref="AT6:AT7"/>
    <mergeCell ref="W6:W7"/>
    <mergeCell ref="K6:K7"/>
    <mergeCell ref="L6:L7"/>
    <mergeCell ref="AO6:AO7"/>
    <mergeCell ref="AP6:AP7"/>
    <mergeCell ref="AQ6:AQ7"/>
    <mergeCell ref="AR6:AR7"/>
    <mergeCell ref="I6:I7"/>
    <mergeCell ref="J6:J7"/>
    <mergeCell ref="G5:H5"/>
    <mergeCell ref="I5:J5"/>
    <mergeCell ref="K5:L5"/>
    <mergeCell ref="D6:D7"/>
    <mergeCell ref="E6:E7"/>
    <mergeCell ref="F6:F7"/>
    <mergeCell ref="G6:G7"/>
    <mergeCell ref="H6:H7"/>
  </mergeCells>
  <phoneticPr fontId="6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7" fitToWidth="10" orientation="landscape" useFirstPageNumber="1" horizontalDpi="4294967292" verticalDpi="300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  <pageSetUpPr fitToPage="1"/>
  </sheetPr>
  <dimension ref="A1:CJ35"/>
  <sheetViews>
    <sheetView zoomScaleNormal="100" zoomScaleSheetLayoutView="75" workbookViewId="0">
      <pane xSplit="2" ySplit="7" topLeftCell="C17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0" style="3" customWidth="1"/>
    <col min="2" max="2" width="20.1640625" style="3" customWidth="1"/>
    <col min="3" max="12" width="10.83203125" style="3" customWidth="1"/>
    <col min="13" max="13" width="11.1640625" style="3" bestFit="1" customWidth="1"/>
    <col min="14" max="14" width="10" style="3" bestFit="1" customWidth="1"/>
    <col min="15" max="15" width="11.1640625" style="3" bestFit="1" customWidth="1"/>
    <col min="16" max="16" width="10" style="3" bestFit="1" customWidth="1"/>
    <col min="17" max="17" width="11.1640625" style="3" bestFit="1" customWidth="1"/>
    <col min="18" max="18" width="10" style="3" bestFit="1" customWidth="1"/>
    <col min="19" max="20" width="11.1640625" style="3" bestFit="1" customWidth="1"/>
    <col min="21" max="21" width="14.1640625" style="3" bestFit="1" customWidth="1"/>
    <col min="22" max="22" width="11.33203125" style="3" customWidth="1"/>
    <col min="23" max="25" width="11" style="3" customWidth="1"/>
    <col min="26" max="34" width="11.6640625" style="3" customWidth="1"/>
    <col min="35" max="46" width="13.6640625" style="3" customWidth="1"/>
    <col min="47" max="58" width="13" style="3" customWidth="1"/>
    <col min="59" max="16384" width="12" style="3"/>
  </cols>
  <sheetData>
    <row r="1" spans="1:88" ht="21">
      <c r="A1" s="1" t="s">
        <v>50</v>
      </c>
      <c r="B1" s="25"/>
    </row>
    <row r="2" spans="1:88" ht="26.25" customHeight="1">
      <c r="A2" s="404" t="s">
        <v>112</v>
      </c>
      <c r="B2" s="404"/>
      <c r="C2" s="404"/>
      <c r="D2" s="16"/>
      <c r="E2" s="16"/>
      <c r="F2" s="16"/>
      <c r="M2" s="16"/>
      <c r="N2" s="16"/>
      <c r="W2" s="16"/>
      <c r="X2" s="16"/>
      <c r="Y2" s="16"/>
      <c r="AI2" s="16"/>
      <c r="AJ2" s="16"/>
      <c r="AK2" s="16"/>
      <c r="AU2" s="16"/>
      <c r="AV2" s="16"/>
      <c r="AW2" s="16"/>
    </row>
    <row r="3" spans="1:88" ht="16.5" customHeight="1">
      <c r="A3" s="329" t="s">
        <v>82</v>
      </c>
      <c r="B3" s="301"/>
      <c r="C3" s="314" t="s">
        <v>83</v>
      </c>
      <c r="D3" s="17" t="s">
        <v>84</v>
      </c>
      <c r="E3" s="17"/>
      <c r="F3" s="17"/>
      <c r="G3" s="17"/>
      <c r="H3" s="17"/>
      <c r="I3" s="17"/>
      <c r="J3" s="17"/>
      <c r="K3" s="17"/>
      <c r="L3" s="17"/>
      <c r="M3" s="332" t="s">
        <v>85</v>
      </c>
      <c r="N3" s="304"/>
      <c r="O3" s="304"/>
      <c r="P3" s="304"/>
      <c r="Q3" s="304"/>
      <c r="R3" s="304"/>
      <c r="S3" s="304"/>
      <c r="T3" s="304"/>
      <c r="U3" s="304"/>
      <c r="V3" s="340"/>
      <c r="W3" s="344" t="s">
        <v>86</v>
      </c>
      <c r="X3" s="344"/>
      <c r="Y3" s="344"/>
      <c r="Z3" s="344"/>
      <c r="AA3" s="344"/>
      <c r="AB3" s="344"/>
      <c r="AC3" s="344"/>
      <c r="AD3" s="344"/>
      <c r="AE3" s="344"/>
      <c r="AF3" s="344"/>
      <c r="AG3" s="344"/>
      <c r="AH3" s="344"/>
      <c r="AI3" s="344"/>
      <c r="AJ3" s="344"/>
      <c r="AK3" s="344"/>
      <c r="AL3" s="344"/>
      <c r="AM3" s="344"/>
      <c r="AN3" s="344"/>
      <c r="AO3" s="344"/>
      <c r="AP3" s="344"/>
      <c r="AQ3" s="344"/>
      <c r="AR3" s="344"/>
      <c r="AS3" s="344"/>
      <c r="AT3" s="344"/>
      <c r="AU3" s="344"/>
      <c r="AV3" s="344"/>
      <c r="AW3" s="344"/>
      <c r="AX3" s="344"/>
      <c r="AY3" s="344"/>
      <c r="AZ3" s="344"/>
      <c r="BA3" s="344"/>
      <c r="BB3" s="344"/>
      <c r="BC3" s="344"/>
      <c r="BD3" s="344"/>
      <c r="BE3" s="344"/>
      <c r="BF3" s="332"/>
    </row>
    <row r="4" spans="1:88" s="4" customFormat="1" ht="16.5" customHeight="1">
      <c r="A4" s="364"/>
      <c r="B4" s="302"/>
      <c r="C4" s="402"/>
      <c r="D4" s="17" t="s">
        <v>87</v>
      </c>
      <c r="E4" s="17"/>
      <c r="F4" s="17"/>
      <c r="G4" s="17"/>
      <c r="H4" s="17"/>
      <c r="I4" s="17"/>
      <c r="J4" s="17"/>
      <c r="K4" s="17"/>
      <c r="L4" s="17"/>
      <c r="M4" s="332" t="s">
        <v>88</v>
      </c>
      <c r="N4" s="304"/>
      <c r="O4" s="304"/>
      <c r="P4" s="304"/>
      <c r="Q4" s="304"/>
      <c r="R4" s="304"/>
      <c r="S4" s="304"/>
      <c r="T4" s="340"/>
      <c r="U4" s="324" t="s">
        <v>89</v>
      </c>
      <c r="V4" s="315"/>
      <c r="W4" s="344" t="s">
        <v>90</v>
      </c>
      <c r="X4" s="344"/>
      <c r="Y4" s="344"/>
      <c r="Z4" s="344"/>
      <c r="AA4" s="344"/>
      <c r="AB4" s="344"/>
      <c r="AC4" s="344"/>
      <c r="AD4" s="344"/>
      <c r="AE4" s="344"/>
      <c r="AF4" s="344"/>
      <c r="AG4" s="344"/>
      <c r="AH4" s="344"/>
      <c r="AI4" s="344" t="s">
        <v>91</v>
      </c>
      <c r="AJ4" s="344"/>
      <c r="AK4" s="344"/>
      <c r="AL4" s="344"/>
      <c r="AM4" s="344"/>
      <c r="AN4" s="344"/>
      <c r="AO4" s="344"/>
      <c r="AP4" s="344"/>
      <c r="AQ4" s="344"/>
      <c r="AR4" s="344"/>
      <c r="AS4" s="344"/>
      <c r="AT4" s="344"/>
      <c r="AU4" s="344" t="s">
        <v>92</v>
      </c>
      <c r="AV4" s="344"/>
      <c r="AW4" s="344"/>
      <c r="AX4" s="344"/>
      <c r="AY4" s="344"/>
      <c r="AZ4" s="344"/>
      <c r="BA4" s="344"/>
      <c r="BB4" s="344"/>
      <c r="BC4" s="344"/>
      <c r="BD4" s="344"/>
      <c r="BE4" s="344"/>
      <c r="BF4" s="332"/>
    </row>
    <row r="5" spans="1:88" s="9" customFormat="1" ht="30" customHeight="1">
      <c r="A5" s="364"/>
      <c r="B5" s="302"/>
      <c r="C5" s="402"/>
      <c r="D5" s="5" t="s">
        <v>93</v>
      </c>
      <c r="E5" s="6"/>
      <c r="F5" s="7"/>
      <c r="G5" s="311" t="s">
        <v>94</v>
      </c>
      <c r="H5" s="340"/>
      <c r="I5" s="311" t="s">
        <v>95</v>
      </c>
      <c r="J5" s="340"/>
      <c r="K5" s="311" t="s">
        <v>96</v>
      </c>
      <c r="L5" s="340"/>
      <c r="M5" s="311" t="s">
        <v>97</v>
      </c>
      <c r="N5" s="340"/>
      <c r="O5" s="311" t="s">
        <v>98</v>
      </c>
      <c r="P5" s="313"/>
      <c r="Q5" s="311" t="s">
        <v>99</v>
      </c>
      <c r="R5" s="313"/>
      <c r="S5" s="311" t="s">
        <v>100</v>
      </c>
      <c r="T5" s="313"/>
      <c r="U5" s="322" t="s">
        <v>101</v>
      </c>
      <c r="V5" s="322" t="s">
        <v>102</v>
      </c>
      <c r="W5" s="5" t="s">
        <v>93</v>
      </c>
      <c r="X5" s="6"/>
      <c r="Y5" s="7"/>
      <c r="Z5" s="339" t="s">
        <v>103</v>
      </c>
      <c r="AA5" s="339"/>
      <c r="AB5" s="339"/>
      <c r="AC5" s="339" t="s">
        <v>104</v>
      </c>
      <c r="AD5" s="339"/>
      <c r="AE5" s="339"/>
      <c r="AF5" s="339" t="s">
        <v>105</v>
      </c>
      <c r="AG5" s="339"/>
      <c r="AH5" s="339"/>
      <c r="AI5" s="5" t="s">
        <v>93</v>
      </c>
      <c r="AJ5" s="6"/>
      <c r="AK5" s="7"/>
      <c r="AL5" s="339" t="s">
        <v>103</v>
      </c>
      <c r="AM5" s="339"/>
      <c r="AN5" s="339"/>
      <c r="AO5" s="339" t="s">
        <v>104</v>
      </c>
      <c r="AP5" s="339"/>
      <c r="AQ5" s="339"/>
      <c r="AR5" s="339" t="s">
        <v>105</v>
      </c>
      <c r="AS5" s="339"/>
      <c r="AT5" s="339"/>
      <c r="AU5" s="5" t="s">
        <v>93</v>
      </c>
      <c r="AV5" s="8"/>
      <c r="AW5" s="7"/>
      <c r="AX5" s="339" t="s">
        <v>103</v>
      </c>
      <c r="AY5" s="339"/>
      <c r="AZ5" s="339"/>
      <c r="BA5" s="339" t="s">
        <v>104</v>
      </c>
      <c r="BB5" s="339"/>
      <c r="BC5" s="339"/>
      <c r="BD5" s="339" t="s">
        <v>105</v>
      </c>
      <c r="BE5" s="339"/>
      <c r="BF5" s="311"/>
    </row>
    <row r="6" spans="1:88" ht="16.5" customHeight="1">
      <c r="A6" s="364"/>
      <c r="B6" s="302"/>
      <c r="C6" s="402"/>
      <c r="D6" s="322" t="s">
        <v>106</v>
      </c>
      <c r="E6" s="322" t="s">
        <v>107</v>
      </c>
      <c r="F6" s="322" t="s">
        <v>108</v>
      </c>
      <c r="G6" s="322" t="s">
        <v>107</v>
      </c>
      <c r="H6" s="322" t="s">
        <v>108</v>
      </c>
      <c r="I6" s="322" t="s">
        <v>107</v>
      </c>
      <c r="J6" s="322" t="s">
        <v>108</v>
      </c>
      <c r="K6" s="322" t="s">
        <v>107</v>
      </c>
      <c r="L6" s="322" t="s">
        <v>108</v>
      </c>
      <c r="M6" s="10" t="s">
        <v>109</v>
      </c>
      <c r="N6" s="10" t="s">
        <v>110</v>
      </c>
      <c r="O6" s="10" t="s">
        <v>109</v>
      </c>
      <c r="P6" s="10" t="s">
        <v>110</v>
      </c>
      <c r="Q6" s="10" t="s">
        <v>109</v>
      </c>
      <c r="R6" s="10" t="s">
        <v>110</v>
      </c>
      <c r="S6" s="10" t="s">
        <v>109</v>
      </c>
      <c r="T6" s="10" t="s">
        <v>110</v>
      </c>
      <c r="U6" s="338"/>
      <c r="V6" s="338"/>
      <c r="W6" s="322" t="s">
        <v>106</v>
      </c>
      <c r="X6" s="322" t="s">
        <v>107</v>
      </c>
      <c r="Y6" s="322" t="s">
        <v>108</v>
      </c>
      <c r="Z6" s="322" t="s">
        <v>106</v>
      </c>
      <c r="AA6" s="322" t="s">
        <v>107</v>
      </c>
      <c r="AB6" s="322" t="s">
        <v>108</v>
      </c>
      <c r="AC6" s="322" t="s">
        <v>106</v>
      </c>
      <c r="AD6" s="322" t="s">
        <v>107</v>
      </c>
      <c r="AE6" s="322" t="s">
        <v>108</v>
      </c>
      <c r="AF6" s="322" t="s">
        <v>106</v>
      </c>
      <c r="AG6" s="322" t="s">
        <v>107</v>
      </c>
      <c r="AH6" s="322" t="s">
        <v>108</v>
      </c>
      <c r="AI6" s="322" t="s">
        <v>106</v>
      </c>
      <c r="AJ6" s="322" t="s">
        <v>107</v>
      </c>
      <c r="AK6" s="322" t="s">
        <v>108</v>
      </c>
      <c r="AL6" s="322" t="s">
        <v>106</v>
      </c>
      <c r="AM6" s="322" t="s">
        <v>107</v>
      </c>
      <c r="AN6" s="322" t="s">
        <v>108</v>
      </c>
      <c r="AO6" s="322" t="s">
        <v>106</v>
      </c>
      <c r="AP6" s="322" t="s">
        <v>107</v>
      </c>
      <c r="AQ6" s="322" t="s">
        <v>108</v>
      </c>
      <c r="AR6" s="322" t="s">
        <v>106</v>
      </c>
      <c r="AS6" s="322" t="s">
        <v>107</v>
      </c>
      <c r="AT6" s="322" t="s">
        <v>108</v>
      </c>
      <c r="AU6" s="322" t="s">
        <v>106</v>
      </c>
      <c r="AV6" s="322" t="s">
        <v>107</v>
      </c>
      <c r="AW6" s="322" t="s">
        <v>108</v>
      </c>
      <c r="AX6" s="322" t="s">
        <v>106</v>
      </c>
      <c r="AY6" s="322" t="s">
        <v>107</v>
      </c>
      <c r="AZ6" s="322" t="s">
        <v>108</v>
      </c>
      <c r="BA6" s="322" t="s">
        <v>106</v>
      </c>
      <c r="BB6" s="322" t="s">
        <v>107</v>
      </c>
      <c r="BC6" s="322" t="s">
        <v>108</v>
      </c>
      <c r="BD6" s="322" t="s">
        <v>106</v>
      </c>
      <c r="BE6" s="322" t="s">
        <v>107</v>
      </c>
      <c r="BF6" s="314" t="s">
        <v>108</v>
      </c>
    </row>
    <row r="7" spans="1:88">
      <c r="A7" s="331"/>
      <c r="B7" s="303"/>
      <c r="C7" s="403"/>
      <c r="D7" s="323"/>
      <c r="E7" s="323"/>
      <c r="F7" s="323"/>
      <c r="G7" s="323"/>
      <c r="H7" s="323"/>
      <c r="I7" s="323"/>
      <c r="J7" s="323"/>
      <c r="K7" s="323"/>
      <c r="L7" s="323"/>
      <c r="M7" s="11" t="s">
        <v>0</v>
      </c>
      <c r="N7" s="11" t="s">
        <v>1</v>
      </c>
      <c r="O7" s="11" t="s">
        <v>0</v>
      </c>
      <c r="P7" s="11" t="s">
        <v>1</v>
      </c>
      <c r="Q7" s="11" t="s">
        <v>0</v>
      </c>
      <c r="R7" s="11" t="s">
        <v>1</v>
      </c>
      <c r="S7" s="11" t="s">
        <v>0</v>
      </c>
      <c r="T7" s="11" t="s">
        <v>1</v>
      </c>
      <c r="U7" s="323"/>
      <c r="V7" s="323"/>
      <c r="W7" s="323"/>
      <c r="X7" s="323"/>
      <c r="Y7" s="323"/>
      <c r="Z7" s="323"/>
      <c r="AA7" s="323"/>
      <c r="AB7" s="323"/>
      <c r="AC7" s="323"/>
      <c r="AD7" s="323"/>
      <c r="AE7" s="323"/>
      <c r="AF7" s="323"/>
      <c r="AG7" s="323"/>
      <c r="AH7" s="323"/>
      <c r="AI7" s="323"/>
      <c r="AJ7" s="323"/>
      <c r="AK7" s="323"/>
      <c r="AL7" s="323"/>
      <c r="AM7" s="323"/>
      <c r="AN7" s="323"/>
      <c r="AO7" s="323"/>
      <c r="AP7" s="323"/>
      <c r="AQ7" s="323"/>
      <c r="AR7" s="323"/>
      <c r="AS7" s="323"/>
      <c r="AT7" s="323"/>
      <c r="AU7" s="323"/>
      <c r="AV7" s="323"/>
      <c r="AW7" s="323"/>
      <c r="AX7" s="323"/>
      <c r="AY7" s="323"/>
      <c r="AZ7" s="323"/>
      <c r="BA7" s="323"/>
      <c r="BB7" s="323"/>
      <c r="BC7" s="323"/>
      <c r="BD7" s="323"/>
      <c r="BE7" s="323"/>
      <c r="BF7" s="326"/>
    </row>
    <row r="8" spans="1:88" s="18" customFormat="1" ht="17.100000000000001" customHeight="1">
      <c r="A8" s="33" t="s">
        <v>121</v>
      </c>
      <c r="B8" s="36" t="s">
        <v>40</v>
      </c>
      <c r="C8" s="41">
        <v>127</v>
      </c>
      <c r="D8" s="41">
        <v>4794</v>
      </c>
      <c r="E8" s="41">
        <v>333</v>
      </c>
      <c r="F8" s="41">
        <v>4461</v>
      </c>
      <c r="G8" s="41">
        <v>154</v>
      </c>
      <c r="H8" s="41">
        <v>2250</v>
      </c>
      <c r="I8" s="41">
        <v>172</v>
      </c>
      <c r="J8" s="41">
        <v>2137</v>
      </c>
      <c r="K8" s="41">
        <v>7</v>
      </c>
      <c r="L8" s="41">
        <v>74</v>
      </c>
      <c r="M8" s="41">
        <v>157</v>
      </c>
      <c r="N8" s="41">
        <v>672</v>
      </c>
      <c r="O8" s="41">
        <v>30</v>
      </c>
      <c r="P8" s="41">
        <v>318</v>
      </c>
      <c r="Q8" s="41">
        <v>82</v>
      </c>
      <c r="R8" s="41">
        <v>136</v>
      </c>
      <c r="S8" s="41">
        <v>45</v>
      </c>
      <c r="T8" s="41">
        <v>218</v>
      </c>
      <c r="U8" s="41">
        <v>610</v>
      </c>
      <c r="V8" s="41">
        <v>10625</v>
      </c>
      <c r="W8" s="41">
        <v>22392</v>
      </c>
      <c r="X8" s="41">
        <v>9556</v>
      </c>
      <c r="Y8" s="41">
        <v>12836</v>
      </c>
      <c r="Z8" s="41">
        <v>4983</v>
      </c>
      <c r="AA8" s="41">
        <v>2589</v>
      </c>
      <c r="AB8" s="41">
        <v>2394</v>
      </c>
      <c r="AC8" s="41">
        <v>4567</v>
      </c>
      <c r="AD8" s="41">
        <v>2058</v>
      </c>
      <c r="AE8" s="41">
        <v>2509</v>
      </c>
      <c r="AF8" s="41">
        <v>12842</v>
      </c>
      <c r="AG8" s="41">
        <v>4909</v>
      </c>
      <c r="AH8" s="41">
        <v>7933</v>
      </c>
      <c r="AI8" s="41">
        <v>2977808</v>
      </c>
      <c r="AJ8" s="41">
        <v>1311436</v>
      </c>
      <c r="AK8" s="41">
        <v>1666372</v>
      </c>
      <c r="AL8" s="41">
        <v>672571</v>
      </c>
      <c r="AM8" s="41">
        <v>346280</v>
      </c>
      <c r="AN8" s="41">
        <v>326291</v>
      </c>
      <c r="AO8" s="41">
        <v>655886</v>
      </c>
      <c r="AP8" s="41">
        <v>306452</v>
      </c>
      <c r="AQ8" s="41">
        <v>349434</v>
      </c>
      <c r="AR8" s="41">
        <v>1649351</v>
      </c>
      <c r="AS8" s="41">
        <v>658704</v>
      </c>
      <c r="AT8" s="41">
        <v>990647</v>
      </c>
      <c r="AU8" s="41">
        <v>5233455.5999999996</v>
      </c>
      <c r="AV8" s="41">
        <v>2318292.2999999998</v>
      </c>
      <c r="AW8" s="41">
        <v>2915163.3</v>
      </c>
      <c r="AX8" s="41">
        <v>1287881.5</v>
      </c>
      <c r="AY8" s="41">
        <v>652812.5</v>
      </c>
      <c r="AZ8" s="41">
        <v>635069</v>
      </c>
      <c r="BA8" s="41">
        <v>1145486.5</v>
      </c>
      <c r="BB8" s="41">
        <v>532264.5</v>
      </c>
      <c r="BC8" s="41">
        <v>613222</v>
      </c>
      <c r="BD8" s="41">
        <v>2800087.6</v>
      </c>
      <c r="BE8" s="41">
        <v>1133215.3</v>
      </c>
      <c r="BF8" s="41">
        <v>1666872.3</v>
      </c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30"/>
      <c r="CI8" s="30"/>
      <c r="CJ8" s="30"/>
    </row>
    <row r="9" spans="1:88" ht="21" customHeight="1">
      <c r="A9" s="53" t="s">
        <v>169</v>
      </c>
      <c r="B9" s="19" t="s">
        <v>41</v>
      </c>
      <c r="C9" s="20">
        <v>12</v>
      </c>
      <c r="D9" s="20">
        <v>537</v>
      </c>
      <c r="E9" s="20">
        <v>35</v>
      </c>
      <c r="F9" s="20">
        <v>502</v>
      </c>
      <c r="G9" s="20">
        <v>20</v>
      </c>
      <c r="H9" s="20">
        <v>341</v>
      </c>
      <c r="I9" s="20">
        <v>15</v>
      </c>
      <c r="J9" s="20">
        <v>161</v>
      </c>
      <c r="K9" s="20">
        <v>0</v>
      </c>
      <c r="L9" s="20">
        <v>0</v>
      </c>
      <c r="M9" s="20">
        <v>1</v>
      </c>
      <c r="N9" s="20">
        <v>32</v>
      </c>
      <c r="O9" s="20">
        <v>1</v>
      </c>
      <c r="P9" s="20">
        <v>32</v>
      </c>
      <c r="Q9" s="20">
        <v>0</v>
      </c>
      <c r="R9" s="20">
        <v>0</v>
      </c>
      <c r="S9" s="20">
        <v>0</v>
      </c>
      <c r="T9" s="20">
        <v>0</v>
      </c>
      <c r="U9" s="20">
        <v>29</v>
      </c>
      <c r="V9" s="20">
        <v>1426</v>
      </c>
      <c r="W9" s="20">
        <v>1715</v>
      </c>
      <c r="X9" s="20">
        <v>778</v>
      </c>
      <c r="Y9" s="20">
        <v>937</v>
      </c>
      <c r="Z9" s="20">
        <v>376</v>
      </c>
      <c r="AA9" s="20">
        <v>181</v>
      </c>
      <c r="AB9" s="20">
        <v>195</v>
      </c>
      <c r="AC9" s="20">
        <v>286</v>
      </c>
      <c r="AD9" s="20">
        <v>155</v>
      </c>
      <c r="AE9" s="20">
        <v>131</v>
      </c>
      <c r="AF9" s="20">
        <v>1053</v>
      </c>
      <c r="AG9" s="20">
        <v>442</v>
      </c>
      <c r="AH9" s="20">
        <v>611</v>
      </c>
      <c r="AI9" s="20">
        <v>235439</v>
      </c>
      <c r="AJ9" s="20">
        <v>105438</v>
      </c>
      <c r="AK9" s="20">
        <v>130001</v>
      </c>
      <c r="AL9" s="20">
        <v>56441</v>
      </c>
      <c r="AM9" s="20">
        <v>26271</v>
      </c>
      <c r="AN9" s="20">
        <v>30170</v>
      </c>
      <c r="AO9" s="20">
        <v>36417</v>
      </c>
      <c r="AP9" s="20">
        <v>19703</v>
      </c>
      <c r="AQ9" s="20">
        <v>16714</v>
      </c>
      <c r="AR9" s="20">
        <v>142581</v>
      </c>
      <c r="AS9" s="20">
        <v>59464</v>
      </c>
      <c r="AT9" s="20">
        <v>83117</v>
      </c>
      <c r="AU9" s="20">
        <v>478770.5</v>
      </c>
      <c r="AV9" s="20">
        <v>214809.5</v>
      </c>
      <c r="AW9" s="20">
        <v>263961</v>
      </c>
      <c r="AX9" s="20">
        <v>118678.5</v>
      </c>
      <c r="AY9" s="20">
        <v>55080</v>
      </c>
      <c r="AZ9" s="20">
        <v>63598.5</v>
      </c>
      <c r="BA9" s="20">
        <v>77939.5</v>
      </c>
      <c r="BB9" s="20">
        <v>41596.5</v>
      </c>
      <c r="BC9" s="20">
        <v>36343</v>
      </c>
      <c r="BD9" s="20">
        <v>282152.5</v>
      </c>
      <c r="BE9" s="20">
        <v>118133</v>
      </c>
      <c r="BF9" s="20">
        <v>164019.5</v>
      </c>
    </row>
    <row r="10" spans="1:88" ht="21" customHeight="1">
      <c r="A10" s="53" t="s">
        <v>152</v>
      </c>
      <c r="B10" s="19" t="s">
        <v>7</v>
      </c>
      <c r="C10" s="20">
        <v>4</v>
      </c>
      <c r="D10" s="20">
        <v>72</v>
      </c>
      <c r="E10" s="20">
        <v>7</v>
      </c>
      <c r="F10" s="20">
        <v>65</v>
      </c>
      <c r="G10" s="20">
        <v>5</v>
      </c>
      <c r="H10" s="20">
        <v>62</v>
      </c>
      <c r="I10" s="20">
        <v>2</v>
      </c>
      <c r="J10" s="20">
        <v>3</v>
      </c>
      <c r="K10" s="20">
        <v>0</v>
      </c>
      <c r="L10" s="20">
        <v>0</v>
      </c>
      <c r="M10" s="20">
        <v>18</v>
      </c>
      <c r="N10" s="20">
        <v>24</v>
      </c>
      <c r="O10" s="20">
        <v>1</v>
      </c>
      <c r="P10" s="20">
        <v>1</v>
      </c>
      <c r="Q10" s="20">
        <v>16</v>
      </c>
      <c r="R10" s="20">
        <v>22</v>
      </c>
      <c r="S10" s="20">
        <v>1</v>
      </c>
      <c r="T10" s="20">
        <v>1</v>
      </c>
      <c r="U10" s="20">
        <v>41</v>
      </c>
      <c r="V10" s="20">
        <v>681</v>
      </c>
      <c r="W10" s="20">
        <v>455</v>
      </c>
      <c r="X10" s="20">
        <v>193</v>
      </c>
      <c r="Y10" s="20">
        <v>262</v>
      </c>
      <c r="Z10" s="20">
        <v>51</v>
      </c>
      <c r="AA10" s="20">
        <v>37</v>
      </c>
      <c r="AB10" s="20">
        <v>14</v>
      </c>
      <c r="AC10" s="20">
        <v>89</v>
      </c>
      <c r="AD10" s="20">
        <v>35</v>
      </c>
      <c r="AE10" s="20">
        <v>54</v>
      </c>
      <c r="AF10" s="20">
        <v>315</v>
      </c>
      <c r="AG10" s="20">
        <v>121</v>
      </c>
      <c r="AH10" s="20">
        <v>194</v>
      </c>
      <c r="AI10" s="20">
        <v>88121</v>
      </c>
      <c r="AJ10" s="20">
        <v>41144</v>
      </c>
      <c r="AK10" s="20">
        <v>46977</v>
      </c>
      <c r="AL10" s="20">
        <v>8099</v>
      </c>
      <c r="AM10" s="20">
        <v>5349</v>
      </c>
      <c r="AN10" s="20">
        <v>2750</v>
      </c>
      <c r="AO10" s="20">
        <v>18395</v>
      </c>
      <c r="AP10" s="20">
        <v>7921</v>
      </c>
      <c r="AQ10" s="20">
        <v>10474</v>
      </c>
      <c r="AR10" s="20">
        <v>61627</v>
      </c>
      <c r="AS10" s="20">
        <v>27874</v>
      </c>
      <c r="AT10" s="20">
        <v>33753</v>
      </c>
      <c r="AU10" s="20">
        <v>97571.5</v>
      </c>
      <c r="AV10" s="20">
        <v>43189.5</v>
      </c>
      <c r="AW10" s="20">
        <v>54382</v>
      </c>
      <c r="AX10" s="20">
        <v>10923</v>
      </c>
      <c r="AY10" s="20">
        <v>7286</v>
      </c>
      <c r="AZ10" s="20">
        <v>3637</v>
      </c>
      <c r="BA10" s="20">
        <v>21412</v>
      </c>
      <c r="BB10" s="20">
        <v>9231.5</v>
      </c>
      <c r="BC10" s="20">
        <v>12180.5</v>
      </c>
      <c r="BD10" s="20">
        <v>65236.5</v>
      </c>
      <c r="BE10" s="20">
        <v>26672</v>
      </c>
      <c r="BF10" s="20">
        <v>38564.5</v>
      </c>
    </row>
    <row r="11" spans="1:88" ht="21" customHeight="1">
      <c r="A11" s="53" t="s">
        <v>153</v>
      </c>
      <c r="B11" s="19" t="s">
        <v>8</v>
      </c>
      <c r="C11" s="20">
        <v>4</v>
      </c>
      <c r="D11" s="20">
        <v>311</v>
      </c>
      <c r="E11" s="20">
        <v>22</v>
      </c>
      <c r="F11" s="20">
        <v>289</v>
      </c>
      <c r="G11" s="20">
        <v>0</v>
      </c>
      <c r="H11" s="20">
        <v>0</v>
      </c>
      <c r="I11" s="20">
        <v>22</v>
      </c>
      <c r="J11" s="20">
        <v>289</v>
      </c>
      <c r="K11" s="20">
        <v>0</v>
      </c>
      <c r="L11" s="20">
        <v>0</v>
      </c>
      <c r="M11" s="20">
        <v>2</v>
      </c>
      <c r="N11" s="20">
        <v>75</v>
      </c>
      <c r="O11" s="20">
        <v>0</v>
      </c>
      <c r="P11" s="20">
        <v>0</v>
      </c>
      <c r="Q11" s="20">
        <v>0</v>
      </c>
      <c r="R11" s="20">
        <v>0</v>
      </c>
      <c r="S11" s="20">
        <v>2</v>
      </c>
      <c r="T11" s="20">
        <v>75</v>
      </c>
      <c r="U11" s="20">
        <v>17</v>
      </c>
      <c r="V11" s="20">
        <v>503</v>
      </c>
      <c r="W11" s="20">
        <v>911</v>
      </c>
      <c r="X11" s="20">
        <v>443</v>
      </c>
      <c r="Y11" s="20">
        <v>468</v>
      </c>
      <c r="Z11" s="20">
        <v>372</v>
      </c>
      <c r="AA11" s="20">
        <v>172</v>
      </c>
      <c r="AB11" s="20">
        <v>200</v>
      </c>
      <c r="AC11" s="20">
        <v>124</v>
      </c>
      <c r="AD11" s="20">
        <v>79</v>
      </c>
      <c r="AE11" s="20">
        <v>45</v>
      </c>
      <c r="AF11" s="20">
        <v>415</v>
      </c>
      <c r="AG11" s="20">
        <v>192</v>
      </c>
      <c r="AH11" s="20">
        <v>223</v>
      </c>
      <c r="AI11" s="20">
        <v>123036</v>
      </c>
      <c r="AJ11" s="20">
        <v>61644</v>
      </c>
      <c r="AK11" s="20">
        <v>61392</v>
      </c>
      <c r="AL11" s="20">
        <v>52380</v>
      </c>
      <c r="AM11" s="20">
        <v>23540</v>
      </c>
      <c r="AN11" s="20">
        <v>28840</v>
      </c>
      <c r="AO11" s="20">
        <v>17678</v>
      </c>
      <c r="AP11" s="20">
        <v>10501</v>
      </c>
      <c r="AQ11" s="20">
        <v>7177</v>
      </c>
      <c r="AR11" s="20">
        <v>52978</v>
      </c>
      <c r="AS11" s="20">
        <v>27603</v>
      </c>
      <c r="AT11" s="20">
        <v>25375</v>
      </c>
      <c r="AU11" s="20">
        <v>291446</v>
      </c>
      <c r="AV11" s="20">
        <v>145693.5</v>
      </c>
      <c r="AW11" s="20">
        <v>145752.5</v>
      </c>
      <c r="AX11" s="20">
        <v>127371.5</v>
      </c>
      <c r="AY11" s="20">
        <v>57420</v>
      </c>
      <c r="AZ11" s="20">
        <v>69951.5</v>
      </c>
      <c r="BA11" s="20">
        <v>43744.5</v>
      </c>
      <c r="BB11" s="20">
        <v>26209.5</v>
      </c>
      <c r="BC11" s="20">
        <v>17535</v>
      </c>
      <c r="BD11" s="20">
        <v>120330</v>
      </c>
      <c r="BE11" s="20">
        <v>62064</v>
      </c>
      <c r="BF11" s="20">
        <v>58266</v>
      </c>
    </row>
    <row r="12" spans="1:88" ht="21" customHeight="1">
      <c r="A12" s="53" t="s">
        <v>154</v>
      </c>
      <c r="B12" s="19" t="s">
        <v>9</v>
      </c>
      <c r="C12" s="20">
        <v>4</v>
      </c>
      <c r="D12" s="20">
        <v>76</v>
      </c>
      <c r="E12" s="20">
        <v>7</v>
      </c>
      <c r="F12" s="20">
        <v>69</v>
      </c>
      <c r="G12" s="20">
        <v>4</v>
      </c>
      <c r="H12" s="20">
        <v>35</v>
      </c>
      <c r="I12" s="20">
        <v>3</v>
      </c>
      <c r="J12" s="20">
        <v>34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199</v>
      </c>
      <c r="X12" s="20">
        <v>110</v>
      </c>
      <c r="Y12" s="20">
        <v>89</v>
      </c>
      <c r="Z12" s="20">
        <v>50</v>
      </c>
      <c r="AA12" s="20">
        <v>39</v>
      </c>
      <c r="AB12" s="20">
        <v>11</v>
      </c>
      <c r="AC12" s="20">
        <v>33</v>
      </c>
      <c r="AD12" s="20">
        <v>19</v>
      </c>
      <c r="AE12" s="20">
        <v>14</v>
      </c>
      <c r="AF12" s="20">
        <v>116</v>
      </c>
      <c r="AG12" s="20">
        <v>52</v>
      </c>
      <c r="AH12" s="20">
        <v>64</v>
      </c>
      <c r="AI12" s="20">
        <v>22689</v>
      </c>
      <c r="AJ12" s="20">
        <v>10522</v>
      </c>
      <c r="AK12" s="20">
        <v>12167</v>
      </c>
      <c r="AL12" s="20">
        <v>4630</v>
      </c>
      <c r="AM12" s="20">
        <v>3258</v>
      </c>
      <c r="AN12" s="20">
        <v>1372</v>
      </c>
      <c r="AO12" s="20">
        <v>2350</v>
      </c>
      <c r="AP12" s="20">
        <v>958</v>
      </c>
      <c r="AQ12" s="20">
        <v>1392</v>
      </c>
      <c r="AR12" s="20">
        <v>15709</v>
      </c>
      <c r="AS12" s="20">
        <v>6306</v>
      </c>
      <c r="AT12" s="20">
        <v>9403</v>
      </c>
      <c r="AU12" s="20">
        <v>50621</v>
      </c>
      <c r="AV12" s="20">
        <v>23963</v>
      </c>
      <c r="AW12" s="20">
        <v>26658</v>
      </c>
      <c r="AX12" s="20">
        <v>10841</v>
      </c>
      <c r="AY12" s="20">
        <v>8170</v>
      </c>
      <c r="AZ12" s="20">
        <v>2671</v>
      </c>
      <c r="BA12" s="20">
        <v>6015</v>
      </c>
      <c r="BB12" s="20">
        <v>2437</v>
      </c>
      <c r="BC12" s="20">
        <v>3578</v>
      </c>
      <c r="BD12" s="20">
        <v>33765</v>
      </c>
      <c r="BE12" s="20">
        <v>13356</v>
      </c>
      <c r="BF12" s="20">
        <v>20409</v>
      </c>
    </row>
    <row r="13" spans="1:88" ht="21" customHeight="1">
      <c r="A13" s="53" t="s">
        <v>155</v>
      </c>
      <c r="B13" s="19" t="s">
        <v>10</v>
      </c>
      <c r="C13" s="20">
        <v>3</v>
      </c>
      <c r="D13" s="20">
        <v>205</v>
      </c>
      <c r="E13" s="20">
        <v>24</v>
      </c>
      <c r="F13" s="20">
        <v>181</v>
      </c>
      <c r="G13" s="20">
        <v>4</v>
      </c>
      <c r="H13" s="20">
        <v>55</v>
      </c>
      <c r="I13" s="20">
        <v>14</v>
      </c>
      <c r="J13" s="20">
        <v>103</v>
      </c>
      <c r="K13" s="20">
        <v>6</v>
      </c>
      <c r="L13" s="20">
        <v>23</v>
      </c>
      <c r="M13" s="20">
        <v>7</v>
      </c>
      <c r="N13" s="20">
        <v>35</v>
      </c>
      <c r="O13" s="20">
        <v>1</v>
      </c>
      <c r="P13" s="20">
        <v>25</v>
      </c>
      <c r="Q13" s="20">
        <v>0</v>
      </c>
      <c r="R13" s="20">
        <v>0</v>
      </c>
      <c r="S13" s="20">
        <v>6</v>
      </c>
      <c r="T13" s="20">
        <v>10</v>
      </c>
      <c r="U13" s="20">
        <v>17</v>
      </c>
      <c r="V13" s="20">
        <v>275</v>
      </c>
      <c r="W13" s="20">
        <v>805</v>
      </c>
      <c r="X13" s="20">
        <v>364</v>
      </c>
      <c r="Y13" s="20">
        <v>441</v>
      </c>
      <c r="Z13" s="20">
        <v>103</v>
      </c>
      <c r="AA13" s="20">
        <v>64</v>
      </c>
      <c r="AB13" s="20">
        <v>39</v>
      </c>
      <c r="AC13" s="20">
        <v>254</v>
      </c>
      <c r="AD13" s="20">
        <v>127</v>
      </c>
      <c r="AE13" s="20">
        <v>127</v>
      </c>
      <c r="AF13" s="20">
        <v>448</v>
      </c>
      <c r="AG13" s="20">
        <v>173</v>
      </c>
      <c r="AH13" s="20">
        <v>275</v>
      </c>
      <c r="AI13" s="20">
        <v>87719</v>
      </c>
      <c r="AJ13" s="20">
        <v>37937</v>
      </c>
      <c r="AK13" s="20">
        <v>49782</v>
      </c>
      <c r="AL13" s="20">
        <v>12165</v>
      </c>
      <c r="AM13" s="20">
        <v>7461</v>
      </c>
      <c r="AN13" s="20">
        <v>4704</v>
      </c>
      <c r="AO13" s="20">
        <v>27889</v>
      </c>
      <c r="AP13" s="20">
        <v>13085</v>
      </c>
      <c r="AQ13" s="20">
        <v>14804</v>
      </c>
      <c r="AR13" s="20">
        <v>47665</v>
      </c>
      <c r="AS13" s="20">
        <v>17391</v>
      </c>
      <c r="AT13" s="20">
        <v>30274</v>
      </c>
      <c r="AU13" s="20">
        <v>162333</v>
      </c>
      <c r="AV13" s="20">
        <v>70427</v>
      </c>
      <c r="AW13" s="20">
        <v>91906</v>
      </c>
      <c r="AX13" s="20">
        <v>23191</v>
      </c>
      <c r="AY13" s="20">
        <v>13677</v>
      </c>
      <c r="AZ13" s="20">
        <v>9514</v>
      </c>
      <c r="BA13" s="20">
        <v>51803</v>
      </c>
      <c r="BB13" s="20">
        <v>25439</v>
      </c>
      <c r="BC13" s="20">
        <v>26364</v>
      </c>
      <c r="BD13" s="20">
        <v>87339</v>
      </c>
      <c r="BE13" s="20">
        <v>31311</v>
      </c>
      <c r="BF13" s="20">
        <v>56028</v>
      </c>
    </row>
    <row r="14" spans="1:88" ht="21" customHeight="1">
      <c r="A14" s="53" t="s">
        <v>170</v>
      </c>
      <c r="B14" s="19" t="s">
        <v>42</v>
      </c>
      <c r="C14" s="20">
        <v>7</v>
      </c>
      <c r="D14" s="20">
        <v>337</v>
      </c>
      <c r="E14" s="20">
        <v>30</v>
      </c>
      <c r="F14" s="20">
        <v>307</v>
      </c>
      <c r="G14" s="20">
        <v>18</v>
      </c>
      <c r="H14" s="20">
        <v>203</v>
      </c>
      <c r="I14" s="20">
        <v>12</v>
      </c>
      <c r="J14" s="20">
        <v>104</v>
      </c>
      <c r="K14" s="20">
        <v>0</v>
      </c>
      <c r="L14" s="20">
        <v>0</v>
      </c>
      <c r="M14" s="20">
        <v>25</v>
      </c>
      <c r="N14" s="20">
        <v>31</v>
      </c>
      <c r="O14" s="20">
        <v>4</v>
      </c>
      <c r="P14" s="20">
        <v>6</v>
      </c>
      <c r="Q14" s="20">
        <v>19</v>
      </c>
      <c r="R14" s="20">
        <v>23</v>
      </c>
      <c r="S14" s="20">
        <v>2</v>
      </c>
      <c r="T14" s="20">
        <v>2</v>
      </c>
      <c r="U14" s="20">
        <v>88</v>
      </c>
      <c r="V14" s="20">
        <v>906</v>
      </c>
      <c r="W14" s="20">
        <v>1085</v>
      </c>
      <c r="X14" s="20">
        <v>525</v>
      </c>
      <c r="Y14" s="20">
        <v>560</v>
      </c>
      <c r="Z14" s="20">
        <v>306</v>
      </c>
      <c r="AA14" s="20">
        <v>158</v>
      </c>
      <c r="AB14" s="20">
        <v>148</v>
      </c>
      <c r="AC14" s="20">
        <v>297</v>
      </c>
      <c r="AD14" s="20">
        <v>138</v>
      </c>
      <c r="AE14" s="20">
        <v>159</v>
      </c>
      <c r="AF14" s="20">
        <v>482</v>
      </c>
      <c r="AG14" s="20">
        <v>229</v>
      </c>
      <c r="AH14" s="20">
        <v>253</v>
      </c>
      <c r="AI14" s="20">
        <v>166206</v>
      </c>
      <c r="AJ14" s="20">
        <v>84117</v>
      </c>
      <c r="AK14" s="20">
        <v>82089</v>
      </c>
      <c r="AL14" s="20">
        <v>53952</v>
      </c>
      <c r="AM14" s="20">
        <v>27129</v>
      </c>
      <c r="AN14" s="20">
        <v>26823</v>
      </c>
      <c r="AO14" s="20">
        <v>51081</v>
      </c>
      <c r="AP14" s="20">
        <v>26655</v>
      </c>
      <c r="AQ14" s="20">
        <v>24426</v>
      </c>
      <c r="AR14" s="20">
        <v>61173</v>
      </c>
      <c r="AS14" s="20">
        <v>30333</v>
      </c>
      <c r="AT14" s="20">
        <v>30840</v>
      </c>
      <c r="AU14" s="20">
        <v>380688.5</v>
      </c>
      <c r="AV14" s="20">
        <v>192083</v>
      </c>
      <c r="AW14" s="20">
        <v>188605.5</v>
      </c>
      <c r="AX14" s="20">
        <v>121449</v>
      </c>
      <c r="AY14" s="20">
        <v>61721</v>
      </c>
      <c r="AZ14" s="20">
        <v>59728</v>
      </c>
      <c r="BA14" s="20">
        <v>125731</v>
      </c>
      <c r="BB14" s="20">
        <v>63231</v>
      </c>
      <c r="BC14" s="20">
        <v>62500</v>
      </c>
      <c r="BD14" s="20">
        <v>133508.5</v>
      </c>
      <c r="BE14" s="20">
        <v>67131</v>
      </c>
      <c r="BF14" s="20">
        <v>66377.5</v>
      </c>
    </row>
    <row r="15" spans="1:88" ht="21" customHeight="1">
      <c r="A15" s="53" t="s">
        <v>156</v>
      </c>
      <c r="B15" s="19" t="s">
        <v>11</v>
      </c>
      <c r="C15" s="20">
        <v>5</v>
      </c>
      <c r="D15" s="20">
        <v>251</v>
      </c>
      <c r="E15" s="20">
        <v>19</v>
      </c>
      <c r="F15" s="20">
        <v>232</v>
      </c>
      <c r="G15" s="20">
        <v>19</v>
      </c>
      <c r="H15" s="20">
        <v>232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1662</v>
      </c>
      <c r="X15" s="20">
        <v>611</v>
      </c>
      <c r="Y15" s="20">
        <v>1051</v>
      </c>
      <c r="Z15" s="20">
        <v>196</v>
      </c>
      <c r="AA15" s="20">
        <v>106</v>
      </c>
      <c r="AB15" s="20">
        <v>90</v>
      </c>
      <c r="AC15" s="20">
        <v>311</v>
      </c>
      <c r="AD15" s="20">
        <v>127</v>
      </c>
      <c r="AE15" s="20">
        <v>184</v>
      </c>
      <c r="AF15" s="20">
        <v>1155</v>
      </c>
      <c r="AG15" s="20">
        <v>378</v>
      </c>
      <c r="AH15" s="20">
        <v>777</v>
      </c>
      <c r="AI15" s="20">
        <v>166173</v>
      </c>
      <c r="AJ15" s="20">
        <v>60224</v>
      </c>
      <c r="AK15" s="20">
        <v>105949</v>
      </c>
      <c r="AL15" s="20">
        <v>16837</v>
      </c>
      <c r="AM15" s="20">
        <v>9195</v>
      </c>
      <c r="AN15" s="20">
        <v>7642</v>
      </c>
      <c r="AO15" s="20">
        <v>33355</v>
      </c>
      <c r="AP15" s="20">
        <v>13489</v>
      </c>
      <c r="AQ15" s="20">
        <v>19866</v>
      </c>
      <c r="AR15" s="20">
        <v>115981</v>
      </c>
      <c r="AS15" s="20">
        <v>37540</v>
      </c>
      <c r="AT15" s="20">
        <v>78441</v>
      </c>
      <c r="AU15" s="20">
        <v>320655</v>
      </c>
      <c r="AV15" s="20">
        <v>118597</v>
      </c>
      <c r="AW15" s="20">
        <v>202058</v>
      </c>
      <c r="AX15" s="20">
        <v>33747</v>
      </c>
      <c r="AY15" s="20">
        <v>18258</v>
      </c>
      <c r="AZ15" s="20">
        <v>15489</v>
      </c>
      <c r="BA15" s="20">
        <v>65052</v>
      </c>
      <c r="BB15" s="20">
        <v>27262</v>
      </c>
      <c r="BC15" s="20">
        <v>37790</v>
      </c>
      <c r="BD15" s="20">
        <v>221856</v>
      </c>
      <c r="BE15" s="20">
        <v>73077</v>
      </c>
      <c r="BF15" s="20">
        <v>148779</v>
      </c>
    </row>
    <row r="16" spans="1:88" ht="21" customHeight="1">
      <c r="A16" s="53" t="s">
        <v>157</v>
      </c>
      <c r="B16" s="19" t="s">
        <v>12</v>
      </c>
      <c r="C16" s="20">
        <v>9</v>
      </c>
      <c r="D16" s="20">
        <v>284</v>
      </c>
      <c r="E16" s="20">
        <v>15</v>
      </c>
      <c r="F16" s="20">
        <v>269</v>
      </c>
      <c r="G16" s="20">
        <v>5</v>
      </c>
      <c r="H16" s="20">
        <v>73</v>
      </c>
      <c r="I16" s="20">
        <v>10</v>
      </c>
      <c r="J16" s="20">
        <v>196</v>
      </c>
      <c r="K16" s="20">
        <v>0</v>
      </c>
      <c r="L16" s="20">
        <v>0</v>
      </c>
      <c r="M16" s="20">
        <v>4</v>
      </c>
      <c r="N16" s="20">
        <v>70</v>
      </c>
      <c r="O16" s="20">
        <v>2</v>
      </c>
      <c r="P16" s="20">
        <v>30</v>
      </c>
      <c r="Q16" s="20">
        <v>0</v>
      </c>
      <c r="R16" s="20">
        <v>0</v>
      </c>
      <c r="S16" s="20">
        <v>2</v>
      </c>
      <c r="T16" s="20">
        <v>40</v>
      </c>
      <c r="U16" s="20">
        <v>14</v>
      </c>
      <c r="V16" s="20">
        <v>610</v>
      </c>
      <c r="W16" s="20">
        <v>1687</v>
      </c>
      <c r="X16" s="20">
        <v>724</v>
      </c>
      <c r="Y16" s="20">
        <v>963</v>
      </c>
      <c r="Z16" s="20">
        <v>254</v>
      </c>
      <c r="AA16" s="20">
        <v>160</v>
      </c>
      <c r="AB16" s="20">
        <v>94</v>
      </c>
      <c r="AC16" s="20">
        <v>553</v>
      </c>
      <c r="AD16" s="20">
        <v>241</v>
      </c>
      <c r="AE16" s="20">
        <v>312</v>
      </c>
      <c r="AF16" s="20">
        <v>880</v>
      </c>
      <c r="AG16" s="20">
        <v>323</v>
      </c>
      <c r="AH16" s="20">
        <v>557</v>
      </c>
      <c r="AI16" s="20">
        <v>135965</v>
      </c>
      <c r="AJ16" s="20">
        <v>59024</v>
      </c>
      <c r="AK16" s="20">
        <v>76941</v>
      </c>
      <c r="AL16" s="20">
        <v>16921</v>
      </c>
      <c r="AM16" s="20">
        <v>9994</v>
      </c>
      <c r="AN16" s="20">
        <v>6927</v>
      </c>
      <c r="AO16" s="20">
        <v>38293</v>
      </c>
      <c r="AP16" s="20">
        <v>17200</v>
      </c>
      <c r="AQ16" s="20">
        <v>21093</v>
      </c>
      <c r="AR16" s="20">
        <v>80751</v>
      </c>
      <c r="AS16" s="20">
        <v>31830</v>
      </c>
      <c r="AT16" s="20">
        <v>48921</v>
      </c>
      <c r="AU16" s="20">
        <v>267993</v>
      </c>
      <c r="AV16" s="20">
        <v>121863</v>
      </c>
      <c r="AW16" s="20">
        <v>146130</v>
      </c>
      <c r="AX16" s="20">
        <v>38397</v>
      </c>
      <c r="AY16" s="20">
        <v>22924</v>
      </c>
      <c r="AZ16" s="20">
        <v>15473</v>
      </c>
      <c r="BA16" s="20">
        <v>79561</v>
      </c>
      <c r="BB16" s="20">
        <v>35658</v>
      </c>
      <c r="BC16" s="20">
        <v>43903</v>
      </c>
      <c r="BD16" s="20">
        <v>150035</v>
      </c>
      <c r="BE16" s="20">
        <v>63281</v>
      </c>
      <c r="BF16" s="20">
        <v>86754</v>
      </c>
    </row>
    <row r="17" spans="1:88" ht="21" customHeight="1">
      <c r="A17" s="53" t="s">
        <v>158</v>
      </c>
      <c r="B17" s="19" t="s">
        <v>13</v>
      </c>
      <c r="C17" s="20">
        <v>5</v>
      </c>
      <c r="D17" s="20">
        <v>214</v>
      </c>
      <c r="E17" s="20">
        <v>11</v>
      </c>
      <c r="F17" s="20">
        <v>203</v>
      </c>
      <c r="G17" s="20">
        <v>2</v>
      </c>
      <c r="H17" s="20">
        <v>91</v>
      </c>
      <c r="I17" s="20">
        <v>9</v>
      </c>
      <c r="J17" s="20">
        <v>112</v>
      </c>
      <c r="K17" s="20">
        <v>0</v>
      </c>
      <c r="L17" s="20">
        <v>0</v>
      </c>
      <c r="M17" s="20">
        <v>10</v>
      </c>
      <c r="N17" s="20">
        <v>1</v>
      </c>
      <c r="O17" s="20">
        <v>0</v>
      </c>
      <c r="P17" s="20">
        <v>0</v>
      </c>
      <c r="Q17" s="20">
        <v>10</v>
      </c>
      <c r="R17" s="20">
        <v>1</v>
      </c>
      <c r="S17" s="20">
        <v>0</v>
      </c>
      <c r="T17" s="20">
        <v>0</v>
      </c>
      <c r="U17" s="20">
        <v>32</v>
      </c>
      <c r="V17" s="20">
        <v>893</v>
      </c>
      <c r="W17" s="20">
        <v>1512</v>
      </c>
      <c r="X17" s="20">
        <v>594</v>
      </c>
      <c r="Y17" s="20">
        <v>918</v>
      </c>
      <c r="Z17" s="20">
        <v>250</v>
      </c>
      <c r="AA17" s="20">
        <v>165</v>
      </c>
      <c r="AB17" s="20">
        <v>85</v>
      </c>
      <c r="AC17" s="20">
        <v>275</v>
      </c>
      <c r="AD17" s="20">
        <v>106</v>
      </c>
      <c r="AE17" s="20">
        <v>169</v>
      </c>
      <c r="AF17" s="20">
        <v>987</v>
      </c>
      <c r="AG17" s="20">
        <v>323</v>
      </c>
      <c r="AH17" s="20">
        <v>664</v>
      </c>
      <c r="AI17" s="20">
        <v>179936</v>
      </c>
      <c r="AJ17" s="20">
        <v>69749</v>
      </c>
      <c r="AK17" s="20">
        <v>110187</v>
      </c>
      <c r="AL17" s="20">
        <v>31826</v>
      </c>
      <c r="AM17" s="20">
        <v>19968</v>
      </c>
      <c r="AN17" s="20">
        <v>11858</v>
      </c>
      <c r="AO17" s="20">
        <v>34344</v>
      </c>
      <c r="AP17" s="20">
        <v>11698</v>
      </c>
      <c r="AQ17" s="20">
        <v>22646</v>
      </c>
      <c r="AR17" s="20">
        <v>113766</v>
      </c>
      <c r="AS17" s="20">
        <v>38083</v>
      </c>
      <c r="AT17" s="20">
        <v>75683</v>
      </c>
      <c r="AU17" s="20">
        <v>345756</v>
      </c>
      <c r="AV17" s="20">
        <v>136142</v>
      </c>
      <c r="AW17" s="20">
        <v>209614</v>
      </c>
      <c r="AX17" s="20">
        <v>61352</v>
      </c>
      <c r="AY17" s="20">
        <v>38807</v>
      </c>
      <c r="AZ17" s="20">
        <v>22545</v>
      </c>
      <c r="BA17" s="20">
        <v>67055</v>
      </c>
      <c r="BB17" s="20">
        <v>23459</v>
      </c>
      <c r="BC17" s="20">
        <v>43596</v>
      </c>
      <c r="BD17" s="20">
        <v>217349</v>
      </c>
      <c r="BE17" s="20">
        <v>73876</v>
      </c>
      <c r="BF17" s="20">
        <v>143473</v>
      </c>
    </row>
    <row r="18" spans="1:88" ht="21" customHeight="1">
      <c r="A18" s="53" t="s">
        <v>159</v>
      </c>
      <c r="B18" s="19" t="s">
        <v>14</v>
      </c>
      <c r="C18" s="20">
        <v>2</v>
      </c>
      <c r="D18" s="20">
        <v>149</v>
      </c>
      <c r="E18" s="20">
        <v>15</v>
      </c>
      <c r="F18" s="20">
        <v>134</v>
      </c>
      <c r="G18" s="20">
        <v>10</v>
      </c>
      <c r="H18" s="20">
        <v>85</v>
      </c>
      <c r="I18" s="20">
        <v>5</v>
      </c>
      <c r="J18" s="20">
        <v>49</v>
      </c>
      <c r="K18" s="20">
        <v>0</v>
      </c>
      <c r="L18" s="20">
        <v>0</v>
      </c>
      <c r="M18" s="20">
        <v>3</v>
      </c>
      <c r="N18" s="20">
        <v>43</v>
      </c>
      <c r="O18" s="20">
        <v>1</v>
      </c>
      <c r="P18" s="20">
        <v>10</v>
      </c>
      <c r="Q18" s="20">
        <v>1</v>
      </c>
      <c r="R18" s="20">
        <v>19</v>
      </c>
      <c r="S18" s="20">
        <v>1</v>
      </c>
      <c r="T18" s="20">
        <v>14</v>
      </c>
      <c r="U18" s="20">
        <v>7</v>
      </c>
      <c r="V18" s="20">
        <v>201</v>
      </c>
      <c r="W18" s="20">
        <v>819</v>
      </c>
      <c r="X18" s="20">
        <v>347</v>
      </c>
      <c r="Y18" s="20">
        <v>472</v>
      </c>
      <c r="Z18" s="20">
        <v>357</v>
      </c>
      <c r="AA18" s="20">
        <v>171</v>
      </c>
      <c r="AB18" s="20">
        <v>186</v>
      </c>
      <c r="AC18" s="20">
        <v>108</v>
      </c>
      <c r="AD18" s="20">
        <v>47</v>
      </c>
      <c r="AE18" s="20">
        <v>61</v>
      </c>
      <c r="AF18" s="20">
        <v>354</v>
      </c>
      <c r="AG18" s="20">
        <v>129</v>
      </c>
      <c r="AH18" s="20">
        <v>225</v>
      </c>
      <c r="AI18" s="20">
        <v>116484</v>
      </c>
      <c r="AJ18" s="20">
        <v>52535</v>
      </c>
      <c r="AK18" s="20">
        <v>63949</v>
      </c>
      <c r="AL18" s="20">
        <v>55612</v>
      </c>
      <c r="AM18" s="20">
        <v>27786</v>
      </c>
      <c r="AN18" s="20">
        <v>27826</v>
      </c>
      <c r="AO18" s="20">
        <v>14144</v>
      </c>
      <c r="AP18" s="20">
        <v>5932</v>
      </c>
      <c r="AQ18" s="20">
        <v>8212</v>
      </c>
      <c r="AR18" s="20">
        <v>46728</v>
      </c>
      <c r="AS18" s="20">
        <v>18817</v>
      </c>
      <c r="AT18" s="20">
        <v>27911</v>
      </c>
      <c r="AU18" s="20">
        <v>183100.5</v>
      </c>
      <c r="AV18" s="20">
        <v>82602</v>
      </c>
      <c r="AW18" s="20">
        <v>100498.5</v>
      </c>
      <c r="AX18" s="20">
        <v>89531</v>
      </c>
      <c r="AY18" s="20">
        <v>44238</v>
      </c>
      <c r="AZ18" s="20">
        <v>45293</v>
      </c>
      <c r="BA18" s="20">
        <v>22211.5</v>
      </c>
      <c r="BB18" s="20">
        <v>9436.5</v>
      </c>
      <c r="BC18" s="20">
        <v>12775</v>
      </c>
      <c r="BD18" s="20">
        <v>71358</v>
      </c>
      <c r="BE18" s="20">
        <v>28927.5</v>
      </c>
      <c r="BF18" s="20">
        <v>42430.5</v>
      </c>
    </row>
    <row r="19" spans="1:88" ht="21" customHeight="1">
      <c r="A19" s="53" t="s">
        <v>171</v>
      </c>
      <c r="B19" s="19" t="s">
        <v>43</v>
      </c>
      <c r="C19" s="20">
        <v>6</v>
      </c>
      <c r="D19" s="20">
        <v>230</v>
      </c>
      <c r="E19" s="20">
        <v>22</v>
      </c>
      <c r="F19" s="20">
        <v>208</v>
      </c>
      <c r="G19" s="20">
        <v>6</v>
      </c>
      <c r="H19" s="20">
        <v>86</v>
      </c>
      <c r="I19" s="20">
        <v>16</v>
      </c>
      <c r="J19" s="20">
        <v>122</v>
      </c>
      <c r="K19" s="20">
        <v>0</v>
      </c>
      <c r="L19" s="20">
        <v>0</v>
      </c>
      <c r="M19" s="20">
        <v>8</v>
      </c>
      <c r="N19" s="20">
        <v>10</v>
      </c>
      <c r="O19" s="20">
        <v>4</v>
      </c>
      <c r="P19" s="20">
        <v>5</v>
      </c>
      <c r="Q19" s="20">
        <v>4</v>
      </c>
      <c r="R19" s="20">
        <v>5</v>
      </c>
      <c r="S19" s="20">
        <v>0</v>
      </c>
      <c r="T19" s="20">
        <v>0</v>
      </c>
      <c r="U19" s="20">
        <v>22</v>
      </c>
      <c r="V19" s="20">
        <v>640</v>
      </c>
      <c r="W19" s="20">
        <v>1008</v>
      </c>
      <c r="X19" s="20">
        <v>393</v>
      </c>
      <c r="Y19" s="20">
        <v>615</v>
      </c>
      <c r="Z19" s="20">
        <v>184</v>
      </c>
      <c r="AA19" s="20">
        <v>98</v>
      </c>
      <c r="AB19" s="20">
        <v>86</v>
      </c>
      <c r="AC19" s="20">
        <v>285</v>
      </c>
      <c r="AD19" s="20">
        <v>113</v>
      </c>
      <c r="AE19" s="20">
        <v>172</v>
      </c>
      <c r="AF19" s="20">
        <v>539</v>
      </c>
      <c r="AG19" s="20">
        <v>182</v>
      </c>
      <c r="AH19" s="20">
        <v>357</v>
      </c>
      <c r="AI19" s="20">
        <v>96841</v>
      </c>
      <c r="AJ19" s="20">
        <v>43336</v>
      </c>
      <c r="AK19" s="20">
        <v>53505</v>
      </c>
      <c r="AL19" s="20">
        <v>17535</v>
      </c>
      <c r="AM19" s="20">
        <v>11148</v>
      </c>
      <c r="AN19" s="20">
        <v>6387</v>
      </c>
      <c r="AO19" s="20">
        <v>27633</v>
      </c>
      <c r="AP19" s="20">
        <v>12654</v>
      </c>
      <c r="AQ19" s="20">
        <v>14979</v>
      </c>
      <c r="AR19" s="20">
        <v>51673</v>
      </c>
      <c r="AS19" s="20">
        <v>19534</v>
      </c>
      <c r="AT19" s="20">
        <v>32139</v>
      </c>
      <c r="AU19" s="20">
        <v>168598</v>
      </c>
      <c r="AV19" s="20">
        <v>74091</v>
      </c>
      <c r="AW19" s="20">
        <v>94507</v>
      </c>
      <c r="AX19" s="20">
        <v>37629</v>
      </c>
      <c r="AY19" s="20">
        <v>19389</v>
      </c>
      <c r="AZ19" s="20">
        <v>18240</v>
      </c>
      <c r="BA19" s="20">
        <v>52608</v>
      </c>
      <c r="BB19" s="20">
        <v>20582</v>
      </c>
      <c r="BC19" s="20">
        <v>32026</v>
      </c>
      <c r="BD19" s="20">
        <v>78361</v>
      </c>
      <c r="BE19" s="20">
        <v>34120</v>
      </c>
      <c r="BF19" s="20">
        <v>44241</v>
      </c>
    </row>
    <row r="20" spans="1:88" ht="21" customHeight="1">
      <c r="A20" s="53" t="s">
        <v>172</v>
      </c>
      <c r="B20" s="19" t="s">
        <v>44</v>
      </c>
      <c r="C20" s="20">
        <v>12</v>
      </c>
      <c r="D20" s="20">
        <v>306</v>
      </c>
      <c r="E20" s="20">
        <v>23</v>
      </c>
      <c r="F20" s="20">
        <v>283</v>
      </c>
      <c r="G20" s="20">
        <v>19</v>
      </c>
      <c r="H20" s="20">
        <v>242</v>
      </c>
      <c r="I20" s="20">
        <v>4</v>
      </c>
      <c r="J20" s="20">
        <v>41</v>
      </c>
      <c r="K20" s="20">
        <v>0</v>
      </c>
      <c r="L20" s="20">
        <v>0</v>
      </c>
      <c r="M20" s="20">
        <v>2</v>
      </c>
      <c r="N20" s="20">
        <v>63</v>
      </c>
      <c r="O20" s="20">
        <v>1</v>
      </c>
      <c r="P20" s="20">
        <v>34</v>
      </c>
      <c r="Q20" s="20">
        <v>0</v>
      </c>
      <c r="R20" s="20">
        <v>0</v>
      </c>
      <c r="S20" s="20">
        <v>1</v>
      </c>
      <c r="T20" s="20">
        <v>29</v>
      </c>
      <c r="U20" s="20">
        <v>13</v>
      </c>
      <c r="V20" s="20">
        <v>469</v>
      </c>
      <c r="W20" s="20">
        <v>1701</v>
      </c>
      <c r="X20" s="20">
        <v>745</v>
      </c>
      <c r="Y20" s="20">
        <v>956</v>
      </c>
      <c r="Z20" s="20">
        <v>148</v>
      </c>
      <c r="AA20" s="20">
        <v>94</v>
      </c>
      <c r="AB20" s="20">
        <v>54</v>
      </c>
      <c r="AC20" s="20">
        <v>503</v>
      </c>
      <c r="AD20" s="20">
        <v>241</v>
      </c>
      <c r="AE20" s="20">
        <v>262</v>
      </c>
      <c r="AF20" s="20">
        <v>1050</v>
      </c>
      <c r="AG20" s="20">
        <v>410</v>
      </c>
      <c r="AH20" s="20">
        <v>640</v>
      </c>
      <c r="AI20" s="20">
        <v>509890</v>
      </c>
      <c r="AJ20" s="20">
        <v>229499</v>
      </c>
      <c r="AK20" s="20">
        <v>280391</v>
      </c>
      <c r="AL20" s="20">
        <v>50059</v>
      </c>
      <c r="AM20" s="20">
        <v>31496</v>
      </c>
      <c r="AN20" s="20">
        <v>18563</v>
      </c>
      <c r="AO20" s="20">
        <v>167873</v>
      </c>
      <c r="AP20" s="20">
        <v>83650</v>
      </c>
      <c r="AQ20" s="20">
        <v>84223</v>
      </c>
      <c r="AR20" s="20">
        <v>291958</v>
      </c>
      <c r="AS20" s="20">
        <v>114353</v>
      </c>
      <c r="AT20" s="20">
        <v>177605</v>
      </c>
      <c r="AU20" s="20">
        <v>465701.5</v>
      </c>
      <c r="AV20" s="20">
        <v>215758</v>
      </c>
      <c r="AW20" s="20">
        <v>249943.5</v>
      </c>
      <c r="AX20" s="20">
        <v>48859</v>
      </c>
      <c r="AY20" s="20">
        <v>29722</v>
      </c>
      <c r="AZ20" s="20">
        <v>19137</v>
      </c>
      <c r="BA20" s="20">
        <v>159505.5</v>
      </c>
      <c r="BB20" s="20">
        <v>79732.5</v>
      </c>
      <c r="BC20" s="20">
        <v>79773</v>
      </c>
      <c r="BD20" s="20">
        <v>257337</v>
      </c>
      <c r="BE20" s="20">
        <v>106303.5</v>
      </c>
      <c r="BF20" s="20">
        <v>151033.5</v>
      </c>
    </row>
    <row r="21" spans="1:88" ht="21" customHeight="1">
      <c r="A21" s="53" t="s">
        <v>160</v>
      </c>
      <c r="B21" s="19" t="s">
        <v>15</v>
      </c>
      <c r="C21" s="20">
        <v>6</v>
      </c>
      <c r="D21" s="20">
        <v>233</v>
      </c>
      <c r="E21" s="20">
        <v>13</v>
      </c>
      <c r="F21" s="20">
        <v>220</v>
      </c>
      <c r="G21" s="20">
        <v>7</v>
      </c>
      <c r="H21" s="20">
        <v>131</v>
      </c>
      <c r="I21" s="20">
        <v>6</v>
      </c>
      <c r="J21" s="20">
        <v>89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94</v>
      </c>
      <c r="V21" s="20">
        <v>387</v>
      </c>
      <c r="W21" s="20">
        <v>1024</v>
      </c>
      <c r="X21" s="20">
        <v>407</v>
      </c>
      <c r="Y21" s="20">
        <v>617</v>
      </c>
      <c r="Z21" s="20">
        <v>169</v>
      </c>
      <c r="AA21" s="20">
        <v>103</v>
      </c>
      <c r="AB21" s="20">
        <v>66</v>
      </c>
      <c r="AC21" s="20">
        <v>380</v>
      </c>
      <c r="AD21" s="20">
        <v>132</v>
      </c>
      <c r="AE21" s="20">
        <v>248</v>
      </c>
      <c r="AF21" s="20">
        <v>475</v>
      </c>
      <c r="AG21" s="20">
        <v>172</v>
      </c>
      <c r="AH21" s="20">
        <v>303</v>
      </c>
      <c r="AI21" s="20">
        <v>131326</v>
      </c>
      <c r="AJ21" s="20">
        <v>54381</v>
      </c>
      <c r="AK21" s="20">
        <v>76945</v>
      </c>
      <c r="AL21" s="20">
        <v>24901</v>
      </c>
      <c r="AM21" s="20">
        <v>14943</v>
      </c>
      <c r="AN21" s="20">
        <v>9958</v>
      </c>
      <c r="AO21" s="20">
        <v>53932</v>
      </c>
      <c r="AP21" s="20">
        <v>17795</v>
      </c>
      <c r="AQ21" s="20">
        <v>36137</v>
      </c>
      <c r="AR21" s="20">
        <v>52493</v>
      </c>
      <c r="AS21" s="20">
        <v>21643</v>
      </c>
      <c r="AT21" s="20">
        <v>30850</v>
      </c>
      <c r="AU21" s="20">
        <v>280444</v>
      </c>
      <c r="AV21" s="20">
        <v>116257</v>
      </c>
      <c r="AW21" s="20">
        <v>164187</v>
      </c>
      <c r="AX21" s="20">
        <v>53312.5</v>
      </c>
      <c r="AY21" s="20">
        <v>32459</v>
      </c>
      <c r="AZ21" s="20">
        <v>20853.5</v>
      </c>
      <c r="BA21" s="20">
        <v>119498.5</v>
      </c>
      <c r="BB21" s="20">
        <v>41014.5</v>
      </c>
      <c r="BC21" s="20">
        <v>78484</v>
      </c>
      <c r="BD21" s="20">
        <v>107633</v>
      </c>
      <c r="BE21" s="20">
        <v>42783.5</v>
      </c>
      <c r="BF21" s="20">
        <v>64849.5</v>
      </c>
    </row>
    <row r="22" spans="1:88" ht="21" customHeight="1">
      <c r="A22" s="53" t="s">
        <v>161</v>
      </c>
      <c r="B22" s="19" t="s">
        <v>16</v>
      </c>
      <c r="C22" s="20">
        <v>5</v>
      </c>
      <c r="D22" s="20">
        <v>112</v>
      </c>
      <c r="E22" s="20">
        <v>4</v>
      </c>
      <c r="F22" s="20">
        <v>108</v>
      </c>
      <c r="G22" s="20">
        <v>4</v>
      </c>
      <c r="H22" s="20">
        <v>104</v>
      </c>
      <c r="I22" s="20">
        <v>0</v>
      </c>
      <c r="J22" s="20">
        <v>4</v>
      </c>
      <c r="K22" s="20">
        <v>0</v>
      </c>
      <c r="L22" s="20">
        <v>0</v>
      </c>
      <c r="M22" s="20">
        <v>3</v>
      </c>
      <c r="N22" s="20">
        <v>47</v>
      </c>
      <c r="O22" s="20">
        <v>2</v>
      </c>
      <c r="P22" s="20">
        <v>31</v>
      </c>
      <c r="Q22" s="20">
        <v>0</v>
      </c>
      <c r="R22" s="20">
        <v>0</v>
      </c>
      <c r="S22" s="20">
        <v>1</v>
      </c>
      <c r="T22" s="20">
        <v>16</v>
      </c>
      <c r="U22" s="20">
        <v>4</v>
      </c>
      <c r="V22" s="20">
        <v>200</v>
      </c>
      <c r="W22" s="20">
        <v>606</v>
      </c>
      <c r="X22" s="20">
        <v>286</v>
      </c>
      <c r="Y22" s="20">
        <v>320</v>
      </c>
      <c r="Z22" s="20">
        <v>216</v>
      </c>
      <c r="AA22" s="20">
        <v>123</v>
      </c>
      <c r="AB22" s="20">
        <v>93</v>
      </c>
      <c r="AC22" s="20">
        <v>110</v>
      </c>
      <c r="AD22" s="20">
        <v>41</v>
      </c>
      <c r="AE22" s="20">
        <v>69</v>
      </c>
      <c r="AF22" s="20">
        <v>280</v>
      </c>
      <c r="AG22" s="20">
        <v>122</v>
      </c>
      <c r="AH22" s="20">
        <v>158</v>
      </c>
      <c r="AI22" s="20">
        <v>45820</v>
      </c>
      <c r="AJ22" s="20">
        <v>23512</v>
      </c>
      <c r="AK22" s="20">
        <v>22308</v>
      </c>
      <c r="AL22" s="20">
        <v>11808</v>
      </c>
      <c r="AM22" s="20">
        <v>7346</v>
      </c>
      <c r="AN22" s="20">
        <v>4462</v>
      </c>
      <c r="AO22" s="20">
        <v>5622</v>
      </c>
      <c r="AP22" s="20">
        <v>2118</v>
      </c>
      <c r="AQ22" s="20">
        <v>3504</v>
      </c>
      <c r="AR22" s="20">
        <v>28390</v>
      </c>
      <c r="AS22" s="20">
        <v>14048</v>
      </c>
      <c r="AT22" s="20">
        <v>14342</v>
      </c>
      <c r="AU22" s="20">
        <v>74379</v>
      </c>
      <c r="AV22" s="20">
        <v>35973.5</v>
      </c>
      <c r="AW22" s="20">
        <v>38405.5</v>
      </c>
      <c r="AX22" s="20">
        <v>17217</v>
      </c>
      <c r="AY22" s="20">
        <v>9615</v>
      </c>
      <c r="AZ22" s="20">
        <v>7602</v>
      </c>
      <c r="BA22" s="20">
        <v>10299.5</v>
      </c>
      <c r="BB22" s="20">
        <v>3649.5</v>
      </c>
      <c r="BC22" s="20">
        <v>6650</v>
      </c>
      <c r="BD22" s="20">
        <v>46862.5</v>
      </c>
      <c r="BE22" s="20">
        <v>22709</v>
      </c>
      <c r="BF22" s="20">
        <v>24153.5</v>
      </c>
    </row>
    <row r="23" spans="1:88" ht="21" customHeight="1">
      <c r="A23" s="53" t="s">
        <v>162</v>
      </c>
      <c r="B23" s="19" t="s">
        <v>17</v>
      </c>
      <c r="C23" s="20">
        <v>2</v>
      </c>
      <c r="D23" s="20">
        <v>94</v>
      </c>
      <c r="E23" s="20">
        <v>1</v>
      </c>
      <c r="F23" s="20">
        <v>93</v>
      </c>
      <c r="G23" s="20">
        <v>1</v>
      </c>
      <c r="H23" s="20">
        <v>93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3</v>
      </c>
      <c r="V23" s="20">
        <v>114</v>
      </c>
      <c r="W23" s="20">
        <v>792</v>
      </c>
      <c r="X23" s="20">
        <v>399</v>
      </c>
      <c r="Y23" s="20">
        <v>393</v>
      </c>
      <c r="Z23" s="20">
        <v>211</v>
      </c>
      <c r="AA23" s="20">
        <v>131</v>
      </c>
      <c r="AB23" s="20">
        <v>80</v>
      </c>
      <c r="AC23" s="20">
        <v>175</v>
      </c>
      <c r="AD23" s="20">
        <v>92</v>
      </c>
      <c r="AE23" s="20">
        <v>83</v>
      </c>
      <c r="AF23" s="20">
        <v>406</v>
      </c>
      <c r="AG23" s="20">
        <v>176</v>
      </c>
      <c r="AH23" s="20">
        <v>230</v>
      </c>
      <c r="AI23" s="20">
        <v>94832</v>
      </c>
      <c r="AJ23" s="20">
        <v>48264</v>
      </c>
      <c r="AK23" s="20">
        <v>46568</v>
      </c>
      <c r="AL23" s="20">
        <v>25096</v>
      </c>
      <c r="AM23" s="20">
        <v>15774</v>
      </c>
      <c r="AN23" s="20">
        <v>9322</v>
      </c>
      <c r="AO23" s="20">
        <v>21918</v>
      </c>
      <c r="AP23" s="20">
        <v>12072</v>
      </c>
      <c r="AQ23" s="20">
        <v>9846</v>
      </c>
      <c r="AR23" s="20">
        <v>47818</v>
      </c>
      <c r="AS23" s="20">
        <v>20418</v>
      </c>
      <c r="AT23" s="20">
        <v>27400</v>
      </c>
      <c r="AU23" s="20">
        <v>187754</v>
      </c>
      <c r="AV23" s="20">
        <v>95593</v>
      </c>
      <c r="AW23" s="20">
        <v>92161</v>
      </c>
      <c r="AX23" s="20">
        <v>52113</v>
      </c>
      <c r="AY23" s="20">
        <v>31617</v>
      </c>
      <c r="AZ23" s="20">
        <v>20496</v>
      </c>
      <c r="BA23" s="20">
        <v>43011</v>
      </c>
      <c r="BB23" s="20">
        <v>23184</v>
      </c>
      <c r="BC23" s="20">
        <v>19827</v>
      </c>
      <c r="BD23" s="20">
        <v>92630</v>
      </c>
      <c r="BE23" s="20">
        <v>40792</v>
      </c>
      <c r="BF23" s="20">
        <v>51838</v>
      </c>
    </row>
    <row r="24" spans="1:88" ht="21" customHeight="1">
      <c r="A24" s="53" t="s">
        <v>163</v>
      </c>
      <c r="B24" s="19" t="s">
        <v>18</v>
      </c>
      <c r="C24" s="20">
        <v>1</v>
      </c>
      <c r="D24" s="20">
        <v>37</v>
      </c>
      <c r="E24" s="20">
        <v>1</v>
      </c>
      <c r="F24" s="20">
        <v>36</v>
      </c>
      <c r="G24" s="20">
        <v>0</v>
      </c>
      <c r="H24" s="20">
        <v>0</v>
      </c>
      <c r="I24" s="20">
        <v>1</v>
      </c>
      <c r="J24" s="20">
        <v>36</v>
      </c>
      <c r="K24" s="20">
        <v>0</v>
      </c>
      <c r="L24" s="20">
        <v>0</v>
      </c>
      <c r="M24" s="20">
        <v>4</v>
      </c>
      <c r="N24" s="20">
        <v>29</v>
      </c>
      <c r="O24" s="20">
        <v>1</v>
      </c>
      <c r="P24" s="20">
        <v>1</v>
      </c>
      <c r="Q24" s="20">
        <v>2</v>
      </c>
      <c r="R24" s="20">
        <v>27</v>
      </c>
      <c r="S24" s="20">
        <v>1</v>
      </c>
      <c r="T24" s="20">
        <v>1</v>
      </c>
      <c r="U24" s="20">
        <v>2</v>
      </c>
      <c r="V24" s="20">
        <v>61</v>
      </c>
      <c r="W24" s="20">
        <v>433</v>
      </c>
      <c r="X24" s="20">
        <v>158</v>
      </c>
      <c r="Y24" s="20">
        <v>275</v>
      </c>
      <c r="Z24" s="20">
        <v>176</v>
      </c>
      <c r="AA24" s="20">
        <v>75</v>
      </c>
      <c r="AB24" s="20">
        <v>101</v>
      </c>
      <c r="AC24" s="20">
        <v>86</v>
      </c>
      <c r="AD24" s="20">
        <v>30</v>
      </c>
      <c r="AE24" s="20">
        <v>56</v>
      </c>
      <c r="AF24" s="20">
        <v>171</v>
      </c>
      <c r="AG24" s="20">
        <v>53</v>
      </c>
      <c r="AH24" s="20">
        <v>118</v>
      </c>
      <c r="AI24" s="20">
        <v>46757</v>
      </c>
      <c r="AJ24" s="20">
        <v>18017</v>
      </c>
      <c r="AK24" s="20">
        <v>28740</v>
      </c>
      <c r="AL24" s="20">
        <v>23240</v>
      </c>
      <c r="AM24" s="20">
        <v>9882</v>
      </c>
      <c r="AN24" s="20">
        <v>13358</v>
      </c>
      <c r="AO24" s="20">
        <v>5506</v>
      </c>
      <c r="AP24" s="20">
        <v>1930</v>
      </c>
      <c r="AQ24" s="20">
        <v>3576</v>
      </c>
      <c r="AR24" s="20">
        <v>18011</v>
      </c>
      <c r="AS24" s="20">
        <v>6205</v>
      </c>
      <c r="AT24" s="20">
        <v>11806</v>
      </c>
      <c r="AU24" s="20">
        <v>41936.5</v>
      </c>
      <c r="AV24" s="20">
        <v>17305</v>
      </c>
      <c r="AW24" s="20">
        <v>24631.5</v>
      </c>
      <c r="AX24" s="20">
        <v>21359.5</v>
      </c>
      <c r="AY24" s="20">
        <v>9968</v>
      </c>
      <c r="AZ24" s="20">
        <v>11391.5</v>
      </c>
      <c r="BA24" s="20">
        <v>4400.5</v>
      </c>
      <c r="BB24" s="20">
        <v>1615.5</v>
      </c>
      <c r="BC24" s="20">
        <v>2785</v>
      </c>
      <c r="BD24" s="20">
        <v>16176.5</v>
      </c>
      <c r="BE24" s="20">
        <v>5721.5</v>
      </c>
      <c r="BF24" s="20">
        <v>10455</v>
      </c>
    </row>
    <row r="25" spans="1:88" ht="21" customHeight="1">
      <c r="A25" s="53" t="s">
        <v>164</v>
      </c>
      <c r="B25" s="19" t="s">
        <v>19</v>
      </c>
      <c r="C25" s="20">
        <v>2</v>
      </c>
      <c r="D25" s="20">
        <v>70</v>
      </c>
      <c r="E25" s="20">
        <v>6</v>
      </c>
      <c r="F25" s="20">
        <v>64</v>
      </c>
      <c r="G25" s="20">
        <v>6</v>
      </c>
      <c r="H25" s="20">
        <v>58</v>
      </c>
      <c r="I25" s="20">
        <v>0</v>
      </c>
      <c r="J25" s="20">
        <v>6</v>
      </c>
      <c r="K25" s="20">
        <v>0</v>
      </c>
      <c r="L25" s="20">
        <v>0</v>
      </c>
      <c r="M25" s="20">
        <v>32</v>
      </c>
      <c r="N25" s="20">
        <v>10</v>
      </c>
      <c r="O25" s="20">
        <v>0</v>
      </c>
      <c r="P25" s="20">
        <v>0</v>
      </c>
      <c r="Q25" s="20">
        <v>14</v>
      </c>
      <c r="R25" s="20">
        <v>4</v>
      </c>
      <c r="S25" s="20">
        <v>18</v>
      </c>
      <c r="T25" s="20">
        <v>6</v>
      </c>
      <c r="U25" s="20">
        <v>9</v>
      </c>
      <c r="V25" s="20">
        <v>115</v>
      </c>
      <c r="W25" s="20">
        <v>254</v>
      </c>
      <c r="X25" s="20">
        <v>100</v>
      </c>
      <c r="Y25" s="20">
        <v>154</v>
      </c>
      <c r="Z25" s="20">
        <v>105</v>
      </c>
      <c r="AA25" s="20">
        <v>38</v>
      </c>
      <c r="AB25" s="20">
        <v>67</v>
      </c>
      <c r="AC25" s="20">
        <v>41</v>
      </c>
      <c r="AD25" s="20">
        <v>17</v>
      </c>
      <c r="AE25" s="20">
        <v>24</v>
      </c>
      <c r="AF25" s="20">
        <v>108</v>
      </c>
      <c r="AG25" s="20">
        <v>45</v>
      </c>
      <c r="AH25" s="20">
        <v>63</v>
      </c>
      <c r="AI25" s="20">
        <v>35938</v>
      </c>
      <c r="AJ25" s="20">
        <v>14865</v>
      </c>
      <c r="AK25" s="20">
        <v>21073</v>
      </c>
      <c r="AL25" s="20">
        <v>15416</v>
      </c>
      <c r="AM25" s="20">
        <v>5257</v>
      </c>
      <c r="AN25" s="20">
        <v>10159</v>
      </c>
      <c r="AO25" s="20">
        <v>6091</v>
      </c>
      <c r="AP25" s="20">
        <v>2746</v>
      </c>
      <c r="AQ25" s="20">
        <v>3345</v>
      </c>
      <c r="AR25" s="20">
        <v>14431</v>
      </c>
      <c r="AS25" s="20">
        <v>6862</v>
      </c>
      <c r="AT25" s="20">
        <v>7569</v>
      </c>
      <c r="AU25" s="20">
        <v>71637</v>
      </c>
      <c r="AV25" s="20">
        <v>30350</v>
      </c>
      <c r="AW25" s="20">
        <v>41287</v>
      </c>
      <c r="AX25" s="20">
        <v>32509</v>
      </c>
      <c r="AY25" s="20">
        <v>11545</v>
      </c>
      <c r="AZ25" s="20">
        <v>20964</v>
      </c>
      <c r="BA25" s="20">
        <v>13537</v>
      </c>
      <c r="BB25" s="20">
        <v>6618</v>
      </c>
      <c r="BC25" s="20">
        <v>6919</v>
      </c>
      <c r="BD25" s="20">
        <v>25591</v>
      </c>
      <c r="BE25" s="20">
        <v>12187</v>
      </c>
      <c r="BF25" s="20">
        <v>13404</v>
      </c>
    </row>
    <row r="26" spans="1:88" ht="21" customHeight="1">
      <c r="A26" s="53" t="s">
        <v>165</v>
      </c>
      <c r="B26" s="19" t="s">
        <v>20</v>
      </c>
      <c r="C26" s="20">
        <v>2</v>
      </c>
      <c r="D26" s="20">
        <v>57</v>
      </c>
      <c r="E26" s="20">
        <v>6</v>
      </c>
      <c r="F26" s="20">
        <v>51</v>
      </c>
      <c r="G26" s="20">
        <v>0</v>
      </c>
      <c r="H26" s="20">
        <v>0</v>
      </c>
      <c r="I26" s="20">
        <v>6</v>
      </c>
      <c r="J26" s="20">
        <v>51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5</v>
      </c>
      <c r="V26" s="20">
        <v>198</v>
      </c>
      <c r="W26" s="20">
        <v>242</v>
      </c>
      <c r="X26" s="20">
        <v>103</v>
      </c>
      <c r="Y26" s="20">
        <v>139</v>
      </c>
      <c r="Z26" s="20">
        <v>64</v>
      </c>
      <c r="AA26" s="20">
        <v>26</v>
      </c>
      <c r="AB26" s="20">
        <v>38</v>
      </c>
      <c r="AC26" s="20">
        <v>37</v>
      </c>
      <c r="AD26" s="20">
        <v>20</v>
      </c>
      <c r="AE26" s="20">
        <v>17</v>
      </c>
      <c r="AF26" s="20">
        <v>141</v>
      </c>
      <c r="AG26" s="20">
        <v>57</v>
      </c>
      <c r="AH26" s="20">
        <v>84</v>
      </c>
      <c r="AI26" s="20">
        <v>29158</v>
      </c>
      <c r="AJ26" s="20">
        <v>12580</v>
      </c>
      <c r="AK26" s="20">
        <v>16578</v>
      </c>
      <c r="AL26" s="20">
        <v>7632</v>
      </c>
      <c r="AM26" s="20">
        <v>3317</v>
      </c>
      <c r="AN26" s="20">
        <v>4315</v>
      </c>
      <c r="AO26" s="20">
        <v>5258</v>
      </c>
      <c r="AP26" s="20">
        <v>3225</v>
      </c>
      <c r="AQ26" s="20">
        <v>2033</v>
      </c>
      <c r="AR26" s="20">
        <v>16268</v>
      </c>
      <c r="AS26" s="20">
        <v>6038</v>
      </c>
      <c r="AT26" s="20">
        <v>10230</v>
      </c>
      <c r="AU26" s="20">
        <v>53458</v>
      </c>
      <c r="AV26" s="20">
        <v>22705</v>
      </c>
      <c r="AW26" s="20">
        <v>30753</v>
      </c>
      <c r="AX26" s="20">
        <v>12968.5</v>
      </c>
      <c r="AY26" s="20">
        <v>5732.5</v>
      </c>
      <c r="AZ26" s="20">
        <v>7236</v>
      </c>
      <c r="BA26" s="20">
        <v>9538</v>
      </c>
      <c r="BB26" s="20">
        <v>6175.5</v>
      </c>
      <c r="BC26" s="20">
        <v>3362.5</v>
      </c>
      <c r="BD26" s="20">
        <v>30951.5</v>
      </c>
      <c r="BE26" s="20">
        <v>10797</v>
      </c>
      <c r="BF26" s="20">
        <v>20154.5</v>
      </c>
    </row>
    <row r="27" spans="1:88" ht="21" customHeight="1">
      <c r="A27" s="53" t="s">
        <v>173</v>
      </c>
      <c r="B27" s="19" t="s">
        <v>4</v>
      </c>
      <c r="C27" s="20">
        <v>7</v>
      </c>
      <c r="D27" s="20">
        <v>191</v>
      </c>
      <c r="E27" s="20">
        <v>11</v>
      </c>
      <c r="F27" s="20">
        <v>180</v>
      </c>
      <c r="G27" s="20">
        <v>0</v>
      </c>
      <c r="H27" s="20">
        <v>1</v>
      </c>
      <c r="I27" s="20">
        <v>11</v>
      </c>
      <c r="J27" s="20">
        <v>179</v>
      </c>
      <c r="K27" s="20">
        <v>0</v>
      </c>
      <c r="L27" s="20">
        <v>0</v>
      </c>
      <c r="M27" s="20">
        <v>1</v>
      </c>
      <c r="N27" s="20">
        <v>40</v>
      </c>
      <c r="O27" s="20">
        <v>1</v>
      </c>
      <c r="P27" s="20">
        <v>40</v>
      </c>
      <c r="Q27" s="20">
        <v>0</v>
      </c>
      <c r="R27" s="20">
        <v>0</v>
      </c>
      <c r="S27" s="20">
        <v>0</v>
      </c>
      <c r="T27" s="20">
        <v>0</v>
      </c>
      <c r="U27" s="20">
        <v>24</v>
      </c>
      <c r="V27" s="20">
        <v>743</v>
      </c>
      <c r="W27" s="20">
        <v>1060</v>
      </c>
      <c r="X27" s="20">
        <v>422</v>
      </c>
      <c r="Y27" s="20">
        <v>638</v>
      </c>
      <c r="Z27" s="20">
        <v>342</v>
      </c>
      <c r="AA27" s="20">
        <v>167</v>
      </c>
      <c r="AB27" s="20">
        <v>175</v>
      </c>
      <c r="AC27" s="20">
        <v>63</v>
      </c>
      <c r="AD27" s="20">
        <v>24</v>
      </c>
      <c r="AE27" s="20">
        <v>39</v>
      </c>
      <c r="AF27" s="20">
        <v>655</v>
      </c>
      <c r="AG27" s="20">
        <v>231</v>
      </c>
      <c r="AH27" s="20">
        <v>424</v>
      </c>
      <c r="AI27" s="20">
        <v>94855</v>
      </c>
      <c r="AJ27" s="20">
        <v>40837</v>
      </c>
      <c r="AK27" s="20">
        <v>54018</v>
      </c>
      <c r="AL27" s="20">
        <v>32902</v>
      </c>
      <c r="AM27" s="20">
        <v>16649</v>
      </c>
      <c r="AN27" s="20">
        <v>16253</v>
      </c>
      <c r="AO27" s="20">
        <v>8814</v>
      </c>
      <c r="AP27" s="20">
        <v>3907</v>
      </c>
      <c r="AQ27" s="20">
        <v>4907</v>
      </c>
      <c r="AR27" s="20">
        <v>53139</v>
      </c>
      <c r="AS27" s="20">
        <v>20281</v>
      </c>
      <c r="AT27" s="20">
        <v>32858</v>
      </c>
      <c r="AU27" s="20">
        <v>199612.6</v>
      </c>
      <c r="AV27" s="20">
        <v>85878.8</v>
      </c>
      <c r="AW27" s="20">
        <v>113733.8</v>
      </c>
      <c r="AX27" s="20">
        <v>72462</v>
      </c>
      <c r="AY27" s="20">
        <v>36431</v>
      </c>
      <c r="AZ27" s="20">
        <v>36031</v>
      </c>
      <c r="BA27" s="20">
        <v>18432</v>
      </c>
      <c r="BB27" s="20">
        <v>8417</v>
      </c>
      <c r="BC27" s="20">
        <v>10015</v>
      </c>
      <c r="BD27" s="20">
        <v>108718.6</v>
      </c>
      <c r="BE27" s="20">
        <v>41030.800000000003</v>
      </c>
      <c r="BF27" s="20">
        <v>67687.8</v>
      </c>
    </row>
    <row r="28" spans="1:88" ht="21" customHeight="1">
      <c r="A28" s="53" t="s">
        <v>166</v>
      </c>
      <c r="B28" s="19" t="s">
        <v>21</v>
      </c>
      <c r="C28" s="20">
        <v>3</v>
      </c>
      <c r="D28" s="20">
        <v>52</v>
      </c>
      <c r="E28" s="20">
        <v>2</v>
      </c>
      <c r="F28" s="20">
        <v>50</v>
      </c>
      <c r="G28" s="20">
        <v>0</v>
      </c>
      <c r="H28" s="20">
        <v>12</v>
      </c>
      <c r="I28" s="20">
        <v>2</v>
      </c>
      <c r="J28" s="20">
        <v>38</v>
      </c>
      <c r="K28" s="20">
        <v>0</v>
      </c>
      <c r="L28" s="20">
        <v>0</v>
      </c>
      <c r="M28" s="20">
        <v>13</v>
      </c>
      <c r="N28" s="20">
        <v>110</v>
      </c>
      <c r="O28" s="20">
        <v>6</v>
      </c>
      <c r="P28" s="20">
        <v>77</v>
      </c>
      <c r="Q28" s="20">
        <v>6</v>
      </c>
      <c r="R28" s="20">
        <v>29</v>
      </c>
      <c r="S28" s="20">
        <v>1</v>
      </c>
      <c r="T28" s="20">
        <v>4</v>
      </c>
      <c r="U28" s="20">
        <v>38</v>
      </c>
      <c r="V28" s="20">
        <v>674</v>
      </c>
      <c r="W28" s="20">
        <v>298</v>
      </c>
      <c r="X28" s="20">
        <v>101</v>
      </c>
      <c r="Y28" s="20">
        <v>197</v>
      </c>
      <c r="Z28" s="20">
        <v>84</v>
      </c>
      <c r="AA28" s="20">
        <v>28</v>
      </c>
      <c r="AB28" s="20">
        <v>56</v>
      </c>
      <c r="AC28" s="20">
        <v>30</v>
      </c>
      <c r="AD28" s="20">
        <v>7</v>
      </c>
      <c r="AE28" s="20">
        <v>23</v>
      </c>
      <c r="AF28" s="20">
        <v>184</v>
      </c>
      <c r="AG28" s="20">
        <v>66</v>
      </c>
      <c r="AH28" s="20">
        <v>118</v>
      </c>
      <c r="AI28" s="20">
        <v>46679</v>
      </c>
      <c r="AJ28" s="20">
        <v>15409</v>
      </c>
      <c r="AK28" s="20">
        <v>31270</v>
      </c>
      <c r="AL28" s="20">
        <v>12732</v>
      </c>
      <c r="AM28" s="20">
        <v>4321</v>
      </c>
      <c r="AN28" s="20">
        <v>8411</v>
      </c>
      <c r="AO28" s="20">
        <v>3887</v>
      </c>
      <c r="AP28" s="20">
        <v>783</v>
      </c>
      <c r="AQ28" s="20">
        <v>3104</v>
      </c>
      <c r="AR28" s="20">
        <v>30060</v>
      </c>
      <c r="AS28" s="20">
        <v>10305</v>
      </c>
      <c r="AT28" s="20">
        <v>19755</v>
      </c>
      <c r="AU28" s="20">
        <v>64770.5</v>
      </c>
      <c r="AV28" s="20">
        <v>21164.5</v>
      </c>
      <c r="AW28" s="20">
        <v>43606</v>
      </c>
      <c r="AX28" s="20">
        <v>17765.5</v>
      </c>
      <c r="AY28" s="20">
        <v>5479</v>
      </c>
      <c r="AZ28" s="20">
        <v>12286.5</v>
      </c>
      <c r="BA28" s="20">
        <v>5072</v>
      </c>
      <c r="BB28" s="20">
        <v>1030</v>
      </c>
      <c r="BC28" s="20">
        <v>4042</v>
      </c>
      <c r="BD28" s="20">
        <v>41933</v>
      </c>
      <c r="BE28" s="20">
        <v>14655.5</v>
      </c>
      <c r="BF28" s="20">
        <v>27277.5</v>
      </c>
    </row>
    <row r="29" spans="1:88" ht="21" customHeight="1">
      <c r="A29" s="53" t="s">
        <v>174</v>
      </c>
      <c r="B29" s="19" t="s">
        <v>5</v>
      </c>
      <c r="C29" s="20">
        <v>4</v>
      </c>
      <c r="D29" s="20">
        <v>164</v>
      </c>
      <c r="E29" s="20">
        <v>9</v>
      </c>
      <c r="F29" s="20">
        <v>155</v>
      </c>
      <c r="G29" s="20">
        <v>4</v>
      </c>
      <c r="H29" s="20">
        <v>59</v>
      </c>
      <c r="I29" s="20">
        <v>5</v>
      </c>
      <c r="J29" s="20">
        <v>96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4</v>
      </c>
      <c r="V29" s="20">
        <v>138</v>
      </c>
      <c r="W29" s="20">
        <v>813</v>
      </c>
      <c r="X29" s="20">
        <v>305</v>
      </c>
      <c r="Y29" s="20">
        <v>508</v>
      </c>
      <c r="Z29" s="20">
        <v>101</v>
      </c>
      <c r="AA29" s="20">
        <v>49</v>
      </c>
      <c r="AB29" s="20">
        <v>52</v>
      </c>
      <c r="AC29" s="20">
        <v>158</v>
      </c>
      <c r="AD29" s="20">
        <v>73</v>
      </c>
      <c r="AE29" s="20">
        <v>85</v>
      </c>
      <c r="AF29" s="20">
        <v>554</v>
      </c>
      <c r="AG29" s="20">
        <v>183</v>
      </c>
      <c r="AH29" s="20">
        <v>371</v>
      </c>
      <c r="AI29" s="20">
        <v>111554</v>
      </c>
      <c r="AJ29" s="20">
        <v>43497</v>
      </c>
      <c r="AK29" s="20">
        <v>68057</v>
      </c>
      <c r="AL29" s="20">
        <v>15540</v>
      </c>
      <c r="AM29" s="20">
        <v>6663</v>
      </c>
      <c r="AN29" s="20">
        <v>8877</v>
      </c>
      <c r="AO29" s="20">
        <v>26375</v>
      </c>
      <c r="AP29" s="20">
        <v>13014</v>
      </c>
      <c r="AQ29" s="20">
        <v>13361</v>
      </c>
      <c r="AR29" s="20">
        <v>69639</v>
      </c>
      <c r="AS29" s="20">
        <v>23820</v>
      </c>
      <c r="AT29" s="20">
        <v>45819</v>
      </c>
      <c r="AU29" s="20">
        <v>200338</v>
      </c>
      <c r="AV29" s="20">
        <v>78804.5</v>
      </c>
      <c r="AW29" s="20">
        <v>121533.5</v>
      </c>
      <c r="AX29" s="20">
        <v>27608.5</v>
      </c>
      <c r="AY29" s="20">
        <v>12037.5</v>
      </c>
      <c r="AZ29" s="20">
        <v>15571</v>
      </c>
      <c r="BA29" s="20">
        <v>51972.5</v>
      </c>
      <c r="BB29" s="20">
        <v>25689</v>
      </c>
      <c r="BC29" s="20">
        <v>26283.5</v>
      </c>
      <c r="BD29" s="20">
        <v>120757</v>
      </c>
      <c r="BE29" s="20">
        <v>41078</v>
      </c>
      <c r="BF29" s="20">
        <v>79679</v>
      </c>
    </row>
    <row r="30" spans="1:88" s="18" customFormat="1" ht="16.5" customHeight="1">
      <c r="A30" s="52" t="s">
        <v>148</v>
      </c>
      <c r="B30" s="35" t="s">
        <v>3</v>
      </c>
      <c r="C30" s="41">
        <v>14</v>
      </c>
      <c r="D30" s="41">
        <v>463</v>
      </c>
      <c r="E30" s="41">
        <v>30</v>
      </c>
      <c r="F30" s="41">
        <v>433</v>
      </c>
      <c r="G30" s="41">
        <v>10</v>
      </c>
      <c r="H30" s="41">
        <v>141</v>
      </c>
      <c r="I30" s="41">
        <v>20</v>
      </c>
      <c r="J30" s="41">
        <v>292</v>
      </c>
      <c r="K30" s="41">
        <v>0</v>
      </c>
      <c r="L30" s="41">
        <v>0</v>
      </c>
      <c r="M30" s="41">
        <v>22</v>
      </c>
      <c r="N30" s="41">
        <v>13</v>
      </c>
      <c r="O30" s="41">
        <v>4</v>
      </c>
      <c r="P30" s="41">
        <v>2</v>
      </c>
      <c r="Q30" s="41">
        <v>10</v>
      </c>
      <c r="R30" s="41">
        <v>6</v>
      </c>
      <c r="S30" s="41">
        <v>8</v>
      </c>
      <c r="T30" s="41">
        <v>5</v>
      </c>
      <c r="U30" s="41">
        <v>135</v>
      </c>
      <c r="V30" s="41">
        <v>923</v>
      </c>
      <c r="W30" s="41">
        <v>1771</v>
      </c>
      <c r="X30" s="41">
        <v>814</v>
      </c>
      <c r="Y30" s="41">
        <v>957</v>
      </c>
      <c r="Z30" s="41">
        <v>439</v>
      </c>
      <c r="AA30" s="41">
        <v>245</v>
      </c>
      <c r="AB30" s="41">
        <v>194</v>
      </c>
      <c r="AC30" s="41">
        <v>141</v>
      </c>
      <c r="AD30" s="41">
        <v>61</v>
      </c>
      <c r="AE30" s="41">
        <v>80</v>
      </c>
      <c r="AF30" s="41">
        <v>1191</v>
      </c>
      <c r="AG30" s="41">
        <v>508</v>
      </c>
      <c r="AH30" s="41">
        <v>683</v>
      </c>
      <c r="AI30" s="41">
        <v>203459</v>
      </c>
      <c r="AJ30" s="41">
        <v>97268</v>
      </c>
      <c r="AK30" s="41">
        <v>106191</v>
      </c>
      <c r="AL30" s="41">
        <v>61812</v>
      </c>
      <c r="AM30" s="41">
        <v>34505</v>
      </c>
      <c r="AN30" s="41">
        <v>27307</v>
      </c>
      <c r="AO30" s="41">
        <v>17272</v>
      </c>
      <c r="AP30" s="41">
        <v>7095</v>
      </c>
      <c r="AQ30" s="41">
        <v>10177</v>
      </c>
      <c r="AR30" s="41">
        <v>124375</v>
      </c>
      <c r="AS30" s="41">
        <v>55668</v>
      </c>
      <c r="AT30" s="41">
        <v>68707</v>
      </c>
      <c r="AU30" s="41">
        <v>433857</v>
      </c>
      <c r="AV30" s="41">
        <v>206045</v>
      </c>
      <c r="AW30" s="41">
        <v>227812</v>
      </c>
      <c r="AX30" s="41">
        <v>130293.5</v>
      </c>
      <c r="AY30" s="41">
        <v>71490</v>
      </c>
      <c r="AZ30" s="41">
        <v>58803.5</v>
      </c>
      <c r="BA30" s="41">
        <v>35424</v>
      </c>
      <c r="BB30" s="41">
        <v>15002.5</v>
      </c>
      <c r="BC30" s="41">
        <v>20421.5</v>
      </c>
      <c r="BD30" s="41">
        <v>268139.5</v>
      </c>
      <c r="BE30" s="41">
        <v>119552.5</v>
      </c>
      <c r="BF30" s="41">
        <v>148587</v>
      </c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  <c r="CH30" s="30"/>
      <c r="CI30" s="30"/>
      <c r="CJ30" s="30"/>
    </row>
    <row r="31" spans="1:88" s="18" customFormat="1" ht="21" customHeight="1">
      <c r="A31" s="52" t="s">
        <v>151</v>
      </c>
      <c r="B31" s="35" t="s">
        <v>6</v>
      </c>
      <c r="C31" s="41">
        <v>7</v>
      </c>
      <c r="D31" s="41">
        <v>256</v>
      </c>
      <c r="E31" s="41">
        <v>16</v>
      </c>
      <c r="F31" s="41">
        <v>240</v>
      </c>
      <c r="G31" s="41">
        <v>7</v>
      </c>
      <c r="H31" s="41">
        <v>89</v>
      </c>
      <c r="I31" s="41">
        <v>8</v>
      </c>
      <c r="J31" s="41">
        <v>100</v>
      </c>
      <c r="K31" s="41">
        <v>1</v>
      </c>
      <c r="L31" s="41">
        <v>51</v>
      </c>
      <c r="M31" s="41">
        <v>2</v>
      </c>
      <c r="N31" s="41">
        <v>39</v>
      </c>
      <c r="O31" s="41">
        <v>1</v>
      </c>
      <c r="P31" s="41">
        <v>24</v>
      </c>
      <c r="Q31" s="41">
        <v>0</v>
      </c>
      <c r="R31" s="41">
        <v>0</v>
      </c>
      <c r="S31" s="41">
        <v>1</v>
      </c>
      <c r="T31" s="41">
        <v>15</v>
      </c>
      <c r="U31" s="41">
        <v>11</v>
      </c>
      <c r="V31" s="41">
        <v>409</v>
      </c>
      <c r="W31" s="41">
        <v>1350</v>
      </c>
      <c r="X31" s="41">
        <v>557</v>
      </c>
      <c r="Y31" s="41">
        <v>793</v>
      </c>
      <c r="Z31" s="41">
        <v>411</v>
      </c>
      <c r="AA31" s="41">
        <v>148</v>
      </c>
      <c r="AB31" s="41">
        <v>263</v>
      </c>
      <c r="AC31" s="41">
        <v>217</v>
      </c>
      <c r="AD31" s="41">
        <v>126</v>
      </c>
      <c r="AE31" s="41">
        <v>91</v>
      </c>
      <c r="AF31" s="41">
        <v>722</v>
      </c>
      <c r="AG31" s="41">
        <v>283</v>
      </c>
      <c r="AH31" s="41">
        <v>439</v>
      </c>
      <c r="AI31" s="41">
        <v>179852</v>
      </c>
      <c r="AJ31" s="41">
        <v>75787</v>
      </c>
      <c r="AK31" s="41">
        <v>104065</v>
      </c>
      <c r="AL31" s="41">
        <v>61837</v>
      </c>
      <c r="AM31" s="41">
        <v>23374</v>
      </c>
      <c r="AN31" s="41">
        <v>38463</v>
      </c>
      <c r="AO31" s="41">
        <v>30280</v>
      </c>
      <c r="AP31" s="41">
        <v>17563</v>
      </c>
      <c r="AQ31" s="41">
        <v>12717</v>
      </c>
      <c r="AR31" s="41">
        <v>87735</v>
      </c>
      <c r="AS31" s="41">
        <v>34850</v>
      </c>
      <c r="AT31" s="41">
        <v>52885</v>
      </c>
      <c r="AU31" s="41">
        <v>349475.5</v>
      </c>
      <c r="AV31" s="41">
        <v>144896.5</v>
      </c>
      <c r="AW31" s="41">
        <v>204579</v>
      </c>
      <c r="AX31" s="41">
        <v>119641.5</v>
      </c>
      <c r="AY31" s="41">
        <v>44896.5</v>
      </c>
      <c r="AZ31" s="41">
        <v>74745</v>
      </c>
      <c r="BA31" s="41">
        <v>57965.5</v>
      </c>
      <c r="BB31" s="41">
        <v>33266.5</v>
      </c>
      <c r="BC31" s="41">
        <v>24699</v>
      </c>
      <c r="BD31" s="41">
        <v>171868.5</v>
      </c>
      <c r="BE31" s="41">
        <v>66733.5</v>
      </c>
      <c r="BF31" s="41">
        <v>105135</v>
      </c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  <c r="CH31" s="30"/>
      <c r="CI31" s="30"/>
      <c r="CJ31" s="30"/>
    </row>
    <row r="32" spans="1:88" ht="21" customHeight="1">
      <c r="A32" s="53" t="s">
        <v>167</v>
      </c>
      <c r="B32" s="19" t="s">
        <v>22</v>
      </c>
      <c r="C32" s="20">
        <v>1</v>
      </c>
      <c r="D32" s="20">
        <v>83</v>
      </c>
      <c r="E32" s="20">
        <v>4</v>
      </c>
      <c r="F32" s="20">
        <v>79</v>
      </c>
      <c r="G32" s="20">
        <v>3</v>
      </c>
      <c r="H32" s="20">
        <v>57</v>
      </c>
      <c r="I32" s="20">
        <v>1</v>
      </c>
      <c r="J32" s="20">
        <v>22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1</v>
      </c>
      <c r="V32" s="20">
        <v>59</v>
      </c>
      <c r="W32" s="20">
        <v>166</v>
      </c>
      <c r="X32" s="20">
        <v>66</v>
      </c>
      <c r="Y32" s="20">
        <v>100</v>
      </c>
      <c r="Z32" s="20">
        <v>15</v>
      </c>
      <c r="AA32" s="20">
        <v>9</v>
      </c>
      <c r="AB32" s="20">
        <v>6</v>
      </c>
      <c r="AC32" s="20">
        <v>8</v>
      </c>
      <c r="AD32" s="20">
        <v>5</v>
      </c>
      <c r="AE32" s="20">
        <v>3</v>
      </c>
      <c r="AF32" s="20">
        <v>143</v>
      </c>
      <c r="AG32" s="20">
        <v>52</v>
      </c>
      <c r="AH32" s="20">
        <v>91</v>
      </c>
      <c r="AI32" s="20">
        <v>25125</v>
      </c>
      <c r="AJ32" s="20">
        <v>10393</v>
      </c>
      <c r="AK32" s="20">
        <v>14732</v>
      </c>
      <c r="AL32" s="20">
        <v>2844</v>
      </c>
      <c r="AM32" s="20">
        <v>1422</v>
      </c>
      <c r="AN32" s="20">
        <v>1422</v>
      </c>
      <c r="AO32" s="20">
        <v>1074</v>
      </c>
      <c r="AP32" s="20">
        <v>468</v>
      </c>
      <c r="AQ32" s="20">
        <v>606</v>
      </c>
      <c r="AR32" s="20">
        <v>21207</v>
      </c>
      <c r="AS32" s="20">
        <v>8503</v>
      </c>
      <c r="AT32" s="20">
        <v>12704</v>
      </c>
      <c r="AU32" s="20">
        <v>54773</v>
      </c>
      <c r="AV32" s="20">
        <v>20897</v>
      </c>
      <c r="AW32" s="20">
        <v>33876</v>
      </c>
      <c r="AX32" s="20">
        <v>7890</v>
      </c>
      <c r="AY32" s="20">
        <v>4200</v>
      </c>
      <c r="AZ32" s="20">
        <v>3690</v>
      </c>
      <c r="BA32" s="20">
        <v>2902</v>
      </c>
      <c r="BB32" s="20">
        <v>1702</v>
      </c>
      <c r="BC32" s="20">
        <v>1200</v>
      </c>
      <c r="BD32" s="20">
        <v>43981</v>
      </c>
      <c r="BE32" s="20">
        <v>14995</v>
      </c>
      <c r="BF32" s="20">
        <v>28986</v>
      </c>
    </row>
    <row r="33" spans="1:58" ht="21" customHeight="1">
      <c r="A33" s="54" t="s">
        <v>168</v>
      </c>
      <c r="B33" s="21" t="s">
        <v>23</v>
      </c>
      <c r="C33" s="22">
        <v>0</v>
      </c>
      <c r="D33" s="22">
        <v>10</v>
      </c>
      <c r="E33" s="22">
        <v>0</v>
      </c>
      <c r="F33" s="22">
        <v>10</v>
      </c>
      <c r="G33" s="22">
        <v>0</v>
      </c>
      <c r="H33" s="22">
        <v>0</v>
      </c>
      <c r="I33" s="22">
        <v>0</v>
      </c>
      <c r="J33" s="22">
        <v>10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24</v>
      </c>
      <c r="X33" s="22">
        <v>11</v>
      </c>
      <c r="Y33" s="22">
        <v>13</v>
      </c>
      <c r="Z33" s="22">
        <v>3</v>
      </c>
      <c r="AA33" s="22">
        <v>2</v>
      </c>
      <c r="AB33" s="22">
        <v>1</v>
      </c>
      <c r="AC33" s="22">
        <v>3</v>
      </c>
      <c r="AD33" s="22">
        <v>2</v>
      </c>
      <c r="AE33" s="22">
        <v>1</v>
      </c>
      <c r="AF33" s="22">
        <v>18</v>
      </c>
      <c r="AG33" s="22">
        <v>7</v>
      </c>
      <c r="AH33" s="22">
        <v>11</v>
      </c>
      <c r="AI33" s="22">
        <v>3954</v>
      </c>
      <c r="AJ33" s="22">
        <v>1457</v>
      </c>
      <c r="AK33" s="22">
        <v>2497</v>
      </c>
      <c r="AL33" s="22">
        <v>354</v>
      </c>
      <c r="AM33" s="22">
        <v>232</v>
      </c>
      <c r="AN33" s="22">
        <v>122</v>
      </c>
      <c r="AO33" s="22">
        <v>405</v>
      </c>
      <c r="AP33" s="22">
        <v>290</v>
      </c>
      <c r="AQ33" s="22">
        <v>115</v>
      </c>
      <c r="AR33" s="22">
        <v>3195</v>
      </c>
      <c r="AS33" s="22">
        <v>935</v>
      </c>
      <c r="AT33" s="22">
        <v>2260</v>
      </c>
      <c r="AU33" s="22">
        <v>7786</v>
      </c>
      <c r="AV33" s="22">
        <v>3204</v>
      </c>
      <c r="AW33" s="22">
        <v>4582</v>
      </c>
      <c r="AX33" s="22">
        <v>772</v>
      </c>
      <c r="AY33" s="22">
        <v>650</v>
      </c>
      <c r="AZ33" s="22">
        <v>122</v>
      </c>
      <c r="BA33" s="22">
        <v>796</v>
      </c>
      <c r="BB33" s="22">
        <v>626</v>
      </c>
      <c r="BC33" s="22">
        <v>170</v>
      </c>
      <c r="BD33" s="22">
        <v>6218</v>
      </c>
      <c r="BE33" s="22">
        <v>1928</v>
      </c>
      <c r="BF33" s="22">
        <v>4290</v>
      </c>
    </row>
    <row r="34" spans="1:58" ht="21" customHeight="1">
      <c r="A34" s="14" t="s">
        <v>77</v>
      </c>
      <c r="B34" s="24"/>
    </row>
    <row r="35" spans="1:58" ht="21" customHeight="1">
      <c r="A35" s="15" t="s">
        <v>2</v>
      </c>
      <c r="B35" s="15"/>
    </row>
  </sheetData>
  <mergeCells count="73">
    <mergeCell ref="AU4:BF4"/>
    <mergeCell ref="AL5:AN5"/>
    <mergeCell ref="W6:W7"/>
    <mergeCell ref="X6:X7"/>
    <mergeCell ref="A2:C2"/>
    <mergeCell ref="C3:C7"/>
    <mergeCell ref="M3:V3"/>
    <mergeCell ref="W3:BF3"/>
    <mergeCell ref="M4:T4"/>
    <mergeCell ref="U4:V4"/>
    <mergeCell ref="AX5:AZ5"/>
    <mergeCell ref="BA5:BC5"/>
    <mergeCell ref="BD5:BF5"/>
    <mergeCell ref="Z5:AB5"/>
    <mergeCell ref="AC5:AE5"/>
    <mergeCell ref="AF5:AH5"/>
    <mergeCell ref="AO5:AQ5"/>
    <mergeCell ref="AR5:AT5"/>
    <mergeCell ref="BF6:BF7"/>
    <mergeCell ref="BA6:BA7"/>
    <mergeCell ref="AT6:AT7"/>
    <mergeCell ref="AU6:AU7"/>
    <mergeCell ref="AW6:AW7"/>
    <mergeCell ref="AX6:AX7"/>
    <mergeCell ref="AY6:AY7"/>
    <mergeCell ref="AV6:AV7"/>
    <mergeCell ref="BB6:BB7"/>
    <mergeCell ref="BC6:BC7"/>
    <mergeCell ref="BD6:BD7"/>
    <mergeCell ref="BE6:BE7"/>
    <mergeCell ref="AZ6:AZ7"/>
    <mergeCell ref="AJ6:AJ7"/>
    <mergeCell ref="AK6:AK7"/>
    <mergeCell ref="AS6:AS7"/>
    <mergeCell ref="AL6:AL7"/>
    <mergeCell ref="AM6:AM7"/>
    <mergeCell ref="AN6:AN7"/>
    <mergeCell ref="AO6:AO7"/>
    <mergeCell ref="AE6:AE7"/>
    <mergeCell ref="AF6:AF7"/>
    <mergeCell ref="AG6:AG7"/>
    <mergeCell ref="AH6:AH7"/>
    <mergeCell ref="AA6:AA7"/>
    <mergeCell ref="AB6:AB7"/>
    <mergeCell ref="AC6:AC7"/>
    <mergeCell ref="AD6:AD7"/>
    <mergeCell ref="AI6:AI7"/>
    <mergeCell ref="AP6:AP7"/>
    <mergeCell ref="AQ6:AQ7"/>
    <mergeCell ref="AR6:AR7"/>
    <mergeCell ref="A3:B7"/>
    <mergeCell ref="G5:H5"/>
    <mergeCell ref="W4:AH4"/>
    <mergeCell ref="AI4:AT4"/>
    <mergeCell ref="M5:N5"/>
    <mergeCell ref="O5:P5"/>
    <mergeCell ref="Q5:R5"/>
    <mergeCell ref="S5:T5"/>
    <mergeCell ref="U5:U7"/>
    <mergeCell ref="V5:V7"/>
    <mergeCell ref="Y6:Y7"/>
    <mergeCell ref="Z6:Z7"/>
    <mergeCell ref="I5:J5"/>
    <mergeCell ref="K5:L5"/>
    <mergeCell ref="D6:D7"/>
    <mergeCell ref="E6:E7"/>
    <mergeCell ref="F6:F7"/>
    <mergeCell ref="G6:G7"/>
    <mergeCell ref="H6:H7"/>
    <mergeCell ref="I6:I7"/>
    <mergeCell ref="J6:J7"/>
    <mergeCell ref="K6:K7"/>
    <mergeCell ref="L6:L7"/>
  </mergeCells>
  <phoneticPr fontId="6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9" fitToWidth="10" orientation="landscape" useFirstPageNumber="1" horizontalDpi="4294967292" verticalDpi="300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CW34"/>
  <sheetViews>
    <sheetView topLeftCell="A25" zoomScaleNormal="100" zoomScaleSheetLayoutView="75" workbookViewId="0">
      <selection activeCell="J42" sqref="J42"/>
    </sheetView>
  </sheetViews>
  <sheetFormatPr defaultColWidth="12" defaultRowHeight="12.75"/>
  <cols>
    <col min="1" max="1" width="19" style="3" customWidth="1"/>
    <col min="2" max="2" width="12.1640625" style="3" customWidth="1"/>
    <col min="3" max="75" width="13.33203125" style="3" customWidth="1"/>
    <col min="76" max="256" width="12" style="3"/>
    <col min="257" max="257" width="19" style="3" customWidth="1"/>
    <col min="258" max="258" width="12.1640625" style="3" customWidth="1"/>
    <col min="259" max="331" width="13.33203125" style="3" customWidth="1"/>
    <col min="332" max="512" width="12" style="3"/>
    <col min="513" max="513" width="19" style="3" customWidth="1"/>
    <col min="514" max="514" width="12.1640625" style="3" customWidth="1"/>
    <col min="515" max="587" width="13.33203125" style="3" customWidth="1"/>
    <col min="588" max="768" width="12" style="3"/>
    <col min="769" max="769" width="19" style="3" customWidth="1"/>
    <col min="770" max="770" width="12.1640625" style="3" customWidth="1"/>
    <col min="771" max="843" width="13.33203125" style="3" customWidth="1"/>
    <col min="844" max="1024" width="12" style="3"/>
    <col min="1025" max="1025" width="19" style="3" customWidth="1"/>
    <col min="1026" max="1026" width="12.1640625" style="3" customWidth="1"/>
    <col min="1027" max="1099" width="13.33203125" style="3" customWidth="1"/>
    <col min="1100" max="1280" width="12" style="3"/>
    <col min="1281" max="1281" width="19" style="3" customWidth="1"/>
    <col min="1282" max="1282" width="12.1640625" style="3" customWidth="1"/>
    <col min="1283" max="1355" width="13.33203125" style="3" customWidth="1"/>
    <col min="1356" max="1536" width="12" style="3"/>
    <col min="1537" max="1537" width="19" style="3" customWidth="1"/>
    <col min="1538" max="1538" width="12.1640625" style="3" customWidth="1"/>
    <col min="1539" max="1611" width="13.33203125" style="3" customWidth="1"/>
    <col min="1612" max="1792" width="12" style="3"/>
    <col min="1793" max="1793" width="19" style="3" customWidth="1"/>
    <col min="1794" max="1794" width="12.1640625" style="3" customWidth="1"/>
    <col min="1795" max="1867" width="13.33203125" style="3" customWidth="1"/>
    <col min="1868" max="2048" width="12" style="3"/>
    <col min="2049" max="2049" width="19" style="3" customWidth="1"/>
    <col min="2050" max="2050" width="12.1640625" style="3" customWidth="1"/>
    <col min="2051" max="2123" width="13.33203125" style="3" customWidth="1"/>
    <col min="2124" max="2304" width="12" style="3"/>
    <col min="2305" max="2305" width="19" style="3" customWidth="1"/>
    <col min="2306" max="2306" width="12.1640625" style="3" customWidth="1"/>
    <col min="2307" max="2379" width="13.33203125" style="3" customWidth="1"/>
    <col min="2380" max="2560" width="12" style="3"/>
    <col min="2561" max="2561" width="19" style="3" customWidth="1"/>
    <col min="2562" max="2562" width="12.1640625" style="3" customWidth="1"/>
    <col min="2563" max="2635" width="13.33203125" style="3" customWidth="1"/>
    <col min="2636" max="2816" width="12" style="3"/>
    <col min="2817" max="2817" width="19" style="3" customWidth="1"/>
    <col min="2818" max="2818" width="12.1640625" style="3" customWidth="1"/>
    <col min="2819" max="2891" width="13.33203125" style="3" customWidth="1"/>
    <col min="2892" max="3072" width="12" style="3"/>
    <col min="3073" max="3073" width="19" style="3" customWidth="1"/>
    <col min="3074" max="3074" width="12.1640625" style="3" customWidth="1"/>
    <col min="3075" max="3147" width="13.33203125" style="3" customWidth="1"/>
    <col min="3148" max="3328" width="12" style="3"/>
    <col min="3329" max="3329" width="19" style="3" customWidth="1"/>
    <col min="3330" max="3330" width="12.1640625" style="3" customWidth="1"/>
    <col min="3331" max="3403" width="13.33203125" style="3" customWidth="1"/>
    <col min="3404" max="3584" width="12" style="3"/>
    <col min="3585" max="3585" width="19" style="3" customWidth="1"/>
    <col min="3586" max="3586" width="12.1640625" style="3" customWidth="1"/>
    <col min="3587" max="3659" width="13.33203125" style="3" customWidth="1"/>
    <col min="3660" max="3840" width="12" style="3"/>
    <col min="3841" max="3841" width="19" style="3" customWidth="1"/>
    <col min="3842" max="3842" width="12.1640625" style="3" customWidth="1"/>
    <col min="3843" max="3915" width="13.33203125" style="3" customWidth="1"/>
    <col min="3916" max="4096" width="12" style="3"/>
    <col min="4097" max="4097" width="19" style="3" customWidth="1"/>
    <col min="4098" max="4098" width="12.1640625" style="3" customWidth="1"/>
    <col min="4099" max="4171" width="13.33203125" style="3" customWidth="1"/>
    <col min="4172" max="4352" width="12" style="3"/>
    <col min="4353" max="4353" width="19" style="3" customWidth="1"/>
    <col min="4354" max="4354" width="12.1640625" style="3" customWidth="1"/>
    <col min="4355" max="4427" width="13.33203125" style="3" customWidth="1"/>
    <col min="4428" max="4608" width="12" style="3"/>
    <col min="4609" max="4609" width="19" style="3" customWidth="1"/>
    <col min="4610" max="4610" width="12.1640625" style="3" customWidth="1"/>
    <col min="4611" max="4683" width="13.33203125" style="3" customWidth="1"/>
    <col min="4684" max="4864" width="12" style="3"/>
    <col min="4865" max="4865" width="19" style="3" customWidth="1"/>
    <col min="4866" max="4866" width="12.1640625" style="3" customWidth="1"/>
    <col min="4867" max="4939" width="13.33203125" style="3" customWidth="1"/>
    <col min="4940" max="5120" width="12" style="3"/>
    <col min="5121" max="5121" width="19" style="3" customWidth="1"/>
    <col min="5122" max="5122" width="12.1640625" style="3" customWidth="1"/>
    <col min="5123" max="5195" width="13.33203125" style="3" customWidth="1"/>
    <col min="5196" max="5376" width="12" style="3"/>
    <col min="5377" max="5377" width="19" style="3" customWidth="1"/>
    <col min="5378" max="5378" width="12.1640625" style="3" customWidth="1"/>
    <col min="5379" max="5451" width="13.33203125" style="3" customWidth="1"/>
    <col min="5452" max="5632" width="12" style="3"/>
    <col min="5633" max="5633" width="19" style="3" customWidth="1"/>
    <col min="5634" max="5634" width="12.1640625" style="3" customWidth="1"/>
    <col min="5635" max="5707" width="13.33203125" style="3" customWidth="1"/>
    <col min="5708" max="5888" width="12" style="3"/>
    <col min="5889" max="5889" width="19" style="3" customWidth="1"/>
    <col min="5890" max="5890" width="12.1640625" style="3" customWidth="1"/>
    <col min="5891" max="5963" width="13.33203125" style="3" customWidth="1"/>
    <col min="5964" max="6144" width="12" style="3"/>
    <col min="6145" max="6145" width="19" style="3" customWidth="1"/>
    <col min="6146" max="6146" width="12.1640625" style="3" customWidth="1"/>
    <col min="6147" max="6219" width="13.33203125" style="3" customWidth="1"/>
    <col min="6220" max="6400" width="12" style="3"/>
    <col min="6401" max="6401" width="19" style="3" customWidth="1"/>
    <col min="6402" max="6402" width="12.1640625" style="3" customWidth="1"/>
    <col min="6403" max="6475" width="13.33203125" style="3" customWidth="1"/>
    <col min="6476" max="6656" width="12" style="3"/>
    <col min="6657" max="6657" width="19" style="3" customWidth="1"/>
    <col min="6658" max="6658" width="12.1640625" style="3" customWidth="1"/>
    <col min="6659" max="6731" width="13.33203125" style="3" customWidth="1"/>
    <col min="6732" max="6912" width="12" style="3"/>
    <col min="6913" max="6913" width="19" style="3" customWidth="1"/>
    <col min="6914" max="6914" width="12.1640625" style="3" customWidth="1"/>
    <col min="6915" max="6987" width="13.33203125" style="3" customWidth="1"/>
    <col min="6988" max="7168" width="12" style="3"/>
    <col min="7169" max="7169" width="19" style="3" customWidth="1"/>
    <col min="7170" max="7170" width="12.1640625" style="3" customWidth="1"/>
    <col min="7171" max="7243" width="13.33203125" style="3" customWidth="1"/>
    <col min="7244" max="7424" width="12" style="3"/>
    <col min="7425" max="7425" width="19" style="3" customWidth="1"/>
    <col min="7426" max="7426" width="12.1640625" style="3" customWidth="1"/>
    <col min="7427" max="7499" width="13.33203125" style="3" customWidth="1"/>
    <col min="7500" max="7680" width="12" style="3"/>
    <col min="7681" max="7681" width="19" style="3" customWidth="1"/>
    <col min="7682" max="7682" width="12.1640625" style="3" customWidth="1"/>
    <col min="7683" max="7755" width="13.33203125" style="3" customWidth="1"/>
    <col min="7756" max="7936" width="12" style="3"/>
    <col min="7937" max="7937" width="19" style="3" customWidth="1"/>
    <col min="7938" max="7938" width="12.1640625" style="3" customWidth="1"/>
    <col min="7939" max="8011" width="13.33203125" style="3" customWidth="1"/>
    <col min="8012" max="8192" width="12" style="3"/>
    <col min="8193" max="8193" width="19" style="3" customWidth="1"/>
    <col min="8194" max="8194" width="12.1640625" style="3" customWidth="1"/>
    <col min="8195" max="8267" width="13.33203125" style="3" customWidth="1"/>
    <col min="8268" max="8448" width="12" style="3"/>
    <col min="8449" max="8449" width="19" style="3" customWidth="1"/>
    <col min="8450" max="8450" width="12.1640625" style="3" customWidth="1"/>
    <col min="8451" max="8523" width="13.33203125" style="3" customWidth="1"/>
    <col min="8524" max="8704" width="12" style="3"/>
    <col min="8705" max="8705" width="19" style="3" customWidth="1"/>
    <col min="8706" max="8706" width="12.1640625" style="3" customWidth="1"/>
    <col min="8707" max="8779" width="13.33203125" style="3" customWidth="1"/>
    <col min="8780" max="8960" width="12" style="3"/>
    <col min="8961" max="8961" width="19" style="3" customWidth="1"/>
    <col min="8962" max="8962" width="12.1640625" style="3" customWidth="1"/>
    <col min="8963" max="9035" width="13.33203125" style="3" customWidth="1"/>
    <col min="9036" max="9216" width="12" style="3"/>
    <col min="9217" max="9217" width="19" style="3" customWidth="1"/>
    <col min="9218" max="9218" width="12.1640625" style="3" customWidth="1"/>
    <col min="9219" max="9291" width="13.33203125" style="3" customWidth="1"/>
    <col min="9292" max="9472" width="12" style="3"/>
    <col min="9473" max="9473" width="19" style="3" customWidth="1"/>
    <col min="9474" max="9474" width="12.1640625" style="3" customWidth="1"/>
    <col min="9475" max="9547" width="13.33203125" style="3" customWidth="1"/>
    <col min="9548" max="9728" width="12" style="3"/>
    <col min="9729" max="9729" width="19" style="3" customWidth="1"/>
    <col min="9730" max="9730" width="12.1640625" style="3" customWidth="1"/>
    <col min="9731" max="9803" width="13.33203125" style="3" customWidth="1"/>
    <col min="9804" max="9984" width="12" style="3"/>
    <col min="9985" max="9985" width="19" style="3" customWidth="1"/>
    <col min="9986" max="9986" width="12.1640625" style="3" customWidth="1"/>
    <col min="9987" max="10059" width="13.33203125" style="3" customWidth="1"/>
    <col min="10060" max="10240" width="12" style="3"/>
    <col min="10241" max="10241" width="19" style="3" customWidth="1"/>
    <col min="10242" max="10242" width="12.1640625" style="3" customWidth="1"/>
    <col min="10243" max="10315" width="13.33203125" style="3" customWidth="1"/>
    <col min="10316" max="10496" width="12" style="3"/>
    <col min="10497" max="10497" width="19" style="3" customWidth="1"/>
    <col min="10498" max="10498" width="12.1640625" style="3" customWidth="1"/>
    <col min="10499" max="10571" width="13.33203125" style="3" customWidth="1"/>
    <col min="10572" max="10752" width="12" style="3"/>
    <col min="10753" max="10753" width="19" style="3" customWidth="1"/>
    <col min="10754" max="10754" width="12.1640625" style="3" customWidth="1"/>
    <col min="10755" max="10827" width="13.33203125" style="3" customWidth="1"/>
    <col min="10828" max="11008" width="12" style="3"/>
    <col min="11009" max="11009" width="19" style="3" customWidth="1"/>
    <col min="11010" max="11010" width="12.1640625" style="3" customWidth="1"/>
    <col min="11011" max="11083" width="13.33203125" style="3" customWidth="1"/>
    <col min="11084" max="11264" width="12" style="3"/>
    <col min="11265" max="11265" width="19" style="3" customWidth="1"/>
    <col min="11266" max="11266" width="12.1640625" style="3" customWidth="1"/>
    <col min="11267" max="11339" width="13.33203125" style="3" customWidth="1"/>
    <col min="11340" max="11520" width="12" style="3"/>
    <col min="11521" max="11521" width="19" style="3" customWidth="1"/>
    <col min="11522" max="11522" width="12.1640625" style="3" customWidth="1"/>
    <col min="11523" max="11595" width="13.33203125" style="3" customWidth="1"/>
    <col min="11596" max="11776" width="12" style="3"/>
    <col min="11777" max="11777" width="19" style="3" customWidth="1"/>
    <col min="11778" max="11778" width="12.1640625" style="3" customWidth="1"/>
    <col min="11779" max="11851" width="13.33203125" style="3" customWidth="1"/>
    <col min="11852" max="12032" width="12" style="3"/>
    <col min="12033" max="12033" width="19" style="3" customWidth="1"/>
    <col min="12034" max="12034" width="12.1640625" style="3" customWidth="1"/>
    <col min="12035" max="12107" width="13.33203125" style="3" customWidth="1"/>
    <col min="12108" max="12288" width="12" style="3"/>
    <col min="12289" max="12289" width="19" style="3" customWidth="1"/>
    <col min="12290" max="12290" width="12.1640625" style="3" customWidth="1"/>
    <col min="12291" max="12363" width="13.33203125" style="3" customWidth="1"/>
    <col min="12364" max="12544" width="12" style="3"/>
    <col min="12545" max="12545" width="19" style="3" customWidth="1"/>
    <col min="12546" max="12546" width="12.1640625" style="3" customWidth="1"/>
    <col min="12547" max="12619" width="13.33203125" style="3" customWidth="1"/>
    <col min="12620" max="12800" width="12" style="3"/>
    <col min="12801" max="12801" width="19" style="3" customWidth="1"/>
    <col min="12802" max="12802" width="12.1640625" style="3" customWidth="1"/>
    <col min="12803" max="12875" width="13.33203125" style="3" customWidth="1"/>
    <col min="12876" max="13056" width="12" style="3"/>
    <col min="13057" max="13057" width="19" style="3" customWidth="1"/>
    <col min="13058" max="13058" width="12.1640625" style="3" customWidth="1"/>
    <col min="13059" max="13131" width="13.33203125" style="3" customWidth="1"/>
    <col min="13132" max="13312" width="12" style="3"/>
    <col min="13313" max="13313" width="19" style="3" customWidth="1"/>
    <col min="13314" max="13314" width="12.1640625" style="3" customWidth="1"/>
    <col min="13315" max="13387" width="13.33203125" style="3" customWidth="1"/>
    <col min="13388" max="13568" width="12" style="3"/>
    <col min="13569" max="13569" width="19" style="3" customWidth="1"/>
    <col min="13570" max="13570" width="12.1640625" style="3" customWidth="1"/>
    <col min="13571" max="13643" width="13.33203125" style="3" customWidth="1"/>
    <col min="13644" max="13824" width="12" style="3"/>
    <col min="13825" max="13825" width="19" style="3" customWidth="1"/>
    <col min="13826" max="13826" width="12.1640625" style="3" customWidth="1"/>
    <col min="13827" max="13899" width="13.33203125" style="3" customWidth="1"/>
    <col min="13900" max="14080" width="12" style="3"/>
    <col min="14081" max="14081" width="19" style="3" customWidth="1"/>
    <col min="14082" max="14082" width="12.1640625" style="3" customWidth="1"/>
    <col min="14083" max="14155" width="13.33203125" style="3" customWidth="1"/>
    <col min="14156" max="14336" width="12" style="3"/>
    <col min="14337" max="14337" width="19" style="3" customWidth="1"/>
    <col min="14338" max="14338" width="12.1640625" style="3" customWidth="1"/>
    <col min="14339" max="14411" width="13.33203125" style="3" customWidth="1"/>
    <col min="14412" max="14592" width="12" style="3"/>
    <col min="14593" max="14593" width="19" style="3" customWidth="1"/>
    <col min="14594" max="14594" width="12.1640625" style="3" customWidth="1"/>
    <col min="14595" max="14667" width="13.33203125" style="3" customWidth="1"/>
    <col min="14668" max="14848" width="12" style="3"/>
    <col min="14849" max="14849" width="19" style="3" customWidth="1"/>
    <col min="14850" max="14850" width="12.1640625" style="3" customWidth="1"/>
    <col min="14851" max="14923" width="13.33203125" style="3" customWidth="1"/>
    <col min="14924" max="15104" width="12" style="3"/>
    <col min="15105" max="15105" width="19" style="3" customWidth="1"/>
    <col min="15106" max="15106" width="12.1640625" style="3" customWidth="1"/>
    <col min="15107" max="15179" width="13.33203125" style="3" customWidth="1"/>
    <col min="15180" max="15360" width="12" style="3"/>
    <col min="15361" max="15361" width="19" style="3" customWidth="1"/>
    <col min="15362" max="15362" width="12.1640625" style="3" customWidth="1"/>
    <col min="15363" max="15435" width="13.33203125" style="3" customWidth="1"/>
    <col min="15436" max="15616" width="12" style="3"/>
    <col min="15617" max="15617" width="19" style="3" customWidth="1"/>
    <col min="15618" max="15618" width="12.1640625" style="3" customWidth="1"/>
    <col min="15619" max="15691" width="13.33203125" style="3" customWidth="1"/>
    <col min="15692" max="15872" width="12" style="3"/>
    <col min="15873" max="15873" width="19" style="3" customWidth="1"/>
    <col min="15874" max="15874" width="12.1640625" style="3" customWidth="1"/>
    <col min="15875" max="15947" width="13.33203125" style="3" customWidth="1"/>
    <col min="15948" max="16128" width="12" style="3"/>
    <col min="16129" max="16129" width="19" style="3" customWidth="1"/>
    <col min="16130" max="16130" width="12.1640625" style="3" customWidth="1"/>
    <col min="16131" max="16203" width="13.33203125" style="3" customWidth="1"/>
    <col min="16204" max="16384" width="12" style="3"/>
  </cols>
  <sheetData>
    <row r="1" spans="1:101" ht="21">
      <c r="A1" s="115" t="s">
        <v>293</v>
      </c>
    </row>
    <row r="2" spans="1:101" s="2" customFormat="1" ht="26.25" customHeight="1"/>
    <row r="3" spans="1:101" ht="16.5" customHeight="1">
      <c r="A3" s="301" t="s">
        <v>405</v>
      </c>
      <c r="B3" s="332" t="s">
        <v>294</v>
      </c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  <c r="X3" s="304"/>
      <c r="Y3" s="304"/>
      <c r="Z3" s="304"/>
      <c r="AA3" s="304"/>
      <c r="AB3" s="304"/>
      <c r="AC3" s="304"/>
      <c r="AD3" s="304"/>
      <c r="AE3" s="304"/>
      <c r="AF3" s="304"/>
      <c r="AG3" s="304"/>
      <c r="AH3" s="304"/>
      <c r="AI3" s="304"/>
      <c r="AJ3" s="304"/>
      <c r="AK3" s="304"/>
      <c r="AL3" s="340"/>
      <c r="AM3" s="332" t="s">
        <v>295</v>
      </c>
      <c r="AN3" s="304"/>
      <c r="AO3" s="304"/>
      <c r="AP3" s="304"/>
      <c r="AQ3" s="304"/>
      <c r="AR3" s="304"/>
      <c r="AS3" s="304"/>
      <c r="AT3" s="304"/>
      <c r="AU3" s="304"/>
      <c r="AV3" s="304"/>
      <c r="AW3" s="304"/>
      <c r="AX3" s="304"/>
      <c r="AY3" s="304"/>
      <c r="AZ3" s="304"/>
      <c r="BA3" s="304"/>
      <c r="BB3" s="304"/>
      <c r="BC3" s="304"/>
      <c r="BD3" s="304"/>
      <c r="BE3" s="304"/>
      <c r="BF3" s="304"/>
      <c r="BG3" s="304"/>
      <c r="BH3" s="304"/>
      <c r="BI3" s="304"/>
      <c r="BJ3" s="304"/>
      <c r="BK3" s="304"/>
      <c r="BL3" s="304"/>
      <c r="BM3" s="304"/>
      <c r="BN3" s="304"/>
      <c r="BO3" s="304"/>
      <c r="BP3" s="304"/>
      <c r="BQ3" s="304"/>
      <c r="BR3" s="304"/>
      <c r="BS3" s="304"/>
      <c r="BT3" s="304"/>
      <c r="BU3" s="304"/>
      <c r="BV3" s="304"/>
      <c r="BW3" s="304"/>
    </row>
    <row r="4" spans="1:101" s="4" customFormat="1" ht="16.5" customHeight="1">
      <c r="A4" s="341"/>
      <c r="B4" s="322" t="s">
        <v>296</v>
      </c>
      <c r="C4" s="332" t="s">
        <v>297</v>
      </c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40"/>
      <c r="O4" s="344" t="s">
        <v>298</v>
      </c>
      <c r="P4" s="344"/>
      <c r="Q4" s="344"/>
      <c r="R4" s="344"/>
      <c r="S4" s="344"/>
      <c r="T4" s="344"/>
      <c r="U4" s="344"/>
      <c r="V4" s="344"/>
      <c r="W4" s="344"/>
      <c r="X4" s="344"/>
      <c r="Y4" s="344"/>
      <c r="Z4" s="344"/>
      <c r="AA4" s="344" t="s">
        <v>299</v>
      </c>
      <c r="AB4" s="344"/>
      <c r="AC4" s="344"/>
      <c r="AD4" s="344"/>
      <c r="AE4" s="344"/>
      <c r="AF4" s="344"/>
      <c r="AG4" s="344"/>
      <c r="AH4" s="344"/>
      <c r="AI4" s="344"/>
      <c r="AJ4" s="344"/>
      <c r="AK4" s="344"/>
      <c r="AL4" s="344"/>
      <c r="AM4" s="368" t="s">
        <v>300</v>
      </c>
      <c r="AN4" s="332" t="s">
        <v>297</v>
      </c>
      <c r="AO4" s="304"/>
      <c r="AP4" s="304"/>
      <c r="AQ4" s="304"/>
      <c r="AR4" s="304"/>
      <c r="AS4" s="304"/>
      <c r="AT4" s="304"/>
      <c r="AU4" s="304"/>
      <c r="AV4" s="304"/>
      <c r="AW4" s="304"/>
      <c r="AX4" s="304"/>
      <c r="AY4" s="340"/>
      <c r="AZ4" s="332" t="s">
        <v>301</v>
      </c>
      <c r="BA4" s="304"/>
      <c r="BB4" s="304"/>
      <c r="BC4" s="304"/>
      <c r="BD4" s="304"/>
      <c r="BE4" s="304"/>
      <c r="BF4" s="304"/>
      <c r="BG4" s="304"/>
      <c r="BH4" s="304"/>
      <c r="BI4" s="304"/>
      <c r="BJ4" s="304"/>
      <c r="BK4" s="340"/>
      <c r="BL4" s="332" t="s">
        <v>302</v>
      </c>
      <c r="BM4" s="304"/>
      <c r="BN4" s="304"/>
      <c r="BO4" s="304"/>
      <c r="BP4" s="304"/>
      <c r="BQ4" s="304"/>
      <c r="BR4" s="304"/>
      <c r="BS4" s="304"/>
      <c r="BT4" s="304"/>
      <c r="BU4" s="304"/>
      <c r="BV4" s="304"/>
      <c r="BW4" s="304"/>
    </row>
    <row r="5" spans="1:101" s="9" customFormat="1" ht="30" customHeight="1">
      <c r="A5" s="341"/>
      <c r="B5" s="368"/>
      <c r="C5" s="5" t="s">
        <v>303</v>
      </c>
      <c r="D5" s="6"/>
      <c r="E5" s="7"/>
      <c r="F5" s="339" t="s">
        <v>304</v>
      </c>
      <c r="G5" s="339"/>
      <c r="H5" s="339"/>
      <c r="I5" s="339" t="s">
        <v>305</v>
      </c>
      <c r="J5" s="339"/>
      <c r="K5" s="339"/>
      <c r="L5" s="339" t="s">
        <v>306</v>
      </c>
      <c r="M5" s="339"/>
      <c r="N5" s="339"/>
      <c r="O5" s="5" t="s">
        <v>303</v>
      </c>
      <c r="P5" s="6"/>
      <c r="Q5" s="7"/>
      <c r="R5" s="339" t="s">
        <v>304</v>
      </c>
      <c r="S5" s="339"/>
      <c r="T5" s="339"/>
      <c r="U5" s="339" t="s">
        <v>305</v>
      </c>
      <c r="V5" s="339"/>
      <c r="W5" s="339"/>
      <c r="X5" s="339" t="s">
        <v>306</v>
      </c>
      <c r="Y5" s="339"/>
      <c r="Z5" s="339"/>
      <c r="AA5" s="311" t="s">
        <v>303</v>
      </c>
      <c r="AB5" s="312"/>
      <c r="AC5" s="313"/>
      <c r="AD5" s="339" t="s">
        <v>304</v>
      </c>
      <c r="AE5" s="339"/>
      <c r="AF5" s="339"/>
      <c r="AG5" s="339" t="s">
        <v>305</v>
      </c>
      <c r="AH5" s="339"/>
      <c r="AI5" s="339"/>
      <c r="AJ5" s="339" t="s">
        <v>306</v>
      </c>
      <c r="AK5" s="339"/>
      <c r="AL5" s="339"/>
      <c r="AM5" s="368"/>
      <c r="AN5" s="5" t="s">
        <v>303</v>
      </c>
      <c r="AO5" s="6"/>
      <c r="AP5" s="7"/>
      <c r="AQ5" s="339" t="s">
        <v>304</v>
      </c>
      <c r="AR5" s="339"/>
      <c r="AS5" s="339"/>
      <c r="AT5" s="339" t="s">
        <v>305</v>
      </c>
      <c r="AU5" s="339"/>
      <c r="AV5" s="339"/>
      <c r="AW5" s="339" t="s">
        <v>306</v>
      </c>
      <c r="AX5" s="339"/>
      <c r="AY5" s="339"/>
      <c r="AZ5" s="5" t="s">
        <v>303</v>
      </c>
      <c r="BA5" s="116"/>
      <c r="BB5" s="7"/>
      <c r="BC5" s="339" t="s">
        <v>304</v>
      </c>
      <c r="BD5" s="339"/>
      <c r="BE5" s="339"/>
      <c r="BF5" s="339" t="s">
        <v>305</v>
      </c>
      <c r="BG5" s="339"/>
      <c r="BH5" s="339"/>
      <c r="BI5" s="339" t="s">
        <v>306</v>
      </c>
      <c r="BJ5" s="339"/>
      <c r="BK5" s="339"/>
      <c r="BL5" s="5" t="s">
        <v>303</v>
      </c>
      <c r="BM5" s="116"/>
      <c r="BN5" s="7"/>
      <c r="BO5" s="339" t="s">
        <v>304</v>
      </c>
      <c r="BP5" s="339"/>
      <c r="BQ5" s="339"/>
      <c r="BR5" s="339" t="s">
        <v>305</v>
      </c>
      <c r="BS5" s="339"/>
      <c r="BT5" s="339"/>
      <c r="BU5" s="339" t="s">
        <v>306</v>
      </c>
      <c r="BV5" s="339"/>
      <c r="BW5" s="311"/>
    </row>
    <row r="6" spans="1:101" ht="16.5" customHeight="1">
      <c r="A6" s="341"/>
      <c r="B6" s="368"/>
      <c r="C6" s="322" t="s">
        <v>307</v>
      </c>
      <c r="D6" s="322" t="s">
        <v>308</v>
      </c>
      <c r="E6" s="322" t="s">
        <v>309</v>
      </c>
      <c r="F6" s="322" t="s">
        <v>307</v>
      </c>
      <c r="G6" s="322" t="s">
        <v>308</v>
      </c>
      <c r="H6" s="322" t="s">
        <v>309</v>
      </c>
      <c r="I6" s="322" t="s">
        <v>307</v>
      </c>
      <c r="J6" s="322" t="s">
        <v>308</v>
      </c>
      <c r="K6" s="322" t="s">
        <v>309</v>
      </c>
      <c r="L6" s="322" t="s">
        <v>307</v>
      </c>
      <c r="M6" s="322" t="s">
        <v>308</v>
      </c>
      <c r="N6" s="322" t="s">
        <v>309</v>
      </c>
      <c r="O6" s="322" t="s">
        <v>307</v>
      </c>
      <c r="P6" s="322" t="s">
        <v>308</v>
      </c>
      <c r="Q6" s="322" t="s">
        <v>309</v>
      </c>
      <c r="R6" s="322" t="s">
        <v>307</v>
      </c>
      <c r="S6" s="322" t="s">
        <v>308</v>
      </c>
      <c r="T6" s="322" t="s">
        <v>309</v>
      </c>
      <c r="U6" s="322" t="s">
        <v>307</v>
      </c>
      <c r="V6" s="322" t="s">
        <v>308</v>
      </c>
      <c r="W6" s="322" t="s">
        <v>309</v>
      </c>
      <c r="X6" s="322" t="s">
        <v>307</v>
      </c>
      <c r="Y6" s="322" t="s">
        <v>308</v>
      </c>
      <c r="Z6" s="322" t="s">
        <v>309</v>
      </c>
      <c r="AA6" s="322" t="s">
        <v>307</v>
      </c>
      <c r="AB6" s="322" t="s">
        <v>308</v>
      </c>
      <c r="AC6" s="322" t="s">
        <v>309</v>
      </c>
      <c r="AD6" s="322" t="s">
        <v>307</v>
      </c>
      <c r="AE6" s="322" t="s">
        <v>308</v>
      </c>
      <c r="AF6" s="322" t="s">
        <v>309</v>
      </c>
      <c r="AG6" s="322" t="s">
        <v>307</v>
      </c>
      <c r="AH6" s="322" t="s">
        <v>308</v>
      </c>
      <c r="AI6" s="322" t="s">
        <v>309</v>
      </c>
      <c r="AJ6" s="322" t="s">
        <v>307</v>
      </c>
      <c r="AK6" s="322" t="s">
        <v>308</v>
      </c>
      <c r="AL6" s="322" t="s">
        <v>309</v>
      </c>
      <c r="AM6" s="368"/>
      <c r="AN6" s="322" t="s">
        <v>307</v>
      </c>
      <c r="AO6" s="322" t="s">
        <v>308</v>
      </c>
      <c r="AP6" s="322" t="s">
        <v>309</v>
      </c>
      <c r="AQ6" s="322" t="s">
        <v>307</v>
      </c>
      <c r="AR6" s="322" t="s">
        <v>308</v>
      </c>
      <c r="AS6" s="322" t="s">
        <v>309</v>
      </c>
      <c r="AT6" s="322" t="s">
        <v>307</v>
      </c>
      <c r="AU6" s="322" t="s">
        <v>308</v>
      </c>
      <c r="AV6" s="322" t="s">
        <v>309</v>
      </c>
      <c r="AW6" s="322" t="s">
        <v>307</v>
      </c>
      <c r="AX6" s="322" t="s">
        <v>308</v>
      </c>
      <c r="AY6" s="322" t="s">
        <v>309</v>
      </c>
      <c r="AZ6" s="322" t="s">
        <v>307</v>
      </c>
      <c r="BA6" s="322" t="s">
        <v>308</v>
      </c>
      <c r="BB6" s="322" t="s">
        <v>309</v>
      </c>
      <c r="BC6" s="322" t="s">
        <v>307</v>
      </c>
      <c r="BD6" s="322" t="s">
        <v>308</v>
      </c>
      <c r="BE6" s="322" t="s">
        <v>309</v>
      </c>
      <c r="BF6" s="322" t="s">
        <v>307</v>
      </c>
      <c r="BG6" s="322" t="s">
        <v>308</v>
      </c>
      <c r="BH6" s="322" t="s">
        <v>309</v>
      </c>
      <c r="BI6" s="322" t="s">
        <v>307</v>
      </c>
      <c r="BJ6" s="322" t="s">
        <v>308</v>
      </c>
      <c r="BK6" s="322" t="s">
        <v>309</v>
      </c>
      <c r="BL6" s="322" t="s">
        <v>307</v>
      </c>
      <c r="BM6" s="322" t="s">
        <v>308</v>
      </c>
      <c r="BN6" s="322" t="s">
        <v>309</v>
      </c>
      <c r="BO6" s="322" t="s">
        <v>307</v>
      </c>
      <c r="BP6" s="322" t="s">
        <v>308</v>
      </c>
      <c r="BQ6" s="322" t="s">
        <v>309</v>
      </c>
      <c r="BR6" s="322" t="s">
        <v>307</v>
      </c>
      <c r="BS6" s="322" t="s">
        <v>308</v>
      </c>
      <c r="BT6" s="322" t="s">
        <v>309</v>
      </c>
      <c r="BU6" s="322" t="s">
        <v>307</v>
      </c>
      <c r="BV6" s="322" t="s">
        <v>308</v>
      </c>
      <c r="BW6" s="314" t="s">
        <v>309</v>
      </c>
    </row>
    <row r="7" spans="1:101">
      <c r="A7" s="328"/>
      <c r="B7" s="337"/>
      <c r="C7" s="323"/>
      <c r="D7" s="323"/>
      <c r="E7" s="323"/>
      <c r="F7" s="323"/>
      <c r="G7" s="323"/>
      <c r="H7" s="323"/>
      <c r="I7" s="323"/>
      <c r="J7" s="323"/>
      <c r="K7" s="323"/>
      <c r="L7" s="323"/>
      <c r="M7" s="323"/>
      <c r="N7" s="323"/>
      <c r="O7" s="323"/>
      <c r="P7" s="323"/>
      <c r="Q7" s="323"/>
      <c r="R7" s="323"/>
      <c r="S7" s="323"/>
      <c r="T7" s="323"/>
      <c r="U7" s="323"/>
      <c r="V7" s="323"/>
      <c r="W7" s="323"/>
      <c r="X7" s="323"/>
      <c r="Y7" s="323"/>
      <c r="Z7" s="323"/>
      <c r="AA7" s="323"/>
      <c r="AB7" s="323"/>
      <c r="AC7" s="323"/>
      <c r="AD7" s="323"/>
      <c r="AE7" s="323"/>
      <c r="AF7" s="323"/>
      <c r="AG7" s="323"/>
      <c r="AH7" s="323"/>
      <c r="AI7" s="323"/>
      <c r="AJ7" s="323"/>
      <c r="AK7" s="323"/>
      <c r="AL7" s="323"/>
      <c r="AM7" s="337"/>
      <c r="AN7" s="323"/>
      <c r="AO7" s="323"/>
      <c r="AP7" s="323"/>
      <c r="AQ7" s="323"/>
      <c r="AR7" s="323"/>
      <c r="AS7" s="323"/>
      <c r="AT7" s="323"/>
      <c r="AU7" s="323"/>
      <c r="AV7" s="323"/>
      <c r="AW7" s="323"/>
      <c r="AX7" s="323"/>
      <c r="AY7" s="323"/>
      <c r="AZ7" s="323"/>
      <c r="BA7" s="323"/>
      <c r="BB7" s="323"/>
      <c r="BC7" s="323"/>
      <c r="BD7" s="323"/>
      <c r="BE7" s="323"/>
      <c r="BF7" s="323"/>
      <c r="BG7" s="323"/>
      <c r="BH7" s="323"/>
      <c r="BI7" s="323"/>
      <c r="BJ7" s="323"/>
      <c r="BK7" s="323"/>
      <c r="BL7" s="323"/>
      <c r="BM7" s="323"/>
      <c r="BN7" s="323"/>
      <c r="BO7" s="323"/>
      <c r="BP7" s="323"/>
      <c r="BQ7" s="323"/>
      <c r="BR7" s="323"/>
      <c r="BS7" s="323"/>
      <c r="BT7" s="323"/>
      <c r="BU7" s="323"/>
      <c r="BV7" s="323"/>
      <c r="BW7" s="326"/>
    </row>
    <row r="8" spans="1:101" s="13" customFormat="1" ht="15.6" customHeight="1">
      <c r="A8" s="214" t="s">
        <v>406</v>
      </c>
      <c r="B8" s="215" t="s">
        <v>407</v>
      </c>
      <c r="C8" s="204">
        <v>58</v>
      </c>
      <c r="D8" s="204">
        <v>28</v>
      </c>
      <c r="E8" s="204">
        <v>30</v>
      </c>
      <c r="F8" s="204">
        <v>5</v>
      </c>
      <c r="G8" s="204">
        <v>5</v>
      </c>
      <c r="H8" s="204">
        <v>0</v>
      </c>
      <c r="I8" s="204">
        <v>6</v>
      </c>
      <c r="J8" s="204">
        <v>5</v>
      </c>
      <c r="K8" s="204">
        <v>1</v>
      </c>
      <c r="L8" s="204">
        <v>47</v>
      </c>
      <c r="M8" s="204">
        <v>18</v>
      </c>
      <c r="N8" s="204">
        <v>29</v>
      </c>
      <c r="O8" s="204">
        <v>11151</v>
      </c>
      <c r="P8" s="204">
        <v>4402</v>
      </c>
      <c r="Q8" s="204">
        <v>6749</v>
      </c>
      <c r="R8" s="204">
        <v>115</v>
      </c>
      <c r="S8" s="204">
        <v>67</v>
      </c>
      <c r="T8" s="204">
        <v>48</v>
      </c>
      <c r="U8" s="204">
        <v>231</v>
      </c>
      <c r="V8" s="204">
        <v>227</v>
      </c>
      <c r="W8" s="204">
        <v>4</v>
      </c>
      <c r="X8" s="204">
        <v>10805</v>
      </c>
      <c r="Y8" s="204">
        <v>4108</v>
      </c>
      <c r="Z8" s="204">
        <v>6697</v>
      </c>
      <c r="AA8" s="204">
        <v>89230</v>
      </c>
      <c r="AB8" s="204">
        <v>34602</v>
      </c>
      <c r="AC8" s="204">
        <v>54628</v>
      </c>
      <c r="AD8" s="204">
        <v>760</v>
      </c>
      <c r="AE8" s="204">
        <v>384</v>
      </c>
      <c r="AF8" s="204">
        <v>376</v>
      </c>
      <c r="AG8" s="204">
        <v>1360</v>
      </c>
      <c r="AH8" s="204">
        <v>1328</v>
      </c>
      <c r="AI8" s="204">
        <v>32</v>
      </c>
      <c r="AJ8" s="204">
        <v>87110</v>
      </c>
      <c r="AK8" s="204">
        <v>32890</v>
      </c>
      <c r="AL8" s="204">
        <v>54220</v>
      </c>
      <c r="AM8" s="204" t="s">
        <v>407</v>
      </c>
      <c r="AN8" s="204">
        <v>557</v>
      </c>
      <c r="AO8" s="204">
        <v>180</v>
      </c>
      <c r="AP8" s="204">
        <v>377</v>
      </c>
      <c r="AQ8" s="204">
        <v>45</v>
      </c>
      <c r="AR8" s="204">
        <v>17</v>
      </c>
      <c r="AS8" s="204">
        <v>28</v>
      </c>
      <c r="AT8" s="204">
        <v>67</v>
      </c>
      <c r="AU8" s="204">
        <v>25</v>
      </c>
      <c r="AV8" s="204">
        <v>42</v>
      </c>
      <c r="AW8" s="204">
        <v>445</v>
      </c>
      <c r="AX8" s="204">
        <v>138</v>
      </c>
      <c r="AY8" s="204">
        <v>307</v>
      </c>
      <c r="AZ8" s="204">
        <v>91473</v>
      </c>
      <c r="BA8" s="204">
        <v>30075</v>
      </c>
      <c r="BB8" s="204">
        <v>61398</v>
      </c>
      <c r="BC8" s="204">
        <v>5396</v>
      </c>
      <c r="BD8" s="204">
        <v>1700</v>
      </c>
      <c r="BE8" s="204">
        <v>3696</v>
      </c>
      <c r="BF8" s="204">
        <v>11017</v>
      </c>
      <c r="BG8" s="204">
        <v>4032</v>
      </c>
      <c r="BH8" s="204">
        <v>6985</v>
      </c>
      <c r="BI8" s="204">
        <v>75060</v>
      </c>
      <c r="BJ8" s="204">
        <v>24343</v>
      </c>
      <c r="BK8" s="204">
        <v>50717</v>
      </c>
      <c r="BL8" s="204">
        <v>615097</v>
      </c>
      <c r="BM8" s="204">
        <v>193965</v>
      </c>
      <c r="BN8" s="204">
        <v>421132</v>
      </c>
      <c r="BO8" s="204">
        <v>37055</v>
      </c>
      <c r="BP8" s="204">
        <v>10925</v>
      </c>
      <c r="BQ8" s="204">
        <v>26130</v>
      </c>
      <c r="BR8" s="204">
        <v>64536</v>
      </c>
      <c r="BS8" s="204">
        <v>20117</v>
      </c>
      <c r="BT8" s="204">
        <v>44419</v>
      </c>
      <c r="BU8" s="204">
        <v>513506</v>
      </c>
      <c r="BV8" s="204">
        <v>162923</v>
      </c>
      <c r="BW8" s="204">
        <v>350583</v>
      </c>
      <c r="BX8" s="204"/>
      <c r="BY8" s="204"/>
      <c r="BZ8" s="216"/>
      <c r="CA8" s="216"/>
      <c r="CB8" s="216"/>
      <c r="CC8" s="216"/>
      <c r="CD8" s="216"/>
      <c r="CE8" s="216"/>
      <c r="CF8" s="216"/>
      <c r="CG8" s="216"/>
      <c r="CH8" s="216"/>
      <c r="CI8" s="216"/>
      <c r="CJ8" s="216"/>
      <c r="CK8" s="216"/>
      <c r="CL8" s="216"/>
      <c r="CM8" s="216"/>
      <c r="CN8" s="216"/>
      <c r="CO8" s="216"/>
      <c r="CP8" s="216"/>
      <c r="CQ8" s="216"/>
      <c r="CR8" s="216"/>
      <c r="CS8" s="216"/>
      <c r="CT8" s="216"/>
      <c r="CU8" s="216"/>
      <c r="CV8" s="216"/>
      <c r="CW8" s="216"/>
    </row>
    <row r="9" spans="1:101" s="205" customFormat="1" ht="15.6" customHeight="1">
      <c r="A9" s="214" t="s">
        <v>408</v>
      </c>
      <c r="B9" s="215" t="s">
        <v>407</v>
      </c>
      <c r="C9" s="204">
        <v>154</v>
      </c>
      <c r="D9" s="204">
        <v>57</v>
      </c>
      <c r="E9" s="204">
        <v>97</v>
      </c>
      <c r="F9" s="204">
        <v>4</v>
      </c>
      <c r="G9" s="204">
        <v>1</v>
      </c>
      <c r="H9" s="204">
        <v>3</v>
      </c>
      <c r="I9" s="204">
        <v>12</v>
      </c>
      <c r="J9" s="204">
        <v>3</v>
      </c>
      <c r="K9" s="204">
        <v>9</v>
      </c>
      <c r="L9" s="204">
        <v>138</v>
      </c>
      <c r="M9" s="204">
        <v>53</v>
      </c>
      <c r="N9" s="204">
        <v>85</v>
      </c>
      <c r="O9" s="204">
        <v>33179</v>
      </c>
      <c r="P9" s="204">
        <v>11378</v>
      </c>
      <c r="Q9" s="204">
        <v>21801</v>
      </c>
      <c r="R9" s="204">
        <v>856</v>
      </c>
      <c r="S9" s="204">
        <v>200</v>
      </c>
      <c r="T9" s="204">
        <v>656</v>
      </c>
      <c r="U9" s="204">
        <v>1967</v>
      </c>
      <c r="V9" s="204">
        <v>543</v>
      </c>
      <c r="W9" s="204">
        <v>1424</v>
      </c>
      <c r="X9" s="204">
        <v>30356</v>
      </c>
      <c r="Y9" s="204">
        <v>10635</v>
      </c>
      <c r="Z9" s="204">
        <v>19721</v>
      </c>
      <c r="AA9" s="204">
        <v>191378</v>
      </c>
      <c r="AB9" s="204">
        <v>61965</v>
      </c>
      <c r="AC9" s="204">
        <v>129413</v>
      </c>
      <c r="AD9" s="204">
        <v>6058</v>
      </c>
      <c r="AE9" s="204">
        <v>810</v>
      </c>
      <c r="AF9" s="204">
        <v>5248</v>
      </c>
      <c r="AG9" s="204">
        <v>6687</v>
      </c>
      <c r="AH9" s="204">
        <v>3384</v>
      </c>
      <c r="AI9" s="204">
        <v>3303</v>
      </c>
      <c r="AJ9" s="204">
        <v>178633</v>
      </c>
      <c r="AK9" s="204">
        <v>57771</v>
      </c>
      <c r="AL9" s="204">
        <v>120862</v>
      </c>
      <c r="AM9" s="204" t="s">
        <v>407</v>
      </c>
      <c r="AN9" s="204">
        <v>744</v>
      </c>
      <c r="AO9" s="204">
        <v>300</v>
      </c>
      <c r="AP9" s="204">
        <v>444</v>
      </c>
      <c r="AQ9" s="204">
        <v>64</v>
      </c>
      <c r="AR9" s="204">
        <v>33</v>
      </c>
      <c r="AS9" s="204">
        <v>31</v>
      </c>
      <c r="AT9" s="204">
        <v>53</v>
      </c>
      <c r="AU9" s="204">
        <v>25</v>
      </c>
      <c r="AV9" s="204">
        <v>28</v>
      </c>
      <c r="AW9" s="204">
        <v>627</v>
      </c>
      <c r="AX9" s="204">
        <v>242</v>
      </c>
      <c r="AY9" s="204">
        <v>385</v>
      </c>
      <c r="AZ9" s="204">
        <v>124572</v>
      </c>
      <c r="BA9" s="204">
        <v>44550</v>
      </c>
      <c r="BB9" s="204">
        <v>80022</v>
      </c>
      <c r="BC9" s="204">
        <v>8530</v>
      </c>
      <c r="BD9" s="204">
        <v>3645</v>
      </c>
      <c r="BE9" s="204">
        <v>4885</v>
      </c>
      <c r="BF9" s="204">
        <v>9442</v>
      </c>
      <c r="BG9" s="204">
        <v>3556</v>
      </c>
      <c r="BH9" s="204">
        <v>5886</v>
      </c>
      <c r="BI9" s="204">
        <v>106600</v>
      </c>
      <c r="BJ9" s="204">
        <v>37349</v>
      </c>
      <c r="BK9" s="204">
        <v>69251</v>
      </c>
      <c r="BL9" s="204">
        <v>803261.6</v>
      </c>
      <c r="BM9" s="204">
        <v>273739.5</v>
      </c>
      <c r="BN9" s="204">
        <v>529522.1</v>
      </c>
      <c r="BO9" s="204">
        <v>57086</v>
      </c>
      <c r="BP9" s="204">
        <v>23694.5</v>
      </c>
      <c r="BQ9" s="204">
        <v>33391.5</v>
      </c>
      <c r="BR9" s="204">
        <v>60238.5</v>
      </c>
      <c r="BS9" s="204">
        <v>20911</v>
      </c>
      <c r="BT9" s="204">
        <v>39327.5</v>
      </c>
      <c r="BU9" s="204">
        <v>685937.1</v>
      </c>
      <c r="BV9" s="204">
        <v>229134</v>
      </c>
      <c r="BW9" s="204">
        <v>456803.1</v>
      </c>
      <c r="BX9" s="204"/>
      <c r="BY9" s="204"/>
      <c r="BZ9" s="216"/>
      <c r="CA9" s="216"/>
      <c r="CB9" s="216"/>
      <c r="CC9" s="216"/>
      <c r="CD9" s="216"/>
      <c r="CE9" s="216"/>
      <c r="CF9" s="216"/>
      <c r="CG9" s="216"/>
      <c r="CH9" s="216"/>
      <c r="CI9" s="216"/>
      <c r="CJ9" s="216"/>
      <c r="CK9" s="216"/>
      <c r="CL9" s="216"/>
      <c r="CM9" s="216"/>
      <c r="CN9" s="216"/>
      <c r="CO9" s="216"/>
      <c r="CP9" s="216"/>
      <c r="CQ9" s="216"/>
      <c r="CR9" s="216"/>
      <c r="CS9" s="216"/>
      <c r="CT9" s="216"/>
      <c r="CU9" s="216"/>
      <c r="CV9" s="216"/>
      <c r="CW9" s="216"/>
    </row>
    <row r="10" spans="1:101" s="13" customFormat="1" ht="15.6" customHeight="1">
      <c r="A10" s="214" t="s">
        <v>409</v>
      </c>
      <c r="B10" s="204">
        <v>15</v>
      </c>
      <c r="C10" s="204">
        <v>145</v>
      </c>
      <c r="D10" s="204">
        <v>51</v>
      </c>
      <c r="E10" s="204">
        <v>94</v>
      </c>
      <c r="F10" s="204">
        <v>5</v>
      </c>
      <c r="G10" s="204">
        <v>2</v>
      </c>
      <c r="H10" s="204">
        <v>3</v>
      </c>
      <c r="I10" s="204">
        <v>6</v>
      </c>
      <c r="J10" s="204">
        <v>1</v>
      </c>
      <c r="K10" s="204">
        <v>5</v>
      </c>
      <c r="L10" s="204">
        <v>134</v>
      </c>
      <c r="M10" s="204">
        <v>48</v>
      </c>
      <c r="N10" s="204">
        <v>86</v>
      </c>
      <c r="O10" s="204">
        <v>30134</v>
      </c>
      <c r="P10" s="204">
        <v>11102</v>
      </c>
      <c r="Q10" s="204">
        <v>19032</v>
      </c>
      <c r="R10" s="204">
        <v>1113</v>
      </c>
      <c r="S10" s="204">
        <v>427</v>
      </c>
      <c r="T10" s="204">
        <v>686</v>
      </c>
      <c r="U10" s="204">
        <v>1003</v>
      </c>
      <c r="V10" s="204">
        <v>317</v>
      </c>
      <c r="W10" s="204">
        <v>686</v>
      </c>
      <c r="X10" s="204">
        <v>28018</v>
      </c>
      <c r="Y10" s="204">
        <v>10358</v>
      </c>
      <c r="Z10" s="204">
        <v>17660</v>
      </c>
      <c r="AA10" s="204">
        <v>228855</v>
      </c>
      <c r="AB10" s="204">
        <v>83670</v>
      </c>
      <c r="AC10" s="204">
        <v>145185</v>
      </c>
      <c r="AD10" s="204">
        <v>9160</v>
      </c>
      <c r="AE10" s="204">
        <v>3416</v>
      </c>
      <c r="AF10" s="204">
        <v>5744</v>
      </c>
      <c r="AG10" s="204">
        <v>6550</v>
      </c>
      <c r="AH10" s="204">
        <v>2074</v>
      </c>
      <c r="AI10" s="204">
        <v>4476</v>
      </c>
      <c r="AJ10" s="204">
        <v>213145</v>
      </c>
      <c r="AK10" s="204">
        <v>78180</v>
      </c>
      <c r="AL10" s="204">
        <v>134965</v>
      </c>
      <c r="AM10" s="204">
        <v>58</v>
      </c>
      <c r="AN10" s="204">
        <v>1061</v>
      </c>
      <c r="AO10" s="204">
        <v>382</v>
      </c>
      <c r="AP10" s="204">
        <v>679</v>
      </c>
      <c r="AQ10" s="204">
        <v>72</v>
      </c>
      <c r="AR10" s="204">
        <v>27</v>
      </c>
      <c r="AS10" s="204">
        <v>45</v>
      </c>
      <c r="AT10" s="204">
        <v>101</v>
      </c>
      <c r="AU10" s="204">
        <v>48</v>
      </c>
      <c r="AV10" s="204">
        <v>53</v>
      </c>
      <c r="AW10" s="204">
        <v>888</v>
      </c>
      <c r="AX10" s="204">
        <v>307</v>
      </c>
      <c r="AY10" s="204">
        <v>581</v>
      </c>
      <c r="AZ10" s="204">
        <v>197258</v>
      </c>
      <c r="BA10" s="204">
        <v>74025</v>
      </c>
      <c r="BB10" s="204">
        <v>123233</v>
      </c>
      <c r="BC10" s="204">
        <v>15434</v>
      </c>
      <c r="BD10" s="204">
        <v>6383</v>
      </c>
      <c r="BE10" s="204">
        <v>9051</v>
      </c>
      <c r="BF10" s="204">
        <v>15664</v>
      </c>
      <c r="BG10" s="204">
        <v>7493</v>
      </c>
      <c r="BH10" s="204">
        <v>8171</v>
      </c>
      <c r="BI10" s="204">
        <v>166160</v>
      </c>
      <c r="BJ10" s="204">
        <v>60149</v>
      </c>
      <c r="BK10" s="204">
        <v>106011</v>
      </c>
      <c r="BL10" s="204">
        <v>1379916.8</v>
      </c>
      <c r="BM10" s="204">
        <v>513381.5</v>
      </c>
      <c r="BN10" s="204">
        <v>866535.3</v>
      </c>
      <c r="BO10" s="204">
        <v>95172</v>
      </c>
      <c r="BP10" s="204">
        <v>36632.5</v>
      </c>
      <c r="BQ10" s="204">
        <v>58539.5</v>
      </c>
      <c r="BR10" s="204">
        <v>105923.5</v>
      </c>
      <c r="BS10" s="204">
        <v>49596.5</v>
      </c>
      <c r="BT10" s="204">
        <v>56327</v>
      </c>
      <c r="BU10" s="204">
        <v>1178821.3</v>
      </c>
      <c r="BV10" s="204">
        <v>427152.5</v>
      </c>
      <c r="BW10" s="204">
        <v>751668.8</v>
      </c>
      <c r="BX10" s="216"/>
      <c r="BY10" s="216"/>
      <c r="BZ10" s="216"/>
      <c r="CA10" s="216"/>
      <c r="CB10" s="216"/>
      <c r="CC10" s="216"/>
      <c r="CD10" s="216"/>
      <c r="CE10" s="216"/>
      <c r="CF10" s="216"/>
      <c r="CG10" s="216"/>
      <c r="CH10" s="216"/>
      <c r="CI10" s="216"/>
      <c r="CJ10" s="216"/>
      <c r="CK10" s="216"/>
      <c r="CL10" s="216"/>
      <c r="CM10" s="216"/>
      <c r="CN10" s="216"/>
      <c r="CO10" s="216"/>
      <c r="CP10" s="216"/>
      <c r="CQ10" s="216"/>
      <c r="CR10" s="216"/>
      <c r="CS10" s="216"/>
      <c r="CT10" s="216"/>
      <c r="CU10" s="216"/>
    </row>
    <row r="11" spans="1:101" s="13" customFormat="1" ht="15.6" customHeight="1">
      <c r="A11" s="214" t="s">
        <v>410</v>
      </c>
      <c r="B11" s="204">
        <v>17</v>
      </c>
      <c r="C11" s="204">
        <v>202</v>
      </c>
      <c r="D11" s="204">
        <v>66</v>
      </c>
      <c r="E11" s="204">
        <v>136</v>
      </c>
      <c r="F11" s="204">
        <v>8</v>
      </c>
      <c r="G11" s="204">
        <v>4</v>
      </c>
      <c r="H11" s="204">
        <v>4</v>
      </c>
      <c r="I11" s="204">
        <v>11</v>
      </c>
      <c r="J11" s="204">
        <v>2</v>
      </c>
      <c r="K11" s="204">
        <v>9</v>
      </c>
      <c r="L11" s="204">
        <v>183</v>
      </c>
      <c r="M11" s="204">
        <v>60</v>
      </c>
      <c r="N11" s="204">
        <v>123</v>
      </c>
      <c r="O11" s="204">
        <v>39296</v>
      </c>
      <c r="P11" s="204">
        <v>13454</v>
      </c>
      <c r="Q11" s="204">
        <v>25842</v>
      </c>
      <c r="R11" s="204">
        <v>1763</v>
      </c>
      <c r="S11" s="204">
        <v>754</v>
      </c>
      <c r="T11" s="204">
        <v>1009</v>
      </c>
      <c r="U11" s="204">
        <v>1796</v>
      </c>
      <c r="V11" s="204">
        <v>230</v>
      </c>
      <c r="W11" s="204">
        <v>1566</v>
      </c>
      <c r="X11" s="204">
        <v>35737</v>
      </c>
      <c r="Y11" s="204">
        <v>12470</v>
      </c>
      <c r="Z11" s="204">
        <v>23267</v>
      </c>
      <c r="AA11" s="204">
        <v>296711</v>
      </c>
      <c r="AB11" s="204">
        <v>103134</v>
      </c>
      <c r="AC11" s="204">
        <v>193577</v>
      </c>
      <c r="AD11" s="204">
        <v>13940</v>
      </c>
      <c r="AE11" s="204">
        <v>5962</v>
      </c>
      <c r="AF11" s="204">
        <v>7978</v>
      </c>
      <c r="AG11" s="204">
        <v>11842</v>
      </c>
      <c r="AH11" s="204">
        <v>1390</v>
      </c>
      <c r="AI11" s="204">
        <v>10452</v>
      </c>
      <c r="AJ11" s="204">
        <v>270929</v>
      </c>
      <c r="AK11" s="204">
        <v>95782</v>
      </c>
      <c r="AL11" s="204">
        <v>175147</v>
      </c>
      <c r="AM11" s="204">
        <v>66</v>
      </c>
      <c r="AN11" s="204">
        <v>1578</v>
      </c>
      <c r="AO11" s="204">
        <v>572</v>
      </c>
      <c r="AP11" s="204">
        <v>1006</v>
      </c>
      <c r="AQ11" s="204">
        <v>106</v>
      </c>
      <c r="AR11" s="204">
        <v>42</v>
      </c>
      <c r="AS11" s="204">
        <v>64</v>
      </c>
      <c r="AT11" s="204">
        <v>105</v>
      </c>
      <c r="AU11" s="204">
        <v>45</v>
      </c>
      <c r="AV11" s="204">
        <v>60</v>
      </c>
      <c r="AW11" s="204">
        <v>1367</v>
      </c>
      <c r="AX11" s="204">
        <v>485</v>
      </c>
      <c r="AY11" s="204">
        <v>882</v>
      </c>
      <c r="AZ11" s="204">
        <v>260561</v>
      </c>
      <c r="BA11" s="204">
        <v>91944</v>
      </c>
      <c r="BB11" s="204">
        <v>168617</v>
      </c>
      <c r="BC11" s="204">
        <v>17769</v>
      </c>
      <c r="BD11" s="204">
        <v>6585</v>
      </c>
      <c r="BE11" s="204">
        <v>11184</v>
      </c>
      <c r="BF11" s="204">
        <v>20833</v>
      </c>
      <c r="BG11" s="204">
        <v>9427</v>
      </c>
      <c r="BH11" s="204">
        <v>11406</v>
      </c>
      <c r="BI11" s="204">
        <v>221959</v>
      </c>
      <c r="BJ11" s="204">
        <v>75932</v>
      </c>
      <c r="BK11" s="204">
        <v>146027</v>
      </c>
      <c r="BL11" s="204">
        <v>1930350.1</v>
      </c>
      <c r="BM11" s="204">
        <v>679816.8</v>
      </c>
      <c r="BN11" s="204">
        <v>1250533.3</v>
      </c>
      <c r="BO11" s="204">
        <v>123252.6</v>
      </c>
      <c r="BP11" s="204">
        <v>43177.5</v>
      </c>
      <c r="BQ11" s="204">
        <v>80075.100000000006</v>
      </c>
      <c r="BR11" s="204">
        <v>153848.20000000001</v>
      </c>
      <c r="BS11" s="204">
        <v>70672.7</v>
      </c>
      <c r="BT11" s="204">
        <v>83175.5</v>
      </c>
      <c r="BU11" s="204">
        <v>1653249.3</v>
      </c>
      <c r="BV11" s="204">
        <v>565966.6</v>
      </c>
      <c r="BW11" s="204">
        <v>1087282.7</v>
      </c>
      <c r="BX11" s="216"/>
      <c r="BY11" s="216"/>
      <c r="BZ11" s="216"/>
      <c r="CA11" s="216"/>
      <c r="CB11" s="216"/>
      <c r="CC11" s="216"/>
      <c r="CD11" s="216"/>
      <c r="CE11" s="216"/>
      <c r="CF11" s="216"/>
      <c r="CG11" s="216"/>
      <c r="CH11" s="216"/>
      <c r="CI11" s="216"/>
      <c r="CJ11" s="216"/>
      <c r="CK11" s="216"/>
      <c r="CL11" s="216"/>
      <c r="CM11" s="216"/>
      <c r="CN11" s="216"/>
      <c r="CO11" s="216"/>
      <c r="CP11" s="216"/>
      <c r="CQ11" s="216"/>
      <c r="CR11" s="216"/>
      <c r="CS11" s="216"/>
      <c r="CT11" s="216"/>
      <c r="CU11" s="216"/>
    </row>
    <row r="12" spans="1:101" s="13" customFormat="1" ht="15.6" customHeight="1">
      <c r="A12" s="214" t="s">
        <v>411</v>
      </c>
      <c r="B12" s="204">
        <v>18</v>
      </c>
      <c r="C12" s="204">
        <v>273</v>
      </c>
      <c r="D12" s="204">
        <v>85</v>
      </c>
      <c r="E12" s="204">
        <v>188</v>
      </c>
      <c r="F12" s="204">
        <v>10</v>
      </c>
      <c r="G12" s="204">
        <v>5</v>
      </c>
      <c r="H12" s="204">
        <v>5</v>
      </c>
      <c r="I12" s="204">
        <v>16</v>
      </c>
      <c r="J12" s="204">
        <v>4</v>
      </c>
      <c r="K12" s="204">
        <v>12</v>
      </c>
      <c r="L12" s="204">
        <v>247</v>
      </c>
      <c r="M12" s="204">
        <v>76</v>
      </c>
      <c r="N12" s="204">
        <v>171</v>
      </c>
      <c r="O12" s="204">
        <v>52425</v>
      </c>
      <c r="P12" s="204">
        <v>16963</v>
      </c>
      <c r="Q12" s="204">
        <v>35462</v>
      </c>
      <c r="R12" s="204">
        <v>2569</v>
      </c>
      <c r="S12" s="204">
        <v>1113</v>
      </c>
      <c r="T12" s="204">
        <v>1456</v>
      </c>
      <c r="U12" s="204">
        <v>3052</v>
      </c>
      <c r="V12" s="204">
        <v>1010</v>
      </c>
      <c r="W12" s="204">
        <v>2042</v>
      </c>
      <c r="X12" s="204">
        <v>46804</v>
      </c>
      <c r="Y12" s="204">
        <v>14840</v>
      </c>
      <c r="Z12" s="204">
        <v>31964</v>
      </c>
      <c r="AA12" s="204">
        <v>380766.5</v>
      </c>
      <c r="AB12" s="204">
        <v>125078</v>
      </c>
      <c r="AC12" s="204">
        <v>255688.5</v>
      </c>
      <c r="AD12" s="204">
        <v>20347</v>
      </c>
      <c r="AE12" s="204">
        <v>8871</v>
      </c>
      <c r="AF12" s="204">
        <v>11476</v>
      </c>
      <c r="AG12" s="204">
        <v>22040</v>
      </c>
      <c r="AH12" s="204">
        <v>7912</v>
      </c>
      <c r="AI12" s="204">
        <v>14128</v>
      </c>
      <c r="AJ12" s="204">
        <v>338379.5</v>
      </c>
      <c r="AK12" s="204">
        <v>108295</v>
      </c>
      <c r="AL12" s="204">
        <v>230084.5</v>
      </c>
      <c r="AM12" s="204">
        <v>76</v>
      </c>
      <c r="AN12" s="204">
        <v>1605</v>
      </c>
      <c r="AO12" s="204">
        <v>560</v>
      </c>
      <c r="AP12" s="204">
        <v>1045</v>
      </c>
      <c r="AQ12" s="204">
        <v>113</v>
      </c>
      <c r="AR12" s="204">
        <v>47</v>
      </c>
      <c r="AS12" s="204">
        <v>66</v>
      </c>
      <c r="AT12" s="204">
        <v>96</v>
      </c>
      <c r="AU12" s="204">
        <v>47</v>
      </c>
      <c r="AV12" s="204">
        <v>49</v>
      </c>
      <c r="AW12" s="204">
        <v>1396</v>
      </c>
      <c r="AX12" s="204">
        <v>466</v>
      </c>
      <c r="AY12" s="204">
        <v>930</v>
      </c>
      <c r="AZ12" s="204">
        <v>315826</v>
      </c>
      <c r="BA12" s="204">
        <v>108759</v>
      </c>
      <c r="BB12" s="204">
        <v>207067</v>
      </c>
      <c r="BC12" s="204">
        <v>19438</v>
      </c>
      <c r="BD12" s="204">
        <v>6956</v>
      </c>
      <c r="BE12" s="204">
        <v>12482</v>
      </c>
      <c r="BF12" s="204">
        <v>21778</v>
      </c>
      <c r="BG12" s="204">
        <v>9722</v>
      </c>
      <c r="BH12" s="204">
        <v>12056</v>
      </c>
      <c r="BI12" s="204">
        <v>274610</v>
      </c>
      <c r="BJ12" s="204">
        <v>92081</v>
      </c>
      <c r="BK12" s="204">
        <v>182529</v>
      </c>
      <c r="BL12" s="204">
        <v>2301607.4</v>
      </c>
      <c r="BM12" s="204">
        <v>789833.7</v>
      </c>
      <c r="BN12" s="204">
        <v>1511773.7</v>
      </c>
      <c r="BO12" s="204">
        <v>137576.20000000001</v>
      </c>
      <c r="BP12" s="204">
        <v>48962</v>
      </c>
      <c r="BQ12" s="204">
        <v>88614.2</v>
      </c>
      <c r="BR12" s="204">
        <v>156256.20000000001</v>
      </c>
      <c r="BS12" s="204">
        <v>67209.5</v>
      </c>
      <c r="BT12" s="204">
        <v>89046.7</v>
      </c>
      <c r="BU12" s="204">
        <v>2007775</v>
      </c>
      <c r="BV12" s="204">
        <v>673662.2</v>
      </c>
      <c r="BW12" s="204">
        <v>1334112.8</v>
      </c>
      <c r="BX12" s="216"/>
      <c r="BY12" s="216"/>
      <c r="BZ12" s="216"/>
      <c r="CA12" s="216"/>
      <c r="CB12" s="216"/>
      <c r="CC12" s="216"/>
      <c r="CD12" s="216"/>
      <c r="CE12" s="216"/>
      <c r="CF12" s="216"/>
      <c r="CG12" s="216"/>
      <c r="CH12" s="216"/>
      <c r="CI12" s="216"/>
      <c r="CJ12" s="216"/>
      <c r="CK12" s="216"/>
      <c r="CL12" s="216"/>
      <c r="CM12" s="216"/>
      <c r="CN12" s="216"/>
      <c r="CO12" s="216"/>
      <c r="CP12" s="216"/>
      <c r="CQ12" s="216"/>
      <c r="CR12" s="216"/>
      <c r="CS12" s="216"/>
      <c r="CT12" s="216"/>
      <c r="CU12" s="216"/>
    </row>
    <row r="13" spans="1:101" s="13" customFormat="1" ht="15.6" customHeight="1">
      <c r="A13" s="192" t="s">
        <v>412</v>
      </c>
      <c r="B13" s="217">
        <v>26</v>
      </c>
      <c r="C13" s="204">
        <v>387</v>
      </c>
      <c r="D13" s="204">
        <v>122</v>
      </c>
      <c r="E13" s="204">
        <v>265</v>
      </c>
      <c r="F13" s="204">
        <v>16</v>
      </c>
      <c r="G13" s="204">
        <v>9</v>
      </c>
      <c r="H13" s="204">
        <v>7</v>
      </c>
      <c r="I13" s="204">
        <v>18</v>
      </c>
      <c r="J13" s="204">
        <v>7</v>
      </c>
      <c r="K13" s="204">
        <v>11</v>
      </c>
      <c r="L13" s="204">
        <v>353</v>
      </c>
      <c r="M13" s="204">
        <v>106</v>
      </c>
      <c r="N13" s="204">
        <v>247</v>
      </c>
      <c r="O13" s="204">
        <v>67584</v>
      </c>
      <c r="P13" s="204">
        <v>22061</v>
      </c>
      <c r="Q13" s="204">
        <v>45523</v>
      </c>
      <c r="R13" s="204">
        <v>2101</v>
      </c>
      <c r="S13" s="204">
        <v>1158</v>
      </c>
      <c r="T13" s="204">
        <v>943</v>
      </c>
      <c r="U13" s="204">
        <v>3802</v>
      </c>
      <c r="V13" s="204">
        <v>1378</v>
      </c>
      <c r="W13" s="204">
        <v>2424</v>
      </c>
      <c r="X13" s="204">
        <v>61681</v>
      </c>
      <c r="Y13" s="204">
        <v>19525</v>
      </c>
      <c r="Z13" s="204">
        <v>42156</v>
      </c>
      <c r="AA13" s="204">
        <v>492355.2</v>
      </c>
      <c r="AB13" s="204">
        <v>161721.79999999999</v>
      </c>
      <c r="AC13" s="204">
        <v>330633.40000000002</v>
      </c>
      <c r="AD13" s="204">
        <v>15690</v>
      </c>
      <c r="AE13" s="204">
        <v>9182</v>
      </c>
      <c r="AF13" s="204">
        <v>6508</v>
      </c>
      <c r="AG13" s="204">
        <v>28560</v>
      </c>
      <c r="AH13" s="204">
        <v>10310</v>
      </c>
      <c r="AI13" s="204">
        <v>18250</v>
      </c>
      <c r="AJ13" s="204">
        <v>448105.2</v>
      </c>
      <c r="AK13" s="204">
        <v>142229.79999999999</v>
      </c>
      <c r="AL13" s="204">
        <v>305875.40000000002</v>
      </c>
      <c r="AM13" s="204">
        <v>120</v>
      </c>
      <c r="AN13" s="204">
        <v>1927</v>
      </c>
      <c r="AO13" s="204">
        <v>674</v>
      </c>
      <c r="AP13" s="204">
        <v>1253</v>
      </c>
      <c r="AQ13" s="204">
        <v>157</v>
      </c>
      <c r="AR13" s="204">
        <v>71</v>
      </c>
      <c r="AS13" s="204">
        <v>86</v>
      </c>
      <c r="AT13" s="204">
        <v>114</v>
      </c>
      <c r="AU13" s="204">
        <v>55</v>
      </c>
      <c r="AV13" s="204">
        <v>59</v>
      </c>
      <c r="AW13" s="204">
        <v>1656</v>
      </c>
      <c r="AX13" s="204">
        <v>548</v>
      </c>
      <c r="AY13" s="204">
        <v>1108</v>
      </c>
      <c r="AZ13" s="204">
        <v>396609</v>
      </c>
      <c r="BA13" s="204">
        <v>133038</v>
      </c>
      <c r="BB13" s="204">
        <v>263571</v>
      </c>
      <c r="BC13" s="204">
        <v>30230</v>
      </c>
      <c r="BD13" s="204">
        <v>13179</v>
      </c>
      <c r="BE13" s="204">
        <v>17051</v>
      </c>
      <c r="BF13" s="204">
        <v>22969</v>
      </c>
      <c r="BG13" s="204">
        <v>9564</v>
      </c>
      <c r="BH13" s="204">
        <v>13405</v>
      </c>
      <c r="BI13" s="204">
        <v>343410</v>
      </c>
      <c r="BJ13" s="204">
        <v>110295</v>
      </c>
      <c r="BK13" s="204">
        <v>233115</v>
      </c>
      <c r="BL13" s="204">
        <v>3012567.1</v>
      </c>
      <c r="BM13" s="204">
        <v>998605.7</v>
      </c>
      <c r="BN13" s="204">
        <v>2013961.4</v>
      </c>
      <c r="BO13" s="204">
        <v>220351.2</v>
      </c>
      <c r="BP13" s="204">
        <v>91246.399999999994</v>
      </c>
      <c r="BQ13" s="204">
        <v>129104.8</v>
      </c>
      <c r="BR13" s="204">
        <v>173741.1</v>
      </c>
      <c r="BS13" s="204">
        <v>72842.5</v>
      </c>
      <c r="BT13" s="204">
        <v>100898.6</v>
      </c>
      <c r="BU13" s="204">
        <v>2618474.7999999998</v>
      </c>
      <c r="BV13" s="204">
        <v>834516.8</v>
      </c>
      <c r="BW13" s="204">
        <v>1783958</v>
      </c>
    </row>
    <row r="14" spans="1:101" s="13" customFormat="1" ht="15.6" customHeight="1">
      <c r="A14" s="191" t="s">
        <v>413</v>
      </c>
      <c r="B14" s="217">
        <v>27</v>
      </c>
      <c r="C14" s="204">
        <v>421</v>
      </c>
      <c r="D14" s="204">
        <v>141</v>
      </c>
      <c r="E14" s="204">
        <v>280</v>
      </c>
      <c r="F14" s="204">
        <v>23</v>
      </c>
      <c r="G14" s="204">
        <v>10</v>
      </c>
      <c r="H14" s="204">
        <v>13</v>
      </c>
      <c r="I14" s="204">
        <v>21</v>
      </c>
      <c r="J14" s="204">
        <v>9</v>
      </c>
      <c r="K14" s="204">
        <v>12</v>
      </c>
      <c r="L14" s="204">
        <v>377</v>
      </c>
      <c r="M14" s="204">
        <v>122</v>
      </c>
      <c r="N14" s="204">
        <v>255</v>
      </c>
      <c r="O14" s="204">
        <v>83000</v>
      </c>
      <c r="P14" s="204">
        <v>26699</v>
      </c>
      <c r="Q14" s="204">
        <v>56301</v>
      </c>
      <c r="R14" s="204">
        <v>3985</v>
      </c>
      <c r="S14" s="204">
        <v>1544</v>
      </c>
      <c r="T14" s="204">
        <v>2441</v>
      </c>
      <c r="U14" s="204">
        <v>4898</v>
      </c>
      <c r="V14" s="204">
        <v>1866</v>
      </c>
      <c r="W14" s="204">
        <v>3032</v>
      </c>
      <c r="X14" s="204">
        <v>74117</v>
      </c>
      <c r="Y14" s="204">
        <v>23289</v>
      </c>
      <c r="Z14" s="204">
        <v>50828</v>
      </c>
      <c r="AA14" s="204">
        <v>600851.5</v>
      </c>
      <c r="AB14" s="204">
        <v>188546.5</v>
      </c>
      <c r="AC14" s="204">
        <v>412305</v>
      </c>
      <c r="AD14" s="204">
        <v>27235</v>
      </c>
      <c r="AE14" s="204">
        <v>11322</v>
      </c>
      <c r="AF14" s="204">
        <v>15913</v>
      </c>
      <c r="AG14" s="204">
        <v>34331</v>
      </c>
      <c r="AH14" s="204">
        <v>12023</v>
      </c>
      <c r="AI14" s="204">
        <v>22308</v>
      </c>
      <c r="AJ14" s="204">
        <v>539285.5</v>
      </c>
      <c r="AK14" s="204">
        <v>165201.5</v>
      </c>
      <c r="AL14" s="204">
        <v>374084</v>
      </c>
      <c r="AM14" s="204">
        <v>144</v>
      </c>
      <c r="AN14" s="204">
        <v>2572</v>
      </c>
      <c r="AO14" s="204">
        <v>904</v>
      </c>
      <c r="AP14" s="204">
        <v>1668</v>
      </c>
      <c r="AQ14" s="204">
        <v>232</v>
      </c>
      <c r="AR14" s="204">
        <v>101</v>
      </c>
      <c r="AS14" s="204">
        <v>131</v>
      </c>
      <c r="AT14" s="204">
        <v>152</v>
      </c>
      <c r="AU14" s="204">
        <v>66</v>
      </c>
      <c r="AV14" s="204">
        <v>86</v>
      </c>
      <c r="AW14" s="204">
        <v>2188</v>
      </c>
      <c r="AX14" s="204">
        <v>737</v>
      </c>
      <c r="AY14" s="204">
        <v>1451</v>
      </c>
      <c r="AZ14" s="204">
        <v>509514</v>
      </c>
      <c r="BA14" s="204">
        <v>174132</v>
      </c>
      <c r="BB14" s="204">
        <v>335382</v>
      </c>
      <c r="BC14" s="204">
        <v>43200</v>
      </c>
      <c r="BD14" s="204">
        <v>19100</v>
      </c>
      <c r="BE14" s="204">
        <v>24100</v>
      </c>
      <c r="BF14" s="204">
        <v>26660</v>
      </c>
      <c r="BG14" s="204">
        <v>10932</v>
      </c>
      <c r="BH14" s="204">
        <v>15728</v>
      </c>
      <c r="BI14" s="204">
        <v>439654</v>
      </c>
      <c r="BJ14" s="204">
        <v>144100</v>
      </c>
      <c r="BK14" s="204">
        <v>295554</v>
      </c>
      <c r="BL14" s="204">
        <v>3861747.4</v>
      </c>
      <c r="BM14" s="204">
        <v>1306651.8999999999</v>
      </c>
      <c r="BN14" s="204">
        <v>2555095.5</v>
      </c>
      <c r="BO14" s="204">
        <v>314534.3</v>
      </c>
      <c r="BP14" s="204">
        <v>135243.9</v>
      </c>
      <c r="BQ14" s="204">
        <v>179290.4</v>
      </c>
      <c r="BR14" s="204">
        <v>195136.8</v>
      </c>
      <c r="BS14" s="204">
        <v>83415.5</v>
      </c>
      <c r="BT14" s="204">
        <v>111721.3</v>
      </c>
      <c r="BU14" s="204">
        <v>3352076.3</v>
      </c>
      <c r="BV14" s="204">
        <v>1087992.5</v>
      </c>
      <c r="BW14" s="204">
        <v>2264083.7999999998</v>
      </c>
    </row>
    <row r="15" spans="1:101" s="205" customFormat="1" ht="15.6" customHeight="1">
      <c r="A15" s="192" t="s">
        <v>393</v>
      </c>
      <c r="B15" s="204">
        <v>26</v>
      </c>
      <c r="C15" s="204">
        <v>511</v>
      </c>
      <c r="D15" s="204">
        <v>158</v>
      </c>
      <c r="E15" s="204">
        <v>353</v>
      </c>
      <c r="F15" s="204">
        <v>22</v>
      </c>
      <c r="G15" s="204">
        <v>7</v>
      </c>
      <c r="H15" s="204">
        <v>15</v>
      </c>
      <c r="I15" s="204">
        <v>27</v>
      </c>
      <c r="J15" s="204">
        <v>10</v>
      </c>
      <c r="K15" s="204">
        <v>17</v>
      </c>
      <c r="L15" s="204">
        <v>462</v>
      </c>
      <c r="M15" s="204">
        <v>141</v>
      </c>
      <c r="N15" s="204">
        <v>321</v>
      </c>
      <c r="O15" s="204">
        <v>101275</v>
      </c>
      <c r="P15" s="204">
        <v>31306</v>
      </c>
      <c r="Q15" s="204">
        <v>69969</v>
      </c>
      <c r="R15" s="204">
        <v>5063</v>
      </c>
      <c r="S15" s="204">
        <v>1685</v>
      </c>
      <c r="T15" s="204">
        <v>3378</v>
      </c>
      <c r="U15" s="204">
        <v>5449</v>
      </c>
      <c r="V15" s="204">
        <v>2016</v>
      </c>
      <c r="W15" s="204">
        <v>3433</v>
      </c>
      <c r="X15" s="204">
        <v>90763</v>
      </c>
      <c r="Y15" s="204">
        <v>27605</v>
      </c>
      <c r="Z15" s="204">
        <v>63158</v>
      </c>
      <c r="AA15" s="204">
        <v>786443.8</v>
      </c>
      <c r="AB15" s="204">
        <v>253353.2</v>
      </c>
      <c r="AC15" s="204">
        <v>533090.6</v>
      </c>
      <c r="AD15" s="204">
        <v>33883.300000000003</v>
      </c>
      <c r="AE15" s="204">
        <v>12208</v>
      </c>
      <c r="AF15" s="204">
        <v>21675.3</v>
      </c>
      <c r="AG15" s="204">
        <v>38806.199999999997</v>
      </c>
      <c r="AH15" s="204">
        <v>13677</v>
      </c>
      <c r="AI15" s="204">
        <v>25129.200000000001</v>
      </c>
      <c r="AJ15" s="204">
        <v>713754.3</v>
      </c>
      <c r="AK15" s="204">
        <v>227468.2</v>
      </c>
      <c r="AL15" s="204">
        <v>486286.1</v>
      </c>
      <c r="AM15" s="204">
        <v>166</v>
      </c>
      <c r="AN15" s="204">
        <v>3406</v>
      </c>
      <c r="AO15" s="204">
        <v>1247</v>
      </c>
      <c r="AP15" s="204">
        <v>2159</v>
      </c>
      <c r="AQ15" s="204">
        <v>269</v>
      </c>
      <c r="AR15" s="204">
        <v>125</v>
      </c>
      <c r="AS15" s="204">
        <v>144</v>
      </c>
      <c r="AT15" s="204">
        <v>195</v>
      </c>
      <c r="AU15" s="204">
        <v>86</v>
      </c>
      <c r="AV15" s="204">
        <v>109</v>
      </c>
      <c r="AW15" s="204">
        <v>2942</v>
      </c>
      <c r="AX15" s="204">
        <v>1036</v>
      </c>
      <c r="AY15" s="204">
        <v>1906</v>
      </c>
      <c r="AZ15" s="204">
        <v>630068</v>
      </c>
      <c r="BA15" s="204">
        <v>225645</v>
      </c>
      <c r="BB15" s="204">
        <v>404423</v>
      </c>
      <c r="BC15" s="204">
        <v>50949</v>
      </c>
      <c r="BD15" s="204">
        <v>22912</v>
      </c>
      <c r="BE15" s="204">
        <v>28037</v>
      </c>
      <c r="BF15" s="204">
        <v>34020</v>
      </c>
      <c r="BG15" s="204">
        <v>14518</v>
      </c>
      <c r="BH15" s="204">
        <v>19502</v>
      </c>
      <c r="BI15" s="204">
        <v>545099</v>
      </c>
      <c r="BJ15" s="204">
        <v>188215</v>
      </c>
      <c r="BK15" s="204">
        <v>356884</v>
      </c>
      <c r="BL15" s="204">
        <v>5025312</v>
      </c>
      <c r="BM15" s="204">
        <v>1687814.1</v>
      </c>
      <c r="BN15" s="204">
        <v>3337497.9</v>
      </c>
      <c r="BO15" s="204">
        <v>362989.3</v>
      </c>
      <c r="BP15" s="204">
        <v>154430.39999999999</v>
      </c>
      <c r="BQ15" s="204">
        <v>208558.9</v>
      </c>
      <c r="BR15" s="204">
        <v>261801.1</v>
      </c>
      <c r="BS15" s="204">
        <v>111589</v>
      </c>
      <c r="BT15" s="204">
        <v>150212.1</v>
      </c>
      <c r="BU15" s="204">
        <v>4400521.5999999996</v>
      </c>
      <c r="BV15" s="204">
        <v>1421794.7</v>
      </c>
      <c r="BW15" s="204">
        <v>2978726.9</v>
      </c>
    </row>
    <row r="16" spans="1:101" s="205" customFormat="1" ht="15.6" customHeight="1">
      <c r="A16" s="193" t="s">
        <v>401</v>
      </c>
      <c r="B16" s="206">
        <v>32</v>
      </c>
      <c r="C16" s="206">
        <v>770</v>
      </c>
      <c r="D16" s="206">
        <v>211</v>
      </c>
      <c r="E16" s="206">
        <v>559</v>
      </c>
      <c r="F16" s="206">
        <v>42</v>
      </c>
      <c r="G16" s="206">
        <v>14</v>
      </c>
      <c r="H16" s="206">
        <v>28</v>
      </c>
      <c r="I16" s="206">
        <v>46</v>
      </c>
      <c r="J16" s="206">
        <v>9</v>
      </c>
      <c r="K16" s="206">
        <v>37</v>
      </c>
      <c r="L16" s="206">
        <v>682</v>
      </c>
      <c r="M16" s="206">
        <v>188</v>
      </c>
      <c r="N16" s="206">
        <v>494</v>
      </c>
      <c r="O16" s="206">
        <v>125774</v>
      </c>
      <c r="P16" s="206">
        <v>36315</v>
      </c>
      <c r="Q16" s="206">
        <v>89459</v>
      </c>
      <c r="R16" s="206">
        <v>6412</v>
      </c>
      <c r="S16" s="206">
        <v>2163</v>
      </c>
      <c r="T16" s="206">
        <v>4249</v>
      </c>
      <c r="U16" s="206">
        <v>7363</v>
      </c>
      <c r="V16" s="206">
        <v>1646</v>
      </c>
      <c r="W16" s="206">
        <v>5717</v>
      </c>
      <c r="X16" s="206">
        <v>111999</v>
      </c>
      <c r="Y16" s="206">
        <v>32506</v>
      </c>
      <c r="Z16" s="206">
        <v>79493</v>
      </c>
      <c r="AA16" s="206">
        <v>901062.3</v>
      </c>
      <c r="AB16" s="206">
        <v>261891.5</v>
      </c>
      <c r="AC16" s="206">
        <v>639170.80000000005</v>
      </c>
      <c r="AD16" s="206">
        <v>47412.1</v>
      </c>
      <c r="AE16" s="206">
        <v>16521.5</v>
      </c>
      <c r="AF16" s="206">
        <v>30890.6</v>
      </c>
      <c r="AG16" s="206">
        <v>50578.5</v>
      </c>
      <c r="AH16" s="206">
        <v>11158</v>
      </c>
      <c r="AI16" s="206">
        <v>39420.5</v>
      </c>
      <c r="AJ16" s="206">
        <v>803071.7</v>
      </c>
      <c r="AK16" s="206">
        <v>234212</v>
      </c>
      <c r="AL16" s="206">
        <v>568859.69999999995</v>
      </c>
      <c r="AM16" s="206">
        <v>227</v>
      </c>
      <c r="AN16" s="206">
        <v>4321</v>
      </c>
      <c r="AO16" s="206">
        <v>1579</v>
      </c>
      <c r="AP16" s="206">
        <v>2742</v>
      </c>
      <c r="AQ16" s="206">
        <v>366</v>
      </c>
      <c r="AR16" s="206">
        <v>166</v>
      </c>
      <c r="AS16" s="206">
        <v>200</v>
      </c>
      <c r="AT16" s="206">
        <v>257</v>
      </c>
      <c r="AU16" s="206">
        <v>105</v>
      </c>
      <c r="AV16" s="206">
        <v>152</v>
      </c>
      <c r="AW16" s="206">
        <v>3698</v>
      </c>
      <c r="AX16" s="206">
        <v>1308</v>
      </c>
      <c r="AY16" s="206">
        <v>2390</v>
      </c>
      <c r="AZ16" s="206">
        <v>784212</v>
      </c>
      <c r="BA16" s="206">
        <v>276596</v>
      </c>
      <c r="BB16" s="206">
        <v>507616</v>
      </c>
      <c r="BC16" s="206">
        <v>63282</v>
      </c>
      <c r="BD16" s="206">
        <v>27399</v>
      </c>
      <c r="BE16" s="206">
        <v>35883</v>
      </c>
      <c r="BF16" s="206">
        <v>44719</v>
      </c>
      <c r="BG16" s="206">
        <v>18270</v>
      </c>
      <c r="BH16" s="206">
        <v>26449</v>
      </c>
      <c r="BI16" s="206">
        <v>676211</v>
      </c>
      <c r="BJ16" s="206">
        <v>230927</v>
      </c>
      <c r="BK16" s="206">
        <v>445284</v>
      </c>
      <c r="BL16" s="206">
        <v>5975337.2999999998</v>
      </c>
      <c r="BM16" s="206">
        <v>2110683.7000000002</v>
      </c>
      <c r="BN16" s="206">
        <v>3864653.6</v>
      </c>
      <c r="BO16" s="206">
        <v>475852.3</v>
      </c>
      <c r="BP16" s="206">
        <v>190087.4</v>
      </c>
      <c r="BQ16" s="206">
        <v>285764.90000000002</v>
      </c>
      <c r="BR16" s="206">
        <v>334203.2</v>
      </c>
      <c r="BS16" s="206">
        <v>132569</v>
      </c>
      <c r="BT16" s="206">
        <v>201634.2</v>
      </c>
      <c r="BU16" s="206">
        <v>5165281.8</v>
      </c>
      <c r="BV16" s="206">
        <v>1788027.3</v>
      </c>
      <c r="BW16" s="206">
        <v>3377254.5</v>
      </c>
    </row>
    <row r="17" spans="1:73" s="205" customFormat="1" ht="15.6" customHeight="1">
      <c r="A17" s="192"/>
      <c r="B17" s="204"/>
      <c r="C17" s="204"/>
      <c r="D17" s="204"/>
      <c r="E17" s="204"/>
      <c r="F17" s="204"/>
      <c r="G17" s="204"/>
      <c r="H17" s="204"/>
      <c r="I17" s="204"/>
      <c r="J17" s="204"/>
      <c r="K17" s="204"/>
      <c r="L17" s="204"/>
      <c r="M17" s="204"/>
      <c r="N17" s="204"/>
      <c r="O17" s="204"/>
      <c r="P17" s="204"/>
      <c r="Q17" s="204"/>
      <c r="R17" s="204"/>
      <c r="S17" s="204"/>
      <c r="T17" s="204"/>
      <c r="U17" s="204"/>
      <c r="V17" s="204"/>
      <c r="W17" s="204"/>
      <c r="X17" s="204"/>
      <c r="Y17" s="204"/>
      <c r="Z17" s="204"/>
      <c r="AA17" s="204"/>
      <c r="AB17" s="204"/>
      <c r="AC17" s="204"/>
      <c r="AD17" s="204"/>
      <c r="AE17" s="204"/>
      <c r="AF17" s="204"/>
      <c r="AG17" s="204"/>
      <c r="AH17" s="204"/>
      <c r="AI17" s="204"/>
      <c r="AJ17" s="204"/>
      <c r="AK17" s="204"/>
      <c r="AL17" s="204"/>
      <c r="AM17" s="204"/>
      <c r="AN17" s="204"/>
      <c r="AO17" s="204"/>
      <c r="AP17" s="204"/>
      <c r="AQ17" s="204"/>
      <c r="AR17" s="204"/>
      <c r="AS17" s="204"/>
      <c r="AT17" s="204"/>
      <c r="AU17" s="204"/>
      <c r="AV17" s="204"/>
      <c r="AW17" s="204"/>
      <c r="AX17" s="204"/>
      <c r="AY17" s="204"/>
      <c r="AZ17" s="204"/>
      <c r="BA17" s="204"/>
      <c r="BB17" s="204"/>
      <c r="BC17" s="204"/>
      <c r="BD17" s="204"/>
      <c r="BE17" s="204"/>
      <c r="BF17" s="204"/>
      <c r="BG17" s="204"/>
      <c r="BH17" s="204"/>
      <c r="BI17" s="204"/>
      <c r="BJ17" s="204"/>
      <c r="BK17" s="204"/>
      <c r="BL17" s="204"/>
      <c r="BM17" s="204"/>
      <c r="BN17" s="204"/>
      <c r="BO17" s="204"/>
      <c r="BP17" s="204"/>
      <c r="BQ17" s="204"/>
      <c r="BR17" s="204"/>
      <c r="BS17" s="204"/>
      <c r="BT17" s="204"/>
      <c r="BU17" s="204"/>
    </row>
    <row r="18" spans="1:73" s="84" customFormat="1" ht="15.75" customHeight="1">
      <c r="A18" s="301" t="s">
        <v>414</v>
      </c>
      <c r="B18" s="405" t="s">
        <v>310</v>
      </c>
      <c r="C18" s="406"/>
      <c r="D18" s="406"/>
      <c r="E18" s="406"/>
      <c r="F18" s="406"/>
      <c r="G18" s="406"/>
      <c r="H18" s="406"/>
      <c r="I18" s="406"/>
      <c r="J18" s="406"/>
      <c r="K18" s="406"/>
      <c r="L18" s="406"/>
      <c r="M18" s="406"/>
      <c r="N18" s="405" t="s">
        <v>311</v>
      </c>
      <c r="O18" s="406"/>
      <c r="P18" s="406"/>
      <c r="Q18" s="406"/>
      <c r="R18" s="406"/>
      <c r="S18" s="406"/>
      <c r="T18" s="406"/>
      <c r="U18" s="406"/>
      <c r="V18" s="406"/>
      <c r="W18" s="406"/>
      <c r="X18" s="406"/>
      <c r="Y18" s="406"/>
      <c r="Z18" s="406"/>
      <c r="AA18" s="406"/>
      <c r="AB18" s="406"/>
      <c r="AC18" s="406"/>
      <c r="AD18" s="406"/>
      <c r="AE18" s="406"/>
      <c r="AF18" s="406"/>
      <c r="AG18" s="406"/>
      <c r="AH18" s="406"/>
      <c r="AI18" s="406"/>
      <c r="AJ18" s="406"/>
      <c r="AK18" s="406"/>
      <c r="AL18" s="406"/>
      <c r="AM18" s="406"/>
      <c r="AN18" s="406"/>
      <c r="AO18" s="406"/>
      <c r="AP18" s="406"/>
      <c r="AQ18" s="406"/>
      <c r="AR18" s="406"/>
      <c r="AS18" s="406"/>
      <c r="AT18" s="406"/>
      <c r="AU18" s="406"/>
      <c r="AV18" s="406"/>
      <c r="AW18" s="406"/>
      <c r="AX18" s="406"/>
      <c r="AY18" s="406"/>
      <c r="AZ18" s="406"/>
      <c r="BA18" s="406"/>
      <c r="BB18" s="406"/>
      <c r="BC18" s="406"/>
      <c r="BD18" s="406"/>
      <c r="BE18" s="406"/>
      <c r="BF18" s="406"/>
      <c r="BG18" s="406"/>
      <c r="BH18" s="406"/>
      <c r="BI18" s="406"/>
      <c r="BJ18" s="406"/>
      <c r="BK18" s="406"/>
      <c r="BL18" s="406"/>
      <c r="BM18" s="406"/>
      <c r="BN18" s="406"/>
      <c r="BO18" s="406"/>
      <c r="BP18" s="406"/>
      <c r="BQ18" s="406"/>
      <c r="BR18" s="406"/>
      <c r="BS18" s="406"/>
      <c r="BT18" s="406"/>
      <c r="BU18" s="406"/>
    </row>
    <row r="19" spans="1:73" s="82" customFormat="1" ht="15.75" customHeight="1">
      <c r="A19" s="341"/>
      <c r="B19" s="405" t="s">
        <v>297</v>
      </c>
      <c r="C19" s="406"/>
      <c r="D19" s="406"/>
      <c r="E19" s="406"/>
      <c r="F19" s="406"/>
      <c r="G19" s="406"/>
      <c r="H19" s="406"/>
      <c r="I19" s="406"/>
      <c r="J19" s="406"/>
      <c r="K19" s="406"/>
      <c r="L19" s="406"/>
      <c r="M19" s="407"/>
      <c r="N19" s="332" t="s">
        <v>56</v>
      </c>
      <c r="O19" s="304"/>
      <c r="P19" s="304"/>
      <c r="Q19" s="304"/>
      <c r="R19" s="304"/>
      <c r="S19" s="304"/>
      <c r="T19" s="304"/>
      <c r="U19" s="304"/>
      <c r="V19" s="304"/>
      <c r="W19" s="304"/>
      <c r="X19" s="304"/>
      <c r="Y19" s="304"/>
      <c r="Z19" s="304"/>
      <c r="AA19" s="304"/>
      <c r="AB19" s="304"/>
      <c r="AC19" s="304"/>
      <c r="AD19" s="304"/>
      <c r="AE19" s="304"/>
      <c r="AF19" s="304"/>
      <c r="AG19" s="304"/>
      <c r="AH19" s="304"/>
      <c r="AI19" s="304"/>
      <c r="AJ19" s="304"/>
      <c r="AK19" s="304"/>
      <c r="AL19" s="304"/>
      <c r="AM19" s="304"/>
      <c r="AN19" s="304"/>
      <c r="AO19" s="304"/>
      <c r="AP19" s="304"/>
      <c r="AQ19" s="304"/>
      <c r="AR19" s="304"/>
      <c r="AS19" s="304"/>
      <c r="AT19" s="304"/>
      <c r="AU19" s="304"/>
      <c r="AV19" s="304"/>
      <c r="AW19" s="304"/>
      <c r="AX19" s="304"/>
      <c r="AY19" s="304"/>
      <c r="AZ19" s="304"/>
      <c r="BA19" s="304"/>
      <c r="BB19" s="304"/>
      <c r="BC19" s="304"/>
      <c r="BD19" s="304"/>
      <c r="BE19" s="304"/>
      <c r="BF19" s="304"/>
      <c r="BG19" s="304"/>
      <c r="BH19" s="304"/>
      <c r="BI19" s="304"/>
      <c r="BJ19" s="304"/>
      <c r="BK19" s="304"/>
      <c r="BL19" s="304"/>
      <c r="BM19" s="304"/>
      <c r="BN19" s="304"/>
      <c r="BO19" s="304"/>
      <c r="BP19" s="304"/>
      <c r="BQ19" s="304"/>
      <c r="BR19" s="304"/>
      <c r="BS19" s="304"/>
      <c r="BT19" s="304"/>
      <c r="BU19" s="304"/>
    </row>
    <row r="20" spans="1:73" s="83" customFormat="1" ht="15.75" customHeight="1">
      <c r="A20" s="341"/>
      <c r="B20" s="408" t="s">
        <v>189</v>
      </c>
      <c r="C20" s="408"/>
      <c r="D20" s="408"/>
      <c r="E20" s="409" t="s">
        <v>178</v>
      </c>
      <c r="F20" s="409"/>
      <c r="G20" s="409"/>
      <c r="H20" s="409" t="s">
        <v>179</v>
      </c>
      <c r="I20" s="409"/>
      <c r="J20" s="409"/>
      <c r="K20" s="409" t="s">
        <v>180</v>
      </c>
      <c r="L20" s="409"/>
      <c r="M20" s="409"/>
      <c r="N20" s="333" t="s">
        <v>182</v>
      </c>
      <c r="O20" s="334"/>
      <c r="P20" s="334"/>
      <c r="Q20" s="334"/>
      <c r="R20" s="334"/>
      <c r="S20" s="334"/>
      <c r="T20" s="334"/>
      <c r="U20" s="334"/>
      <c r="V20" s="334"/>
      <c r="W20" s="334"/>
      <c r="X20" s="334"/>
      <c r="Y20" s="335"/>
      <c r="Z20" s="309" t="s">
        <v>183</v>
      </c>
      <c r="AA20" s="310"/>
      <c r="AB20" s="310"/>
      <c r="AC20" s="310"/>
      <c r="AD20" s="310"/>
      <c r="AE20" s="310"/>
      <c r="AF20" s="310"/>
      <c r="AG20" s="310"/>
      <c r="AH20" s="310"/>
      <c r="AI20" s="310"/>
      <c r="AJ20" s="310"/>
      <c r="AK20" s="336"/>
      <c r="AL20" s="309" t="s">
        <v>184</v>
      </c>
      <c r="AM20" s="310"/>
      <c r="AN20" s="310"/>
      <c r="AO20" s="310"/>
      <c r="AP20" s="310"/>
      <c r="AQ20" s="310"/>
      <c r="AR20" s="310"/>
      <c r="AS20" s="310"/>
      <c r="AT20" s="310"/>
      <c r="AU20" s="310"/>
      <c r="AV20" s="310"/>
      <c r="AW20" s="336"/>
      <c r="AX20" s="309" t="s">
        <v>185</v>
      </c>
      <c r="AY20" s="310"/>
      <c r="AZ20" s="310"/>
      <c r="BA20" s="310"/>
      <c r="BB20" s="310"/>
      <c r="BC20" s="310"/>
      <c r="BD20" s="310"/>
      <c r="BE20" s="310"/>
      <c r="BF20" s="310"/>
      <c r="BG20" s="310"/>
      <c r="BH20" s="310"/>
      <c r="BI20" s="336"/>
      <c r="BJ20" s="309" t="s">
        <v>186</v>
      </c>
      <c r="BK20" s="310"/>
      <c r="BL20" s="310"/>
      <c r="BM20" s="310"/>
      <c r="BN20" s="310"/>
      <c r="BO20" s="310"/>
      <c r="BP20" s="310"/>
      <c r="BQ20" s="310"/>
      <c r="BR20" s="310"/>
      <c r="BS20" s="310"/>
      <c r="BT20" s="310"/>
      <c r="BU20" s="310"/>
    </row>
    <row r="21" spans="1:73" s="84" customFormat="1" ht="15.75" customHeight="1">
      <c r="A21" s="341"/>
      <c r="B21" s="408"/>
      <c r="C21" s="408"/>
      <c r="D21" s="408"/>
      <c r="E21" s="409"/>
      <c r="F21" s="409"/>
      <c r="G21" s="409"/>
      <c r="H21" s="409"/>
      <c r="I21" s="409"/>
      <c r="J21" s="409"/>
      <c r="K21" s="409"/>
      <c r="L21" s="409"/>
      <c r="M21" s="409"/>
      <c r="N21" s="316" t="s">
        <v>189</v>
      </c>
      <c r="O21" s="317"/>
      <c r="P21" s="318"/>
      <c r="Q21" s="296" t="s">
        <v>178</v>
      </c>
      <c r="R21" s="297"/>
      <c r="S21" s="298"/>
      <c r="T21" s="296" t="s">
        <v>179</v>
      </c>
      <c r="U21" s="297"/>
      <c r="V21" s="298"/>
      <c r="W21" s="296" t="s">
        <v>180</v>
      </c>
      <c r="X21" s="297"/>
      <c r="Y21" s="298"/>
      <c r="Z21" s="316" t="s">
        <v>189</v>
      </c>
      <c r="AA21" s="317"/>
      <c r="AB21" s="318"/>
      <c r="AC21" s="296" t="s">
        <v>178</v>
      </c>
      <c r="AD21" s="297"/>
      <c r="AE21" s="298"/>
      <c r="AF21" s="296" t="s">
        <v>179</v>
      </c>
      <c r="AG21" s="297"/>
      <c r="AH21" s="298"/>
      <c r="AI21" s="296" t="s">
        <v>180</v>
      </c>
      <c r="AJ21" s="297"/>
      <c r="AK21" s="298"/>
      <c r="AL21" s="316" t="s">
        <v>189</v>
      </c>
      <c r="AM21" s="317"/>
      <c r="AN21" s="318"/>
      <c r="AO21" s="296" t="s">
        <v>178</v>
      </c>
      <c r="AP21" s="297"/>
      <c r="AQ21" s="298"/>
      <c r="AR21" s="296" t="s">
        <v>179</v>
      </c>
      <c r="AS21" s="297"/>
      <c r="AT21" s="298"/>
      <c r="AU21" s="296" t="s">
        <v>180</v>
      </c>
      <c r="AV21" s="297"/>
      <c r="AW21" s="298"/>
      <c r="AX21" s="316" t="s">
        <v>189</v>
      </c>
      <c r="AY21" s="317"/>
      <c r="AZ21" s="318"/>
      <c r="BA21" s="296" t="s">
        <v>178</v>
      </c>
      <c r="BB21" s="297"/>
      <c r="BC21" s="298"/>
      <c r="BD21" s="296" t="s">
        <v>179</v>
      </c>
      <c r="BE21" s="297"/>
      <c r="BF21" s="298"/>
      <c r="BG21" s="296" t="s">
        <v>180</v>
      </c>
      <c r="BH21" s="297"/>
      <c r="BI21" s="298"/>
      <c r="BJ21" s="316" t="s">
        <v>189</v>
      </c>
      <c r="BK21" s="317"/>
      <c r="BL21" s="318"/>
      <c r="BM21" s="296" t="s">
        <v>178</v>
      </c>
      <c r="BN21" s="297"/>
      <c r="BO21" s="298"/>
      <c r="BP21" s="296" t="s">
        <v>179</v>
      </c>
      <c r="BQ21" s="297"/>
      <c r="BR21" s="298"/>
      <c r="BS21" s="296" t="s">
        <v>180</v>
      </c>
      <c r="BT21" s="297"/>
      <c r="BU21" s="297"/>
    </row>
    <row r="22" spans="1:73" s="84" customFormat="1" ht="28.5" customHeight="1">
      <c r="A22" s="328"/>
      <c r="B22" s="200" t="s">
        <v>307</v>
      </c>
      <c r="C22" s="200" t="s">
        <v>308</v>
      </c>
      <c r="D22" s="200" t="s">
        <v>309</v>
      </c>
      <c r="E22" s="200" t="s">
        <v>307</v>
      </c>
      <c r="F22" s="200" t="s">
        <v>308</v>
      </c>
      <c r="G22" s="200" t="s">
        <v>309</v>
      </c>
      <c r="H22" s="200" t="s">
        <v>307</v>
      </c>
      <c r="I22" s="200" t="s">
        <v>308</v>
      </c>
      <c r="J22" s="200" t="s">
        <v>309</v>
      </c>
      <c r="K22" s="200" t="s">
        <v>307</v>
      </c>
      <c r="L22" s="200" t="s">
        <v>308</v>
      </c>
      <c r="M22" s="200" t="s">
        <v>309</v>
      </c>
      <c r="N22" s="194" t="s">
        <v>72</v>
      </c>
      <c r="O22" s="194" t="s">
        <v>73</v>
      </c>
      <c r="P22" s="194" t="s">
        <v>74</v>
      </c>
      <c r="Q22" s="193" t="s">
        <v>72</v>
      </c>
      <c r="R22" s="194" t="s">
        <v>73</v>
      </c>
      <c r="S22" s="194" t="s">
        <v>74</v>
      </c>
      <c r="T22" s="193" t="s">
        <v>72</v>
      </c>
      <c r="U22" s="194" t="s">
        <v>73</v>
      </c>
      <c r="V22" s="194" t="s">
        <v>74</v>
      </c>
      <c r="W22" s="193" t="s">
        <v>72</v>
      </c>
      <c r="X22" s="194" t="s">
        <v>73</v>
      </c>
      <c r="Y22" s="194" t="s">
        <v>74</v>
      </c>
      <c r="Z22" s="193" t="s">
        <v>72</v>
      </c>
      <c r="AA22" s="194" t="s">
        <v>73</v>
      </c>
      <c r="AB22" s="194" t="s">
        <v>74</v>
      </c>
      <c r="AC22" s="193" t="s">
        <v>72</v>
      </c>
      <c r="AD22" s="194" t="s">
        <v>73</v>
      </c>
      <c r="AE22" s="194" t="s">
        <v>74</v>
      </c>
      <c r="AF22" s="193" t="s">
        <v>72</v>
      </c>
      <c r="AG22" s="194" t="s">
        <v>73</v>
      </c>
      <c r="AH22" s="194" t="s">
        <v>74</v>
      </c>
      <c r="AI22" s="193" t="s">
        <v>72</v>
      </c>
      <c r="AJ22" s="194" t="s">
        <v>73</v>
      </c>
      <c r="AK22" s="194" t="s">
        <v>74</v>
      </c>
      <c r="AL22" s="193" t="s">
        <v>72</v>
      </c>
      <c r="AM22" s="194" t="s">
        <v>73</v>
      </c>
      <c r="AN22" s="194" t="s">
        <v>74</v>
      </c>
      <c r="AO22" s="193" t="s">
        <v>72</v>
      </c>
      <c r="AP22" s="194" t="s">
        <v>73</v>
      </c>
      <c r="AQ22" s="194" t="s">
        <v>74</v>
      </c>
      <c r="AR22" s="193" t="s">
        <v>72</v>
      </c>
      <c r="AS22" s="194" t="s">
        <v>73</v>
      </c>
      <c r="AT22" s="194" t="s">
        <v>74</v>
      </c>
      <c r="AU22" s="193" t="s">
        <v>72</v>
      </c>
      <c r="AV22" s="194" t="s">
        <v>73</v>
      </c>
      <c r="AW22" s="194" t="s">
        <v>74</v>
      </c>
      <c r="AX22" s="193" t="s">
        <v>72</v>
      </c>
      <c r="AY22" s="194" t="s">
        <v>73</v>
      </c>
      <c r="AZ22" s="194" t="s">
        <v>74</v>
      </c>
      <c r="BA22" s="193" t="s">
        <v>72</v>
      </c>
      <c r="BB22" s="194" t="s">
        <v>73</v>
      </c>
      <c r="BC22" s="194" t="s">
        <v>74</v>
      </c>
      <c r="BD22" s="193" t="s">
        <v>72</v>
      </c>
      <c r="BE22" s="194" t="s">
        <v>73</v>
      </c>
      <c r="BF22" s="194" t="s">
        <v>74</v>
      </c>
      <c r="BG22" s="193" t="s">
        <v>72</v>
      </c>
      <c r="BH22" s="194" t="s">
        <v>73</v>
      </c>
      <c r="BI22" s="194" t="s">
        <v>74</v>
      </c>
      <c r="BJ22" s="193" t="s">
        <v>72</v>
      </c>
      <c r="BK22" s="194" t="s">
        <v>73</v>
      </c>
      <c r="BL22" s="194" t="s">
        <v>74</v>
      </c>
      <c r="BM22" s="193" t="s">
        <v>72</v>
      </c>
      <c r="BN22" s="194" t="s">
        <v>73</v>
      </c>
      <c r="BO22" s="194" t="s">
        <v>74</v>
      </c>
      <c r="BP22" s="193" t="s">
        <v>72</v>
      </c>
      <c r="BQ22" s="194" t="s">
        <v>73</v>
      </c>
      <c r="BR22" s="194" t="s">
        <v>74</v>
      </c>
      <c r="BS22" s="193" t="s">
        <v>72</v>
      </c>
      <c r="BT22" s="194" t="s">
        <v>73</v>
      </c>
      <c r="BU22" s="195" t="s">
        <v>74</v>
      </c>
    </row>
    <row r="23" spans="1:73" s="205" customFormat="1" ht="15" customHeight="1">
      <c r="A23" s="197" t="s">
        <v>402</v>
      </c>
      <c r="B23" s="207">
        <v>793</v>
      </c>
      <c r="C23" s="207">
        <v>237</v>
      </c>
      <c r="D23" s="207">
        <v>556</v>
      </c>
      <c r="E23" s="207">
        <v>50</v>
      </c>
      <c r="F23" s="207">
        <v>14</v>
      </c>
      <c r="G23" s="207">
        <v>36</v>
      </c>
      <c r="H23" s="207">
        <v>43</v>
      </c>
      <c r="I23" s="207">
        <v>19</v>
      </c>
      <c r="J23" s="207">
        <v>24</v>
      </c>
      <c r="K23" s="207">
        <v>700</v>
      </c>
      <c r="L23" s="207">
        <v>204</v>
      </c>
      <c r="M23" s="207">
        <v>496</v>
      </c>
      <c r="N23" s="207">
        <v>8175</v>
      </c>
      <c r="O23" s="207">
        <v>2837</v>
      </c>
      <c r="P23" s="207">
        <v>5338</v>
      </c>
      <c r="Q23" s="207">
        <v>854</v>
      </c>
      <c r="R23" s="207">
        <v>388</v>
      </c>
      <c r="S23" s="207">
        <v>466</v>
      </c>
      <c r="T23" s="207">
        <v>533</v>
      </c>
      <c r="U23" s="207">
        <v>233</v>
      </c>
      <c r="V23" s="207">
        <v>300</v>
      </c>
      <c r="W23" s="207">
        <v>6788</v>
      </c>
      <c r="X23" s="207">
        <v>2216</v>
      </c>
      <c r="Y23" s="207">
        <v>4572</v>
      </c>
      <c r="Z23" s="207">
        <v>5169</v>
      </c>
      <c r="AA23" s="207">
        <v>1756</v>
      </c>
      <c r="AB23" s="207">
        <v>3413</v>
      </c>
      <c r="AC23" s="207">
        <v>478</v>
      </c>
      <c r="AD23" s="207">
        <v>196</v>
      </c>
      <c r="AE23" s="207">
        <v>282</v>
      </c>
      <c r="AF23" s="207">
        <v>309</v>
      </c>
      <c r="AG23" s="207">
        <v>152</v>
      </c>
      <c r="AH23" s="207">
        <v>157</v>
      </c>
      <c r="AI23" s="207">
        <v>4382</v>
      </c>
      <c r="AJ23" s="207">
        <v>1408</v>
      </c>
      <c r="AK23" s="207">
        <v>2974</v>
      </c>
      <c r="AL23" s="207">
        <v>68</v>
      </c>
      <c r="AM23" s="207">
        <v>34</v>
      </c>
      <c r="AN23" s="207">
        <v>34</v>
      </c>
      <c r="AO23" s="207">
        <v>37</v>
      </c>
      <c r="AP23" s="207">
        <v>26</v>
      </c>
      <c r="AQ23" s="207">
        <v>11</v>
      </c>
      <c r="AR23" s="207">
        <v>16</v>
      </c>
      <c r="AS23" s="207">
        <v>3</v>
      </c>
      <c r="AT23" s="207">
        <v>13</v>
      </c>
      <c r="AU23" s="207">
        <v>15</v>
      </c>
      <c r="AV23" s="207">
        <v>5</v>
      </c>
      <c r="AW23" s="207">
        <v>10</v>
      </c>
      <c r="AX23" s="207">
        <v>421</v>
      </c>
      <c r="AY23" s="207">
        <v>242</v>
      </c>
      <c r="AZ23" s="207">
        <v>179</v>
      </c>
      <c r="BA23" s="207">
        <v>124</v>
      </c>
      <c r="BB23" s="207">
        <v>92</v>
      </c>
      <c r="BC23" s="207">
        <v>32</v>
      </c>
      <c r="BD23" s="207">
        <v>106</v>
      </c>
      <c r="BE23" s="207">
        <v>45</v>
      </c>
      <c r="BF23" s="207">
        <v>61</v>
      </c>
      <c r="BG23" s="207">
        <v>191</v>
      </c>
      <c r="BH23" s="207">
        <v>105</v>
      </c>
      <c r="BI23" s="207">
        <v>86</v>
      </c>
      <c r="BJ23" s="207">
        <v>2517</v>
      </c>
      <c r="BK23" s="207">
        <v>805</v>
      </c>
      <c r="BL23" s="207">
        <v>1712</v>
      </c>
      <c r="BM23" s="207">
        <v>215</v>
      </c>
      <c r="BN23" s="207">
        <v>74</v>
      </c>
      <c r="BO23" s="207">
        <v>141</v>
      </c>
      <c r="BP23" s="207">
        <v>102</v>
      </c>
      <c r="BQ23" s="207">
        <v>33</v>
      </c>
      <c r="BR23" s="207">
        <v>69</v>
      </c>
      <c r="BS23" s="207">
        <v>2200</v>
      </c>
      <c r="BT23" s="207">
        <v>698</v>
      </c>
      <c r="BU23" s="207">
        <v>1502</v>
      </c>
    </row>
    <row r="24" spans="1:73" s="205" customFormat="1" ht="15" customHeight="1">
      <c r="A24" s="201"/>
      <c r="B24" s="204"/>
      <c r="C24" s="204"/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  <c r="AA24" s="204"/>
      <c r="AB24" s="204"/>
      <c r="AC24" s="204"/>
      <c r="AD24" s="204"/>
      <c r="AE24" s="204"/>
      <c r="AF24" s="204"/>
      <c r="AG24" s="204"/>
      <c r="AH24" s="204"/>
      <c r="AI24" s="204"/>
      <c r="AJ24" s="204"/>
      <c r="AK24" s="204"/>
      <c r="AL24" s="204"/>
      <c r="AM24" s="204"/>
      <c r="AN24" s="204"/>
      <c r="AO24" s="204"/>
      <c r="AP24" s="204"/>
      <c r="AQ24" s="204"/>
      <c r="AR24" s="204"/>
      <c r="AS24" s="204"/>
      <c r="AT24" s="204"/>
      <c r="AU24" s="204"/>
      <c r="AV24" s="204"/>
      <c r="AW24" s="204"/>
      <c r="AX24" s="204"/>
      <c r="AY24" s="204"/>
      <c r="AZ24" s="204"/>
      <c r="BA24" s="204"/>
      <c r="BB24" s="204"/>
      <c r="BC24" s="204"/>
      <c r="BD24" s="204"/>
      <c r="BE24" s="204"/>
      <c r="BF24" s="204"/>
      <c r="BG24" s="204"/>
      <c r="BH24" s="204"/>
      <c r="BI24" s="204"/>
      <c r="BJ24" s="204"/>
      <c r="BK24" s="204"/>
      <c r="BL24" s="204"/>
      <c r="BM24" s="204"/>
      <c r="BN24" s="204"/>
      <c r="BO24" s="204"/>
      <c r="BP24" s="204"/>
      <c r="BQ24" s="204"/>
      <c r="BR24" s="204"/>
      <c r="BS24" s="204"/>
      <c r="BT24" s="204"/>
    </row>
    <row r="25" spans="1:73" ht="17.25" customHeight="1">
      <c r="A25" s="301" t="s">
        <v>405</v>
      </c>
      <c r="B25" s="304" t="s">
        <v>56</v>
      </c>
      <c r="C25" s="304"/>
      <c r="D25" s="304"/>
      <c r="E25" s="304"/>
      <c r="F25" s="304"/>
      <c r="G25" s="304"/>
      <c r="H25" s="304"/>
      <c r="I25" s="304"/>
      <c r="J25" s="304"/>
      <c r="K25" s="304"/>
      <c r="L25" s="304"/>
      <c r="M25" s="304"/>
      <c r="N25" s="304"/>
      <c r="O25" s="304"/>
      <c r="P25" s="304"/>
      <c r="Q25" s="304"/>
      <c r="R25" s="304"/>
      <c r="S25" s="304"/>
      <c r="T25" s="304"/>
      <c r="U25" s="304"/>
      <c r="V25" s="304"/>
      <c r="W25" s="304"/>
      <c r="X25" s="304"/>
      <c r="Y25" s="305"/>
      <c r="Z25" s="304" t="s">
        <v>196</v>
      </c>
      <c r="AA25" s="304"/>
      <c r="AB25" s="304"/>
      <c r="AC25" s="304"/>
      <c r="AD25" s="304"/>
      <c r="AE25" s="304"/>
      <c r="AF25" s="304"/>
      <c r="AG25" s="304"/>
      <c r="AH25" s="304"/>
      <c r="AI25" s="304"/>
      <c r="AJ25" s="304"/>
      <c r="AK25" s="304"/>
      <c r="AL25" s="304"/>
      <c r="AM25" s="304"/>
      <c r="AN25" s="304"/>
      <c r="AO25" s="304"/>
      <c r="AP25" s="304"/>
      <c r="AQ25" s="304"/>
      <c r="AR25" s="304"/>
      <c r="AS25" s="304"/>
      <c r="AT25" s="304"/>
      <c r="AU25" s="304"/>
      <c r="AV25" s="304"/>
      <c r="AW25" s="304"/>
    </row>
    <row r="26" spans="1:73" ht="26.25" customHeight="1">
      <c r="A26" s="302"/>
      <c r="B26" s="306" t="s">
        <v>226</v>
      </c>
      <c r="C26" s="306"/>
      <c r="D26" s="306"/>
      <c r="E26" s="307"/>
      <c r="F26" s="296" t="s">
        <v>227</v>
      </c>
      <c r="G26" s="297"/>
      <c r="H26" s="297"/>
      <c r="I26" s="298"/>
      <c r="J26" s="296" t="s">
        <v>232</v>
      </c>
      <c r="K26" s="297"/>
      <c r="L26" s="297"/>
      <c r="M26" s="298"/>
      <c r="N26" s="296" t="s">
        <v>233</v>
      </c>
      <c r="O26" s="297"/>
      <c r="P26" s="297"/>
      <c r="Q26" s="298"/>
      <c r="R26" s="296" t="s">
        <v>228</v>
      </c>
      <c r="S26" s="297"/>
      <c r="T26" s="297"/>
      <c r="U26" s="298"/>
      <c r="V26" s="296" t="s">
        <v>229</v>
      </c>
      <c r="W26" s="297"/>
      <c r="X26" s="297"/>
      <c r="Y26" s="308"/>
      <c r="Z26" s="306" t="s">
        <v>226</v>
      </c>
      <c r="AA26" s="306"/>
      <c r="AB26" s="306"/>
      <c r="AC26" s="307"/>
      <c r="AD26" s="296" t="s">
        <v>227</v>
      </c>
      <c r="AE26" s="297"/>
      <c r="AF26" s="297"/>
      <c r="AG26" s="298"/>
      <c r="AH26" s="296" t="s">
        <v>232</v>
      </c>
      <c r="AI26" s="297"/>
      <c r="AJ26" s="297"/>
      <c r="AK26" s="298"/>
      <c r="AL26" s="296" t="s">
        <v>233</v>
      </c>
      <c r="AM26" s="297"/>
      <c r="AN26" s="297"/>
      <c r="AO26" s="298"/>
      <c r="AP26" s="296" t="s">
        <v>228</v>
      </c>
      <c r="AQ26" s="297"/>
      <c r="AR26" s="297"/>
      <c r="AS26" s="298"/>
      <c r="AT26" s="296" t="s">
        <v>229</v>
      </c>
      <c r="AU26" s="297"/>
      <c r="AV26" s="297"/>
      <c r="AW26" s="297"/>
    </row>
    <row r="27" spans="1:73" s="9" customFormat="1" ht="18.75" customHeight="1">
      <c r="A27" s="302"/>
      <c r="B27" s="289" t="s">
        <v>189</v>
      </c>
      <c r="C27" s="291" t="s">
        <v>178</v>
      </c>
      <c r="D27" s="291" t="s">
        <v>231</v>
      </c>
      <c r="E27" s="291" t="s">
        <v>180</v>
      </c>
      <c r="F27" s="289" t="s">
        <v>189</v>
      </c>
      <c r="G27" s="291" t="s">
        <v>178</v>
      </c>
      <c r="H27" s="291" t="s">
        <v>231</v>
      </c>
      <c r="I27" s="287" t="s">
        <v>180</v>
      </c>
      <c r="J27" s="289" t="s">
        <v>189</v>
      </c>
      <c r="K27" s="291" t="s">
        <v>178</v>
      </c>
      <c r="L27" s="291" t="s">
        <v>231</v>
      </c>
      <c r="M27" s="287" t="s">
        <v>180</v>
      </c>
      <c r="N27" s="289" t="s">
        <v>189</v>
      </c>
      <c r="O27" s="291" t="s">
        <v>178</v>
      </c>
      <c r="P27" s="291" t="s">
        <v>231</v>
      </c>
      <c r="Q27" s="287" t="s">
        <v>180</v>
      </c>
      <c r="R27" s="289" t="s">
        <v>189</v>
      </c>
      <c r="S27" s="291" t="s">
        <v>178</v>
      </c>
      <c r="T27" s="291" t="s">
        <v>231</v>
      </c>
      <c r="U27" s="287" t="s">
        <v>180</v>
      </c>
      <c r="V27" s="289" t="s">
        <v>189</v>
      </c>
      <c r="W27" s="291" t="s">
        <v>178</v>
      </c>
      <c r="X27" s="291" t="s">
        <v>231</v>
      </c>
      <c r="Y27" s="299" t="s">
        <v>180</v>
      </c>
      <c r="Z27" s="289" t="s">
        <v>189</v>
      </c>
      <c r="AA27" s="291" t="s">
        <v>178</v>
      </c>
      <c r="AB27" s="291" t="s">
        <v>231</v>
      </c>
      <c r="AC27" s="291" t="s">
        <v>180</v>
      </c>
      <c r="AD27" s="289" t="s">
        <v>189</v>
      </c>
      <c r="AE27" s="291" t="s">
        <v>178</v>
      </c>
      <c r="AF27" s="291" t="s">
        <v>231</v>
      </c>
      <c r="AG27" s="287" t="s">
        <v>180</v>
      </c>
      <c r="AH27" s="289" t="s">
        <v>189</v>
      </c>
      <c r="AI27" s="291" t="s">
        <v>178</v>
      </c>
      <c r="AJ27" s="291" t="s">
        <v>231</v>
      </c>
      <c r="AK27" s="287" t="s">
        <v>180</v>
      </c>
      <c r="AL27" s="289" t="s">
        <v>189</v>
      </c>
      <c r="AM27" s="291" t="s">
        <v>178</v>
      </c>
      <c r="AN27" s="291" t="s">
        <v>231</v>
      </c>
      <c r="AO27" s="287" t="s">
        <v>180</v>
      </c>
      <c r="AP27" s="289" t="s">
        <v>189</v>
      </c>
      <c r="AQ27" s="291" t="s">
        <v>178</v>
      </c>
      <c r="AR27" s="291" t="s">
        <v>231</v>
      </c>
      <c r="AS27" s="287" t="s">
        <v>180</v>
      </c>
      <c r="AT27" s="289" t="s">
        <v>189</v>
      </c>
      <c r="AU27" s="291" t="s">
        <v>178</v>
      </c>
      <c r="AV27" s="291" t="s">
        <v>231</v>
      </c>
      <c r="AW27" s="293" t="s">
        <v>180</v>
      </c>
    </row>
    <row r="28" spans="1:73" ht="18.75" customHeight="1">
      <c r="A28" s="303"/>
      <c r="B28" s="290"/>
      <c r="C28" s="292"/>
      <c r="D28" s="292"/>
      <c r="E28" s="292"/>
      <c r="F28" s="290"/>
      <c r="G28" s="292"/>
      <c r="H28" s="292"/>
      <c r="I28" s="288"/>
      <c r="J28" s="290"/>
      <c r="K28" s="292"/>
      <c r="L28" s="292"/>
      <c r="M28" s="288"/>
      <c r="N28" s="290"/>
      <c r="O28" s="292"/>
      <c r="P28" s="292"/>
      <c r="Q28" s="288"/>
      <c r="R28" s="290"/>
      <c r="S28" s="292"/>
      <c r="T28" s="292"/>
      <c r="U28" s="288"/>
      <c r="V28" s="290"/>
      <c r="W28" s="292"/>
      <c r="X28" s="292"/>
      <c r="Y28" s="300"/>
      <c r="Z28" s="290"/>
      <c r="AA28" s="292"/>
      <c r="AB28" s="292"/>
      <c r="AC28" s="292"/>
      <c r="AD28" s="290"/>
      <c r="AE28" s="292"/>
      <c r="AF28" s="292"/>
      <c r="AG28" s="288"/>
      <c r="AH28" s="290"/>
      <c r="AI28" s="292"/>
      <c r="AJ28" s="292"/>
      <c r="AK28" s="288"/>
      <c r="AL28" s="290"/>
      <c r="AM28" s="292"/>
      <c r="AN28" s="292"/>
      <c r="AO28" s="288"/>
      <c r="AP28" s="290"/>
      <c r="AQ28" s="292"/>
      <c r="AR28" s="292"/>
      <c r="AS28" s="288"/>
      <c r="AT28" s="290"/>
      <c r="AU28" s="292"/>
      <c r="AV28" s="292"/>
      <c r="AW28" s="294"/>
    </row>
    <row r="29" spans="1:73" s="218" customFormat="1" ht="14.25">
      <c r="A29" s="190" t="s">
        <v>403</v>
      </c>
      <c r="B29" s="204">
        <v>10018</v>
      </c>
      <c r="C29" s="204">
        <v>890</v>
      </c>
      <c r="D29" s="204">
        <v>681</v>
      </c>
      <c r="E29" s="204">
        <v>8447</v>
      </c>
      <c r="F29" s="204">
        <v>3145</v>
      </c>
      <c r="G29" s="204">
        <v>213</v>
      </c>
      <c r="H29" s="204">
        <v>79</v>
      </c>
      <c r="I29" s="204">
        <v>2853</v>
      </c>
      <c r="J29" s="204">
        <v>1868</v>
      </c>
      <c r="K29" s="204">
        <v>174</v>
      </c>
      <c r="L29" s="204">
        <v>141</v>
      </c>
      <c r="M29" s="204">
        <v>1553</v>
      </c>
      <c r="N29" s="204">
        <v>571</v>
      </c>
      <c r="O29" s="204">
        <v>143</v>
      </c>
      <c r="P29" s="204">
        <v>180</v>
      </c>
      <c r="Q29" s="204">
        <v>248</v>
      </c>
      <c r="R29" s="204">
        <v>45</v>
      </c>
      <c r="S29" s="204">
        <v>18</v>
      </c>
      <c r="T29" s="204">
        <v>12</v>
      </c>
      <c r="U29" s="204">
        <v>15</v>
      </c>
      <c r="V29" s="204">
        <v>4389</v>
      </c>
      <c r="W29" s="204">
        <v>342</v>
      </c>
      <c r="X29" s="204">
        <v>269</v>
      </c>
      <c r="Y29" s="204">
        <v>3778</v>
      </c>
      <c r="Z29" s="204">
        <v>19538</v>
      </c>
      <c r="AA29" s="204">
        <v>1896</v>
      </c>
      <c r="AB29" s="204">
        <v>1401</v>
      </c>
      <c r="AC29" s="204">
        <v>16241</v>
      </c>
      <c r="AD29" s="204">
        <v>5736</v>
      </c>
      <c r="AE29" s="204">
        <v>458</v>
      </c>
      <c r="AF29" s="204">
        <v>190</v>
      </c>
      <c r="AG29" s="204">
        <v>5088</v>
      </c>
      <c r="AH29" s="204">
        <v>4108</v>
      </c>
      <c r="AI29" s="204">
        <v>424</v>
      </c>
      <c r="AJ29" s="204">
        <v>295</v>
      </c>
      <c r="AK29" s="204">
        <v>3389</v>
      </c>
      <c r="AL29" s="204">
        <v>1302</v>
      </c>
      <c r="AM29" s="204">
        <v>297</v>
      </c>
      <c r="AN29" s="204">
        <v>430</v>
      </c>
      <c r="AO29" s="204">
        <v>575</v>
      </c>
      <c r="AP29" s="204">
        <v>74</v>
      </c>
      <c r="AQ29" s="204">
        <v>34</v>
      </c>
      <c r="AR29" s="204">
        <v>22</v>
      </c>
      <c r="AS29" s="204">
        <v>18</v>
      </c>
      <c r="AT29" s="204">
        <v>8318</v>
      </c>
      <c r="AU29" s="204">
        <v>683</v>
      </c>
      <c r="AV29" s="204">
        <v>464</v>
      </c>
      <c r="AW29" s="204">
        <v>7171</v>
      </c>
    </row>
    <row r="30" spans="1:73" s="218" customFormat="1" ht="14.25">
      <c r="A30" s="192" t="s">
        <v>417</v>
      </c>
      <c r="B30" s="204">
        <v>13619</v>
      </c>
      <c r="C30" s="204">
        <v>1316</v>
      </c>
      <c r="D30" s="204">
        <v>985</v>
      </c>
      <c r="E30" s="204">
        <v>11318</v>
      </c>
      <c r="F30" s="204">
        <v>5012</v>
      </c>
      <c r="G30" s="204">
        <v>367</v>
      </c>
      <c r="H30" s="204">
        <v>192</v>
      </c>
      <c r="I30" s="204">
        <v>4453</v>
      </c>
      <c r="J30" s="204">
        <v>2500</v>
      </c>
      <c r="K30" s="204">
        <v>281</v>
      </c>
      <c r="L30" s="204">
        <v>173</v>
      </c>
      <c r="M30" s="204">
        <v>2046</v>
      </c>
      <c r="N30" s="204">
        <v>961</v>
      </c>
      <c r="O30" s="204">
        <v>220</v>
      </c>
      <c r="P30" s="204">
        <v>243</v>
      </c>
      <c r="Q30" s="204">
        <v>498</v>
      </c>
      <c r="R30" s="204">
        <v>123</v>
      </c>
      <c r="S30" s="204">
        <v>32</v>
      </c>
      <c r="T30" s="204">
        <v>38</v>
      </c>
      <c r="U30" s="204">
        <v>53</v>
      </c>
      <c r="V30" s="204">
        <v>5023</v>
      </c>
      <c r="W30" s="204">
        <v>416</v>
      </c>
      <c r="X30" s="204">
        <v>339</v>
      </c>
      <c r="Y30" s="204">
        <v>4268</v>
      </c>
      <c r="Z30" s="204">
        <v>23257</v>
      </c>
      <c r="AA30" s="204">
        <v>2516</v>
      </c>
      <c r="AB30" s="204">
        <v>1732</v>
      </c>
      <c r="AC30" s="204">
        <v>19009</v>
      </c>
      <c r="AD30" s="204">
        <v>7883</v>
      </c>
      <c r="AE30" s="204">
        <v>696</v>
      </c>
      <c r="AF30" s="204">
        <v>339</v>
      </c>
      <c r="AG30" s="204">
        <v>6848</v>
      </c>
      <c r="AH30" s="204">
        <v>5120</v>
      </c>
      <c r="AI30" s="204">
        <v>615</v>
      </c>
      <c r="AJ30" s="204">
        <v>381</v>
      </c>
      <c r="AK30" s="204">
        <v>4124</v>
      </c>
      <c r="AL30" s="204">
        <v>1743</v>
      </c>
      <c r="AM30" s="204">
        <v>418</v>
      </c>
      <c r="AN30" s="204">
        <v>431</v>
      </c>
      <c r="AO30" s="204">
        <v>894</v>
      </c>
      <c r="AP30" s="204">
        <v>171</v>
      </c>
      <c r="AQ30" s="204">
        <v>54</v>
      </c>
      <c r="AR30" s="204">
        <v>59</v>
      </c>
      <c r="AS30" s="204">
        <v>58</v>
      </c>
      <c r="AT30" s="204">
        <v>8340</v>
      </c>
      <c r="AU30" s="204">
        <v>733</v>
      </c>
      <c r="AV30" s="204">
        <v>522</v>
      </c>
      <c r="AW30" s="204">
        <v>7085</v>
      </c>
    </row>
    <row r="31" spans="1:73">
      <c r="A31" s="85" t="s">
        <v>399</v>
      </c>
      <c r="B31" s="219"/>
      <c r="C31" s="219"/>
      <c r="D31" s="219"/>
      <c r="E31" s="219"/>
      <c r="F31" s="219"/>
      <c r="G31" s="219"/>
      <c r="H31" s="219"/>
      <c r="I31" s="219"/>
      <c r="J31" s="219"/>
      <c r="K31" s="219"/>
      <c r="L31" s="219"/>
      <c r="M31" s="219"/>
      <c r="N31" s="219"/>
      <c r="O31" s="219"/>
      <c r="P31" s="219"/>
      <c r="Q31" s="219"/>
      <c r="R31" s="219"/>
      <c r="S31" s="219"/>
      <c r="T31" s="219"/>
      <c r="U31" s="219"/>
      <c r="V31" s="219"/>
      <c r="W31" s="219"/>
      <c r="X31" s="219"/>
      <c r="Y31" s="219"/>
      <c r="Z31" s="219"/>
      <c r="AA31" s="219"/>
      <c r="AB31" s="219"/>
      <c r="AC31" s="219"/>
      <c r="AD31" s="219"/>
      <c r="AE31" s="219"/>
      <c r="AF31" s="219"/>
      <c r="AG31" s="219"/>
      <c r="AH31" s="219"/>
      <c r="AI31" s="219"/>
      <c r="AJ31" s="219"/>
      <c r="AK31" s="219"/>
      <c r="AL31" s="219"/>
      <c r="AM31" s="219"/>
      <c r="AN31" s="219"/>
      <c r="AO31" s="219"/>
      <c r="AP31" s="219"/>
      <c r="AQ31" s="219"/>
      <c r="AR31" s="219"/>
      <c r="AS31" s="219"/>
      <c r="AT31" s="219"/>
      <c r="AU31" s="219"/>
      <c r="AV31" s="219"/>
      <c r="AW31" s="219"/>
    </row>
    <row r="32" spans="1:73" ht="15">
      <c r="A32" s="15" t="s">
        <v>257</v>
      </c>
    </row>
    <row r="33" spans="1:19" ht="49.9" customHeight="1">
      <c r="A33" s="295" t="s">
        <v>400</v>
      </c>
      <c r="B33" s="295"/>
      <c r="C33" s="295"/>
      <c r="D33" s="295"/>
      <c r="E33" s="295"/>
      <c r="F33" s="295"/>
      <c r="G33" s="295"/>
      <c r="H33" s="295"/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</row>
    <row r="34" spans="1:19">
      <c r="A34" s="31" t="s">
        <v>243</v>
      </c>
    </row>
  </sheetData>
  <mergeCells count="200">
    <mergeCell ref="A3:A7"/>
    <mergeCell ref="B3:AL3"/>
    <mergeCell ref="AM3:BW3"/>
    <mergeCell ref="B4:B7"/>
    <mergeCell ref="C4:N4"/>
    <mergeCell ref="O4:Z4"/>
    <mergeCell ref="AA4:AL4"/>
    <mergeCell ref="AM4:AM7"/>
    <mergeCell ref="AN4:AY4"/>
    <mergeCell ref="AZ4:BK4"/>
    <mergeCell ref="BL4:BW4"/>
    <mergeCell ref="F5:H5"/>
    <mergeCell ref="I5:K5"/>
    <mergeCell ref="L5:N5"/>
    <mergeCell ref="R5:T5"/>
    <mergeCell ref="U5:W5"/>
    <mergeCell ref="X5:Z5"/>
    <mergeCell ref="AA5:AC5"/>
    <mergeCell ref="AD5:AF5"/>
    <mergeCell ref="AG5:AI5"/>
    <mergeCell ref="BI5:BK5"/>
    <mergeCell ref="BO5:BQ5"/>
    <mergeCell ref="BR5:BT5"/>
    <mergeCell ref="BU5:BW5"/>
    <mergeCell ref="C6:C7"/>
    <mergeCell ref="D6:D7"/>
    <mergeCell ref="E6:E7"/>
    <mergeCell ref="F6:F7"/>
    <mergeCell ref="G6:G7"/>
    <mergeCell ref="H6:H7"/>
    <mergeCell ref="AJ5:AL5"/>
    <mergeCell ref="AQ5:AS5"/>
    <mergeCell ref="AT5:AV5"/>
    <mergeCell ref="I6:I7"/>
    <mergeCell ref="J6:J7"/>
    <mergeCell ref="K6:K7"/>
    <mergeCell ref="L6:L7"/>
    <mergeCell ref="M6:M7"/>
    <mergeCell ref="N6:N7"/>
    <mergeCell ref="AQ6:AQ7"/>
    <mergeCell ref="AR6:AR7"/>
    <mergeCell ref="AS6:AS7"/>
    <mergeCell ref="AG6:AG7"/>
    <mergeCell ref="AH6:AH7"/>
    <mergeCell ref="AI6:AI7"/>
    <mergeCell ref="AJ6:AJ7"/>
    <mergeCell ref="AK6:AK7"/>
    <mergeCell ref="AL6:AL7"/>
    <mergeCell ref="AW5:AY5"/>
    <mergeCell ref="BC5:BE5"/>
    <mergeCell ref="BF5:BH5"/>
    <mergeCell ref="O6:O7"/>
    <mergeCell ref="P6:P7"/>
    <mergeCell ref="Q6:Q7"/>
    <mergeCell ref="R6:R7"/>
    <mergeCell ref="S6:S7"/>
    <mergeCell ref="T6:T7"/>
    <mergeCell ref="AA6:AA7"/>
    <mergeCell ref="AB6:AB7"/>
    <mergeCell ref="AC6:AC7"/>
    <mergeCell ref="AD6:AD7"/>
    <mergeCell ref="AE6:AE7"/>
    <mergeCell ref="AF6:AF7"/>
    <mergeCell ref="U6:U7"/>
    <mergeCell ref="V6:V7"/>
    <mergeCell ref="W6:W7"/>
    <mergeCell ref="X6:X7"/>
    <mergeCell ref="Y6:Y7"/>
    <mergeCell ref="Z6:Z7"/>
    <mergeCell ref="AN6:AN7"/>
    <mergeCell ref="AO6:AO7"/>
    <mergeCell ref="AP6:AP7"/>
    <mergeCell ref="BV6:BV7"/>
    <mergeCell ref="BW6:BW7"/>
    <mergeCell ref="BL6:BL7"/>
    <mergeCell ref="BM6:BM7"/>
    <mergeCell ref="BN6:BN7"/>
    <mergeCell ref="BO6:BO7"/>
    <mergeCell ref="BP6:BP7"/>
    <mergeCell ref="BQ6:BQ7"/>
    <mergeCell ref="BF6:BF7"/>
    <mergeCell ref="BG6:BG7"/>
    <mergeCell ref="BH6:BH7"/>
    <mergeCell ref="BI6:BI7"/>
    <mergeCell ref="BJ6:BJ7"/>
    <mergeCell ref="BK6:BK7"/>
    <mergeCell ref="N18:BU18"/>
    <mergeCell ref="B19:M19"/>
    <mergeCell ref="N19:BU19"/>
    <mergeCell ref="B20:D21"/>
    <mergeCell ref="E20:G21"/>
    <mergeCell ref="H20:J21"/>
    <mergeCell ref="K20:M21"/>
    <mergeCell ref="N20:Y20"/>
    <mergeCell ref="BR6:BR7"/>
    <mergeCell ref="BS6:BS7"/>
    <mergeCell ref="BT6:BT7"/>
    <mergeCell ref="BU6:BU7"/>
    <mergeCell ref="AZ6:AZ7"/>
    <mergeCell ref="BA6:BA7"/>
    <mergeCell ref="BB6:BB7"/>
    <mergeCell ref="BC6:BC7"/>
    <mergeCell ref="BD6:BD7"/>
    <mergeCell ref="BE6:BE7"/>
    <mergeCell ref="AT6:AT7"/>
    <mergeCell ref="AU6:AU7"/>
    <mergeCell ref="AV6:AV7"/>
    <mergeCell ref="AW6:AW7"/>
    <mergeCell ref="AX6:AX7"/>
    <mergeCell ref="AY6:AY7"/>
    <mergeCell ref="Z20:AK20"/>
    <mergeCell ref="AL20:AW20"/>
    <mergeCell ref="AX20:BI20"/>
    <mergeCell ref="BJ20:BU20"/>
    <mergeCell ref="N21:P21"/>
    <mergeCell ref="Q21:S21"/>
    <mergeCell ref="T21:V21"/>
    <mergeCell ref="W21:Y21"/>
    <mergeCell ref="Z21:AB21"/>
    <mergeCell ref="AC21:AE21"/>
    <mergeCell ref="BP21:BR21"/>
    <mergeCell ref="BS21:BU21"/>
    <mergeCell ref="BA21:BC21"/>
    <mergeCell ref="BD21:BF21"/>
    <mergeCell ref="BG21:BI21"/>
    <mergeCell ref="BJ21:BL21"/>
    <mergeCell ref="BM21:BO21"/>
    <mergeCell ref="A25:A28"/>
    <mergeCell ref="B25:Y25"/>
    <mergeCell ref="Z25:AW25"/>
    <mergeCell ref="B26:E26"/>
    <mergeCell ref="F26:I26"/>
    <mergeCell ref="J26:M26"/>
    <mergeCell ref="N26:Q26"/>
    <mergeCell ref="R26:U26"/>
    <mergeCell ref="AX21:AZ21"/>
    <mergeCell ref="AF21:AH21"/>
    <mergeCell ref="AI21:AK21"/>
    <mergeCell ref="AL21:AN21"/>
    <mergeCell ref="AO21:AQ21"/>
    <mergeCell ref="AR21:AT21"/>
    <mergeCell ref="AU21:AW21"/>
    <mergeCell ref="A18:A22"/>
    <mergeCell ref="B18:M18"/>
    <mergeCell ref="K27:K28"/>
    <mergeCell ref="L27:L28"/>
    <mergeCell ref="M27:M28"/>
    <mergeCell ref="N27:N28"/>
    <mergeCell ref="O27:O28"/>
    <mergeCell ref="P27:P28"/>
    <mergeCell ref="AT26:AW26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T27:T28"/>
    <mergeCell ref="U27:U28"/>
    <mergeCell ref="V27:V28"/>
    <mergeCell ref="AU27:AU28"/>
    <mergeCell ref="AV27:AV28"/>
    <mergeCell ref="AW27:AW28"/>
    <mergeCell ref="V26:Y26"/>
    <mergeCell ref="Z26:AC26"/>
    <mergeCell ref="AD26:AG26"/>
    <mergeCell ref="AH26:AK26"/>
    <mergeCell ref="AL26:AO26"/>
    <mergeCell ref="AP26:AS26"/>
    <mergeCell ref="Y27:Y28"/>
    <mergeCell ref="Z27:Z28"/>
    <mergeCell ref="AA27:AA28"/>
    <mergeCell ref="AB27:AB28"/>
    <mergeCell ref="A33:S33"/>
    <mergeCell ref="AO27:AO28"/>
    <mergeCell ref="AP27:AP28"/>
    <mergeCell ref="AQ27:AQ28"/>
    <mergeCell ref="AR27:AR28"/>
    <mergeCell ref="AS27:AS28"/>
    <mergeCell ref="AT27:AT28"/>
    <mergeCell ref="AI27:AI28"/>
    <mergeCell ref="AJ27:AJ28"/>
    <mergeCell ref="AK27:AK28"/>
    <mergeCell ref="AL27:AL28"/>
    <mergeCell ref="AM27:AM28"/>
    <mergeCell ref="AN27:AN28"/>
    <mergeCell ref="AC27:AC28"/>
    <mergeCell ref="AD27:AD28"/>
    <mergeCell ref="AE27:AE28"/>
    <mergeCell ref="AF27:AF28"/>
    <mergeCell ref="AG27:AG28"/>
    <mergeCell ref="AH27:AH28"/>
    <mergeCell ref="W27:W28"/>
    <mergeCell ref="X27:X28"/>
    <mergeCell ref="Q27:Q28"/>
    <mergeCell ref="R27:R28"/>
    <mergeCell ref="S27:S28"/>
  </mergeCells>
  <phoneticPr fontId="6" type="noConversion"/>
  <printOptions horizontalCentered="1"/>
  <pageMargins left="0.98402777777777772" right="0.98402777777777772" top="0.78680555555555554" bottom="0.78680555555555554" header="1.2201388888888889" footer="0.51180555555555551"/>
  <pageSetup paperSize="9" scale="74" fitToWidth="10" orientation="landscape" useFirstPageNumber="1" horizontalDpi="4294967292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AX80"/>
  <sheetViews>
    <sheetView zoomScaleNormal="100" zoomScaleSheetLayoutView="75" workbookViewId="0">
      <pane xSplit="2" ySplit="6" topLeftCell="C7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9.33203125" style="3" customWidth="1"/>
    <col min="2" max="2" width="20" style="3" customWidth="1"/>
    <col min="3" max="26" width="10.6640625" style="3" customWidth="1"/>
    <col min="27" max="50" width="10" style="3" customWidth="1"/>
    <col min="51" max="16384" width="12" style="3"/>
  </cols>
  <sheetData>
    <row r="1" spans="1:50" ht="21">
      <c r="A1" s="115" t="s">
        <v>293</v>
      </c>
      <c r="B1" s="25"/>
    </row>
    <row r="2" spans="1:50" ht="25.5" customHeight="1">
      <c r="A2" s="26" t="s">
        <v>312</v>
      </c>
      <c r="B2" s="27"/>
      <c r="C2" s="60" t="str">
        <f>IF(C7=SUM(C10,C13,C16,C19,C22,C25,C28,C31,C34,C37,C40,C43,C46,C49,C52,C55,C58,C61,C64,C67,C70,C73),"","*")</f>
        <v/>
      </c>
      <c r="D2" s="60" t="str">
        <f t="shared" ref="D2:AX2" si="0">IF(D7=SUM(D10,D13,D16,D19,D22,D25,D28,D31,D34,D37,D40,D43,D46,D49,D52,D55,D58,D61,D64,D67,D70,D73),"","*")</f>
        <v/>
      </c>
      <c r="E2" s="60" t="str">
        <f t="shared" si="0"/>
        <v/>
      </c>
      <c r="F2" s="60" t="str">
        <f t="shared" si="0"/>
        <v/>
      </c>
      <c r="G2" s="60" t="str">
        <f t="shared" si="0"/>
        <v/>
      </c>
      <c r="H2" s="60" t="str">
        <f t="shared" si="0"/>
        <v/>
      </c>
      <c r="I2" s="60" t="str">
        <f t="shared" si="0"/>
        <v/>
      </c>
      <c r="J2" s="60" t="str">
        <f t="shared" si="0"/>
        <v/>
      </c>
      <c r="K2" s="60" t="str">
        <f t="shared" si="0"/>
        <v/>
      </c>
      <c r="L2" s="60" t="str">
        <f t="shared" si="0"/>
        <v/>
      </c>
      <c r="M2" s="60" t="str">
        <f t="shared" si="0"/>
        <v/>
      </c>
      <c r="N2" s="60" t="str">
        <f t="shared" si="0"/>
        <v/>
      </c>
      <c r="O2" s="60" t="str">
        <f t="shared" si="0"/>
        <v/>
      </c>
      <c r="P2" s="60" t="str">
        <f t="shared" si="0"/>
        <v/>
      </c>
      <c r="Q2" s="60" t="str">
        <f t="shared" si="0"/>
        <v/>
      </c>
      <c r="R2" s="60" t="str">
        <f t="shared" si="0"/>
        <v/>
      </c>
      <c r="S2" s="60" t="str">
        <f t="shared" si="0"/>
        <v/>
      </c>
      <c r="T2" s="60" t="str">
        <f t="shared" si="0"/>
        <v/>
      </c>
      <c r="U2" s="60" t="str">
        <f t="shared" si="0"/>
        <v/>
      </c>
      <c r="V2" s="60" t="str">
        <f t="shared" si="0"/>
        <v/>
      </c>
      <c r="W2" s="60" t="str">
        <f t="shared" si="0"/>
        <v/>
      </c>
      <c r="X2" s="60" t="str">
        <f t="shared" si="0"/>
        <v/>
      </c>
      <c r="Y2" s="60" t="str">
        <f t="shared" si="0"/>
        <v/>
      </c>
      <c r="Z2" s="60" t="str">
        <f t="shared" si="0"/>
        <v/>
      </c>
      <c r="AA2" s="60" t="str">
        <f t="shared" si="0"/>
        <v/>
      </c>
      <c r="AB2" s="60" t="str">
        <f t="shared" si="0"/>
        <v/>
      </c>
      <c r="AC2" s="60" t="str">
        <f t="shared" si="0"/>
        <v/>
      </c>
      <c r="AD2" s="60" t="str">
        <f t="shared" si="0"/>
        <v/>
      </c>
      <c r="AE2" s="60" t="str">
        <f t="shared" si="0"/>
        <v/>
      </c>
      <c r="AF2" s="60" t="str">
        <f t="shared" si="0"/>
        <v/>
      </c>
      <c r="AG2" s="60" t="str">
        <f t="shared" si="0"/>
        <v/>
      </c>
      <c r="AH2" s="60" t="str">
        <f t="shared" si="0"/>
        <v/>
      </c>
      <c r="AI2" s="60" t="str">
        <f t="shared" si="0"/>
        <v/>
      </c>
      <c r="AJ2" s="60" t="str">
        <f t="shared" si="0"/>
        <v/>
      </c>
      <c r="AK2" s="60" t="str">
        <f t="shared" si="0"/>
        <v/>
      </c>
      <c r="AL2" s="60" t="str">
        <f t="shared" si="0"/>
        <v/>
      </c>
      <c r="AM2" s="60" t="str">
        <f t="shared" si="0"/>
        <v/>
      </c>
      <c r="AN2" s="60" t="str">
        <f t="shared" si="0"/>
        <v/>
      </c>
      <c r="AO2" s="60" t="str">
        <f t="shared" si="0"/>
        <v/>
      </c>
      <c r="AP2" s="60" t="str">
        <f t="shared" si="0"/>
        <v/>
      </c>
      <c r="AQ2" s="60" t="str">
        <f t="shared" si="0"/>
        <v/>
      </c>
      <c r="AR2" s="60" t="str">
        <f t="shared" si="0"/>
        <v/>
      </c>
      <c r="AS2" s="60" t="str">
        <f t="shared" si="0"/>
        <v/>
      </c>
      <c r="AT2" s="60" t="str">
        <f t="shared" si="0"/>
        <v/>
      </c>
      <c r="AU2" s="60" t="str">
        <f t="shared" si="0"/>
        <v/>
      </c>
      <c r="AV2" s="60" t="str">
        <f t="shared" si="0"/>
        <v/>
      </c>
      <c r="AW2" s="60" t="str">
        <f t="shared" si="0"/>
        <v/>
      </c>
      <c r="AX2" s="60" t="str">
        <f t="shared" si="0"/>
        <v/>
      </c>
    </row>
    <row r="3" spans="1:50" ht="20.25" customHeight="1">
      <c r="A3" s="329" t="s">
        <v>78</v>
      </c>
      <c r="B3" s="301"/>
      <c r="C3" s="304" t="s">
        <v>56</v>
      </c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  <c r="X3" s="304"/>
      <c r="Y3" s="304"/>
      <c r="Z3" s="305"/>
      <c r="AA3" s="304" t="s">
        <v>196</v>
      </c>
      <c r="AB3" s="304"/>
      <c r="AC3" s="304"/>
      <c r="AD3" s="304"/>
      <c r="AE3" s="304"/>
      <c r="AF3" s="304"/>
      <c r="AG3" s="304"/>
      <c r="AH3" s="304"/>
      <c r="AI3" s="304"/>
      <c r="AJ3" s="304"/>
      <c r="AK3" s="304"/>
      <c r="AL3" s="304"/>
      <c r="AM3" s="304"/>
      <c r="AN3" s="304"/>
      <c r="AO3" s="304"/>
      <c r="AP3" s="304"/>
      <c r="AQ3" s="304"/>
      <c r="AR3" s="304"/>
      <c r="AS3" s="304"/>
      <c r="AT3" s="304"/>
      <c r="AU3" s="304"/>
      <c r="AV3" s="304"/>
      <c r="AW3" s="304"/>
      <c r="AX3" s="304"/>
    </row>
    <row r="4" spans="1:50" ht="33.75" customHeight="1">
      <c r="A4" s="364"/>
      <c r="B4" s="302"/>
      <c r="C4" s="306" t="s">
        <v>226</v>
      </c>
      <c r="D4" s="306"/>
      <c r="E4" s="306"/>
      <c r="F4" s="307"/>
      <c r="G4" s="296" t="s">
        <v>227</v>
      </c>
      <c r="H4" s="297"/>
      <c r="I4" s="297"/>
      <c r="J4" s="298"/>
      <c r="K4" s="296" t="s">
        <v>232</v>
      </c>
      <c r="L4" s="297"/>
      <c r="M4" s="297"/>
      <c r="N4" s="298"/>
      <c r="O4" s="296" t="s">
        <v>233</v>
      </c>
      <c r="P4" s="297"/>
      <c r="Q4" s="297"/>
      <c r="R4" s="298"/>
      <c r="S4" s="296" t="s">
        <v>228</v>
      </c>
      <c r="T4" s="297"/>
      <c r="U4" s="297"/>
      <c r="V4" s="298"/>
      <c r="W4" s="296" t="s">
        <v>229</v>
      </c>
      <c r="X4" s="297"/>
      <c r="Y4" s="297"/>
      <c r="Z4" s="308"/>
      <c r="AA4" s="306" t="s">
        <v>226</v>
      </c>
      <c r="AB4" s="306"/>
      <c r="AC4" s="306"/>
      <c r="AD4" s="307"/>
      <c r="AE4" s="296" t="s">
        <v>227</v>
      </c>
      <c r="AF4" s="297"/>
      <c r="AG4" s="297"/>
      <c r="AH4" s="298"/>
      <c r="AI4" s="296" t="s">
        <v>232</v>
      </c>
      <c r="AJ4" s="297"/>
      <c r="AK4" s="297"/>
      <c r="AL4" s="298"/>
      <c r="AM4" s="296" t="s">
        <v>233</v>
      </c>
      <c r="AN4" s="297"/>
      <c r="AO4" s="297"/>
      <c r="AP4" s="298"/>
      <c r="AQ4" s="296" t="s">
        <v>228</v>
      </c>
      <c r="AR4" s="297"/>
      <c r="AS4" s="297"/>
      <c r="AT4" s="298"/>
      <c r="AU4" s="296" t="s">
        <v>229</v>
      </c>
      <c r="AV4" s="297"/>
      <c r="AW4" s="297"/>
      <c r="AX4" s="297"/>
    </row>
    <row r="5" spans="1:50" s="9" customFormat="1" ht="19.5" customHeight="1">
      <c r="A5" s="364"/>
      <c r="B5" s="302"/>
      <c r="C5" s="289" t="s">
        <v>189</v>
      </c>
      <c r="D5" s="291" t="s">
        <v>178</v>
      </c>
      <c r="E5" s="291" t="s">
        <v>231</v>
      </c>
      <c r="F5" s="291" t="s">
        <v>180</v>
      </c>
      <c r="G5" s="289" t="s">
        <v>189</v>
      </c>
      <c r="H5" s="291" t="s">
        <v>178</v>
      </c>
      <c r="I5" s="291" t="s">
        <v>231</v>
      </c>
      <c r="J5" s="287" t="s">
        <v>180</v>
      </c>
      <c r="K5" s="289" t="s">
        <v>189</v>
      </c>
      <c r="L5" s="291" t="s">
        <v>178</v>
      </c>
      <c r="M5" s="291" t="s">
        <v>231</v>
      </c>
      <c r="N5" s="287" t="s">
        <v>180</v>
      </c>
      <c r="O5" s="289" t="s">
        <v>189</v>
      </c>
      <c r="P5" s="291" t="s">
        <v>178</v>
      </c>
      <c r="Q5" s="291" t="s">
        <v>231</v>
      </c>
      <c r="R5" s="287" t="s">
        <v>180</v>
      </c>
      <c r="S5" s="289" t="s">
        <v>189</v>
      </c>
      <c r="T5" s="291" t="s">
        <v>178</v>
      </c>
      <c r="U5" s="291" t="s">
        <v>231</v>
      </c>
      <c r="V5" s="287" t="s">
        <v>180</v>
      </c>
      <c r="W5" s="289" t="s">
        <v>189</v>
      </c>
      <c r="X5" s="291" t="s">
        <v>178</v>
      </c>
      <c r="Y5" s="291" t="s">
        <v>231</v>
      </c>
      <c r="Z5" s="299" t="s">
        <v>180</v>
      </c>
      <c r="AA5" s="289" t="s">
        <v>189</v>
      </c>
      <c r="AB5" s="291" t="s">
        <v>178</v>
      </c>
      <c r="AC5" s="291" t="s">
        <v>231</v>
      </c>
      <c r="AD5" s="291" t="s">
        <v>180</v>
      </c>
      <c r="AE5" s="289" t="s">
        <v>189</v>
      </c>
      <c r="AF5" s="291" t="s">
        <v>178</v>
      </c>
      <c r="AG5" s="291" t="s">
        <v>231</v>
      </c>
      <c r="AH5" s="287" t="s">
        <v>180</v>
      </c>
      <c r="AI5" s="289" t="s">
        <v>189</v>
      </c>
      <c r="AJ5" s="291" t="s">
        <v>178</v>
      </c>
      <c r="AK5" s="291" t="s">
        <v>231</v>
      </c>
      <c r="AL5" s="287" t="s">
        <v>180</v>
      </c>
      <c r="AM5" s="289" t="s">
        <v>189</v>
      </c>
      <c r="AN5" s="291" t="s">
        <v>178</v>
      </c>
      <c r="AO5" s="291" t="s">
        <v>231</v>
      </c>
      <c r="AP5" s="287" t="s">
        <v>180</v>
      </c>
      <c r="AQ5" s="289" t="s">
        <v>189</v>
      </c>
      <c r="AR5" s="291" t="s">
        <v>178</v>
      </c>
      <c r="AS5" s="291" t="s">
        <v>231</v>
      </c>
      <c r="AT5" s="287" t="s">
        <v>180</v>
      </c>
      <c r="AU5" s="289" t="s">
        <v>189</v>
      </c>
      <c r="AV5" s="291" t="s">
        <v>178</v>
      </c>
      <c r="AW5" s="291" t="s">
        <v>231</v>
      </c>
      <c r="AX5" s="293" t="s">
        <v>180</v>
      </c>
    </row>
    <row r="6" spans="1:50" ht="19.5" customHeight="1">
      <c r="A6" s="331"/>
      <c r="B6" s="303"/>
      <c r="C6" s="290"/>
      <c r="D6" s="292"/>
      <c r="E6" s="292"/>
      <c r="F6" s="292"/>
      <c r="G6" s="290"/>
      <c r="H6" s="292"/>
      <c r="I6" s="292"/>
      <c r="J6" s="288"/>
      <c r="K6" s="290"/>
      <c r="L6" s="292"/>
      <c r="M6" s="292"/>
      <c r="N6" s="288"/>
      <c r="O6" s="290"/>
      <c r="P6" s="292"/>
      <c r="Q6" s="292"/>
      <c r="R6" s="288"/>
      <c r="S6" s="290"/>
      <c r="T6" s="292"/>
      <c r="U6" s="292"/>
      <c r="V6" s="288"/>
      <c r="W6" s="290"/>
      <c r="X6" s="292"/>
      <c r="Y6" s="292"/>
      <c r="Z6" s="300"/>
      <c r="AA6" s="290"/>
      <c r="AB6" s="292"/>
      <c r="AC6" s="292"/>
      <c r="AD6" s="292"/>
      <c r="AE6" s="290"/>
      <c r="AF6" s="292"/>
      <c r="AG6" s="292"/>
      <c r="AH6" s="288"/>
      <c r="AI6" s="290"/>
      <c r="AJ6" s="292"/>
      <c r="AK6" s="292"/>
      <c r="AL6" s="288"/>
      <c r="AM6" s="290"/>
      <c r="AN6" s="292"/>
      <c r="AO6" s="292"/>
      <c r="AP6" s="288"/>
      <c r="AQ6" s="290"/>
      <c r="AR6" s="292"/>
      <c r="AS6" s="292"/>
      <c r="AT6" s="288"/>
      <c r="AU6" s="290"/>
      <c r="AV6" s="292"/>
      <c r="AW6" s="292"/>
      <c r="AX6" s="294"/>
    </row>
    <row r="7" spans="1:50" s="13" customFormat="1" ht="15.75" customHeight="1">
      <c r="A7" s="63" t="s">
        <v>200</v>
      </c>
      <c r="B7" s="64" t="s">
        <v>223</v>
      </c>
      <c r="C7" s="67">
        <v>13619</v>
      </c>
      <c r="D7" s="67">
        <v>1316</v>
      </c>
      <c r="E7" s="67">
        <v>985</v>
      </c>
      <c r="F7" s="67">
        <v>11318</v>
      </c>
      <c r="G7" s="67">
        <v>5012</v>
      </c>
      <c r="H7" s="67">
        <v>367</v>
      </c>
      <c r="I7" s="67">
        <v>192</v>
      </c>
      <c r="J7" s="67">
        <v>4453</v>
      </c>
      <c r="K7" s="67">
        <v>2500</v>
      </c>
      <c r="L7" s="67">
        <v>281</v>
      </c>
      <c r="M7" s="67">
        <v>173</v>
      </c>
      <c r="N7" s="67">
        <v>2046</v>
      </c>
      <c r="O7" s="67">
        <v>961</v>
      </c>
      <c r="P7" s="67">
        <v>220</v>
      </c>
      <c r="Q7" s="67">
        <v>243</v>
      </c>
      <c r="R7" s="67">
        <v>498</v>
      </c>
      <c r="S7" s="67">
        <v>123</v>
      </c>
      <c r="T7" s="67">
        <v>32</v>
      </c>
      <c r="U7" s="67">
        <v>38</v>
      </c>
      <c r="V7" s="67">
        <v>53</v>
      </c>
      <c r="W7" s="67">
        <v>5023</v>
      </c>
      <c r="X7" s="67">
        <v>416</v>
      </c>
      <c r="Y7" s="67">
        <v>339</v>
      </c>
      <c r="Z7" s="67">
        <v>4268</v>
      </c>
      <c r="AA7" s="67">
        <v>23257</v>
      </c>
      <c r="AB7" s="67">
        <v>2516</v>
      </c>
      <c r="AC7" s="67">
        <v>1732</v>
      </c>
      <c r="AD7" s="67">
        <v>19009</v>
      </c>
      <c r="AE7" s="67">
        <v>7883</v>
      </c>
      <c r="AF7" s="67">
        <v>696</v>
      </c>
      <c r="AG7" s="67">
        <v>339</v>
      </c>
      <c r="AH7" s="67">
        <v>6848</v>
      </c>
      <c r="AI7" s="67">
        <v>5120</v>
      </c>
      <c r="AJ7" s="67">
        <v>615</v>
      </c>
      <c r="AK7" s="67">
        <v>381</v>
      </c>
      <c r="AL7" s="67">
        <v>4124</v>
      </c>
      <c r="AM7" s="67">
        <v>1743</v>
      </c>
      <c r="AN7" s="67">
        <v>418</v>
      </c>
      <c r="AO7" s="67">
        <v>431</v>
      </c>
      <c r="AP7" s="67">
        <v>894</v>
      </c>
      <c r="AQ7" s="67">
        <v>171</v>
      </c>
      <c r="AR7" s="67">
        <v>54</v>
      </c>
      <c r="AS7" s="67">
        <v>59</v>
      </c>
      <c r="AT7" s="67">
        <v>58</v>
      </c>
      <c r="AU7" s="67">
        <v>8340</v>
      </c>
      <c r="AV7" s="67">
        <v>733</v>
      </c>
      <c r="AW7" s="67">
        <v>522</v>
      </c>
      <c r="AX7" s="67">
        <v>7085</v>
      </c>
    </row>
    <row r="8" spans="1:50" s="13" customFormat="1" ht="15.75" customHeight="1">
      <c r="A8" s="347" t="s">
        <v>199</v>
      </c>
      <c r="B8" s="65" t="s">
        <v>224</v>
      </c>
      <c r="C8" s="68">
        <v>4963</v>
      </c>
      <c r="D8" s="68">
        <v>629</v>
      </c>
      <c r="E8" s="68">
        <v>458</v>
      </c>
      <c r="F8" s="68">
        <v>3876</v>
      </c>
      <c r="G8" s="68">
        <v>1648</v>
      </c>
      <c r="H8" s="68">
        <v>140</v>
      </c>
      <c r="I8" s="68">
        <v>74</v>
      </c>
      <c r="J8" s="68">
        <v>1434</v>
      </c>
      <c r="K8" s="68">
        <v>1045</v>
      </c>
      <c r="L8" s="68">
        <v>152</v>
      </c>
      <c r="M8" s="68">
        <v>85</v>
      </c>
      <c r="N8" s="68">
        <v>808</v>
      </c>
      <c r="O8" s="68">
        <v>566</v>
      </c>
      <c r="P8" s="68">
        <v>141</v>
      </c>
      <c r="Q8" s="68">
        <v>146</v>
      </c>
      <c r="R8" s="68">
        <v>279</v>
      </c>
      <c r="S8" s="68">
        <v>77</v>
      </c>
      <c r="T8" s="68">
        <v>23</v>
      </c>
      <c r="U8" s="68">
        <v>18</v>
      </c>
      <c r="V8" s="68">
        <v>36</v>
      </c>
      <c r="W8" s="68">
        <v>1627</v>
      </c>
      <c r="X8" s="68">
        <v>173</v>
      </c>
      <c r="Y8" s="68">
        <v>135</v>
      </c>
      <c r="Z8" s="68">
        <v>1319</v>
      </c>
      <c r="AA8" s="68">
        <v>8549</v>
      </c>
      <c r="AB8" s="68">
        <v>1170</v>
      </c>
      <c r="AC8" s="68">
        <v>822</v>
      </c>
      <c r="AD8" s="68">
        <v>6557</v>
      </c>
      <c r="AE8" s="68">
        <v>2682</v>
      </c>
      <c r="AF8" s="68">
        <v>298</v>
      </c>
      <c r="AG8" s="68">
        <v>160</v>
      </c>
      <c r="AH8" s="68">
        <v>2224</v>
      </c>
      <c r="AI8" s="68">
        <v>2072</v>
      </c>
      <c r="AJ8" s="68">
        <v>283</v>
      </c>
      <c r="AK8" s="68">
        <v>184</v>
      </c>
      <c r="AL8" s="68">
        <v>1605</v>
      </c>
      <c r="AM8" s="68">
        <v>965</v>
      </c>
      <c r="AN8" s="68">
        <v>248</v>
      </c>
      <c r="AO8" s="68">
        <v>232</v>
      </c>
      <c r="AP8" s="68">
        <v>485</v>
      </c>
      <c r="AQ8" s="68">
        <v>108</v>
      </c>
      <c r="AR8" s="68">
        <v>37</v>
      </c>
      <c r="AS8" s="68">
        <v>32</v>
      </c>
      <c r="AT8" s="68">
        <v>39</v>
      </c>
      <c r="AU8" s="68">
        <v>2722</v>
      </c>
      <c r="AV8" s="68">
        <v>304</v>
      </c>
      <c r="AW8" s="68">
        <v>214</v>
      </c>
      <c r="AX8" s="68">
        <v>2204</v>
      </c>
    </row>
    <row r="9" spans="1:50" s="13" customFormat="1" ht="15.75" customHeight="1">
      <c r="A9" s="348"/>
      <c r="B9" s="65" t="s">
        <v>225</v>
      </c>
      <c r="C9" s="68">
        <v>8656</v>
      </c>
      <c r="D9" s="68">
        <v>687</v>
      </c>
      <c r="E9" s="68">
        <v>527</v>
      </c>
      <c r="F9" s="68">
        <v>7442</v>
      </c>
      <c r="G9" s="68">
        <v>3364</v>
      </c>
      <c r="H9" s="68">
        <v>227</v>
      </c>
      <c r="I9" s="68">
        <v>118</v>
      </c>
      <c r="J9" s="68">
        <v>3019</v>
      </c>
      <c r="K9" s="68">
        <v>1455</v>
      </c>
      <c r="L9" s="68">
        <v>129</v>
      </c>
      <c r="M9" s="68">
        <v>88</v>
      </c>
      <c r="N9" s="68">
        <v>1238</v>
      </c>
      <c r="O9" s="68">
        <v>395</v>
      </c>
      <c r="P9" s="68">
        <v>79</v>
      </c>
      <c r="Q9" s="68">
        <v>97</v>
      </c>
      <c r="R9" s="68">
        <v>219</v>
      </c>
      <c r="S9" s="68">
        <v>46</v>
      </c>
      <c r="T9" s="68">
        <v>9</v>
      </c>
      <c r="U9" s="68">
        <v>20</v>
      </c>
      <c r="V9" s="68">
        <v>17</v>
      </c>
      <c r="W9" s="68">
        <v>3396</v>
      </c>
      <c r="X9" s="68">
        <v>243</v>
      </c>
      <c r="Y9" s="68">
        <v>204</v>
      </c>
      <c r="Z9" s="68">
        <v>2949</v>
      </c>
      <c r="AA9" s="68">
        <v>14708</v>
      </c>
      <c r="AB9" s="68">
        <v>1346</v>
      </c>
      <c r="AC9" s="68">
        <v>910</v>
      </c>
      <c r="AD9" s="68">
        <v>12452</v>
      </c>
      <c r="AE9" s="68">
        <v>5201</v>
      </c>
      <c r="AF9" s="68">
        <v>398</v>
      </c>
      <c r="AG9" s="68">
        <v>179</v>
      </c>
      <c r="AH9" s="68">
        <v>4624</v>
      </c>
      <c r="AI9" s="68">
        <v>3048</v>
      </c>
      <c r="AJ9" s="68">
        <v>332</v>
      </c>
      <c r="AK9" s="68">
        <v>197</v>
      </c>
      <c r="AL9" s="68">
        <v>2519</v>
      </c>
      <c r="AM9" s="68">
        <v>778</v>
      </c>
      <c r="AN9" s="68">
        <v>170</v>
      </c>
      <c r="AO9" s="68">
        <v>199</v>
      </c>
      <c r="AP9" s="68">
        <v>409</v>
      </c>
      <c r="AQ9" s="68">
        <v>63</v>
      </c>
      <c r="AR9" s="68">
        <v>17</v>
      </c>
      <c r="AS9" s="68">
        <v>27</v>
      </c>
      <c r="AT9" s="68">
        <v>19</v>
      </c>
      <c r="AU9" s="68">
        <v>5618</v>
      </c>
      <c r="AV9" s="68">
        <v>429</v>
      </c>
      <c r="AW9" s="68">
        <v>308</v>
      </c>
      <c r="AX9" s="68">
        <v>4881</v>
      </c>
    </row>
    <row r="10" spans="1:50" s="18" customFormat="1" ht="15.75" customHeight="1">
      <c r="A10" s="63" t="s">
        <v>201</v>
      </c>
      <c r="B10" s="64" t="s">
        <v>223</v>
      </c>
      <c r="C10" s="67">
        <v>1295</v>
      </c>
      <c r="D10" s="67">
        <v>73</v>
      </c>
      <c r="E10" s="67">
        <v>70</v>
      </c>
      <c r="F10" s="67">
        <v>1152</v>
      </c>
      <c r="G10" s="67">
        <v>364</v>
      </c>
      <c r="H10" s="67">
        <v>13</v>
      </c>
      <c r="I10" s="67">
        <v>2</v>
      </c>
      <c r="J10" s="67">
        <v>349</v>
      </c>
      <c r="K10" s="67">
        <v>187</v>
      </c>
      <c r="L10" s="67">
        <v>10</v>
      </c>
      <c r="M10" s="67">
        <v>6</v>
      </c>
      <c r="N10" s="67">
        <v>171</v>
      </c>
      <c r="O10" s="67">
        <v>66</v>
      </c>
      <c r="P10" s="67">
        <v>8</v>
      </c>
      <c r="Q10" s="67">
        <v>30</v>
      </c>
      <c r="R10" s="67">
        <v>28</v>
      </c>
      <c r="S10" s="67">
        <v>0</v>
      </c>
      <c r="T10" s="67">
        <v>0</v>
      </c>
      <c r="U10" s="67">
        <v>0</v>
      </c>
      <c r="V10" s="67">
        <v>0</v>
      </c>
      <c r="W10" s="67">
        <v>678</v>
      </c>
      <c r="X10" s="67">
        <v>42</v>
      </c>
      <c r="Y10" s="67">
        <v>32</v>
      </c>
      <c r="Z10" s="67">
        <v>604</v>
      </c>
      <c r="AA10" s="67">
        <v>2931</v>
      </c>
      <c r="AB10" s="67">
        <v>158</v>
      </c>
      <c r="AC10" s="67">
        <v>137</v>
      </c>
      <c r="AD10" s="67">
        <v>2636</v>
      </c>
      <c r="AE10" s="67">
        <v>488</v>
      </c>
      <c r="AF10" s="67">
        <v>13</v>
      </c>
      <c r="AG10" s="67">
        <v>2</v>
      </c>
      <c r="AH10" s="67">
        <v>473</v>
      </c>
      <c r="AI10" s="67">
        <v>1152</v>
      </c>
      <c r="AJ10" s="67">
        <v>65</v>
      </c>
      <c r="AK10" s="67">
        <v>45</v>
      </c>
      <c r="AL10" s="67">
        <v>1042</v>
      </c>
      <c r="AM10" s="67">
        <v>168</v>
      </c>
      <c r="AN10" s="67">
        <v>17</v>
      </c>
      <c r="AO10" s="67">
        <v>49</v>
      </c>
      <c r="AP10" s="67">
        <v>102</v>
      </c>
      <c r="AQ10" s="67">
        <v>1</v>
      </c>
      <c r="AR10" s="67">
        <v>0</v>
      </c>
      <c r="AS10" s="67">
        <v>0</v>
      </c>
      <c r="AT10" s="67">
        <v>1</v>
      </c>
      <c r="AU10" s="67">
        <v>1122</v>
      </c>
      <c r="AV10" s="67">
        <v>63</v>
      </c>
      <c r="AW10" s="67">
        <v>41</v>
      </c>
      <c r="AX10" s="67">
        <v>1018</v>
      </c>
    </row>
    <row r="11" spans="1:50" s="18" customFormat="1" ht="15.75" customHeight="1">
      <c r="A11" s="345" t="s">
        <v>24</v>
      </c>
      <c r="B11" s="65" t="s">
        <v>224</v>
      </c>
      <c r="C11" s="68">
        <v>402</v>
      </c>
      <c r="D11" s="68">
        <v>17</v>
      </c>
      <c r="E11" s="68">
        <v>30</v>
      </c>
      <c r="F11" s="68">
        <v>355</v>
      </c>
      <c r="G11" s="68">
        <v>96</v>
      </c>
      <c r="H11" s="68">
        <v>2</v>
      </c>
      <c r="I11" s="68">
        <v>1</v>
      </c>
      <c r="J11" s="68">
        <v>93</v>
      </c>
      <c r="K11" s="68">
        <v>76</v>
      </c>
      <c r="L11" s="68">
        <v>3</v>
      </c>
      <c r="M11" s="68">
        <v>2</v>
      </c>
      <c r="N11" s="68">
        <v>71</v>
      </c>
      <c r="O11" s="68">
        <v>44</v>
      </c>
      <c r="P11" s="68">
        <v>6</v>
      </c>
      <c r="Q11" s="68">
        <v>20</v>
      </c>
      <c r="R11" s="68">
        <v>18</v>
      </c>
      <c r="S11" s="68">
        <v>0</v>
      </c>
      <c r="T11" s="68">
        <v>0</v>
      </c>
      <c r="U11" s="68">
        <v>0</v>
      </c>
      <c r="V11" s="68">
        <v>0</v>
      </c>
      <c r="W11" s="68">
        <v>186</v>
      </c>
      <c r="X11" s="68">
        <v>6</v>
      </c>
      <c r="Y11" s="68">
        <v>7</v>
      </c>
      <c r="Z11" s="68">
        <v>173</v>
      </c>
      <c r="AA11" s="68">
        <v>977</v>
      </c>
      <c r="AB11" s="68">
        <v>47</v>
      </c>
      <c r="AC11" s="68">
        <v>53</v>
      </c>
      <c r="AD11" s="68">
        <v>877</v>
      </c>
      <c r="AE11" s="68">
        <v>154</v>
      </c>
      <c r="AF11" s="68">
        <v>11</v>
      </c>
      <c r="AG11" s="68">
        <v>1</v>
      </c>
      <c r="AH11" s="68">
        <v>142</v>
      </c>
      <c r="AI11" s="68">
        <v>395</v>
      </c>
      <c r="AJ11" s="68">
        <v>14</v>
      </c>
      <c r="AK11" s="68">
        <v>14</v>
      </c>
      <c r="AL11" s="68">
        <v>367</v>
      </c>
      <c r="AM11" s="68">
        <v>93</v>
      </c>
      <c r="AN11" s="68">
        <v>11</v>
      </c>
      <c r="AO11" s="68">
        <v>28</v>
      </c>
      <c r="AP11" s="68">
        <v>54</v>
      </c>
      <c r="AQ11" s="68">
        <v>0</v>
      </c>
      <c r="AR11" s="68">
        <v>0</v>
      </c>
      <c r="AS11" s="68">
        <v>0</v>
      </c>
      <c r="AT11" s="68">
        <v>0</v>
      </c>
      <c r="AU11" s="68">
        <v>335</v>
      </c>
      <c r="AV11" s="68">
        <v>11</v>
      </c>
      <c r="AW11" s="68">
        <v>10</v>
      </c>
      <c r="AX11" s="68">
        <v>314</v>
      </c>
    </row>
    <row r="12" spans="1:50" s="18" customFormat="1" ht="15.75" customHeight="1">
      <c r="A12" s="346"/>
      <c r="B12" s="65" t="s">
        <v>225</v>
      </c>
      <c r="C12" s="68">
        <v>893</v>
      </c>
      <c r="D12" s="68">
        <v>56</v>
      </c>
      <c r="E12" s="68">
        <v>40</v>
      </c>
      <c r="F12" s="68">
        <v>797</v>
      </c>
      <c r="G12" s="68">
        <v>268</v>
      </c>
      <c r="H12" s="68">
        <v>11</v>
      </c>
      <c r="I12" s="68">
        <v>1</v>
      </c>
      <c r="J12" s="68">
        <v>256</v>
      </c>
      <c r="K12" s="68">
        <v>111</v>
      </c>
      <c r="L12" s="68">
        <v>7</v>
      </c>
      <c r="M12" s="68">
        <v>4</v>
      </c>
      <c r="N12" s="68">
        <v>100</v>
      </c>
      <c r="O12" s="68">
        <v>22</v>
      </c>
      <c r="P12" s="68">
        <v>2</v>
      </c>
      <c r="Q12" s="68">
        <v>10</v>
      </c>
      <c r="R12" s="68">
        <v>10</v>
      </c>
      <c r="S12" s="68">
        <v>0</v>
      </c>
      <c r="T12" s="68">
        <v>0</v>
      </c>
      <c r="U12" s="68">
        <v>0</v>
      </c>
      <c r="V12" s="68">
        <v>0</v>
      </c>
      <c r="W12" s="68">
        <v>492</v>
      </c>
      <c r="X12" s="68">
        <v>36</v>
      </c>
      <c r="Y12" s="68">
        <v>25</v>
      </c>
      <c r="Z12" s="68">
        <v>431</v>
      </c>
      <c r="AA12" s="68">
        <v>1954</v>
      </c>
      <c r="AB12" s="68">
        <v>111</v>
      </c>
      <c r="AC12" s="68">
        <v>84</v>
      </c>
      <c r="AD12" s="68">
        <v>1759</v>
      </c>
      <c r="AE12" s="68">
        <v>334</v>
      </c>
      <c r="AF12" s="68">
        <v>2</v>
      </c>
      <c r="AG12" s="68">
        <v>1</v>
      </c>
      <c r="AH12" s="68">
        <v>331</v>
      </c>
      <c r="AI12" s="68">
        <v>757</v>
      </c>
      <c r="AJ12" s="68">
        <v>51</v>
      </c>
      <c r="AK12" s="68">
        <v>31</v>
      </c>
      <c r="AL12" s="68">
        <v>675</v>
      </c>
      <c r="AM12" s="68">
        <v>75</v>
      </c>
      <c r="AN12" s="68">
        <v>6</v>
      </c>
      <c r="AO12" s="68">
        <v>21</v>
      </c>
      <c r="AP12" s="68">
        <v>48</v>
      </c>
      <c r="AQ12" s="68">
        <v>1</v>
      </c>
      <c r="AR12" s="68">
        <v>0</v>
      </c>
      <c r="AS12" s="68">
        <v>0</v>
      </c>
      <c r="AT12" s="68">
        <v>1</v>
      </c>
      <c r="AU12" s="68">
        <v>787</v>
      </c>
      <c r="AV12" s="68">
        <v>52</v>
      </c>
      <c r="AW12" s="68">
        <v>31</v>
      </c>
      <c r="AX12" s="68">
        <v>704</v>
      </c>
    </row>
    <row r="13" spans="1:50" s="18" customFormat="1" ht="15.75" customHeight="1">
      <c r="A13" s="63" t="s">
        <v>202</v>
      </c>
      <c r="B13" s="64" t="s">
        <v>223</v>
      </c>
      <c r="C13" s="67">
        <v>973</v>
      </c>
      <c r="D13" s="67">
        <v>48</v>
      </c>
      <c r="E13" s="67">
        <v>21</v>
      </c>
      <c r="F13" s="67">
        <v>904</v>
      </c>
      <c r="G13" s="67">
        <v>195</v>
      </c>
      <c r="H13" s="67">
        <v>4</v>
      </c>
      <c r="I13" s="67">
        <v>0</v>
      </c>
      <c r="J13" s="67">
        <v>191</v>
      </c>
      <c r="K13" s="67">
        <v>73</v>
      </c>
      <c r="L13" s="67">
        <v>3</v>
      </c>
      <c r="M13" s="67">
        <v>1</v>
      </c>
      <c r="N13" s="67">
        <v>69</v>
      </c>
      <c r="O13" s="67">
        <v>85</v>
      </c>
      <c r="P13" s="67">
        <v>13</v>
      </c>
      <c r="Q13" s="67">
        <v>6</v>
      </c>
      <c r="R13" s="67">
        <v>66</v>
      </c>
      <c r="S13" s="67">
        <v>0</v>
      </c>
      <c r="T13" s="67">
        <v>0</v>
      </c>
      <c r="U13" s="67">
        <v>0</v>
      </c>
      <c r="V13" s="67">
        <v>0</v>
      </c>
      <c r="W13" s="67">
        <v>620</v>
      </c>
      <c r="X13" s="67">
        <v>28</v>
      </c>
      <c r="Y13" s="67">
        <v>14</v>
      </c>
      <c r="Z13" s="67">
        <v>578</v>
      </c>
      <c r="AA13" s="67">
        <v>2100</v>
      </c>
      <c r="AB13" s="67">
        <v>102</v>
      </c>
      <c r="AC13" s="67">
        <v>39</v>
      </c>
      <c r="AD13" s="67">
        <v>1959</v>
      </c>
      <c r="AE13" s="67">
        <v>384</v>
      </c>
      <c r="AF13" s="67">
        <v>8</v>
      </c>
      <c r="AG13" s="67">
        <v>0</v>
      </c>
      <c r="AH13" s="67">
        <v>376</v>
      </c>
      <c r="AI13" s="67">
        <v>199</v>
      </c>
      <c r="AJ13" s="67">
        <v>8</v>
      </c>
      <c r="AK13" s="67">
        <v>3</v>
      </c>
      <c r="AL13" s="67">
        <v>188</v>
      </c>
      <c r="AM13" s="67">
        <v>159</v>
      </c>
      <c r="AN13" s="67">
        <v>27</v>
      </c>
      <c r="AO13" s="67">
        <v>12</v>
      </c>
      <c r="AP13" s="67">
        <v>120</v>
      </c>
      <c r="AQ13" s="67">
        <v>0</v>
      </c>
      <c r="AR13" s="67">
        <v>0</v>
      </c>
      <c r="AS13" s="67">
        <v>0</v>
      </c>
      <c r="AT13" s="67">
        <v>0</v>
      </c>
      <c r="AU13" s="67">
        <v>1358</v>
      </c>
      <c r="AV13" s="67">
        <v>59</v>
      </c>
      <c r="AW13" s="67">
        <v>24</v>
      </c>
      <c r="AX13" s="67">
        <v>1275</v>
      </c>
    </row>
    <row r="14" spans="1:50" s="18" customFormat="1" ht="15.75" customHeight="1">
      <c r="A14" s="345" t="s">
        <v>25</v>
      </c>
      <c r="B14" s="65" t="s">
        <v>224</v>
      </c>
      <c r="C14" s="68">
        <v>334</v>
      </c>
      <c r="D14" s="68">
        <v>24</v>
      </c>
      <c r="E14" s="68">
        <v>9</v>
      </c>
      <c r="F14" s="68">
        <v>301</v>
      </c>
      <c r="G14" s="68">
        <v>57</v>
      </c>
      <c r="H14" s="68">
        <v>0</v>
      </c>
      <c r="I14" s="68">
        <v>0</v>
      </c>
      <c r="J14" s="68">
        <v>57</v>
      </c>
      <c r="K14" s="68">
        <v>33</v>
      </c>
      <c r="L14" s="68">
        <v>3</v>
      </c>
      <c r="M14" s="68">
        <v>1</v>
      </c>
      <c r="N14" s="68">
        <v>29</v>
      </c>
      <c r="O14" s="68">
        <v>51</v>
      </c>
      <c r="P14" s="68">
        <v>8</v>
      </c>
      <c r="Q14" s="68">
        <v>3</v>
      </c>
      <c r="R14" s="68">
        <v>40</v>
      </c>
      <c r="S14" s="68">
        <v>0</v>
      </c>
      <c r="T14" s="68">
        <v>0</v>
      </c>
      <c r="U14" s="68">
        <v>0</v>
      </c>
      <c r="V14" s="68">
        <v>0</v>
      </c>
      <c r="W14" s="68">
        <v>193</v>
      </c>
      <c r="X14" s="68">
        <v>13</v>
      </c>
      <c r="Y14" s="68">
        <v>5</v>
      </c>
      <c r="Z14" s="68">
        <v>175</v>
      </c>
      <c r="AA14" s="68">
        <v>725</v>
      </c>
      <c r="AB14" s="68">
        <v>50</v>
      </c>
      <c r="AC14" s="68">
        <v>16</v>
      </c>
      <c r="AD14" s="68">
        <v>659</v>
      </c>
      <c r="AE14" s="68">
        <v>116</v>
      </c>
      <c r="AF14" s="68">
        <v>2</v>
      </c>
      <c r="AG14" s="68">
        <v>0</v>
      </c>
      <c r="AH14" s="68">
        <v>114</v>
      </c>
      <c r="AI14" s="68">
        <v>88</v>
      </c>
      <c r="AJ14" s="68">
        <v>6</v>
      </c>
      <c r="AK14" s="68">
        <v>3</v>
      </c>
      <c r="AL14" s="68">
        <v>79</v>
      </c>
      <c r="AM14" s="68">
        <v>91</v>
      </c>
      <c r="AN14" s="68">
        <v>16</v>
      </c>
      <c r="AO14" s="68">
        <v>4</v>
      </c>
      <c r="AP14" s="68">
        <v>71</v>
      </c>
      <c r="AQ14" s="68">
        <v>0</v>
      </c>
      <c r="AR14" s="68">
        <v>0</v>
      </c>
      <c r="AS14" s="68">
        <v>0</v>
      </c>
      <c r="AT14" s="68">
        <v>0</v>
      </c>
      <c r="AU14" s="68">
        <v>430</v>
      </c>
      <c r="AV14" s="68">
        <v>26</v>
      </c>
      <c r="AW14" s="68">
        <v>9</v>
      </c>
      <c r="AX14" s="68">
        <v>395</v>
      </c>
    </row>
    <row r="15" spans="1:50" s="18" customFormat="1" ht="15.75" customHeight="1">
      <c r="A15" s="346"/>
      <c r="B15" s="65" t="s">
        <v>225</v>
      </c>
      <c r="C15" s="68">
        <v>639</v>
      </c>
      <c r="D15" s="68">
        <v>24</v>
      </c>
      <c r="E15" s="68">
        <v>12</v>
      </c>
      <c r="F15" s="68">
        <v>603</v>
      </c>
      <c r="G15" s="68">
        <v>138</v>
      </c>
      <c r="H15" s="68">
        <v>4</v>
      </c>
      <c r="I15" s="68">
        <v>0</v>
      </c>
      <c r="J15" s="68">
        <v>134</v>
      </c>
      <c r="K15" s="68">
        <v>40</v>
      </c>
      <c r="L15" s="68">
        <v>0</v>
      </c>
      <c r="M15" s="68">
        <v>0</v>
      </c>
      <c r="N15" s="68">
        <v>40</v>
      </c>
      <c r="O15" s="68">
        <v>34</v>
      </c>
      <c r="P15" s="68">
        <v>5</v>
      </c>
      <c r="Q15" s="68">
        <v>3</v>
      </c>
      <c r="R15" s="68">
        <v>26</v>
      </c>
      <c r="S15" s="68">
        <v>0</v>
      </c>
      <c r="T15" s="68">
        <v>0</v>
      </c>
      <c r="U15" s="68">
        <v>0</v>
      </c>
      <c r="V15" s="68">
        <v>0</v>
      </c>
      <c r="W15" s="68">
        <v>427</v>
      </c>
      <c r="X15" s="68">
        <v>15</v>
      </c>
      <c r="Y15" s="68">
        <v>9</v>
      </c>
      <c r="Z15" s="68">
        <v>403</v>
      </c>
      <c r="AA15" s="68">
        <v>1375</v>
      </c>
      <c r="AB15" s="68">
        <v>52</v>
      </c>
      <c r="AC15" s="68">
        <v>23</v>
      </c>
      <c r="AD15" s="68">
        <v>1300</v>
      </c>
      <c r="AE15" s="68">
        <v>268</v>
      </c>
      <c r="AF15" s="68">
        <v>6</v>
      </c>
      <c r="AG15" s="68">
        <v>0</v>
      </c>
      <c r="AH15" s="68">
        <v>262</v>
      </c>
      <c r="AI15" s="68">
        <v>111</v>
      </c>
      <c r="AJ15" s="68">
        <v>2</v>
      </c>
      <c r="AK15" s="68">
        <v>0</v>
      </c>
      <c r="AL15" s="68">
        <v>109</v>
      </c>
      <c r="AM15" s="68">
        <v>68</v>
      </c>
      <c r="AN15" s="68">
        <v>11</v>
      </c>
      <c r="AO15" s="68">
        <v>8</v>
      </c>
      <c r="AP15" s="68">
        <v>49</v>
      </c>
      <c r="AQ15" s="68">
        <v>0</v>
      </c>
      <c r="AR15" s="68">
        <v>0</v>
      </c>
      <c r="AS15" s="68">
        <v>0</v>
      </c>
      <c r="AT15" s="68">
        <v>0</v>
      </c>
      <c r="AU15" s="68">
        <v>928</v>
      </c>
      <c r="AV15" s="68">
        <v>33</v>
      </c>
      <c r="AW15" s="68">
        <v>15</v>
      </c>
      <c r="AX15" s="68">
        <v>880</v>
      </c>
    </row>
    <row r="16" spans="1:50" s="18" customFormat="1" ht="15.75" customHeight="1">
      <c r="A16" s="63" t="s">
        <v>203</v>
      </c>
      <c r="B16" s="64" t="s">
        <v>223</v>
      </c>
      <c r="C16" s="67">
        <v>775</v>
      </c>
      <c r="D16" s="67">
        <v>58</v>
      </c>
      <c r="E16" s="67">
        <v>40</v>
      </c>
      <c r="F16" s="67">
        <v>677</v>
      </c>
      <c r="G16" s="67">
        <v>267</v>
      </c>
      <c r="H16" s="67">
        <v>16</v>
      </c>
      <c r="I16" s="67">
        <v>4</v>
      </c>
      <c r="J16" s="67">
        <v>247</v>
      </c>
      <c r="K16" s="67">
        <v>105</v>
      </c>
      <c r="L16" s="67">
        <v>11</v>
      </c>
      <c r="M16" s="67">
        <v>7</v>
      </c>
      <c r="N16" s="67">
        <v>87</v>
      </c>
      <c r="O16" s="67">
        <v>30</v>
      </c>
      <c r="P16" s="67">
        <v>6</v>
      </c>
      <c r="Q16" s="67">
        <v>7</v>
      </c>
      <c r="R16" s="67">
        <v>17</v>
      </c>
      <c r="S16" s="67">
        <v>4</v>
      </c>
      <c r="T16" s="67">
        <v>0</v>
      </c>
      <c r="U16" s="67">
        <v>2</v>
      </c>
      <c r="V16" s="67">
        <v>2</v>
      </c>
      <c r="W16" s="67">
        <v>369</v>
      </c>
      <c r="X16" s="67">
        <v>25</v>
      </c>
      <c r="Y16" s="67">
        <v>20</v>
      </c>
      <c r="Z16" s="67">
        <v>324</v>
      </c>
      <c r="AA16" s="67">
        <v>990</v>
      </c>
      <c r="AB16" s="67">
        <v>70</v>
      </c>
      <c r="AC16" s="67">
        <v>50</v>
      </c>
      <c r="AD16" s="67">
        <v>870</v>
      </c>
      <c r="AE16" s="67">
        <v>340</v>
      </c>
      <c r="AF16" s="67">
        <v>18</v>
      </c>
      <c r="AG16" s="67">
        <v>4</v>
      </c>
      <c r="AH16" s="67">
        <v>318</v>
      </c>
      <c r="AI16" s="67">
        <v>141</v>
      </c>
      <c r="AJ16" s="67">
        <v>15</v>
      </c>
      <c r="AK16" s="67">
        <v>11</v>
      </c>
      <c r="AL16" s="67">
        <v>115</v>
      </c>
      <c r="AM16" s="67">
        <v>35</v>
      </c>
      <c r="AN16" s="67">
        <v>6</v>
      </c>
      <c r="AO16" s="67">
        <v>7</v>
      </c>
      <c r="AP16" s="67">
        <v>22</v>
      </c>
      <c r="AQ16" s="67">
        <v>4</v>
      </c>
      <c r="AR16" s="67">
        <v>0</v>
      </c>
      <c r="AS16" s="67">
        <v>2</v>
      </c>
      <c r="AT16" s="67">
        <v>2</v>
      </c>
      <c r="AU16" s="67">
        <v>470</v>
      </c>
      <c r="AV16" s="67">
        <v>31</v>
      </c>
      <c r="AW16" s="67">
        <v>26</v>
      </c>
      <c r="AX16" s="67">
        <v>413</v>
      </c>
    </row>
    <row r="17" spans="1:50" s="18" customFormat="1" ht="15.75" customHeight="1">
      <c r="A17" s="345" t="s">
        <v>49</v>
      </c>
      <c r="B17" s="65" t="s">
        <v>224</v>
      </c>
      <c r="C17" s="68">
        <v>295</v>
      </c>
      <c r="D17" s="68">
        <v>27</v>
      </c>
      <c r="E17" s="68">
        <v>15</v>
      </c>
      <c r="F17" s="68">
        <v>253</v>
      </c>
      <c r="G17" s="68">
        <v>93</v>
      </c>
      <c r="H17" s="68">
        <v>7</v>
      </c>
      <c r="I17" s="68">
        <v>1</v>
      </c>
      <c r="J17" s="68">
        <v>85</v>
      </c>
      <c r="K17" s="68">
        <v>48</v>
      </c>
      <c r="L17" s="68">
        <v>4</v>
      </c>
      <c r="M17" s="68">
        <v>3</v>
      </c>
      <c r="N17" s="68">
        <v>41</v>
      </c>
      <c r="O17" s="68">
        <v>21</v>
      </c>
      <c r="P17" s="68">
        <v>6</v>
      </c>
      <c r="Q17" s="68">
        <v>2</v>
      </c>
      <c r="R17" s="68">
        <v>13</v>
      </c>
      <c r="S17" s="68">
        <v>1</v>
      </c>
      <c r="T17" s="68">
        <v>0</v>
      </c>
      <c r="U17" s="68">
        <v>0</v>
      </c>
      <c r="V17" s="68">
        <v>1</v>
      </c>
      <c r="W17" s="68">
        <v>132</v>
      </c>
      <c r="X17" s="68">
        <v>10</v>
      </c>
      <c r="Y17" s="68">
        <v>9</v>
      </c>
      <c r="Z17" s="68">
        <v>113</v>
      </c>
      <c r="AA17" s="68">
        <v>372</v>
      </c>
      <c r="AB17" s="68">
        <v>31</v>
      </c>
      <c r="AC17" s="68">
        <v>19</v>
      </c>
      <c r="AD17" s="68">
        <v>322</v>
      </c>
      <c r="AE17" s="68">
        <v>118</v>
      </c>
      <c r="AF17" s="68">
        <v>8</v>
      </c>
      <c r="AG17" s="68">
        <v>1</v>
      </c>
      <c r="AH17" s="68">
        <v>109</v>
      </c>
      <c r="AI17" s="68">
        <v>60</v>
      </c>
      <c r="AJ17" s="68">
        <v>5</v>
      </c>
      <c r="AK17" s="68">
        <v>5</v>
      </c>
      <c r="AL17" s="68">
        <v>50</v>
      </c>
      <c r="AM17" s="68">
        <v>25</v>
      </c>
      <c r="AN17" s="68">
        <v>6</v>
      </c>
      <c r="AO17" s="68">
        <v>2</v>
      </c>
      <c r="AP17" s="68">
        <v>17</v>
      </c>
      <c r="AQ17" s="68">
        <v>1</v>
      </c>
      <c r="AR17" s="68">
        <v>0</v>
      </c>
      <c r="AS17" s="68">
        <v>0</v>
      </c>
      <c r="AT17" s="68">
        <v>1</v>
      </c>
      <c r="AU17" s="68">
        <v>168</v>
      </c>
      <c r="AV17" s="68">
        <v>12</v>
      </c>
      <c r="AW17" s="68">
        <v>11</v>
      </c>
      <c r="AX17" s="68">
        <v>145</v>
      </c>
    </row>
    <row r="18" spans="1:50" s="18" customFormat="1" ht="15.75" customHeight="1">
      <c r="A18" s="346"/>
      <c r="B18" s="65" t="s">
        <v>225</v>
      </c>
      <c r="C18" s="68">
        <v>480</v>
      </c>
      <c r="D18" s="68">
        <v>31</v>
      </c>
      <c r="E18" s="68">
        <v>25</v>
      </c>
      <c r="F18" s="68">
        <v>424</v>
      </c>
      <c r="G18" s="68">
        <v>174</v>
      </c>
      <c r="H18" s="68">
        <v>9</v>
      </c>
      <c r="I18" s="68">
        <v>3</v>
      </c>
      <c r="J18" s="68">
        <v>162</v>
      </c>
      <c r="K18" s="68">
        <v>57</v>
      </c>
      <c r="L18" s="68">
        <v>7</v>
      </c>
      <c r="M18" s="68">
        <v>4</v>
      </c>
      <c r="N18" s="68">
        <v>46</v>
      </c>
      <c r="O18" s="68">
        <v>9</v>
      </c>
      <c r="P18" s="68">
        <v>0</v>
      </c>
      <c r="Q18" s="68">
        <v>5</v>
      </c>
      <c r="R18" s="68">
        <v>4</v>
      </c>
      <c r="S18" s="68">
        <v>3</v>
      </c>
      <c r="T18" s="68">
        <v>0</v>
      </c>
      <c r="U18" s="68">
        <v>2</v>
      </c>
      <c r="V18" s="68">
        <v>1</v>
      </c>
      <c r="W18" s="68">
        <v>237</v>
      </c>
      <c r="X18" s="68">
        <v>15</v>
      </c>
      <c r="Y18" s="68">
        <v>11</v>
      </c>
      <c r="Z18" s="68">
        <v>211</v>
      </c>
      <c r="AA18" s="68">
        <v>618</v>
      </c>
      <c r="AB18" s="68">
        <v>39</v>
      </c>
      <c r="AC18" s="68">
        <v>31</v>
      </c>
      <c r="AD18" s="68">
        <v>548</v>
      </c>
      <c r="AE18" s="68">
        <v>222</v>
      </c>
      <c r="AF18" s="68">
        <v>10</v>
      </c>
      <c r="AG18" s="68">
        <v>3</v>
      </c>
      <c r="AH18" s="68">
        <v>209</v>
      </c>
      <c r="AI18" s="68">
        <v>81</v>
      </c>
      <c r="AJ18" s="68">
        <v>10</v>
      </c>
      <c r="AK18" s="68">
        <v>6</v>
      </c>
      <c r="AL18" s="68">
        <v>65</v>
      </c>
      <c r="AM18" s="68">
        <v>10</v>
      </c>
      <c r="AN18" s="68">
        <v>0</v>
      </c>
      <c r="AO18" s="68">
        <v>5</v>
      </c>
      <c r="AP18" s="68">
        <v>5</v>
      </c>
      <c r="AQ18" s="68">
        <v>3</v>
      </c>
      <c r="AR18" s="68">
        <v>0</v>
      </c>
      <c r="AS18" s="68">
        <v>2</v>
      </c>
      <c r="AT18" s="68">
        <v>1</v>
      </c>
      <c r="AU18" s="68">
        <v>302</v>
      </c>
      <c r="AV18" s="68">
        <v>19</v>
      </c>
      <c r="AW18" s="68">
        <v>15</v>
      </c>
      <c r="AX18" s="68">
        <v>268</v>
      </c>
    </row>
    <row r="19" spans="1:50" s="18" customFormat="1" ht="15.75" customHeight="1">
      <c r="A19" s="63" t="s">
        <v>204</v>
      </c>
      <c r="B19" s="64" t="s">
        <v>223</v>
      </c>
      <c r="C19" s="67">
        <v>1743</v>
      </c>
      <c r="D19" s="67">
        <v>245</v>
      </c>
      <c r="E19" s="67">
        <v>87</v>
      </c>
      <c r="F19" s="67">
        <v>1411</v>
      </c>
      <c r="G19" s="67">
        <v>576</v>
      </c>
      <c r="H19" s="67">
        <v>43</v>
      </c>
      <c r="I19" s="67">
        <v>9</v>
      </c>
      <c r="J19" s="67">
        <v>524</v>
      </c>
      <c r="K19" s="67">
        <v>332</v>
      </c>
      <c r="L19" s="67">
        <v>64</v>
      </c>
      <c r="M19" s="67">
        <v>29</v>
      </c>
      <c r="N19" s="67">
        <v>239</v>
      </c>
      <c r="O19" s="67">
        <v>107</v>
      </c>
      <c r="P19" s="67">
        <v>51</v>
      </c>
      <c r="Q19" s="67">
        <v>17</v>
      </c>
      <c r="R19" s="67">
        <v>39</v>
      </c>
      <c r="S19" s="67">
        <v>0</v>
      </c>
      <c r="T19" s="67">
        <v>0</v>
      </c>
      <c r="U19" s="67">
        <v>0</v>
      </c>
      <c r="V19" s="67">
        <v>0</v>
      </c>
      <c r="W19" s="67">
        <v>728</v>
      </c>
      <c r="X19" s="67">
        <v>87</v>
      </c>
      <c r="Y19" s="67">
        <v>32</v>
      </c>
      <c r="Z19" s="67">
        <v>609</v>
      </c>
      <c r="AA19" s="67">
        <v>3646</v>
      </c>
      <c r="AB19" s="67">
        <v>502</v>
      </c>
      <c r="AC19" s="67">
        <v>182</v>
      </c>
      <c r="AD19" s="67">
        <v>2962</v>
      </c>
      <c r="AE19" s="67">
        <v>1195</v>
      </c>
      <c r="AF19" s="67">
        <v>85</v>
      </c>
      <c r="AG19" s="67">
        <v>21</v>
      </c>
      <c r="AH19" s="67">
        <v>1089</v>
      </c>
      <c r="AI19" s="67">
        <v>732</v>
      </c>
      <c r="AJ19" s="67">
        <v>123</v>
      </c>
      <c r="AK19" s="67">
        <v>56</v>
      </c>
      <c r="AL19" s="67">
        <v>553</v>
      </c>
      <c r="AM19" s="67">
        <v>216</v>
      </c>
      <c r="AN19" s="67">
        <v>103</v>
      </c>
      <c r="AO19" s="67">
        <v>34</v>
      </c>
      <c r="AP19" s="67">
        <v>79</v>
      </c>
      <c r="AQ19" s="67">
        <v>0</v>
      </c>
      <c r="AR19" s="67">
        <v>0</v>
      </c>
      <c r="AS19" s="67">
        <v>0</v>
      </c>
      <c r="AT19" s="67">
        <v>0</v>
      </c>
      <c r="AU19" s="67">
        <v>1503</v>
      </c>
      <c r="AV19" s="67">
        <v>191</v>
      </c>
      <c r="AW19" s="67">
        <v>71</v>
      </c>
      <c r="AX19" s="67">
        <v>1241</v>
      </c>
    </row>
    <row r="20" spans="1:50" s="18" customFormat="1" ht="15.75" customHeight="1">
      <c r="A20" s="345" t="s">
        <v>26</v>
      </c>
      <c r="B20" s="65" t="s">
        <v>224</v>
      </c>
      <c r="C20" s="68">
        <v>636</v>
      </c>
      <c r="D20" s="68">
        <v>131</v>
      </c>
      <c r="E20" s="68">
        <v>46</v>
      </c>
      <c r="F20" s="68">
        <v>459</v>
      </c>
      <c r="G20" s="68">
        <v>173</v>
      </c>
      <c r="H20" s="68">
        <v>17</v>
      </c>
      <c r="I20" s="68">
        <v>3</v>
      </c>
      <c r="J20" s="68">
        <v>153</v>
      </c>
      <c r="K20" s="68">
        <v>163</v>
      </c>
      <c r="L20" s="68">
        <v>38</v>
      </c>
      <c r="M20" s="68">
        <v>20</v>
      </c>
      <c r="N20" s="68">
        <v>105</v>
      </c>
      <c r="O20" s="68">
        <v>72</v>
      </c>
      <c r="P20" s="68">
        <v>36</v>
      </c>
      <c r="Q20" s="68">
        <v>11</v>
      </c>
      <c r="R20" s="68">
        <v>25</v>
      </c>
      <c r="S20" s="68">
        <v>0</v>
      </c>
      <c r="T20" s="68">
        <v>0</v>
      </c>
      <c r="U20" s="68">
        <v>0</v>
      </c>
      <c r="V20" s="68">
        <v>0</v>
      </c>
      <c r="W20" s="68">
        <v>228</v>
      </c>
      <c r="X20" s="68">
        <v>40</v>
      </c>
      <c r="Y20" s="68">
        <v>12</v>
      </c>
      <c r="Z20" s="68">
        <v>176</v>
      </c>
      <c r="AA20" s="68">
        <v>1324</v>
      </c>
      <c r="AB20" s="68">
        <v>264</v>
      </c>
      <c r="AC20" s="68">
        <v>94</v>
      </c>
      <c r="AD20" s="68">
        <v>966</v>
      </c>
      <c r="AE20" s="68">
        <v>359</v>
      </c>
      <c r="AF20" s="68">
        <v>38</v>
      </c>
      <c r="AG20" s="68">
        <v>8</v>
      </c>
      <c r="AH20" s="68">
        <v>313</v>
      </c>
      <c r="AI20" s="68">
        <v>346</v>
      </c>
      <c r="AJ20" s="68">
        <v>66</v>
      </c>
      <c r="AK20" s="68">
        <v>36</v>
      </c>
      <c r="AL20" s="68">
        <v>244</v>
      </c>
      <c r="AM20" s="68">
        <v>138</v>
      </c>
      <c r="AN20" s="68">
        <v>71</v>
      </c>
      <c r="AO20" s="68">
        <v>19</v>
      </c>
      <c r="AP20" s="68">
        <v>48</v>
      </c>
      <c r="AQ20" s="68">
        <v>0</v>
      </c>
      <c r="AR20" s="68">
        <v>0</v>
      </c>
      <c r="AS20" s="68">
        <v>0</v>
      </c>
      <c r="AT20" s="68">
        <v>0</v>
      </c>
      <c r="AU20" s="68">
        <v>481</v>
      </c>
      <c r="AV20" s="68">
        <v>89</v>
      </c>
      <c r="AW20" s="68">
        <v>31</v>
      </c>
      <c r="AX20" s="68">
        <v>361</v>
      </c>
    </row>
    <row r="21" spans="1:50" s="18" customFormat="1" ht="15.75" customHeight="1">
      <c r="A21" s="346"/>
      <c r="B21" s="65" t="s">
        <v>225</v>
      </c>
      <c r="C21" s="68">
        <v>1107</v>
      </c>
      <c r="D21" s="68">
        <v>114</v>
      </c>
      <c r="E21" s="68">
        <v>41</v>
      </c>
      <c r="F21" s="68">
        <v>952</v>
      </c>
      <c r="G21" s="68">
        <v>403</v>
      </c>
      <c r="H21" s="68">
        <v>26</v>
      </c>
      <c r="I21" s="68">
        <v>6</v>
      </c>
      <c r="J21" s="68">
        <v>371</v>
      </c>
      <c r="K21" s="68">
        <v>169</v>
      </c>
      <c r="L21" s="68">
        <v>26</v>
      </c>
      <c r="M21" s="68">
        <v>9</v>
      </c>
      <c r="N21" s="68">
        <v>134</v>
      </c>
      <c r="O21" s="68">
        <v>35</v>
      </c>
      <c r="P21" s="68">
        <v>15</v>
      </c>
      <c r="Q21" s="68">
        <v>6</v>
      </c>
      <c r="R21" s="68">
        <v>14</v>
      </c>
      <c r="S21" s="68">
        <v>0</v>
      </c>
      <c r="T21" s="68">
        <v>0</v>
      </c>
      <c r="U21" s="68">
        <v>0</v>
      </c>
      <c r="V21" s="68">
        <v>0</v>
      </c>
      <c r="W21" s="68">
        <v>500</v>
      </c>
      <c r="X21" s="68">
        <v>47</v>
      </c>
      <c r="Y21" s="68">
        <v>20</v>
      </c>
      <c r="Z21" s="68">
        <v>433</v>
      </c>
      <c r="AA21" s="68">
        <v>2322</v>
      </c>
      <c r="AB21" s="68">
        <v>238</v>
      </c>
      <c r="AC21" s="68">
        <v>88</v>
      </c>
      <c r="AD21" s="68">
        <v>1996</v>
      </c>
      <c r="AE21" s="68">
        <v>836</v>
      </c>
      <c r="AF21" s="68">
        <v>47</v>
      </c>
      <c r="AG21" s="68">
        <v>13</v>
      </c>
      <c r="AH21" s="68">
        <v>776</v>
      </c>
      <c r="AI21" s="68">
        <v>386</v>
      </c>
      <c r="AJ21" s="68">
        <v>57</v>
      </c>
      <c r="AK21" s="68">
        <v>20</v>
      </c>
      <c r="AL21" s="68">
        <v>309</v>
      </c>
      <c r="AM21" s="68">
        <v>78</v>
      </c>
      <c r="AN21" s="68">
        <v>32</v>
      </c>
      <c r="AO21" s="68">
        <v>15</v>
      </c>
      <c r="AP21" s="68">
        <v>31</v>
      </c>
      <c r="AQ21" s="68">
        <v>0</v>
      </c>
      <c r="AR21" s="68">
        <v>0</v>
      </c>
      <c r="AS21" s="68">
        <v>0</v>
      </c>
      <c r="AT21" s="68">
        <v>0</v>
      </c>
      <c r="AU21" s="68">
        <v>1022</v>
      </c>
      <c r="AV21" s="68">
        <v>102</v>
      </c>
      <c r="AW21" s="68">
        <v>40</v>
      </c>
      <c r="AX21" s="68">
        <v>880</v>
      </c>
    </row>
    <row r="22" spans="1:50" s="18" customFormat="1" ht="15.75" customHeight="1">
      <c r="A22" s="63" t="s">
        <v>205</v>
      </c>
      <c r="B22" s="64" t="s">
        <v>223</v>
      </c>
      <c r="C22" s="67">
        <v>1820</v>
      </c>
      <c r="D22" s="67">
        <v>146</v>
      </c>
      <c r="E22" s="67">
        <v>180</v>
      </c>
      <c r="F22" s="67">
        <v>1494</v>
      </c>
      <c r="G22" s="67">
        <v>565</v>
      </c>
      <c r="H22" s="67">
        <v>40</v>
      </c>
      <c r="I22" s="67">
        <v>8</v>
      </c>
      <c r="J22" s="67">
        <v>517</v>
      </c>
      <c r="K22" s="67">
        <v>364</v>
      </c>
      <c r="L22" s="67">
        <v>32</v>
      </c>
      <c r="M22" s="67">
        <v>39</v>
      </c>
      <c r="N22" s="67">
        <v>293</v>
      </c>
      <c r="O22" s="67">
        <v>94</v>
      </c>
      <c r="P22" s="67">
        <v>16</v>
      </c>
      <c r="Q22" s="67">
        <v>40</v>
      </c>
      <c r="R22" s="67">
        <v>38</v>
      </c>
      <c r="S22" s="67">
        <v>0</v>
      </c>
      <c r="T22" s="67">
        <v>0</v>
      </c>
      <c r="U22" s="67">
        <v>0</v>
      </c>
      <c r="V22" s="67">
        <v>0</v>
      </c>
      <c r="W22" s="67">
        <v>797</v>
      </c>
      <c r="X22" s="67">
        <v>58</v>
      </c>
      <c r="Y22" s="67">
        <v>93</v>
      </c>
      <c r="Z22" s="67">
        <v>646</v>
      </c>
      <c r="AA22" s="67">
        <v>2178</v>
      </c>
      <c r="AB22" s="67">
        <v>190</v>
      </c>
      <c r="AC22" s="67">
        <v>221</v>
      </c>
      <c r="AD22" s="67">
        <v>1767</v>
      </c>
      <c r="AE22" s="67">
        <v>684</v>
      </c>
      <c r="AF22" s="67">
        <v>44</v>
      </c>
      <c r="AG22" s="67">
        <v>10</v>
      </c>
      <c r="AH22" s="67">
        <v>630</v>
      </c>
      <c r="AI22" s="67">
        <v>453</v>
      </c>
      <c r="AJ22" s="67">
        <v>46</v>
      </c>
      <c r="AK22" s="67">
        <v>48</v>
      </c>
      <c r="AL22" s="67">
        <v>359</v>
      </c>
      <c r="AM22" s="67">
        <v>124</v>
      </c>
      <c r="AN22" s="67">
        <v>22</v>
      </c>
      <c r="AO22" s="67">
        <v>55</v>
      </c>
      <c r="AP22" s="67">
        <v>47</v>
      </c>
      <c r="AQ22" s="67">
        <v>0</v>
      </c>
      <c r="AR22" s="67">
        <v>0</v>
      </c>
      <c r="AS22" s="67">
        <v>0</v>
      </c>
      <c r="AT22" s="67">
        <v>0</v>
      </c>
      <c r="AU22" s="67">
        <v>917</v>
      </c>
      <c r="AV22" s="67">
        <v>78</v>
      </c>
      <c r="AW22" s="67">
        <v>108</v>
      </c>
      <c r="AX22" s="67">
        <v>731</v>
      </c>
    </row>
    <row r="23" spans="1:50" s="18" customFormat="1" ht="15.75" customHeight="1">
      <c r="A23" s="345" t="s">
        <v>27</v>
      </c>
      <c r="B23" s="65" t="s">
        <v>224</v>
      </c>
      <c r="C23" s="68">
        <v>631</v>
      </c>
      <c r="D23" s="68">
        <v>58</v>
      </c>
      <c r="E23" s="68">
        <v>80</v>
      </c>
      <c r="F23" s="68">
        <v>493</v>
      </c>
      <c r="G23" s="68">
        <v>176</v>
      </c>
      <c r="H23" s="68">
        <v>15</v>
      </c>
      <c r="I23" s="68">
        <v>1</v>
      </c>
      <c r="J23" s="68">
        <v>160</v>
      </c>
      <c r="K23" s="68">
        <v>149</v>
      </c>
      <c r="L23" s="68">
        <v>14</v>
      </c>
      <c r="M23" s="68">
        <v>17</v>
      </c>
      <c r="N23" s="68">
        <v>118</v>
      </c>
      <c r="O23" s="68">
        <v>54</v>
      </c>
      <c r="P23" s="68">
        <v>10</v>
      </c>
      <c r="Q23" s="68">
        <v>26</v>
      </c>
      <c r="R23" s="68">
        <v>18</v>
      </c>
      <c r="S23" s="68">
        <v>0</v>
      </c>
      <c r="T23" s="68">
        <v>0</v>
      </c>
      <c r="U23" s="68">
        <v>0</v>
      </c>
      <c r="V23" s="68">
        <v>0</v>
      </c>
      <c r="W23" s="68">
        <v>252</v>
      </c>
      <c r="X23" s="68">
        <v>19</v>
      </c>
      <c r="Y23" s="68">
        <v>36</v>
      </c>
      <c r="Z23" s="68">
        <v>197</v>
      </c>
      <c r="AA23" s="68">
        <v>770</v>
      </c>
      <c r="AB23" s="68">
        <v>74</v>
      </c>
      <c r="AC23" s="68">
        <v>96</v>
      </c>
      <c r="AD23" s="68">
        <v>600</v>
      </c>
      <c r="AE23" s="68">
        <v>223</v>
      </c>
      <c r="AF23" s="68">
        <v>17</v>
      </c>
      <c r="AG23" s="68">
        <v>2</v>
      </c>
      <c r="AH23" s="68">
        <v>204</v>
      </c>
      <c r="AI23" s="68">
        <v>195</v>
      </c>
      <c r="AJ23" s="68">
        <v>22</v>
      </c>
      <c r="AK23" s="68">
        <v>20</v>
      </c>
      <c r="AL23" s="68">
        <v>153</v>
      </c>
      <c r="AM23" s="68">
        <v>67</v>
      </c>
      <c r="AN23" s="68">
        <v>12</v>
      </c>
      <c r="AO23" s="68">
        <v>31</v>
      </c>
      <c r="AP23" s="68">
        <v>24</v>
      </c>
      <c r="AQ23" s="68">
        <v>0</v>
      </c>
      <c r="AR23" s="68">
        <v>0</v>
      </c>
      <c r="AS23" s="68">
        <v>0</v>
      </c>
      <c r="AT23" s="68">
        <v>0</v>
      </c>
      <c r="AU23" s="68">
        <v>285</v>
      </c>
      <c r="AV23" s="68">
        <v>23</v>
      </c>
      <c r="AW23" s="68">
        <v>43</v>
      </c>
      <c r="AX23" s="68">
        <v>219</v>
      </c>
    </row>
    <row r="24" spans="1:50" s="18" customFormat="1" ht="15.75" customHeight="1">
      <c r="A24" s="346"/>
      <c r="B24" s="65" t="s">
        <v>225</v>
      </c>
      <c r="C24" s="68">
        <v>1189</v>
      </c>
      <c r="D24" s="68">
        <v>88</v>
      </c>
      <c r="E24" s="68">
        <v>100</v>
      </c>
      <c r="F24" s="68">
        <v>1001</v>
      </c>
      <c r="G24" s="68">
        <v>389</v>
      </c>
      <c r="H24" s="68">
        <v>25</v>
      </c>
      <c r="I24" s="68">
        <v>7</v>
      </c>
      <c r="J24" s="68">
        <v>357</v>
      </c>
      <c r="K24" s="68">
        <v>215</v>
      </c>
      <c r="L24" s="68">
        <v>18</v>
      </c>
      <c r="M24" s="68">
        <v>22</v>
      </c>
      <c r="N24" s="68">
        <v>175</v>
      </c>
      <c r="O24" s="68">
        <v>40</v>
      </c>
      <c r="P24" s="68">
        <v>6</v>
      </c>
      <c r="Q24" s="68">
        <v>14</v>
      </c>
      <c r="R24" s="68">
        <v>20</v>
      </c>
      <c r="S24" s="68">
        <v>0</v>
      </c>
      <c r="T24" s="68">
        <v>0</v>
      </c>
      <c r="U24" s="68">
        <v>0</v>
      </c>
      <c r="V24" s="68">
        <v>0</v>
      </c>
      <c r="W24" s="68">
        <v>545</v>
      </c>
      <c r="X24" s="68">
        <v>39</v>
      </c>
      <c r="Y24" s="68">
        <v>57</v>
      </c>
      <c r="Z24" s="68">
        <v>449</v>
      </c>
      <c r="AA24" s="68">
        <v>1408</v>
      </c>
      <c r="AB24" s="68">
        <v>116</v>
      </c>
      <c r="AC24" s="68">
        <v>125</v>
      </c>
      <c r="AD24" s="68">
        <v>1167</v>
      </c>
      <c r="AE24" s="68">
        <v>461</v>
      </c>
      <c r="AF24" s="68">
        <v>27</v>
      </c>
      <c r="AG24" s="68">
        <v>8</v>
      </c>
      <c r="AH24" s="68">
        <v>426</v>
      </c>
      <c r="AI24" s="68">
        <v>258</v>
      </c>
      <c r="AJ24" s="68">
        <v>24</v>
      </c>
      <c r="AK24" s="68">
        <v>28</v>
      </c>
      <c r="AL24" s="68">
        <v>206</v>
      </c>
      <c r="AM24" s="68">
        <v>57</v>
      </c>
      <c r="AN24" s="68">
        <v>10</v>
      </c>
      <c r="AO24" s="68">
        <v>24</v>
      </c>
      <c r="AP24" s="68">
        <v>23</v>
      </c>
      <c r="AQ24" s="68">
        <v>0</v>
      </c>
      <c r="AR24" s="68">
        <v>0</v>
      </c>
      <c r="AS24" s="68">
        <v>0</v>
      </c>
      <c r="AT24" s="68">
        <v>0</v>
      </c>
      <c r="AU24" s="68">
        <v>632</v>
      </c>
      <c r="AV24" s="68">
        <v>55</v>
      </c>
      <c r="AW24" s="68">
        <v>65</v>
      </c>
      <c r="AX24" s="68">
        <v>512</v>
      </c>
    </row>
    <row r="25" spans="1:50" s="18" customFormat="1" ht="15.75" customHeight="1">
      <c r="A25" s="63" t="s">
        <v>206</v>
      </c>
      <c r="B25" s="64" t="s">
        <v>223</v>
      </c>
      <c r="C25" s="67">
        <v>2133</v>
      </c>
      <c r="D25" s="67">
        <v>245</v>
      </c>
      <c r="E25" s="67">
        <v>178</v>
      </c>
      <c r="F25" s="67">
        <v>1710</v>
      </c>
      <c r="G25" s="67">
        <v>1425</v>
      </c>
      <c r="H25" s="67">
        <v>157</v>
      </c>
      <c r="I25" s="67">
        <v>120</v>
      </c>
      <c r="J25" s="67">
        <v>1148</v>
      </c>
      <c r="K25" s="67">
        <v>365</v>
      </c>
      <c r="L25" s="67">
        <v>48</v>
      </c>
      <c r="M25" s="67">
        <v>7</v>
      </c>
      <c r="N25" s="67">
        <v>310</v>
      </c>
      <c r="O25" s="67">
        <v>267</v>
      </c>
      <c r="P25" s="67">
        <v>24</v>
      </c>
      <c r="Q25" s="67">
        <v>26</v>
      </c>
      <c r="R25" s="67">
        <v>217</v>
      </c>
      <c r="S25" s="67">
        <v>74</v>
      </c>
      <c r="T25" s="67">
        <v>16</v>
      </c>
      <c r="U25" s="67">
        <v>24</v>
      </c>
      <c r="V25" s="67">
        <v>34</v>
      </c>
      <c r="W25" s="67">
        <v>2</v>
      </c>
      <c r="X25" s="67">
        <v>0</v>
      </c>
      <c r="Y25" s="67">
        <v>1</v>
      </c>
      <c r="Z25" s="67">
        <v>1</v>
      </c>
      <c r="AA25" s="67">
        <v>2930</v>
      </c>
      <c r="AB25" s="67">
        <v>335</v>
      </c>
      <c r="AC25" s="67">
        <v>245</v>
      </c>
      <c r="AD25" s="67">
        <v>2350</v>
      </c>
      <c r="AE25" s="67">
        <v>1937</v>
      </c>
      <c r="AF25" s="67">
        <v>215</v>
      </c>
      <c r="AG25" s="67">
        <v>162</v>
      </c>
      <c r="AH25" s="67">
        <v>1560</v>
      </c>
      <c r="AI25" s="67">
        <v>522</v>
      </c>
      <c r="AJ25" s="67">
        <v>64</v>
      </c>
      <c r="AK25" s="67">
        <v>9</v>
      </c>
      <c r="AL25" s="67">
        <v>449</v>
      </c>
      <c r="AM25" s="67">
        <v>377</v>
      </c>
      <c r="AN25" s="67">
        <v>39</v>
      </c>
      <c r="AO25" s="67">
        <v>40</v>
      </c>
      <c r="AP25" s="67">
        <v>298</v>
      </c>
      <c r="AQ25" s="67">
        <v>91</v>
      </c>
      <c r="AR25" s="67">
        <v>17</v>
      </c>
      <c r="AS25" s="67">
        <v>33</v>
      </c>
      <c r="AT25" s="67">
        <v>41</v>
      </c>
      <c r="AU25" s="67">
        <v>3</v>
      </c>
      <c r="AV25" s="67">
        <v>0</v>
      </c>
      <c r="AW25" s="67">
        <v>1</v>
      </c>
      <c r="AX25" s="67">
        <v>2</v>
      </c>
    </row>
    <row r="26" spans="1:50" s="18" customFormat="1" ht="15.75" customHeight="1">
      <c r="A26" s="345" t="s">
        <v>28</v>
      </c>
      <c r="B26" s="65" t="s">
        <v>224</v>
      </c>
      <c r="C26" s="68">
        <v>837</v>
      </c>
      <c r="D26" s="68">
        <v>91</v>
      </c>
      <c r="E26" s="68">
        <v>81</v>
      </c>
      <c r="F26" s="68">
        <v>665</v>
      </c>
      <c r="G26" s="68">
        <v>539</v>
      </c>
      <c r="H26" s="68">
        <v>57</v>
      </c>
      <c r="I26" s="68">
        <v>51</v>
      </c>
      <c r="J26" s="68">
        <v>431</v>
      </c>
      <c r="K26" s="68">
        <v>119</v>
      </c>
      <c r="L26" s="68">
        <v>14</v>
      </c>
      <c r="M26" s="68">
        <v>2</v>
      </c>
      <c r="N26" s="68">
        <v>103</v>
      </c>
      <c r="O26" s="68">
        <v>126</v>
      </c>
      <c r="P26" s="68">
        <v>9</v>
      </c>
      <c r="Q26" s="68">
        <v>13</v>
      </c>
      <c r="R26" s="68">
        <v>104</v>
      </c>
      <c r="S26" s="68">
        <v>52</v>
      </c>
      <c r="T26" s="68">
        <v>11</v>
      </c>
      <c r="U26" s="68">
        <v>15</v>
      </c>
      <c r="V26" s="68">
        <v>26</v>
      </c>
      <c r="W26" s="68">
        <v>1</v>
      </c>
      <c r="X26" s="68">
        <v>0</v>
      </c>
      <c r="Y26" s="68">
        <v>0</v>
      </c>
      <c r="Z26" s="68">
        <v>1</v>
      </c>
      <c r="AA26" s="68">
        <v>1152</v>
      </c>
      <c r="AB26" s="68">
        <v>129</v>
      </c>
      <c r="AC26" s="68">
        <v>123</v>
      </c>
      <c r="AD26" s="68">
        <v>900</v>
      </c>
      <c r="AE26" s="68">
        <v>747</v>
      </c>
      <c r="AF26" s="68">
        <v>81</v>
      </c>
      <c r="AG26" s="68">
        <v>76</v>
      </c>
      <c r="AH26" s="68">
        <v>590</v>
      </c>
      <c r="AI26" s="68">
        <v>169</v>
      </c>
      <c r="AJ26" s="68">
        <v>23</v>
      </c>
      <c r="AK26" s="68">
        <v>4</v>
      </c>
      <c r="AL26" s="68">
        <v>142</v>
      </c>
      <c r="AM26" s="68">
        <v>170</v>
      </c>
      <c r="AN26" s="68">
        <v>13</v>
      </c>
      <c r="AO26" s="68">
        <v>22</v>
      </c>
      <c r="AP26" s="68">
        <v>135</v>
      </c>
      <c r="AQ26" s="68">
        <v>64</v>
      </c>
      <c r="AR26" s="68">
        <v>12</v>
      </c>
      <c r="AS26" s="68">
        <v>21</v>
      </c>
      <c r="AT26" s="68">
        <v>31</v>
      </c>
      <c r="AU26" s="68">
        <v>2</v>
      </c>
      <c r="AV26" s="68">
        <v>0</v>
      </c>
      <c r="AW26" s="68">
        <v>0</v>
      </c>
      <c r="AX26" s="68">
        <v>2</v>
      </c>
    </row>
    <row r="27" spans="1:50" s="18" customFormat="1" ht="15.75" customHeight="1">
      <c r="A27" s="346"/>
      <c r="B27" s="65" t="s">
        <v>225</v>
      </c>
      <c r="C27" s="68">
        <v>1296</v>
      </c>
      <c r="D27" s="68">
        <v>154</v>
      </c>
      <c r="E27" s="68">
        <v>97</v>
      </c>
      <c r="F27" s="68">
        <v>1045</v>
      </c>
      <c r="G27" s="68">
        <v>886</v>
      </c>
      <c r="H27" s="68">
        <v>100</v>
      </c>
      <c r="I27" s="68">
        <v>69</v>
      </c>
      <c r="J27" s="68">
        <v>717</v>
      </c>
      <c r="K27" s="68">
        <v>246</v>
      </c>
      <c r="L27" s="68">
        <v>34</v>
      </c>
      <c r="M27" s="68">
        <v>5</v>
      </c>
      <c r="N27" s="68">
        <v>207</v>
      </c>
      <c r="O27" s="68">
        <v>141</v>
      </c>
      <c r="P27" s="68">
        <v>15</v>
      </c>
      <c r="Q27" s="68">
        <v>13</v>
      </c>
      <c r="R27" s="68">
        <v>113</v>
      </c>
      <c r="S27" s="68">
        <v>22</v>
      </c>
      <c r="T27" s="68">
        <v>5</v>
      </c>
      <c r="U27" s="68">
        <v>9</v>
      </c>
      <c r="V27" s="68">
        <v>8</v>
      </c>
      <c r="W27" s="68">
        <v>1</v>
      </c>
      <c r="X27" s="68">
        <v>0</v>
      </c>
      <c r="Y27" s="68">
        <v>1</v>
      </c>
      <c r="Z27" s="68">
        <v>0</v>
      </c>
      <c r="AA27" s="68">
        <v>1778</v>
      </c>
      <c r="AB27" s="68">
        <v>206</v>
      </c>
      <c r="AC27" s="68">
        <v>122</v>
      </c>
      <c r="AD27" s="68">
        <v>1450</v>
      </c>
      <c r="AE27" s="68">
        <v>1190</v>
      </c>
      <c r="AF27" s="68">
        <v>134</v>
      </c>
      <c r="AG27" s="68">
        <v>86</v>
      </c>
      <c r="AH27" s="68">
        <v>970</v>
      </c>
      <c r="AI27" s="68">
        <v>353</v>
      </c>
      <c r="AJ27" s="68">
        <v>41</v>
      </c>
      <c r="AK27" s="68">
        <v>5</v>
      </c>
      <c r="AL27" s="68">
        <v>307</v>
      </c>
      <c r="AM27" s="68">
        <v>207</v>
      </c>
      <c r="AN27" s="68">
        <v>26</v>
      </c>
      <c r="AO27" s="68">
        <v>18</v>
      </c>
      <c r="AP27" s="68">
        <v>163</v>
      </c>
      <c r="AQ27" s="68">
        <v>27</v>
      </c>
      <c r="AR27" s="68">
        <v>5</v>
      </c>
      <c r="AS27" s="68">
        <v>12</v>
      </c>
      <c r="AT27" s="68">
        <v>10</v>
      </c>
      <c r="AU27" s="68">
        <v>1</v>
      </c>
      <c r="AV27" s="68">
        <v>0</v>
      </c>
      <c r="AW27" s="68">
        <v>1</v>
      </c>
      <c r="AX27" s="68">
        <v>0</v>
      </c>
    </row>
    <row r="28" spans="1:50" ht="15.75" customHeight="1">
      <c r="A28" s="63" t="s">
        <v>207</v>
      </c>
      <c r="B28" s="64" t="s">
        <v>223</v>
      </c>
      <c r="C28" s="67">
        <v>543</v>
      </c>
      <c r="D28" s="67">
        <v>46</v>
      </c>
      <c r="E28" s="67">
        <v>33</v>
      </c>
      <c r="F28" s="67">
        <v>464</v>
      </c>
      <c r="G28" s="67">
        <v>151</v>
      </c>
      <c r="H28" s="67">
        <v>10</v>
      </c>
      <c r="I28" s="67">
        <v>0</v>
      </c>
      <c r="J28" s="67">
        <v>141</v>
      </c>
      <c r="K28" s="67">
        <v>124</v>
      </c>
      <c r="L28" s="67">
        <v>11</v>
      </c>
      <c r="M28" s="67">
        <v>5</v>
      </c>
      <c r="N28" s="67">
        <v>108</v>
      </c>
      <c r="O28" s="67">
        <v>30</v>
      </c>
      <c r="P28" s="67">
        <v>5</v>
      </c>
      <c r="Q28" s="67">
        <v>14</v>
      </c>
      <c r="R28" s="67">
        <v>11</v>
      </c>
      <c r="S28" s="67">
        <v>2</v>
      </c>
      <c r="T28" s="67">
        <v>0</v>
      </c>
      <c r="U28" s="67">
        <v>0</v>
      </c>
      <c r="V28" s="67">
        <v>2</v>
      </c>
      <c r="W28" s="67">
        <v>236</v>
      </c>
      <c r="X28" s="67">
        <v>20</v>
      </c>
      <c r="Y28" s="67">
        <v>14</v>
      </c>
      <c r="Z28" s="67">
        <v>202</v>
      </c>
      <c r="AA28" s="67">
        <v>543</v>
      </c>
      <c r="AB28" s="67">
        <v>46</v>
      </c>
      <c r="AC28" s="67">
        <v>33</v>
      </c>
      <c r="AD28" s="67">
        <v>464</v>
      </c>
      <c r="AE28" s="67">
        <v>151</v>
      </c>
      <c r="AF28" s="67">
        <v>10</v>
      </c>
      <c r="AG28" s="67">
        <v>0</v>
      </c>
      <c r="AH28" s="67">
        <v>141</v>
      </c>
      <c r="AI28" s="67">
        <v>124</v>
      </c>
      <c r="AJ28" s="67">
        <v>11</v>
      </c>
      <c r="AK28" s="67">
        <v>5</v>
      </c>
      <c r="AL28" s="67">
        <v>108</v>
      </c>
      <c r="AM28" s="67">
        <v>30</v>
      </c>
      <c r="AN28" s="67">
        <v>5</v>
      </c>
      <c r="AO28" s="67">
        <v>14</v>
      </c>
      <c r="AP28" s="67">
        <v>11</v>
      </c>
      <c r="AQ28" s="67">
        <v>2</v>
      </c>
      <c r="AR28" s="67">
        <v>0</v>
      </c>
      <c r="AS28" s="67">
        <v>0</v>
      </c>
      <c r="AT28" s="67">
        <v>2</v>
      </c>
      <c r="AU28" s="67">
        <v>236</v>
      </c>
      <c r="AV28" s="67">
        <v>20</v>
      </c>
      <c r="AW28" s="67">
        <v>14</v>
      </c>
      <c r="AX28" s="67">
        <v>202</v>
      </c>
    </row>
    <row r="29" spans="1:50" ht="15.75" customHeight="1">
      <c r="A29" s="345" t="s">
        <v>7</v>
      </c>
      <c r="B29" s="65" t="s">
        <v>224</v>
      </c>
      <c r="C29" s="68">
        <v>198</v>
      </c>
      <c r="D29" s="68">
        <v>23</v>
      </c>
      <c r="E29" s="68">
        <v>18</v>
      </c>
      <c r="F29" s="68">
        <v>157</v>
      </c>
      <c r="G29" s="68">
        <v>45</v>
      </c>
      <c r="H29" s="68">
        <v>5</v>
      </c>
      <c r="I29" s="68">
        <v>0</v>
      </c>
      <c r="J29" s="68">
        <v>40</v>
      </c>
      <c r="K29" s="68">
        <v>57</v>
      </c>
      <c r="L29" s="68">
        <v>7</v>
      </c>
      <c r="M29" s="68">
        <v>2</v>
      </c>
      <c r="N29" s="68">
        <v>48</v>
      </c>
      <c r="O29" s="68">
        <v>17</v>
      </c>
      <c r="P29" s="68">
        <v>2</v>
      </c>
      <c r="Q29" s="68">
        <v>10</v>
      </c>
      <c r="R29" s="68">
        <v>5</v>
      </c>
      <c r="S29" s="68">
        <v>1</v>
      </c>
      <c r="T29" s="68">
        <v>0</v>
      </c>
      <c r="U29" s="68">
        <v>0</v>
      </c>
      <c r="V29" s="68">
        <v>1</v>
      </c>
      <c r="W29" s="68">
        <v>78</v>
      </c>
      <c r="X29" s="68">
        <v>9</v>
      </c>
      <c r="Y29" s="68">
        <v>6</v>
      </c>
      <c r="Z29" s="68">
        <v>63</v>
      </c>
      <c r="AA29" s="68">
        <v>198</v>
      </c>
      <c r="AB29" s="68">
        <v>23</v>
      </c>
      <c r="AC29" s="68">
        <v>18</v>
      </c>
      <c r="AD29" s="68">
        <v>157</v>
      </c>
      <c r="AE29" s="68">
        <v>45</v>
      </c>
      <c r="AF29" s="68">
        <v>5</v>
      </c>
      <c r="AG29" s="68">
        <v>0</v>
      </c>
      <c r="AH29" s="68">
        <v>40</v>
      </c>
      <c r="AI29" s="68">
        <v>57</v>
      </c>
      <c r="AJ29" s="68">
        <v>7</v>
      </c>
      <c r="AK29" s="68">
        <v>2</v>
      </c>
      <c r="AL29" s="68">
        <v>48</v>
      </c>
      <c r="AM29" s="68">
        <v>17</v>
      </c>
      <c r="AN29" s="68">
        <v>2</v>
      </c>
      <c r="AO29" s="68">
        <v>10</v>
      </c>
      <c r="AP29" s="68">
        <v>5</v>
      </c>
      <c r="AQ29" s="68">
        <v>1</v>
      </c>
      <c r="AR29" s="68">
        <v>0</v>
      </c>
      <c r="AS29" s="68">
        <v>0</v>
      </c>
      <c r="AT29" s="68">
        <v>1</v>
      </c>
      <c r="AU29" s="68">
        <v>78</v>
      </c>
      <c r="AV29" s="68">
        <v>9</v>
      </c>
      <c r="AW29" s="68">
        <v>6</v>
      </c>
      <c r="AX29" s="68">
        <v>63</v>
      </c>
    </row>
    <row r="30" spans="1:50" ht="15.75" customHeight="1">
      <c r="A30" s="346"/>
      <c r="B30" s="65" t="s">
        <v>225</v>
      </c>
      <c r="C30" s="68">
        <v>345</v>
      </c>
      <c r="D30" s="68">
        <v>23</v>
      </c>
      <c r="E30" s="68">
        <v>15</v>
      </c>
      <c r="F30" s="68">
        <v>307</v>
      </c>
      <c r="G30" s="68">
        <v>106</v>
      </c>
      <c r="H30" s="68">
        <v>5</v>
      </c>
      <c r="I30" s="68">
        <v>0</v>
      </c>
      <c r="J30" s="68">
        <v>101</v>
      </c>
      <c r="K30" s="68">
        <v>67</v>
      </c>
      <c r="L30" s="68">
        <v>4</v>
      </c>
      <c r="M30" s="68">
        <v>3</v>
      </c>
      <c r="N30" s="68">
        <v>60</v>
      </c>
      <c r="O30" s="68">
        <v>13</v>
      </c>
      <c r="P30" s="68">
        <v>3</v>
      </c>
      <c r="Q30" s="68">
        <v>4</v>
      </c>
      <c r="R30" s="68">
        <v>6</v>
      </c>
      <c r="S30" s="68">
        <v>1</v>
      </c>
      <c r="T30" s="68">
        <v>0</v>
      </c>
      <c r="U30" s="68">
        <v>0</v>
      </c>
      <c r="V30" s="68">
        <v>1</v>
      </c>
      <c r="W30" s="68">
        <v>158</v>
      </c>
      <c r="X30" s="68">
        <v>11</v>
      </c>
      <c r="Y30" s="68">
        <v>8</v>
      </c>
      <c r="Z30" s="68">
        <v>139</v>
      </c>
      <c r="AA30" s="68">
        <v>345</v>
      </c>
      <c r="AB30" s="68">
        <v>23</v>
      </c>
      <c r="AC30" s="68">
        <v>15</v>
      </c>
      <c r="AD30" s="68">
        <v>307</v>
      </c>
      <c r="AE30" s="68">
        <v>106</v>
      </c>
      <c r="AF30" s="68">
        <v>5</v>
      </c>
      <c r="AG30" s="68">
        <v>0</v>
      </c>
      <c r="AH30" s="68">
        <v>101</v>
      </c>
      <c r="AI30" s="68">
        <v>67</v>
      </c>
      <c r="AJ30" s="68">
        <v>4</v>
      </c>
      <c r="AK30" s="68">
        <v>3</v>
      </c>
      <c r="AL30" s="68">
        <v>60</v>
      </c>
      <c r="AM30" s="68">
        <v>13</v>
      </c>
      <c r="AN30" s="68">
        <v>3</v>
      </c>
      <c r="AO30" s="68">
        <v>4</v>
      </c>
      <c r="AP30" s="68">
        <v>6</v>
      </c>
      <c r="AQ30" s="68">
        <v>1</v>
      </c>
      <c r="AR30" s="68">
        <v>0</v>
      </c>
      <c r="AS30" s="68">
        <v>0</v>
      </c>
      <c r="AT30" s="68">
        <v>1</v>
      </c>
      <c r="AU30" s="68">
        <v>158</v>
      </c>
      <c r="AV30" s="68">
        <v>11</v>
      </c>
      <c r="AW30" s="68">
        <v>8</v>
      </c>
      <c r="AX30" s="68">
        <v>139</v>
      </c>
    </row>
    <row r="31" spans="1:50" ht="15.75" customHeight="1">
      <c r="A31" s="63" t="s">
        <v>208</v>
      </c>
      <c r="B31" s="64" t="s">
        <v>223</v>
      </c>
      <c r="C31" s="67">
        <v>341</v>
      </c>
      <c r="D31" s="67">
        <v>13</v>
      </c>
      <c r="E31" s="67">
        <v>22</v>
      </c>
      <c r="F31" s="67">
        <v>306</v>
      </c>
      <c r="G31" s="67">
        <v>119</v>
      </c>
      <c r="H31" s="67">
        <v>1</v>
      </c>
      <c r="I31" s="67">
        <v>3</v>
      </c>
      <c r="J31" s="67">
        <v>115</v>
      </c>
      <c r="K31" s="67">
        <v>70</v>
      </c>
      <c r="L31" s="67">
        <v>3</v>
      </c>
      <c r="M31" s="67">
        <v>2</v>
      </c>
      <c r="N31" s="67">
        <v>65</v>
      </c>
      <c r="O31" s="67">
        <v>33</v>
      </c>
      <c r="P31" s="67">
        <v>3</v>
      </c>
      <c r="Q31" s="67">
        <v>13</v>
      </c>
      <c r="R31" s="67">
        <v>17</v>
      </c>
      <c r="S31" s="67">
        <v>0</v>
      </c>
      <c r="T31" s="67">
        <v>0</v>
      </c>
      <c r="U31" s="67">
        <v>0</v>
      </c>
      <c r="V31" s="67">
        <v>0</v>
      </c>
      <c r="W31" s="67">
        <v>119</v>
      </c>
      <c r="X31" s="67">
        <v>6</v>
      </c>
      <c r="Y31" s="67">
        <v>4</v>
      </c>
      <c r="Z31" s="67">
        <v>109</v>
      </c>
      <c r="AA31" s="67">
        <v>566</v>
      </c>
      <c r="AB31" s="67">
        <v>28</v>
      </c>
      <c r="AC31" s="67">
        <v>34</v>
      </c>
      <c r="AD31" s="67">
        <v>504</v>
      </c>
      <c r="AE31" s="67">
        <v>155</v>
      </c>
      <c r="AF31" s="67">
        <v>5</v>
      </c>
      <c r="AG31" s="67">
        <v>3</v>
      </c>
      <c r="AH31" s="67">
        <v>147</v>
      </c>
      <c r="AI31" s="67">
        <v>109</v>
      </c>
      <c r="AJ31" s="67">
        <v>5</v>
      </c>
      <c r="AK31" s="67">
        <v>9</v>
      </c>
      <c r="AL31" s="67">
        <v>95</v>
      </c>
      <c r="AM31" s="67">
        <v>48</v>
      </c>
      <c r="AN31" s="67">
        <v>6</v>
      </c>
      <c r="AO31" s="67">
        <v>17</v>
      </c>
      <c r="AP31" s="67">
        <v>25</v>
      </c>
      <c r="AQ31" s="67">
        <v>1</v>
      </c>
      <c r="AR31" s="67">
        <v>1</v>
      </c>
      <c r="AS31" s="67">
        <v>0</v>
      </c>
      <c r="AT31" s="67">
        <v>0</v>
      </c>
      <c r="AU31" s="67">
        <v>253</v>
      </c>
      <c r="AV31" s="67">
        <v>11</v>
      </c>
      <c r="AW31" s="67">
        <v>5</v>
      </c>
      <c r="AX31" s="67">
        <v>237</v>
      </c>
    </row>
    <row r="32" spans="1:50" ht="15.75" customHeight="1">
      <c r="A32" s="345" t="s">
        <v>9</v>
      </c>
      <c r="B32" s="65" t="s">
        <v>224</v>
      </c>
      <c r="C32" s="68">
        <v>131</v>
      </c>
      <c r="D32" s="68">
        <v>8</v>
      </c>
      <c r="E32" s="68">
        <v>10</v>
      </c>
      <c r="F32" s="68">
        <v>113</v>
      </c>
      <c r="G32" s="68">
        <v>36</v>
      </c>
      <c r="H32" s="68">
        <v>1</v>
      </c>
      <c r="I32" s="68">
        <v>1</v>
      </c>
      <c r="J32" s="68">
        <v>34</v>
      </c>
      <c r="K32" s="68">
        <v>26</v>
      </c>
      <c r="L32" s="68">
        <v>2</v>
      </c>
      <c r="M32" s="68">
        <v>1</v>
      </c>
      <c r="N32" s="68">
        <v>23</v>
      </c>
      <c r="O32" s="68">
        <v>24</v>
      </c>
      <c r="P32" s="68">
        <v>2</v>
      </c>
      <c r="Q32" s="68">
        <v>7</v>
      </c>
      <c r="R32" s="68">
        <v>15</v>
      </c>
      <c r="S32" s="68">
        <v>0</v>
      </c>
      <c r="T32" s="68">
        <v>0</v>
      </c>
      <c r="U32" s="68">
        <v>0</v>
      </c>
      <c r="V32" s="68">
        <v>0</v>
      </c>
      <c r="W32" s="68">
        <v>45</v>
      </c>
      <c r="X32" s="68">
        <v>3</v>
      </c>
      <c r="Y32" s="68">
        <v>1</v>
      </c>
      <c r="Z32" s="68">
        <v>41</v>
      </c>
      <c r="AA32" s="68">
        <v>220</v>
      </c>
      <c r="AB32" s="68">
        <v>16</v>
      </c>
      <c r="AC32" s="68">
        <v>14</v>
      </c>
      <c r="AD32" s="68">
        <v>190</v>
      </c>
      <c r="AE32" s="68">
        <v>44</v>
      </c>
      <c r="AF32" s="68">
        <v>2</v>
      </c>
      <c r="AG32" s="68">
        <v>2</v>
      </c>
      <c r="AH32" s="68">
        <v>40</v>
      </c>
      <c r="AI32" s="68">
        <v>45</v>
      </c>
      <c r="AJ32" s="68">
        <v>4</v>
      </c>
      <c r="AK32" s="68">
        <v>2</v>
      </c>
      <c r="AL32" s="68">
        <v>39</v>
      </c>
      <c r="AM32" s="68">
        <v>33</v>
      </c>
      <c r="AN32" s="68">
        <v>3</v>
      </c>
      <c r="AO32" s="68">
        <v>8</v>
      </c>
      <c r="AP32" s="68">
        <v>22</v>
      </c>
      <c r="AQ32" s="68">
        <v>0</v>
      </c>
      <c r="AR32" s="68">
        <v>0</v>
      </c>
      <c r="AS32" s="68">
        <v>0</v>
      </c>
      <c r="AT32" s="68">
        <v>0</v>
      </c>
      <c r="AU32" s="68">
        <v>98</v>
      </c>
      <c r="AV32" s="68">
        <v>7</v>
      </c>
      <c r="AW32" s="68">
        <v>2</v>
      </c>
      <c r="AX32" s="68">
        <v>89</v>
      </c>
    </row>
    <row r="33" spans="1:50" ht="15.75" customHeight="1">
      <c r="A33" s="346"/>
      <c r="B33" s="65" t="s">
        <v>225</v>
      </c>
      <c r="C33" s="68">
        <v>210</v>
      </c>
      <c r="D33" s="68">
        <v>5</v>
      </c>
      <c r="E33" s="68">
        <v>12</v>
      </c>
      <c r="F33" s="68">
        <v>193</v>
      </c>
      <c r="G33" s="68">
        <v>83</v>
      </c>
      <c r="H33" s="68">
        <v>0</v>
      </c>
      <c r="I33" s="68">
        <v>2</v>
      </c>
      <c r="J33" s="68">
        <v>81</v>
      </c>
      <c r="K33" s="68">
        <v>44</v>
      </c>
      <c r="L33" s="68">
        <v>1</v>
      </c>
      <c r="M33" s="68">
        <v>1</v>
      </c>
      <c r="N33" s="68">
        <v>42</v>
      </c>
      <c r="O33" s="68">
        <v>9</v>
      </c>
      <c r="P33" s="68">
        <v>1</v>
      </c>
      <c r="Q33" s="68">
        <v>6</v>
      </c>
      <c r="R33" s="68">
        <v>2</v>
      </c>
      <c r="S33" s="68">
        <v>0</v>
      </c>
      <c r="T33" s="68">
        <v>0</v>
      </c>
      <c r="U33" s="68">
        <v>0</v>
      </c>
      <c r="V33" s="68">
        <v>0</v>
      </c>
      <c r="W33" s="68">
        <v>74</v>
      </c>
      <c r="X33" s="68">
        <v>3</v>
      </c>
      <c r="Y33" s="68">
        <v>3</v>
      </c>
      <c r="Z33" s="68">
        <v>68</v>
      </c>
      <c r="AA33" s="68">
        <v>346</v>
      </c>
      <c r="AB33" s="68">
        <v>12</v>
      </c>
      <c r="AC33" s="68">
        <v>20</v>
      </c>
      <c r="AD33" s="68">
        <v>314</v>
      </c>
      <c r="AE33" s="68">
        <v>111</v>
      </c>
      <c r="AF33" s="68">
        <v>3</v>
      </c>
      <c r="AG33" s="68">
        <v>1</v>
      </c>
      <c r="AH33" s="68">
        <v>107</v>
      </c>
      <c r="AI33" s="68">
        <v>64</v>
      </c>
      <c r="AJ33" s="68">
        <v>1</v>
      </c>
      <c r="AK33" s="68">
        <v>7</v>
      </c>
      <c r="AL33" s="68">
        <v>56</v>
      </c>
      <c r="AM33" s="68">
        <v>15</v>
      </c>
      <c r="AN33" s="68">
        <v>3</v>
      </c>
      <c r="AO33" s="68">
        <v>9</v>
      </c>
      <c r="AP33" s="68">
        <v>3</v>
      </c>
      <c r="AQ33" s="68">
        <v>1</v>
      </c>
      <c r="AR33" s="68">
        <v>1</v>
      </c>
      <c r="AS33" s="68">
        <v>0</v>
      </c>
      <c r="AT33" s="68">
        <v>0</v>
      </c>
      <c r="AU33" s="68">
        <v>155</v>
      </c>
      <c r="AV33" s="68">
        <v>4</v>
      </c>
      <c r="AW33" s="68">
        <v>3</v>
      </c>
      <c r="AX33" s="68">
        <v>148</v>
      </c>
    </row>
    <row r="34" spans="1:50" ht="15.75" customHeight="1">
      <c r="A34" s="63" t="s">
        <v>209</v>
      </c>
      <c r="B34" s="64" t="s">
        <v>223</v>
      </c>
      <c r="C34" s="67">
        <v>313</v>
      </c>
      <c r="D34" s="67">
        <v>17</v>
      </c>
      <c r="E34" s="67">
        <v>20</v>
      </c>
      <c r="F34" s="67">
        <v>276</v>
      </c>
      <c r="G34" s="67">
        <v>107</v>
      </c>
      <c r="H34" s="67">
        <v>7</v>
      </c>
      <c r="I34" s="67">
        <v>0</v>
      </c>
      <c r="J34" s="67">
        <v>100</v>
      </c>
      <c r="K34" s="67">
        <v>67</v>
      </c>
      <c r="L34" s="67">
        <v>4</v>
      </c>
      <c r="M34" s="67">
        <v>5</v>
      </c>
      <c r="N34" s="67">
        <v>58</v>
      </c>
      <c r="O34" s="67">
        <v>5</v>
      </c>
      <c r="P34" s="67">
        <v>2</v>
      </c>
      <c r="Q34" s="67">
        <v>1</v>
      </c>
      <c r="R34" s="67">
        <v>2</v>
      </c>
      <c r="S34" s="67">
        <v>1</v>
      </c>
      <c r="T34" s="67">
        <v>0</v>
      </c>
      <c r="U34" s="67">
        <v>1</v>
      </c>
      <c r="V34" s="67">
        <v>0</v>
      </c>
      <c r="W34" s="67">
        <v>133</v>
      </c>
      <c r="X34" s="67">
        <v>4</v>
      </c>
      <c r="Y34" s="67">
        <v>13</v>
      </c>
      <c r="Z34" s="67">
        <v>116</v>
      </c>
      <c r="AA34" s="67">
        <v>494</v>
      </c>
      <c r="AB34" s="67">
        <v>30</v>
      </c>
      <c r="AC34" s="67">
        <v>30</v>
      </c>
      <c r="AD34" s="67">
        <v>434</v>
      </c>
      <c r="AE34" s="67">
        <v>141</v>
      </c>
      <c r="AF34" s="67">
        <v>11</v>
      </c>
      <c r="AG34" s="67">
        <v>0</v>
      </c>
      <c r="AH34" s="67">
        <v>130</v>
      </c>
      <c r="AI34" s="67">
        <v>132</v>
      </c>
      <c r="AJ34" s="67">
        <v>13</v>
      </c>
      <c r="AK34" s="67">
        <v>10</v>
      </c>
      <c r="AL34" s="67">
        <v>109</v>
      </c>
      <c r="AM34" s="67">
        <v>20</v>
      </c>
      <c r="AN34" s="67">
        <v>3</v>
      </c>
      <c r="AO34" s="67">
        <v>5</v>
      </c>
      <c r="AP34" s="67">
        <v>12</v>
      </c>
      <c r="AQ34" s="67">
        <v>1</v>
      </c>
      <c r="AR34" s="67">
        <v>0</v>
      </c>
      <c r="AS34" s="67">
        <v>1</v>
      </c>
      <c r="AT34" s="67">
        <v>0</v>
      </c>
      <c r="AU34" s="67">
        <v>200</v>
      </c>
      <c r="AV34" s="67">
        <v>3</v>
      </c>
      <c r="AW34" s="67">
        <v>14</v>
      </c>
      <c r="AX34" s="67">
        <v>183</v>
      </c>
    </row>
    <row r="35" spans="1:50" ht="15.75" customHeight="1">
      <c r="A35" s="345" t="s">
        <v>10</v>
      </c>
      <c r="B35" s="65" t="s">
        <v>224</v>
      </c>
      <c r="C35" s="68">
        <v>117</v>
      </c>
      <c r="D35" s="68">
        <v>10</v>
      </c>
      <c r="E35" s="68">
        <v>10</v>
      </c>
      <c r="F35" s="68">
        <v>97</v>
      </c>
      <c r="G35" s="68">
        <v>37</v>
      </c>
      <c r="H35" s="68">
        <v>5</v>
      </c>
      <c r="I35" s="68">
        <v>0</v>
      </c>
      <c r="J35" s="68">
        <v>32</v>
      </c>
      <c r="K35" s="68">
        <v>35</v>
      </c>
      <c r="L35" s="68">
        <v>3</v>
      </c>
      <c r="M35" s="68">
        <v>5</v>
      </c>
      <c r="N35" s="68">
        <v>27</v>
      </c>
      <c r="O35" s="68">
        <v>2</v>
      </c>
      <c r="P35" s="68">
        <v>1</v>
      </c>
      <c r="Q35" s="68">
        <v>0</v>
      </c>
      <c r="R35" s="68">
        <v>1</v>
      </c>
      <c r="S35" s="68">
        <v>0</v>
      </c>
      <c r="T35" s="68">
        <v>0</v>
      </c>
      <c r="U35" s="68">
        <v>0</v>
      </c>
      <c r="V35" s="68">
        <v>0</v>
      </c>
      <c r="W35" s="68">
        <v>43</v>
      </c>
      <c r="X35" s="68">
        <v>1</v>
      </c>
      <c r="Y35" s="68">
        <v>5</v>
      </c>
      <c r="Z35" s="68">
        <v>37</v>
      </c>
      <c r="AA35" s="68">
        <v>179</v>
      </c>
      <c r="AB35" s="68">
        <v>16</v>
      </c>
      <c r="AC35" s="68">
        <v>13</v>
      </c>
      <c r="AD35" s="68">
        <v>150</v>
      </c>
      <c r="AE35" s="68">
        <v>49</v>
      </c>
      <c r="AF35" s="68">
        <v>6</v>
      </c>
      <c r="AG35" s="68">
        <v>0</v>
      </c>
      <c r="AH35" s="68">
        <v>43</v>
      </c>
      <c r="AI35" s="68">
        <v>57</v>
      </c>
      <c r="AJ35" s="68">
        <v>9</v>
      </c>
      <c r="AK35" s="68">
        <v>7</v>
      </c>
      <c r="AL35" s="68">
        <v>41</v>
      </c>
      <c r="AM35" s="68">
        <v>6</v>
      </c>
      <c r="AN35" s="68">
        <v>1</v>
      </c>
      <c r="AO35" s="68">
        <v>1</v>
      </c>
      <c r="AP35" s="68">
        <v>4</v>
      </c>
      <c r="AQ35" s="68">
        <v>0</v>
      </c>
      <c r="AR35" s="68">
        <v>0</v>
      </c>
      <c r="AS35" s="68">
        <v>0</v>
      </c>
      <c r="AT35" s="68">
        <v>0</v>
      </c>
      <c r="AU35" s="68">
        <v>67</v>
      </c>
      <c r="AV35" s="68">
        <v>0</v>
      </c>
      <c r="AW35" s="68">
        <v>5</v>
      </c>
      <c r="AX35" s="68">
        <v>62</v>
      </c>
    </row>
    <row r="36" spans="1:50" ht="15.75" customHeight="1">
      <c r="A36" s="346"/>
      <c r="B36" s="65" t="s">
        <v>225</v>
      </c>
      <c r="C36" s="68">
        <v>196</v>
      </c>
      <c r="D36" s="68">
        <v>7</v>
      </c>
      <c r="E36" s="68">
        <v>10</v>
      </c>
      <c r="F36" s="68">
        <v>179</v>
      </c>
      <c r="G36" s="68">
        <v>70</v>
      </c>
      <c r="H36" s="68">
        <v>2</v>
      </c>
      <c r="I36" s="68">
        <v>0</v>
      </c>
      <c r="J36" s="68">
        <v>68</v>
      </c>
      <c r="K36" s="68">
        <v>32</v>
      </c>
      <c r="L36" s="68">
        <v>1</v>
      </c>
      <c r="M36" s="68">
        <v>0</v>
      </c>
      <c r="N36" s="68">
        <v>31</v>
      </c>
      <c r="O36" s="68">
        <v>3</v>
      </c>
      <c r="P36" s="68">
        <v>1</v>
      </c>
      <c r="Q36" s="68">
        <v>1</v>
      </c>
      <c r="R36" s="68">
        <v>1</v>
      </c>
      <c r="S36" s="68">
        <v>1</v>
      </c>
      <c r="T36" s="68">
        <v>0</v>
      </c>
      <c r="U36" s="68">
        <v>1</v>
      </c>
      <c r="V36" s="68">
        <v>0</v>
      </c>
      <c r="W36" s="68">
        <v>90</v>
      </c>
      <c r="X36" s="68">
        <v>3</v>
      </c>
      <c r="Y36" s="68">
        <v>8</v>
      </c>
      <c r="Z36" s="68">
        <v>79</v>
      </c>
      <c r="AA36" s="68">
        <v>315</v>
      </c>
      <c r="AB36" s="68">
        <v>14</v>
      </c>
      <c r="AC36" s="68">
        <v>17</v>
      </c>
      <c r="AD36" s="68">
        <v>284</v>
      </c>
      <c r="AE36" s="68">
        <v>92</v>
      </c>
      <c r="AF36" s="68">
        <v>5</v>
      </c>
      <c r="AG36" s="68">
        <v>0</v>
      </c>
      <c r="AH36" s="68">
        <v>87</v>
      </c>
      <c r="AI36" s="68">
        <v>75</v>
      </c>
      <c r="AJ36" s="68">
        <v>4</v>
      </c>
      <c r="AK36" s="68">
        <v>3</v>
      </c>
      <c r="AL36" s="68">
        <v>68</v>
      </c>
      <c r="AM36" s="68">
        <v>14</v>
      </c>
      <c r="AN36" s="68">
        <v>2</v>
      </c>
      <c r="AO36" s="68">
        <v>4</v>
      </c>
      <c r="AP36" s="68">
        <v>8</v>
      </c>
      <c r="AQ36" s="68">
        <v>1</v>
      </c>
      <c r="AR36" s="68">
        <v>0</v>
      </c>
      <c r="AS36" s="68">
        <v>1</v>
      </c>
      <c r="AT36" s="68">
        <v>0</v>
      </c>
      <c r="AU36" s="68">
        <v>133</v>
      </c>
      <c r="AV36" s="68">
        <v>3</v>
      </c>
      <c r="AW36" s="68">
        <v>9</v>
      </c>
      <c r="AX36" s="68">
        <v>121</v>
      </c>
    </row>
    <row r="37" spans="1:50" ht="15.75" customHeight="1">
      <c r="A37" s="63" t="s">
        <v>210</v>
      </c>
      <c r="B37" s="64" t="s">
        <v>223</v>
      </c>
      <c r="C37" s="67">
        <v>621</v>
      </c>
      <c r="D37" s="67">
        <v>48</v>
      </c>
      <c r="E37" s="67">
        <v>64</v>
      </c>
      <c r="F37" s="67">
        <v>509</v>
      </c>
      <c r="G37" s="67">
        <v>193</v>
      </c>
      <c r="H37" s="67">
        <v>10</v>
      </c>
      <c r="I37" s="67">
        <v>6</v>
      </c>
      <c r="J37" s="67">
        <v>177</v>
      </c>
      <c r="K37" s="67">
        <v>118</v>
      </c>
      <c r="L37" s="67">
        <v>11</v>
      </c>
      <c r="M37" s="67">
        <v>10</v>
      </c>
      <c r="N37" s="67">
        <v>97</v>
      </c>
      <c r="O37" s="67">
        <v>45</v>
      </c>
      <c r="P37" s="67">
        <v>11</v>
      </c>
      <c r="Q37" s="67">
        <v>24</v>
      </c>
      <c r="R37" s="67">
        <v>10</v>
      </c>
      <c r="S37" s="67">
        <v>0</v>
      </c>
      <c r="T37" s="67">
        <v>0</v>
      </c>
      <c r="U37" s="67">
        <v>0</v>
      </c>
      <c r="V37" s="67">
        <v>0</v>
      </c>
      <c r="W37" s="67">
        <v>265</v>
      </c>
      <c r="X37" s="67">
        <v>16</v>
      </c>
      <c r="Y37" s="67">
        <v>24</v>
      </c>
      <c r="Z37" s="67">
        <v>225</v>
      </c>
      <c r="AA37" s="67">
        <v>1724</v>
      </c>
      <c r="AB37" s="67">
        <v>293</v>
      </c>
      <c r="AC37" s="67">
        <v>289</v>
      </c>
      <c r="AD37" s="67">
        <v>1142</v>
      </c>
      <c r="AE37" s="67">
        <v>706</v>
      </c>
      <c r="AF37" s="67">
        <v>82</v>
      </c>
      <c r="AG37" s="67">
        <v>58</v>
      </c>
      <c r="AH37" s="67">
        <v>566</v>
      </c>
      <c r="AI37" s="67">
        <v>276</v>
      </c>
      <c r="AJ37" s="67">
        <v>64</v>
      </c>
      <c r="AK37" s="67">
        <v>70</v>
      </c>
      <c r="AL37" s="67">
        <v>142</v>
      </c>
      <c r="AM37" s="67">
        <v>217</v>
      </c>
      <c r="AN37" s="67">
        <v>65</v>
      </c>
      <c r="AO37" s="67">
        <v>67</v>
      </c>
      <c r="AP37" s="67">
        <v>85</v>
      </c>
      <c r="AQ37" s="67">
        <v>0</v>
      </c>
      <c r="AR37" s="67">
        <v>0</v>
      </c>
      <c r="AS37" s="67">
        <v>0</v>
      </c>
      <c r="AT37" s="67">
        <v>0</v>
      </c>
      <c r="AU37" s="67">
        <v>525</v>
      </c>
      <c r="AV37" s="67">
        <v>82</v>
      </c>
      <c r="AW37" s="67">
        <v>94</v>
      </c>
      <c r="AX37" s="67">
        <v>349</v>
      </c>
    </row>
    <row r="38" spans="1:50" ht="15.75" customHeight="1">
      <c r="A38" s="345" t="s">
        <v>11</v>
      </c>
      <c r="B38" s="65" t="s">
        <v>224</v>
      </c>
      <c r="C38" s="68">
        <v>205</v>
      </c>
      <c r="D38" s="68">
        <v>23</v>
      </c>
      <c r="E38" s="68">
        <v>37</v>
      </c>
      <c r="F38" s="68">
        <v>145</v>
      </c>
      <c r="G38" s="68">
        <v>60</v>
      </c>
      <c r="H38" s="68">
        <v>2</v>
      </c>
      <c r="I38" s="68">
        <v>3</v>
      </c>
      <c r="J38" s="68">
        <v>55</v>
      </c>
      <c r="K38" s="68">
        <v>44</v>
      </c>
      <c r="L38" s="68">
        <v>8</v>
      </c>
      <c r="M38" s="68">
        <v>7</v>
      </c>
      <c r="N38" s="68">
        <v>29</v>
      </c>
      <c r="O38" s="68">
        <v>32</v>
      </c>
      <c r="P38" s="68">
        <v>7</v>
      </c>
      <c r="Q38" s="68">
        <v>17</v>
      </c>
      <c r="R38" s="68">
        <v>8</v>
      </c>
      <c r="S38" s="68">
        <v>0</v>
      </c>
      <c r="T38" s="68">
        <v>0</v>
      </c>
      <c r="U38" s="68">
        <v>0</v>
      </c>
      <c r="V38" s="68">
        <v>0</v>
      </c>
      <c r="W38" s="68">
        <v>69</v>
      </c>
      <c r="X38" s="68">
        <v>6</v>
      </c>
      <c r="Y38" s="68">
        <v>10</v>
      </c>
      <c r="Z38" s="68">
        <v>53</v>
      </c>
      <c r="AA38" s="68">
        <v>677</v>
      </c>
      <c r="AB38" s="68">
        <v>146</v>
      </c>
      <c r="AC38" s="68">
        <v>144</v>
      </c>
      <c r="AD38" s="68">
        <v>387</v>
      </c>
      <c r="AE38" s="68">
        <v>247</v>
      </c>
      <c r="AF38" s="68">
        <v>40</v>
      </c>
      <c r="AG38" s="68">
        <v>31</v>
      </c>
      <c r="AH38" s="68">
        <v>176</v>
      </c>
      <c r="AI38" s="68">
        <v>113</v>
      </c>
      <c r="AJ38" s="68">
        <v>24</v>
      </c>
      <c r="AK38" s="68">
        <v>39</v>
      </c>
      <c r="AL38" s="68">
        <v>50</v>
      </c>
      <c r="AM38" s="68">
        <v>111</v>
      </c>
      <c r="AN38" s="68">
        <v>35</v>
      </c>
      <c r="AO38" s="68">
        <v>28</v>
      </c>
      <c r="AP38" s="68">
        <v>48</v>
      </c>
      <c r="AQ38" s="68">
        <v>0</v>
      </c>
      <c r="AR38" s="68">
        <v>0</v>
      </c>
      <c r="AS38" s="68">
        <v>0</v>
      </c>
      <c r="AT38" s="68">
        <v>0</v>
      </c>
      <c r="AU38" s="68">
        <v>206</v>
      </c>
      <c r="AV38" s="68">
        <v>47</v>
      </c>
      <c r="AW38" s="68">
        <v>46</v>
      </c>
      <c r="AX38" s="68">
        <v>113</v>
      </c>
    </row>
    <row r="39" spans="1:50" ht="15.75" customHeight="1">
      <c r="A39" s="346"/>
      <c r="B39" s="65" t="s">
        <v>225</v>
      </c>
      <c r="C39" s="68">
        <v>416</v>
      </c>
      <c r="D39" s="68">
        <v>25</v>
      </c>
      <c r="E39" s="68">
        <v>27</v>
      </c>
      <c r="F39" s="68">
        <v>364</v>
      </c>
      <c r="G39" s="68">
        <v>133</v>
      </c>
      <c r="H39" s="68">
        <v>8</v>
      </c>
      <c r="I39" s="68">
        <v>3</v>
      </c>
      <c r="J39" s="68">
        <v>122</v>
      </c>
      <c r="K39" s="68">
        <v>74</v>
      </c>
      <c r="L39" s="68">
        <v>3</v>
      </c>
      <c r="M39" s="68">
        <v>3</v>
      </c>
      <c r="N39" s="68">
        <v>68</v>
      </c>
      <c r="O39" s="68">
        <v>13</v>
      </c>
      <c r="P39" s="68">
        <v>4</v>
      </c>
      <c r="Q39" s="68">
        <v>7</v>
      </c>
      <c r="R39" s="68">
        <v>2</v>
      </c>
      <c r="S39" s="68">
        <v>0</v>
      </c>
      <c r="T39" s="68">
        <v>0</v>
      </c>
      <c r="U39" s="68">
        <v>0</v>
      </c>
      <c r="V39" s="68">
        <v>0</v>
      </c>
      <c r="W39" s="68">
        <v>196</v>
      </c>
      <c r="X39" s="68">
        <v>10</v>
      </c>
      <c r="Y39" s="68">
        <v>14</v>
      </c>
      <c r="Z39" s="68">
        <v>172</v>
      </c>
      <c r="AA39" s="68">
        <v>1047</v>
      </c>
      <c r="AB39" s="68">
        <v>147</v>
      </c>
      <c r="AC39" s="68">
        <v>145</v>
      </c>
      <c r="AD39" s="68">
        <v>755</v>
      </c>
      <c r="AE39" s="68">
        <v>459</v>
      </c>
      <c r="AF39" s="68">
        <v>42</v>
      </c>
      <c r="AG39" s="68">
        <v>27</v>
      </c>
      <c r="AH39" s="68">
        <v>390</v>
      </c>
      <c r="AI39" s="68">
        <v>163</v>
      </c>
      <c r="AJ39" s="68">
        <v>40</v>
      </c>
      <c r="AK39" s="68">
        <v>31</v>
      </c>
      <c r="AL39" s="68">
        <v>92</v>
      </c>
      <c r="AM39" s="68">
        <v>106</v>
      </c>
      <c r="AN39" s="68">
        <v>30</v>
      </c>
      <c r="AO39" s="68">
        <v>39</v>
      </c>
      <c r="AP39" s="68">
        <v>37</v>
      </c>
      <c r="AQ39" s="68">
        <v>0</v>
      </c>
      <c r="AR39" s="68">
        <v>0</v>
      </c>
      <c r="AS39" s="68">
        <v>0</v>
      </c>
      <c r="AT39" s="68">
        <v>0</v>
      </c>
      <c r="AU39" s="68">
        <v>319</v>
      </c>
      <c r="AV39" s="68">
        <v>35</v>
      </c>
      <c r="AW39" s="68">
        <v>48</v>
      </c>
      <c r="AX39" s="68">
        <v>236</v>
      </c>
    </row>
    <row r="40" spans="1:50" ht="15.75" customHeight="1">
      <c r="A40" s="63" t="s">
        <v>211</v>
      </c>
      <c r="B40" s="64" t="s">
        <v>223</v>
      </c>
      <c r="C40" s="67">
        <v>360</v>
      </c>
      <c r="D40" s="67">
        <v>40</v>
      </c>
      <c r="E40" s="67">
        <v>33</v>
      </c>
      <c r="F40" s="67">
        <v>287</v>
      </c>
      <c r="G40" s="67">
        <v>131</v>
      </c>
      <c r="H40" s="67">
        <v>13</v>
      </c>
      <c r="I40" s="67">
        <v>6</v>
      </c>
      <c r="J40" s="67">
        <v>112</v>
      </c>
      <c r="K40" s="67">
        <v>83</v>
      </c>
      <c r="L40" s="67">
        <v>12</v>
      </c>
      <c r="M40" s="67">
        <v>6</v>
      </c>
      <c r="N40" s="67">
        <v>65</v>
      </c>
      <c r="O40" s="67">
        <v>20</v>
      </c>
      <c r="P40" s="67">
        <v>4</v>
      </c>
      <c r="Q40" s="67">
        <v>13</v>
      </c>
      <c r="R40" s="67">
        <v>3</v>
      </c>
      <c r="S40" s="67">
        <v>0</v>
      </c>
      <c r="T40" s="67">
        <v>0</v>
      </c>
      <c r="U40" s="67">
        <v>0</v>
      </c>
      <c r="V40" s="67">
        <v>0</v>
      </c>
      <c r="W40" s="67">
        <v>126</v>
      </c>
      <c r="X40" s="67">
        <v>11</v>
      </c>
      <c r="Y40" s="67">
        <v>8</v>
      </c>
      <c r="Z40" s="67">
        <v>107</v>
      </c>
      <c r="AA40" s="67">
        <v>838</v>
      </c>
      <c r="AB40" s="67">
        <v>85</v>
      </c>
      <c r="AC40" s="67">
        <v>66</v>
      </c>
      <c r="AD40" s="67">
        <v>687</v>
      </c>
      <c r="AE40" s="67">
        <v>292</v>
      </c>
      <c r="AF40" s="67">
        <v>26</v>
      </c>
      <c r="AG40" s="67">
        <v>9</v>
      </c>
      <c r="AH40" s="67">
        <v>257</v>
      </c>
      <c r="AI40" s="67">
        <v>201</v>
      </c>
      <c r="AJ40" s="67">
        <v>25</v>
      </c>
      <c r="AK40" s="67">
        <v>16</v>
      </c>
      <c r="AL40" s="67">
        <v>160</v>
      </c>
      <c r="AM40" s="67">
        <v>34</v>
      </c>
      <c r="AN40" s="67">
        <v>8</v>
      </c>
      <c r="AO40" s="67">
        <v>19</v>
      </c>
      <c r="AP40" s="67">
        <v>7</v>
      </c>
      <c r="AQ40" s="67">
        <v>0</v>
      </c>
      <c r="AR40" s="67">
        <v>0</v>
      </c>
      <c r="AS40" s="67">
        <v>0</v>
      </c>
      <c r="AT40" s="67">
        <v>0</v>
      </c>
      <c r="AU40" s="67">
        <v>311</v>
      </c>
      <c r="AV40" s="67">
        <v>26</v>
      </c>
      <c r="AW40" s="67">
        <v>22</v>
      </c>
      <c r="AX40" s="67">
        <v>263</v>
      </c>
    </row>
    <row r="41" spans="1:50" ht="15.75" customHeight="1">
      <c r="A41" s="345" t="s">
        <v>12</v>
      </c>
      <c r="B41" s="65" t="s">
        <v>224</v>
      </c>
      <c r="C41" s="68">
        <v>141</v>
      </c>
      <c r="D41" s="68">
        <v>26</v>
      </c>
      <c r="E41" s="68">
        <v>18</v>
      </c>
      <c r="F41" s="68">
        <v>97</v>
      </c>
      <c r="G41" s="68">
        <v>48</v>
      </c>
      <c r="H41" s="68">
        <v>8</v>
      </c>
      <c r="I41" s="68">
        <v>3</v>
      </c>
      <c r="J41" s="68">
        <v>37</v>
      </c>
      <c r="K41" s="68">
        <v>36</v>
      </c>
      <c r="L41" s="68">
        <v>8</v>
      </c>
      <c r="M41" s="68">
        <v>3</v>
      </c>
      <c r="N41" s="68">
        <v>25</v>
      </c>
      <c r="O41" s="68">
        <v>13</v>
      </c>
      <c r="P41" s="68">
        <v>4</v>
      </c>
      <c r="Q41" s="68">
        <v>8</v>
      </c>
      <c r="R41" s="68">
        <v>1</v>
      </c>
      <c r="S41" s="68">
        <v>0</v>
      </c>
      <c r="T41" s="68">
        <v>0</v>
      </c>
      <c r="U41" s="68">
        <v>0</v>
      </c>
      <c r="V41" s="68">
        <v>0</v>
      </c>
      <c r="W41" s="68">
        <v>44</v>
      </c>
      <c r="X41" s="68">
        <v>6</v>
      </c>
      <c r="Y41" s="68">
        <v>4</v>
      </c>
      <c r="Z41" s="68">
        <v>34</v>
      </c>
      <c r="AA41" s="68">
        <v>328</v>
      </c>
      <c r="AB41" s="68">
        <v>52</v>
      </c>
      <c r="AC41" s="68">
        <v>30</v>
      </c>
      <c r="AD41" s="68">
        <v>246</v>
      </c>
      <c r="AE41" s="68">
        <v>109</v>
      </c>
      <c r="AF41" s="68">
        <v>15</v>
      </c>
      <c r="AG41" s="68">
        <v>4</v>
      </c>
      <c r="AH41" s="68">
        <v>90</v>
      </c>
      <c r="AI41" s="68">
        <v>86</v>
      </c>
      <c r="AJ41" s="68">
        <v>17</v>
      </c>
      <c r="AK41" s="68">
        <v>6</v>
      </c>
      <c r="AL41" s="68">
        <v>63</v>
      </c>
      <c r="AM41" s="68">
        <v>24</v>
      </c>
      <c r="AN41" s="68">
        <v>8</v>
      </c>
      <c r="AO41" s="68">
        <v>12</v>
      </c>
      <c r="AP41" s="68">
        <v>4</v>
      </c>
      <c r="AQ41" s="68">
        <v>0</v>
      </c>
      <c r="AR41" s="68">
        <v>0</v>
      </c>
      <c r="AS41" s="68">
        <v>0</v>
      </c>
      <c r="AT41" s="68">
        <v>0</v>
      </c>
      <c r="AU41" s="68">
        <v>109</v>
      </c>
      <c r="AV41" s="68">
        <v>12</v>
      </c>
      <c r="AW41" s="68">
        <v>8</v>
      </c>
      <c r="AX41" s="68">
        <v>89</v>
      </c>
    </row>
    <row r="42" spans="1:50" ht="15.75" customHeight="1">
      <c r="A42" s="346"/>
      <c r="B42" s="65" t="s">
        <v>225</v>
      </c>
      <c r="C42" s="68">
        <v>219</v>
      </c>
      <c r="D42" s="68">
        <v>14</v>
      </c>
      <c r="E42" s="68">
        <v>15</v>
      </c>
      <c r="F42" s="68">
        <v>190</v>
      </c>
      <c r="G42" s="68">
        <v>83</v>
      </c>
      <c r="H42" s="68">
        <v>5</v>
      </c>
      <c r="I42" s="68">
        <v>3</v>
      </c>
      <c r="J42" s="68">
        <v>75</v>
      </c>
      <c r="K42" s="68">
        <v>47</v>
      </c>
      <c r="L42" s="68">
        <v>4</v>
      </c>
      <c r="M42" s="68">
        <v>3</v>
      </c>
      <c r="N42" s="68">
        <v>40</v>
      </c>
      <c r="O42" s="68">
        <v>7</v>
      </c>
      <c r="P42" s="68">
        <v>0</v>
      </c>
      <c r="Q42" s="68">
        <v>5</v>
      </c>
      <c r="R42" s="68">
        <v>2</v>
      </c>
      <c r="S42" s="68">
        <v>0</v>
      </c>
      <c r="T42" s="68">
        <v>0</v>
      </c>
      <c r="U42" s="68">
        <v>0</v>
      </c>
      <c r="V42" s="68">
        <v>0</v>
      </c>
      <c r="W42" s="68">
        <v>82</v>
      </c>
      <c r="X42" s="68">
        <v>5</v>
      </c>
      <c r="Y42" s="68">
        <v>4</v>
      </c>
      <c r="Z42" s="68">
        <v>73</v>
      </c>
      <c r="AA42" s="68">
        <v>510</v>
      </c>
      <c r="AB42" s="68">
        <v>33</v>
      </c>
      <c r="AC42" s="68">
        <v>36</v>
      </c>
      <c r="AD42" s="68">
        <v>441</v>
      </c>
      <c r="AE42" s="68">
        <v>183</v>
      </c>
      <c r="AF42" s="68">
        <v>11</v>
      </c>
      <c r="AG42" s="68">
        <v>5</v>
      </c>
      <c r="AH42" s="68">
        <v>167</v>
      </c>
      <c r="AI42" s="68">
        <v>115</v>
      </c>
      <c r="AJ42" s="68">
        <v>8</v>
      </c>
      <c r="AK42" s="68">
        <v>10</v>
      </c>
      <c r="AL42" s="68">
        <v>97</v>
      </c>
      <c r="AM42" s="68">
        <v>10</v>
      </c>
      <c r="AN42" s="68">
        <v>0</v>
      </c>
      <c r="AO42" s="68">
        <v>7</v>
      </c>
      <c r="AP42" s="68">
        <v>3</v>
      </c>
      <c r="AQ42" s="68">
        <v>0</v>
      </c>
      <c r="AR42" s="68">
        <v>0</v>
      </c>
      <c r="AS42" s="68">
        <v>0</v>
      </c>
      <c r="AT42" s="68">
        <v>0</v>
      </c>
      <c r="AU42" s="68">
        <v>202</v>
      </c>
      <c r="AV42" s="68">
        <v>14</v>
      </c>
      <c r="AW42" s="68">
        <v>14</v>
      </c>
      <c r="AX42" s="68">
        <v>174</v>
      </c>
    </row>
    <row r="43" spans="1:50" ht="15.75" customHeight="1">
      <c r="A43" s="63" t="s">
        <v>212</v>
      </c>
      <c r="B43" s="64" t="s">
        <v>223</v>
      </c>
      <c r="C43" s="67">
        <v>590</v>
      </c>
      <c r="D43" s="67">
        <v>31</v>
      </c>
      <c r="E43" s="67">
        <v>55</v>
      </c>
      <c r="F43" s="67">
        <v>504</v>
      </c>
      <c r="G43" s="67">
        <v>279</v>
      </c>
      <c r="H43" s="67">
        <v>8</v>
      </c>
      <c r="I43" s="67">
        <v>16</v>
      </c>
      <c r="J43" s="67">
        <v>255</v>
      </c>
      <c r="K43" s="67">
        <v>197</v>
      </c>
      <c r="L43" s="67">
        <v>13</v>
      </c>
      <c r="M43" s="67">
        <v>18</v>
      </c>
      <c r="N43" s="67">
        <v>166</v>
      </c>
      <c r="O43" s="67">
        <v>35</v>
      </c>
      <c r="P43" s="67">
        <v>8</v>
      </c>
      <c r="Q43" s="67">
        <v>17</v>
      </c>
      <c r="R43" s="67">
        <v>10</v>
      </c>
      <c r="S43" s="67">
        <v>0</v>
      </c>
      <c r="T43" s="67">
        <v>0</v>
      </c>
      <c r="U43" s="67">
        <v>0</v>
      </c>
      <c r="V43" s="67">
        <v>0</v>
      </c>
      <c r="W43" s="67">
        <v>79</v>
      </c>
      <c r="X43" s="67">
        <v>2</v>
      </c>
      <c r="Y43" s="67">
        <v>4</v>
      </c>
      <c r="Z43" s="67">
        <v>73</v>
      </c>
      <c r="AA43" s="67">
        <v>952</v>
      </c>
      <c r="AB43" s="67">
        <v>72</v>
      </c>
      <c r="AC43" s="67">
        <v>121</v>
      </c>
      <c r="AD43" s="67">
        <v>759</v>
      </c>
      <c r="AE43" s="67">
        <v>433</v>
      </c>
      <c r="AF43" s="67">
        <v>22</v>
      </c>
      <c r="AG43" s="67">
        <v>36</v>
      </c>
      <c r="AH43" s="67">
        <v>375</v>
      </c>
      <c r="AI43" s="67">
        <v>334</v>
      </c>
      <c r="AJ43" s="67">
        <v>26</v>
      </c>
      <c r="AK43" s="67">
        <v>52</v>
      </c>
      <c r="AL43" s="67">
        <v>256</v>
      </c>
      <c r="AM43" s="67">
        <v>68</v>
      </c>
      <c r="AN43" s="67">
        <v>17</v>
      </c>
      <c r="AO43" s="67">
        <v>28</v>
      </c>
      <c r="AP43" s="67">
        <v>23</v>
      </c>
      <c r="AQ43" s="67">
        <v>0</v>
      </c>
      <c r="AR43" s="67">
        <v>0</v>
      </c>
      <c r="AS43" s="67">
        <v>0</v>
      </c>
      <c r="AT43" s="67">
        <v>0</v>
      </c>
      <c r="AU43" s="67">
        <v>117</v>
      </c>
      <c r="AV43" s="67">
        <v>7</v>
      </c>
      <c r="AW43" s="67">
        <v>5</v>
      </c>
      <c r="AX43" s="67">
        <v>105</v>
      </c>
    </row>
    <row r="44" spans="1:50" ht="15.75" customHeight="1">
      <c r="A44" s="345" t="s">
        <v>13</v>
      </c>
      <c r="B44" s="65" t="s">
        <v>224</v>
      </c>
      <c r="C44" s="68">
        <v>193</v>
      </c>
      <c r="D44" s="68">
        <v>16</v>
      </c>
      <c r="E44" s="68">
        <v>25</v>
      </c>
      <c r="F44" s="68">
        <v>152</v>
      </c>
      <c r="G44" s="68">
        <v>81</v>
      </c>
      <c r="H44" s="68">
        <v>3</v>
      </c>
      <c r="I44" s="68">
        <v>7</v>
      </c>
      <c r="J44" s="68">
        <v>71</v>
      </c>
      <c r="K44" s="68">
        <v>72</v>
      </c>
      <c r="L44" s="68">
        <v>8</v>
      </c>
      <c r="M44" s="68">
        <v>8</v>
      </c>
      <c r="N44" s="68">
        <v>56</v>
      </c>
      <c r="O44" s="68">
        <v>18</v>
      </c>
      <c r="P44" s="68">
        <v>5</v>
      </c>
      <c r="Q44" s="68">
        <v>9</v>
      </c>
      <c r="R44" s="68">
        <v>4</v>
      </c>
      <c r="S44" s="68">
        <v>0</v>
      </c>
      <c r="T44" s="68">
        <v>0</v>
      </c>
      <c r="U44" s="68">
        <v>0</v>
      </c>
      <c r="V44" s="68">
        <v>0</v>
      </c>
      <c r="W44" s="68">
        <v>22</v>
      </c>
      <c r="X44" s="68">
        <v>0</v>
      </c>
      <c r="Y44" s="68">
        <v>1</v>
      </c>
      <c r="Z44" s="68">
        <v>21</v>
      </c>
      <c r="AA44" s="68">
        <v>352</v>
      </c>
      <c r="AB44" s="68">
        <v>34</v>
      </c>
      <c r="AC44" s="68">
        <v>61</v>
      </c>
      <c r="AD44" s="68">
        <v>257</v>
      </c>
      <c r="AE44" s="68">
        <v>141</v>
      </c>
      <c r="AF44" s="68">
        <v>6</v>
      </c>
      <c r="AG44" s="68">
        <v>19</v>
      </c>
      <c r="AH44" s="68">
        <v>116</v>
      </c>
      <c r="AI44" s="68">
        <v>135</v>
      </c>
      <c r="AJ44" s="68">
        <v>15</v>
      </c>
      <c r="AK44" s="68">
        <v>25</v>
      </c>
      <c r="AL44" s="68">
        <v>95</v>
      </c>
      <c r="AM44" s="68">
        <v>42</v>
      </c>
      <c r="AN44" s="68">
        <v>10</v>
      </c>
      <c r="AO44" s="68">
        <v>16</v>
      </c>
      <c r="AP44" s="68">
        <v>16</v>
      </c>
      <c r="AQ44" s="68">
        <v>0</v>
      </c>
      <c r="AR44" s="68">
        <v>0</v>
      </c>
      <c r="AS44" s="68">
        <v>0</v>
      </c>
      <c r="AT44" s="68">
        <v>0</v>
      </c>
      <c r="AU44" s="68">
        <v>34</v>
      </c>
      <c r="AV44" s="68">
        <v>3</v>
      </c>
      <c r="AW44" s="68">
        <v>1</v>
      </c>
      <c r="AX44" s="68">
        <v>30</v>
      </c>
    </row>
    <row r="45" spans="1:50" ht="15.75" customHeight="1">
      <c r="A45" s="346"/>
      <c r="B45" s="65" t="s">
        <v>225</v>
      </c>
      <c r="C45" s="68">
        <v>397</v>
      </c>
      <c r="D45" s="68">
        <v>15</v>
      </c>
      <c r="E45" s="68">
        <v>30</v>
      </c>
      <c r="F45" s="68">
        <v>352</v>
      </c>
      <c r="G45" s="68">
        <v>198</v>
      </c>
      <c r="H45" s="68">
        <v>5</v>
      </c>
      <c r="I45" s="68">
        <v>9</v>
      </c>
      <c r="J45" s="68">
        <v>184</v>
      </c>
      <c r="K45" s="68">
        <v>125</v>
      </c>
      <c r="L45" s="68">
        <v>5</v>
      </c>
      <c r="M45" s="68">
        <v>10</v>
      </c>
      <c r="N45" s="68">
        <v>110</v>
      </c>
      <c r="O45" s="68">
        <v>17</v>
      </c>
      <c r="P45" s="68">
        <v>3</v>
      </c>
      <c r="Q45" s="68">
        <v>8</v>
      </c>
      <c r="R45" s="68">
        <v>6</v>
      </c>
      <c r="S45" s="68">
        <v>0</v>
      </c>
      <c r="T45" s="68">
        <v>0</v>
      </c>
      <c r="U45" s="68">
        <v>0</v>
      </c>
      <c r="V45" s="68">
        <v>0</v>
      </c>
      <c r="W45" s="68">
        <v>57</v>
      </c>
      <c r="X45" s="68">
        <v>2</v>
      </c>
      <c r="Y45" s="68">
        <v>3</v>
      </c>
      <c r="Z45" s="68">
        <v>52</v>
      </c>
      <c r="AA45" s="68">
        <v>600</v>
      </c>
      <c r="AB45" s="68">
        <v>38</v>
      </c>
      <c r="AC45" s="68">
        <v>60</v>
      </c>
      <c r="AD45" s="68">
        <v>502</v>
      </c>
      <c r="AE45" s="68">
        <v>292</v>
      </c>
      <c r="AF45" s="68">
        <v>16</v>
      </c>
      <c r="AG45" s="68">
        <v>17</v>
      </c>
      <c r="AH45" s="68">
        <v>259</v>
      </c>
      <c r="AI45" s="68">
        <v>199</v>
      </c>
      <c r="AJ45" s="68">
        <v>11</v>
      </c>
      <c r="AK45" s="68">
        <v>27</v>
      </c>
      <c r="AL45" s="68">
        <v>161</v>
      </c>
      <c r="AM45" s="68">
        <v>26</v>
      </c>
      <c r="AN45" s="68">
        <v>7</v>
      </c>
      <c r="AO45" s="68">
        <v>12</v>
      </c>
      <c r="AP45" s="68">
        <v>7</v>
      </c>
      <c r="AQ45" s="68">
        <v>0</v>
      </c>
      <c r="AR45" s="68">
        <v>0</v>
      </c>
      <c r="AS45" s="68">
        <v>0</v>
      </c>
      <c r="AT45" s="68">
        <v>0</v>
      </c>
      <c r="AU45" s="68">
        <v>83</v>
      </c>
      <c r="AV45" s="68">
        <v>4</v>
      </c>
      <c r="AW45" s="68">
        <v>4</v>
      </c>
      <c r="AX45" s="68">
        <v>75</v>
      </c>
    </row>
    <row r="46" spans="1:50" ht="15.75" customHeight="1">
      <c r="A46" s="63" t="s">
        <v>213</v>
      </c>
      <c r="B46" s="64" t="s">
        <v>223</v>
      </c>
      <c r="C46" s="67">
        <v>249</v>
      </c>
      <c r="D46" s="67">
        <v>11</v>
      </c>
      <c r="E46" s="67">
        <v>15</v>
      </c>
      <c r="F46" s="67">
        <v>223</v>
      </c>
      <c r="G46" s="67">
        <v>76</v>
      </c>
      <c r="H46" s="67">
        <v>1</v>
      </c>
      <c r="I46" s="67">
        <v>2</v>
      </c>
      <c r="J46" s="67">
        <v>73</v>
      </c>
      <c r="K46" s="67">
        <v>50</v>
      </c>
      <c r="L46" s="67">
        <v>4</v>
      </c>
      <c r="M46" s="67">
        <v>2</v>
      </c>
      <c r="N46" s="67">
        <v>44</v>
      </c>
      <c r="O46" s="67">
        <v>4</v>
      </c>
      <c r="P46" s="67">
        <v>1</v>
      </c>
      <c r="Q46" s="67">
        <v>0</v>
      </c>
      <c r="R46" s="67">
        <v>3</v>
      </c>
      <c r="S46" s="67">
        <v>0</v>
      </c>
      <c r="T46" s="67">
        <v>0</v>
      </c>
      <c r="U46" s="67">
        <v>0</v>
      </c>
      <c r="V46" s="67">
        <v>0</v>
      </c>
      <c r="W46" s="67">
        <v>119</v>
      </c>
      <c r="X46" s="67">
        <v>5</v>
      </c>
      <c r="Y46" s="67">
        <v>11</v>
      </c>
      <c r="Z46" s="67">
        <v>103</v>
      </c>
      <c r="AA46" s="67">
        <v>305</v>
      </c>
      <c r="AB46" s="67">
        <v>17</v>
      </c>
      <c r="AC46" s="67">
        <v>16</v>
      </c>
      <c r="AD46" s="67">
        <v>272</v>
      </c>
      <c r="AE46" s="67">
        <v>92</v>
      </c>
      <c r="AF46" s="67">
        <v>2</v>
      </c>
      <c r="AG46" s="67">
        <v>2</v>
      </c>
      <c r="AH46" s="67">
        <v>88</v>
      </c>
      <c r="AI46" s="67">
        <v>65</v>
      </c>
      <c r="AJ46" s="67">
        <v>6</v>
      </c>
      <c r="AK46" s="67">
        <v>2</v>
      </c>
      <c r="AL46" s="67">
        <v>57</v>
      </c>
      <c r="AM46" s="67">
        <v>6</v>
      </c>
      <c r="AN46" s="67">
        <v>1</v>
      </c>
      <c r="AO46" s="67">
        <v>0</v>
      </c>
      <c r="AP46" s="67">
        <v>5</v>
      </c>
      <c r="AQ46" s="67">
        <v>0</v>
      </c>
      <c r="AR46" s="67">
        <v>0</v>
      </c>
      <c r="AS46" s="67">
        <v>0</v>
      </c>
      <c r="AT46" s="67">
        <v>0</v>
      </c>
      <c r="AU46" s="67">
        <v>142</v>
      </c>
      <c r="AV46" s="67">
        <v>8</v>
      </c>
      <c r="AW46" s="67">
        <v>12</v>
      </c>
      <c r="AX46" s="67">
        <v>122</v>
      </c>
    </row>
    <row r="47" spans="1:50" ht="15.75" customHeight="1">
      <c r="A47" s="345" t="s">
        <v>14</v>
      </c>
      <c r="B47" s="65" t="s">
        <v>224</v>
      </c>
      <c r="C47" s="68">
        <v>79</v>
      </c>
      <c r="D47" s="68">
        <v>2</v>
      </c>
      <c r="E47" s="68">
        <v>2</v>
      </c>
      <c r="F47" s="68">
        <v>75</v>
      </c>
      <c r="G47" s="68">
        <v>22</v>
      </c>
      <c r="H47" s="68">
        <v>0</v>
      </c>
      <c r="I47" s="68">
        <v>0</v>
      </c>
      <c r="J47" s="68">
        <v>22</v>
      </c>
      <c r="K47" s="68">
        <v>18</v>
      </c>
      <c r="L47" s="68">
        <v>1</v>
      </c>
      <c r="M47" s="68">
        <v>0</v>
      </c>
      <c r="N47" s="68">
        <v>17</v>
      </c>
      <c r="O47" s="68">
        <v>1</v>
      </c>
      <c r="P47" s="68">
        <v>0</v>
      </c>
      <c r="Q47" s="68">
        <v>0</v>
      </c>
      <c r="R47" s="68">
        <v>1</v>
      </c>
      <c r="S47" s="68">
        <v>0</v>
      </c>
      <c r="T47" s="68">
        <v>0</v>
      </c>
      <c r="U47" s="68">
        <v>0</v>
      </c>
      <c r="V47" s="68">
        <v>0</v>
      </c>
      <c r="W47" s="68">
        <v>38</v>
      </c>
      <c r="X47" s="68">
        <v>1</v>
      </c>
      <c r="Y47" s="68">
        <v>2</v>
      </c>
      <c r="Z47" s="68">
        <v>35</v>
      </c>
      <c r="AA47" s="68">
        <v>97</v>
      </c>
      <c r="AB47" s="68">
        <v>3</v>
      </c>
      <c r="AC47" s="68">
        <v>2</v>
      </c>
      <c r="AD47" s="68">
        <v>92</v>
      </c>
      <c r="AE47" s="68">
        <v>27</v>
      </c>
      <c r="AF47" s="68">
        <v>0</v>
      </c>
      <c r="AG47" s="68">
        <v>0</v>
      </c>
      <c r="AH47" s="68">
        <v>27</v>
      </c>
      <c r="AI47" s="68">
        <v>25</v>
      </c>
      <c r="AJ47" s="68">
        <v>2</v>
      </c>
      <c r="AK47" s="68">
        <v>0</v>
      </c>
      <c r="AL47" s="68">
        <v>23</v>
      </c>
      <c r="AM47" s="68">
        <v>2</v>
      </c>
      <c r="AN47" s="68">
        <v>0</v>
      </c>
      <c r="AO47" s="68">
        <v>0</v>
      </c>
      <c r="AP47" s="68">
        <v>2</v>
      </c>
      <c r="AQ47" s="68">
        <v>0</v>
      </c>
      <c r="AR47" s="68">
        <v>0</v>
      </c>
      <c r="AS47" s="68">
        <v>0</v>
      </c>
      <c r="AT47" s="68">
        <v>0</v>
      </c>
      <c r="AU47" s="68">
        <v>43</v>
      </c>
      <c r="AV47" s="68">
        <v>1</v>
      </c>
      <c r="AW47" s="68">
        <v>2</v>
      </c>
      <c r="AX47" s="68">
        <v>40</v>
      </c>
    </row>
    <row r="48" spans="1:50" ht="15.75" customHeight="1">
      <c r="A48" s="346"/>
      <c r="B48" s="65" t="s">
        <v>225</v>
      </c>
      <c r="C48" s="68">
        <v>170</v>
      </c>
      <c r="D48" s="68">
        <v>9</v>
      </c>
      <c r="E48" s="68">
        <v>13</v>
      </c>
      <c r="F48" s="68">
        <v>148</v>
      </c>
      <c r="G48" s="68">
        <v>54</v>
      </c>
      <c r="H48" s="68">
        <v>1</v>
      </c>
      <c r="I48" s="68">
        <v>2</v>
      </c>
      <c r="J48" s="68">
        <v>51</v>
      </c>
      <c r="K48" s="68">
        <v>32</v>
      </c>
      <c r="L48" s="68">
        <v>3</v>
      </c>
      <c r="M48" s="68">
        <v>2</v>
      </c>
      <c r="N48" s="68">
        <v>27</v>
      </c>
      <c r="O48" s="68">
        <v>3</v>
      </c>
      <c r="P48" s="68">
        <v>1</v>
      </c>
      <c r="Q48" s="68">
        <v>0</v>
      </c>
      <c r="R48" s="68">
        <v>2</v>
      </c>
      <c r="S48" s="68">
        <v>0</v>
      </c>
      <c r="T48" s="68">
        <v>0</v>
      </c>
      <c r="U48" s="68">
        <v>0</v>
      </c>
      <c r="V48" s="68">
        <v>0</v>
      </c>
      <c r="W48" s="68">
        <v>81</v>
      </c>
      <c r="X48" s="68">
        <v>4</v>
      </c>
      <c r="Y48" s="68">
        <v>9</v>
      </c>
      <c r="Z48" s="68">
        <v>68</v>
      </c>
      <c r="AA48" s="68">
        <v>208</v>
      </c>
      <c r="AB48" s="68">
        <v>14</v>
      </c>
      <c r="AC48" s="68">
        <v>14</v>
      </c>
      <c r="AD48" s="68">
        <v>180</v>
      </c>
      <c r="AE48" s="68">
        <v>65</v>
      </c>
      <c r="AF48" s="68">
        <v>2</v>
      </c>
      <c r="AG48" s="68">
        <v>2</v>
      </c>
      <c r="AH48" s="68">
        <v>61</v>
      </c>
      <c r="AI48" s="68">
        <v>40</v>
      </c>
      <c r="AJ48" s="68">
        <v>4</v>
      </c>
      <c r="AK48" s="68">
        <v>2</v>
      </c>
      <c r="AL48" s="68">
        <v>34</v>
      </c>
      <c r="AM48" s="68">
        <v>4</v>
      </c>
      <c r="AN48" s="68">
        <v>1</v>
      </c>
      <c r="AO48" s="68">
        <v>0</v>
      </c>
      <c r="AP48" s="68">
        <v>3</v>
      </c>
      <c r="AQ48" s="68">
        <v>0</v>
      </c>
      <c r="AR48" s="68">
        <v>0</v>
      </c>
      <c r="AS48" s="68">
        <v>0</v>
      </c>
      <c r="AT48" s="68">
        <v>0</v>
      </c>
      <c r="AU48" s="68">
        <v>99</v>
      </c>
      <c r="AV48" s="68">
        <v>7</v>
      </c>
      <c r="AW48" s="68">
        <v>10</v>
      </c>
      <c r="AX48" s="68">
        <v>82</v>
      </c>
    </row>
    <row r="49" spans="1:50" ht="15.75" customHeight="1">
      <c r="A49" s="63" t="s">
        <v>214</v>
      </c>
      <c r="B49" s="64" t="s">
        <v>223</v>
      </c>
      <c r="C49" s="67">
        <v>770</v>
      </c>
      <c r="D49" s="67">
        <v>113</v>
      </c>
      <c r="E49" s="67">
        <v>80</v>
      </c>
      <c r="F49" s="67">
        <v>577</v>
      </c>
      <c r="G49" s="67">
        <v>249</v>
      </c>
      <c r="H49" s="67">
        <v>17</v>
      </c>
      <c r="I49" s="67">
        <v>10</v>
      </c>
      <c r="J49" s="67">
        <v>222</v>
      </c>
      <c r="K49" s="67">
        <v>145</v>
      </c>
      <c r="L49" s="67">
        <v>20</v>
      </c>
      <c r="M49" s="67">
        <v>14</v>
      </c>
      <c r="N49" s="67">
        <v>111</v>
      </c>
      <c r="O49" s="67">
        <v>90</v>
      </c>
      <c r="P49" s="67">
        <v>36</v>
      </c>
      <c r="Q49" s="67">
        <v>24</v>
      </c>
      <c r="R49" s="67">
        <v>30</v>
      </c>
      <c r="S49" s="67">
        <v>12</v>
      </c>
      <c r="T49" s="67">
        <v>2</v>
      </c>
      <c r="U49" s="67">
        <v>3</v>
      </c>
      <c r="V49" s="67">
        <v>7</v>
      </c>
      <c r="W49" s="67">
        <v>274</v>
      </c>
      <c r="X49" s="67">
        <v>38</v>
      </c>
      <c r="Y49" s="67">
        <v>29</v>
      </c>
      <c r="Z49" s="67">
        <v>207</v>
      </c>
      <c r="AA49" s="67">
        <v>1009</v>
      </c>
      <c r="AB49" s="67">
        <v>141</v>
      </c>
      <c r="AC49" s="67">
        <v>85</v>
      </c>
      <c r="AD49" s="67">
        <v>783</v>
      </c>
      <c r="AE49" s="67">
        <v>318</v>
      </c>
      <c r="AF49" s="67">
        <v>30</v>
      </c>
      <c r="AG49" s="67">
        <v>10</v>
      </c>
      <c r="AH49" s="67">
        <v>278</v>
      </c>
      <c r="AI49" s="67">
        <v>286</v>
      </c>
      <c r="AJ49" s="67">
        <v>41</v>
      </c>
      <c r="AK49" s="67">
        <v>18</v>
      </c>
      <c r="AL49" s="67">
        <v>227</v>
      </c>
      <c r="AM49" s="67">
        <v>118</v>
      </c>
      <c r="AN49" s="67">
        <v>44</v>
      </c>
      <c r="AO49" s="67">
        <v>30</v>
      </c>
      <c r="AP49" s="67">
        <v>44</v>
      </c>
      <c r="AQ49" s="67">
        <v>15</v>
      </c>
      <c r="AR49" s="67">
        <v>7</v>
      </c>
      <c r="AS49" s="67">
        <v>1</v>
      </c>
      <c r="AT49" s="67">
        <v>7</v>
      </c>
      <c r="AU49" s="67">
        <v>272</v>
      </c>
      <c r="AV49" s="67">
        <v>19</v>
      </c>
      <c r="AW49" s="67">
        <v>26</v>
      </c>
      <c r="AX49" s="67">
        <v>227</v>
      </c>
    </row>
    <row r="50" spans="1:50" ht="15.75" customHeight="1">
      <c r="A50" s="345" t="s">
        <v>15</v>
      </c>
      <c r="B50" s="65" t="s">
        <v>224</v>
      </c>
      <c r="C50" s="68">
        <v>341</v>
      </c>
      <c r="D50" s="68">
        <v>65</v>
      </c>
      <c r="E50" s="68">
        <v>35</v>
      </c>
      <c r="F50" s="68">
        <v>241</v>
      </c>
      <c r="G50" s="68">
        <v>94</v>
      </c>
      <c r="H50" s="68">
        <v>7</v>
      </c>
      <c r="I50" s="68">
        <v>3</v>
      </c>
      <c r="J50" s="68">
        <v>84</v>
      </c>
      <c r="K50" s="68">
        <v>79</v>
      </c>
      <c r="L50" s="68">
        <v>16</v>
      </c>
      <c r="M50" s="68">
        <v>7</v>
      </c>
      <c r="N50" s="68">
        <v>56</v>
      </c>
      <c r="O50" s="68">
        <v>55</v>
      </c>
      <c r="P50" s="68">
        <v>21</v>
      </c>
      <c r="Q50" s="68">
        <v>13</v>
      </c>
      <c r="R50" s="68">
        <v>21</v>
      </c>
      <c r="S50" s="68">
        <v>4</v>
      </c>
      <c r="T50" s="68">
        <v>2</v>
      </c>
      <c r="U50" s="68">
        <v>0</v>
      </c>
      <c r="V50" s="68">
        <v>2</v>
      </c>
      <c r="W50" s="68">
        <v>109</v>
      </c>
      <c r="X50" s="68">
        <v>19</v>
      </c>
      <c r="Y50" s="68">
        <v>12</v>
      </c>
      <c r="Z50" s="68">
        <v>78</v>
      </c>
      <c r="AA50" s="68">
        <v>451</v>
      </c>
      <c r="AB50" s="68">
        <v>78</v>
      </c>
      <c r="AC50" s="68">
        <v>44</v>
      </c>
      <c r="AD50" s="68">
        <v>329</v>
      </c>
      <c r="AE50" s="68">
        <v>135</v>
      </c>
      <c r="AF50" s="68">
        <v>18</v>
      </c>
      <c r="AG50" s="68">
        <v>7</v>
      </c>
      <c r="AH50" s="68">
        <v>110</v>
      </c>
      <c r="AI50" s="68">
        <v>135</v>
      </c>
      <c r="AJ50" s="68">
        <v>23</v>
      </c>
      <c r="AK50" s="68">
        <v>9</v>
      </c>
      <c r="AL50" s="68">
        <v>103</v>
      </c>
      <c r="AM50" s="68">
        <v>72</v>
      </c>
      <c r="AN50" s="68">
        <v>26</v>
      </c>
      <c r="AO50" s="68">
        <v>18</v>
      </c>
      <c r="AP50" s="68">
        <v>28</v>
      </c>
      <c r="AQ50" s="68">
        <v>9</v>
      </c>
      <c r="AR50" s="68">
        <v>5</v>
      </c>
      <c r="AS50" s="68">
        <v>0</v>
      </c>
      <c r="AT50" s="68">
        <v>4</v>
      </c>
      <c r="AU50" s="68">
        <v>100</v>
      </c>
      <c r="AV50" s="68">
        <v>6</v>
      </c>
      <c r="AW50" s="68">
        <v>10</v>
      </c>
      <c r="AX50" s="68">
        <v>84</v>
      </c>
    </row>
    <row r="51" spans="1:50" ht="15.75" customHeight="1">
      <c r="A51" s="346"/>
      <c r="B51" s="65" t="s">
        <v>225</v>
      </c>
      <c r="C51" s="68">
        <v>429</v>
      </c>
      <c r="D51" s="68">
        <v>48</v>
      </c>
      <c r="E51" s="68">
        <v>45</v>
      </c>
      <c r="F51" s="68">
        <v>336</v>
      </c>
      <c r="G51" s="68">
        <v>155</v>
      </c>
      <c r="H51" s="68">
        <v>10</v>
      </c>
      <c r="I51" s="68">
        <v>7</v>
      </c>
      <c r="J51" s="68">
        <v>138</v>
      </c>
      <c r="K51" s="68">
        <v>66</v>
      </c>
      <c r="L51" s="68">
        <v>4</v>
      </c>
      <c r="M51" s="68">
        <v>7</v>
      </c>
      <c r="N51" s="68">
        <v>55</v>
      </c>
      <c r="O51" s="68">
        <v>35</v>
      </c>
      <c r="P51" s="68">
        <v>15</v>
      </c>
      <c r="Q51" s="68">
        <v>11</v>
      </c>
      <c r="R51" s="68">
        <v>9</v>
      </c>
      <c r="S51" s="68">
        <v>8</v>
      </c>
      <c r="T51" s="68">
        <v>0</v>
      </c>
      <c r="U51" s="68">
        <v>3</v>
      </c>
      <c r="V51" s="68">
        <v>5</v>
      </c>
      <c r="W51" s="68">
        <v>165</v>
      </c>
      <c r="X51" s="68">
        <v>19</v>
      </c>
      <c r="Y51" s="68">
        <v>17</v>
      </c>
      <c r="Z51" s="68">
        <v>129</v>
      </c>
      <c r="AA51" s="68">
        <v>558</v>
      </c>
      <c r="AB51" s="68">
        <v>63</v>
      </c>
      <c r="AC51" s="68">
        <v>41</v>
      </c>
      <c r="AD51" s="68">
        <v>454</v>
      </c>
      <c r="AE51" s="68">
        <v>183</v>
      </c>
      <c r="AF51" s="68">
        <v>12</v>
      </c>
      <c r="AG51" s="68">
        <v>3</v>
      </c>
      <c r="AH51" s="68">
        <v>168</v>
      </c>
      <c r="AI51" s="68">
        <v>151</v>
      </c>
      <c r="AJ51" s="68">
        <v>18</v>
      </c>
      <c r="AK51" s="68">
        <v>9</v>
      </c>
      <c r="AL51" s="68">
        <v>124</v>
      </c>
      <c r="AM51" s="68">
        <v>46</v>
      </c>
      <c r="AN51" s="68">
        <v>18</v>
      </c>
      <c r="AO51" s="68">
        <v>12</v>
      </c>
      <c r="AP51" s="68">
        <v>16</v>
      </c>
      <c r="AQ51" s="68">
        <v>6</v>
      </c>
      <c r="AR51" s="68">
        <v>2</v>
      </c>
      <c r="AS51" s="68">
        <v>1</v>
      </c>
      <c r="AT51" s="68">
        <v>3</v>
      </c>
      <c r="AU51" s="68">
        <v>172</v>
      </c>
      <c r="AV51" s="68">
        <v>13</v>
      </c>
      <c r="AW51" s="68">
        <v>16</v>
      </c>
      <c r="AX51" s="68">
        <v>143</v>
      </c>
    </row>
    <row r="52" spans="1:50" ht="15.75" customHeight="1">
      <c r="A52" s="63" t="s">
        <v>215</v>
      </c>
      <c r="B52" s="64" t="s">
        <v>223</v>
      </c>
      <c r="C52" s="67">
        <v>310</v>
      </c>
      <c r="D52" s="67">
        <v>101</v>
      </c>
      <c r="E52" s="67">
        <v>36</v>
      </c>
      <c r="F52" s="67">
        <v>173</v>
      </c>
      <c r="G52" s="67">
        <v>71</v>
      </c>
      <c r="H52" s="67">
        <v>9</v>
      </c>
      <c r="I52" s="67">
        <v>1</v>
      </c>
      <c r="J52" s="67">
        <v>61</v>
      </c>
      <c r="K52" s="67">
        <v>63</v>
      </c>
      <c r="L52" s="67">
        <v>13</v>
      </c>
      <c r="M52" s="67">
        <v>11</v>
      </c>
      <c r="N52" s="67">
        <v>39</v>
      </c>
      <c r="O52" s="67">
        <v>30</v>
      </c>
      <c r="P52" s="67">
        <v>23</v>
      </c>
      <c r="Q52" s="67">
        <v>4</v>
      </c>
      <c r="R52" s="67">
        <v>3</v>
      </c>
      <c r="S52" s="67">
        <v>26</v>
      </c>
      <c r="T52" s="67">
        <v>14</v>
      </c>
      <c r="U52" s="67">
        <v>4</v>
      </c>
      <c r="V52" s="67">
        <v>8</v>
      </c>
      <c r="W52" s="67">
        <v>120</v>
      </c>
      <c r="X52" s="67">
        <v>42</v>
      </c>
      <c r="Y52" s="67">
        <v>16</v>
      </c>
      <c r="Z52" s="67">
        <v>62</v>
      </c>
      <c r="AA52" s="67">
        <v>416</v>
      </c>
      <c r="AB52" s="67">
        <v>300</v>
      </c>
      <c r="AC52" s="67">
        <v>84</v>
      </c>
      <c r="AD52" s="67">
        <v>32</v>
      </c>
      <c r="AE52" s="67">
        <v>97</v>
      </c>
      <c r="AF52" s="67">
        <v>86</v>
      </c>
      <c r="AG52" s="67">
        <v>10</v>
      </c>
      <c r="AH52" s="67">
        <v>1</v>
      </c>
      <c r="AI52" s="67">
        <v>90</v>
      </c>
      <c r="AJ52" s="67">
        <v>66</v>
      </c>
      <c r="AK52" s="67">
        <v>13</v>
      </c>
      <c r="AL52" s="67">
        <v>11</v>
      </c>
      <c r="AM52" s="67">
        <v>54</v>
      </c>
      <c r="AN52" s="67">
        <v>29</v>
      </c>
      <c r="AO52" s="67">
        <v>22</v>
      </c>
      <c r="AP52" s="67">
        <v>3</v>
      </c>
      <c r="AQ52" s="67">
        <v>43</v>
      </c>
      <c r="AR52" s="67">
        <v>25</v>
      </c>
      <c r="AS52" s="67">
        <v>14</v>
      </c>
      <c r="AT52" s="67">
        <v>4</v>
      </c>
      <c r="AU52" s="67">
        <v>132</v>
      </c>
      <c r="AV52" s="67">
        <v>94</v>
      </c>
      <c r="AW52" s="67">
        <v>25</v>
      </c>
      <c r="AX52" s="67">
        <v>13</v>
      </c>
    </row>
    <row r="53" spans="1:50" ht="15.75" customHeight="1">
      <c r="A53" s="345" t="s">
        <v>16</v>
      </c>
      <c r="B53" s="65" t="s">
        <v>224</v>
      </c>
      <c r="C53" s="68">
        <v>182</v>
      </c>
      <c r="D53" s="68">
        <v>68</v>
      </c>
      <c r="E53" s="68">
        <v>21</v>
      </c>
      <c r="F53" s="68">
        <v>93</v>
      </c>
      <c r="G53" s="68">
        <v>29</v>
      </c>
      <c r="H53" s="68">
        <v>6</v>
      </c>
      <c r="I53" s="68">
        <v>0</v>
      </c>
      <c r="J53" s="68">
        <v>23</v>
      </c>
      <c r="K53" s="68">
        <v>25</v>
      </c>
      <c r="L53" s="68">
        <v>8</v>
      </c>
      <c r="M53" s="68">
        <v>4</v>
      </c>
      <c r="N53" s="68">
        <v>13</v>
      </c>
      <c r="O53" s="68">
        <v>23</v>
      </c>
      <c r="P53" s="68">
        <v>18</v>
      </c>
      <c r="Q53" s="68">
        <v>3</v>
      </c>
      <c r="R53" s="68">
        <v>2</v>
      </c>
      <c r="S53" s="68">
        <v>18</v>
      </c>
      <c r="T53" s="68">
        <v>10</v>
      </c>
      <c r="U53" s="68">
        <v>2</v>
      </c>
      <c r="V53" s="68">
        <v>6</v>
      </c>
      <c r="W53" s="68">
        <v>87</v>
      </c>
      <c r="X53" s="68">
        <v>26</v>
      </c>
      <c r="Y53" s="68">
        <v>12</v>
      </c>
      <c r="Z53" s="68">
        <v>49</v>
      </c>
      <c r="AA53" s="68">
        <v>204</v>
      </c>
      <c r="AB53" s="68">
        <v>133</v>
      </c>
      <c r="AC53" s="68">
        <v>59</v>
      </c>
      <c r="AD53" s="68">
        <v>12</v>
      </c>
      <c r="AE53" s="68">
        <v>41</v>
      </c>
      <c r="AF53" s="68">
        <v>33</v>
      </c>
      <c r="AG53" s="68">
        <v>8</v>
      </c>
      <c r="AH53" s="68">
        <v>0</v>
      </c>
      <c r="AI53" s="68">
        <v>38</v>
      </c>
      <c r="AJ53" s="68">
        <v>26</v>
      </c>
      <c r="AK53" s="68">
        <v>8</v>
      </c>
      <c r="AL53" s="68">
        <v>4</v>
      </c>
      <c r="AM53" s="68">
        <v>40</v>
      </c>
      <c r="AN53" s="68">
        <v>21</v>
      </c>
      <c r="AO53" s="68">
        <v>17</v>
      </c>
      <c r="AP53" s="68">
        <v>2</v>
      </c>
      <c r="AQ53" s="68">
        <v>29</v>
      </c>
      <c r="AR53" s="68">
        <v>17</v>
      </c>
      <c r="AS53" s="68">
        <v>10</v>
      </c>
      <c r="AT53" s="68">
        <v>2</v>
      </c>
      <c r="AU53" s="68">
        <v>56</v>
      </c>
      <c r="AV53" s="68">
        <v>36</v>
      </c>
      <c r="AW53" s="68">
        <v>16</v>
      </c>
      <c r="AX53" s="68">
        <v>4</v>
      </c>
    </row>
    <row r="54" spans="1:50" ht="15.75" customHeight="1">
      <c r="A54" s="346"/>
      <c r="B54" s="65" t="s">
        <v>225</v>
      </c>
      <c r="C54" s="68">
        <v>128</v>
      </c>
      <c r="D54" s="68">
        <v>33</v>
      </c>
      <c r="E54" s="68">
        <v>15</v>
      </c>
      <c r="F54" s="68">
        <v>80</v>
      </c>
      <c r="G54" s="68">
        <v>42</v>
      </c>
      <c r="H54" s="68">
        <v>3</v>
      </c>
      <c r="I54" s="68">
        <v>1</v>
      </c>
      <c r="J54" s="68">
        <v>38</v>
      </c>
      <c r="K54" s="68">
        <v>38</v>
      </c>
      <c r="L54" s="68">
        <v>5</v>
      </c>
      <c r="M54" s="68">
        <v>7</v>
      </c>
      <c r="N54" s="68">
        <v>26</v>
      </c>
      <c r="O54" s="68">
        <v>7</v>
      </c>
      <c r="P54" s="68">
        <v>5</v>
      </c>
      <c r="Q54" s="68">
        <v>1</v>
      </c>
      <c r="R54" s="68">
        <v>1</v>
      </c>
      <c r="S54" s="68">
        <v>8</v>
      </c>
      <c r="T54" s="68">
        <v>4</v>
      </c>
      <c r="U54" s="68">
        <v>2</v>
      </c>
      <c r="V54" s="68">
        <v>2</v>
      </c>
      <c r="W54" s="68">
        <v>33</v>
      </c>
      <c r="X54" s="68">
        <v>16</v>
      </c>
      <c r="Y54" s="68">
        <v>4</v>
      </c>
      <c r="Z54" s="68">
        <v>13</v>
      </c>
      <c r="AA54" s="68">
        <v>212</v>
      </c>
      <c r="AB54" s="68">
        <v>167</v>
      </c>
      <c r="AC54" s="68">
        <v>25</v>
      </c>
      <c r="AD54" s="68">
        <v>20</v>
      </c>
      <c r="AE54" s="68">
        <v>56</v>
      </c>
      <c r="AF54" s="68">
        <v>53</v>
      </c>
      <c r="AG54" s="68">
        <v>2</v>
      </c>
      <c r="AH54" s="68">
        <v>1</v>
      </c>
      <c r="AI54" s="68">
        <v>52</v>
      </c>
      <c r="AJ54" s="68">
        <v>40</v>
      </c>
      <c r="AK54" s="68">
        <v>5</v>
      </c>
      <c r="AL54" s="68">
        <v>7</v>
      </c>
      <c r="AM54" s="68">
        <v>14</v>
      </c>
      <c r="AN54" s="68">
        <v>8</v>
      </c>
      <c r="AO54" s="68">
        <v>5</v>
      </c>
      <c r="AP54" s="68">
        <v>1</v>
      </c>
      <c r="AQ54" s="68">
        <v>14</v>
      </c>
      <c r="AR54" s="68">
        <v>8</v>
      </c>
      <c r="AS54" s="68">
        <v>4</v>
      </c>
      <c r="AT54" s="68">
        <v>2</v>
      </c>
      <c r="AU54" s="68">
        <v>76</v>
      </c>
      <c r="AV54" s="68">
        <v>58</v>
      </c>
      <c r="AW54" s="68">
        <v>9</v>
      </c>
      <c r="AX54" s="68">
        <v>9</v>
      </c>
    </row>
    <row r="55" spans="1:50" ht="15.75" customHeight="1">
      <c r="A55" s="63" t="s">
        <v>216</v>
      </c>
      <c r="B55" s="64" t="s">
        <v>223</v>
      </c>
      <c r="C55" s="67">
        <v>174</v>
      </c>
      <c r="D55" s="67">
        <v>28</v>
      </c>
      <c r="E55" s="67">
        <v>21</v>
      </c>
      <c r="F55" s="67">
        <v>125</v>
      </c>
      <c r="G55" s="67">
        <v>40</v>
      </c>
      <c r="H55" s="67">
        <v>5</v>
      </c>
      <c r="I55" s="67">
        <v>0</v>
      </c>
      <c r="J55" s="67">
        <v>35</v>
      </c>
      <c r="K55" s="67">
        <v>42</v>
      </c>
      <c r="L55" s="67">
        <v>8</v>
      </c>
      <c r="M55" s="67">
        <v>5</v>
      </c>
      <c r="N55" s="67">
        <v>29</v>
      </c>
      <c r="O55" s="67">
        <v>8</v>
      </c>
      <c r="P55" s="67">
        <v>3</v>
      </c>
      <c r="Q55" s="67">
        <v>4</v>
      </c>
      <c r="R55" s="67">
        <v>1</v>
      </c>
      <c r="S55" s="67">
        <v>4</v>
      </c>
      <c r="T55" s="67">
        <v>0</v>
      </c>
      <c r="U55" s="67">
        <v>4</v>
      </c>
      <c r="V55" s="67">
        <v>0</v>
      </c>
      <c r="W55" s="67">
        <v>80</v>
      </c>
      <c r="X55" s="67">
        <v>12</v>
      </c>
      <c r="Y55" s="67">
        <v>8</v>
      </c>
      <c r="Z55" s="67">
        <v>60</v>
      </c>
      <c r="AA55" s="67">
        <v>826</v>
      </c>
      <c r="AB55" s="67">
        <v>83</v>
      </c>
      <c r="AC55" s="67">
        <v>53</v>
      </c>
      <c r="AD55" s="67">
        <v>690</v>
      </c>
      <c r="AE55" s="67">
        <v>176</v>
      </c>
      <c r="AF55" s="67">
        <v>15</v>
      </c>
      <c r="AG55" s="67">
        <v>2</v>
      </c>
      <c r="AH55" s="67">
        <v>159</v>
      </c>
      <c r="AI55" s="67">
        <v>143</v>
      </c>
      <c r="AJ55" s="67">
        <v>23</v>
      </c>
      <c r="AK55" s="67">
        <v>7</v>
      </c>
      <c r="AL55" s="67">
        <v>113</v>
      </c>
      <c r="AM55" s="67">
        <v>51</v>
      </c>
      <c r="AN55" s="67">
        <v>19</v>
      </c>
      <c r="AO55" s="67">
        <v>29</v>
      </c>
      <c r="AP55" s="67">
        <v>3</v>
      </c>
      <c r="AQ55" s="67">
        <v>13</v>
      </c>
      <c r="AR55" s="67">
        <v>4</v>
      </c>
      <c r="AS55" s="67">
        <v>8</v>
      </c>
      <c r="AT55" s="67">
        <v>1</v>
      </c>
      <c r="AU55" s="67">
        <v>443</v>
      </c>
      <c r="AV55" s="67">
        <v>22</v>
      </c>
      <c r="AW55" s="67">
        <v>7</v>
      </c>
      <c r="AX55" s="67">
        <v>414</v>
      </c>
    </row>
    <row r="56" spans="1:50" ht="15.75" customHeight="1">
      <c r="A56" s="345" t="s">
        <v>17</v>
      </c>
      <c r="B56" s="65" t="s">
        <v>224</v>
      </c>
      <c r="C56" s="68">
        <v>71</v>
      </c>
      <c r="D56" s="68">
        <v>18</v>
      </c>
      <c r="E56" s="68">
        <v>12</v>
      </c>
      <c r="F56" s="68">
        <v>41</v>
      </c>
      <c r="G56" s="68">
        <v>12</v>
      </c>
      <c r="H56" s="68">
        <v>1</v>
      </c>
      <c r="I56" s="68">
        <v>0</v>
      </c>
      <c r="J56" s="68">
        <v>11</v>
      </c>
      <c r="K56" s="68">
        <v>22</v>
      </c>
      <c r="L56" s="68">
        <v>7</v>
      </c>
      <c r="M56" s="68">
        <v>1</v>
      </c>
      <c r="N56" s="68">
        <v>14</v>
      </c>
      <c r="O56" s="68">
        <v>6</v>
      </c>
      <c r="P56" s="68">
        <v>2</v>
      </c>
      <c r="Q56" s="68">
        <v>3</v>
      </c>
      <c r="R56" s="68">
        <v>1</v>
      </c>
      <c r="S56" s="68">
        <v>1</v>
      </c>
      <c r="T56" s="68">
        <v>0</v>
      </c>
      <c r="U56" s="68">
        <v>1</v>
      </c>
      <c r="V56" s="68">
        <v>0</v>
      </c>
      <c r="W56" s="68">
        <v>30</v>
      </c>
      <c r="X56" s="68">
        <v>8</v>
      </c>
      <c r="Y56" s="68">
        <v>7</v>
      </c>
      <c r="Z56" s="68">
        <v>15</v>
      </c>
      <c r="AA56" s="68">
        <v>267</v>
      </c>
      <c r="AB56" s="68">
        <v>47</v>
      </c>
      <c r="AC56" s="68">
        <v>21</v>
      </c>
      <c r="AD56" s="68">
        <v>199</v>
      </c>
      <c r="AE56" s="68">
        <v>39</v>
      </c>
      <c r="AF56" s="68">
        <v>8</v>
      </c>
      <c r="AG56" s="68">
        <v>0</v>
      </c>
      <c r="AH56" s="68">
        <v>31</v>
      </c>
      <c r="AI56" s="68">
        <v>59</v>
      </c>
      <c r="AJ56" s="68">
        <v>13</v>
      </c>
      <c r="AK56" s="68">
        <v>2</v>
      </c>
      <c r="AL56" s="68">
        <v>44</v>
      </c>
      <c r="AM56" s="68">
        <v>23</v>
      </c>
      <c r="AN56" s="68">
        <v>8</v>
      </c>
      <c r="AO56" s="68">
        <v>15</v>
      </c>
      <c r="AP56" s="68">
        <v>0</v>
      </c>
      <c r="AQ56" s="68">
        <v>4</v>
      </c>
      <c r="AR56" s="68">
        <v>3</v>
      </c>
      <c r="AS56" s="68">
        <v>1</v>
      </c>
      <c r="AT56" s="68">
        <v>0</v>
      </c>
      <c r="AU56" s="68">
        <v>142</v>
      </c>
      <c r="AV56" s="68">
        <v>15</v>
      </c>
      <c r="AW56" s="68">
        <v>3</v>
      </c>
      <c r="AX56" s="68">
        <v>124</v>
      </c>
    </row>
    <row r="57" spans="1:50" ht="15.75" customHeight="1">
      <c r="A57" s="346"/>
      <c r="B57" s="65" t="s">
        <v>225</v>
      </c>
      <c r="C57" s="68">
        <v>103</v>
      </c>
      <c r="D57" s="68">
        <v>10</v>
      </c>
      <c r="E57" s="68">
        <v>9</v>
      </c>
      <c r="F57" s="68">
        <v>84</v>
      </c>
      <c r="G57" s="68">
        <v>28</v>
      </c>
      <c r="H57" s="68">
        <v>4</v>
      </c>
      <c r="I57" s="68">
        <v>0</v>
      </c>
      <c r="J57" s="68">
        <v>24</v>
      </c>
      <c r="K57" s="68">
        <v>20</v>
      </c>
      <c r="L57" s="68">
        <v>1</v>
      </c>
      <c r="M57" s="68">
        <v>4</v>
      </c>
      <c r="N57" s="68">
        <v>15</v>
      </c>
      <c r="O57" s="68">
        <v>2</v>
      </c>
      <c r="P57" s="68">
        <v>1</v>
      </c>
      <c r="Q57" s="68">
        <v>1</v>
      </c>
      <c r="R57" s="68">
        <v>0</v>
      </c>
      <c r="S57" s="68">
        <v>3</v>
      </c>
      <c r="T57" s="68">
        <v>0</v>
      </c>
      <c r="U57" s="68">
        <v>3</v>
      </c>
      <c r="V57" s="68">
        <v>0</v>
      </c>
      <c r="W57" s="68">
        <v>50</v>
      </c>
      <c r="X57" s="68">
        <v>4</v>
      </c>
      <c r="Y57" s="68">
        <v>1</v>
      </c>
      <c r="Z57" s="68">
        <v>45</v>
      </c>
      <c r="AA57" s="68">
        <v>559</v>
      </c>
      <c r="AB57" s="68">
        <v>36</v>
      </c>
      <c r="AC57" s="68">
        <v>32</v>
      </c>
      <c r="AD57" s="68">
        <v>491</v>
      </c>
      <c r="AE57" s="68">
        <v>137</v>
      </c>
      <c r="AF57" s="68">
        <v>7</v>
      </c>
      <c r="AG57" s="68">
        <v>2</v>
      </c>
      <c r="AH57" s="68">
        <v>128</v>
      </c>
      <c r="AI57" s="68">
        <v>84</v>
      </c>
      <c r="AJ57" s="68">
        <v>10</v>
      </c>
      <c r="AK57" s="68">
        <v>5</v>
      </c>
      <c r="AL57" s="68">
        <v>69</v>
      </c>
      <c r="AM57" s="68">
        <v>28</v>
      </c>
      <c r="AN57" s="68">
        <v>11</v>
      </c>
      <c r="AO57" s="68">
        <v>14</v>
      </c>
      <c r="AP57" s="68">
        <v>3</v>
      </c>
      <c r="AQ57" s="68">
        <v>9</v>
      </c>
      <c r="AR57" s="68">
        <v>1</v>
      </c>
      <c r="AS57" s="68">
        <v>7</v>
      </c>
      <c r="AT57" s="68">
        <v>1</v>
      </c>
      <c r="AU57" s="68">
        <v>301</v>
      </c>
      <c r="AV57" s="68">
        <v>7</v>
      </c>
      <c r="AW57" s="68">
        <v>4</v>
      </c>
      <c r="AX57" s="68">
        <v>290</v>
      </c>
    </row>
    <row r="58" spans="1:50" ht="15.75" customHeight="1">
      <c r="A58" s="63" t="s">
        <v>217</v>
      </c>
      <c r="B58" s="64" t="s">
        <v>223</v>
      </c>
      <c r="C58" s="67">
        <v>75</v>
      </c>
      <c r="D58" s="67">
        <v>15</v>
      </c>
      <c r="E58" s="67">
        <v>2</v>
      </c>
      <c r="F58" s="67">
        <v>58</v>
      </c>
      <c r="G58" s="67">
        <v>34</v>
      </c>
      <c r="H58" s="67">
        <v>4</v>
      </c>
      <c r="I58" s="67">
        <v>1</v>
      </c>
      <c r="J58" s="67">
        <v>29</v>
      </c>
      <c r="K58" s="67">
        <v>26</v>
      </c>
      <c r="L58" s="67">
        <v>4</v>
      </c>
      <c r="M58" s="67">
        <v>1</v>
      </c>
      <c r="N58" s="67">
        <v>21</v>
      </c>
      <c r="O58" s="67">
        <v>4</v>
      </c>
      <c r="P58" s="67">
        <v>2</v>
      </c>
      <c r="Q58" s="67">
        <v>0</v>
      </c>
      <c r="R58" s="67">
        <v>2</v>
      </c>
      <c r="S58" s="67">
        <v>0</v>
      </c>
      <c r="T58" s="67">
        <v>0</v>
      </c>
      <c r="U58" s="67">
        <v>0</v>
      </c>
      <c r="V58" s="67">
        <v>0</v>
      </c>
      <c r="W58" s="67">
        <v>11</v>
      </c>
      <c r="X58" s="67">
        <v>5</v>
      </c>
      <c r="Y58" s="67">
        <v>0</v>
      </c>
      <c r="Z58" s="67">
        <v>6</v>
      </c>
      <c r="AA58" s="67">
        <v>191</v>
      </c>
      <c r="AB58" s="67">
        <v>18</v>
      </c>
      <c r="AC58" s="67">
        <v>8</v>
      </c>
      <c r="AD58" s="67">
        <v>165</v>
      </c>
      <c r="AE58" s="67">
        <v>73</v>
      </c>
      <c r="AF58" s="67">
        <v>6</v>
      </c>
      <c r="AG58" s="67">
        <v>1</v>
      </c>
      <c r="AH58" s="67">
        <v>66</v>
      </c>
      <c r="AI58" s="67">
        <v>56</v>
      </c>
      <c r="AJ58" s="67">
        <v>5</v>
      </c>
      <c r="AK58" s="67">
        <v>1</v>
      </c>
      <c r="AL58" s="67">
        <v>50</v>
      </c>
      <c r="AM58" s="67">
        <v>8</v>
      </c>
      <c r="AN58" s="67">
        <v>2</v>
      </c>
      <c r="AO58" s="67">
        <v>0</v>
      </c>
      <c r="AP58" s="67">
        <v>6</v>
      </c>
      <c r="AQ58" s="67">
        <v>0</v>
      </c>
      <c r="AR58" s="67">
        <v>0</v>
      </c>
      <c r="AS58" s="67">
        <v>0</v>
      </c>
      <c r="AT58" s="67">
        <v>0</v>
      </c>
      <c r="AU58" s="67">
        <v>54</v>
      </c>
      <c r="AV58" s="67">
        <v>5</v>
      </c>
      <c r="AW58" s="67">
        <v>6</v>
      </c>
      <c r="AX58" s="67">
        <v>43</v>
      </c>
    </row>
    <row r="59" spans="1:50" ht="15.75" customHeight="1">
      <c r="A59" s="345" t="s">
        <v>18</v>
      </c>
      <c r="B59" s="65" t="s">
        <v>224</v>
      </c>
      <c r="C59" s="68">
        <v>30</v>
      </c>
      <c r="D59" s="68">
        <v>9</v>
      </c>
      <c r="E59" s="68">
        <v>0</v>
      </c>
      <c r="F59" s="68">
        <v>21</v>
      </c>
      <c r="G59" s="68">
        <v>13</v>
      </c>
      <c r="H59" s="68">
        <v>1</v>
      </c>
      <c r="I59" s="68">
        <v>0</v>
      </c>
      <c r="J59" s="68">
        <v>12</v>
      </c>
      <c r="K59" s="68">
        <v>8</v>
      </c>
      <c r="L59" s="68">
        <v>2</v>
      </c>
      <c r="M59" s="68">
        <v>0</v>
      </c>
      <c r="N59" s="68">
        <v>6</v>
      </c>
      <c r="O59" s="68">
        <v>3</v>
      </c>
      <c r="P59" s="68">
        <v>2</v>
      </c>
      <c r="Q59" s="68">
        <v>0</v>
      </c>
      <c r="R59" s="68">
        <v>1</v>
      </c>
      <c r="S59" s="68">
        <v>0</v>
      </c>
      <c r="T59" s="68">
        <v>0</v>
      </c>
      <c r="U59" s="68">
        <v>0</v>
      </c>
      <c r="V59" s="68">
        <v>0</v>
      </c>
      <c r="W59" s="68">
        <v>6</v>
      </c>
      <c r="X59" s="68">
        <v>4</v>
      </c>
      <c r="Y59" s="68">
        <v>0</v>
      </c>
      <c r="Z59" s="68">
        <v>2</v>
      </c>
      <c r="AA59" s="68">
        <v>77</v>
      </c>
      <c r="AB59" s="68">
        <v>10</v>
      </c>
      <c r="AC59" s="68">
        <v>3</v>
      </c>
      <c r="AD59" s="68">
        <v>64</v>
      </c>
      <c r="AE59" s="68">
        <v>28</v>
      </c>
      <c r="AF59" s="68">
        <v>2</v>
      </c>
      <c r="AG59" s="68">
        <v>0</v>
      </c>
      <c r="AH59" s="68">
        <v>26</v>
      </c>
      <c r="AI59" s="68">
        <v>23</v>
      </c>
      <c r="AJ59" s="68">
        <v>2</v>
      </c>
      <c r="AK59" s="68">
        <v>0</v>
      </c>
      <c r="AL59" s="68">
        <v>21</v>
      </c>
      <c r="AM59" s="68">
        <v>6</v>
      </c>
      <c r="AN59" s="68">
        <v>2</v>
      </c>
      <c r="AO59" s="68">
        <v>0</v>
      </c>
      <c r="AP59" s="68">
        <v>4</v>
      </c>
      <c r="AQ59" s="68">
        <v>0</v>
      </c>
      <c r="AR59" s="68">
        <v>0</v>
      </c>
      <c r="AS59" s="68">
        <v>0</v>
      </c>
      <c r="AT59" s="68">
        <v>0</v>
      </c>
      <c r="AU59" s="68">
        <v>20</v>
      </c>
      <c r="AV59" s="68">
        <v>4</v>
      </c>
      <c r="AW59" s="68">
        <v>3</v>
      </c>
      <c r="AX59" s="68">
        <v>13</v>
      </c>
    </row>
    <row r="60" spans="1:50" ht="15.75" customHeight="1">
      <c r="A60" s="346"/>
      <c r="B60" s="65" t="s">
        <v>225</v>
      </c>
      <c r="C60" s="68">
        <v>45</v>
      </c>
      <c r="D60" s="68">
        <v>6</v>
      </c>
      <c r="E60" s="68">
        <v>2</v>
      </c>
      <c r="F60" s="68">
        <v>37</v>
      </c>
      <c r="G60" s="68">
        <v>21</v>
      </c>
      <c r="H60" s="68">
        <v>3</v>
      </c>
      <c r="I60" s="68">
        <v>1</v>
      </c>
      <c r="J60" s="68">
        <v>17</v>
      </c>
      <c r="K60" s="68">
        <v>18</v>
      </c>
      <c r="L60" s="68">
        <v>2</v>
      </c>
      <c r="M60" s="68">
        <v>1</v>
      </c>
      <c r="N60" s="68">
        <v>15</v>
      </c>
      <c r="O60" s="68">
        <v>1</v>
      </c>
      <c r="P60" s="68">
        <v>0</v>
      </c>
      <c r="Q60" s="68">
        <v>0</v>
      </c>
      <c r="R60" s="68">
        <v>1</v>
      </c>
      <c r="S60" s="68">
        <v>0</v>
      </c>
      <c r="T60" s="68">
        <v>0</v>
      </c>
      <c r="U60" s="68">
        <v>0</v>
      </c>
      <c r="V60" s="68">
        <v>0</v>
      </c>
      <c r="W60" s="68">
        <v>5</v>
      </c>
      <c r="X60" s="68">
        <v>1</v>
      </c>
      <c r="Y60" s="68">
        <v>0</v>
      </c>
      <c r="Z60" s="68">
        <v>4</v>
      </c>
      <c r="AA60" s="68">
        <v>114</v>
      </c>
      <c r="AB60" s="68">
        <v>8</v>
      </c>
      <c r="AC60" s="68">
        <v>5</v>
      </c>
      <c r="AD60" s="68">
        <v>101</v>
      </c>
      <c r="AE60" s="68">
        <v>45</v>
      </c>
      <c r="AF60" s="68">
        <v>4</v>
      </c>
      <c r="AG60" s="68">
        <v>1</v>
      </c>
      <c r="AH60" s="68">
        <v>40</v>
      </c>
      <c r="AI60" s="68">
        <v>33</v>
      </c>
      <c r="AJ60" s="68">
        <v>3</v>
      </c>
      <c r="AK60" s="68">
        <v>1</v>
      </c>
      <c r="AL60" s="68">
        <v>29</v>
      </c>
      <c r="AM60" s="68">
        <v>2</v>
      </c>
      <c r="AN60" s="68">
        <v>0</v>
      </c>
      <c r="AO60" s="68">
        <v>0</v>
      </c>
      <c r="AP60" s="68">
        <v>2</v>
      </c>
      <c r="AQ60" s="68">
        <v>0</v>
      </c>
      <c r="AR60" s="68">
        <v>0</v>
      </c>
      <c r="AS60" s="68">
        <v>0</v>
      </c>
      <c r="AT60" s="68">
        <v>0</v>
      </c>
      <c r="AU60" s="68">
        <v>34</v>
      </c>
      <c r="AV60" s="68">
        <v>1</v>
      </c>
      <c r="AW60" s="68">
        <v>3</v>
      </c>
      <c r="AX60" s="68">
        <v>30</v>
      </c>
    </row>
    <row r="61" spans="1:50" ht="15.75" customHeight="1">
      <c r="A61" s="63" t="s">
        <v>218</v>
      </c>
      <c r="B61" s="64" t="s">
        <v>223</v>
      </c>
      <c r="C61" s="67">
        <v>105</v>
      </c>
      <c r="D61" s="67">
        <v>3</v>
      </c>
      <c r="E61" s="67">
        <v>7</v>
      </c>
      <c r="F61" s="67">
        <v>95</v>
      </c>
      <c r="G61" s="67">
        <v>27</v>
      </c>
      <c r="H61" s="67">
        <v>1</v>
      </c>
      <c r="I61" s="67">
        <v>0</v>
      </c>
      <c r="J61" s="67">
        <v>26</v>
      </c>
      <c r="K61" s="67">
        <v>17</v>
      </c>
      <c r="L61" s="67">
        <v>0</v>
      </c>
      <c r="M61" s="67">
        <v>1</v>
      </c>
      <c r="N61" s="67">
        <v>16</v>
      </c>
      <c r="O61" s="67">
        <v>1</v>
      </c>
      <c r="P61" s="67">
        <v>1</v>
      </c>
      <c r="Q61" s="67">
        <v>0</v>
      </c>
      <c r="R61" s="67">
        <v>0</v>
      </c>
      <c r="S61" s="67">
        <v>0</v>
      </c>
      <c r="T61" s="67">
        <v>0</v>
      </c>
      <c r="U61" s="67">
        <v>0</v>
      </c>
      <c r="V61" s="67">
        <v>0</v>
      </c>
      <c r="W61" s="67">
        <v>60</v>
      </c>
      <c r="X61" s="67">
        <v>1</v>
      </c>
      <c r="Y61" s="67">
        <v>6</v>
      </c>
      <c r="Z61" s="67">
        <v>53</v>
      </c>
      <c r="AA61" s="67">
        <v>105</v>
      </c>
      <c r="AB61" s="67">
        <v>3</v>
      </c>
      <c r="AC61" s="67">
        <v>7</v>
      </c>
      <c r="AD61" s="67">
        <v>95</v>
      </c>
      <c r="AE61" s="67">
        <v>27</v>
      </c>
      <c r="AF61" s="67">
        <v>1</v>
      </c>
      <c r="AG61" s="67">
        <v>0</v>
      </c>
      <c r="AH61" s="67">
        <v>26</v>
      </c>
      <c r="AI61" s="67">
        <v>17</v>
      </c>
      <c r="AJ61" s="67">
        <v>0</v>
      </c>
      <c r="AK61" s="67">
        <v>1</v>
      </c>
      <c r="AL61" s="67">
        <v>16</v>
      </c>
      <c r="AM61" s="67">
        <v>1</v>
      </c>
      <c r="AN61" s="67">
        <v>1</v>
      </c>
      <c r="AO61" s="67">
        <v>0</v>
      </c>
      <c r="AP61" s="67">
        <v>0</v>
      </c>
      <c r="AQ61" s="67">
        <v>0</v>
      </c>
      <c r="AR61" s="67">
        <v>0</v>
      </c>
      <c r="AS61" s="67">
        <v>0</v>
      </c>
      <c r="AT61" s="67">
        <v>0</v>
      </c>
      <c r="AU61" s="67">
        <v>60</v>
      </c>
      <c r="AV61" s="67">
        <v>1</v>
      </c>
      <c r="AW61" s="67">
        <v>6</v>
      </c>
      <c r="AX61" s="67">
        <v>53</v>
      </c>
    </row>
    <row r="62" spans="1:50" ht="15.75" customHeight="1">
      <c r="A62" s="345" t="s">
        <v>19</v>
      </c>
      <c r="B62" s="65" t="s">
        <v>224</v>
      </c>
      <c r="C62" s="68">
        <v>38</v>
      </c>
      <c r="D62" s="68">
        <v>2</v>
      </c>
      <c r="E62" s="68">
        <v>2</v>
      </c>
      <c r="F62" s="68">
        <v>34</v>
      </c>
      <c r="G62" s="68">
        <v>13</v>
      </c>
      <c r="H62" s="68">
        <v>1</v>
      </c>
      <c r="I62" s="68">
        <v>0</v>
      </c>
      <c r="J62" s="68">
        <v>12</v>
      </c>
      <c r="K62" s="68">
        <v>9</v>
      </c>
      <c r="L62" s="68">
        <v>0</v>
      </c>
      <c r="M62" s="68">
        <v>0</v>
      </c>
      <c r="N62" s="68">
        <v>9</v>
      </c>
      <c r="O62" s="68">
        <v>1</v>
      </c>
      <c r="P62" s="68">
        <v>1</v>
      </c>
      <c r="Q62" s="68">
        <v>0</v>
      </c>
      <c r="R62" s="68">
        <v>0</v>
      </c>
      <c r="S62" s="68">
        <v>0</v>
      </c>
      <c r="T62" s="68">
        <v>0</v>
      </c>
      <c r="U62" s="68">
        <v>0</v>
      </c>
      <c r="V62" s="68">
        <v>0</v>
      </c>
      <c r="W62" s="68">
        <v>15</v>
      </c>
      <c r="X62" s="68">
        <v>0</v>
      </c>
      <c r="Y62" s="68">
        <v>2</v>
      </c>
      <c r="Z62" s="68">
        <v>13</v>
      </c>
      <c r="AA62" s="68">
        <v>38</v>
      </c>
      <c r="AB62" s="68">
        <v>2</v>
      </c>
      <c r="AC62" s="68">
        <v>2</v>
      </c>
      <c r="AD62" s="68">
        <v>34</v>
      </c>
      <c r="AE62" s="68">
        <v>13</v>
      </c>
      <c r="AF62" s="68">
        <v>1</v>
      </c>
      <c r="AG62" s="68">
        <v>0</v>
      </c>
      <c r="AH62" s="68">
        <v>12</v>
      </c>
      <c r="AI62" s="68">
        <v>9</v>
      </c>
      <c r="AJ62" s="68">
        <v>0</v>
      </c>
      <c r="AK62" s="68">
        <v>0</v>
      </c>
      <c r="AL62" s="68">
        <v>9</v>
      </c>
      <c r="AM62" s="68">
        <v>1</v>
      </c>
      <c r="AN62" s="68">
        <v>1</v>
      </c>
      <c r="AO62" s="68">
        <v>0</v>
      </c>
      <c r="AP62" s="68">
        <v>0</v>
      </c>
      <c r="AQ62" s="68">
        <v>0</v>
      </c>
      <c r="AR62" s="68">
        <v>0</v>
      </c>
      <c r="AS62" s="68">
        <v>0</v>
      </c>
      <c r="AT62" s="68">
        <v>0</v>
      </c>
      <c r="AU62" s="68">
        <v>15</v>
      </c>
      <c r="AV62" s="68">
        <v>0</v>
      </c>
      <c r="AW62" s="68">
        <v>2</v>
      </c>
      <c r="AX62" s="68">
        <v>13</v>
      </c>
    </row>
    <row r="63" spans="1:50" ht="15.75" customHeight="1">
      <c r="A63" s="346"/>
      <c r="B63" s="65" t="s">
        <v>225</v>
      </c>
      <c r="C63" s="68">
        <v>67</v>
      </c>
      <c r="D63" s="68">
        <v>1</v>
      </c>
      <c r="E63" s="68">
        <v>5</v>
      </c>
      <c r="F63" s="68">
        <v>61</v>
      </c>
      <c r="G63" s="68">
        <v>14</v>
      </c>
      <c r="H63" s="68">
        <v>0</v>
      </c>
      <c r="I63" s="68">
        <v>0</v>
      </c>
      <c r="J63" s="68">
        <v>14</v>
      </c>
      <c r="K63" s="68">
        <v>8</v>
      </c>
      <c r="L63" s="68">
        <v>0</v>
      </c>
      <c r="M63" s="68">
        <v>1</v>
      </c>
      <c r="N63" s="68">
        <v>7</v>
      </c>
      <c r="O63" s="68">
        <v>0</v>
      </c>
      <c r="P63" s="68">
        <v>0</v>
      </c>
      <c r="Q63" s="68">
        <v>0</v>
      </c>
      <c r="R63" s="68">
        <v>0</v>
      </c>
      <c r="S63" s="68">
        <v>0</v>
      </c>
      <c r="T63" s="68">
        <v>0</v>
      </c>
      <c r="U63" s="68">
        <v>0</v>
      </c>
      <c r="V63" s="68">
        <v>0</v>
      </c>
      <c r="W63" s="68">
        <v>45</v>
      </c>
      <c r="X63" s="68">
        <v>1</v>
      </c>
      <c r="Y63" s="68">
        <v>4</v>
      </c>
      <c r="Z63" s="68">
        <v>40</v>
      </c>
      <c r="AA63" s="68">
        <v>67</v>
      </c>
      <c r="AB63" s="68">
        <v>1</v>
      </c>
      <c r="AC63" s="68">
        <v>5</v>
      </c>
      <c r="AD63" s="68">
        <v>61</v>
      </c>
      <c r="AE63" s="68">
        <v>14</v>
      </c>
      <c r="AF63" s="68">
        <v>0</v>
      </c>
      <c r="AG63" s="68">
        <v>0</v>
      </c>
      <c r="AH63" s="68">
        <v>14</v>
      </c>
      <c r="AI63" s="68">
        <v>8</v>
      </c>
      <c r="AJ63" s="68">
        <v>0</v>
      </c>
      <c r="AK63" s="68">
        <v>1</v>
      </c>
      <c r="AL63" s="68">
        <v>7</v>
      </c>
      <c r="AM63" s="68">
        <v>0</v>
      </c>
      <c r="AN63" s="68">
        <v>0</v>
      </c>
      <c r="AO63" s="68">
        <v>0</v>
      </c>
      <c r="AP63" s="68">
        <v>0</v>
      </c>
      <c r="AQ63" s="68">
        <v>0</v>
      </c>
      <c r="AR63" s="68">
        <v>0</v>
      </c>
      <c r="AS63" s="68">
        <v>0</v>
      </c>
      <c r="AT63" s="68">
        <v>0</v>
      </c>
      <c r="AU63" s="68">
        <v>45</v>
      </c>
      <c r="AV63" s="68">
        <v>1</v>
      </c>
      <c r="AW63" s="68">
        <v>4</v>
      </c>
      <c r="AX63" s="68">
        <v>40</v>
      </c>
    </row>
    <row r="64" spans="1:50" ht="15.75" customHeight="1">
      <c r="A64" s="63" t="s">
        <v>219</v>
      </c>
      <c r="B64" s="64" t="s">
        <v>223</v>
      </c>
      <c r="C64" s="67">
        <v>123</v>
      </c>
      <c r="D64" s="67">
        <v>8</v>
      </c>
      <c r="E64" s="67">
        <v>4</v>
      </c>
      <c r="F64" s="67">
        <v>111</v>
      </c>
      <c r="G64" s="67">
        <v>40</v>
      </c>
      <c r="H64" s="67">
        <v>0</v>
      </c>
      <c r="I64" s="67">
        <v>0</v>
      </c>
      <c r="J64" s="67">
        <v>40</v>
      </c>
      <c r="K64" s="67">
        <v>15</v>
      </c>
      <c r="L64" s="67">
        <v>3</v>
      </c>
      <c r="M64" s="67">
        <v>0</v>
      </c>
      <c r="N64" s="67">
        <v>12</v>
      </c>
      <c r="O64" s="67">
        <v>1</v>
      </c>
      <c r="P64" s="67">
        <v>0</v>
      </c>
      <c r="Q64" s="67">
        <v>0</v>
      </c>
      <c r="R64" s="67">
        <v>1</v>
      </c>
      <c r="S64" s="67">
        <v>0</v>
      </c>
      <c r="T64" s="67">
        <v>0</v>
      </c>
      <c r="U64" s="67">
        <v>0</v>
      </c>
      <c r="V64" s="67">
        <v>0</v>
      </c>
      <c r="W64" s="67">
        <v>67</v>
      </c>
      <c r="X64" s="67">
        <v>5</v>
      </c>
      <c r="Y64" s="67">
        <v>4</v>
      </c>
      <c r="Z64" s="67">
        <v>58</v>
      </c>
      <c r="AA64" s="67">
        <v>175</v>
      </c>
      <c r="AB64" s="67">
        <v>13</v>
      </c>
      <c r="AC64" s="67">
        <v>15</v>
      </c>
      <c r="AD64" s="67">
        <v>147</v>
      </c>
      <c r="AE64" s="67">
        <v>62</v>
      </c>
      <c r="AF64" s="67">
        <v>6</v>
      </c>
      <c r="AG64" s="67">
        <v>5</v>
      </c>
      <c r="AH64" s="67">
        <v>51</v>
      </c>
      <c r="AI64" s="67">
        <v>21</v>
      </c>
      <c r="AJ64" s="67">
        <v>2</v>
      </c>
      <c r="AK64" s="67">
        <v>1</v>
      </c>
      <c r="AL64" s="67">
        <v>18</v>
      </c>
      <c r="AM64" s="67">
        <v>1</v>
      </c>
      <c r="AN64" s="67">
        <v>0</v>
      </c>
      <c r="AO64" s="67">
        <v>0</v>
      </c>
      <c r="AP64" s="67">
        <v>1</v>
      </c>
      <c r="AQ64" s="67">
        <v>0</v>
      </c>
      <c r="AR64" s="67">
        <v>0</v>
      </c>
      <c r="AS64" s="67">
        <v>0</v>
      </c>
      <c r="AT64" s="67">
        <v>0</v>
      </c>
      <c r="AU64" s="67">
        <v>91</v>
      </c>
      <c r="AV64" s="67">
        <v>5</v>
      </c>
      <c r="AW64" s="67">
        <v>9</v>
      </c>
      <c r="AX64" s="67">
        <v>77</v>
      </c>
    </row>
    <row r="65" spans="1:50" ht="15.75" customHeight="1">
      <c r="A65" s="345" t="s">
        <v>20</v>
      </c>
      <c r="B65" s="65" t="s">
        <v>224</v>
      </c>
      <c r="C65" s="68">
        <v>30</v>
      </c>
      <c r="D65" s="68">
        <v>3</v>
      </c>
      <c r="E65" s="68">
        <v>2</v>
      </c>
      <c r="F65" s="68">
        <v>25</v>
      </c>
      <c r="G65" s="68">
        <v>7</v>
      </c>
      <c r="H65" s="68">
        <v>0</v>
      </c>
      <c r="I65" s="68">
        <v>0</v>
      </c>
      <c r="J65" s="68">
        <v>7</v>
      </c>
      <c r="K65" s="68">
        <v>3</v>
      </c>
      <c r="L65" s="68">
        <v>2</v>
      </c>
      <c r="M65" s="68">
        <v>0</v>
      </c>
      <c r="N65" s="68">
        <v>1</v>
      </c>
      <c r="O65" s="68">
        <v>1</v>
      </c>
      <c r="P65" s="68">
        <v>0</v>
      </c>
      <c r="Q65" s="68">
        <v>0</v>
      </c>
      <c r="R65" s="68">
        <v>1</v>
      </c>
      <c r="S65" s="68">
        <v>0</v>
      </c>
      <c r="T65" s="68">
        <v>0</v>
      </c>
      <c r="U65" s="68">
        <v>0</v>
      </c>
      <c r="V65" s="68">
        <v>0</v>
      </c>
      <c r="W65" s="68">
        <v>19</v>
      </c>
      <c r="X65" s="68">
        <v>1</v>
      </c>
      <c r="Y65" s="68">
        <v>2</v>
      </c>
      <c r="Z65" s="68">
        <v>16</v>
      </c>
      <c r="AA65" s="68">
        <v>51</v>
      </c>
      <c r="AB65" s="68">
        <v>5</v>
      </c>
      <c r="AC65" s="68">
        <v>5</v>
      </c>
      <c r="AD65" s="68">
        <v>41</v>
      </c>
      <c r="AE65" s="68">
        <v>14</v>
      </c>
      <c r="AF65" s="68">
        <v>2</v>
      </c>
      <c r="AG65" s="68">
        <v>1</v>
      </c>
      <c r="AH65" s="68">
        <v>11</v>
      </c>
      <c r="AI65" s="68">
        <v>7</v>
      </c>
      <c r="AJ65" s="68">
        <v>1</v>
      </c>
      <c r="AK65" s="68">
        <v>0</v>
      </c>
      <c r="AL65" s="68">
        <v>6</v>
      </c>
      <c r="AM65" s="68">
        <v>1</v>
      </c>
      <c r="AN65" s="68">
        <v>0</v>
      </c>
      <c r="AO65" s="68">
        <v>0</v>
      </c>
      <c r="AP65" s="68">
        <v>1</v>
      </c>
      <c r="AQ65" s="68">
        <v>0</v>
      </c>
      <c r="AR65" s="68">
        <v>0</v>
      </c>
      <c r="AS65" s="68">
        <v>0</v>
      </c>
      <c r="AT65" s="68">
        <v>0</v>
      </c>
      <c r="AU65" s="68">
        <v>29</v>
      </c>
      <c r="AV65" s="68">
        <v>2</v>
      </c>
      <c r="AW65" s="68">
        <v>4</v>
      </c>
      <c r="AX65" s="68">
        <v>23</v>
      </c>
    </row>
    <row r="66" spans="1:50" ht="15.75" customHeight="1">
      <c r="A66" s="346"/>
      <c r="B66" s="65" t="s">
        <v>225</v>
      </c>
      <c r="C66" s="68">
        <v>93</v>
      </c>
      <c r="D66" s="68">
        <v>5</v>
      </c>
      <c r="E66" s="68">
        <v>2</v>
      </c>
      <c r="F66" s="68">
        <v>86</v>
      </c>
      <c r="G66" s="68">
        <v>33</v>
      </c>
      <c r="H66" s="68">
        <v>0</v>
      </c>
      <c r="I66" s="68">
        <v>0</v>
      </c>
      <c r="J66" s="68">
        <v>33</v>
      </c>
      <c r="K66" s="68">
        <v>12</v>
      </c>
      <c r="L66" s="68">
        <v>1</v>
      </c>
      <c r="M66" s="68">
        <v>0</v>
      </c>
      <c r="N66" s="68">
        <v>11</v>
      </c>
      <c r="O66" s="68">
        <v>0</v>
      </c>
      <c r="P66" s="68">
        <v>0</v>
      </c>
      <c r="Q66" s="68">
        <v>0</v>
      </c>
      <c r="R66" s="68">
        <v>0</v>
      </c>
      <c r="S66" s="68">
        <v>0</v>
      </c>
      <c r="T66" s="68">
        <v>0</v>
      </c>
      <c r="U66" s="68">
        <v>0</v>
      </c>
      <c r="V66" s="68">
        <v>0</v>
      </c>
      <c r="W66" s="68">
        <v>48</v>
      </c>
      <c r="X66" s="68">
        <v>4</v>
      </c>
      <c r="Y66" s="68">
        <v>2</v>
      </c>
      <c r="Z66" s="68">
        <v>42</v>
      </c>
      <c r="AA66" s="68">
        <v>124</v>
      </c>
      <c r="AB66" s="68">
        <v>8</v>
      </c>
      <c r="AC66" s="68">
        <v>10</v>
      </c>
      <c r="AD66" s="68">
        <v>106</v>
      </c>
      <c r="AE66" s="68">
        <v>48</v>
      </c>
      <c r="AF66" s="68">
        <v>4</v>
      </c>
      <c r="AG66" s="68">
        <v>4</v>
      </c>
      <c r="AH66" s="68">
        <v>40</v>
      </c>
      <c r="AI66" s="68">
        <v>14</v>
      </c>
      <c r="AJ66" s="68">
        <v>1</v>
      </c>
      <c r="AK66" s="68">
        <v>1</v>
      </c>
      <c r="AL66" s="68">
        <v>12</v>
      </c>
      <c r="AM66" s="68">
        <v>0</v>
      </c>
      <c r="AN66" s="68">
        <v>0</v>
      </c>
      <c r="AO66" s="68">
        <v>0</v>
      </c>
      <c r="AP66" s="68">
        <v>0</v>
      </c>
      <c r="AQ66" s="68">
        <v>0</v>
      </c>
      <c r="AR66" s="68">
        <v>0</v>
      </c>
      <c r="AS66" s="68">
        <v>0</v>
      </c>
      <c r="AT66" s="68">
        <v>0</v>
      </c>
      <c r="AU66" s="68">
        <v>62</v>
      </c>
      <c r="AV66" s="68">
        <v>3</v>
      </c>
      <c r="AW66" s="68">
        <v>5</v>
      </c>
      <c r="AX66" s="68">
        <v>54</v>
      </c>
    </row>
    <row r="67" spans="1:50" ht="15.75" customHeight="1">
      <c r="A67" s="63" t="s">
        <v>220</v>
      </c>
      <c r="B67" s="64" t="s">
        <v>223</v>
      </c>
      <c r="C67" s="67">
        <v>241</v>
      </c>
      <c r="D67" s="67">
        <v>25</v>
      </c>
      <c r="E67" s="67">
        <v>17</v>
      </c>
      <c r="F67" s="67">
        <v>199</v>
      </c>
      <c r="G67" s="67">
        <v>83</v>
      </c>
      <c r="H67" s="67">
        <v>8</v>
      </c>
      <c r="I67" s="67">
        <v>4</v>
      </c>
      <c r="J67" s="67">
        <v>71</v>
      </c>
      <c r="K67" s="67">
        <v>48</v>
      </c>
      <c r="L67" s="67">
        <v>7</v>
      </c>
      <c r="M67" s="67">
        <v>4</v>
      </c>
      <c r="N67" s="67">
        <v>37</v>
      </c>
      <c r="O67" s="67">
        <v>5</v>
      </c>
      <c r="P67" s="67">
        <v>2</v>
      </c>
      <c r="Q67" s="67">
        <v>3</v>
      </c>
      <c r="R67" s="67">
        <v>0</v>
      </c>
      <c r="S67" s="67">
        <v>0</v>
      </c>
      <c r="T67" s="67">
        <v>0</v>
      </c>
      <c r="U67" s="67">
        <v>0</v>
      </c>
      <c r="V67" s="67">
        <v>0</v>
      </c>
      <c r="W67" s="67">
        <v>105</v>
      </c>
      <c r="X67" s="67">
        <v>8</v>
      </c>
      <c r="Y67" s="67">
        <v>6</v>
      </c>
      <c r="Z67" s="67">
        <v>91</v>
      </c>
      <c r="AA67" s="67">
        <v>242</v>
      </c>
      <c r="AB67" s="67">
        <v>26</v>
      </c>
      <c r="AC67" s="67">
        <v>17</v>
      </c>
      <c r="AD67" s="67">
        <v>199</v>
      </c>
      <c r="AE67" s="67">
        <v>84</v>
      </c>
      <c r="AF67" s="67">
        <v>9</v>
      </c>
      <c r="AG67" s="67">
        <v>4</v>
      </c>
      <c r="AH67" s="67">
        <v>71</v>
      </c>
      <c r="AI67" s="67">
        <v>48</v>
      </c>
      <c r="AJ67" s="67">
        <v>7</v>
      </c>
      <c r="AK67" s="67">
        <v>4</v>
      </c>
      <c r="AL67" s="67">
        <v>37</v>
      </c>
      <c r="AM67" s="67">
        <v>5</v>
      </c>
      <c r="AN67" s="67">
        <v>2</v>
      </c>
      <c r="AO67" s="67">
        <v>3</v>
      </c>
      <c r="AP67" s="67">
        <v>0</v>
      </c>
      <c r="AQ67" s="67">
        <v>0</v>
      </c>
      <c r="AR67" s="67">
        <v>0</v>
      </c>
      <c r="AS67" s="67">
        <v>0</v>
      </c>
      <c r="AT67" s="67">
        <v>0</v>
      </c>
      <c r="AU67" s="67">
        <v>105</v>
      </c>
      <c r="AV67" s="67">
        <v>8</v>
      </c>
      <c r="AW67" s="67">
        <v>6</v>
      </c>
      <c r="AX67" s="67">
        <v>91</v>
      </c>
    </row>
    <row r="68" spans="1:50" ht="15.75" customHeight="1">
      <c r="A68" s="345" t="s">
        <v>21</v>
      </c>
      <c r="B68" s="65" t="s">
        <v>224</v>
      </c>
      <c r="C68" s="68">
        <v>58</v>
      </c>
      <c r="D68" s="68">
        <v>8</v>
      </c>
      <c r="E68" s="68">
        <v>5</v>
      </c>
      <c r="F68" s="68">
        <v>45</v>
      </c>
      <c r="G68" s="68">
        <v>16</v>
      </c>
      <c r="H68" s="68">
        <v>2</v>
      </c>
      <c r="I68" s="68">
        <v>0</v>
      </c>
      <c r="J68" s="68">
        <v>14</v>
      </c>
      <c r="K68" s="68">
        <v>21</v>
      </c>
      <c r="L68" s="68">
        <v>4</v>
      </c>
      <c r="M68" s="68">
        <v>2</v>
      </c>
      <c r="N68" s="68">
        <v>15</v>
      </c>
      <c r="O68" s="68">
        <v>2</v>
      </c>
      <c r="P68" s="68">
        <v>1</v>
      </c>
      <c r="Q68" s="68">
        <v>1</v>
      </c>
      <c r="R68" s="68">
        <v>0</v>
      </c>
      <c r="S68" s="68">
        <v>0</v>
      </c>
      <c r="T68" s="68">
        <v>0</v>
      </c>
      <c r="U68" s="68">
        <v>0</v>
      </c>
      <c r="V68" s="68">
        <v>0</v>
      </c>
      <c r="W68" s="68">
        <v>19</v>
      </c>
      <c r="X68" s="68">
        <v>1</v>
      </c>
      <c r="Y68" s="68">
        <v>2</v>
      </c>
      <c r="Z68" s="68">
        <v>16</v>
      </c>
      <c r="AA68" s="68">
        <v>59</v>
      </c>
      <c r="AB68" s="68">
        <v>9</v>
      </c>
      <c r="AC68" s="68">
        <v>5</v>
      </c>
      <c r="AD68" s="68">
        <v>45</v>
      </c>
      <c r="AE68" s="68">
        <v>16</v>
      </c>
      <c r="AF68" s="68">
        <v>2</v>
      </c>
      <c r="AG68" s="68">
        <v>0</v>
      </c>
      <c r="AH68" s="68">
        <v>14</v>
      </c>
      <c r="AI68" s="68">
        <v>21</v>
      </c>
      <c r="AJ68" s="68">
        <v>4</v>
      </c>
      <c r="AK68" s="68">
        <v>2</v>
      </c>
      <c r="AL68" s="68">
        <v>15</v>
      </c>
      <c r="AM68" s="68">
        <v>3</v>
      </c>
      <c r="AN68" s="68">
        <v>2</v>
      </c>
      <c r="AO68" s="68">
        <v>1</v>
      </c>
      <c r="AP68" s="68">
        <v>0</v>
      </c>
      <c r="AQ68" s="68">
        <v>0</v>
      </c>
      <c r="AR68" s="68">
        <v>0</v>
      </c>
      <c r="AS68" s="68">
        <v>0</v>
      </c>
      <c r="AT68" s="68">
        <v>0</v>
      </c>
      <c r="AU68" s="68">
        <v>19</v>
      </c>
      <c r="AV68" s="68">
        <v>1</v>
      </c>
      <c r="AW68" s="68">
        <v>2</v>
      </c>
      <c r="AX68" s="68">
        <v>16</v>
      </c>
    </row>
    <row r="69" spans="1:50" ht="15.75" customHeight="1">
      <c r="A69" s="346"/>
      <c r="B69" s="65" t="s">
        <v>225</v>
      </c>
      <c r="C69" s="68">
        <v>183</v>
      </c>
      <c r="D69" s="68">
        <v>17</v>
      </c>
      <c r="E69" s="68">
        <v>12</v>
      </c>
      <c r="F69" s="68">
        <v>154</v>
      </c>
      <c r="G69" s="68">
        <v>67</v>
      </c>
      <c r="H69" s="68">
        <v>6</v>
      </c>
      <c r="I69" s="68">
        <v>4</v>
      </c>
      <c r="J69" s="68">
        <v>57</v>
      </c>
      <c r="K69" s="68">
        <v>27</v>
      </c>
      <c r="L69" s="68">
        <v>3</v>
      </c>
      <c r="M69" s="68">
        <v>2</v>
      </c>
      <c r="N69" s="68">
        <v>22</v>
      </c>
      <c r="O69" s="68">
        <v>3</v>
      </c>
      <c r="P69" s="68">
        <v>1</v>
      </c>
      <c r="Q69" s="68">
        <v>2</v>
      </c>
      <c r="R69" s="68">
        <v>0</v>
      </c>
      <c r="S69" s="68">
        <v>0</v>
      </c>
      <c r="T69" s="68">
        <v>0</v>
      </c>
      <c r="U69" s="68">
        <v>0</v>
      </c>
      <c r="V69" s="68">
        <v>0</v>
      </c>
      <c r="W69" s="68">
        <v>86</v>
      </c>
      <c r="X69" s="68">
        <v>7</v>
      </c>
      <c r="Y69" s="68">
        <v>4</v>
      </c>
      <c r="Z69" s="68">
        <v>75</v>
      </c>
      <c r="AA69" s="68">
        <v>183</v>
      </c>
      <c r="AB69" s="68">
        <v>17</v>
      </c>
      <c r="AC69" s="68">
        <v>12</v>
      </c>
      <c r="AD69" s="68">
        <v>154</v>
      </c>
      <c r="AE69" s="68">
        <v>68</v>
      </c>
      <c r="AF69" s="68">
        <v>7</v>
      </c>
      <c r="AG69" s="68">
        <v>4</v>
      </c>
      <c r="AH69" s="68">
        <v>57</v>
      </c>
      <c r="AI69" s="68">
        <v>27</v>
      </c>
      <c r="AJ69" s="68">
        <v>3</v>
      </c>
      <c r="AK69" s="68">
        <v>2</v>
      </c>
      <c r="AL69" s="68">
        <v>22</v>
      </c>
      <c r="AM69" s="68">
        <v>2</v>
      </c>
      <c r="AN69" s="68">
        <v>0</v>
      </c>
      <c r="AO69" s="68">
        <v>2</v>
      </c>
      <c r="AP69" s="68">
        <v>0</v>
      </c>
      <c r="AQ69" s="68">
        <v>0</v>
      </c>
      <c r="AR69" s="68">
        <v>0</v>
      </c>
      <c r="AS69" s="68">
        <v>0</v>
      </c>
      <c r="AT69" s="68">
        <v>0</v>
      </c>
      <c r="AU69" s="68">
        <v>86</v>
      </c>
      <c r="AV69" s="68">
        <v>7</v>
      </c>
      <c r="AW69" s="68">
        <v>4</v>
      </c>
      <c r="AX69" s="68">
        <v>75</v>
      </c>
    </row>
    <row r="70" spans="1:50" ht="15.75" customHeight="1">
      <c r="A70" s="63" t="s">
        <v>221</v>
      </c>
      <c r="B70" s="64" t="s">
        <v>223</v>
      </c>
      <c r="C70" s="67">
        <v>65</v>
      </c>
      <c r="D70" s="67">
        <v>2</v>
      </c>
      <c r="E70" s="67">
        <v>0</v>
      </c>
      <c r="F70" s="67">
        <v>63</v>
      </c>
      <c r="G70" s="67">
        <v>20</v>
      </c>
      <c r="H70" s="67">
        <v>0</v>
      </c>
      <c r="I70" s="67">
        <v>0</v>
      </c>
      <c r="J70" s="67">
        <v>20</v>
      </c>
      <c r="K70" s="67">
        <v>9</v>
      </c>
      <c r="L70" s="67">
        <v>0</v>
      </c>
      <c r="M70" s="67">
        <v>0</v>
      </c>
      <c r="N70" s="67">
        <v>9</v>
      </c>
      <c r="O70" s="67">
        <v>1</v>
      </c>
      <c r="P70" s="67">
        <v>1</v>
      </c>
      <c r="Q70" s="67">
        <v>0</v>
      </c>
      <c r="R70" s="67">
        <v>0</v>
      </c>
      <c r="S70" s="67">
        <v>0</v>
      </c>
      <c r="T70" s="67">
        <v>0</v>
      </c>
      <c r="U70" s="67">
        <v>0</v>
      </c>
      <c r="V70" s="67">
        <v>0</v>
      </c>
      <c r="W70" s="67">
        <v>35</v>
      </c>
      <c r="X70" s="67">
        <v>1</v>
      </c>
      <c r="Y70" s="67">
        <v>0</v>
      </c>
      <c r="Z70" s="67">
        <v>34</v>
      </c>
      <c r="AA70" s="67">
        <v>93</v>
      </c>
      <c r="AB70" s="67">
        <v>3</v>
      </c>
      <c r="AC70" s="67">
        <v>0</v>
      </c>
      <c r="AD70" s="67">
        <v>90</v>
      </c>
      <c r="AE70" s="67">
        <v>48</v>
      </c>
      <c r="AF70" s="67">
        <v>2</v>
      </c>
      <c r="AG70" s="67">
        <v>0</v>
      </c>
      <c r="AH70" s="67">
        <v>46</v>
      </c>
      <c r="AI70" s="67">
        <v>19</v>
      </c>
      <c r="AJ70" s="67">
        <v>0</v>
      </c>
      <c r="AK70" s="67">
        <v>0</v>
      </c>
      <c r="AL70" s="67">
        <v>19</v>
      </c>
      <c r="AM70" s="67">
        <v>1</v>
      </c>
      <c r="AN70" s="67">
        <v>1</v>
      </c>
      <c r="AO70" s="67">
        <v>0</v>
      </c>
      <c r="AP70" s="67">
        <v>0</v>
      </c>
      <c r="AQ70" s="67">
        <v>0</v>
      </c>
      <c r="AR70" s="67">
        <v>0</v>
      </c>
      <c r="AS70" s="67">
        <v>0</v>
      </c>
      <c r="AT70" s="67">
        <v>0</v>
      </c>
      <c r="AU70" s="67">
        <v>25</v>
      </c>
      <c r="AV70" s="67">
        <v>0</v>
      </c>
      <c r="AW70" s="67">
        <v>0</v>
      </c>
      <c r="AX70" s="67">
        <v>25</v>
      </c>
    </row>
    <row r="71" spans="1:50" ht="15.75" customHeight="1">
      <c r="A71" s="345" t="s">
        <v>22</v>
      </c>
      <c r="B71" s="65" t="s">
        <v>224</v>
      </c>
      <c r="C71" s="68">
        <v>14</v>
      </c>
      <c r="D71" s="68">
        <v>0</v>
      </c>
      <c r="E71" s="68">
        <v>0</v>
      </c>
      <c r="F71" s="68">
        <v>14</v>
      </c>
      <c r="G71" s="68">
        <v>1</v>
      </c>
      <c r="H71" s="68">
        <v>0</v>
      </c>
      <c r="I71" s="68">
        <v>0</v>
      </c>
      <c r="J71" s="68">
        <v>1</v>
      </c>
      <c r="K71" s="68">
        <v>2</v>
      </c>
      <c r="L71" s="68">
        <v>0</v>
      </c>
      <c r="M71" s="68">
        <v>0</v>
      </c>
      <c r="N71" s="68">
        <v>2</v>
      </c>
      <c r="O71" s="68">
        <v>0</v>
      </c>
      <c r="P71" s="68">
        <v>0</v>
      </c>
      <c r="Q71" s="68">
        <v>0</v>
      </c>
      <c r="R71" s="68">
        <v>0</v>
      </c>
      <c r="S71" s="68">
        <v>0</v>
      </c>
      <c r="T71" s="68">
        <v>0</v>
      </c>
      <c r="U71" s="68">
        <v>0</v>
      </c>
      <c r="V71" s="68">
        <v>0</v>
      </c>
      <c r="W71" s="68">
        <v>11</v>
      </c>
      <c r="X71" s="68">
        <v>0</v>
      </c>
      <c r="Y71" s="68">
        <v>0</v>
      </c>
      <c r="Z71" s="68">
        <v>11</v>
      </c>
      <c r="AA71" s="68">
        <v>31</v>
      </c>
      <c r="AB71" s="68">
        <v>1</v>
      </c>
      <c r="AC71" s="68">
        <v>0</v>
      </c>
      <c r="AD71" s="68">
        <v>30</v>
      </c>
      <c r="AE71" s="68">
        <v>17</v>
      </c>
      <c r="AF71" s="68">
        <v>1</v>
      </c>
      <c r="AG71" s="68">
        <v>0</v>
      </c>
      <c r="AH71" s="68">
        <v>16</v>
      </c>
      <c r="AI71" s="68">
        <v>9</v>
      </c>
      <c r="AJ71" s="68">
        <v>0</v>
      </c>
      <c r="AK71" s="68">
        <v>0</v>
      </c>
      <c r="AL71" s="68">
        <v>9</v>
      </c>
      <c r="AM71" s="68">
        <v>0</v>
      </c>
      <c r="AN71" s="68">
        <v>0</v>
      </c>
      <c r="AO71" s="68">
        <v>0</v>
      </c>
      <c r="AP71" s="68">
        <v>0</v>
      </c>
      <c r="AQ71" s="68">
        <v>0</v>
      </c>
      <c r="AR71" s="68">
        <v>0</v>
      </c>
      <c r="AS71" s="68">
        <v>0</v>
      </c>
      <c r="AT71" s="68">
        <v>0</v>
      </c>
      <c r="AU71" s="68">
        <v>5</v>
      </c>
      <c r="AV71" s="68">
        <v>0</v>
      </c>
      <c r="AW71" s="68">
        <v>0</v>
      </c>
      <c r="AX71" s="68">
        <v>5</v>
      </c>
    </row>
    <row r="72" spans="1:50" ht="15.75" customHeight="1">
      <c r="A72" s="346"/>
      <c r="B72" s="65" t="s">
        <v>225</v>
      </c>
      <c r="C72" s="68">
        <v>51</v>
      </c>
      <c r="D72" s="68">
        <v>2</v>
      </c>
      <c r="E72" s="68">
        <v>0</v>
      </c>
      <c r="F72" s="68">
        <v>49</v>
      </c>
      <c r="G72" s="68">
        <v>19</v>
      </c>
      <c r="H72" s="68">
        <v>0</v>
      </c>
      <c r="I72" s="68">
        <v>0</v>
      </c>
      <c r="J72" s="68">
        <v>19</v>
      </c>
      <c r="K72" s="68">
        <v>7</v>
      </c>
      <c r="L72" s="68">
        <v>0</v>
      </c>
      <c r="M72" s="68">
        <v>0</v>
      </c>
      <c r="N72" s="68">
        <v>7</v>
      </c>
      <c r="O72" s="68">
        <v>1</v>
      </c>
      <c r="P72" s="68">
        <v>1</v>
      </c>
      <c r="Q72" s="68">
        <v>0</v>
      </c>
      <c r="R72" s="68">
        <v>0</v>
      </c>
      <c r="S72" s="68">
        <v>0</v>
      </c>
      <c r="T72" s="68">
        <v>0</v>
      </c>
      <c r="U72" s="68">
        <v>0</v>
      </c>
      <c r="V72" s="68">
        <v>0</v>
      </c>
      <c r="W72" s="68">
        <v>24</v>
      </c>
      <c r="X72" s="68">
        <v>1</v>
      </c>
      <c r="Y72" s="68">
        <v>0</v>
      </c>
      <c r="Z72" s="68">
        <v>23</v>
      </c>
      <c r="AA72" s="68">
        <v>62</v>
      </c>
      <c r="AB72" s="68">
        <v>2</v>
      </c>
      <c r="AC72" s="68">
        <v>0</v>
      </c>
      <c r="AD72" s="68">
        <v>60</v>
      </c>
      <c r="AE72" s="68">
        <v>31</v>
      </c>
      <c r="AF72" s="68">
        <v>1</v>
      </c>
      <c r="AG72" s="68">
        <v>0</v>
      </c>
      <c r="AH72" s="68">
        <v>30</v>
      </c>
      <c r="AI72" s="68">
        <v>10</v>
      </c>
      <c r="AJ72" s="68">
        <v>0</v>
      </c>
      <c r="AK72" s="68">
        <v>0</v>
      </c>
      <c r="AL72" s="68">
        <v>10</v>
      </c>
      <c r="AM72" s="68">
        <v>1</v>
      </c>
      <c r="AN72" s="68">
        <v>1</v>
      </c>
      <c r="AO72" s="68">
        <v>0</v>
      </c>
      <c r="AP72" s="68">
        <v>0</v>
      </c>
      <c r="AQ72" s="68">
        <v>0</v>
      </c>
      <c r="AR72" s="68">
        <v>0</v>
      </c>
      <c r="AS72" s="68">
        <v>0</v>
      </c>
      <c r="AT72" s="68">
        <v>0</v>
      </c>
      <c r="AU72" s="68">
        <v>20</v>
      </c>
      <c r="AV72" s="68">
        <v>0</v>
      </c>
      <c r="AW72" s="68">
        <v>0</v>
      </c>
      <c r="AX72" s="68">
        <v>20</v>
      </c>
    </row>
    <row r="73" spans="1:50" ht="15.75" customHeight="1">
      <c r="A73" s="63" t="s">
        <v>222</v>
      </c>
      <c r="B73" s="64" t="s">
        <v>223</v>
      </c>
      <c r="C73" s="67">
        <v>0</v>
      </c>
      <c r="D73" s="67">
        <v>0</v>
      </c>
      <c r="E73" s="67">
        <v>0</v>
      </c>
      <c r="F73" s="67">
        <v>0</v>
      </c>
      <c r="G73" s="67">
        <v>0</v>
      </c>
      <c r="H73" s="67">
        <v>0</v>
      </c>
      <c r="I73" s="67">
        <v>0</v>
      </c>
      <c r="J73" s="67">
        <v>0</v>
      </c>
      <c r="K73" s="67">
        <v>0</v>
      </c>
      <c r="L73" s="67">
        <v>0</v>
      </c>
      <c r="M73" s="67">
        <v>0</v>
      </c>
      <c r="N73" s="67">
        <v>0</v>
      </c>
      <c r="O73" s="67">
        <v>0</v>
      </c>
      <c r="P73" s="67">
        <v>0</v>
      </c>
      <c r="Q73" s="67">
        <v>0</v>
      </c>
      <c r="R73" s="67">
        <v>0</v>
      </c>
      <c r="S73" s="67">
        <v>0</v>
      </c>
      <c r="T73" s="67">
        <v>0</v>
      </c>
      <c r="U73" s="67">
        <v>0</v>
      </c>
      <c r="V73" s="67">
        <v>0</v>
      </c>
      <c r="W73" s="67">
        <v>0</v>
      </c>
      <c r="X73" s="67">
        <v>0</v>
      </c>
      <c r="Y73" s="67">
        <v>0</v>
      </c>
      <c r="Z73" s="67">
        <v>0</v>
      </c>
      <c r="AA73" s="67">
        <v>3</v>
      </c>
      <c r="AB73" s="67">
        <v>1</v>
      </c>
      <c r="AC73" s="67">
        <v>0</v>
      </c>
      <c r="AD73" s="67">
        <v>2</v>
      </c>
      <c r="AE73" s="67">
        <v>0</v>
      </c>
      <c r="AF73" s="67">
        <v>0</v>
      </c>
      <c r="AG73" s="67">
        <v>0</v>
      </c>
      <c r="AH73" s="67">
        <v>0</v>
      </c>
      <c r="AI73" s="67">
        <v>0</v>
      </c>
      <c r="AJ73" s="67">
        <v>0</v>
      </c>
      <c r="AK73" s="67">
        <v>0</v>
      </c>
      <c r="AL73" s="67">
        <v>0</v>
      </c>
      <c r="AM73" s="67">
        <v>2</v>
      </c>
      <c r="AN73" s="67">
        <v>1</v>
      </c>
      <c r="AO73" s="67">
        <v>0</v>
      </c>
      <c r="AP73" s="67">
        <v>1</v>
      </c>
      <c r="AQ73" s="67">
        <v>0</v>
      </c>
      <c r="AR73" s="67">
        <v>0</v>
      </c>
      <c r="AS73" s="67">
        <v>0</v>
      </c>
      <c r="AT73" s="67">
        <v>0</v>
      </c>
      <c r="AU73" s="67">
        <v>1</v>
      </c>
      <c r="AV73" s="67">
        <v>0</v>
      </c>
      <c r="AW73" s="67">
        <v>0</v>
      </c>
      <c r="AX73" s="67">
        <v>1</v>
      </c>
    </row>
    <row r="74" spans="1:50" ht="15.75" customHeight="1">
      <c r="A74" s="345" t="s">
        <v>23</v>
      </c>
      <c r="B74" s="65" t="s">
        <v>224</v>
      </c>
      <c r="C74" s="68">
        <v>0</v>
      </c>
      <c r="D74" s="68">
        <v>0</v>
      </c>
      <c r="E74" s="68">
        <v>0</v>
      </c>
      <c r="F74" s="68">
        <v>0</v>
      </c>
      <c r="G74" s="68">
        <v>0</v>
      </c>
      <c r="H74" s="68">
        <v>0</v>
      </c>
      <c r="I74" s="68">
        <v>0</v>
      </c>
      <c r="J74" s="68">
        <v>0</v>
      </c>
      <c r="K74" s="68">
        <v>0</v>
      </c>
      <c r="L74" s="68">
        <v>0</v>
      </c>
      <c r="M74" s="68">
        <v>0</v>
      </c>
      <c r="N74" s="68">
        <v>0</v>
      </c>
      <c r="O74" s="68">
        <v>0</v>
      </c>
      <c r="P74" s="68">
        <v>0</v>
      </c>
      <c r="Q74" s="68">
        <v>0</v>
      </c>
      <c r="R74" s="68">
        <v>0</v>
      </c>
      <c r="S74" s="68">
        <v>0</v>
      </c>
      <c r="T74" s="68">
        <v>0</v>
      </c>
      <c r="U74" s="68">
        <v>0</v>
      </c>
      <c r="V74" s="68">
        <v>0</v>
      </c>
      <c r="W74" s="68">
        <v>0</v>
      </c>
      <c r="X74" s="68">
        <v>0</v>
      </c>
      <c r="Y74" s="68">
        <v>0</v>
      </c>
      <c r="Z74" s="68">
        <v>0</v>
      </c>
      <c r="AA74" s="68">
        <v>0</v>
      </c>
      <c r="AB74" s="68">
        <v>0</v>
      </c>
      <c r="AC74" s="68">
        <v>0</v>
      </c>
      <c r="AD74" s="68">
        <v>0</v>
      </c>
      <c r="AE74" s="68">
        <v>0</v>
      </c>
      <c r="AF74" s="68">
        <v>0</v>
      </c>
      <c r="AG74" s="68">
        <v>0</v>
      </c>
      <c r="AH74" s="68">
        <v>0</v>
      </c>
      <c r="AI74" s="68">
        <v>0</v>
      </c>
      <c r="AJ74" s="68">
        <v>0</v>
      </c>
      <c r="AK74" s="68">
        <v>0</v>
      </c>
      <c r="AL74" s="68">
        <v>0</v>
      </c>
      <c r="AM74" s="68">
        <v>0</v>
      </c>
      <c r="AN74" s="68">
        <v>0</v>
      </c>
      <c r="AO74" s="68">
        <v>0</v>
      </c>
      <c r="AP74" s="68">
        <v>0</v>
      </c>
      <c r="AQ74" s="68">
        <v>0</v>
      </c>
      <c r="AR74" s="68">
        <v>0</v>
      </c>
      <c r="AS74" s="68">
        <v>0</v>
      </c>
      <c r="AT74" s="68">
        <v>0</v>
      </c>
      <c r="AU74" s="68">
        <v>0</v>
      </c>
      <c r="AV74" s="68">
        <v>0</v>
      </c>
      <c r="AW74" s="68">
        <v>0</v>
      </c>
      <c r="AX74" s="68">
        <v>0</v>
      </c>
    </row>
    <row r="75" spans="1:50" ht="15.75" customHeight="1">
      <c r="A75" s="346"/>
      <c r="B75" s="66" t="s">
        <v>225</v>
      </c>
      <c r="C75" s="69">
        <v>0</v>
      </c>
      <c r="D75" s="69">
        <v>0</v>
      </c>
      <c r="E75" s="69">
        <v>0</v>
      </c>
      <c r="F75" s="69">
        <v>0</v>
      </c>
      <c r="G75" s="69">
        <v>0</v>
      </c>
      <c r="H75" s="69">
        <v>0</v>
      </c>
      <c r="I75" s="69">
        <v>0</v>
      </c>
      <c r="J75" s="69">
        <v>0</v>
      </c>
      <c r="K75" s="69">
        <v>0</v>
      </c>
      <c r="L75" s="69">
        <v>0</v>
      </c>
      <c r="M75" s="69">
        <v>0</v>
      </c>
      <c r="N75" s="69">
        <v>0</v>
      </c>
      <c r="O75" s="69">
        <v>0</v>
      </c>
      <c r="P75" s="69">
        <v>0</v>
      </c>
      <c r="Q75" s="69">
        <v>0</v>
      </c>
      <c r="R75" s="69">
        <v>0</v>
      </c>
      <c r="S75" s="69">
        <v>0</v>
      </c>
      <c r="T75" s="69">
        <v>0</v>
      </c>
      <c r="U75" s="69">
        <v>0</v>
      </c>
      <c r="V75" s="69">
        <v>0</v>
      </c>
      <c r="W75" s="69">
        <v>0</v>
      </c>
      <c r="X75" s="69">
        <v>0</v>
      </c>
      <c r="Y75" s="69">
        <v>0</v>
      </c>
      <c r="Z75" s="69">
        <v>0</v>
      </c>
      <c r="AA75" s="69">
        <v>3</v>
      </c>
      <c r="AB75" s="69">
        <v>1</v>
      </c>
      <c r="AC75" s="69">
        <v>0</v>
      </c>
      <c r="AD75" s="69">
        <v>2</v>
      </c>
      <c r="AE75" s="69">
        <v>0</v>
      </c>
      <c r="AF75" s="69">
        <v>0</v>
      </c>
      <c r="AG75" s="69">
        <v>0</v>
      </c>
      <c r="AH75" s="69">
        <v>0</v>
      </c>
      <c r="AI75" s="69">
        <v>0</v>
      </c>
      <c r="AJ75" s="69">
        <v>0</v>
      </c>
      <c r="AK75" s="69">
        <v>0</v>
      </c>
      <c r="AL75" s="69">
        <v>0</v>
      </c>
      <c r="AM75" s="69">
        <v>2</v>
      </c>
      <c r="AN75" s="69">
        <v>1</v>
      </c>
      <c r="AO75" s="69">
        <v>0</v>
      </c>
      <c r="AP75" s="69">
        <v>1</v>
      </c>
      <c r="AQ75" s="69">
        <v>0</v>
      </c>
      <c r="AR75" s="69">
        <v>0</v>
      </c>
      <c r="AS75" s="69">
        <v>0</v>
      </c>
      <c r="AT75" s="69">
        <v>0</v>
      </c>
      <c r="AU75" s="69">
        <v>1</v>
      </c>
      <c r="AV75" s="69">
        <v>0</v>
      </c>
      <c r="AW75" s="69">
        <v>0</v>
      </c>
      <c r="AX75" s="69">
        <v>1</v>
      </c>
    </row>
    <row r="76" spans="1:50" ht="15" customHeight="1">
      <c r="A76" s="85" t="s">
        <v>77</v>
      </c>
      <c r="B76" s="86"/>
    </row>
    <row r="77" spans="1:50" ht="15" customHeight="1">
      <c r="A77" s="61" t="s">
        <v>192</v>
      </c>
      <c r="B77" s="86"/>
    </row>
    <row r="78" spans="1:50" ht="15" customHeight="1">
      <c r="A78" s="15" t="s">
        <v>2</v>
      </c>
      <c r="B78" s="15"/>
    </row>
    <row r="80" spans="1:50">
      <c r="A80" s="31" t="s">
        <v>243</v>
      </c>
    </row>
  </sheetData>
  <mergeCells count="86">
    <mergeCell ref="A74:A75"/>
    <mergeCell ref="A41:A42"/>
    <mergeCell ref="A44:A45"/>
    <mergeCell ref="A47:A48"/>
    <mergeCell ref="A50:A51"/>
    <mergeCell ref="A53:A54"/>
    <mergeCell ref="A56:A57"/>
    <mergeCell ref="A59:A60"/>
    <mergeCell ref="A62:A63"/>
    <mergeCell ref="A65:A66"/>
    <mergeCell ref="A68:A69"/>
    <mergeCell ref="A71:A72"/>
    <mergeCell ref="A23:A24"/>
    <mergeCell ref="A26:A27"/>
    <mergeCell ref="A29:A30"/>
    <mergeCell ref="A32:A33"/>
    <mergeCell ref="A35:A36"/>
    <mergeCell ref="A38:A39"/>
    <mergeCell ref="AX5:AX6"/>
    <mergeCell ref="A8:A9"/>
    <mergeCell ref="A11:A12"/>
    <mergeCell ref="A14:A15"/>
    <mergeCell ref="A17:A18"/>
    <mergeCell ref="A20:A21"/>
    <mergeCell ref="AR5:AR6"/>
    <mergeCell ref="AS5:AS6"/>
    <mergeCell ref="AT5:AT6"/>
    <mergeCell ref="AU5:AU6"/>
    <mergeCell ref="AV5:AV6"/>
    <mergeCell ref="AW5:AW6"/>
    <mergeCell ref="AL5:AL6"/>
    <mergeCell ref="AM5:AM6"/>
    <mergeCell ref="AN5:AN6"/>
    <mergeCell ref="R5:R6"/>
    <mergeCell ref="AE5:AE6"/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M5:M6"/>
    <mergeCell ref="N5:N6"/>
    <mergeCell ref="O5:O6"/>
    <mergeCell ref="P5:P6"/>
    <mergeCell ref="Q5:Q6"/>
    <mergeCell ref="H5:H6"/>
    <mergeCell ref="I5:I6"/>
    <mergeCell ref="J5:J6"/>
    <mergeCell ref="K5:K6"/>
    <mergeCell ref="L5:L6"/>
    <mergeCell ref="AI4:AL4"/>
    <mergeCell ref="AM4:AP4"/>
    <mergeCell ref="AQ4:AT4"/>
    <mergeCell ref="AU4:AX4"/>
    <mergeCell ref="S5:S6"/>
    <mergeCell ref="AO5:AO6"/>
    <mergeCell ref="AP5:AP6"/>
    <mergeCell ref="AQ5:AQ6"/>
    <mergeCell ref="AF5:AF6"/>
    <mergeCell ref="AG5:AG6"/>
    <mergeCell ref="AH5:AH6"/>
    <mergeCell ref="AI5:AI6"/>
    <mergeCell ref="AJ5:AJ6"/>
    <mergeCell ref="AK5:AK6"/>
    <mergeCell ref="A3:B6"/>
    <mergeCell ref="C3:Z3"/>
    <mergeCell ref="AA3:AX3"/>
    <mergeCell ref="C4:F4"/>
    <mergeCell ref="G4:J4"/>
    <mergeCell ref="K4:N4"/>
    <mergeCell ref="O4:R4"/>
    <mergeCell ref="S4:V4"/>
    <mergeCell ref="W4:Z4"/>
    <mergeCell ref="AA4:AD4"/>
    <mergeCell ref="C5:C6"/>
    <mergeCell ref="D5:D6"/>
    <mergeCell ref="E5:E6"/>
    <mergeCell ref="F5:F6"/>
    <mergeCell ref="G5:G6"/>
    <mergeCell ref="AE4:AH4"/>
  </mergeCells>
  <phoneticPr fontId="6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86" fitToWidth="10" orientation="landscape" useFirstPageNumber="1" horizontalDpi="4294967292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AX80"/>
  <sheetViews>
    <sheetView zoomScaleNormal="100" zoomScaleSheetLayoutView="75" workbookViewId="0">
      <pane xSplit="2" ySplit="6" topLeftCell="C7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9.33203125" style="3" customWidth="1"/>
    <col min="2" max="2" width="20" style="3" customWidth="1"/>
    <col min="3" max="26" width="10.6640625" style="3" customWidth="1"/>
    <col min="27" max="50" width="10" style="3" customWidth="1"/>
    <col min="51" max="16384" width="12" style="3"/>
  </cols>
  <sheetData>
    <row r="1" spans="1:50" ht="21">
      <c r="A1" s="115" t="s">
        <v>293</v>
      </c>
      <c r="B1" s="25"/>
    </row>
    <row r="2" spans="1:50" ht="25.5" customHeight="1">
      <c r="A2" s="26" t="s">
        <v>313</v>
      </c>
      <c r="B2" s="27"/>
      <c r="C2" s="60" t="str">
        <f>IF(C7=SUM(C10,C13,C16,C19,C22,C25,C28,C31,C34,C37,C40,C43,C46,C49,C52,C55,C58,C61,C64,C67,C70,C73),"","*")</f>
        <v/>
      </c>
      <c r="D2" s="60" t="str">
        <f t="shared" ref="D2:AX2" si="0">IF(D7=SUM(D10,D13,D16,D19,D22,D25,D28,D31,D34,D37,D40,D43,D46,D49,D52,D55,D58,D61,D64,D67,D70,D73),"","*")</f>
        <v/>
      </c>
      <c r="E2" s="60" t="str">
        <f t="shared" si="0"/>
        <v/>
      </c>
      <c r="F2" s="60" t="str">
        <f t="shared" si="0"/>
        <v/>
      </c>
      <c r="G2" s="60" t="str">
        <f t="shared" si="0"/>
        <v/>
      </c>
      <c r="H2" s="60" t="str">
        <f t="shared" si="0"/>
        <v/>
      </c>
      <c r="I2" s="60" t="str">
        <f t="shared" si="0"/>
        <v/>
      </c>
      <c r="J2" s="60" t="str">
        <f t="shared" si="0"/>
        <v/>
      </c>
      <c r="K2" s="60" t="str">
        <f t="shared" si="0"/>
        <v/>
      </c>
      <c r="L2" s="60" t="str">
        <f t="shared" si="0"/>
        <v/>
      </c>
      <c r="M2" s="60" t="str">
        <f t="shared" si="0"/>
        <v/>
      </c>
      <c r="N2" s="60" t="str">
        <f t="shared" si="0"/>
        <v/>
      </c>
      <c r="O2" s="60" t="str">
        <f t="shared" si="0"/>
        <v/>
      </c>
      <c r="P2" s="60" t="str">
        <f t="shared" si="0"/>
        <v/>
      </c>
      <c r="Q2" s="60" t="str">
        <f t="shared" si="0"/>
        <v/>
      </c>
      <c r="R2" s="60" t="str">
        <f t="shared" si="0"/>
        <v/>
      </c>
      <c r="S2" s="60" t="str">
        <f t="shared" si="0"/>
        <v/>
      </c>
      <c r="T2" s="60" t="str">
        <f t="shared" si="0"/>
        <v/>
      </c>
      <c r="U2" s="60" t="str">
        <f t="shared" si="0"/>
        <v/>
      </c>
      <c r="V2" s="60" t="str">
        <f t="shared" si="0"/>
        <v/>
      </c>
      <c r="W2" s="60" t="str">
        <f t="shared" si="0"/>
        <v/>
      </c>
      <c r="X2" s="60" t="str">
        <f t="shared" si="0"/>
        <v/>
      </c>
      <c r="Y2" s="60" t="str">
        <f t="shared" si="0"/>
        <v/>
      </c>
      <c r="Z2" s="60" t="str">
        <f t="shared" si="0"/>
        <v/>
      </c>
      <c r="AA2" s="60" t="str">
        <f t="shared" si="0"/>
        <v/>
      </c>
      <c r="AB2" s="60" t="str">
        <f t="shared" si="0"/>
        <v/>
      </c>
      <c r="AC2" s="60" t="str">
        <f t="shared" si="0"/>
        <v/>
      </c>
      <c r="AD2" s="60" t="str">
        <f t="shared" si="0"/>
        <v/>
      </c>
      <c r="AE2" s="60" t="str">
        <f t="shared" si="0"/>
        <v/>
      </c>
      <c r="AF2" s="60" t="str">
        <f t="shared" si="0"/>
        <v/>
      </c>
      <c r="AG2" s="60" t="str">
        <f t="shared" si="0"/>
        <v/>
      </c>
      <c r="AH2" s="60" t="str">
        <f t="shared" si="0"/>
        <v/>
      </c>
      <c r="AI2" s="60" t="str">
        <f t="shared" si="0"/>
        <v/>
      </c>
      <c r="AJ2" s="60" t="str">
        <f t="shared" si="0"/>
        <v/>
      </c>
      <c r="AK2" s="60" t="str">
        <f t="shared" si="0"/>
        <v/>
      </c>
      <c r="AL2" s="60" t="str">
        <f t="shared" si="0"/>
        <v/>
      </c>
      <c r="AM2" s="60" t="str">
        <f t="shared" si="0"/>
        <v/>
      </c>
      <c r="AN2" s="60" t="str">
        <f t="shared" si="0"/>
        <v/>
      </c>
      <c r="AO2" s="60" t="str">
        <f t="shared" si="0"/>
        <v/>
      </c>
      <c r="AP2" s="60" t="str">
        <f t="shared" si="0"/>
        <v/>
      </c>
      <c r="AQ2" s="60" t="str">
        <f t="shared" si="0"/>
        <v/>
      </c>
      <c r="AR2" s="60" t="str">
        <f t="shared" si="0"/>
        <v/>
      </c>
      <c r="AS2" s="60" t="str">
        <f t="shared" si="0"/>
        <v/>
      </c>
      <c r="AT2" s="60" t="str">
        <f t="shared" si="0"/>
        <v/>
      </c>
      <c r="AU2" s="60" t="str">
        <f t="shared" si="0"/>
        <v/>
      </c>
      <c r="AV2" s="60" t="str">
        <f t="shared" si="0"/>
        <v/>
      </c>
      <c r="AW2" s="60" t="str">
        <f t="shared" si="0"/>
        <v/>
      </c>
      <c r="AX2" s="60" t="str">
        <f t="shared" si="0"/>
        <v/>
      </c>
    </row>
    <row r="3" spans="1:50" ht="20.25" customHeight="1">
      <c r="A3" s="329" t="s">
        <v>78</v>
      </c>
      <c r="B3" s="301"/>
      <c r="C3" s="304" t="s">
        <v>56</v>
      </c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  <c r="X3" s="304"/>
      <c r="Y3" s="304"/>
      <c r="Z3" s="305"/>
      <c r="AA3" s="304" t="s">
        <v>196</v>
      </c>
      <c r="AB3" s="304"/>
      <c r="AC3" s="304"/>
      <c r="AD3" s="304"/>
      <c r="AE3" s="304"/>
      <c r="AF3" s="304"/>
      <c r="AG3" s="304"/>
      <c r="AH3" s="304"/>
      <c r="AI3" s="304"/>
      <c r="AJ3" s="304"/>
      <c r="AK3" s="304"/>
      <c r="AL3" s="304"/>
      <c r="AM3" s="304"/>
      <c r="AN3" s="304"/>
      <c r="AO3" s="304"/>
      <c r="AP3" s="304"/>
      <c r="AQ3" s="304"/>
      <c r="AR3" s="304"/>
      <c r="AS3" s="304"/>
      <c r="AT3" s="304"/>
      <c r="AU3" s="304"/>
      <c r="AV3" s="304"/>
      <c r="AW3" s="304"/>
      <c r="AX3" s="304"/>
    </row>
    <row r="4" spans="1:50" ht="33.75" customHeight="1">
      <c r="A4" s="364"/>
      <c r="B4" s="302"/>
      <c r="C4" s="306" t="s">
        <v>226</v>
      </c>
      <c r="D4" s="306"/>
      <c r="E4" s="306"/>
      <c r="F4" s="307"/>
      <c r="G4" s="296" t="s">
        <v>227</v>
      </c>
      <c r="H4" s="297"/>
      <c r="I4" s="297"/>
      <c r="J4" s="298"/>
      <c r="K4" s="296" t="s">
        <v>232</v>
      </c>
      <c r="L4" s="297"/>
      <c r="M4" s="297"/>
      <c r="N4" s="298"/>
      <c r="O4" s="296" t="s">
        <v>233</v>
      </c>
      <c r="P4" s="297"/>
      <c r="Q4" s="297"/>
      <c r="R4" s="298"/>
      <c r="S4" s="296" t="s">
        <v>228</v>
      </c>
      <c r="T4" s="297"/>
      <c r="U4" s="297"/>
      <c r="V4" s="298"/>
      <c r="W4" s="296" t="s">
        <v>229</v>
      </c>
      <c r="X4" s="297"/>
      <c r="Y4" s="297"/>
      <c r="Z4" s="308"/>
      <c r="AA4" s="306" t="s">
        <v>226</v>
      </c>
      <c r="AB4" s="306"/>
      <c r="AC4" s="306"/>
      <c r="AD4" s="307"/>
      <c r="AE4" s="296" t="s">
        <v>227</v>
      </c>
      <c r="AF4" s="297"/>
      <c r="AG4" s="297"/>
      <c r="AH4" s="298"/>
      <c r="AI4" s="296" t="s">
        <v>232</v>
      </c>
      <c r="AJ4" s="297"/>
      <c r="AK4" s="297"/>
      <c r="AL4" s="298"/>
      <c r="AM4" s="296" t="s">
        <v>233</v>
      </c>
      <c r="AN4" s="297"/>
      <c r="AO4" s="297"/>
      <c r="AP4" s="298"/>
      <c r="AQ4" s="296" t="s">
        <v>228</v>
      </c>
      <c r="AR4" s="297"/>
      <c r="AS4" s="297"/>
      <c r="AT4" s="298"/>
      <c r="AU4" s="296" t="s">
        <v>229</v>
      </c>
      <c r="AV4" s="297"/>
      <c r="AW4" s="297"/>
      <c r="AX4" s="297"/>
    </row>
    <row r="5" spans="1:50" s="9" customFormat="1" ht="19.5" customHeight="1">
      <c r="A5" s="364"/>
      <c r="B5" s="302"/>
      <c r="C5" s="289" t="s">
        <v>189</v>
      </c>
      <c r="D5" s="291" t="s">
        <v>178</v>
      </c>
      <c r="E5" s="291" t="s">
        <v>231</v>
      </c>
      <c r="F5" s="291" t="s">
        <v>180</v>
      </c>
      <c r="G5" s="289" t="s">
        <v>189</v>
      </c>
      <c r="H5" s="291" t="s">
        <v>178</v>
      </c>
      <c r="I5" s="291" t="s">
        <v>231</v>
      </c>
      <c r="J5" s="287" t="s">
        <v>180</v>
      </c>
      <c r="K5" s="289" t="s">
        <v>189</v>
      </c>
      <c r="L5" s="291" t="s">
        <v>178</v>
      </c>
      <c r="M5" s="291" t="s">
        <v>231</v>
      </c>
      <c r="N5" s="287" t="s">
        <v>180</v>
      </c>
      <c r="O5" s="289" t="s">
        <v>189</v>
      </c>
      <c r="P5" s="291" t="s">
        <v>178</v>
      </c>
      <c r="Q5" s="291" t="s">
        <v>231</v>
      </c>
      <c r="R5" s="287" t="s">
        <v>180</v>
      </c>
      <c r="S5" s="289" t="s">
        <v>189</v>
      </c>
      <c r="T5" s="291" t="s">
        <v>178</v>
      </c>
      <c r="U5" s="291" t="s">
        <v>231</v>
      </c>
      <c r="V5" s="287" t="s">
        <v>180</v>
      </c>
      <c r="W5" s="289" t="s">
        <v>189</v>
      </c>
      <c r="X5" s="291" t="s">
        <v>178</v>
      </c>
      <c r="Y5" s="291" t="s">
        <v>231</v>
      </c>
      <c r="Z5" s="299" t="s">
        <v>180</v>
      </c>
      <c r="AA5" s="289" t="s">
        <v>189</v>
      </c>
      <c r="AB5" s="291" t="s">
        <v>178</v>
      </c>
      <c r="AC5" s="291" t="s">
        <v>231</v>
      </c>
      <c r="AD5" s="291" t="s">
        <v>180</v>
      </c>
      <c r="AE5" s="289" t="s">
        <v>189</v>
      </c>
      <c r="AF5" s="291" t="s">
        <v>178</v>
      </c>
      <c r="AG5" s="291" t="s">
        <v>231</v>
      </c>
      <c r="AH5" s="287" t="s">
        <v>180</v>
      </c>
      <c r="AI5" s="289" t="s">
        <v>189</v>
      </c>
      <c r="AJ5" s="291" t="s">
        <v>178</v>
      </c>
      <c r="AK5" s="291" t="s">
        <v>231</v>
      </c>
      <c r="AL5" s="287" t="s">
        <v>180</v>
      </c>
      <c r="AM5" s="289" t="s">
        <v>189</v>
      </c>
      <c r="AN5" s="291" t="s">
        <v>178</v>
      </c>
      <c r="AO5" s="291" t="s">
        <v>231</v>
      </c>
      <c r="AP5" s="287" t="s">
        <v>180</v>
      </c>
      <c r="AQ5" s="289" t="s">
        <v>189</v>
      </c>
      <c r="AR5" s="291" t="s">
        <v>178</v>
      </c>
      <c r="AS5" s="291" t="s">
        <v>231</v>
      </c>
      <c r="AT5" s="287" t="s">
        <v>180</v>
      </c>
      <c r="AU5" s="289" t="s">
        <v>189</v>
      </c>
      <c r="AV5" s="291" t="s">
        <v>178</v>
      </c>
      <c r="AW5" s="291" t="s">
        <v>231</v>
      </c>
      <c r="AX5" s="293" t="s">
        <v>180</v>
      </c>
    </row>
    <row r="6" spans="1:50" ht="19.5" customHeight="1">
      <c r="A6" s="331"/>
      <c r="B6" s="303"/>
      <c r="C6" s="290"/>
      <c r="D6" s="292"/>
      <c r="E6" s="292"/>
      <c r="F6" s="292"/>
      <c r="G6" s="290"/>
      <c r="H6" s="292"/>
      <c r="I6" s="292"/>
      <c r="J6" s="288"/>
      <c r="K6" s="290"/>
      <c r="L6" s="292"/>
      <c r="M6" s="292"/>
      <c r="N6" s="288"/>
      <c r="O6" s="290"/>
      <c r="P6" s="292"/>
      <c r="Q6" s="292"/>
      <c r="R6" s="288"/>
      <c r="S6" s="290"/>
      <c r="T6" s="292"/>
      <c r="U6" s="292"/>
      <c r="V6" s="288"/>
      <c r="W6" s="290"/>
      <c r="X6" s="292"/>
      <c r="Y6" s="292"/>
      <c r="Z6" s="300"/>
      <c r="AA6" s="290"/>
      <c r="AB6" s="292"/>
      <c r="AC6" s="292"/>
      <c r="AD6" s="292"/>
      <c r="AE6" s="290"/>
      <c r="AF6" s="292"/>
      <c r="AG6" s="292"/>
      <c r="AH6" s="288"/>
      <c r="AI6" s="290"/>
      <c r="AJ6" s="292"/>
      <c r="AK6" s="292"/>
      <c r="AL6" s="288"/>
      <c r="AM6" s="290"/>
      <c r="AN6" s="292"/>
      <c r="AO6" s="292"/>
      <c r="AP6" s="288"/>
      <c r="AQ6" s="290"/>
      <c r="AR6" s="292"/>
      <c r="AS6" s="292"/>
      <c r="AT6" s="288"/>
      <c r="AU6" s="290"/>
      <c r="AV6" s="292"/>
      <c r="AW6" s="292"/>
      <c r="AX6" s="294"/>
    </row>
    <row r="7" spans="1:50" s="13" customFormat="1" ht="15.75" customHeight="1">
      <c r="A7" s="63" t="s">
        <v>200</v>
      </c>
      <c r="B7" s="64" t="s">
        <v>223</v>
      </c>
      <c r="C7" s="67">
        <v>10018</v>
      </c>
      <c r="D7" s="67">
        <v>890</v>
      </c>
      <c r="E7" s="67">
        <v>681</v>
      </c>
      <c r="F7" s="67">
        <v>8447</v>
      </c>
      <c r="G7" s="67">
        <v>3145</v>
      </c>
      <c r="H7" s="67">
        <v>213</v>
      </c>
      <c r="I7" s="67">
        <v>79</v>
      </c>
      <c r="J7" s="67">
        <v>2853</v>
      </c>
      <c r="K7" s="67">
        <v>1868</v>
      </c>
      <c r="L7" s="67">
        <v>174</v>
      </c>
      <c r="M7" s="67">
        <v>141</v>
      </c>
      <c r="N7" s="67">
        <v>1553</v>
      </c>
      <c r="O7" s="67">
        <v>571</v>
      </c>
      <c r="P7" s="67">
        <v>143</v>
      </c>
      <c r="Q7" s="67">
        <v>180</v>
      </c>
      <c r="R7" s="67">
        <v>248</v>
      </c>
      <c r="S7" s="67">
        <v>45</v>
      </c>
      <c r="T7" s="67">
        <v>18</v>
      </c>
      <c r="U7" s="67">
        <v>12</v>
      </c>
      <c r="V7" s="67">
        <v>15</v>
      </c>
      <c r="W7" s="67">
        <v>4389</v>
      </c>
      <c r="X7" s="67">
        <v>342</v>
      </c>
      <c r="Y7" s="67">
        <v>269</v>
      </c>
      <c r="Z7" s="67">
        <v>3778</v>
      </c>
      <c r="AA7" s="67">
        <v>19538</v>
      </c>
      <c r="AB7" s="67">
        <v>1896</v>
      </c>
      <c r="AC7" s="67">
        <v>1401</v>
      </c>
      <c r="AD7" s="67">
        <v>16241</v>
      </c>
      <c r="AE7" s="67">
        <v>5736</v>
      </c>
      <c r="AF7" s="67">
        <v>458</v>
      </c>
      <c r="AG7" s="67">
        <v>190</v>
      </c>
      <c r="AH7" s="67">
        <v>5088</v>
      </c>
      <c r="AI7" s="67">
        <v>4108</v>
      </c>
      <c r="AJ7" s="67">
        <v>424</v>
      </c>
      <c r="AK7" s="67">
        <v>295</v>
      </c>
      <c r="AL7" s="67">
        <v>3389</v>
      </c>
      <c r="AM7" s="67">
        <v>1302</v>
      </c>
      <c r="AN7" s="67">
        <v>297</v>
      </c>
      <c r="AO7" s="67">
        <v>430</v>
      </c>
      <c r="AP7" s="67">
        <v>575</v>
      </c>
      <c r="AQ7" s="67">
        <v>74</v>
      </c>
      <c r="AR7" s="67">
        <v>34</v>
      </c>
      <c r="AS7" s="67">
        <v>22</v>
      </c>
      <c r="AT7" s="67">
        <v>18</v>
      </c>
      <c r="AU7" s="67">
        <v>8318</v>
      </c>
      <c r="AV7" s="67">
        <v>683</v>
      </c>
      <c r="AW7" s="67">
        <v>464</v>
      </c>
      <c r="AX7" s="67">
        <v>7171</v>
      </c>
    </row>
    <row r="8" spans="1:50" s="13" customFormat="1" ht="15.75" customHeight="1">
      <c r="A8" s="347" t="s">
        <v>199</v>
      </c>
      <c r="B8" s="65" t="s">
        <v>224</v>
      </c>
      <c r="C8" s="68">
        <v>3563</v>
      </c>
      <c r="D8" s="68">
        <v>423</v>
      </c>
      <c r="E8" s="68">
        <v>298</v>
      </c>
      <c r="F8" s="68">
        <v>2842</v>
      </c>
      <c r="G8" s="68">
        <v>993</v>
      </c>
      <c r="H8" s="68">
        <v>76</v>
      </c>
      <c r="I8" s="68">
        <v>31</v>
      </c>
      <c r="J8" s="68">
        <v>886</v>
      </c>
      <c r="K8" s="68">
        <v>798</v>
      </c>
      <c r="L8" s="68">
        <v>98</v>
      </c>
      <c r="M8" s="68">
        <v>66</v>
      </c>
      <c r="N8" s="68">
        <v>634</v>
      </c>
      <c r="O8" s="68">
        <v>338</v>
      </c>
      <c r="P8" s="68">
        <v>95</v>
      </c>
      <c r="Q8" s="68">
        <v>93</v>
      </c>
      <c r="R8" s="68">
        <v>150</v>
      </c>
      <c r="S8" s="68">
        <v>26</v>
      </c>
      <c r="T8" s="68">
        <v>14</v>
      </c>
      <c r="U8" s="68">
        <v>4</v>
      </c>
      <c r="V8" s="68">
        <v>8</v>
      </c>
      <c r="W8" s="68">
        <v>1408</v>
      </c>
      <c r="X8" s="68">
        <v>140</v>
      </c>
      <c r="Y8" s="68">
        <v>104</v>
      </c>
      <c r="Z8" s="68">
        <v>1164</v>
      </c>
      <c r="AA8" s="68">
        <v>7252</v>
      </c>
      <c r="AB8" s="68">
        <v>884</v>
      </c>
      <c r="AC8" s="68">
        <v>631</v>
      </c>
      <c r="AD8" s="68">
        <v>5737</v>
      </c>
      <c r="AE8" s="68">
        <v>1920</v>
      </c>
      <c r="AF8" s="68">
        <v>171</v>
      </c>
      <c r="AG8" s="68">
        <v>78</v>
      </c>
      <c r="AH8" s="68">
        <v>1671</v>
      </c>
      <c r="AI8" s="68">
        <v>1745</v>
      </c>
      <c r="AJ8" s="68">
        <v>213</v>
      </c>
      <c r="AK8" s="68">
        <v>134</v>
      </c>
      <c r="AL8" s="68">
        <v>1398</v>
      </c>
      <c r="AM8" s="68">
        <v>749</v>
      </c>
      <c r="AN8" s="68">
        <v>195</v>
      </c>
      <c r="AO8" s="68">
        <v>219</v>
      </c>
      <c r="AP8" s="68">
        <v>335</v>
      </c>
      <c r="AQ8" s="68">
        <v>45</v>
      </c>
      <c r="AR8" s="68">
        <v>25</v>
      </c>
      <c r="AS8" s="68">
        <v>13</v>
      </c>
      <c r="AT8" s="68">
        <v>7</v>
      </c>
      <c r="AU8" s="68">
        <v>2793</v>
      </c>
      <c r="AV8" s="68">
        <v>280</v>
      </c>
      <c r="AW8" s="68">
        <v>187</v>
      </c>
      <c r="AX8" s="68">
        <v>2326</v>
      </c>
    </row>
    <row r="9" spans="1:50" s="13" customFormat="1" ht="15.75" customHeight="1">
      <c r="A9" s="348"/>
      <c r="B9" s="65" t="s">
        <v>225</v>
      </c>
      <c r="C9" s="68">
        <v>6455</v>
      </c>
      <c r="D9" s="68">
        <v>467</v>
      </c>
      <c r="E9" s="68">
        <v>383</v>
      </c>
      <c r="F9" s="68">
        <v>5605</v>
      </c>
      <c r="G9" s="68">
        <v>2152</v>
      </c>
      <c r="H9" s="68">
        <v>137</v>
      </c>
      <c r="I9" s="68">
        <v>48</v>
      </c>
      <c r="J9" s="68">
        <v>1967</v>
      </c>
      <c r="K9" s="68">
        <v>1070</v>
      </c>
      <c r="L9" s="68">
        <v>76</v>
      </c>
      <c r="M9" s="68">
        <v>75</v>
      </c>
      <c r="N9" s="68">
        <v>919</v>
      </c>
      <c r="O9" s="68">
        <v>233</v>
      </c>
      <c r="P9" s="68">
        <v>48</v>
      </c>
      <c r="Q9" s="68">
        <v>87</v>
      </c>
      <c r="R9" s="68">
        <v>98</v>
      </c>
      <c r="S9" s="68">
        <v>19</v>
      </c>
      <c r="T9" s="68">
        <v>4</v>
      </c>
      <c r="U9" s="68">
        <v>8</v>
      </c>
      <c r="V9" s="68">
        <v>7</v>
      </c>
      <c r="W9" s="68">
        <v>2981</v>
      </c>
      <c r="X9" s="68">
        <v>202</v>
      </c>
      <c r="Y9" s="68">
        <v>165</v>
      </c>
      <c r="Z9" s="68">
        <v>2614</v>
      </c>
      <c r="AA9" s="68">
        <v>12286</v>
      </c>
      <c r="AB9" s="68">
        <v>1012</v>
      </c>
      <c r="AC9" s="68">
        <v>770</v>
      </c>
      <c r="AD9" s="68">
        <v>10504</v>
      </c>
      <c r="AE9" s="68">
        <v>3816</v>
      </c>
      <c r="AF9" s="68">
        <v>287</v>
      </c>
      <c r="AG9" s="68">
        <v>112</v>
      </c>
      <c r="AH9" s="68">
        <v>3417</v>
      </c>
      <c r="AI9" s="68">
        <v>2363</v>
      </c>
      <c r="AJ9" s="68">
        <v>211</v>
      </c>
      <c r="AK9" s="68">
        <v>161</v>
      </c>
      <c r="AL9" s="68">
        <v>1991</v>
      </c>
      <c r="AM9" s="68">
        <v>553</v>
      </c>
      <c r="AN9" s="68">
        <v>102</v>
      </c>
      <c r="AO9" s="68">
        <v>211</v>
      </c>
      <c r="AP9" s="68">
        <v>240</v>
      </c>
      <c r="AQ9" s="68">
        <v>29</v>
      </c>
      <c r="AR9" s="68">
        <v>9</v>
      </c>
      <c r="AS9" s="68">
        <v>9</v>
      </c>
      <c r="AT9" s="68">
        <v>11</v>
      </c>
      <c r="AU9" s="68">
        <v>5525</v>
      </c>
      <c r="AV9" s="68">
        <v>403</v>
      </c>
      <c r="AW9" s="68">
        <v>277</v>
      </c>
      <c r="AX9" s="68">
        <v>4845</v>
      </c>
    </row>
    <row r="10" spans="1:50" s="18" customFormat="1" ht="15.75" customHeight="1">
      <c r="A10" s="63" t="s">
        <v>201</v>
      </c>
      <c r="B10" s="64" t="s">
        <v>223</v>
      </c>
      <c r="C10" s="67">
        <v>1081</v>
      </c>
      <c r="D10" s="67">
        <v>51</v>
      </c>
      <c r="E10" s="67">
        <v>56</v>
      </c>
      <c r="F10" s="67">
        <v>974</v>
      </c>
      <c r="G10" s="67">
        <v>274</v>
      </c>
      <c r="H10" s="67">
        <v>7</v>
      </c>
      <c r="I10" s="67">
        <v>1</v>
      </c>
      <c r="J10" s="67">
        <v>266</v>
      </c>
      <c r="K10" s="67">
        <v>208</v>
      </c>
      <c r="L10" s="67">
        <v>11</v>
      </c>
      <c r="M10" s="67">
        <v>11</v>
      </c>
      <c r="N10" s="67">
        <v>186</v>
      </c>
      <c r="O10" s="67">
        <v>55</v>
      </c>
      <c r="P10" s="67">
        <v>5</v>
      </c>
      <c r="Q10" s="67">
        <v>23</v>
      </c>
      <c r="R10" s="67">
        <v>27</v>
      </c>
      <c r="S10" s="67">
        <v>0</v>
      </c>
      <c r="T10" s="67">
        <v>0</v>
      </c>
      <c r="U10" s="67">
        <v>0</v>
      </c>
      <c r="V10" s="67">
        <v>0</v>
      </c>
      <c r="W10" s="67">
        <v>544</v>
      </c>
      <c r="X10" s="67">
        <v>28</v>
      </c>
      <c r="Y10" s="67">
        <v>21</v>
      </c>
      <c r="Z10" s="67">
        <v>495</v>
      </c>
      <c r="AA10" s="67">
        <v>1979</v>
      </c>
      <c r="AB10" s="67">
        <v>96</v>
      </c>
      <c r="AC10" s="67">
        <v>91</v>
      </c>
      <c r="AD10" s="67">
        <v>1792</v>
      </c>
      <c r="AE10" s="67">
        <v>617</v>
      </c>
      <c r="AF10" s="67">
        <v>26</v>
      </c>
      <c r="AG10" s="67">
        <v>16</v>
      </c>
      <c r="AH10" s="67">
        <v>575</v>
      </c>
      <c r="AI10" s="67">
        <v>253</v>
      </c>
      <c r="AJ10" s="67">
        <v>12</v>
      </c>
      <c r="AK10" s="67">
        <v>12</v>
      </c>
      <c r="AL10" s="67">
        <v>229</v>
      </c>
      <c r="AM10" s="67">
        <v>79</v>
      </c>
      <c r="AN10" s="67">
        <v>13</v>
      </c>
      <c r="AO10" s="67">
        <v>27</v>
      </c>
      <c r="AP10" s="67">
        <v>39</v>
      </c>
      <c r="AQ10" s="67">
        <v>0</v>
      </c>
      <c r="AR10" s="67">
        <v>0</v>
      </c>
      <c r="AS10" s="67">
        <v>0</v>
      </c>
      <c r="AT10" s="67">
        <v>0</v>
      </c>
      <c r="AU10" s="67">
        <v>1030</v>
      </c>
      <c r="AV10" s="67">
        <v>45</v>
      </c>
      <c r="AW10" s="67">
        <v>36</v>
      </c>
      <c r="AX10" s="67">
        <v>949</v>
      </c>
    </row>
    <row r="11" spans="1:50" s="18" customFormat="1" ht="15.75" customHeight="1">
      <c r="A11" s="345" t="s">
        <v>24</v>
      </c>
      <c r="B11" s="65" t="s">
        <v>224</v>
      </c>
      <c r="C11" s="68">
        <v>348</v>
      </c>
      <c r="D11" s="68">
        <v>13</v>
      </c>
      <c r="E11" s="68">
        <v>20</v>
      </c>
      <c r="F11" s="68">
        <v>315</v>
      </c>
      <c r="G11" s="68">
        <v>69</v>
      </c>
      <c r="H11" s="68">
        <v>0</v>
      </c>
      <c r="I11" s="68">
        <v>0</v>
      </c>
      <c r="J11" s="68">
        <v>69</v>
      </c>
      <c r="K11" s="68">
        <v>79</v>
      </c>
      <c r="L11" s="68">
        <v>4</v>
      </c>
      <c r="M11" s="68">
        <v>5</v>
      </c>
      <c r="N11" s="68">
        <v>70</v>
      </c>
      <c r="O11" s="68">
        <v>39</v>
      </c>
      <c r="P11" s="68">
        <v>4</v>
      </c>
      <c r="Q11" s="68">
        <v>12</v>
      </c>
      <c r="R11" s="68">
        <v>23</v>
      </c>
      <c r="S11" s="68">
        <v>0</v>
      </c>
      <c r="T11" s="68">
        <v>0</v>
      </c>
      <c r="U11" s="68">
        <v>0</v>
      </c>
      <c r="V11" s="68">
        <v>0</v>
      </c>
      <c r="W11" s="68">
        <v>161</v>
      </c>
      <c r="X11" s="68">
        <v>5</v>
      </c>
      <c r="Y11" s="68">
        <v>3</v>
      </c>
      <c r="Z11" s="68">
        <v>153</v>
      </c>
      <c r="AA11" s="68">
        <v>649</v>
      </c>
      <c r="AB11" s="68">
        <v>29</v>
      </c>
      <c r="AC11" s="68">
        <v>34</v>
      </c>
      <c r="AD11" s="68">
        <v>586</v>
      </c>
      <c r="AE11" s="68">
        <v>197</v>
      </c>
      <c r="AF11" s="68">
        <v>8</v>
      </c>
      <c r="AG11" s="68">
        <v>7</v>
      </c>
      <c r="AH11" s="68">
        <v>182</v>
      </c>
      <c r="AI11" s="68">
        <v>95</v>
      </c>
      <c r="AJ11" s="68">
        <v>5</v>
      </c>
      <c r="AK11" s="68">
        <v>5</v>
      </c>
      <c r="AL11" s="68">
        <v>85</v>
      </c>
      <c r="AM11" s="68">
        <v>48</v>
      </c>
      <c r="AN11" s="68">
        <v>8</v>
      </c>
      <c r="AO11" s="68">
        <v>12</v>
      </c>
      <c r="AP11" s="68">
        <v>28</v>
      </c>
      <c r="AQ11" s="68">
        <v>0</v>
      </c>
      <c r="AR11" s="68">
        <v>0</v>
      </c>
      <c r="AS11" s="68">
        <v>0</v>
      </c>
      <c r="AT11" s="68">
        <v>0</v>
      </c>
      <c r="AU11" s="68">
        <v>309</v>
      </c>
      <c r="AV11" s="68">
        <v>8</v>
      </c>
      <c r="AW11" s="68">
        <v>10</v>
      </c>
      <c r="AX11" s="68">
        <v>291</v>
      </c>
    </row>
    <row r="12" spans="1:50" s="18" customFormat="1" ht="15.75" customHeight="1">
      <c r="A12" s="346"/>
      <c r="B12" s="65" t="s">
        <v>225</v>
      </c>
      <c r="C12" s="68">
        <v>733</v>
      </c>
      <c r="D12" s="68">
        <v>38</v>
      </c>
      <c r="E12" s="68">
        <v>36</v>
      </c>
      <c r="F12" s="68">
        <v>659</v>
      </c>
      <c r="G12" s="68">
        <v>205</v>
      </c>
      <c r="H12" s="68">
        <v>7</v>
      </c>
      <c r="I12" s="68">
        <v>1</v>
      </c>
      <c r="J12" s="68">
        <v>197</v>
      </c>
      <c r="K12" s="68">
        <v>129</v>
      </c>
      <c r="L12" s="68">
        <v>7</v>
      </c>
      <c r="M12" s="68">
        <v>6</v>
      </c>
      <c r="N12" s="68">
        <v>116</v>
      </c>
      <c r="O12" s="68">
        <v>16</v>
      </c>
      <c r="P12" s="68">
        <v>1</v>
      </c>
      <c r="Q12" s="68">
        <v>11</v>
      </c>
      <c r="R12" s="68">
        <v>4</v>
      </c>
      <c r="S12" s="68">
        <v>0</v>
      </c>
      <c r="T12" s="68">
        <v>0</v>
      </c>
      <c r="U12" s="68">
        <v>0</v>
      </c>
      <c r="V12" s="68">
        <v>0</v>
      </c>
      <c r="W12" s="68">
        <v>383</v>
      </c>
      <c r="X12" s="68">
        <v>23</v>
      </c>
      <c r="Y12" s="68">
        <v>18</v>
      </c>
      <c r="Z12" s="68">
        <v>342</v>
      </c>
      <c r="AA12" s="68">
        <v>1330</v>
      </c>
      <c r="AB12" s="68">
        <v>67</v>
      </c>
      <c r="AC12" s="68">
        <v>57</v>
      </c>
      <c r="AD12" s="68">
        <v>1206</v>
      </c>
      <c r="AE12" s="68">
        <v>420</v>
      </c>
      <c r="AF12" s="68">
        <v>18</v>
      </c>
      <c r="AG12" s="68">
        <v>9</v>
      </c>
      <c r="AH12" s="68">
        <v>393</v>
      </c>
      <c r="AI12" s="68">
        <v>158</v>
      </c>
      <c r="AJ12" s="68">
        <v>7</v>
      </c>
      <c r="AK12" s="68">
        <v>7</v>
      </c>
      <c r="AL12" s="68">
        <v>144</v>
      </c>
      <c r="AM12" s="68">
        <v>31</v>
      </c>
      <c r="AN12" s="68">
        <v>5</v>
      </c>
      <c r="AO12" s="68">
        <v>15</v>
      </c>
      <c r="AP12" s="68">
        <v>11</v>
      </c>
      <c r="AQ12" s="68">
        <v>0</v>
      </c>
      <c r="AR12" s="68">
        <v>0</v>
      </c>
      <c r="AS12" s="68">
        <v>0</v>
      </c>
      <c r="AT12" s="68">
        <v>0</v>
      </c>
      <c r="AU12" s="68">
        <v>721</v>
      </c>
      <c r="AV12" s="68">
        <v>37</v>
      </c>
      <c r="AW12" s="68">
        <v>26</v>
      </c>
      <c r="AX12" s="68">
        <v>658</v>
      </c>
    </row>
    <row r="13" spans="1:50" s="18" customFormat="1" ht="15.75" customHeight="1">
      <c r="A13" s="63" t="s">
        <v>202</v>
      </c>
      <c r="B13" s="64" t="s">
        <v>223</v>
      </c>
      <c r="C13" s="67">
        <v>860</v>
      </c>
      <c r="D13" s="67">
        <v>42</v>
      </c>
      <c r="E13" s="67">
        <v>17</v>
      </c>
      <c r="F13" s="67">
        <v>801</v>
      </c>
      <c r="G13" s="67">
        <v>115</v>
      </c>
      <c r="H13" s="67">
        <v>4</v>
      </c>
      <c r="I13" s="67">
        <v>0</v>
      </c>
      <c r="J13" s="67">
        <v>111</v>
      </c>
      <c r="K13" s="67">
        <v>105</v>
      </c>
      <c r="L13" s="67">
        <v>4</v>
      </c>
      <c r="M13" s="67">
        <v>2</v>
      </c>
      <c r="N13" s="67">
        <v>99</v>
      </c>
      <c r="O13" s="67">
        <v>61</v>
      </c>
      <c r="P13" s="67">
        <v>12</v>
      </c>
      <c r="Q13" s="67">
        <v>3</v>
      </c>
      <c r="R13" s="67">
        <v>46</v>
      </c>
      <c r="S13" s="67">
        <v>0</v>
      </c>
      <c r="T13" s="67">
        <v>0</v>
      </c>
      <c r="U13" s="67">
        <v>0</v>
      </c>
      <c r="V13" s="67">
        <v>0</v>
      </c>
      <c r="W13" s="67">
        <v>579</v>
      </c>
      <c r="X13" s="67">
        <v>22</v>
      </c>
      <c r="Y13" s="67">
        <v>12</v>
      </c>
      <c r="Z13" s="67">
        <v>545</v>
      </c>
      <c r="AA13" s="67">
        <v>1905</v>
      </c>
      <c r="AB13" s="67">
        <v>86</v>
      </c>
      <c r="AC13" s="67">
        <v>35</v>
      </c>
      <c r="AD13" s="67">
        <v>1784</v>
      </c>
      <c r="AE13" s="67">
        <v>256</v>
      </c>
      <c r="AF13" s="67">
        <v>11</v>
      </c>
      <c r="AG13" s="67">
        <v>0</v>
      </c>
      <c r="AH13" s="67">
        <v>245</v>
      </c>
      <c r="AI13" s="67">
        <v>230</v>
      </c>
      <c r="AJ13" s="67">
        <v>8</v>
      </c>
      <c r="AK13" s="67">
        <v>5</v>
      </c>
      <c r="AL13" s="67">
        <v>217</v>
      </c>
      <c r="AM13" s="67">
        <v>123</v>
      </c>
      <c r="AN13" s="67">
        <v>23</v>
      </c>
      <c r="AO13" s="67">
        <v>7</v>
      </c>
      <c r="AP13" s="67">
        <v>93</v>
      </c>
      <c r="AQ13" s="67">
        <v>0</v>
      </c>
      <c r="AR13" s="67">
        <v>0</v>
      </c>
      <c r="AS13" s="67">
        <v>0</v>
      </c>
      <c r="AT13" s="67">
        <v>0</v>
      </c>
      <c r="AU13" s="67">
        <v>1296</v>
      </c>
      <c r="AV13" s="67">
        <v>44</v>
      </c>
      <c r="AW13" s="67">
        <v>23</v>
      </c>
      <c r="AX13" s="67">
        <v>1229</v>
      </c>
    </row>
    <row r="14" spans="1:50" s="18" customFormat="1" ht="15.75" customHeight="1">
      <c r="A14" s="345" t="s">
        <v>25</v>
      </c>
      <c r="B14" s="65" t="s">
        <v>224</v>
      </c>
      <c r="C14" s="68">
        <v>295</v>
      </c>
      <c r="D14" s="68">
        <v>21</v>
      </c>
      <c r="E14" s="68">
        <v>6</v>
      </c>
      <c r="F14" s="68">
        <v>268</v>
      </c>
      <c r="G14" s="68">
        <v>30</v>
      </c>
      <c r="H14" s="68">
        <v>2</v>
      </c>
      <c r="I14" s="68">
        <v>0</v>
      </c>
      <c r="J14" s="68">
        <v>28</v>
      </c>
      <c r="K14" s="68">
        <v>55</v>
      </c>
      <c r="L14" s="68">
        <v>4</v>
      </c>
      <c r="M14" s="68">
        <v>2</v>
      </c>
      <c r="N14" s="68">
        <v>49</v>
      </c>
      <c r="O14" s="68">
        <v>34</v>
      </c>
      <c r="P14" s="68">
        <v>7</v>
      </c>
      <c r="Q14" s="68">
        <v>0</v>
      </c>
      <c r="R14" s="68">
        <v>27</v>
      </c>
      <c r="S14" s="68">
        <v>0</v>
      </c>
      <c r="T14" s="68">
        <v>0</v>
      </c>
      <c r="U14" s="68">
        <v>0</v>
      </c>
      <c r="V14" s="68">
        <v>0</v>
      </c>
      <c r="W14" s="68">
        <v>176</v>
      </c>
      <c r="X14" s="68">
        <v>8</v>
      </c>
      <c r="Y14" s="68">
        <v>4</v>
      </c>
      <c r="Z14" s="68">
        <v>164</v>
      </c>
      <c r="AA14" s="68">
        <v>681</v>
      </c>
      <c r="AB14" s="68">
        <v>41</v>
      </c>
      <c r="AC14" s="68">
        <v>14</v>
      </c>
      <c r="AD14" s="68">
        <v>626</v>
      </c>
      <c r="AE14" s="68">
        <v>75</v>
      </c>
      <c r="AF14" s="68">
        <v>6</v>
      </c>
      <c r="AG14" s="68">
        <v>0</v>
      </c>
      <c r="AH14" s="68">
        <v>69</v>
      </c>
      <c r="AI14" s="68">
        <v>116</v>
      </c>
      <c r="AJ14" s="68">
        <v>7</v>
      </c>
      <c r="AK14" s="68">
        <v>5</v>
      </c>
      <c r="AL14" s="68">
        <v>104</v>
      </c>
      <c r="AM14" s="68">
        <v>71</v>
      </c>
      <c r="AN14" s="68">
        <v>13</v>
      </c>
      <c r="AO14" s="68">
        <v>2</v>
      </c>
      <c r="AP14" s="68">
        <v>56</v>
      </c>
      <c r="AQ14" s="68">
        <v>0</v>
      </c>
      <c r="AR14" s="68">
        <v>0</v>
      </c>
      <c r="AS14" s="68">
        <v>0</v>
      </c>
      <c r="AT14" s="68">
        <v>0</v>
      </c>
      <c r="AU14" s="68">
        <v>419</v>
      </c>
      <c r="AV14" s="68">
        <v>15</v>
      </c>
      <c r="AW14" s="68">
        <v>7</v>
      </c>
      <c r="AX14" s="68">
        <v>397</v>
      </c>
    </row>
    <row r="15" spans="1:50" s="18" customFormat="1" ht="15.75" customHeight="1">
      <c r="A15" s="346"/>
      <c r="B15" s="65" t="s">
        <v>225</v>
      </c>
      <c r="C15" s="68">
        <v>565</v>
      </c>
      <c r="D15" s="68">
        <v>21</v>
      </c>
      <c r="E15" s="68">
        <v>11</v>
      </c>
      <c r="F15" s="68">
        <v>533</v>
      </c>
      <c r="G15" s="68">
        <v>85</v>
      </c>
      <c r="H15" s="68">
        <v>2</v>
      </c>
      <c r="I15" s="68">
        <v>0</v>
      </c>
      <c r="J15" s="68">
        <v>83</v>
      </c>
      <c r="K15" s="68">
        <v>50</v>
      </c>
      <c r="L15" s="68">
        <v>0</v>
      </c>
      <c r="M15" s="68">
        <v>0</v>
      </c>
      <c r="N15" s="68">
        <v>50</v>
      </c>
      <c r="O15" s="68">
        <v>27</v>
      </c>
      <c r="P15" s="68">
        <v>5</v>
      </c>
      <c r="Q15" s="68">
        <v>3</v>
      </c>
      <c r="R15" s="68">
        <v>19</v>
      </c>
      <c r="S15" s="68">
        <v>0</v>
      </c>
      <c r="T15" s="68">
        <v>0</v>
      </c>
      <c r="U15" s="68">
        <v>0</v>
      </c>
      <c r="V15" s="68">
        <v>0</v>
      </c>
      <c r="W15" s="68">
        <v>403</v>
      </c>
      <c r="X15" s="68">
        <v>14</v>
      </c>
      <c r="Y15" s="68">
        <v>8</v>
      </c>
      <c r="Z15" s="68">
        <v>381</v>
      </c>
      <c r="AA15" s="68">
        <v>1224</v>
      </c>
      <c r="AB15" s="68">
        <v>45</v>
      </c>
      <c r="AC15" s="68">
        <v>21</v>
      </c>
      <c r="AD15" s="68">
        <v>1158</v>
      </c>
      <c r="AE15" s="68">
        <v>181</v>
      </c>
      <c r="AF15" s="68">
        <v>5</v>
      </c>
      <c r="AG15" s="68">
        <v>0</v>
      </c>
      <c r="AH15" s="68">
        <v>176</v>
      </c>
      <c r="AI15" s="68">
        <v>114</v>
      </c>
      <c r="AJ15" s="68">
        <v>1</v>
      </c>
      <c r="AK15" s="68">
        <v>0</v>
      </c>
      <c r="AL15" s="68">
        <v>113</v>
      </c>
      <c r="AM15" s="68">
        <v>52</v>
      </c>
      <c r="AN15" s="68">
        <v>10</v>
      </c>
      <c r="AO15" s="68">
        <v>5</v>
      </c>
      <c r="AP15" s="68">
        <v>37</v>
      </c>
      <c r="AQ15" s="68">
        <v>0</v>
      </c>
      <c r="AR15" s="68">
        <v>0</v>
      </c>
      <c r="AS15" s="68">
        <v>0</v>
      </c>
      <c r="AT15" s="68">
        <v>0</v>
      </c>
      <c r="AU15" s="68">
        <v>877</v>
      </c>
      <c r="AV15" s="68">
        <v>29</v>
      </c>
      <c r="AW15" s="68">
        <v>16</v>
      </c>
      <c r="AX15" s="68">
        <v>832</v>
      </c>
    </row>
    <row r="16" spans="1:50" s="18" customFormat="1" ht="15.75" customHeight="1">
      <c r="A16" s="63" t="s">
        <v>203</v>
      </c>
      <c r="B16" s="64" t="s">
        <v>223</v>
      </c>
      <c r="C16" s="67">
        <v>418</v>
      </c>
      <c r="D16" s="67">
        <v>23</v>
      </c>
      <c r="E16" s="67">
        <v>21</v>
      </c>
      <c r="F16" s="67">
        <v>374</v>
      </c>
      <c r="G16" s="67">
        <v>94</v>
      </c>
      <c r="H16" s="67">
        <v>4</v>
      </c>
      <c r="I16" s="67">
        <v>2</v>
      </c>
      <c r="J16" s="67">
        <v>88</v>
      </c>
      <c r="K16" s="67">
        <v>69</v>
      </c>
      <c r="L16" s="67">
        <v>5</v>
      </c>
      <c r="M16" s="67">
        <v>1</v>
      </c>
      <c r="N16" s="67">
        <v>63</v>
      </c>
      <c r="O16" s="67">
        <v>11</v>
      </c>
      <c r="P16" s="67">
        <v>3</v>
      </c>
      <c r="Q16" s="67">
        <v>3</v>
      </c>
      <c r="R16" s="67">
        <v>5</v>
      </c>
      <c r="S16" s="67">
        <v>0</v>
      </c>
      <c r="T16" s="67">
        <v>0</v>
      </c>
      <c r="U16" s="67">
        <v>0</v>
      </c>
      <c r="V16" s="67">
        <v>0</v>
      </c>
      <c r="W16" s="67">
        <v>244</v>
      </c>
      <c r="X16" s="67">
        <v>11</v>
      </c>
      <c r="Y16" s="67">
        <v>15</v>
      </c>
      <c r="Z16" s="67">
        <v>218</v>
      </c>
      <c r="AA16" s="67">
        <v>909</v>
      </c>
      <c r="AB16" s="67">
        <v>47</v>
      </c>
      <c r="AC16" s="67">
        <v>39</v>
      </c>
      <c r="AD16" s="67">
        <v>823</v>
      </c>
      <c r="AE16" s="67">
        <v>192</v>
      </c>
      <c r="AF16" s="67">
        <v>9</v>
      </c>
      <c r="AG16" s="67">
        <v>5</v>
      </c>
      <c r="AH16" s="67">
        <v>178</v>
      </c>
      <c r="AI16" s="67">
        <v>187</v>
      </c>
      <c r="AJ16" s="67">
        <v>14</v>
      </c>
      <c r="AK16" s="67">
        <v>1</v>
      </c>
      <c r="AL16" s="67">
        <v>172</v>
      </c>
      <c r="AM16" s="67">
        <v>20</v>
      </c>
      <c r="AN16" s="67">
        <v>3</v>
      </c>
      <c r="AO16" s="67">
        <v>7</v>
      </c>
      <c r="AP16" s="67">
        <v>10</v>
      </c>
      <c r="AQ16" s="67">
        <v>0</v>
      </c>
      <c r="AR16" s="67">
        <v>0</v>
      </c>
      <c r="AS16" s="67">
        <v>0</v>
      </c>
      <c r="AT16" s="67">
        <v>0</v>
      </c>
      <c r="AU16" s="67">
        <v>510</v>
      </c>
      <c r="AV16" s="67">
        <v>21</v>
      </c>
      <c r="AW16" s="67">
        <v>26</v>
      </c>
      <c r="AX16" s="67">
        <v>463</v>
      </c>
    </row>
    <row r="17" spans="1:50" s="18" customFormat="1" ht="15.75" customHeight="1">
      <c r="A17" s="345" t="s">
        <v>49</v>
      </c>
      <c r="B17" s="65" t="s">
        <v>224</v>
      </c>
      <c r="C17" s="68">
        <v>139</v>
      </c>
      <c r="D17" s="68">
        <v>10</v>
      </c>
      <c r="E17" s="68">
        <v>6</v>
      </c>
      <c r="F17" s="68">
        <v>123</v>
      </c>
      <c r="G17" s="68">
        <v>23</v>
      </c>
      <c r="H17" s="68">
        <v>1</v>
      </c>
      <c r="I17" s="68">
        <v>1</v>
      </c>
      <c r="J17" s="68">
        <v>21</v>
      </c>
      <c r="K17" s="68">
        <v>27</v>
      </c>
      <c r="L17" s="68">
        <v>3</v>
      </c>
      <c r="M17" s="68">
        <v>1</v>
      </c>
      <c r="N17" s="68">
        <v>23</v>
      </c>
      <c r="O17" s="68">
        <v>8</v>
      </c>
      <c r="P17" s="68">
        <v>3</v>
      </c>
      <c r="Q17" s="68">
        <v>1</v>
      </c>
      <c r="R17" s="68">
        <v>4</v>
      </c>
      <c r="S17" s="68">
        <v>0</v>
      </c>
      <c r="T17" s="68">
        <v>0</v>
      </c>
      <c r="U17" s="68">
        <v>0</v>
      </c>
      <c r="V17" s="68">
        <v>0</v>
      </c>
      <c r="W17" s="68">
        <v>81</v>
      </c>
      <c r="X17" s="68">
        <v>3</v>
      </c>
      <c r="Y17" s="68">
        <v>3</v>
      </c>
      <c r="Z17" s="68">
        <v>75</v>
      </c>
      <c r="AA17" s="68">
        <v>314</v>
      </c>
      <c r="AB17" s="68">
        <v>19</v>
      </c>
      <c r="AC17" s="68">
        <v>10</v>
      </c>
      <c r="AD17" s="68">
        <v>285</v>
      </c>
      <c r="AE17" s="68">
        <v>49</v>
      </c>
      <c r="AF17" s="68">
        <v>3</v>
      </c>
      <c r="AG17" s="68">
        <v>2</v>
      </c>
      <c r="AH17" s="68">
        <v>44</v>
      </c>
      <c r="AI17" s="68">
        <v>73</v>
      </c>
      <c r="AJ17" s="68">
        <v>6</v>
      </c>
      <c r="AK17" s="68">
        <v>1</v>
      </c>
      <c r="AL17" s="68">
        <v>66</v>
      </c>
      <c r="AM17" s="68">
        <v>12</v>
      </c>
      <c r="AN17" s="68">
        <v>3</v>
      </c>
      <c r="AO17" s="68">
        <v>1</v>
      </c>
      <c r="AP17" s="68">
        <v>8</v>
      </c>
      <c r="AQ17" s="68">
        <v>0</v>
      </c>
      <c r="AR17" s="68">
        <v>0</v>
      </c>
      <c r="AS17" s="68">
        <v>0</v>
      </c>
      <c r="AT17" s="68">
        <v>0</v>
      </c>
      <c r="AU17" s="68">
        <v>180</v>
      </c>
      <c r="AV17" s="68">
        <v>7</v>
      </c>
      <c r="AW17" s="68">
        <v>6</v>
      </c>
      <c r="AX17" s="68">
        <v>167</v>
      </c>
    </row>
    <row r="18" spans="1:50" s="18" customFormat="1" ht="15.75" customHeight="1">
      <c r="A18" s="346"/>
      <c r="B18" s="65" t="s">
        <v>225</v>
      </c>
      <c r="C18" s="68">
        <v>279</v>
      </c>
      <c r="D18" s="68">
        <v>13</v>
      </c>
      <c r="E18" s="68">
        <v>15</v>
      </c>
      <c r="F18" s="68">
        <v>251</v>
      </c>
      <c r="G18" s="68">
        <v>71</v>
      </c>
      <c r="H18" s="68">
        <v>3</v>
      </c>
      <c r="I18" s="68">
        <v>1</v>
      </c>
      <c r="J18" s="68">
        <v>67</v>
      </c>
      <c r="K18" s="68">
        <v>42</v>
      </c>
      <c r="L18" s="68">
        <v>2</v>
      </c>
      <c r="M18" s="68">
        <v>0</v>
      </c>
      <c r="N18" s="68">
        <v>40</v>
      </c>
      <c r="O18" s="68">
        <v>3</v>
      </c>
      <c r="P18" s="68">
        <v>0</v>
      </c>
      <c r="Q18" s="68">
        <v>2</v>
      </c>
      <c r="R18" s="68">
        <v>1</v>
      </c>
      <c r="S18" s="68">
        <v>0</v>
      </c>
      <c r="T18" s="68">
        <v>0</v>
      </c>
      <c r="U18" s="68">
        <v>0</v>
      </c>
      <c r="V18" s="68">
        <v>0</v>
      </c>
      <c r="W18" s="68">
        <v>163</v>
      </c>
      <c r="X18" s="68">
        <v>8</v>
      </c>
      <c r="Y18" s="68">
        <v>12</v>
      </c>
      <c r="Z18" s="68">
        <v>143</v>
      </c>
      <c r="AA18" s="68">
        <v>595</v>
      </c>
      <c r="AB18" s="68">
        <v>28</v>
      </c>
      <c r="AC18" s="68">
        <v>29</v>
      </c>
      <c r="AD18" s="68">
        <v>538</v>
      </c>
      <c r="AE18" s="68">
        <v>143</v>
      </c>
      <c r="AF18" s="68">
        <v>6</v>
      </c>
      <c r="AG18" s="68">
        <v>3</v>
      </c>
      <c r="AH18" s="68">
        <v>134</v>
      </c>
      <c r="AI18" s="68">
        <v>114</v>
      </c>
      <c r="AJ18" s="68">
        <v>8</v>
      </c>
      <c r="AK18" s="68">
        <v>0</v>
      </c>
      <c r="AL18" s="68">
        <v>106</v>
      </c>
      <c r="AM18" s="68">
        <v>8</v>
      </c>
      <c r="AN18" s="68">
        <v>0</v>
      </c>
      <c r="AO18" s="68">
        <v>6</v>
      </c>
      <c r="AP18" s="68">
        <v>2</v>
      </c>
      <c r="AQ18" s="68">
        <v>0</v>
      </c>
      <c r="AR18" s="68">
        <v>0</v>
      </c>
      <c r="AS18" s="68">
        <v>0</v>
      </c>
      <c r="AT18" s="68">
        <v>0</v>
      </c>
      <c r="AU18" s="68">
        <v>330</v>
      </c>
      <c r="AV18" s="68">
        <v>14</v>
      </c>
      <c r="AW18" s="68">
        <v>20</v>
      </c>
      <c r="AX18" s="68">
        <v>296</v>
      </c>
    </row>
    <row r="19" spans="1:50" s="18" customFormat="1" ht="15.75" customHeight="1">
      <c r="A19" s="63" t="s">
        <v>204</v>
      </c>
      <c r="B19" s="64" t="s">
        <v>223</v>
      </c>
      <c r="C19" s="67">
        <v>1165</v>
      </c>
      <c r="D19" s="67">
        <v>163</v>
      </c>
      <c r="E19" s="67">
        <v>66</v>
      </c>
      <c r="F19" s="67">
        <v>936</v>
      </c>
      <c r="G19" s="67">
        <v>329</v>
      </c>
      <c r="H19" s="67">
        <v>21</v>
      </c>
      <c r="I19" s="67">
        <v>5</v>
      </c>
      <c r="J19" s="67">
        <v>303</v>
      </c>
      <c r="K19" s="67">
        <v>280</v>
      </c>
      <c r="L19" s="67">
        <v>40</v>
      </c>
      <c r="M19" s="67">
        <v>25</v>
      </c>
      <c r="N19" s="67">
        <v>215</v>
      </c>
      <c r="O19" s="67">
        <v>68</v>
      </c>
      <c r="P19" s="67">
        <v>32</v>
      </c>
      <c r="Q19" s="67">
        <v>11</v>
      </c>
      <c r="R19" s="67">
        <v>25</v>
      </c>
      <c r="S19" s="67">
        <v>1</v>
      </c>
      <c r="T19" s="67">
        <v>0</v>
      </c>
      <c r="U19" s="67">
        <v>0</v>
      </c>
      <c r="V19" s="67">
        <v>1</v>
      </c>
      <c r="W19" s="67">
        <v>487</v>
      </c>
      <c r="X19" s="67">
        <v>70</v>
      </c>
      <c r="Y19" s="67">
        <v>25</v>
      </c>
      <c r="Z19" s="67">
        <v>392</v>
      </c>
      <c r="AA19" s="67">
        <v>2596</v>
      </c>
      <c r="AB19" s="67">
        <v>351</v>
      </c>
      <c r="AC19" s="67">
        <v>143</v>
      </c>
      <c r="AD19" s="67">
        <v>2102</v>
      </c>
      <c r="AE19" s="67">
        <v>708</v>
      </c>
      <c r="AF19" s="67">
        <v>47</v>
      </c>
      <c r="AG19" s="67">
        <v>8</v>
      </c>
      <c r="AH19" s="67">
        <v>653</v>
      </c>
      <c r="AI19" s="67">
        <v>656</v>
      </c>
      <c r="AJ19" s="67">
        <v>84</v>
      </c>
      <c r="AK19" s="67">
        <v>51</v>
      </c>
      <c r="AL19" s="67">
        <v>521</v>
      </c>
      <c r="AM19" s="67">
        <v>150</v>
      </c>
      <c r="AN19" s="67">
        <v>66</v>
      </c>
      <c r="AO19" s="67">
        <v>23</v>
      </c>
      <c r="AP19" s="67">
        <v>61</v>
      </c>
      <c r="AQ19" s="67">
        <v>2</v>
      </c>
      <c r="AR19" s="67">
        <v>0</v>
      </c>
      <c r="AS19" s="67">
        <v>0</v>
      </c>
      <c r="AT19" s="67">
        <v>2</v>
      </c>
      <c r="AU19" s="67">
        <v>1080</v>
      </c>
      <c r="AV19" s="67">
        <v>154</v>
      </c>
      <c r="AW19" s="67">
        <v>61</v>
      </c>
      <c r="AX19" s="67">
        <v>865</v>
      </c>
    </row>
    <row r="20" spans="1:50" s="18" customFormat="1" ht="15.75" customHeight="1">
      <c r="A20" s="345" t="s">
        <v>26</v>
      </c>
      <c r="B20" s="65" t="s">
        <v>224</v>
      </c>
      <c r="C20" s="68">
        <v>422</v>
      </c>
      <c r="D20" s="68">
        <v>84</v>
      </c>
      <c r="E20" s="68">
        <v>35</v>
      </c>
      <c r="F20" s="68">
        <v>303</v>
      </c>
      <c r="G20" s="68">
        <v>91</v>
      </c>
      <c r="H20" s="68">
        <v>9</v>
      </c>
      <c r="I20" s="68">
        <v>1</v>
      </c>
      <c r="J20" s="68">
        <v>81</v>
      </c>
      <c r="K20" s="68">
        <v>133</v>
      </c>
      <c r="L20" s="68">
        <v>21</v>
      </c>
      <c r="M20" s="68">
        <v>17</v>
      </c>
      <c r="N20" s="68">
        <v>95</v>
      </c>
      <c r="O20" s="68">
        <v>44</v>
      </c>
      <c r="P20" s="68">
        <v>23</v>
      </c>
      <c r="Q20" s="68">
        <v>6</v>
      </c>
      <c r="R20" s="68">
        <v>15</v>
      </c>
      <c r="S20" s="68">
        <v>0</v>
      </c>
      <c r="T20" s="68">
        <v>0</v>
      </c>
      <c r="U20" s="68">
        <v>0</v>
      </c>
      <c r="V20" s="68">
        <v>0</v>
      </c>
      <c r="W20" s="68">
        <v>154</v>
      </c>
      <c r="X20" s="68">
        <v>31</v>
      </c>
      <c r="Y20" s="68">
        <v>11</v>
      </c>
      <c r="Z20" s="68">
        <v>112</v>
      </c>
      <c r="AA20" s="68">
        <v>960</v>
      </c>
      <c r="AB20" s="68">
        <v>180</v>
      </c>
      <c r="AC20" s="68">
        <v>77</v>
      </c>
      <c r="AD20" s="68">
        <v>703</v>
      </c>
      <c r="AE20" s="68">
        <v>207</v>
      </c>
      <c r="AF20" s="68">
        <v>21</v>
      </c>
      <c r="AG20" s="68">
        <v>2</v>
      </c>
      <c r="AH20" s="68">
        <v>184</v>
      </c>
      <c r="AI20" s="68">
        <v>298</v>
      </c>
      <c r="AJ20" s="68">
        <v>39</v>
      </c>
      <c r="AK20" s="68">
        <v>33</v>
      </c>
      <c r="AL20" s="68">
        <v>226</v>
      </c>
      <c r="AM20" s="68">
        <v>97</v>
      </c>
      <c r="AN20" s="68">
        <v>49</v>
      </c>
      <c r="AO20" s="68">
        <v>12</v>
      </c>
      <c r="AP20" s="68">
        <v>36</v>
      </c>
      <c r="AQ20" s="68">
        <v>0</v>
      </c>
      <c r="AR20" s="68">
        <v>0</v>
      </c>
      <c r="AS20" s="68">
        <v>0</v>
      </c>
      <c r="AT20" s="68">
        <v>0</v>
      </c>
      <c r="AU20" s="68">
        <v>358</v>
      </c>
      <c r="AV20" s="68">
        <v>71</v>
      </c>
      <c r="AW20" s="68">
        <v>30</v>
      </c>
      <c r="AX20" s="68">
        <v>257</v>
      </c>
    </row>
    <row r="21" spans="1:50" s="18" customFormat="1" ht="15.75" customHeight="1">
      <c r="A21" s="346"/>
      <c r="B21" s="65" t="s">
        <v>225</v>
      </c>
      <c r="C21" s="68">
        <v>743</v>
      </c>
      <c r="D21" s="68">
        <v>79</v>
      </c>
      <c r="E21" s="68">
        <v>31</v>
      </c>
      <c r="F21" s="68">
        <v>633</v>
      </c>
      <c r="G21" s="68">
        <v>238</v>
      </c>
      <c r="H21" s="68">
        <v>12</v>
      </c>
      <c r="I21" s="68">
        <v>4</v>
      </c>
      <c r="J21" s="68">
        <v>222</v>
      </c>
      <c r="K21" s="68">
        <v>147</v>
      </c>
      <c r="L21" s="68">
        <v>19</v>
      </c>
      <c r="M21" s="68">
        <v>8</v>
      </c>
      <c r="N21" s="68">
        <v>120</v>
      </c>
      <c r="O21" s="68">
        <v>24</v>
      </c>
      <c r="P21" s="68">
        <v>9</v>
      </c>
      <c r="Q21" s="68">
        <v>5</v>
      </c>
      <c r="R21" s="68">
        <v>10</v>
      </c>
      <c r="S21" s="68">
        <v>1</v>
      </c>
      <c r="T21" s="68">
        <v>0</v>
      </c>
      <c r="U21" s="68">
        <v>0</v>
      </c>
      <c r="V21" s="68">
        <v>1</v>
      </c>
      <c r="W21" s="68">
        <v>333</v>
      </c>
      <c r="X21" s="68">
        <v>39</v>
      </c>
      <c r="Y21" s="68">
        <v>14</v>
      </c>
      <c r="Z21" s="68">
        <v>280</v>
      </c>
      <c r="AA21" s="68">
        <v>1636</v>
      </c>
      <c r="AB21" s="68">
        <v>171</v>
      </c>
      <c r="AC21" s="68">
        <v>66</v>
      </c>
      <c r="AD21" s="68">
        <v>1399</v>
      </c>
      <c r="AE21" s="68">
        <v>501</v>
      </c>
      <c r="AF21" s="68">
        <v>26</v>
      </c>
      <c r="AG21" s="68">
        <v>6</v>
      </c>
      <c r="AH21" s="68">
        <v>469</v>
      </c>
      <c r="AI21" s="68">
        <v>358</v>
      </c>
      <c r="AJ21" s="68">
        <v>45</v>
      </c>
      <c r="AK21" s="68">
        <v>18</v>
      </c>
      <c r="AL21" s="68">
        <v>295</v>
      </c>
      <c r="AM21" s="68">
        <v>53</v>
      </c>
      <c r="AN21" s="68">
        <v>17</v>
      </c>
      <c r="AO21" s="68">
        <v>11</v>
      </c>
      <c r="AP21" s="68">
        <v>25</v>
      </c>
      <c r="AQ21" s="68">
        <v>2</v>
      </c>
      <c r="AR21" s="68">
        <v>0</v>
      </c>
      <c r="AS21" s="68">
        <v>0</v>
      </c>
      <c r="AT21" s="68">
        <v>2</v>
      </c>
      <c r="AU21" s="68">
        <v>722</v>
      </c>
      <c r="AV21" s="68">
        <v>83</v>
      </c>
      <c r="AW21" s="68">
        <v>31</v>
      </c>
      <c r="AX21" s="68">
        <v>608</v>
      </c>
    </row>
    <row r="22" spans="1:50" s="18" customFormat="1" ht="15.75" customHeight="1">
      <c r="A22" s="63" t="s">
        <v>205</v>
      </c>
      <c r="B22" s="64" t="s">
        <v>223</v>
      </c>
      <c r="C22" s="67">
        <v>1378</v>
      </c>
      <c r="D22" s="67">
        <v>106</v>
      </c>
      <c r="E22" s="67">
        <v>124</v>
      </c>
      <c r="F22" s="67">
        <v>1148</v>
      </c>
      <c r="G22" s="67">
        <v>388</v>
      </c>
      <c r="H22" s="67">
        <v>22</v>
      </c>
      <c r="I22" s="67">
        <v>4</v>
      </c>
      <c r="J22" s="67">
        <v>362</v>
      </c>
      <c r="K22" s="67">
        <v>298</v>
      </c>
      <c r="L22" s="67">
        <v>24</v>
      </c>
      <c r="M22" s="67">
        <v>32</v>
      </c>
      <c r="N22" s="67">
        <v>242</v>
      </c>
      <c r="O22" s="67">
        <v>71</v>
      </c>
      <c r="P22" s="67">
        <v>9</v>
      </c>
      <c r="Q22" s="67">
        <v>35</v>
      </c>
      <c r="R22" s="67">
        <v>27</v>
      </c>
      <c r="S22" s="67">
        <v>0</v>
      </c>
      <c r="T22" s="67">
        <v>0</v>
      </c>
      <c r="U22" s="67">
        <v>0</v>
      </c>
      <c r="V22" s="67">
        <v>0</v>
      </c>
      <c r="W22" s="67">
        <v>621</v>
      </c>
      <c r="X22" s="67">
        <v>51</v>
      </c>
      <c r="Y22" s="67">
        <v>53</v>
      </c>
      <c r="Z22" s="67">
        <v>517</v>
      </c>
      <c r="AA22" s="67">
        <v>2230</v>
      </c>
      <c r="AB22" s="67">
        <v>166</v>
      </c>
      <c r="AC22" s="67">
        <v>190</v>
      </c>
      <c r="AD22" s="67">
        <v>1874</v>
      </c>
      <c r="AE22" s="67">
        <v>519</v>
      </c>
      <c r="AF22" s="67">
        <v>34</v>
      </c>
      <c r="AG22" s="67">
        <v>9</v>
      </c>
      <c r="AH22" s="67">
        <v>476</v>
      </c>
      <c r="AI22" s="67">
        <v>492</v>
      </c>
      <c r="AJ22" s="67">
        <v>45</v>
      </c>
      <c r="AK22" s="67">
        <v>48</v>
      </c>
      <c r="AL22" s="67">
        <v>399</v>
      </c>
      <c r="AM22" s="67">
        <v>109</v>
      </c>
      <c r="AN22" s="67">
        <v>16</v>
      </c>
      <c r="AO22" s="67">
        <v>45</v>
      </c>
      <c r="AP22" s="67">
        <v>48</v>
      </c>
      <c r="AQ22" s="67">
        <v>0</v>
      </c>
      <c r="AR22" s="67">
        <v>0</v>
      </c>
      <c r="AS22" s="67">
        <v>0</v>
      </c>
      <c r="AT22" s="67">
        <v>0</v>
      </c>
      <c r="AU22" s="67">
        <v>1110</v>
      </c>
      <c r="AV22" s="67">
        <v>71</v>
      </c>
      <c r="AW22" s="67">
        <v>88</v>
      </c>
      <c r="AX22" s="67">
        <v>951</v>
      </c>
    </row>
    <row r="23" spans="1:50" s="18" customFormat="1" ht="15.75" customHeight="1">
      <c r="A23" s="345" t="s">
        <v>27</v>
      </c>
      <c r="B23" s="65" t="s">
        <v>224</v>
      </c>
      <c r="C23" s="68">
        <v>475</v>
      </c>
      <c r="D23" s="68">
        <v>38</v>
      </c>
      <c r="E23" s="68">
        <v>56</v>
      </c>
      <c r="F23" s="68">
        <v>381</v>
      </c>
      <c r="G23" s="68">
        <v>123</v>
      </c>
      <c r="H23" s="68">
        <v>7</v>
      </c>
      <c r="I23" s="68">
        <v>1</v>
      </c>
      <c r="J23" s="68">
        <v>115</v>
      </c>
      <c r="K23" s="68">
        <v>127</v>
      </c>
      <c r="L23" s="68">
        <v>12</v>
      </c>
      <c r="M23" s="68">
        <v>9</v>
      </c>
      <c r="N23" s="68">
        <v>106</v>
      </c>
      <c r="O23" s="68">
        <v>35</v>
      </c>
      <c r="P23" s="68">
        <v>5</v>
      </c>
      <c r="Q23" s="68">
        <v>19</v>
      </c>
      <c r="R23" s="68">
        <v>11</v>
      </c>
      <c r="S23" s="68">
        <v>0</v>
      </c>
      <c r="T23" s="68">
        <v>0</v>
      </c>
      <c r="U23" s="68">
        <v>0</v>
      </c>
      <c r="V23" s="68">
        <v>0</v>
      </c>
      <c r="W23" s="68">
        <v>190</v>
      </c>
      <c r="X23" s="68">
        <v>14</v>
      </c>
      <c r="Y23" s="68">
        <v>27</v>
      </c>
      <c r="Z23" s="68">
        <v>149</v>
      </c>
      <c r="AA23" s="68">
        <v>801</v>
      </c>
      <c r="AB23" s="68">
        <v>62</v>
      </c>
      <c r="AC23" s="68">
        <v>79</v>
      </c>
      <c r="AD23" s="68">
        <v>660</v>
      </c>
      <c r="AE23" s="68">
        <v>177</v>
      </c>
      <c r="AF23" s="68">
        <v>12</v>
      </c>
      <c r="AG23" s="68">
        <v>2</v>
      </c>
      <c r="AH23" s="68">
        <v>163</v>
      </c>
      <c r="AI23" s="68">
        <v>210</v>
      </c>
      <c r="AJ23" s="68">
        <v>21</v>
      </c>
      <c r="AK23" s="68">
        <v>15</v>
      </c>
      <c r="AL23" s="68">
        <v>174</v>
      </c>
      <c r="AM23" s="68">
        <v>64</v>
      </c>
      <c r="AN23" s="68">
        <v>10</v>
      </c>
      <c r="AO23" s="68">
        <v>27</v>
      </c>
      <c r="AP23" s="68">
        <v>27</v>
      </c>
      <c r="AQ23" s="68">
        <v>0</v>
      </c>
      <c r="AR23" s="68">
        <v>0</v>
      </c>
      <c r="AS23" s="68">
        <v>0</v>
      </c>
      <c r="AT23" s="68">
        <v>0</v>
      </c>
      <c r="AU23" s="68">
        <v>350</v>
      </c>
      <c r="AV23" s="68">
        <v>19</v>
      </c>
      <c r="AW23" s="68">
        <v>35</v>
      </c>
      <c r="AX23" s="68">
        <v>296</v>
      </c>
    </row>
    <row r="24" spans="1:50" s="18" customFormat="1" ht="15.75" customHeight="1">
      <c r="A24" s="346"/>
      <c r="B24" s="65" t="s">
        <v>225</v>
      </c>
      <c r="C24" s="68">
        <v>903</v>
      </c>
      <c r="D24" s="68">
        <v>68</v>
      </c>
      <c r="E24" s="68">
        <v>68</v>
      </c>
      <c r="F24" s="68">
        <v>767</v>
      </c>
      <c r="G24" s="68">
        <v>265</v>
      </c>
      <c r="H24" s="68">
        <v>15</v>
      </c>
      <c r="I24" s="68">
        <v>3</v>
      </c>
      <c r="J24" s="68">
        <v>247</v>
      </c>
      <c r="K24" s="68">
        <v>171</v>
      </c>
      <c r="L24" s="68">
        <v>12</v>
      </c>
      <c r="M24" s="68">
        <v>23</v>
      </c>
      <c r="N24" s="68">
        <v>136</v>
      </c>
      <c r="O24" s="68">
        <v>36</v>
      </c>
      <c r="P24" s="68">
        <v>4</v>
      </c>
      <c r="Q24" s="68">
        <v>16</v>
      </c>
      <c r="R24" s="68">
        <v>16</v>
      </c>
      <c r="S24" s="68">
        <v>0</v>
      </c>
      <c r="T24" s="68">
        <v>0</v>
      </c>
      <c r="U24" s="68">
        <v>0</v>
      </c>
      <c r="V24" s="68">
        <v>0</v>
      </c>
      <c r="W24" s="68">
        <v>431</v>
      </c>
      <c r="X24" s="68">
        <v>37</v>
      </c>
      <c r="Y24" s="68">
        <v>26</v>
      </c>
      <c r="Z24" s="68">
        <v>368</v>
      </c>
      <c r="AA24" s="68">
        <v>1429</v>
      </c>
      <c r="AB24" s="68">
        <v>104</v>
      </c>
      <c r="AC24" s="68">
        <v>111</v>
      </c>
      <c r="AD24" s="68">
        <v>1214</v>
      </c>
      <c r="AE24" s="68">
        <v>342</v>
      </c>
      <c r="AF24" s="68">
        <v>22</v>
      </c>
      <c r="AG24" s="68">
        <v>7</v>
      </c>
      <c r="AH24" s="68">
        <v>313</v>
      </c>
      <c r="AI24" s="68">
        <v>282</v>
      </c>
      <c r="AJ24" s="68">
        <v>24</v>
      </c>
      <c r="AK24" s="68">
        <v>33</v>
      </c>
      <c r="AL24" s="68">
        <v>225</v>
      </c>
      <c r="AM24" s="68">
        <v>45</v>
      </c>
      <c r="AN24" s="68">
        <v>6</v>
      </c>
      <c r="AO24" s="68">
        <v>18</v>
      </c>
      <c r="AP24" s="68">
        <v>21</v>
      </c>
      <c r="AQ24" s="68">
        <v>0</v>
      </c>
      <c r="AR24" s="68">
        <v>0</v>
      </c>
      <c r="AS24" s="68">
        <v>0</v>
      </c>
      <c r="AT24" s="68">
        <v>0</v>
      </c>
      <c r="AU24" s="68">
        <v>760</v>
      </c>
      <c r="AV24" s="68">
        <v>52</v>
      </c>
      <c r="AW24" s="68">
        <v>53</v>
      </c>
      <c r="AX24" s="68">
        <v>655</v>
      </c>
    </row>
    <row r="25" spans="1:50" s="18" customFormat="1" ht="15.75" customHeight="1">
      <c r="A25" s="63" t="s">
        <v>206</v>
      </c>
      <c r="B25" s="64" t="s">
        <v>223</v>
      </c>
      <c r="C25" s="67">
        <v>1063</v>
      </c>
      <c r="D25" s="67">
        <v>106</v>
      </c>
      <c r="E25" s="67">
        <v>72</v>
      </c>
      <c r="F25" s="67">
        <v>885</v>
      </c>
      <c r="G25" s="67">
        <v>707</v>
      </c>
      <c r="H25" s="67">
        <v>62</v>
      </c>
      <c r="I25" s="67">
        <v>39</v>
      </c>
      <c r="J25" s="67">
        <v>606</v>
      </c>
      <c r="K25" s="67">
        <v>0</v>
      </c>
      <c r="L25" s="67">
        <v>0</v>
      </c>
      <c r="M25" s="67">
        <v>0</v>
      </c>
      <c r="N25" s="67">
        <v>0</v>
      </c>
      <c r="O25" s="67">
        <v>65</v>
      </c>
      <c r="P25" s="67">
        <v>17</v>
      </c>
      <c r="Q25" s="67">
        <v>20</v>
      </c>
      <c r="R25" s="67">
        <v>28</v>
      </c>
      <c r="S25" s="67">
        <v>3</v>
      </c>
      <c r="T25" s="67">
        <v>1</v>
      </c>
      <c r="U25" s="67">
        <v>1</v>
      </c>
      <c r="V25" s="67">
        <v>1</v>
      </c>
      <c r="W25" s="67">
        <v>288</v>
      </c>
      <c r="X25" s="67">
        <v>26</v>
      </c>
      <c r="Y25" s="67">
        <v>12</v>
      </c>
      <c r="Z25" s="67">
        <v>250</v>
      </c>
      <c r="AA25" s="67">
        <v>1943</v>
      </c>
      <c r="AB25" s="67">
        <v>186</v>
      </c>
      <c r="AC25" s="67">
        <v>119</v>
      </c>
      <c r="AD25" s="67">
        <v>1638</v>
      </c>
      <c r="AE25" s="67">
        <v>1296</v>
      </c>
      <c r="AF25" s="67">
        <v>113</v>
      </c>
      <c r="AG25" s="67">
        <v>65</v>
      </c>
      <c r="AH25" s="67">
        <v>1118</v>
      </c>
      <c r="AI25" s="67">
        <v>0</v>
      </c>
      <c r="AJ25" s="67">
        <v>0</v>
      </c>
      <c r="AK25" s="67">
        <v>0</v>
      </c>
      <c r="AL25" s="67">
        <v>0</v>
      </c>
      <c r="AM25" s="67">
        <v>110</v>
      </c>
      <c r="AN25" s="67">
        <v>31</v>
      </c>
      <c r="AO25" s="67">
        <v>32</v>
      </c>
      <c r="AP25" s="67">
        <v>47</v>
      </c>
      <c r="AQ25" s="67">
        <v>3</v>
      </c>
      <c r="AR25" s="67">
        <v>1</v>
      </c>
      <c r="AS25" s="67">
        <v>1</v>
      </c>
      <c r="AT25" s="67">
        <v>1</v>
      </c>
      <c r="AU25" s="67">
        <v>534</v>
      </c>
      <c r="AV25" s="67">
        <v>41</v>
      </c>
      <c r="AW25" s="67">
        <v>21</v>
      </c>
      <c r="AX25" s="67">
        <v>472</v>
      </c>
    </row>
    <row r="26" spans="1:50" s="18" customFormat="1" ht="15.75" customHeight="1">
      <c r="A26" s="345" t="s">
        <v>28</v>
      </c>
      <c r="B26" s="65" t="s">
        <v>224</v>
      </c>
      <c r="C26" s="68">
        <v>404</v>
      </c>
      <c r="D26" s="68">
        <v>41</v>
      </c>
      <c r="E26" s="68">
        <v>35</v>
      </c>
      <c r="F26" s="68">
        <v>328</v>
      </c>
      <c r="G26" s="68">
        <v>270</v>
      </c>
      <c r="H26" s="68">
        <v>19</v>
      </c>
      <c r="I26" s="68">
        <v>20</v>
      </c>
      <c r="J26" s="68">
        <v>231</v>
      </c>
      <c r="K26" s="68">
        <v>0</v>
      </c>
      <c r="L26" s="68">
        <v>0</v>
      </c>
      <c r="M26" s="68">
        <v>0</v>
      </c>
      <c r="N26" s="68">
        <v>0</v>
      </c>
      <c r="O26" s="68">
        <v>39</v>
      </c>
      <c r="P26" s="68">
        <v>9</v>
      </c>
      <c r="Q26" s="68">
        <v>11</v>
      </c>
      <c r="R26" s="68">
        <v>19</v>
      </c>
      <c r="S26" s="68">
        <v>2</v>
      </c>
      <c r="T26" s="68">
        <v>1</v>
      </c>
      <c r="U26" s="68">
        <v>0</v>
      </c>
      <c r="V26" s="68">
        <v>1</v>
      </c>
      <c r="W26" s="68">
        <v>93</v>
      </c>
      <c r="X26" s="68">
        <v>12</v>
      </c>
      <c r="Y26" s="68">
        <v>4</v>
      </c>
      <c r="Z26" s="68">
        <v>77</v>
      </c>
      <c r="AA26" s="68">
        <v>740</v>
      </c>
      <c r="AB26" s="68">
        <v>72</v>
      </c>
      <c r="AC26" s="68">
        <v>56</v>
      </c>
      <c r="AD26" s="68">
        <v>612</v>
      </c>
      <c r="AE26" s="68">
        <v>507</v>
      </c>
      <c r="AF26" s="68">
        <v>38</v>
      </c>
      <c r="AG26" s="68">
        <v>31</v>
      </c>
      <c r="AH26" s="68">
        <v>438</v>
      </c>
      <c r="AI26" s="68">
        <v>0</v>
      </c>
      <c r="AJ26" s="68">
        <v>0</v>
      </c>
      <c r="AK26" s="68">
        <v>0</v>
      </c>
      <c r="AL26" s="68">
        <v>0</v>
      </c>
      <c r="AM26" s="68">
        <v>59</v>
      </c>
      <c r="AN26" s="68">
        <v>15</v>
      </c>
      <c r="AO26" s="68">
        <v>16</v>
      </c>
      <c r="AP26" s="68">
        <v>28</v>
      </c>
      <c r="AQ26" s="68">
        <v>2</v>
      </c>
      <c r="AR26" s="68">
        <v>1</v>
      </c>
      <c r="AS26" s="68">
        <v>0</v>
      </c>
      <c r="AT26" s="68">
        <v>1</v>
      </c>
      <c r="AU26" s="68">
        <v>172</v>
      </c>
      <c r="AV26" s="68">
        <v>18</v>
      </c>
      <c r="AW26" s="68">
        <v>9</v>
      </c>
      <c r="AX26" s="68">
        <v>145</v>
      </c>
    </row>
    <row r="27" spans="1:50" s="18" customFormat="1" ht="15.75" customHeight="1">
      <c r="A27" s="346"/>
      <c r="B27" s="65" t="s">
        <v>225</v>
      </c>
      <c r="C27" s="68">
        <v>659</v>
      </c>
      <c r="D27" s="68">
        <v>65</v>
      </c>
      <c r="E27" s="68">
        <v>37</v>
      </c>
      <c r="F27" s="68">
        <v>557</v>
      </c>
      <c r="G27" s="68">
        <v>437</v>
      </c>
      <c r="H27" s="68">
        <v>43</v>
      </c>
      <c r="I27" s="68">
        <v>19</v>
      </c>
      <c r="J27" s="68">
        <v>375</v>
      </c>
      <c r="K27" s="68">
        <v>0</v>
      </c>
      <c r="L27" s="68">
        <v>0</v>
      </c>
      <c r="M27" s="68">
        <v>0</v>
      </c>
      <c r="N27" s="68">
        <v>0</v>
      </c>
      <c r="O27" s="68">
        <v>26</v>
      </c>
      <c r="P27" s="68">
        <v>8</v>
      </c>
      <c r="Q27" s="68">
        <v>9</v>
      </c>
      <c r="R27" s="68">
        <v>9</v>
      </c>
      <c r="S27" s="68">
        <v>1</v>
      </c>
      <c r="T27" s="68">
        <v>0</v>
      </c>
      <c r="U27" s="68">
        <v>1</v>
      </c>
      <c r="V27" s="68">
        <v>0</v>
      </c>
      <c r="W27" s="68">
        <v>195</v>
      </c>
      <c r="X27" s="68">
        <v>14</v>
      </c>
      <c r="Y27" s="68">
        <v>8</v>
      </c>
      <c r="Z27" s="68">
        <v>173</v>
      </c>
      <c r="AA27" s="68">
        <v>1203</v>
      </c>
      <c r="AB27" s="68">
        <v>114</v>
      </c>
      <c r="AC27" s="68">
        <v>63</v>
      </c>
      <c r="AD27" s="68">
        <v>1026</v>
      </c>
      <c r="AE27" s="68">
        <v>789</v>
      </c>
      <c r="AF27" s="68">
        <v>75</v>
      </c>
      <c r="AG27" s="68">
        <v>34</v>
      </c>
      <c r="AH27" s="68">
        <v>680</v>
      </c>
      <c r="AI27" s="68">
        <v>0</v>
      </c>
      <c r="AJ27" s="68">
        <v>0</v>
      </c>
      <c r="AK27" s="68">
        <v>0</v>
      </c>
      <c r="AL27" s="68">
        <v>0</v>
      </c>
      <c r="AM27" s="68">
        <v>51</v>
      </c>
      <c r="AN27" s="68">
        <v>16</v>
      </c>
      <c r="AO27" s="68">
        <v>16</v>
      </c>
      <c r="AP27" s="68">
        <v>19</v>
      </c>
      <c r="AQ27" s="68">
        <v>1</v>
      </c>
      <c r="AR27" s="68">
        <v>0</v>
      </c>
      <c r="AS27" s="68">
        <v>1</v>
      </c>
      <c r="AT27" s="68">
        <v>0</v>
      </c>
      <c r="AU27" s="68">
        <v>362</v>
      </c>
      <c r="AV27" s="68">
        <v>23</v>
      </c>
      <c r="AW27" s="68">
        <v>12</v>
      </c>
      <c r="AX27" s="68">
        <v>327</v>
      </c>
    </row>
    <row r="28" spans="1:50" ht="15.75" customHeight="1">
      <c r="A28" s="63" t="s">
        <v>207</v>
      </c>
      <c r="B28" s="64" t="s">
        <v>223</v>
      </c>
      <c r="C28" s="67">
        <v>395</v>
      </c>
      <c r="D28" s="67">
        <v>34</v>
      </c>
      <c r="E28" s="67">
        <v>27</v>
      </c>
      <c r="F28" s="67">
        <v>334</v>
      </c>
      <c r="G28" s="67">
        <v>117</v>
      </c>
      <c r="H28" s="67">
        <v>7</v>
      </c>
      <c r="I28" s="67">
        <v>3</v>
      </c>
      <c r="J28" s="67">
        <v>107</v>
      </c>
      <c r="K28" s="67">
        <v>99</v>
      </c>
      <c r="L28" s="67">
        <v>11</v>
      </c>
      <c r="M28" s="67">
        <v>4</v>
      </c>
      <c r="N28" s="67">
        <v>84</v>
      </c>
      <c r="O28" s="67">
        <v>26</v>
      </c>
      <c r="P28" s="67">
        <v>3</v>
      </c>
      <c r="Q28" s="67">
        <v>11</v>
      </c>
      <c r="R28" s="67">
        <v>12</v>
      </c>
      <c r="S28" s="67">
        <v>0</v>
      </c>
      <c r="T28" s="67">
        <v>0</v>
      </c>
      <c r="U28" s="67">
        <v>0</v>
      </c>
      <c r="V28" s="67">
        <v>0</v>
      </c>
      <c r="W28" s="67">
        <v>153</v>
      </c>
      <c r="X28" s="67">
        <v>13</v>
      </c>
      <c r="Y28" s="67">
        <v>9</v>
      </c>
      <c r="Z28" s="67">
        <v>131</v>
      </c>
      <c r="AA28" s="67">
        <v>849</v>
      </c>
      <c r="AB28" s="67">
        <v>78</v>
      </c>
      <c r="AC28" s="67">
        <v>53</v>
      </c>
      <c r="AD28" s="67">
        <v>718</v>
      </c>
      <c r="AE28" s="67">
        <v>224</v>
      </c>
      <c r="AF28" s="67">
        <v>12</v>
      </c>
      <c r="AG28" s="67">
        <v>4</v>
      </c>
      <c r="AH28" s="67">
        <v>208</v>
      </c>
      <c r="AI28" s="67">
        <v>247</v>
      </c>
      <c r="AJ28" s="67">
        <v>30</v>
      </c>
      <c r="AK28" s="67">
        <v>9</v>
      </c>
      <c r="AL28" s="67">
        <v>208</v>
      </c>
      <c r="AM28" s="67">
        <v>53</v>
      </c>
      <c r="AN28" s="67">
        <v>7</v>
      </c>
      <c r="AO28" s="67">
        <v>24</v>
      </c>
      <c r="AP28" s="67">
        <v>22</v>
      </c>
      <c r="AQ28" s="67">
        <v>0</v>
      </c>
      <c r="AR28" s="67">
        <v>0</v>
      </c>
      <c r="AS28" s="67">
        <v>0</v>
      </c>
      <c r="AT28" s="67">
        <v>0</v>
      </c>
      <c r="AU28" s="67">
        <v>325</v>
      </c>
      <c r="AV28" s="67">
        <v>29</v>
      </c>
      <c r="AW28" s="67">
        <v>16</v>
      </c>
      <c r="AX28" s="67">
        <v>280</v>
      </c>
    </row>
    <row r="29" spans="1:50" ht="15.75" customHeight="1">
      <c r="A29" s="345" t="s">
        <v>7</v>
      </c>
      <c r="B29" s="65" t="s">
        <v>224</v>
      </c>
      <c r="C29" s="68">
        <v>143</v>
      </c>
      <c r="D29" s="68">
        <v>21</v>
      </c>
      <c r="E29" s="68">
        <v>12</v>
      </c>
      <c r="F29" s="68">
        <v>110</v>
      </c>
      <c r="G29" s="68">
        <v>32</v>
      </c>
      <c r="H29" s="68">
        <v>4</v>
      </c>
      <c r="I29" s="68">
        <v>1</v>
      </c>
      <c r="J29" s="68">
        <v>27</v>
      </c>
      <c r="K29" s="68">
        <v>48</v>
      </c>
      <c r="L29" s="68">
        <v>8</v>
      </c>
      <c r="M29" s="68">
        <v>2</v>
      </c>
      <c r="N29" s="68">
        <v>38</v>
      </c>
      <c r="O29" s="68">
        <v>11</v>
      </c>
      <c r="P29" s="68">
        <v>2</v>
      </c>
      <c r="Q29" s="68">
        <v>5</v>
      </c>
      <c r="R29" s="68">
        <v>4</v>
      </c>
      <c r="S29" s="68">
        <v>0</v>
      </c>
      <c r="T29" s="68">
        <v>0</v>
      </c>
      <c r="U29" s="68">
        <v>0</v>
      </c>
      <c r="V29" s="68">
        <v>0</v>
      </c>
      <c r="W29" s="68">
        <v>52</v>
      </c>
      <c r="X29" s="68">
        <v>7</v>
      </c>
      <c r="Y29" s="68">
        <v>4</v>
      </c>
      <c r="Z29" s="68">
        <v>41</v>
      </c>
      <c r="AA29" s="68">
        <v>319</v>
      </c>
      <c r="AB29" s="68">
        <v>50</v>
      </c>
      <c r="AC29" s="68">
        <v>22</v>
      </c>
      <c r="AD29" s="68">
        <v>247</v>
      </c>
      <c r="AE29" s="68">
        <v>60</v>
      </c>
      <c r="AF29" s="68">
        <v>7</v>
      </c>
      <c r="AG29" s="68">
        <v>1</v>
      </c>
      <c r="AH29" s="68">
        <v>52</v>
      </c>
      <c r="AI29" s="68">
        <v>111</v>
      </c>
      <c r="AJ29" s="68">
        <v>20</v>
      </c>
      <c r="AK29" s="68">
        <v>4</v>
      </c>
      <c r="AL29" s="68">
        <v>87</v>
      </c>
      <c r="AM29" s="68">
        <v>26</v>
      </c>
      <c r="AN29" s="68">
        <v>5</v>
      </c>
      <c r="AO29" s="68">
        <v>11</v>
      </c>
      <c r="AP29" s="68">
        <v>10</v>
      </c>
      <c r="AQ29" s="68">
        <v>0</v>
      </c>
      <c r="AR29" s="68">
        <v>0</v>
      </c>
      <c r="AS29" s="68">
        <v>0</v>
      </c>
      <c r="AT29" s="68">
        <v>0</v>
      </c>
      <c r="AU29" s="68">
        <v>122</v>
      </c>
      <c r="AV29" s="68">
        <v>18</v>
      </c>
      <c r="AW29" s="68">
        <v>6</v>
      </c>
      <c r="AX29" s="68">
        <v>98</v>
      </c>
    </row>
    <row r="30" spans="1:50" ht="15.75" customHeight="1">
      <c r="A30" s="346"/>
      <c r="B30" s="65" t="s">
        <v>225</v>
      </c>
      <c r="C30" s="68">
        <v>252</v>
      </c>
      <c r="D30" s="68">
        <v>13</v>
      </c>
      <c r="E30" s="68">
        <v>15</v>
      </c>
      <c r="F30" s="68">
        <v>224</v>
      </c>
      <c r="G30" s="68">
        <v>85</v>
      </c>
      <c r="H30" s="68">
        <v>3</v>
      </c>
      <c r="I30" s="68">
        <v>2</v>
      </c>
      <c r="J30" s="68">
        <v>80</v>
      </c>
      <c r="K30" s="68">
        <v>51</v>
      </c>
      <c r="L30" s="68">
        <v>3</v>
      </c>
      <c r="M30" s="68">
        <v>2</v>
      </c>
      <c r="N30" s="68">
        <v>46</v>
      </c>
      <c r="O30" s="68">
        <v>15</v>
      </c>
      <c r="P30" s="68">
        <v>1</v>
      </c>
      <c r="Q30" s="68">
        <v>6</v>
      </c>
      <c r="R30" s="68">
        <v>8</v>
      </c>
      <c r="S30" s="68">
        <v>0</v>
      </c>
      <c r="T30" s="68">
        <v>0</v>
      </c>
      <c r="U30" s="68">
        <v>0</v>
      </c>
      <c r="V30" s="68">
        <v>0</v>
      </c>
      <c r="W30" s="68">
        <v>101</v>
      </c>
      <c r="X30" s="68">
        <v>6</v>
      </c>
      <c r="Y30" s="68">
        <v>5</v>
      </c>
      <c r="Z30" s="68">
        <v>90</v>
      </c>
      <c r="AA30" s="68">
        <v>530</v>
      </c>
      <c r="AB30" s="68">
        <v>28</v>
      </c>
      <c r="AC30" s="68">
        <v>31</v>
      </c>
      <c r="AD30" s="68">
        <v>471</v>
      </c>
      <c r="AE30" s="68">
        <v>164</v>
      </c>
      <c r="AF30" s="68">
        <v>5</v>
      </c>
      <c r="AG30" s="68">
        <v>3</v>
      </c>
      <c r="AH30" s="68">
        <v>156</v>
      </c>
      <c r="AI30" s="68">
        <v>136</v>
      </c>
      <c r="AJ30" s="68">
        <v>10</v>
      </c>
      <c r="AK30" s="68">
        <v>5</v>
      </c>
      <c r="AL30" s="68">
        <v>121</v>
      </c>
      <c r="AM30" s="68">
        <v>27</v>
      </c>
      <c r="AN30" s="68">
        <v>2</v>
      </c>
      <c r="AO30" s="68">
        <v>13</v>
      </c>
      <c r="AP30" s="68">
        <v>12</v>
      </c>
      <c r="AQ30" s="68">
        <v>0</v>
      </c>
      <c r="AR30" s="68">
        <v>0</v>
      </c>
      <c r="AS30" s="68">
        <v>0</v>
      </c>
      <c r="AT30" s="68">
        <v>0</v>
      </c>
      <c r="AU30" s="68">
        <v>203</v>
      </c>
      <c r="AV30" s="68">
        <v>11</v>
      </c>
      <c r="AW30" s="68">
        <v>10</v>
      </c>
      <c r="AX30" s="68">
        <v>182</v>
      </c>
    </row>
    <row r="31" spans="1:50" ht="15.75" customHeight="1">
      <c r="A31" s="63" t="s">
        <v>208</v>
      </c>
      <c r="B31" s="64" t="s">
        <v>223</v>
      </c>
      <c r="C31" s="67">
        <v>248</v>
      </c>
      <c r="D31" s="67">
        <v>10</v>
      </c>
      <c r="E31" s="67">
        <v>15</v>
      </c>
      <c r="F31" s="67">
        <v>223</v>
      </c>
      <c r="G31" s="67">
        <v>68</v>
      </c>
      <c r="H31" s="67">
        <v>1</v>
      </c>
      <c r="I31" s="67">
        <v>1</v>
      </c>
      <c r="J31" s="67">
        <v>66</v>
      </c>
      <c r="K31" s="67">
        <v>49</v>
      </c>
      <c r="L31" s="67">
        <v>1</v>
      </c>
      <c r="M31" s="67">
        <v>1</v>
      </c>
      <c r="N31" s="67">
        <v>47</v>
      </c>
      <c r="O31" s="67">
        <v>25</v>
      </c>
      <c r="P31" s="67">
        <v>1</v>
      </c>
      <c r="Q31" s="67">
        <v>9</v>
      </c>
      <c r="R31" s="67">
        <v>15</v>
      </c>
      <c r="S31" s="67">
        <v>0</v>
      </c>
      <c r="T31" s="67">
        <v>0</v>
      </c>
      <c r="U31" s="67">
        <v>0</v>
      </c>
      <c r="V31" s="67">
        <v>0</v>
      </c>
      <c r="W31" s="67">
        <v>106</v>
      </c>
      <c r="X31" s="67">
        <v>7</v>
      </c>
      <c r="Y31" s="67">
        <v>4</v>
      </c>
      <c r="Z31" s="67">
        <v>95</v>
      </c>
      <c r="AA31" s="67">
        <v>418</v>
      </c>
      <c r="AB31" s="67">
        <v>19</v>
      </c>
      <c r="AC31" s="67">
        <v>28</v>
      </c>
      <c r="AD31" s="67">
        <v>371</v>
      </c>
      <c r="AE31" s="67">
        <v>99</v>
      </c>
      <c r="AF31" s="67">
        <v>3</v>
      </c>
      <c r="AG31" s="67">
        <v>1</v>
      </c>
      <c r="AH31" s="67">
        <v>95</v>
      </c>
      <c r="AI31" s="67">
        <v>96</v>
      </c>
      <c r="AJ31" s="67">
        <v>2</v>
      </c>
      <c r="AK31" s="67">
        <v>5</v>
      </c>
      <c r="AL31" s="67">
        <v>89</v>
      </c>
      <c r="AM31" s="67">
        <v>40</v>
      </c>
      <c r="AN31" s="67">
        <v>3</v>
      </c>
      <c r="AO31" s="67">
        <v>18</v>
      </c>
      <c r="AP31" s="67">
        <v>19</v>
      </c>
      <c r="AQ31" s="67">
        <v>0</v>
      </c>
      <c r="AR31" s="67">
        <v>0</v>
      </c>
      <c r="AS31" s="67">
        <v>0</v>
      </c>
      <c r="AT31" s="67">
        <v>0</v>
      </c>
      <c r="AU31" s="67">
        <v>183</v>
      </c>
      <c r="AV31" s="67">
        <v>11</v>
      </c>
      <c r="AW31" s="67">
        <v>4</v>
      </c>
      <c r="AX31" s="67">
        <v>168</v>
      </c>
    </row>
    <row r="32" spans="1:50" ht="15.75" customHeight="1">
      <c r="A32" s="345" t="s">
        <v>9</v>
      </c>
      <c r="B32" s="65" t="s">
        <v>224</v>
      </c>
      <c r="C32" s="68">
        <v>106</v>
      </c>
      <c r="D32" s="68">
        <v>6</v>
      </c>
      <c r="E32" s="68">
        <v>4</v>
      </c>
      <c r="F32" s="68">
        <v>96</v>
      </c>
      <c r="G32" s="68">
        <v>20</v>
      </c>
      <c r="H32" s="68">
        <v>1</v>
      </c>
      <c r="I32" s="68">
        <v>0</v>
      </c>
      <c r="J32" s="68">
        <v>19</v>
      </c>
      <c r="K32" s="68">
        <v>25</v>
      </c>
      <c r="L32" s="68">
        <v>1</v>
      </c>
      <c r="M32" s="68">
        <v>0</v>
      </c>
      <c r="N32" s="68">
        <v>24</v>
      </c>
      <c r="O32" s="68">
        <v>17</v>
      </c>
      <c r="P32" s="68">
        <v>0</v>
      </c>
      <c r="Q32" s="68">
        <v>4</v>
      </c>
      <c r="R32" s="68">
        <v>13</v>
      </c>
      <c r="S32" s="68">
        <v>0</v>
      </c>
      <c r="T32" s="68">
        <v>0</v>
      </c>
      <c r="U32" s="68">
        <v>0</v>
      </c>
      <c r="V32" s="68">
        <v>0</v>
      </c>
      <c r="W32" s="68">
        <v>44</v>
      </c>
      <c r="X32" s="68">
        <v>4</v>
      </c>
      <c r="Y32" s="68">
        <v>0</v>
      </c>
      <c r="Z32" s="68">
        <v>40</v>
      </c>
      <c r="AA32" s="68">
        <v>177</v>
      </c>
      <c r="AB32" s="68">
        <v>9</v>
      </c>
      <c r="AC32" s="68">
        <v>9</v>
      </c>
      <c r="AD32" s="68">
        <v>159</v>
      </c>
      <c r="AE32" s="68">
        <v>27</v>
      </c>
      <c r="AF32" s="68">
        <v>1</v>
      </c>
      <c r="AG32" s="68">
        <v>0</v>
      </c>
      <c r="AH32" s="68">
        <v>26</v>
      </c>
      <c r="AI32" s="68">
        <v>43</v>
      </c>
      <c r="AJ32" s="68">
        <v>2</v>
      </c>
      <c r="AK32" s="68">
        <v>0</v>
      </c>
      <c r="AL32" s="68">
        <v>41</v>
      </c>
      <c r="AM32" s="68">
        <v>26</v>
      </c>
      <c r="AN32" s="68">
        <v>0</v>
      </c>
      <c r="AO32" s="68">
        <v>9</v>
      </c>
      <c r="AP32" s="68">
        <v>17</v>
      </c>
      <c r="AQ32" s="68">
        <v>0</v>
      </c>
      <c r="AR32" s="68">
        <v>0</v>
      </c>
      <c r="AS32" s="68">
        <v>0</v>
      </c>
      <c r="AT32" s="68">
        <v>0</v>
      </c>
      <c r="AU32" s="68">
        <v>81</v>
      </c>
      <c r="AV32" s="68">
        <v>6</v>
      </c>
      <c r="AW32" s="68">
        <v>0</v>
      </c>
      <c r="AX32" s="68">
        <v>75</v>
      </c>
    </row>
    <row r="33" spans="1:50" ht="15.75" customHeight="1">
      <c r="A33" s="346"/>
      <c r="B33" s="65" t="s">
        <v>225</v>
      </c>
      <c r="C33" s="68">
        <v>142</v>
      </c>
      <c r="D33" s="68">
        <v>4</v>
      </c>
      <c r="E33" s="68">
        <v>11</v>
      </c>
      <c r="F33" s="68">
        <v>127</v>
      </c>
      <c r="G33" s="68">
        <v>48</v>
      </c>
      <c r="H33" s="68">
        <v>0</v>
      </c>
      <c r="I33" s="68">
        <v>1</v>
      </c>
      <c r="J33" s="68">
        <v>47</v>
      </c>
      <c r="K33" s="68">
        <v>24</v>
      </c>
      <c r="L33" s="68">
        <v>0</v>
      </c>
      <c r="M33" s="68">
        <v>1</v>
      </c>
      <c r="N33" s="68">
        <v>23</v>
      </c>
      <c r="O33" s="68">
        <v>8</v>
      </c>
      <c r="P33" s="68">
        <v>1</v>
      </c>
      <c r="Q33" s="68">
        <v>5</v>
      </c>
      <c r="R33" s="68">
        <v>2</v>
      </c>
      <c r="S33" s="68">
        <v>0</v>
      </c>
      <c r="T33" s="68">
        <v>0</v>
      </c>
      <c r="U33" s="68">
        <v>0</v>
      </c>
      <c r="V33" s="68">
        <v>0</v>
      </c>
      <c r="W33" s="68">
        <v>62</v>
      </c>
      <c r="X33" s="68">
        <v>3</v>
      </c>
      <c r="Y33" s="68">
        <v>4</v>
      </c>
      <c r="Z33" s="68">
        <v>55</v>
      </c>
      <c r="AA33" s="68">
        <v>241</v>
      </c>
      <c r="AB33" s="68">
        <v>10</v>
      </c>
      <c r="AC33" s="68">
        <v>19</v>
      </c>
      <c r="AD33" s="68">
        <v>212</v>
      </c>
      <c r="AE33" s="68">
        <v>72</v>
      </c>
      <c r="AF33" s="68">
        <v>2</v>
      </c>
      <c r="AG33" s="68">
        <v>1</v>
      </c>
      <c r="AH33" s="68">
        <v>69</v>
      </c>
      <c r="AI33" s="68">
        <v>53</v>
      </c>
      <c r="AJ33" s="68">
        <v>0</v>
      </c>
      <c r="AK33" s="68">
        <v>5</v>
      </c>
      <c r="AL33" s="68">
        <v>48</v>
      </c>
      <c r="AM33" s="68">
        <v>14</v>
      </c>
      <c r="AN33" s="68">
        <v>3</v>
      </c>
      <c r="AO33" s="68">
        <v>9</v>
      </c>
      <c r="AP33" s="68">
        <v>2</v>
      </c>
      <c r="AQ33" s="68">
        <v>0</v>
      </c>
      <c r="AR33" s="68">
        <v>0</v>
      </c>
      <c r="AS33" s="68">
        <v>0</v>
      </c>
      <c r="AT33" s="68">
        <v>0</v>
      </c>
      <c r="AU33" s="68">
        <v>102</v>
      </c>
      <c r="AV33" s="68">
        <v>5</v>
      </c>
      <c r="AW33" s="68">
        <v>4</v>
      </c>
      <c r="AX33" s="68">
        <v>93</v>
      </c>
    </row>
    <row r="34" spans="1:50" ht="15.75" customHeight="1">
      <c r="A34" s="63" t="s">
        <v>209</v>
      </c>
      <c r="B34" s="64" t="s">
        <v>223</v>
      </c>
      <c r="C34" s="67">
        <v>247</v>
      </c>
      <c r="D34" s="67">
        <v>13</v>
      </c>
      <c r="E34" s="67">
        <v>16</v>
      </c>
      <c r="F34" s="67">
        <v>218</v>
      </c>
      <c r="G34" s="67">
        <v>74</v>
      </c>
      <c r="H34" s="67">
        <v>5</v>
      </c>
      <c r="I34" s="67">
        <v>0</v>
      </c>
      <c r="J34" s="67">
        <v>69</v>
      </c>
      <c r="K34" s="67">
        <v>58</v>
      </c>
      <c r="L34" s="67">
        <v>3</v>
      </c>
      <c r="M34" s="67">
        <v>5</v>
      </c>
      <c r="N34" s="67">
        <v>50</v>
      </c>
      <c r="O34" s="67">
        <v>7</v>
      </c>
      <c r="P34" s="67">
        <v>1</v>
      </c>
      <c r="Q34" s="67">
        <v>1</v>
      </c>
      <c r="R34" s="67">
        <v>5</v>
      </c>
      <c r="S34" s="67">
        <v>1</v>
      </c>
      <c r="T34" s="67">
        <v>0</v>
      </c>
      <c r="U34" s="67">
        <v>1</v>
      </c>
      <c r="V34" s="67">
        <v>0</v>
      </c>
      <c r="W34" s="67">
        <v>107</v>
      </c>
      <c r="X34" s="67">
        <v>4</v>
      </c>
      <c r="Y34" s="67">
        <v>9</v>
      </c>
      <c r="Z34" s="67">
        <v>94</v>
      </c>
      <c r="AA34" s="67">
        <v>475</v>
      </c>
      <c r="AB34" s="67">
        <v>35</v>
      </c>
      <c r="AC34" s="67">
        <v>28</v>
      </c>
      <c r="AD34" s="67">
        <v>412</v>
      </c>
      <c r="AE34" s="67">
        <v>110</v>
      </c>
      <c r="AF34" s="67">
        <v>8</v>
      </c>
      <c r="AG34" s="67">
        <v>0</v>
      </c>
      <c r="AH34" s="67">
        <v>102</v>
      </c>
      <c r="AI34" s="67">
        <v>124</v>
      </c>
      <c r="AJ34" s="67">
        <v>11</v>
      </c>
      <c r="AK34" s="67">
        <v>10</v>
      </c>
      <c r="AL34" s="67">
        <v>103</v>
      </c>
      <c r="AM34" s="67">
        <v>32</v>
      </c>
      <c r="AN34" s="67">
        <v>8</v>
      </c>
      <c r="AO34" s="67">
        <v>8</v>
      </c>
      <c r="AP34" s="67">
        <v>16</v>
      </c>
      <c r="AQ34" s="67">
        <v>1</v>
      </c>
      <c r="AR34" s="67">
        <v>0</v>
      </c>
      <c r="AS34" s="67">
        <v>1</v>
      </c>
      <c r="AT34" s="67">
        <v>0</v>
      </c>
      <c r="AU34" s="67">
        <v>208</v>
      </c>
      <c r="AV34" s="67">
        <v>8</v>
      </c>
      <c r="AW34" s="67">
        <v>9</v>
      </c>
      <c r="AX34" s="67">
        <v>191</v>
      </c>
    </row>
    <row r="35" spans="1:50" ht="15.75" customHeight="1">
      <c r="A35" s="345" t="s">
        <v>10</v>
      </c>
      <c r="B35" s="65" t="s">
        <v>224</v>
      </c>
      <c r="C35" s="68">
        <v>84</v>
      </c>
      <c r="D35" s="68">
        <v>6</v>
      </c>
      <c r="E35" s="68">
        <v>7</v>
      </c>
      <c r="F35" s="68">
        <v>71</v>
      </c>
      <c r="G35" s="68">
        <v>26</v>
      </c>
      <c r="H35" s="68">
        <v>3</v>
      </c>
      <c r="I35" s="68">
        <v>0</v>
      </c>
      <c r="J35" s="68">
        <v>23</v>
      </c>
      <c r="K35" s="68">
        <v>26</v>
      </c>
      <c r="L35" s="68">
        <v>3</v>
      </c>
      <c r="M35" s="68">
        <v>5</v>
      </c>
      <c r="N35" s="68">
        <v>18</v>
      </c>
      <c r="O35" s="68">
        <v>3</v>
      </c>
      <c r="P35" s="68">
        <v>0</v>
      </c>
      <c r="Q35" s="68">
        <v>0</v>
      </c>
      <c r="R35" s="68">
        <v>3</v>
      </c>
      <c r="S35" s="68">
        <v>0</v>
      </c>
      <c r="T35" s="68">
        <v>0</v>
      </c>
      <c r="U35" s="68">
        <v>0</v>
      </c>
      <c r="V35" s="68">
        <v>0</v>
      </c>
      <c r="W35" s="68">
        <v>29</v>
      </c>
      <c r="X35" s="68">
        <v>0</v>
      </c>
      <c r="Y35" s="68">
        <v>2</v>
      </c>
      <c r="Z35" s="68">
        <v>27</v>
      </c>
      <c r="AA35" s="68">
        <v>173</v>
      </c>
      <c r="AB35" s="68">
        <v>17</v>
      </c>
      <c r="AC35" s="68">
        <v>13</v>
      </c>
      <c r="AD35" s="68">
        <v>143</v>
      </c>
      <c r="AE35" s="68">
        <v>40</v>
      </c>
      <c r="AF35" s="68">
        <v>4</v>
      </c>
      <c r="AG35" s="68">
        <v>0</v>
      </c>
      <c r="AH35" s="68">
        <v>36</v>
      </c>
      <c r="AI35" s="68">
        <v>48</v>
      </c>
      <c r="AJ35" s="68">
        <v>7</v>
      </c>
      <c r="AK35" s="68">
        <v>7</v>
      </c>
      <c r="AL35" s="68">
        <v>34</v>
      </c>
      <c r="AM35" s="68">
        <v>14</v>
      </c>
      <c r="AN35" s="68">
        <v>4</v>
      </c>
      <c r="AO35" s="68">
        <v>1</v>
      </c>
      <c r="AP35" s="68">
        <v>9</v>
      </c>
      <c r="AQ35" s="68">
        <v>0</v>
      </c>
      <c r="AR35" s="68">
        <v>0</v>
      </c>
      <c r="AS35" s="68">
        <v>0</v>
      </c>
      <c r="AT35" s="68">
        <v>0</v>
      </c>
      <c r="AU35" s="68">
        <v>71</v>
      </c>
      <c r="AV35" s="68">
        <v>2</v>
      </c>
      <c r="AW35" s="68">
        <v>5</v>
      </c>
      <c r="AX35" s="68">
        <v>64</v>
      </c>
    </row>
    <row r="36" spans="1:50" ht="15.75" customHeight="1">
      <c r="A36" s="346"/>
      <c r="B36" s="65" t="s">
        <v>225</v>
      </c>
      <c r="C36" s="68">
        <v>163</v>
      </c>
      <c r="D36" s="68">
        <v>7</v>
      </c>
      <c r="E36" s="68">
        <v>9</v>
      </c>
      <c r="F36" s="68">
        <v>147</v>
      </c>
      <c r="G36" s="68">
        <v>48</v>
      </c>
      <c r="H36" s="68">
        <v>2</v>
      </c>
      <c r="I36" s="68">
        <v>0</v>
      </c>
      <c r="J36" s="68">
        <v>46</v>
      </c>
      <c r="K36" s="68">
        <v>32</v>
      </c>
      <c r="L36" s="68">
        <v>0</v>
      </c>
      <c r="M36" s="68">
        <v>0</v>
      </c>
      <c r="N36" s="68">
        <v>32</v>
      </c>
      <c r="O36" s="68">
        <v>4</v>
      </c>
      <c r="P36" s="68">
        <v>1</v>
      </c>
      <c r="Q36" s="68">
        <v>1</v>
      </c>
      <c r="R36" s="68">
        <v>2</v>
      </c>
      <c r="S36" s="68">
        <v>1</v>
      </c>
      <c r="T36" s="68">
        <v>0</v>
      </c>
      <c r="U36" s="68">
        <v>1</v>
      </c>
      <c r="V36" s="68">
        <v>0</v>
      </c>
      <c r="W36" s="68">
        <v>78</v>
      </c>
      <c r="X36" s="68">
        <v>4</v>
      </c>
      <c r="Y36" s="68">
        <v>7</v>
      </c>
      <c r="Z36" s="68">
        <v>67</v>
      </c>
      <c r="AA36" s="68">
        <v>302</v>
      </c>
      <c r="AB36" s="68">
        <v>18</v>
      </c>
      <c r="AC36" s="68">
        <v>15</v>
      </c>
      <c r="AD36" s="68">
        <v>269</v>
      </c>
      <c r="AE36" s="68">
        <v>70</v>
      </c>
      <c r="AF36" s="68">
        <v>4</v>
      </c>
      <c r="AG36" s="68">
        <v>0</v>
      </c>
      <c r="AH36" s="68">
        <v>66</v>
      </c>
      <c r="AI36" s="68">
        <v>76</v>
      </c>
      <c r="AJ36" s="68">
        <v>4</v>
      </c>
      <c r="AK36" s="68">
        <v>3</v>
      </c>
      <c r="AL36" s="68">
        <v>69</v>
      </c>
      <c r="AM36" s="68">
        <v>18</v>
      </c>
      <c r="AN36" s="68">
        <v>4</v>
      </c>
      <c r="AO36" s="68">
        <v>7</v>
      </c>
      <c r="AP36" s="68">
        <v>7</v>
      </c>
      <c r="AQ36" s="68">
        <v>1</v>
      </c>
      <c r="AR36" s="68">
        <v>0</v>
      </c>
      <c r="AS36" s="68">
        <v>1</v>
      </c>
      <c r="AT36" s="68">
        <v>0</v>
      </c>
      <c r="AU36" s="68">
        <v>137</v>
      </c>
      <c r="AV36" s="68">
        <v>6</v>
      </c>
      <c r="AW36" s="68">
        <v>4</v>
      </c>
      <c r="AX36" s="68">
        <v>127</v>
      </c>
    </row>
    <row r="37" spans="1:50" ht="15.75" customHeight="1">
      <c r="A37" s="63" t="s">
        <v>210</v>
      </c>
      <c r="B37" s="64" t="s">
        <v>223</v>
      </c>
      <c r="C37" s="67">
        <v>441</v>
      </c>
      <c r="D37" s="67">
        <v>31</v>
      </c>
      <c r="E37" s="67">
        <v>39</v>
      </c>
      <c r="F37" s="67">
        <v>371</v>
      </c>
      <c r="G37" s="67">
        <v>130</v>
      </c>
      <c r="H37" s="67">
        <v>6</v>
      </c>
      <c r="I37" s="67">
        <v>0</v>
      </c>
      <c r="J37" s="67">
        <v>124</v>
      </c>
      <c r="K37" s="67">
        <v>100</v>
      </c>
      <c r="L37" s="67">
        <v>4</v>
      </c>
      <c r="M37" s="67">
        <v>10</v>
      </c>
      <c r="N37" s="67">
        <v>86</v>
      </c>
      <c r="O37" s="67">
        <v>33</v>
      </c>
      <c r="P37" s="67">
        <v>5</v>
      </c>
      <c r="Q37" s="67">
        <v>16</v>
      </c>
      <c r="R37" s="67">
        <v>12</v>
      </c>
      <c r="S37" s="67">
        <v>0</v>
      </c>
      <c r="T37" s="67">
        <v>0</v>
      </c>
      <c r="U37" s="67">
        <v>0</v>
      </c>
      <c r="V37" s="67">
        <v>0</v>
      </c>
      <c r="W37" s="67">
        <v>178</v>
      </c>
      <c r="X37" s="67">
        <v>16</v>
      </c>
      <c r="Y37" s="67">
        <v>13</v>
      </c>
      <c r="Z37" s="67">
        <v>149</v>
      </c>
      <c r="AA37" s="67">
        <v>1105</v>
      </c>
      <c r="AB37" s="67">
        <v>86</v>
      </c>
      <c r="AC37" s="67">
        <v>83</v>
      </c>
      <c r="AD37" s="67">
        <v>936</v>
      </c>
      <c r="AE37" s="67">
        <v>211</v>
      </c>
      <c r="AF37" s="67">
        <v>8</v>
      </c>
      <c r="AG37" s="67">
        <v>0</v>
      </c>
      <c r="AH37" s="67">
        <v>203</v>
      </c>
      <c r="AI37" s="67">
        <v>448</v>
      </c>
      <c r="AJ37" s="67">
        <v>28</v>
      </c>
      <c r="AK37" s="67">
        <v>24</v>
      </c>
      <c r="AL37" s="67">
        <v>396</v>
      </c>
      <c r="AM37" s="67">
        <v>89</v>
      </c>
      <c r="AN37" s="67">
        <v>20</v>
      </c>
      <c r="AO37" s="67">
        <v>36</v>
      </c>
      <c r="AP37" s="67">
        <v>33</v>
      </c>
      <c r="AQ37" s="67">
        <v>0</v>
      </c>
      <c r="AR37" s="67">
        <v>0</v>
      </c>
      <c r="AS37" s="67">
        <v>0</v>
      </c>
      <c r="AT37" s="67">
        <v>0</v>
      </c>
      <c r="AU37" s="67">
        <v>357</v>
      </c>
      <c r="AV37" s="67">
        <v>30</v>
      </c>
      <c r="AW37" s="67">
        <v>23</v>
      </c>
      <c r="AX37" s="67">
        <v>304</v>
      </c>
    </row>
    <row r="38" spans="1:50" ht="15.75" customHeight="1">
      <c r="A38" s="345" t="s">
        <v>11</v>
      </c>
      <c r="B38" s="65" t="s">
        <v>224</v>
      </c>
      <c r="C38" s="68">
        <v>134</v>
      </c>
      <c r="D38" s="68">
        <v>13</v>
      </c>
      <c r="E38" s="68">
        <v>19</v>
      </c>
      <c r="F38" s="68">
        <v>102</v>
      </c>
      <c r="G38" s="68">
        <v>35</v>
      </c>
      <c r="H38" s="68">
        <v>1</v>
      </c>
      <c r="I38" s="68">
        <v>0</v>
      </c>
      <c r="J38" s="68">
        <v>34</v>
      </c>
      <c r="K38" s="68">
        <v>33</v>
      </c>
      <c r="L38" s="68">
        <v>3</v>
      </c>
      <c r="M38" s="68">
        <v>4</v>
      </c>
      <c r="N38" s="68">
        <v>26</v>
      </c>
      <c r="O38" s="68">
        <v>18</v>
      </c>
      <c r="P38" s="68">
        <v>3</v>
      </c>
      <c r="Q38" s="68">
        <v>9</v>
      </c>
      <c r="R38" s="68">
        <v>6</v>
      </c>
      <c r="S38" s="68">
        <v>0</v>
      </c>
      <c r="T38" s="68">
        <v>0</v>
      </c>
      <c r="U38" s="68">
        <v>0</v>
      </c>
      <c r="V38" s="68">
        <v>0</v>
      </c>
      <c r="W38" s="68">
        <v>48</v>
      </c>
      <c r="X38" s="68">
        <v>6</v>
      </c>
      <c r="Y38" s="68">
        <v>6</v>
      </c>
      <c r="Z38" s="68">
        <v>36</v>
      </c>
      <c r="AA38" s="68">
        <v>371</v>
      </c>
      <c r="AB38" s="68">
        <v>34</v>
      </c>
      <c r="AC38" s="68">
        <v>40</v>
      </c>
      <c r="AD38" s="68">
        <v>297</v>
      </c>
      <c r="AE38" s="68">
        <v>58</v>
      </c>
      <c r="AF38" s="68">
        <v>1</v>
      </c>
      <c r="AG38" s="68">
        <v>0</v>
      </c>
      <c r="AH38" s="68">
        <v>57</v>
      </c>
      <c r="AI38" s="68">
        <v>152</v>
      </c>
      <c r="AJ38" s="68">
        <v>9</v>
      </c>
      <c r="AK38" s="68">
        <v>8</v>
      </c>
      <c r="AL38" s="68">
        <v>135</v>
      </c>
      <c r="AM38" s="68">
        <v>51</v>
      </c>
      <c r="AN38" s="68">
        <v>13</v>
      </c>
      <c r="AO38" s="68">
        <v>21</v>
      </c>
      <c r="AP38" s="68">
        <v>17</v>
      </c>
      <c r="AQ38" s="68">
        <v>0</v>
      </c>
      <c r="AR38" s="68">
        <v>0</v>
      </c>
      <c r="AS38" s="68">
        <v>0</v>
      </c>
      <c r="AT38" s="68">
        <v>0</v>
      </c>
      <c r="AU38" s="68">
        <v>110</v>
      </c>
      <c r="AV38" s="68">
        <v>11</v>
      </c>
      <c r="AW38" s="68">
        <v>11</v>
      </c>
      <c r="AX38" s="68">
        <v>88</v>
      </c>
    </row>
    <row r="39" spans="1:50" ht="15.75" customHeight="1">
      <c r="A39" s="346"/>
      <c r="B39" s="65" t="s">
        <v>225</v>
      </c>
      <c r="C39" s="68">
        <v>307</v>
      </c>
      <c r="D39" s="68">
        <v>18</v>
      </c>
      <c r="E39" s="68">
        <v>20</v>
      </c>
      <c r="F39" s="68">
        <v>269</v>
      </c>
      <c r="G39" s="68">
        <v>95</v>
      </c>
      <c r="H39" s="68">
        <v>5</v>
      </c>
      <c r="I39" s="68">
        <v>0</v>
      </c>
      <c r="J39" s="68">
        <v>90</v>
      </c>
      <c r="K39" s="68">
        <v>67</v>
      </c>
      <c r="L39" s="68">
        <v>1</v>
      </c>
      <c r="M39" s="68">
        <v>6</v>
      </c>
      <c r="N39" s="68">
        <v>60</v>
      </c>
      <c r="O39" s="68">
        <v>15</v>
      </c>
      <c r="P39" s="68">
        <v>2</v>
      </c>
      <c r="Q39" s="68">
        <v>7</v>
      </c>
      <c r="R39" s="68">
        <v>6</v>
      </c>
      <c r="S39" s="68">
        <v>0</v>
      </c>
      <c r="T39" s="68">
        <v>0</v>
      </c>
      <c r="U39" s="68">
        <v>0</v>
      </c>
      <c r="V39" s="68">
        <v>0</v>
      </c>
      <c r="W39" s="68">
        <v>130</v>
      </c>
      <c r="X39" s="68">
        <v>10</v>
      </c>
      <c r="Y39" s="68">
        <v>7</v>
      </c>
      <c r="Z39" s="68">
        <v>113</v>
      </c>
      <c r="AA39" s="68">
        <v>734</v>
      </c>
      <c r="AB39" s="68">
        <v>52</v>
      </c>
      <c r="AC39" s="68">
        <v>43</v>
      </c>
      <c r="AD39" s="68">
        <v>639</v>
      </c>
      <c r="AE39" s="68">
        <v>153</v>
      </c>
      <c r="AF39" s="68">
        <v>7</v>
      </c>
      <c r="AG39" s="68">
        <v>0</v>
      </c>
      <c r="AH39" s="68">
        <v>146</v>
      </c>
      <c r="AI39" s="68">
        <v>296</v>
      </c>
      <c r="AJ39" s="68">
        <v>19</v>
      </c>
      <c r="AK39" s="68">
        <v>16</v>
      </c>
      <c r="AL39" s="68">
        <v>261</v>
      </c>
      <c r="AM39" s="68">
        <v>38</v>
      </c>
      <c r="AN39" s="68">
        <v>7</v>
      </c>
      <c r="AO39" s="68">
        <v>15</v>
      </c>
      <c r="AP39" s="68">
        <v>16</v>
      </c>
      <c r="AQ39" s="68">
        <v>0</v>
      </c>
      <c r="AR39" s="68">
        <v>0</v>
      </c>
      <c r="AS39" s="68">
        <v>0</v>
      </c>
      <c r="AT39" s="68">
        <v>0</v>
      </c>
      <c r="AU39" s="68">
        <v>247</v>
      </c>
      <c r="AV39" s="68">
        <v>19</v>
      </c>
      <c r="AW39" s="68">
        <v>12</v>
      </c>
      <c r="AX39" s="68">
        <v>216</v>
      </c>
    </row>
    <row r="40" spans="1:50" ht="15.75" customHeight="1">
      <c r="A40" s="63" t="s">
        <v>211</v>
      </c>
      <c r="B40" s="64" t="s">
        <v>223</v>
      </c>
      <c r="C40" s="67">
        <v>339</v>
      </c>
      <c r="D40" s="67">
        <v>36</v>
      </c>
      <c r="E40" s="67">
        <v>29</v>
      </c>
      <c r="F40" s="67">
        <v>274</v>
      </c>
      <c r="G40" s="67">
        <v>112</v>
      </c>
      <c r="H40" s="67">
        <v>11</v>
      </c>
      <c r="I40" s="67">
        <v>3</v>
      </c>
      <c r="J40" s="67">
        <v>98</v>
      </c>
      <c r="K40" s="67">
        <v>89</v>
      </c>
      <c r="L40" s="67">
        <v>13</v>
      </c>
      <c r="M40" s="67">
        <v>9</v>
      </c>
      <c r="N40" s="67">
        <v>67</v>
      </c>
      <c r="O40" s="67">
        <v>7</v>
      </c>
      <c r="P40" s="67">
        <v>2</v>
      </c>
      <c r="Q40" s="67">
        <v>3</v>
      </c>
      <c r="R40" s="67">
        <v>2</v>
      </c>
      <c r="S40" s="67">
        <v>0</v>
      </c>
      <c r="T40" s="67">
        <v>0</v>
      </c>
      <c r="U40" s="67">
        <v>0</v>
      </c>
      <c r="V40" s="67">
        <v>0</v>
      </c>
      <c r="W40" s="67">
        <v>131</v>
      </c>
      <c r="X40" s="67">
        <v>10</v>
      </c>
      <c r="Y40" s="67">
        <v>14</v>
      </c>
      <c r="Z40" s="67">
        <v>107</v>
      </c>
      <c r="AA40" s="67">
        <v>753</v>
      </c>
      <c r="AB40" s="67">
        <v>73</v>
      </c>
      <c r="AC40" s="67">
        <v>57</v>
      </c>
      <c r="AD40" s="67">
        <v>623</v>
      </c>
      <c r="AE40" s="67">
        <v>248</v>
      </c>
      <c r="AF40" s="67">
        <v>23</v>
      </c>
      <c r="AG40" s="67">
        <v>7</v>
      </c>
      <c r="AH40" s="67">
        <v>218</v>
      </c>
      <c r="AI40" s="67">
        <v>208</v>
      </c>
      <c r="AJ40" s="67">
        <v>22</v>
      </c>
      <c r="AK40" s="67">
        <v>18</v>
      </c>
      <c r="AL40" s="67">
        <v>168</v>
      </c>
      <c r="AM40" s="67">
        <v>19</v>
      </c>
      <c r="AN40" s="67">
        <v>5</v>
      </c>
      <c r="AO40" s="67">
        <v>7</v>
      </c>
      <c r="AP40" s="67">
        <v>7</v>
      </c>
      <c r="AQ40" s="67">
        <v>0</v>
      </c>
      <c r="AR40" s="67">
        <v>0</v>
      </c>
      <c r="AS40" s="67">
        <v>0</v>
      </c>
      <c r="AT40" s="67">
        <v>0</v>
      </c>
      <c r="AU40" s="67">
        <v>278</v>
      </c>
      <c r="AV40" s="67">
        <v>23</v>
      </c>
      <c r="AW40" s="67">
        <v>25</v>
      </c>
      <c r="AX40" s="67">
        <v>230</v>
      </c>
    </row>
    <row r="41" spans="1:50" ht="15.75" customHeight="1">
      <c r="A41" s="345" t="s">
        <v>12</v>
      </c>
      <c r="B41" s="65" t="s">
        <v>224</v>
      </c>
      <c r="C41" s="68">
        <v>132</v>
      </c>
      <c r="D41" s="68">
        <v>23</v>
      </c>
      <c r="E41" s="68">
        <v>11</v>
      </c>
      <c r="F41" s="68">
        <v>98</v>
      </c>
      <c r="G41" s="68">
        <v>41</v>
      </c>
      <c r="H41" s="68">
        <v>6</v>
      </c>
      <c r="I41" s="68">
        <v>0</v>
      </c>
      <c r="J41" s="68">
        <v>35</v>
      </c>
      <c r="K41" s="68">
        <v>36</v>
      </c>
      <c r="L41" s="68">
        <v>10</v>
      </c>
      <c r="M41" s="68">
        <v>3</v>
      </c>
      <c r="N41" s="68">
        <v>23</v>
      </c>
      <c r="O41" s="68">
        <v>5</v>
      </c>
      <c r="P41" s="68">
        <v>2</v>
      </c>
      <c r="Q41" s="68">
        <v>3</v>
      </c>
      <c r="R41" s="68">
        <v>0</v>
      </c>
      <c r="S41" s="68">
        <v>0</v>
      </c>
      <c r="T41" s="68">
        <v>0</v>
      </c>
      <c r="U41" s="68">
        <v>0</v>
      </c>
      <c r="V41" s="68">
        <v>0</v>
      </c>
      <c r="W41" s="68">
        <v>50</v>
      </c>
      <c r="X41" s="68">
        <v>5</v>
      </c>
      <c r="Y41" s="68">
        <v>5</v>
      </c>
      <c r="Z41" s="68">
        <v>40</v>
      </c>
      <c r="AA41" s="68">
        <v>297</v>
      </c>
      <c r="AB41" s="68">
        <v>44</v>
      </c>
      <c r="AC41" s="68">
        <v>22</v>
      </c>
      <c r="AD41" s="68">
        <v>231</v>
      </c>
      <c r="AE41" s="68">
        <v>97</v>
      </c>
      <c r="AF41" s="68">
        <v>10</v>
      </c>
      <c r="AG41" s="68">
        <v>2</v>
      </c>
      <c r="AH41" s="68">
        <v>85</v>
      </c>
      <c r="AI41" s="68">
        <v>88</v>
      </c>
      <c r="AJ41" s="68">
        <v>18</v>
      </c>
      <c r="AK41" s="68">
        <v>7</v>
      </c>
      <c r="AL41" s="68">
        <v>63</v>
      </c>
      <c r="AM41" s="68">
        <v>15</v>
      </c>
      <c r="AN41" s="68">
        <v>5</v>
      </c>
      <c r="AO41" s="68">
        <v>6</v>
      </c>
      <c r="AP41" s="68">
        <v>4</v>
      </c>
      <c r="AQ41" s="68">
        <v>0</v>
      </c>
      <c r="AR41" s="68">
        <v>0</v>
      </c>
      <c r="AS41" s="68">
        <v>0</v>
      </c>
      <c r="AT41" s="68">
        <v>0</v>
      </c>
      <c r="AU41" s="68">
        <v>97</v>
      </c>
      <c r="AV41" s="68">
        <v>11</v>
      </c>
      <c r="AW41" s="68">
        <v>7</v>
      </c>
      <c r="AX41" s="68">
        <v>79</v>
      </c>
    </row>
    <row r="42" spans="1:50" ht="15.75" customHeight="1">
      <c r="A42" s="346"/>
      <c r="B42" s="65" t="s">
        <v>225</v>
      </c>
      <c r="C42" s="68">
        <v>207</v>
      </c>
      <c r="D42" s="68">
        <v>13</v>
      </c>
      <c r="E42" s="68">
        <v>18</v>
      </c>
      <c r="F42" s="68">
        <v>176</v>
      </c>
      <c r="G42" s="68">
        <v>71</v>
      </c>
      <c r="H42" s="68">
        <v>5</v>
      </c>
      <c r="I42" s="68">
        <v>3</v>
      </c>
      <c r="J42" s="68">
        <v>63</v>
      </c>
      <c r="K42" s="68">
        <v>53</v>
      </c>
      <c r="L42" s="68">
        <v>3</v>
      </c>
      <c r="M42" s="68">
        <v>6</v>
      </c>
      <c r="N42" s="68">
        <v>44</v>
      </c>
      <c r="O42" s="68">
        <v>2</v>
      </c>
      <c r="P42" s="68">
        <v>0</v>
      </c>
      <c r="Q42" s="68">
        <v>0</v>
      </c>
      <c r="R42" s="68">
        <v>2</v>
      </c>
      <c r="S42" s="68">
        <v>0</v>
      </c>
      <c r="T42" s="68">
        <v>0</v>
      </c>
      <c r="U42" s="68">
        <v>0</v>
      </c>
      <c r="V42" s="68">
        <v>0</v>
      </c>
      <c r="W42" s="68">
        <v>81</v>
      </c>
      <c r="X42" s="68">
        <v>5</v>
      </c>
      <c r="Y42" s="68">
        <v>9</v>
      </c>
      <c r="Z42" s="68">
        <v>67</v>
      </c>
      <c r="AA42" s="68">
        <v>456</v>
      </c>
      <c r="AB42" s="68">
        <v>29</v>
      </c>
      <c r="AC42" s="68">
        <v>35</v>
      </c>
      <c r="AD42" s="68">
        <v>392</v>
      </c>
      <c r="AE42" s="68">
        <v>151</v>
      </c>
      <c r="AF42" s="68">
        <v>13</v>
      </c>
      <c r="AG42" s="68">
        <v>5</v>
      </c>
      <c r="AH42" s="68">
        <v>133</v>
      </c>
      <c r="AI42" s="68">
        <v>120</v>
      </c>
      <c r="AJ42" s="68">
        <v>4</v>
      </c>
      <c r="AK42" s="68">
        <v>11</v>
      </c>
      <c r="AL42" s="68">
        <v>105</v>
      </c>
      <c r="AM42" s="68">
        <v>4</v>
      </c>
      <c r="AN42" s="68">
        <v>0</v>
      </c>
      <c r="AO42" s="68">
        <v>1</v>
      </c>
      <c r="AP42" s="68">
        <v>3</v>
      </c>
      <c r="AQ42" s="68">
        <v>0</v>
      </c>
      <c r="AR42" s="68">
        <v>0</v>
      </c>
      <c r="AS42" s="68">
        <v>0</v>
      </c>
      <c r="AT42" s="68">
        <v>0</v>
      </c>
      <c r="AU42" s="68">
        <v>181</v>
      </c>
      <c r="AV42" s="68">
        <v>12</v>
      </c>
      <c r="AW42" s="68">
        <v>18</v>
      </c>
      <c r="AX42" s="68">
        <v>151</v>
      </c>
    </row>
    <row r="43" spans="1:50" ht="15.75" customHeight="1">
      <c r="A43" s="63" t="s">
        <v>212</v>
      </c>
      <c r="B43" s="64" t="s">
        <v>223</v>
      </c>
      <c r="C43" s="67">
        <v>569</v>
      </c>
      <c r="D43" s="67">
        <v>46</v>
      </c>
      <c r="E43" s="67">
        <v>53</v>
      </c>
      <c r="F43" s="67">
        <v>470</v>
      </c>
      <c r="G43" s="67">
        <v>168</v>
      </c>
      <c r="H43" s="67">
        <v>15</v>
      </c>
      <c r="I43" s="67">
        <v>4</v>
      </c>
      <c r="J43" s="67">
        <v>149</v>
      </c>
      <c r="K43" s="67">
        <v>129</v>
      </c>
      <c r="L43" s="67">
        <v>12</v>
      </c>
      <c r="M43" s="67">
        <v>10</v>
      </c>
      <c r="N43" s="67">
        <v>107</v>
      </c>
      <c r="O43" s="67">
        <v>39</v>
      </c>
      <c r="P43" s="67">
        <v>5</v>
      </c>
      <c r="Q43" s="67">
        <v>18</v>
      </c>
      <c r="R43" s="67">
        <v>16</v>
      </c>
      <c r="S43" s="67">
        <v>0</v>
      </c>
      <c r="T43" s="67">
        <v>0</v>
      </c>
      <c r="U43" s="67">
        <v>0</v>
      </c>
      <c r="V43" s="67">
        <v>0</v>
      </c>
      <c r="W43" s="67">
        <v>233</v>
      </c>
      <c r="X43" s="67">
        <v>14</v>
      </c>
      <c r="Y43" s="67">
        <v>21</v>
      </c>
      <c r="Z43" s="67">
        <v>198</v>
      </c>
      <c r="AA43" s="67">
        <v>740</v>
      </c>
      <c r="AB43" s="67">
        <v>64</v>
      </c>
      <c r="AC43" s="67">
        <v>66</v>
      </c>
      <c r="AD43" s="67">
        <v>610</v>
      </c>
      <c r="AE43" s="67">
        <v>202</v>
      </c>
      <c r="AF43" s="67">
        <v>16</v>
      </c>
      <c r="AG43" s="67">
        <v>5</v>
      </c>
      <c r="AH43" s="67">
        <v>181</v>
      </c>
      <c r="AI43" s="67">
        <v>184</v>
      </c>
      <c r="AJ43" s="67">
        <v>15</v>
      </c>
      <c r="AK43" s="67">
        <v>16</v>
      </c>
      <c r="AL43" s="67">
        <v>153</v>
      </c>
      <c r="AM43" s="67">
        <v>51</v>
      </c>
      <c r="AN43" s="67">
        <v>8</v>
      </c>
      <c r="AO43" s="67">
        <v>21</v>
      </c>
      <c r="AP43" s="67">
        <v>22</v>
      </c>
      <c r="AQ43" s="67">
        <v>0</v>
      </c>
      <c r="AR43" s="67">
        <v>0</v>
      </c>
      <c r="AS43" s="67">
        <v>0</v>
      </c>
      <c r="AT43" s="67">
        <v>0</v>
      </c>
      <c r="AU43" s="67">
        <v>303</v>
      </c>
      <c r="AV43" s="67">
        <v>25</v>
      </c>
      <c r="AW43" s="67">
        <v>24</v>
      </c>
      <c r="AX43" s="67">
        <v>254</v>
      </c>
    </row>
    <row r="44" spans="1:50" ht="15.75" customHeight="1">
      <c r="A44" s="345" t="s">
        <v>13</v>
      </c>
      <c r="B44" s="65" t="s">
        <v>224</v>
      </c>
      <c r="C44" s="68">
        <v>186</v>
      </c>
      <c r="D44" s="68">
        <v>17</v>
      </c>
      <c r="E44" s="68">
        <v>19</v>
      </c>
      <c r="F44" s="68">
        <v>150</v>
      </c>
      <c r="G44" s="68">
        <v>42</v>
      </c>
      <c r="H44" s="68">
        <v>3</v>
      </c>
      <c r="I44" s="68">
        <v>2</v>
      </c>
      <c r="J44" s="68">
        <v>37</v>
      </c>
      <c r="K44" s="68">
        <v>51</v>
      </c>
      <c r="L44" s="68">
        <v>5</v>
      </c>
      <c r="M44" s="68">
        <v>4</v>
      </c>
      <c r="N44" s="68">
        <v>42</v>
      </c>
      <c r="O44" s="68">
        <v>21</v>
      </c>
      <c r="P44" s="68">
        <v>3</v>
      </c>
      <c r="Q44" s="68">
        <v>6</v>
      </c>
      <c r="R44" s="68">
        <v>12</v>
      </c>
      <c r="S44" s="68">
        <v>0</v>
      </c>
      <c r="T44" s="68">
        <v>0</v>
      </c>
      <c r="U44" s="68">
        <v>0</v>
      </c>
      <c r="V44" s="68">
        <v>0</v>
      </c>
      <c r="W44" s="68">
        <v>72</v>
      </c>
      <c r="X44" s="68">
        <v>6</v>
      </c>
      <c r="Y44" s="68">
        <v>7</v>
      </c>
      <c r="Z44" s="68">
        <v>59</v>
      </c>
      <c r="AA44" s="68">
        <v>251</v>
      </c>
      <c r="AB44" s="68">
        <v>27</v>
      </c>
      <c r="AC44" s="68">
        <v>25</v>
      </c>
      <c r="AD44" s="68">
        <v>199</v>
      </c>
      <c r="AE44" s="68">
        <v>50</v>
      </c>
      <c r="AF44" s="68">
        <v>3</v>
      </c>
      <c r="AG44" s="68">
        <v>2</v>
      </c>
      <c r="AH44" s="68">
        <v>45</v>
      </c>
      <c r="AI44" s="68">
        <v>74</v>
      </c>
      <c r="AJ44" s="68">
        <v>8</v>
      </c>
      <c r="AK44" s="68">
        <v>7</v>
      </c>
      <c r="AL44" s="68">
        <v>59</v>
      </c>
      <c r="AM44" s="68">
        <v>29</v>
      </c>
      <c r="AN44" s="68">
        <v>5</v>
      </c>
      <c r="AO44" s="68">
        <v>8</v>
      </c>
      <c r="AP44" s="68">
        <v>16</v>
      </c>
      <c r="AQ44" s="68">
        <v>0</v>
      </c>
      <c r="AR44" s="68">
        <v>0</v>
      </c>
      <c r="AS44" s="68">
        <v>0</v>
      </c>
      <c r="AT44" s="68">
        <v>0</v>
      </c>
      <c r="AU44" s="68">
        <v>98</v>
      </c>
      <c r="AV44" s="68">
        <v>11</v>
      </c>
      <c r="AW44" s="68">
        <v>8</v>
      </c>
      <c r="AX44" s="68">
        <v>79</v>
      </c>
    </row>
    <row r="45" spans="1:50" ht="15.75" customHeight="1">
      <c r="A45" s="346"/>
      <c r="B45" s="65" t="s">
        <v>225</v>
      </c>
      <c r="C45" s="68">
        <v>383</v>
      </c>
      <c r="D45" s="68">
        <v>29</v>
      </c>
      <c r="E45" s="68">
        <v>34</v>
      </c>
      <c r="F45" s="68">
        <v>320</v>
      </c>
      <c r="G45" s="68">
        <v>126</v>
      </c>
      <c r="H45" s="68">
        <v>12</v>
      </c>
      <c r="I45" s="68">
        <v>2</v>
      </c>
      <c r="J45" s="68">
        <v>112</v>
      </c>
      <c r="K45" s="68">
        <v>78</v>
      </c>
      <c r="L45" s="68">
        <v>7</v>
      </c>
      <c r="M45" s="68">
        <v>6</v>
      </c>
      <c r="N45" s="68">
        <v>65</v>
      </c>
      <c r="O45" s="68">
        <v>18</v>
      </c>
      <c r="P45" s="68">
        <v>2</v>
      </c>
      <c r="Q45" s="68">
        <v>12</v>
      </c>
      <c r="R45" s="68">
        <v>4</v>
      </c>
      <c r="S45" s="68">
        <v>0</v>
      </c>
      <c r="T45" s="68">
        <v>0</v>
      </c>
      <c r="U45" s="68">
        <v>0</v>
      </c>
      <c r="V45" s="68">
        <v>0</v>
      </c>
      <c r="W45" s="68">
        <v>161</v>
      </c>
      <c r="X45" s="68">
        <v>8</v>
      </c>
      <c r="Y45" s="68">
        <v>14</v>
      </c>
      <c r="Z45" s="68">
        <v>139</v>
      </c>
      <c r="AA45" s="68">
        <v>489</v>
      </c>
      <c r="AB45" s="68">
        <v>37</v>
      </c>
      <c r="AC45" s="68">
        <v>41</v>
      </c>
      <c r="AD45" s="68">
        <v>411</v>
      </c>
      <c r="AE45" s="68">
        <v>152</v>
      </c>
      <c r="AF45" s="68">
        <v>13</v>
      </c>
      <c r="AG45" s="68">
        <v>3</v>
      </c>
      <c r="AH45" s="68">
        <v>136</v>
      </c>
      <c r="AI45" s="68">
        <v>110</v>
      </c>
      <c r="AJ45" s="68">
        <v>7</v>
      </c>
      <c r="AK45" s="68">
        <v>9</v>
      </c>
      <c r="AL45" s="68">
        <v>94</v>
      </c>
      <c r="AM45" s="68">
        <v>22</v>
      </c>
      <c r="AN45" s="68">
        <v>3</v>
      </c>
      <c r="AO45" s="68">
        <v>13</v>
      </c>
      <c r="AP45" s="68">
        <v>6</v>
      </c>
      <c r="AQ45" s="68">
        <v>0</v>
      </c>
      <c r="AR45" s="68">
        <v>0</v>
      </c>
      <c r="AS45" s="68">
        <v>0</v>
      </c>
      <c r="AT45" s="68">
        <v>0</v>
      </c>
      <c r="AU45" s="68">
        <v>205</v>
      </c>
      <c r="AV45" s="68">
        <v>14</v>
      </c>
      <c r="AW45" s="68">
        <v>16</v>
      </c>
      <c r="AX45" s="68">
        <v>175</v>
      </c>
    </row>
    <row r="46" spans="1:50" ht="15.75" customHeight="1">
      <c r="A46" s="63" t="s">
        <v>213</v>
      </c>
      <c r="B46" s="64" t="s">
        <v>223</v>
      </c>
      <c r="C46" s="67">
        <v>195</v>
      </c>
      <c r="D46" s="67">
        <v>15</v>
      </c>
      <c r="E46" s="67">
        <v>17</v>
      </c>
      <c r="F46" s="67">
        <v>163</v>
      </c>
      <c r="G46" s="67">
        <v>80</v>
      </c>
      <c r="H46" s="67">
        <v>4</v>
      </c>
      <c r="I46" s="67">
        <v>5</v>
      </c>
      <c r="J46" s="67">
        <v>71</v>
      </c>
      <c r="K46" s="67">
        <v>14</v>
      </c>
      <c r="L46" s="67">
        <v>0</v>
      </c>
      <c r="M46" s="67">
        <v>4</v>
      </c>
      <c r="N46" s="67">
        <v>10</v>
      </c>
      <c r="O46" s="67">
        <v>8</v>
      </c>
      <c r="P46" s="67">
        <v>1</v>
      </c>
      <c r="Q46" s="67">
        <v>0</v>
      </c>
      <c r="R46" s="67">
        <v>7</v>
      </c>
      <c r="S46" s="67">
        <v>0</v>
      </c>
      <c r="T46" s="67">
        <v>0</v>
      </c>
      <c r="U46" s="67">
        <v>0</v>
      </c>
      <c r="V46" s="67">
        <v>0</v>
      </c>
      <c r="W46" s="67">
        <v>93</v>
      </c>
      <c r="X46" s="67">
        <v>10</v>
      </c>
      <c r="Y46" s="67">
        <v>8</v>
      </c>
      <c r="Z46" s="67">
        <v>75</v>
      </c>
      <c r="AA46" s="67">
        <v>554</v>
      </c>
      <c r="AB46" s="67">
        <v>44</v>
      </c>
      <c r="AC46" s="67">
        <v>118</v>
      </c>
      <c r="AD46" s="67">
        <v>392</v>
      </c>
      <c r="AE46" s="67">
        <v>172</v>
      </c>
      <c r="AF46" s="67">
        <v>7</v>
      </c>
      <c r="AG46" s="67">
        <v>26</v>
      </c>
      <c r="AH46" s="67">
        <v>139</v>
      </c>
      <c r="AI46" s="67">
        <v>61</v>
      </c>
      <c r="AJ46" s="67">
        <v>2</v>
      </c>
      <c r="AK46" s="67">
        <v>3</v>
      </c>
      <c r="AL46" s="67">
        <v>56</v>
      </c>
      <c r="AM46" s="67">
        <v>134</v>
      </c>
      <c r="AN46" s="67">
        <v>1</v>
      </c>
      <c r="AO46" s="67">
        <v>49</v>
      </c>
      <c r="AP46" s="67">
        <v>84</v>
      </c>
      <c r="AQ46" s="67">
        <v>0</v>
      </c>
      <c r="AR46" s="67">
        <v>0</v>
      </c>
      <c r="AS46" s="67">
        <v>0</v>
      </c>
      <c r="AT46" s="67">
        <v>0</v>
      </c>
      <c r="AU46" s="67">
        <v>187</v>
      </c>
      <c r="AV46" s="67">
        <v>34</v>
      </c>
      <c r="AW46" s="67">
        <v>40</v>
      </c>
      <c r="AX46" s="67">
        <v>113</v>
      </c>
    </row>
    <row r="47" spans="1:50" ht="15.75" customHeight="1">
      <c r="A47" s="345" t="s">
        <v>14</v>
      </c>
      <c r="B47" s="65" t="s">
        <v>224</v>
      </c>
      <c r="C47" s="68">
        <v>105</v>
      </c>
      <c r="D47" s="68">
        <v>10</v>
      </c>
      <c r="E47" s="68">
        <v>10</v>
      </c>
      <c r="F47" s="68">
        <v>85</v>
      </c>
      <c r="G47" s="68">
        <v>42</v>
      </c>
      <c r="H47" s="68">
        <v>1</v>
      </c>
      <c r="I47" s="68">
        <v>3</v>
      </c>
      <c r="J47" s="68">
        <v>38</v>
      </c>
      <c r="K47" s="68">
        <v>8</v>
      </c>
      <c r="L47" s="68">
        <v>0</v>
      </c>
      <c r="M47" s="68">
        <v>2</v>
      </c>
      <c r="N47" s="68">
        <v>6</v>
      </c>
      <c r="O47" s="68">
        <v>5</v>
      </c>
      <c r="P47" s="68">
        <v>1</v>
      </c>
      <c r="Q47" s="68">
        <v>0</v>
      </c>
      <c r="R47" s="68">
        <v>4</v>
      </c>
      <c r="S47" s="68">
        <v>0</v>
      </c>
      <c r="T47" s="68">
        <v>0</v>
      </c>
      <c r="U47" s="68">
        <v>0</v>
      </c>
      <c r="V47" s="68">
        <v>0</v>
      </c>
      <c r="W47" s="68">
        <v>50</v>
      </c>
      <c r="X47" s="68">
        <v>8</v>
      </c>
      <c r="Y47" s="68">
        <v>5</v>
      </c>
      <c r="Z47" s="68">
        <v>37</v>
      </c>
      <c r="AA47" s="68">
        <v>229</v>
      </c>
      <c r="AB47" s="68">
        <v>28</v>
      </c>
      <c r="AC47" s="68">
        <v>49</v>
      </c>
      <c r="AD47" s="68">
        <v>152</v>
      </c>
      <c r="AE47" s="68">
        <v>61</v>
      </c>
      <c r="AF47" s="68">
        <v>4</v>
      </c>
      <c r="AG47" s="68">
        <v>8</v>
      </c>
      <c r="AH47" s="68">
        <v>49</v>
      </c>
      <c r="AI47" s="68">
        <v>24</v>
      </c>
      <c r="AJ47" s="68">
        <v>0</v>
      </c>
      <c r="AK47" s="68">
        <v>2</v>
      </c>
      <c r="AL47" s="68">
        <v>22</v>
      </c>
      <c r="AM47" s="68">
        <v>55</v>
      </c>
      <c r="AN47" s="68">
        <v>1</v>
      </c>
      <c r="AO47" s="68">
        <v>19</v>
      </c>
      <c r="AP47" s="68">
        <v>35</v>
      </c>
      <c r="AQ47" s="68">
        <v>0</v>
      </c>
      <c r="AR47" s="68">
        <v>0</v>
      </c>
      <c r="AS47" s="68">
        <v>0</v>
      </c>
      <c r="AT47" s="68">
        <v>0</v>
      </c>
      <c r="AU47" s="68">
        <v>89</v>
      </c>
      <c r="AV47" s="68">
        <v>23</v>
      </c>
      <c r="AW47" s="68">
        <v>20</v>
      </c>
      <c r="AX47" s="68">
        <v>46</v>
      </c>
    </row>
    <row r="48" spans="1:50" ht="15.75" customHeight="1">
      <c r="A48" s="346"/>
      <c r="B48" s="65" t="s">
        <v>225</v>
      </c>
      <c r="C48" s="68">
        <v>90</v>
      </c>
      <c r="D48" s="68">
        <v>5</v>
      </c>
      <c r="E48" s="68">
        <v>7</v>
      </c>
      <c r="F48" s="68">
        <v>78</v>
      </c>
      <c r="G48" s="68">
        <v>38</v>
      </c>
      <c r="H48" s="68">
        <v>3</v>
      </c>
      <c r="I48" s="68">
        <v>2</v>
      </c>
      <c r="J48" s="68">
        <v>33</v>
      </c>
      <c r="K48" s="68">
        <v>6</v>
      </c>
      <c r="L48" s="68">
        <v>0</v>
      </c>
      <c r="M48" s="68">
        <v>2</v>
      </c>
      <c r="N48" s="68">
        <v>4</v>
      </c>
      <c r="O48" s="68">
        <v>3</v>
      </c>
      <c r="P48" s="68">
        <v>0</v>
      </c>
      <c r="Q48" s="68">
        <v>0</v>
      </c>
      <c r="R48" s="68">
        <v>3</v>
      </c>
      <c r="S48" s="68">
        <v>0</v>
      </c>
      <c r="T48" s="68">
        <v>0</v>
      </c>
      <c r="U48" s="68">
        <v>0</v>
      </c>
      <c r="V48" s="68">
        <v>0</v>
      </c>
      <c r="W48" s="68">
        <v>43</v>
      </c>
      <c r="X48" s="68">
        <v>2</v>
      </c>
      <c r="Y48" s="68">
        <v>3</v>
      </c>
      <c r="Z48" s="68">
        <v>38</v>
      </c>
      <c r="AA48" s="68">
        <v>325</v>
      </c>
      <c r="AB48" s="68">
        <v>16</v>
      </c>
      <c r="AC48" s="68">
        <v>69</v>
      </c>
      <c r="AD48" s="68">
        <v>240</v>
      </c>
      <c r="AE48" s="68">
        <v>111</v>
      </c>
      <c r="AF48" s="68">
        <v>3</v>
      </c>
      <c r="AG48" s="68">
        <v>18</v>
      </c>
      <c r="AH48" s="68">
        <v>90</v>
      </c>
      <c r="AI48" s="68">
        <v>37</v>
      </c>
      <c r="AJ48" s="68">
        <v>2</v>
      </c>
      <c r="AK48" s="68">
        <v>1</v>
      </c>
      <c r="AL48" s="68">
        <v>34</v>
      </c>
      <c r="AM48" s="68">
        <v>79</v>
      </c>
      <c r="AN48" s="68">
        <v>0</v>
      </c>
      <c r="AO48" s="68">
        <v>30</v>
      </c>
      <c r="AP48" s="68">
        <v>49</v>
      </c>
      <c r="AQ48" s="68">
        <v>0</v>
      </c>
      <c r="AR48" s="68">
        <v>0</v>
      </c>
      <c r="AS48" s="68">
        <v>0</v>
      </c>
      <c r="AT48" s="68">
        <v>0</v>
      </c>
      <c r="AU48" s="68">
        <v>98</v>
      </c>
      <c r="AV48" s="68">
        <v>11</v>
      </c>
      <c r="AW48" s="68">
        <v>20</v>
      </c>
      <c r="AX48" s="68">
        <v>67</v>
      </c>
    </row>
    <row r="49" spans="1:50" ht="15.75" customHeight="1">
      <c r="A49" s="63" t="s">
        <v>214</v>
      </c>
      <c r="B49" s="64" t="s">
        <v>223</v>
      </c>
      <c r="C49" s="67">
        <v>535</v>
      </c>
      <c r="D49" s="67">
        <v>75</v>
      </c>
      <c r="E49" s="67">
        <v>55</v>
      </c>
      <c r="F49" s="67">
        <v>405</v>
      </c>
      <c r="G49" s="67">
        <v>174</v>
      </c>
      <c r="H49" s="67">
        <v>13</v>
      </c>
      <c r="I49" s="67">
        <v>7</v>
      </c>
      <c r="J49" s="67">
        <v>154</v>
      </c>
      <c r="K49" s="67">
        <v>128</v>
      </c>
      <c r="L49" s="67">
        <v>18</v>
      </c>
      <c r="M49" s="67">
        <v>11</v>
      </c>
      <c r="N49" s="67">
        <v>99</v>
      </c>
      <c r="O49" s="67">
        <v>42</v>
      </c>
      <c r="P49" s="67">
        <v>15</v>
      </c>
      <c r="Q49" s="67">
        <v>17</v>
      </c>
      <c r="R49" s="67">
        <v>10</v>
      </c>
      <c r="S49" s="67">
        <v>13</v>
      </c>
      <c r="T49" s="67">
        <v>2</v>
      </c>
      <c r="U49" s="67">
        <v>4</v>
      </c>
      <c r="V49" s="67">
        <v>7</v>
      </c>
      <c r="W49" s="67">
        <v>178</v>
      </c>
      <c r="X49" s="67">
        <v>27</v>
      </c>
      <c r="Y49" s="67">
        <v>16</v>
      </c>
      <c r="Z49" s="67">
        <v>135</v>
      </c>
      <c r="AA49" s="67">
        <v>799</v>
      </c>
      <c r="AB49" s="67">
        <v>112</v>
      </c>
      <c r="AC49" s="67">
        <v>84</v>
      </c>
      <c r="AD49" s="67">
        <v>603</v>
      </c>
      <c r="AE49" s="67">
        <v>302</v>
      </c>
      <c r="AF49" s="67">
        <v>23</v>
      </c>
      <c r="AG49" s="67">
        <v>20</v>
      </c>
      <c r="AH49" s="67">
        <v>259</v>
      </c>
      <c r="AI49" s="67">
        <v>200</v>
      </c>
      <c r="AJ49" s="67">
        <v>31</v>
      </c>
      <c r="AK49" s="67">
        <v>20</v>
      </c>
      <c r="AL49" s="67">
        <v>149</v>
      </c>
      <c r="AM49" s="67">
        <v>64</v>
      </c>
      <c r="AN49" s="67">
        <v>28</v>
      </c>
      <c r="AO49" s="67">
        <v>25</v>
      </c>
      <c r="AP49" s="67">
        <v>11</v>
      </c>
      <c r="AQ49" s="67">
        <v>17</v>
      </c>
      <c r="AR49" s="67">
        <v>7</v>
      </c>
      <c r="AS49" s="67">
        <v>3</v>
      </c>
      <c r="AT49" s="67">
        <v>7</v>
      </c>
      <c r="AU49" s="67">
        <v>216</v>
      </c>
      <c r="AV49" s="67">
        <v>23</v>
      </c>
      <c r="AW49" s="67">
        <v>16</v>
      </c>
      <c r="AX49" s="67">
        <v>177</v>
      </c>
    </row>
    <row r="50" spans="1:50" ht="15.75" customHeight="1">
      <c r="A50" s="345" t="s">
        <v>15</v>
      </c>
      <c r="B50" s="65" t="s">
        <v>224</v>
      </c>
      <c r="C50" s="68">
        <v>220</v>
      </c>
      <c r="D50" s="68">
        <v>41</v>
      </c>
      <c r="E50" s="68">
        <v>25</v>
      </c>
      <c r="F50" s="68">
        <v>154</v>
      </c>
      <c r="G50" s="68">
        <v>57</v>
      </c>
      <c r="H50" s="68">
        <v>6</v>
      </c>
      <c r="I50" s="68">
        <v>1</v>
      </c>
      <c r="J50" s="68">
        <v>50</v>
      </c>
      <c r="K50" s="68">
        <v>65</v>
      </c>
      <c r="L50" s="68">
        <v>11</v>
      </c>
      <c r="M50" s="68">
        <v>6</v>
      </c>
      <c r="N50" s="68">
        <v>48</v>
      </c>
      <c r="O50" s="68">
        <v>24</v>
      </c>
      <c r="P50" s="68">
        <v>9</v>
      </c>
      <c r="Q50" s="68">
        <v>9</v>
      </c>
      <c r="R50" s="68">
        <v>6</v>
      </c>
      <c r="S50" s="68">
        <v>8</v>
      </c>
      <c r="T50" s="68">
        <v>2</v>
      </c>
      <c r="U50" s="68">
        <v>2</v>
      </c>
      <c r="V50" s="68">
        <v>4</v>
      </c>
      <c r="W50" s="68">
        <v>66</v>
      </c>
      <c r="X50" s="68">
        <v>13</v>
      </c>
      <c r="Y50" s="68">
        <v>7</v>
      </c>
      <c r="Z50" s="68">
        <v>46</v>
      </c>
      <c r="AA50" s="68">
        <v>331</v>
      </c>
      <c r="AB50" s="68">
        <v>65</v>
      </c>
      <c r="AC50" s="68">
        <v>34</v>
      </c>
      <c r="AD50" s="68">
        <v>232</v>
      </c>
      <c r="AE50" s="68">
        <v>123</v>
      </c>
      <c r="AF50" s="68">
        <v>13</v>
      </c>
      <c r="AG50" s="68">
        <v>7</v>
      </c>
      <c r="AH50" s="68">
        <v>103</v>
      </c>
      <c r="AI50" s="68">
        <v>85</v>
      </c>
      <c r="AJ50" s="68">
        <v>17</v>
      </c>
      <c r="AK50" s="68">
        <v>6</v>
      </c>
      <c r="AL50" s="68">
        <v>62</v>
      </c>
      <c r="AM50" s="68">
        <v>38</v>
      </c>
      <c r="AN50" s="68">
        <v>19</v>
      </c>
      <c r="AO50" s="68">
        <v>14</v>
      </c>
      <c r="AP50" s="68">
        <v>5</v>
      </c>
      <c r="AQ50" s="68">
        <v>11</v>
      </c>
      <c r="AR50" s="68">
        <v>6</v>
      </c>
      <c r="AS50" s="68">
        <v>2</v>
      </c>
      <c r="AT50" s="68">
        <v>3</v>
      </c>
      <c r="AU50" s="68">
        <v>74</v>
      </c>
      <c r="AV50" s="68">
        <v>10</v>
      </c>
      <c r="AW50" s="68">
        <v>5</v>
      </c>
      <c r="AX50" s="68">
        <v>59</v>
      </c>
    </row>
    <row r="51" spans="1:50" ht="15.75" customHeight="1">
      <c r="A51" s="346"/>
      <c r="B51" s="65" t="s">
        <v>225</v>
      </c>
      <c r="C51" s="68">
        <v>315</v>
      </c>
      <c r="D51" s="68">
        <v>34</v>
      </c>
      <c r="E51" s="68">
        <v>30</v>
      </c>
      <c r="F51" s="68">
        <v>251</v>
      </c>
      <c r="G51" s="68">
        <v>117</v>
      </c>
      <c r="H51" s="68">
        <v>7</v>
      </c>
      <c r="I51" s="68">
        <v>6</v>
      </c>
      <c r="J51" s="68">
        <v>104</v>
      </c>
      <c r="K51" s="68">
        <v>63</v>
      </c>
      <c r="L51" s="68">
        <v>7</v>
      </c>
      <c r="M51" s="68">
        <v>5</v>
      </c>
      <c r="N51" s="68">
        <v>51</v>
      </c>
      <c r="O51" s="68">
        <v>18</v>
      </c>
      <c r="P51" s="68">
        <v>6</v>
      </c>
      <c r="Q51" s="68">
        <v>8</v>
      </c>
      <c r="R51" s="68">
        <v>4</v>
      </c>
      <c r="S51" s="68">
        <v>5</v>
      </c>
      <c r="T51" s="68">
        <v>0</v>
      </c>
      <c r="U51" s="68">
        <v>2</v>
      </c>
      <c r="V51" s="68">
        <v>3</v>
      </c>
      <c r="W51" s="68">
        <v>112</v>
      </c>
      <c r="X51" s="68">
        <v>14</v>
      </c>
      <c r="Y51" s="68">
        <v>9</v>
      </c>
      <c r="Z51" s="68">
        <v>89</v>
      </c>
      <c r="AA51" s="68">
        <v>468</v>
      </c>
      <c r="AB51" s="68">
        <v>47</v>
      </c>
      <c r="AC51" s="68">
        <v>50</v>
      </c>
      <c r="AD51" s="68">
        <v>371</v>
      </c>
      <c r="AE51" s="68">
        <v>179</v>
      </c>
      <c r="AF51" s="68">
        <v>10</v>
      </c>
      <c r="AG51" s="68">
        <v>13</v>
      </c>
      <c r="AH51" s="68">
        <v>156</v>
      </c>
      <c r="AI51" s="68">
        <v>115</v>
      </c>
      <c r="AJ51" s="68">
        <v>14</v>
      </c>
      <c r="AK51" s="68">
        <v>14</v>
      </c>
      <c r="AL51" s="68">
        <v>87</v>
      </c>
      <c r="AM51" s="68">
        <v>26</v>
      </c>
      <c r="AN51" s="68">
        <v>9</v>
      </c>
      <c r="AO51" s="68">
        <v>11</v>
      </c>
      <c r="AP51" s="68">
        <v>6</v>
      </c>
      <c r="AQ51" s="68">
        <v>6</v>
      </c>
      <c r="AR51" s="68">
        <v>1</v>
      </c>
      <c r="AS51" s="68">
        <v>1</v>
      </c>
      <c r="AT51" s="68">
        <v>4</v>
      </c>
      <c r="AU51" s="68">
        <v>142</v>
      </c>
      <c r="AV51" s="68">
        <v>13</v>
      </c>
      <c r="AW51" s="68">
        <v>11</v>
      </c>
      <c r="AX51" s="68">
        <v>118</v>
      </c>
    </row>
    <row r="52" spans="1:50" ht="15.75" customHeight="1">
      <c r="A52" s="63" t="s">
        <v>215</v>
      </c>
      <c r="B52" s="64" t="s">
        <v>223</v>
      </c>
      <c r="C52" s="67">
        <v>233</v>
      </c>
      <c r="D52" s="67">
        <v>75</v>
      </c>
      <c r="E52" s="67">
        <v>24</v>
      </c>
      <c r="F52" s="67">
        <v>134</v>
      </c>
      <c r="G52" s="67">
        <v>60</v>
      </c>
      <c r="H52" s="67">
        <v>9</v>
      </c>
      <c r="I52" s="67">
        <v>0</v>
      </c>
      <c r="J52" s="67">
        <v>51</v>
      </c>
      <c r="K52" s="67">
        <v>52</v>
      </c>
      <c r="L52" s="67">
        <v>14</v>
      </c>
      <c r="M52" s="67">
        <v>6</v>
      </c>
      <c r="N52" s="67">
        <v>32</v>
      </c>
      <c r="O52" s="67">
        <v>25</v>
      </c>
      <c r="P52" s="67">
        <v>23</v>
      </c>
      <c r="Q52" s="67">
        <v>2</v>
      </c>
      <c r="R52" s="67">
        <v>0</v>
      </c>
      <c r="S52" s="67">
        <v>23</v>
      </c>
      <c r="T52" s="67">
        <v>14</v>
      </c>
      <c r="U52" s="67">
        <v>4</v>
      </c>
      <c r="V52" s="67">
        <v>5</v>
      </c>
      <c r="W52" s="67">
        <v>73</v>
      </c>
      <c r="X52" s="67">
        <v>15</v>
      </c>
      <c r="Y52" s="67">
        <v>12</v>
      </c>
      <c r="Z52" s="67">
        <v>46</v>
      </c>
      <c r="AA52" s="67">
        <v>387</v>
      </c>
      <c r="AB52" s="67">
        <v>279</v>
      </c>
      <c r="AC52" s="67">
        <v>81</v>
      </c>
      <c r="AD52" s="67">
        <v>27</v>
      </c>
      <c r="AE52" s="67">
        <v>88</v>
      </c>
      <c r="AF52" s="67">
        <v>77</v>
      </c>
      <c r="AG52" s="67">
        <v>11</v>
      </c>
      <c r="AH52" s="67">
        <v>0</v>
      </c>
      <c r="AI52" s="67">
        <v>90</v>
      </c>
      <c r="AJ52" s="67">
        <v>66</v>
      </c>
      <c r="AK52" s="67">
        <v>15</v>
      </c>
      <c r="AL52" s="67">
        <v>9</v>
      </c>
      <c r="AM52" s="67">
        <v>53</v>
      </c>
      <c r="AN52" s="67">
        <v>27</v>
      </c>
      <c r="AO52" s="67">
        <v>24</v>
      </c>
      <c r="AP52" s="67">
        <v>2</v>
      </c>
      <c r="AQ52" s="67">
        <v>44</v>
      </c>
      <c r="AR52" s="67">
        <v>25</v>
      </c>
      <c r="AS52" s="67">
        <v>15</v>
      </c>
      <c r="AT52" s="67">
        <v>4</v>
      </c>
      <c r="AU52" s="67">
        <v>112</v>
      </c>
      <c r="AV52" s="67">
        <v>84</v>
      </c>
      <c r="AW52" s="67">
        <v>16</v>
      </c>
      <c r="AX52" s="67">
        <v>12</v>
      </c>
    </row>
    <row r="53" spans="1:50" ht="15.75" customHeight="1">
      <c r="A53" s="345" t="s">
        <v>16</v>
      </c>
      <c r="B53" s="65" t="s">
        <v>224</v>
      </c>
      <c r="C53" s="68">
        <v>109</v>
      </c>
      <c r="D53" s="68">
        <v>51</v>
      </c>
      <c r="E53" s="68">
        <v>12</v>
      </c>
      <c r="F53" s="68">
        <v>46</v>
      </c>
      <c r="G53" s="68">
        <v>21</v>
      </c>
      <c r="H53" s="68">
        <v>7</v>
      </c>
      <c r="I53" s="68">
        <v>0</v>
      </c>
      <c r="J53" s="68">
        <v>14</v>
      </c>
      <c r="K53" s="68">
        <v>21</v>
      </c>
      <c r="L53" s="68">
        <v>6</v>
      </c>
      <c r="M53" s="68">
        <v>2</v>
      </c>
      <c r="N53" s="68">
        <v>13</v>
      </c>
      <c r="O53" s="68">
        <v>20</v>
      </c>
      <c r="P53" s="68">
        <v>18</v>
      </c>
      <c r="Q53" s="68">
        <v>2</v>
      </c>
      <c r="R53" s="68">
        <v>0</v>
      </c>
      <c r="S53" s="68">
        <v>15</v>
      </c>
      <c r="T53" s="68">
        <v>10</v>
      </c>
      <c r="U53" s="68">
        <v>2</v>
      </c>
      <c r="V53" s="68">
        <v>3</v>
      </c>
      <c r="W53" s="68">
        <v>32</v>
      </c>
      <c r="X53" s="68">
        <v>10</v>
      </c>
      <c r="Y53" s="68">
        <v>6</v>
      </c>
      <c r="Z53" s="68">
        <v>16</v>
      </c>
      <c r="AA53" s="68">
        <v>199</v>
      </c>
      <c r="AB53" s="68">
        <v>131</v>
      </c>
      <c r="AC53" s="68">
        <v>55</v>
      </c>
      <c r="AD53" s="68">
        <v>13</v>
      </c>
      <c r="AE53" s="68">
        <v>37</v>
      </c>
      <c r="AF53" s="68">
        <v>28</v>
      </c>
      <c r="AG53" s="68">
        <v>9</v>
      </c>
      <c r="AH53" s="68">
        <v>0</v>
      </c>
      <c r="AI53" s="68">
        <v>36</v>
      </c>
      <c r="AJ53" s="68">
        <v>27</v>
      </c>
      <c r="AK53" s="68">
        <v>6</v>
      </c>
      <c r="AL53" s="68">
        <v>3</v>
      </c>
      <c r="AM53" s="68">
        <v>43</v>
      </c>
      <c r="AN53" s="68">
        <v>22</v>
      </c>
      <c r="AO53" s="68">
        <v>19</v>
      </c>
      <c r="AP53" s="68">
        <v>2</v>
      </c>
      <c r="AQ53" s="68">
        <v>30</v>
      </c>
      <c r="AR53" s="68">
        <v>17</v>
      </c>
      <c r="AS53" s="68">
        <v>11</v>
      </c>
      <c r="AT53" s="68">
        <v>2</v>
      </c>
      <c r="AU53" s="68">
        <v>53</v>
      </c>
      <c r="AV53" s="68">
        <v>37</v>
      </c>
      <c r="AW53" s="68">
        <v>10</v>
      </c>
      <c r="AX53" s="68">
        <v>6</v>
      </c>
    </row>
    <row r="54" spans="1:50" ht="15.75" customHeight="1">
      <c r="A54" s="346"/>
      <c r="B54" s="65" t="s">
        <v>225</v>
      </c>
      <c r="C54" s="68">
        <v>124</v>
      </c>
      <c r="D54" s="68">
        <v>24</v>
      </c>
      <c r="E54" s="68">
        <v>12</v>
      </c>
      <c r="F54" s="68">
        <v>88</v>
      </c>
      <c r="G54" s="68">
        <v>39</v>
      </c>
      <c r="H54" s="68">
        <v>2</v>
      </c>
      <c r="I54" s="68">
        <v>0</v>
      </c>
      <c r="J54" s="68">
        <v>37</v>
      </c>
      <c r="K54" s="68">
        <v>31</v>
      </c>
      <c r="L54" s="68">
        <v>8</v>
      </c>
      <c r="M54" s="68">
        <v>4</v>
      </c>
      <c r="N54" s="68">
        <v>19</v>
      </c>
      <c r="O54" s="68">
        <v>5</v>
      </c>
      <c r="P54" s="68">
        <v>5</v>
      </c>
      <c r="Q54" s="68">
        <v>0</v>
      </c>
      <c r="R54" s="68">
        <v>0</v>
      </c>
      <c r="S54" s="68">
        <v>8</v>
      </c>
      <c r="T54" s="68">
        <v>4</v>
      </c>
      <c r="U54" s="68">
        <v>2</v>
      </c>
      <c r="V54" s="68">
        <v>2</v>
      </c>
      <c r="W54" s="68">
        <v>41</v>
      </c>
      <c r="X54" s="68">
        <v>5</v>
      </c>
      <c r="Y54" s="68">
        <v>6</v>
      </c>
      <c r="Z54" s="68">
        <v>30</v>
      </c>
      <c r="AA54" s="68">
        <v>188</v>
      </c>
      <c r="AB54" s="68">
        <v>148</v>
      </c>
      <c r="AC54" s="68">
        <v>26</v>
      </c>
      <c r="AD54" s="68">
        <v>14</v>
      </c>
      <c r="AE54" s="68">
        <v>51</v>
      </c>
      <c r="AF54" s="68">
        <v>49</v>
      </c>
      <c r="AG54" s="68">
        <v>2</v>
      </c>
      <c r="AH54" s="68">
        <v>0</v>
      </c>
      <c r="AI54" s="68">
        <v>54</v>
      </c>
      <c r="AJ54" s="68">
        <v>39</v>
      </c>
      <c r="AK54" s="68">
        <v>9</v>
      </c>
      <c r="AL54" s="68">
        <v>6</v>
      </c>
      <c r="AM54" s="68">
        <v>10</v>
      </c>
      <c r="AN54" s="68">
        <v>5</v>
      </c>
      <c r="AO54" s="68">
        <v>5</v>
      </c>
      <c r="AP54" s="68">
        <v>0</v>
      </c>
      <c r="AQ54" s="68">
        <v>14</v>
      </c>
      <c r="AR54" s="68">
        <v>8</v>
      </c>
      <c r="AS54" s="68">
        <v>4</v>
      </c>
      <c r="AT54" s="68">
        <v>2</v>
      </c>
      <c r="AU54" s="68">
        <v>59</v>
      </c>
      <c r="AV54" s="68">
        <v>47</v>
      </c>
      <c r="AW54" s="68">
        <v>6</v>
      </c>
      <c r="AX54" s="68">
        <v>6</v>
      </c>
    </row>
    <row r="55" spans="1:50" ht="15.75" customHeight="1">
      <c r="A55" s="63" t="s">
        <v>216</v>
      </c>
      <c r="B55" s="64" t="s">
        <v>223</v>
      </c>
      <c r="C55" s="67">
        <v>218</v>
      </c>
      <c r="D55" s="67">
        <v>25</v>
      </c>
      <c r="E55" s="67">
        <v>18</v>
      </c>
      <c r="F55" s="67">
        <v>175</v>
      </c>
      <c r="G55" s="67">
        <v>70</v>
      </c>
      <c r="H55" s="67">
        <v>8</v>
      </c>
      <c r="I55" s="67">
        <v>1</v>
      </c>
      <c r="J55" s="67">
        <v>61</v>
      </c>
      <c r="K55" s="67">
        <v>70</v>
      </c>
      <c r="L55" s="67">
        <v>7</v>
      </c>
      <c r="M55" s="67">
        <v>3</v>
      </c>
      <c r="N55" s="67">
        <v>60</v>
      </c>
      <c r="O55" s="67">
        <v>15</v>
      </c>
      <c r="P55" s="67">
        <v>6</v>
      </c>
      <c r="Q55" s="67">
        <v>7</v>
      </c>
      <c r="R55" s="67">
        <v>2</v>
      </c>
      <c r="S55" s="67">
        <v>4</v>
      </c>
      <c r="T55" s="67">
        <v>1</v>
      </c>
      <c r="U55" s="67">
        <v>2</v>
      </c>
      <c r="V55" s="67">
        <v>1</v>
      </c>
      <c r="W55" s="67">
        <v>59</v>
      </c>
      <c r="X55" s="67">
        <v>3</v>
      </c>
      <c r="Y55" s="67">
        <v>5</v>
      </c>
      <c r="Z55" s="67">
        <v>51</v>
      </c>
      <c r="AA55" s="67">
        <v>305</v>
      </c>
      <c r="AB55" s="67">
        <v>40</v>
      </c>
      <c r="AC55" s="67">
        <v>21</v>
      </c>
      <c r="AD55" s="67">
        <v>244</v>
      </c>
      <c r="AE55" s="67">
        <v>84</v>
      </c>
      <c r="AF55" s="67">
        <v>8</v>
      </c>
      <c r="AG55" s="67">
        <v>2</v>
      </c>
      <c r="AH55" s="67">
        <v>74</v>
      </c>
      <c r="AI55" s="67">
        <v>101</v>
      </c>
      <c r="AJ55" s="67">
        <v>14</v>
      </c>
      <c r="AK55" s="67">
        <v>5</v>
      </c>
      <c r="AL55" s="67">
        <v>82</v>
      </c>
      <c r="AM55" s="67">
        <v>21</v>
      </c>
      <c r="AN55" s="67">
        <v>12</v>
      </c>
      <c r="AO55" s="67">
        <v>7</v>
      </c>
      <c r="AP55" s="67">
        <v>2</v>
      </c>
      <c r="AQ55" s="67">
        <v>6</v>
      </c>
      <c r="AR55" s="67">
        <v>1</v>
      </c>
      <c r="AS55" s="67">
        <v>2</v>
      </c>
      <c r="AT55" s="67">
        <v>3</v>
      </c>
      <c r="AU55" s="67">
        <v>93</v>
      </c>
      <c r="AV55" s="67">
        <v>5</v>
      </c>
      <c r="AW55" s="67">
        <v>5</v>
      </c>
      <c r="AX55" s="67">
        <v>83</v>
      </c>
    </row>
    <row r="56" spans="1:50" ht="15.75" customHeight="1">
      <c r="A56" s="345" t="s">
        <v>17</v>
      </c>
      <c r="B56" s="65" t="s">
        <v>224</v>
      </c>
      <c r="C56" s="68">
        <v>83</v>
      </c>
      <c r="D56" s="68">
        <v>14</v>
      </c>
      <c r="E56" s="68">
        <v>9</v>
      </c>
      <c r="F56" s="68">
        <v>60</v>
      </c>
      <c r="G56" s="68">
        <v>24</v>
      </c>
      <c r="H56" s="68">
        <v>2</v>
      </c>
      <c r="I56" s="68">
        <v>0</v>
      </c>
      <c r="J56" s="68">
        <v>22</v>
      </c>
      <c r="K56" s="68">
        <v>23</v>
      </c>
      <c r="L56" s="68">
        <v>6</v>
      </c>
      <c r="M56" s="68">
        <v>2</v>
      </c>
      <c r="N56" s="68">
        <v>15</v>
      </c>
      <c r="O56" s="68">
        <v>10</v>
      </c>
      <c r="P56" s="68">
        <v>4</v>
      </c>
      <c r="Q56" s="68">
        <v>5</v>
      </c>
      <c r="R56" s="68">
        <v>1</v>
      </c>
      <c r="S56" s="68">
        <v>1</v>
      </c>
      <c r="T56" s="68">
        <v>1</v>
      </c>
      <c r="U56" s="68">
        <v>0</v>
      </c>
      <c r="V56" s="68">
        <v>0</v>
      </c>
      <c r="W56" s="68">
        <v>25</v>
      </c>
      <c r="X56" s="68">
        <v>1</v>
      </c>
      <c r="Y56" s="68">
        <v>2</v>
      </c>
      <c r="Z56" s="68">
        <v>22</v>
      </c>
      <c r="AA56" s="68">
        <v>111</v>
      </c>
      <c r="AB56" s="68">
        <v>21</v>
      </c>
      <c r="AC56" s="68">
        <v>10</v>
      </c>
      <c r="AD56" s="68">
        <v>80</v>
      </c>
      <c r="AE56" s="68">
        <v>22</v>
      </c>
      <c r="AF56" s="68">
        <v>3</v>
      </c>
      <c r="AG56" s="68">
        <v>0</v>
      </c>
      <c r="AH56" s="68">
        <v>19</v>
      </c>
      <c r="AI56" s="68">
        <v>37</v>
      </c>
      <c r="AJ56" s="68">
        <v>9</v>
      </c>
      <c r="AK56" s="68">
        <v>3</v>
      </c>
      <c r="AL56" s="68">
        <v>25</v>
      </c>
      <c r="AM56" s="68">
        <v>11</v>
      </c>
      <c r="AN56" s="68">
        <v>6</v>
      </c>
      <c r="AO56" s="68">
        <v>4</v>
      </c>
      <c r="AP56" s="68">
        <v>1</v>
      </c>
      <c r="AQ56" s="68">
        <v>1</v>
      </c>
      <c r="AR56" s="68">
        <v>1</v>
      </c>
      <c r="AS56" s="68">
        <v>0</v>
      </c>
      <c r="AT56" s="68">
        <v>0</v>
      </c>
      <c r="AU56" s="68">
        <v>40</v>
      </c>
      <c r="AV56" s="68">
        <v>2</v>
      </c>
      <c r="AW56" s="68">
        <v>3</v>
      </c>
      <c r="AX56" s="68">
        <v>35</v>
      </c>
    </row>
    <row r="57" spans="1:50" ht="15.75" customHeight="1">
      <c r="A57" s="346"/>
      <c r="B57" s="65" t="s">
        <v>225</v>
      </c>
      <c r="C57" s="68">
        <v>135</v>
      </c>
      <c r="D57" s="68">
        <v>11</v>
      </c>
      <c r="E57" s="68">
        <v>9</v>
      </c>
      <c r="F57" s="68">
        <v>115</v>
      </c>
      <c r="G57" s="68">
        <v>46</v>
      </c>
      <c r="H57" s="68">
        <v>6</v>
      </c>
      <c r="I57" s="68">
        <v>1</v>
      </c>
      <c r="J57" s="68">
        <v>39</v>
      </c>
      <c r="K57" s="68">
        <v>47</v>
      </c>
      <c r="L57" s="68">
        <v>1</v>
      </c>
      <c r="M57" s="68">
        <v>1</v>
      </c>
      <c r="N57" s="68">
        <v>45</v>
      </c>
      <c r="O57" s="68">
        <v>5</v>
      </c>
      <c r="P57" s="68">
        <v>2</v>
      </c>
      <c r="Q57" s="68">
        <v>2</v>
      </c>
      <c r="R57" s="68">
        <v>1</v>
      </c>
      <c r="S57" s="68">
        <v>3</v>
      </c>
      <c r="T57" s="68">
        <v>0</v>
      </c>
      <c r="U57" s="68">
        <v>2</v>
      </c>
      <c r="V57" s="68">
        <v>1</v>
      </c>
      <c r="W57" s="68">
        <v>34</v>
      </c>
      <c r="X57" s="68">
        <v>2</v>
      </c>
      <c r="Y57" s="68">
        <v>3</v>
      </c>
      <c r="Z57" s="68">
        <v>29</v>
      </c>
      <c r="AA57" s="68">
        <v>194</v>
      </c>
      <c r="AB57" s="68">
        <v>19</v>
      </c>
      <c r="AC57" s="68">
        <v>11</v>
      </c>
      <c r="AD57" s="68">
        <v>164</v>
      </c>
      <c r="AE57" s="68">
        <v>62</v>
      </c>
      <c r="AF57" s="68">
        <v>5</v>
      </c>
      <c r="AG57" s="68">
        <v>2</v>
      </c>
      <c r="AH57" s="68">
        <v>55</v>
      </c>
      <c r="AI57" s="68">
        <v>64</v>
      </c>
      <c r="AJ57" s="68">
        <v>5</v>
      </c>
      <c r="AK57" s="68">
        <v>2</v>
      </c>
      <c r="AL57" s="68">
        <v>57</v>
      </c>
      <c r="AM57" s="68">
        <v>10</v>
      </c>
      <c r="AN57" s="68">
        <v>6</v>
      </c>
      <c r="AO57" s="68">
        <v>3</v>
      </c>
      <c r="AP57" s="68">
        <v>1</v>
      </c>
      <c r="AQ57" s="68">
        <v>5</v>
      </c>
      <c r="AR57" s="68">
        <v>0</v>
      </c>
      <c r="AS57" s="68">
        <v>2</v>
      </c>
      <c r="AT57" s="68">
        <v>3</v>
      </c>
      <c r="AU57" s="68">
        <v>53</v>
      </c>
      <c r="AV57" s="68">
        <v>3</v>
      </c>
      <c r="AW57" s="68">
        <v>2</v>
      </c>
      <c r="AX57" s="68">
        <v>48</v>
      </c>
    </row>
    <row r="58" spans="1:50" ht="15.75" customHeight="1">
      <c r="A58" s="63" t="s">
        <v>217</v>
      </c>
      <c r="B58" s="64" t="s">
        <v>223</v>
      </c>
      <c r="C58" s="67">
        <v>93</v>
      </c>
      <c r="D58" s="67">
        <v>11</v>
      </c>
      <c r="E58" s="67">
        <v>6</v>
      </c>
      <c r="F58" s="67">
        <v>76</v>
      </c>
      <c r="G58" s="67">
        <v>31</v>
      </c>
      <c r="H58" s="67">
        <v>3</v>
      </c>
      <c r="I58" s="67">
        <v>0</v>
      </c>
      <c r="J58" s="67">
        <v>28</v>
      </c>
      <c r="K58" s="67">
        <v>35</v>
      </c>
      <c r="L58" s="67">
        <v>3</v>
      </c>
      <c r="M58" s="67">
        <v>1</v>
      </c>
      <c r="N58" s="67">
        <v>31</v>
      </c>
      <c r="O58" s="67">
        <v>4</v>
      </c>
      <c r="P58" s="67">
        <v>2</v>
      </c>
      <c r="Q58" s="67">
        <v>1</v>
      </c>
      <c r="R58" s="67">
        <v>1</v>
      </c>
      <c r="S58" s="67">
        <v>0</v>
      </c>
      <c r="T58" s="67">
        <v>0</v>
      </c>
      <c r="U58" s="67">
        <v>0</v>
      </c>
      <c r="V58" s="67">
        <v>0</v>
      </c>
      <c r="W58" s="67">
        <v>23</v>
      </c>
      <c r="X58" s="67">
        <v>3</v>
      </c>
      <c r="Y58" s="67">
        <v>4</v>
      </c>
      <c r="Z58" s="67">
        <v>16</v>
      </c>
      <c r="AA58" s="67">
        <v>194</v>
      </c>
      <c r="AB58" s="67">
        <v>22</v>
      </c>
      <c r="AC58" s="67">
        <v>11</v>
      </c>
      <c r="AD58" s="67">
        <v>161</v>
      </c>
      <c r="AE58" s="67">
        <v>66</v>
      </c>
      <c r="AF58" s="67">
        <v>9</v>
      </c>
      <c r="AG58" s="67">
        <v>0</v>
      </c>
      <c r="AH58" s="67">
        <v>57</v>
      </c>
      <c r="AI58" s="67">
        <v>73</v>
      </c>
      <c r="AJ58" s="67">
        <v>7</v>
      </c>
      <c r="AK58" s="67">
        <v>2</v>
      </c>
      <c r="AL58" s="67">
        <v>64</v>
      </c>
      <c r="AM58" s="67">
        <v>8</v>
      </c>
      <c r="AN58" s="67">
        <v>2</v>
      </c>
      <c r="AO58" s="67">
        <v>4</v>
      </c>
      <c r="AP58" s="67">
        <v>2</v>
      </c>
      <c r="AQ58" s="67">
        <v>0</v>
      </c>
      <c r="AR58" s="67">
        <v>0</v>
      </c>
      <c r="AS58" s="67">
        <v>0</v>
      </c>
      <c r="AT58" s="67">
        <v>0</v>
      </c>
      <c r="AU58" s="67">
        <v>47</v>
      </c>
      <c r="AV58" s="67">
        <v>4</v>
      </c>
      <c r="AW58" s="67">
        <v>5</v>
      </c>
      <c r="AX58" s="67">
        <v>38</v>
      </c>
    </row>
    <row r="59" spans="1:50" ht="15.75" customHeight="1">
      <c r="A59" s="345" t="s">
        <v>18</v>
      </c>
      <c r="B59" s="65" t="s">
        <v>224</v>
      </c>
      <c r="C59" s="68">
        <v>41</v>
      </c>
      <c r="D59" s="68">
        <v>6</v>
      </c>
      <c r="E59" s="68">
        <v>3</v>
      </c>
      <c r="F59" s="68">
        <v>32</v>
      </c>
      <c r="G59" s="68">
        <v>14</v>
      </c>
      <c r="H59" s="68">
        <v>1</v>
      </c>
      <c r="I59" s="68">
        <v>0</v>
      </c>
      <c r="J59" s="68">
        <v>13</v>
      </c>
      <c r="K59" s="68">
        <v>15</v>
      </c>
      <c r="L59" s="68">
        <v>1</v>
      </c>
      <c r="M59" s="68">
        <v>0</v>
      </c>
      <c r="N59" s="68">
        <v>14</v>
      </c>
      <c r="O59" s="68">
        <v>4</v>
      </c>
      <c r="P59" s="68">
        <v>2</v>
      </c>
      <c r="Q59" s="68">
        <v>1</v>
      </c>
      <c r="R59" s="68">
        <v>1</v>
      </c>
      <c r="S59" s="68">
        <v>0</v>
      </c>
      <c r="T59" s="68">
        <v>0</v>
      </c>
      <c r="U59" s="68">
        <v>0</v>
      </c>
      <c r="V59" s="68">
        <v>0</v>
      </c>
      <c r="W59" s="68">
        <v>8</v>
      </c>
      <c r="X59" s="68">
        <v>2</v>
      </c>
      <c r="Y59" s="68">
        <v>2</v>
      </c>
      <c r="Z59" s="68">
        <v>4</v>
      </c>
      <c r="AA59" s="68">
        <v>93</v>
      </c>
      <c r="AB59" s="68">
        <v>13</v>
      </c>
      <c r="AC59" s="68">
        <v>8</v>
      </c>
      <c r="AD59" s="68">
        <v>72</v>
      </c>
      <c r="AE59" s="68">
        <v>30</v>
      </c>
      <c r="AF59" s="68">
        <v>4</v>
      </c>
      <c r="AG59" s="68">
        <v>0</v>
      </c>
      <c r="AH59" s="68">
        <v>26</v>
      </c>
      <c r="AI59" s="68">
        <v>38</v>
      </c>
      <c r="AJ59" s="68">
        <v>4</v>
      </c>
      <c r="AK59" s="68">
        <v>1</v>
      </c>
      <c r="AL59" s="68">
        <v>33</v>
      </c>
      <c r="AM59" s="68">
        <v>8</v>
      </c>
      <c r="AN59" s="68">
        <v>2</v>
      </c>
      <c r="AO59" s="68">
        <v>4</v>
      </c>
      <c r="AP59" s="68">
        <v>2</v>
      </c>
      <c r="AQ59" s="68">
        <v>0</v>
      </c>
      <c r="AR59" s="68">
        <v>0</v>
      </c>
      <c r="AS59" s="68">
        <v>0</v>
      </c>
      <c r="AT59" s="68">
        <v>0</v>
      </c>
      <c r="AU59" s="68">
        <v>17</v>
      </c>
      <c r="AV59" s="68">
        <v>3</v>
      </c>
      <c r="AW59" s="68">
        <v>3</v>
      </c>
      <c r="AX59" s="68">
        <v>11</v>
      </c>
    </row>
    <row r="60" spans="1:50" ht="15.75" customHeight="1">
      <c r="A60" s="346"/>
      <c r="B60" s="65" t="s">
        <v>225</v>
      </c>
      <c r="C60" s="68">
        <v>52</v>
      </c>
      <c r="D60" s="68">
        <v>5</v>
      </c>
      <c r="E60" s="68">
        <v>3</v>
      </c>
      <c r="F60" s="68">
        <v>44</v>
      </c>
      <c r="G60" s="68">
        <v>17</v>
      </c>
      <c r="H60" s="68">
        <v>2</v>
      </c>
      <c r="I60" s="68">
        <v>0</v>
      </c>
      <c r="J60" s="68">
        <v>15</v>
      </c>
      <c r="K60" s="68">
        <v>20</v>
      </c>
      <c r="L60" s="68">
        <v>2</v>
      </c>
      <c r="M60" s="68">
        <v>1</v>
      </c>
      <c r="N60" s="68">
        <v>17</v>
      </c>
      <c r="O60" s="68">
        <v>0</v>
      </c>
      <c r="P60" s="68">
        <v>0</v>
      </c>
      <c r="Q60" s="68">
        <v>0</v>
      </c>
      <c r="R60" s="68">
        <v>0</v>
      </c>
      <c r="S60" s="68">
        <v>0</v>
      </c>
      <c r="T60" s="68">
        <v>0</v>
      </c>
      <c r="U60" s="68">
        <v>0</v>
      </c>
      <c r="V60" s="68">
        <v>0</v>
      </c>
      <c r="W60" s="68">
        <v>15</v>
      </c>
      <c r="X60" s="68">
        <v>1</v>
      </c>
      <c r="Y60" s="68">
        <v>2</v>
      </c>
      <c r="Z60" s="68">
        <v>12</v>
      </c>
      <c r="AA60" s="68">
        <v>101</v>
      </c>
      <c r="AB60" s="68">
        <v>9</v>
      </c>
      <c r="AC60" s="68">
        <v>3</v>
      </c>
      <c r="AD60" s="68">
        <v>89</v>
      </c>
      <c r="AE60" s="68">
        <v>36</v>
      </c>
      <c r="AF60" s="68">
        <v>5</v>
      </c>
      <c r="AG60" s="68">
        <v>0</v>
      </c>
      <c r="AH60" s="68">
        <v>31</v>
      </c>
      <c r="AI60" s="68">
        <v>35</v>
      </c>
      <c r="AJ60" s="68">
        <v>3</v>
      </c>
      <c r="AK60" s="68">
        <v>1</v>
      </c>
      <c r="AL60" s="68">
        <v>31</v>
      </c>
      <c r="AM60" s="68">
        <v>0</v>
      </c>
      <c r="AN60" s="68">
        <v>0</v>
      </c>
      <c r="AO60" s="68">
        <v>0</v>
      </c>
      <c r="AP60" s="68">
        <v>0</v>
      </c>
      <c r="AQ60" s="68">
        <v>0</v>
      </c>
      <c r="AR60" s="68">
        <v>0</v>
      </c>
      <c r="AS60" s="68">
        <v>0</v>
      </c>
      <c r="AT60" s="68">
        <v>0</v>
      </c>
      <c r="AU60" s="68">
        <v>30</v>
      </c>
      <c r="AV60" s="68">
        <v>1</v>
      </c>
      <c r="AW60" s="68">
        <v>2</v>
      </c>
      <c r="AX60" s="68">
        <v>27</v>
      </c>
    </row>
    <row r="61" spans="1:50" ht="15.75" customHeight="1">
      <c r="A61" s="63" t="s">
        <v>218</v>
      </c>
      <c r="B61" s="64" t="s">
        <v>223</v>
      </c>
      <c r="C61" s="67">
        <v>88</v>
      </c>
      <c r="D61" s="67">
        <v>5</v>
      </c>
      <c r="E61" s="67">
        <v>5</v>
      </c>
      <c r="F61" s="67">
        <v>78</v>
      </c>
      <c r="G61" s="67">
        <v>18</v>
      </c>
      <c r="H61" s="67">
        <v>1</v>
      </c>
      <c r="I61" s="67">
        <v>0</v>
      </c>
      <c r="J61" s="67">
        <v>17</v>
      </c>
      <c r="K61" s="67">
        <v>15</v>
      </c>
      <c r="L61" s="67">
        <v>0</v>
      </c>
      <c r="M61" s="67">
        <v>0</v>
      </c>
      <c r="N61" s="67">
        <v>15</v>
      </c>
      <c r="O61" s="67">
        <v>0</v>
      </c>
      <c r="P61" s="67">
        <v>0</v>
      </c>
      <c r="Q61" s="67">
        <v>0</v>
      </c>
      <c r="R61" s="67">
        <v>0</v>
      </c>
      <c r="S61" s="67">
        <v>0</v>
      </c>
      <c r="T61" s="67">
        <v>0</v>
      </c>
      <c r="U61" s="67">
        <v>0</v>
      </c>
      <c r="V61" s="67">
        <v>0</v>
      </c>
      <c r="W61" s="67">
        <v>55</v>
      </c>
      <c r="X61" s="67">
        <v>4</v>
      </c>
      <c r="Y61" s="67">
        <v>5</v>
      </c>
      <c r="Z61" s="67">
        <v>46</v>
      </c>
      <c r="AA61" s="67">
        <v>674</v>
      </c>
      <c r="AB61" s="67">
        <v>73</v>
      </c>
      <c r="AC61" s="67">
        <v>114</v>
      </c>
      <c r="AD61" s="67">
        <v>487</v>
      </c>
      <c r="AE61" s="67">
        <v>122</v>
      </c>
      <c r="AF61" s="67">
        <v>9</v>
      </c>
      <c r="AG61" s="67">
        <v>2</v>
      </c>
      <c r="AH61" s="67">
        <v>111</v>
      </c>
      <c r="AI61" s="67">
        <v>326</v>
      </c>
      <c r="AJ61" s="67">
        <v>28</v>
      </c>
      <c r="AK61" s="67">
        <v>39</v>
      </c>
      <c r="AL61" s="67">
        <v>259</v>
      </c>
      <c r="AM61" s="67">
        <v>132</v>
      </c>
      <c r="AN61" s="67">
        <v>24</v>
      </c>
      <c r="AO61" s="67">
        <v>65</v>
      </c>
      <c r="AP61" s="67">
        <v>43</v>
      </c>
      <c r="AQ61" s="67">
        <v>1</v>
      </c>
      <c r="AR61" s="67">
        <v>0</v>
      </c>
      <c r="AS61" s="67">
        <v>0</v>
      </c>
      <c r="AT61" s="67">
        <v>1</v>
      </c>
      <c r="AU61" s="67">
        <v>93</v>
      </c>
      <c r="AV61" s="67">
        <v>12</v>
      </c>
      <c r="AW61" s="67">
        <v>8</v>
      </c>
      <c r="AX61" s="67">
        <v>73</v>
      </c>
    </row>
    <row r="62" spans="1:50" ht="15.75" customHeight="1">
      <c r="A62" s="345" t="s">
        <v>19</v>
      </c>
      <c r="B62" s="65" t="s">
        <v>224</v>
      </c>
      <c r="C62" s="68">
        <v>21</v>
      </c>
      <c r="D62" s="68">
        <v>3</v>
      </c>
      <c r="E62" s="68">
        <v>1</v>
      </c>
      <c r="F62" s="68">
        <v>17</v>
      </c>
      <c r="G62" s="68">
        <v>7</v>
      </c>
      <c r="H62" s="68">
        <v>1</v>
      </c>
      <c r="I62" s="68">
        <v>0</v>
      </c>
      <c r="J62" s="68">
        <v>6</v>
      </c>
      <c r="K62" s="68">
        <v>4</v>
      </c>
      <c r="L62" s="68">
        <v>0</v>
      </c>
      <c r="M62" s="68">
        <v>0</v>
      </c>
      <c r="N62" s="68">
        <v>4</v>
      </c>
      <c r="O62" s="68">
        <v>0</v>
      </c>
      <c r="P62" s="68">
        <v>0</v>
      </c>
      <c r="Q62" s="68">
        <v>0</v>
      </c>
      <c r="R62" s="68">
        <v>0</v>
      </c>
      <c r="S62" s="68">
        <v>0</v>
      </c>
      <c r="T62" s="68">
        <v>0</v>
      </c>
      <c r="U62" s="68">
        <v>0</v>
      </c>
      <c r="V62" s="68">
        <v>0</v>
      </c>
      <c r="W62" s="68">
        <v>10</v>
      </c>
      <c r="X62" s="68">
        <v>2</v>
      </c>
      <c r="Y62" s="68">
        <v>1</v>
      </c>
      <c r="Z62" s="68">
        <v>7</v>
      </c>
      <c r="AA62" s="68">
        <v>336</v>
      </c>
      <c r="AB62" s="68">
        <v>36</v>
      </c>
      <c r="AC62" s="68">
        <v>59</v>
      </c>
      <c r="AD62" s="68">
        <v>241</v>
      </c>
      <c r="AE62" s="68">
        <v>47</v>
      </c>
      <c r="AF62" s="68">
        <v>2</v>
      </c>
      <c r="AG62" s="68">
        <v>2</v>
      </c>
      <c r="AH62" s="68">
        <v>43</v>
      </c>
      <c r="AI62" s="68">
        <v>167</v>
      </c>
      <c r="AJ62" s="68">
        <v>14</v>
      </c>
      <c r="AK62" s="68">
        <v>19</v>
      </c>
      <c r="AL62" s="68">
        <v>134</v>
      </c>
      <c r="AM62" s="68">
        <v>78</v>
      </c>
      <c r="AN62" s="68">
        <v>15</v>
      </c>
      <c r="AO62" s="68">
        <v>33</v>
      </c>
      <c r="AP62" s="68">
        <v>30</v>
      </c>
      <c r="AQ62" s="68">
        <v>1</v>
      </c>
      <c r="AR62" s="68">
        <v>0</v>
      </c>
      <c r="AS62" s="68">
        <v>0</v>
      </c>
      <c r="AT62" s="68">
        <v>1</v>
      </c>
      <c r="AU62" s="68">
        <v>43</v>
      </c>
      <c r="AV62" s="68">
        <v>5</v>
      </c>
      <c r="AW62" s="68">
        <v>5</v>
      </c>
      <c r="AX62" s="68">
        <v>33</v>
      </c>
    </row>
    <row r="63" spans="1:50" ht="15.75" customHeight="1">
      <c r="A63" s="346"/>
      <c r="B63" s="65" t="s">
        <v>225</v>
      </c>
      <c r="C63" s="68">
        <v>67</v>
      </c>
      <c r="D63" s="68">
        <v>2</v>
      </c>
      <c r="E63" s="68">
        <v>4</v>
      </c>
      <c r="F63" s="68">
        <v>61</v>
      </c>
      <c r="G63" s="68">
        <v>11</v>
      </c>
      <c r="H63" s="68">
        <v>0</v>
      </c>
      <c r="I63" s="68">
        <v>0</v>
      </c>
      <c r="J63" s="68">
        <v>11</v>
      </c>
      <c r="K63" s="68">
        <v>11</v>
      </c>
      <c r="L63" s="68">
        <v>0</v>
      </c>
      <c r="M63" s="68">
        <v>0</v>
      </c>
      <c r="N63" s="68">
        <v>11</v>
      </c>
      <c r="O63" s="68">
        <v>0</v>
      </c>
      <c r="P63" s="68">
        <v>0</v>
      </c>
      <c r="Q63" s="68">
        <v>0</v>
      </c>
      <c r="R63" s="68">
        <v>0</v>
      </c>
      <c r="S63" s="68">
        <v>0</v>
      </c>
      <c r="T63" s="68">
        <v>0</v>
      </c>
      <c r="U63" s="68">
        <v>0</v>
      </c>
      <c r="V63" s="68">
        <v>0</v>
      </c>
      <c r="W63" s="68">
        <v>45</v>
      </c>
      <c r="X63" s="68">
        <v>2</v>
      </c>
      <c r="Y63" s="68">
        <v>4</v>
      </c>
      <c r="Z63" s="68">
        <v>39</v>
      </c>
      <c r="AA63" s="68">
        <v>338</v>
      </c>
      <c r="AB63" s="68">
        <v>37</v>
      </c>
      <c r="AC63" s="68">
        <v>55</v>
      </c>
      <c r="AD63" s="68">
        <v>246</v>
      </c>
      <c r="AE63" s="68">
        <v>75</v>
      </c>
      <c r="AF63" s="68">
        <v>7</v>
      </c>
      <c r="AG63" s="68">
        <v>0</v>
      </c>
      <c r="AH63" s="68">
        <v>68</v>
      </c>
      <c r="AI63" s="68">
        <v>159</v>
      </c>
      <c r="AJ63" s="68">
        <v>14</v>
      </c>
      <c r="AK63" s="68">
        <v>20</v>
      </c>
      <c r="AL63" s="68">
        <v>125</v>
      </c>
      <c r="AM63" s="68">
        <v>54</v>
      </c>
      <c r="AN63" s="68">
        <v>9</v>
      </c>
      <c r="AO63" s="68">
        <v>32</v>
      </c>
      <c r="AP63" s="68">
        <v>13</v>
      </c>
      <c r="AQ63" s="68">
        <v>0</v>
      </c>
      <c r="AR63" s="68">
        <v>0</v>
      </c>
      <c r="AS63" s="68">
        <v>0</v>
      </c>
      <c r="AT63" s="68">
        <v>0</v>
      </c>
      <c r="AU63" s="68">
        <v>50</v>
      </c>
      <c r="AV63" s="68">
        <v>7</v>
      </c>
      <c r="AW63" s="68">
        <v>3</v>
      </c>
      <c r="AX63" s="68">
        <v>40</v>
      </c>
    </row>
    <row r="64" spans="1:50" ht="15.75" customHeight="1">
      <c r="A64" s="63" t="s">
        <v>219</v>
      </c>
      <c r="B64" s="64" t="s">
        <v>223</v>
      </c>
      <c r="C64" s="67">
        <v>160</v>
      </c>
      <c r="D64" s="67">
        <v>5</v>
      </c>
      <c r="E64" s="67">
        <v>8</v>
      </c>
      <c r="F64" s="67">
        <v>147</v>
      </c>
      <c r="G64" s="67">
        <v>26</v>
      </c>
      <c r="H64" s="67">
        <v>1</v>
      </c>
      <c r="I64" s="67">
        <v>0</v>
      </c>
      <c r="J64" s="67">
        <v>25</v>
      </c>
      <c r="K64" s="67">
        <v>24</v>
      </c>
      <c r="L64" s="67">
        <v>1</v>
      </c>
      <c r="M64" s="67">
        <v>3</v>
      </c>
      <c r="N64" s="67">
        <v>20</v>
      </c>
      <c r="O64" s="67">
        <v>5</v>
      </c>
      <c r="P64" s="67">
        <v>0</v>
      </c>
      <c r="Q64" s="67">
        <v>0</v>
      </c>
      <c r="R64" s="67">
        <v>5</v>
      </c>
      <c r="S64" s="67">
        <v>0</v>
      </c>
      <c r="T64" s="67">
        <v>0</v>
      </c>
      <c r="U64" s="67">
        <v>0</v>
      </c>
      <c r="V64" s="67">
        <v>0</v>
      </c>
      <c r="W64" s="67">
        <v>105</v>
      </c>
      <c r="X64" s="67">
        <v>3</v>
      </c>
      <c r="Y64" s="67">
        <v>5</v>
      </c>
      <c r="Z64" s="67">
        <v>97</v>
      </c>
      <c r="AA64" s="67">
        <v>253</v>
      </c>
      <c r="AB64" s="67">
        <v>10</v>
      </c>
      <c r="AC64" s="67">
        <v>18</v>
      </c>
      <c r="AD64" s="67">
        <v>225</v>
      </c>
      <c r="AE64" s="67">
        <v>49</v>
      </c>
      <c r="AF64" s="67">
        <v>4</v>
      </c>
      <c r="AG64" s="67">
        <v>0</v>
      </c>
      <c r="AH64" s="67">
        <v>45</v>
      </c>
      <c r="AI64" s="67">
        <v>45</v>
      </c>
      <c r="AJ64" s="67">
        <v>1</v>
      </c>
      <c r="AK64" s="67">
        <v>7</v>
      </c>
      <c r="AL64" s="67">
        <v>37</v>
      </c>
      <c r="AM64" s="67">
        <v>9</v>
      </c>
      <c r="AN64" s="67">
        <v>0</v>
      </c>
      <c r="AO64" s="67">
        <v>0</v>
      </c>
      <c r="AP64" s="67">
        <v>9</v>
      </c>
      <c r="AQ64" s="67">
        <v>0</v>
      </c>
      <c r="AR64" s="67">
        <v>0</v>
      </c>
      <c r="AS64" s="67">
        <v>0</v>
      </c>
      <c r="AT64" s="67">
        <v>0</v>
      </c>
      <c r="AU64" s="67">
        <v>150</v>
      </c>
      <c r="AV64" s="67">
        <v>5</v>
      </c>
      <c r="AW64" s="67">
        <v>11</v>
      </c>
      <c r="AX64" s="67">
        <v>134</v>
      </c>
    </row>
    <row r="65" spans="1:50" ht="15.75" customHeight="1">
      <c r="A65" s="345" t="s">
        <v>20</v>
      </c>
      <c r="B65" s="65" t="s">
        <v>224</v>
      </c>
      <c r="C65" s="68">
        <v>43</v>
      </c>
      <c r="D65" s="68">
        <v>1</v>
      </c>
      <c r="E65" s="68">
        <v>4</v>
      </c>
      <c r="F65" s="68">
        <v>38</v>
      </c>
      <c r="G65" s="68">
        <v>3</v>
      </c>
      <c r="H65" s="68">
        <v>0</v>
      </c>
      <c r="I65" s="68">
        <v>0</v>
      </c>
      <c r="J65" s="68">
        <v>3</v>
      </c>
      <c r="K65" s="68">
        <v>9</v>
      </c>
      <c r="L65" s="68">
        <v>0</v>
      </c>
      <c r="M65" s="68">
        <v>1</v>
      </c>
      <c r="N65" s="68">
        <v>8</v>
      </c>
      <c r="O65" s="68">
        <v>1</v>
      </c>
      <c r="P65" s="68">
        <v>0</v>
      </c>
      <c r="Q65" s="68">
        <v>0</v>
      </c>
      <c r="R65" s="68">
        <v>1</v>
      </c>
      <c r="S65" s="68">
        <v>0</v>
      </c>
      <c r="T65" s="68">
        <v>0</v>
      </c>
      <c r="U65" s="68">
        <v>0</v>
      </c>
      <c r="V65" s="68">
        <v>0</v>
      </c>
      <c r="W65" s="68">
        <v>30</v>
      </c>
      <c r="X65" s="68">
        <v>1</v>
      </c>
      <c r="Y65" s="68">
        <v>3</v>
      </c>
      <c r="Z65" s="68">
        <v>26</v>
      </c>
      <c r="AA65" s="68">
        <v>82</v>
      </c>
      <c r="AB65" s="68">
        <v>1</v>
      </c>
      <c r="AC65" s="68">
        <v>8</v>
      </c>
      <c r="AD65" s="68">
        <v>73</v>
      </c>
      <c r="AE65" s="68">
        <v>13</v>
      </c>
      <c r="AF65" s="68">
        <v>1</v>
      </c>
      <c r="AG65" s="68">
        <v>0</v>
      </c>
      <c r="AH65" s="68">
        <v>12</v>
      </c>
      <c r="AI65" s="68">
        <v>19</v>
      </c>
      <c r="AJ65" s="68">
        <v>0</v>
      </c>
      <c r="AK65" s="68">
        <v>4</v>
      </c>
      <c r="AL65" s="68">
        <v>15</v>
      </c>
      <c r="AM65" s="68">
        <v>4</v>
      </c>
      <c r="AN65" s="68">
        <v>0</v>
      </c>
      <c r="AO65" s="68">
        <v>0</v>
      </c>
      <c r="AP65" s="68">
        <v>4</v>
      </c>
      <c r="AQ65" s="68">
        <v>0</v>
      </c>
      <c r="AR65" s="68">
        <v>0</v>
      </c>
      <c r="AS65" s="68">
        <v>0</v>
      </c>
      <c r="AT65" s="68">
        <v>0</v>
      </c>
      <c r="AU65" s="68">
        <v>46</v>
      </c>
      <c r="AV65" s="68">
        <v>0</v>
      </c>
      <c r="AW65" s="68">
        <v>4</v>
      </c>
      <c r="AX65" s="68">
        <v>42</v>
      </c>
    </row>
    <row r="66" spans="1:50" ht="15.75" customHeight="1">
      <c r="A66" s="346"/>
      <c r="B66" s="65" t="s">
        <v>225</v>
      </c>
      <c r="C66" s="68">
        <v>117</v>
      </c>
      <c r="D66" s="68">
        <v>4</v>
      </c>
      <c r="E66" s="68">
        <v>4</v>
      </c>
      <c r="F66" s="68">
        <v>109</v>
      </c>
      <c r="G66" s="68">
        <v>23</v>
      </c>
      <c r="H66" s="68">
        <v>1</v>
      </c>
      <c r="I66" s="68">
        <v>0</v>
      </c>
      <c r="J66" s="68">
        <v>22</v>
      </c>
      <c r="K66" s="68">
        <v>15</v>
      </c>
      <c r="L66" s="68">
        <v>1</v>
      </c>
      <c r="M66" s="68">
        <v>2</v>
      </c>
      <c r="N66" s="68">
        <v>12</v>
      </c>
      <c r="O66" s="68">
        <v>4</v>
      </c>
      <c r="P66" s="68">
        <v>0</v>
      </c>
      <c r="Q66" s="68">
        <v>0</v>
      </c>
      <c r="R66" s="68">
        <v>4</v>
      </c>
      <c r="S66" s="68">
        <v>0</v>
      </c>
      <c r="T66" s="68">
        <v>0</v>
      </c>
      <c r="U66" s="68">
        <v>0</v>
      </c>
      <c r="V66" s="68">
        <v>0</v>
      </c>
      <c r="W66" s="68">
        <v>75</v>
      </c>
      <c r="X66" s="68">
        <v>2</v>
      </c>
      <c r="Y66" s="68">
        <v>2</v>
      </c>
      <c r="Z66" s="68">
        <v>71</v>
      </c>
      <c r="AA66" s="68">
        <v>171</v>
      </c>
      <c r="AB66" s="68">
        <v>9</v>
      </c>
      <c r="AC66" s="68">
        <v>10</v>
      </c>
      <c r="AD66" s="68">
        <v>152</v>
      </c>
      <c r="AE66" s="68">
        <v>36</v>
      </c>
      <c r="AF66" s="68">
        <v>3</v>
      </c>
      <c r="AG66" s="68">
        <v>0</v>
      </c>
      <c r="AH66" s="68">
        <v>33</v>
      </c>
      <c r="AI66" s="68">
        <v>26</v>
      </c>
      <c r="AJ66" s="68">
        <v>1</v>
      </c>
      <c r="AK66" s="68">
        <v>3</v>
      </c>
      <c r="AL66" s="68">
        <v>22</v>
      </c>
      <c r="AM66" s="68">
        <v>5</v>
      </c>
      <c r="AN66" s="68">
        <v>0</v>
      </c>
      <c r="AO66" s="68">
        <v>0</v>
      </c>
      <c r="AP66" s="68">
        <v>5</v>
      </c>
      <c r="AQ66" s="68">
        <v>0</v>
      </c>
      <c r="AR66" s="68">
        <v>0</v>
      </c>
      <c r="AS66" s="68">
        <v>0</v>
      </c>
      <c r="AT66" s="68">
        <v>0</v>
      </c>
      <c r="AU66" s="68">
        <v>104</v>
      </c>
      <c r="AV66" s="68">
        <v>5</v>
      </c>
      <c r="AW66" s="68">
        <v>7</v>
      </c>
      <c r="AX66" s="68">
        <v>92</v>
      </c>
    </row>
    <row r="67" spans="1:50" ht="15.75" customHeight="1">
      <c r="A67" s="63" t="s">
        <v>220</v>
      </c>
      <c r="B67" s="64" t="s">
        <v>223</v>
      </c>
      <c r="C67" s="67">
        <v>236</v>
      </c>
      <c r="D67" s="67">
        <v>17</v>
      </c>
      <c r="E67" s="67">
        <v>13</v>
      </c>
      <c r="F67" s="67">
        <v>206</v>
      </c>
      <c r="G67" s="67">
        <v>88</v>
      </c>
      <c r="H67" s="67">
        <v>9</v>
      </c>
      <c r="I67" s="67">
        <v>4</v>
      </c>
      <c r="J67" s="67">
        <v>75</v>
      </c>
      <c r="K67" s="67">
        <v>37</v>
      </c>
      <c r="L67" s="67">
        <v>3</v>
      </c>
      <c r="M67" s="67">
        <v>3</v>
      </c>
      <c r="N67" s="67">
        <v>31</v>
      </c>
      <c r="O67" s="67">
        <v>3</v>
      </c>
      <c r="P67" s="67">
        <v>0</v>
      </c>
      <c r="Q67" s="67">
        <v>0</v>
      </c>
      <c r="R67" s="67">
        <v>3</v>
      </c>
      <c r="S67" s="67">
        <v>0</v>
      </c>
      <c r="T67" s="67">
        <v>0</v>
      </c>
      <c r="U67" s="67">
        <v>0</v>
      </c>
      <c r="V67" s="67">
        <v>0</v>
      </c>
      <c r="W67" s="67">
        <v>108</v>
      </c>
      <c r="X67" s="67">
        <v>5</v>
      </c>
      <c r="Y67" s="67">
        <v>6</v>
      </c>
      <c r="Z67" s="67">
        <v>97</v>
      </c>
      <c r="AA67" s="67">
        <v>398</v>
      </c>
      <c r="AB67" s="67">
        <v>29</v>
      </c>
      <c r="AC67" s="67">
        <v>21</v>
      </c>
      <c r="AD67" s="67">
        <v>348</v>
      </c>
      <c r="AE67" s="67">
        <v>144</v>
      </c>
      <c r="AF67" s="67">
        <v>11</v>
      </c>
      <c r="AG67" s="67">
        <v>9</v>
      </c>
      <c r="AH67" s="67">
        <v>124</v>
      </c>
      <c r="AI67" s="67">
        <v>66</v>
      </c>
      <c r="AJ67" s="67">
        <v>4</v>
      </c>
      <c r="AK67" s="67">
        <v>5</v>
      </c>
      <c r="AL67" s="67">
        <v>57</v>
      </c>
      <c r="AM67" s="67">
        <v>3</v>
      </c>
      <c r="AN67" s="67">
        <v>0</v>
      </c>
      <c r="AO67" s="67">
        <v>0</v>
      </c>
      <c r="AP67" s="67">
        <v>3</v>
      </c>
      <c r="AQ67" s="67">
        <v>0</v>
      </c>
      <c r="AR67" s="67">
        <v>0</v>
      </c>
      <c r="AS67" s="67">
        <v>0</v>
      </c>
      <c r="AT67" s="67">
        <v>0</v>
      </c>
      <c r="AU67" s="67">
        <v>185</v>
      </c>
      <c r="AV67" s="67">
        <v>14</v>
      </c>
      <c r="AW67" s="67">
        <v>7</v>
      </c>
      <c r="AX67" s="67">
        <v>164</v>
      </c>
    </row>
    <row r="68" spans="1:50" ht="15.75" customHeight="1">
      <c r="A68" s="345" t="s">
        <v>21</v>
      </c>
      <c r="B68" s="65" t="s">
        <v>224</v>
      </c>
      <c r="C68" s="68">
        <v>61</v>
      </c>
      <c r="D68" s="68">
        <v>4</v>
      </c>
      <c r="E68" s="68">
        <v>4</v>
      </c>
      <c r="F68" s="68">
        <v>53</v>
      </c>
      <c r="G68" s="68">
        <v>20</v>
      </c>
      <c r="H68" s="68">
        <v>2</v>
      </c>
      <c r="I68" s="68">
        <v>1</v>
      </c>
      <c r="J68" s="68">
        <v>17</v>
      </c>
      <c r="K68" s="68">
        <v>11</v>
      </c>
      <c r="L68" s="68">
        <v>0</v>
      </c>
      <c r="M68" s="68">
        <v>1</v>
      </c>
      <c r="N68" s="68">
        <v>10</v>
      </c>
      <c r="O68" s="68">
        <v>0</v>
      </c>
      <c r="P68" s="68">
        <v>0</v>
      </c>
      <c r="Q68" s="68">
        <v>0</v>
      </c>
      <c r="R68" s="68">
        <v>0</v>
      </c>
      <c r="S68" s="68">
        <v>0</v>
      </c>
      <c r="T68" s="68">
        <v>0</v>
      </c>
      <c r="U68" s="68">
        <v>0</v>
      </c>
      <c r="V68" s="68">
        <v>0</v>
      </c>
      <c r="W68" s="68">
        <v>30</v>
      </c>
      <c r="X68" s="68">
        <v>2</v>
      </c>
      <c r="Y68" s="68">
        <v>2</v>
      </c>
      <c r="Z68" s="68">
        <v>26</v>
      </c>
      <c r="AA68" s="68">
        <v>116</v>
      </c>
      <c r="AB68" s="68">
        <v>5</v>
      </c>
      <c r="AC68" s="68">
        <v>7</v>
      </c>
      <c r="AD68" s="68">
        <v>104</v>
      </c>
      <c r="AE68" s="68">
        <v>38</v>
      </c>
      <c r="AF68" s="68">
        <v>2</v>
      </c>
      <c r="AG68" s="68">
        <v>3</v>
      </c>
      <c r="AH68" s="68">
        <v>33</v>
      </c>
      <c r="AI68" s="68">
        <v>21</v>
      </c>
      <c r="AJ68" s="68">
        <v>0</v>
      </c>
      <c r="AK68" s="68">
        <v>1</v>
      </c>
      <c r="AL68" s="68">
        <v>20</v>
      </c>
      <c r="AM68" s="68">
        <v>0</v>
      </c>
      <c r="AN68" s="68">
        <v>0</v>
      </c>
      <c r="AO68" s="68">
        <v>0</v>
      </c>
      <c r="AP68" s="68">
        <v>0</v>
      </c>
      <c r="AQ68" s="68">
        <v>0</v>
      </c>
      <c r="AR68" s="68">
        <v>0</v>
      </c>
      <c r="AS68" s="68">
        <v>0</v>
      </c>
      <c r="AT68" s="68">
        <v>0</v>
      </c>
      <c r="AU68" s="68">
        <v>57</v>
      </c>
      <c r="AV68" s="68">
        <v>3</v>
      </c>
      <c r="AW68" s="68">
        <v>3</v>
      </c>
      <c r="AX68" s="68">
        <v>51</v>
      </c>
    </row>
    <row r="69" spans="1:50" ht="15.75" customHeight="1">
      <c r="A69" s="346"/>
      <c r="B69" s="65" t="s">
        <v>225</v>
      </c>
      <c r="C69" s="68">
        <v>175</v>
      </c>
      <c r="D69" s="68">
        <v>13</v>
      </c>
      <c r="E69" s="68">
        <v>9</v>
      </c>
      <c r="F69" s="68">
        <v>153</v>
      </c>
      <c r="G69" s="68">
        <v>68</v>
      </c>
      <c r="H69" s="68">
        <v>7</v>
      </c>
      <c r="I69" s="68">
        <v>3</v>
      </c>
      <c r="J69" s="68">
        <v>58</v>
      </c>
      <c r="K69" s="68">
        <v>26</v>
      </c>
      <c r="L69" s="68">
        <v>3</v>
      </c>
      <c r="M69" s="68">
        <v>2</v>
      </c>
      <c r="N69" s="68">
        <v>21</v>
      </c>
      <c r="O69" s="68">
        <v>3</v>
      </c>
      <c r="P69" s="68">
        <v>0</v>
      </c>
      <c r="Q69" s="68">
        <v>0</v>
      </c>
      <c r="R69" s="68">
        <v>3</v>
      </c>
      <c r="S69" s="68">
        <v>0</v>
      </c>
      <c r="T69" s="68">
        <v>0</v>
      </c>
      <c r="U69" s="68">
        <v>0</v>
      </c>
      <c r="V69" s="68">
        <v>0</v>
      </c>
      <c r="W69" s="68">
        <v>78</v>
      </c>
      <c r="X69" s="68">
        <v>3</v>
      </c>
      <c r="Y69" s="68">
        <v>4</v>
      </c>
      <c r="Z69" s="68">
        <v>71</v>
      </c>
      <c r="AA69" s="68">
        <v>282</v>
      </c>
      <c r="AB69" s="68">
        <v>24</v>
      </c>
      <c r="AC69" s="68">
        <v>14</v>
      </c>
      <c r="AD69" s="68">
        <v>244</v>
      </c>
      <c r="AE69" s="68">
        <v>106</v>
      </c>
      <c r="AF69" s="68">
        <v>9</v>
      </c>
      <c r="AG69" s="68">
        <v>6</v>
      </c>
      <c r="AH69" s="68">
        <v>91</v>
      </c>
      <c r="AI69" s="68">
        <v>45</v>
      </c>
      <c r="AJ69" s="68">
        <v>4</v>
      </c>
      <c r="AK69" s="68">
        <v>4</v>
      </c>
      <c r="AL69" s="68">
        <v>37</v>
      </c>
      <c r="AM69" s="68">
        <v>3</v>
      </c>
      <c r="AN69" s="68">
        <v>0</v>
      </c>
      <c r="AO69" s="68">
        <v>0</v>
      </c>
      <c r="AP69" s="68">
        <v>3</v>
      </c>
      <c r="AQ69" s="68">
        <v>0</v>
      </c>
      <c r="AR69" s="68">
        <v>0</v>
      </c>
      <c r="AS69" s="68">
        <v>0</v>
      </c>
      <c r="AT69" s="68">
        <v>0</v>
      </c>
      <c r="AU69" s="68">
        <v>128</v>
      </c>
      <c r="AV69" s="68">
        <v>11</v>
      </c>
      <c r="AW69" s="68">
        <v>4</v>
      </c>
      <c r="AX69" s="68">
        <v>113</v>
      </c>
    </row>
    <row r="70" spans="1:50" ht="15.75" customHeight="1">
      <c r="A70" s="63" t="s">
        <v>221</v>
      </c>
      <c r="B70" s="64" t="s">
        <v>223</v>
      </c>
      <c r="C70" s="67">
        <v>56</v>
      </c>
      <c r="D70" s="67">
        <v>1</v>
      </c>
      <c r="E70" s="67">
        <v>0</v>
      </c>
      <c r="F70" s="67">
        <v>55</v>
      </c>
      <c r="G70" s="67">
        <v>22</v>
      </c>
      <c r="H70" s="67">
        <v>0</v>
      </c>
      <c r="I70" s="67">
        <v>0</v>
      </c>
      <c r="J70" s="67">
        <v>22</v>
      </c>
      <c r="K70" s="67">
        <v>9</v>
      </c>
      <c r="L70" s="67">
        <v>0</v>
      </c>
      <c r="M70" s="67">
        <v>0</v>
      </c>
      <c r="N70" s="67">
        <v>9</v>
      </c>
      <c r="O70" s="67">
        <v>1</v>
      </c>
      <c r="P70" s="67">
        <v>1</v>
      </c>
      <c r="Q70" s="67">
        <v>0</v>
      </c>
      <c r="R70" s="67">
        <v>0</v>
      </c>
      <c r="S70" s="67">
        <v>0</v>
      </c>
      <c r="T70" s="67">
        <v>0</v>
      </c>
      <c r="U70" s="67">
        <v>0</v>
      </c>
      <c r="V70" s="67">
        <v>0</v>
      </c>
      <c r="W70" s="67">
        <v>24</v>
      </c>
      <c r="X70" s="67">
        <v>0</v>
      </c>
      <c r="Y70" s="67">
        <v>0</v>
      </c>
      <c r="Z70" s="67">
        <v>24</v>
      </c>
      <c r="AA70" s="67">
        <v>70</v>
      </c>
      <c r="AB70" s="67">
        <v>0</v>
      </c>
      <c r="AC70" s="67">
        <v>1</v>
      </c>
      <c r="AD70" s="67">
        <v>69</v>
      </c>
      <c r="AE70" s="67">
        <v>27</v>
      </c>
      <c r="AF70" s="67">
        <v>0</v>
      </c>
      <c r="AG70" s="67">
        <v>0</v>
      </c>
      <c r="AH70" s="67">
        <v>27</v>
      </c>
      <c r="AI70" s="67">
        <v>20</v>
      </c>
      <c r="AJ70" s="67">
        <v>0</v>
      </c>
      <c r="AK70" s="67">
        <v>0</v>
      </c>
      <c r="AL70" s="67">
        <v>20</v>
      </c>
      <c r="AM70" s="67">
        <v>2</v>
      </c>
      <c r="AN70" s="67">
        <v>0</v>
      </c>
      <c r="AO70" s="67">
        <v>1</v>
      </c>
      <c r="AP70" s="67">
        <v>1</v>
      </c>
      <c r="AQ70" s="67">
        <v>0</v>
      </c>
      <c r="AR70" s="67">
        <v>0</v>
      </c>
      <c r="AS70" s="67">
        <v>0</v>
      </c>
      <c r="AT70" s="67">
        <v>0</v>
      </c>
      <c r="AU70" s="67">
        <v>21</v>
      </c>
      <c r="AV70" s="67">
        <v>0</v>
      </c>
      <c r="AW70" s="67">
        <v>0</v>
      </c>
      <c r="AX70" s="67">
        <v>21</v>
      </c>
    </row>
    <row r="71" spans="1:50" ht="15.75" customHeight="1">
      <c r="A71" s="345" t="s">
        <v>22</v>
      </c>
      <c r="B71" s="65" t="s">
        <v>224</v>
      </c>
      <c r="C71" s="68">
        <v>12</v>
      </c>
      <c r="D71" s="68">
        <v>0</v>
      </c>
      <c r="E71" s="68">
        <v>0</v>
      </c>
      <c r="F71" s="68">
        <v>12</v>
      </c>
      <c r="G71" s="68">
        <v>3</v>
      </c>
      <c r="H71" s="68">
        <v>0</v>
      </c>
      <c r="I71" s="68">
        <v>0</v>
      </c>
      <c r="J71" s="68">
        <v>3</v>
      </c>
      <c r="K71" s="68">
        <v>2</v>
      </c>
      <c r="L71" s="68">
        <v>0</v>
      </c>
      <c r="M71" s="68">
        <v>0</v>
      </c>
      <c r="N71" s="68">
        <v>2</v>
      </c>
      <c r="O71" s="68">
        <v>0</v>
      </c>
      <c r="P71" s="68">
        <v>0</v>
      </c>
      <c r="Q71" s="68">
        <v>0</v>
      </c>
      <c r="R71" s="68">
        <v>0</v>
      </c>
      <c r="S71" s="68">
        <v>0</v>
      </c>
      <c r="T71" s="68">
        <v>0</v>
      </c>
      <c r="U71" s="68">
        <v>0</v>
      </c>
      <c r="V71" s="68">
        <v>0</v>
      </c>
      <c r="W71" s="68">
        <v>7</v>
      </c>
      <c r="X71" s="68">
        <v>0</v>
      </c>
      <c r="Y71" s="68">
        <v>0</v>
      </c>
      <c r="Z71" s="68">
        <v>7</v>
      </c>
      <c r="AA71" s="68">
        <v>21</v>
      </c>
      <c r="AB71" s="68">
        <v>0</v>
      </c>
      <c r="AC71" s="68">
        <v>0</v>
      </c>
      <c r="AD71" s="68">
        <v>21</v>
      </c>
      <c r="AE71" s="68">
        <v>5</v>
      </c>
      <c r="AF71" s="68">
        <v>0</v>
      </c>
      <c r="AG71" s="68">
        <v>0</v>
      </c>
      <c r="AH71" s="68">
        <v>5</v>
      </c>
      <c r="AI71" s="68">
        <v>9</v>
      </c>
      <c r="AJ71" s="68">
        <v>0</v>
      </c>
      <c r="AK71" s="68">
        <v>0</v>
      </c>
      <c r="AL71" s="68">
        <v>9</v>
      </c>
      <c r="AM71" s="68">
        <v>0</v>
      </c>
      <c r="AN71" s="68">
        <v>0</v>
      </c>
      <c r="AO71" s="68">
        <v>0</v>
      </c>
      <c r="AP71" s="68">
        <v>0</v>
      </c>
      <c r="AQ71" s="68">
        <v>0</v>
      </c>
      <c r="AR71" s="68">
        <v>0</v>
      </c>
      <c r="AS71" s="68">
        <v>0</v>
      </c>
      <c r="AT71" s="68">
        <v>0</v>
      </c>
      <c r="AU71" s="68">
        <v>7</v>
      </c>
      <c r="AV71" s="68">
        <v>0</v>
      </c>
      <c r="AW71" s="68">
        <v>0</v>
      </c>
      <c r="AX71" s="68">
        <v>7</v>
      </c>
    </row>
    <row r="72" spans="1:50" ht="15.75" customHeight="1">
      <c r="A72" s="346"/>
      <c r="B72" s="65" t="s">
        <v>225</v>
      </c>
      <c r="C72" s="68">
        <v>44</v>
      </c>
      <c r="D72" s="68">
        <v>1</v>
      </c>
      <c r="E72" s="68">
        <v>0</v>
      </c>
      <c r="F72" s="68">
        <v>43</v>
      </c>
      <c r="G72" s="68">
        <v>19</v>
      </c>
      <c r="H72" s="68">
        <v>0</v>
      </c>
      <c r="I72" s="68">
        <v>0</v>
      </c>
      <c r="J72" s="68">
        <v>19</v>
      </c>
      <c r="K72" s="68">
        <v>7</v>
      </c>
      <c r="L72" s="68">
        <v>0</v>
      </c>
      <c r="M72" s="68">
        <v>0</v>
      </c>
      <c r="N72" s="68">
        <v>7</v>
      </c>
      <c r="O72" s="68">
        <v>1</v>
      </c>
      <c r="P72" s="68">
        <v>1</v>
      </c>
      <c r="Q72" s="68">
        <v>0</v>
      </c>
      <c r="R72" s="68">
        <v>0</v>
      </c>
      <c r="S72" s="68">
        <v>0</v>
      </c>
      <c r="T72" s="68">
        <v>0</v>
      </c>
      <c r="U72" s="68">
        <v>0</v>
      </c>
      <c r="V72" s="68">
        <v>0</v>
      </c>
      <c r="W72" s="68">
        <v>17</v>
      </c>
      <c r="X72" s="68">
        <v>0</v>
      </c>
      <c r="Y72" s="68">
        <v>0</v>
      </c>
      <c r="Z72" s="68">
        <v>17</v>
      </c>
      <c r="AA72" s="68">
        <v>49</v>
      </c>
      <c r="AB72" s="68">
        <v>0</v>
      </c>
      <c r="AC72" s="68">
        <v>1</v>
      </c>
      <c r="AD72" s="68">
        <v>48</v>
      </c>
      <c r="AE72" s="68">
        <v>22</v>
      </c>
      <c r="AF72" s="68">
        <v>0</v>
      </c>
      <c r="AG72" s="68">
        <v>0</v>
      </c>
      <c r="AH72" s="68">
        <v>22</v>
      </c>
      <c r="AI72" s="68">
        <v>11</v>
      </c>
      <c r="AJ72" s="68">
        <v>0</v>
      </c>
      <c r="AK72" s="68">
        <v>0</v>
      </c>
      <c r="AL72" s="68">
        <v>11</v>
      </c>
      <c r="AM72" s="68">
        <v>2</v>
      </c>
      <c r="AN72" s="68">
        <v>0</v>
      </c>
      <c r="AO72" s="68">
        <v>1</v>
      </c>
      <c r="AP72" s="68">
        <v>1</v>
      </c>
      <c r="AQ72" s="68">
        <v>0</v>
      </c>
      <c r="AR72" s="68">
        <v>0</v>
      </c>
      <c r="AS72" s="68">
        <v>0</v>
      </c>
      <c r="AT72" s="68">
        <v>0</v>
      </c>
      <c r="AU72" s="68">
        <v>14</v>
      </c>
      <c r="AV72" s="68">
        <v>0</v>
      </c>
      <c r="AW72" s="68">
        <v>0</v>
      </c>
      <c r="AX72" s="68">
        <v>14</v>
      </c>
    </row>
    <row r="73" spans="1:50" ht="15.75" customHeight="1">
      <c r="A73" s="63" t="s">
        <v>222</v>
      </c>
      <c r="B73" s="64" t="s">
        <v>223</v>
      </c>
      <c r="C73" s="67">
        <v>0</v>
      </c>
      <c r="D73" s="67">
        <v>0</v>
      </c>
      <c r="E73" s="67">
        <v>0</v>
      </c>
      <c r="F73" s="67">
        <v>0</v>
      </c>
      <c r="G73" s="67">
        <v>0</v>
      </c>
      <c r="H73" s="67">
        <v>0</v>
      </c>
      <c r="I73" s="67">
        <v>0</v>
      </c>
      <c r="J73" s="67">
        <v>0</v>
      </c>
      <c r="K73" s="67">
        <v>0</v>
      </c>
      <c r="L73" s="67">
        <v>0</v>
      </c>
      <c r="M73" s="67">
        <v>0</v>
      </c>
      <c r="N73" s="67">
        <v>0</v>
      </c>
      <c r="O73" s="67">
        <v>0</v>
      </c>
      <c r="P73" s="67">
        <v>0</v>
      </c>
      <c r="Q73" s="67">
        <v>0</v>
      </c>
      <c r="R73" s="67">
        <v>0</v>
      </c>
      <c r="S73" s="67">
        <v>0</v>
      </c>
      <c r="T73" s="67">
        <v>0</v>
      </c>
      <c r="U73" s="67">
        <v>0</v>
      </c>
      <c r="V73" s="67">
        <v>0</v>
      </c>
      <c r="W73" s="67">
        <v>0</v>
      </c>
      <c r="X73" s="67">
        <v>0</v>
      </c>
      <c r="Y73" s="67">
        <v>0</v>
      </c>
      <c r="Z73" s="67">
        <v>0</v>
      </c>
      <c r="AA73" s="67">
        <v>2</v>
      </c>
      <c r="AB73" s="67">
        <v>0</v>
      </c>
      <c r="AC73" s="67">
        <v>0</v>
      </c>
      <c r="AD73" s="67">
        <v>2</v>
      </c>
      <c r="AE73" s="67">
        <v>0</v>
      </c>
      <c r="AF73" s="67">
        <v>0</v>
      </c>
      <c r="AG73" s="67">
        <v>0</v>
      </c>
      <c r="AH73" s="67">
        <v>0</v>
      </c>
      <c r="AI73" s="67">
        <v>1</v>
      </c>
      <c r="AJ73" s="67">
        <v>0</v>
      </c>
      <c r="AK73" s="67">
        <v>0</v>
      </c>
      <c r="AL73" s="67">
        <v>1</v>
      </c>
      <c r="AM73" s="67">
        <v>1</v>
      </c>
      <c r="AN73" s="67">
        <v>0</v>
      </c>
      <c r="AO73" s="67">
        <v>0</v>
      </c>
      <c r="AP73" s="67">
        <v>1</v>
      </c>
      <c r="AQ73" s="67">
        <v>0</v>
      </c>
      <c r="AR73" s="67">
        <v>0</v>
      </c>
      <c r="AS73" s="67">
        <v>0</v>
      </c>
      <c r="AT73" s="67">
        <v>0</v>
      </c>
      <c r="AU73" s="67">
        <v>0</v>
      </c>
      <c r="AV73" s="67">
        <v>0</v>
      </c>
      <c r="AW73" s="67">
        <v>0</v>
      </c>
      <c r="AX73" s="67">
        <v>0</v>
      </c>
    </row>
    <row r="74" spans="1:50" ht="15.75" customHeight="1">
      <c r="A74" s="345" t="s">
        <v>23</v>
      </c>
      <c r="B74" s="65" t="s">
        <v>224</v>
      </c>
      <c r="C74" s="68">
        <v>0</v>
      </c>
      <c r="D74" s="68">
        <v>0</v>
      </c>
      <c r="E74" s="68">
        <v>0</v>
      </c>
      <c r="F74" s="68">
        <v>0</v>
      </c>
      <c r="G74" s="68">
        <v>0</v>
      </c>
      <c r="H74" s="68">
        <v>0</v>
      </c>
      <c r="I74" s="68">
        <v>0</v>
      </c>
      <c r="J74" s="68">
        <v>0</v>
      </c>
      <c r="K74" s="68">
        <v>0</v>
      </c>
      <c r="L74" s="68">
        <v>0</v>
      </c>
      <c r="M74" s="68">
        <v>0</v>
      </c>
      <c r="N74" s="68">
        <v>0</v>
      </c>
      <c r="O74" s="68">
        <v>0</v>
      </c>
      <c r="P74" s="68">
        <v>0</v>
      </c>
      <c r="Q74" s="68">
        <v>0</v>
      </c>
      <c r="R74" s="68">
        <v>0</v>
      </c>
      <c r="S74" s="68">
        <v>0</v>
      </c>
      <c r="T74" s="68">
        <v>0</v>
      </c>
      <c r="U74" s="68">
        <v>0</v>
      </c>
      <c r="V74" s="68">
        <v>0</v>
      </c>
      <c r="W74" s="68">
        <v>0</v>
      </c>
      <c r="X74" s="68">
        <v>0</v>
      </c>
      <c r="Y74" s="68">
        <v>0</v>
      </c>
      <c r="Z74" s="68">
        <v>0</v>
      </c>
      <c r="AA74" s="68">
        <v>1</v>
      </c>
      <c r="AB74" s="68">
        <v>0</v>
      </c>
      <c r="AC74" s="68">
        <v>0</v>
      </c>
      <c r="AD74" s="68">
        <v>1</v>
      </c>
      <c r="AE74" s="68">
        <v>0</v>
      </c>
      <c r="AF74" s="68">
        <v>0</v>
      </c>
      <c r="AG74" s="68">
        <v>0</v>
      </c>
      <c r="AH74" s="68">
        <v>0</v>
      </c>
      <c r="AI74" s="68">
        <v>1</v>
      </c>
      <c r="AJ74" s="68">
        <v>0</v>
      </c>
      <c r="AK74" s="68">
        <v>0</v>
      </c>
      <c r="AL74" s="68">
        <v>1</v>
      </c>
      <c r="AM74" s="68">
        <v>0</v>
      </c>
      <c r="AN74" s="68">
        <v>0</v>
      </c>
      <c r="AO74" s="68">
        <v>0</v>
      </c>
      <c r="AP74" s="68">
        <v>0</v>
      </c>
      <c r="AQ74" s="68">
        <v>0</v>
      </c>
      <c r="AR74" s="68">
        <v>0</v>
      </c>
      <c r="AS74" s="68">
        <v>0</v>
      </c>
      <c r="AT74" s="68">
        <v>0</v>
      </c>
      <c r="AU74" s="68">
        <v>0</v>
      </c>
      <c r="AV74" s="68">
        <v>0</v>
      </c>
      <c r="AW74" s="68">
        <v>0</v>
      </c>
      <c r="AX74" s="68">
        <v>0</v>
      </c>
    </row>
    <row r="75" spans="1:50" ht="15.75" customHeight="1">
      <c r="A75" s="346"/>
      <c r="B75" s="66" t="s">
        <v>225</v>
      </c>
      <c r="C75" s="69">
        <v>0</v>
      </c>
      <c r="D75" s="69">
        <v>0</v>
      </c>
      <c r="E75" s="69">
        <v>0</v>
      </c>
      <c r="F75" s="69">
        <v>0</v>
      </c>
      <c r="G75" s="69">
        <v>0</v>
      </c>
      <c r="H75" s="69">
        <v>0</v>
      </c>
      <c r="I75" s="69">
        <v>0</v>
      </c>
      <c r="J75" s="69">
        <v>0</v>
      </c>
      <c r="K75" s="69">
        <v>0</v>
      </c>
      <c r="L75" s="69">
        <v>0</v>
      </c>
      <c r="M75" s="69">
        <v>0</v>
      </c>
      <c r="N75" s="69">
        <v>0</v>
      </c>
      <c r="O75" s="69">
        <v>0</v>
      </c>
      <c r="P75" s="69">
        <v>0</v>
      </c>
      <c r="Q75" s="69">
        <v>0</v>
      </c>
      <c r="R75" s="69">
        <v>0</v>
      </c>
      <c r="S75" s="69">
        <v>0</v>
      </c>
      <c r="T75" s="69">
        <v>0</v>
      </c>
      <c r="U75" s="69">
        <v>0</v>
      </c>
      <c r="V75" s="69">
        <v>0</v>
      </c>
      <c r="W75" s="69">
        <v>0</v>
      </c>
      <c r="X75" s="69">
        <v>0</v>
      </c>
      <c r="Y75" s="69">
        <v>0</v>
      </c>
      <c r="Z75" s="69">
        <v>0</v>
      </c>
      <c r="AA75" s="69">
        <v>1</v>
      </c>
      <c r="AB75" s="69">
        <v>0</v>
      </c>
      <c r="AC75" s="69">
        <v>0</v>
      </c>
      <c r="AD75" s="69">
        <v>1</v>
      </c>
      <c r="AE75" s="69">
        <v>0</v>
      </c>
      <c r="AF75" s="69">
        <v>0</v>
      </c>
      <c r="AG75" s="69">
        <v>0</v>
      </c>
      <c r="AH75" s="69">
        <v>0</v>
      </c>
      <c r="AI75" s="69">
        <v>0</v>
      </c>
      <c r="AJ75" s="69">
        <v>0</v>
      </c>
      <c r="AK75" s="69">
        <v>0</v>
      </c>
      <c r="AL75" s="69">
        <v>0</v>
      </c>
      <c r="AM75" s="69">
        <v>1</v>
      </c>
      <c r="AN75" s="69">
        <v>0</v>
      </c>
      <c r="AO75" s="69">
        <v>0</v>
      </c>
      <c r="AP75" s="69">
        <v>1</v>
      </c>
      <c r="AQ75" s="69">
        <v>0</v>
      </c>
      <c r="AR75" s="69">
        <v>0</v>
      </c>
      <c r="AS75" s="69">
        <v>0</v>
      </c>
      <c r="AT75" s="69">
        <v>0</v>
      </c>
      <c r="AU75" s="69">
        <v>0</v>
      </c>
      <c r="AV75" s="69">
        <v>0</v>
      </c>
      <c r="AW75" s="69">
        <v>0</v>
      </c>
      <c r="AX75" s="69">
        <v>0</v>
      </c>
    </row>
    <row r="76" spans="1:50" ht="15" customHeight="1">
      <c r="A76" s="85" t="s">
        <v>77</v>
      </c>
      <c r="B76" s="86"/>
    </row>
    <row r="77" spans="1:50" ht="15" customHeight="1">
      <c r="A77" s="61" t="s">
        <v>192</v>
      </c>
      <c r="B77" s="86"/>
    </row>
    <row r="78" spans="1:50" ht="15" customHeight="1">
      <c r="A78" s="15" t="s">
        <v>2</v>
      </c>
      <c r="B78" s="15"/>
    </row>
    <row r="80" spans="1:50">
      <c r="A80" s="31" t="s">
        <v>314</v>
      </c>
    </row>
  </sheetData>
  <mergeCells count="86">
    <mergeCell ref="A74:A75"/>
    <mergeCell ref="A41:A42"/>
    <mergeCell ref="A44:A45"/>
    <mergeCell ref="A47:A48"/>
    <mergeCell ref="A50:A51"/>
    <mergeCell ref="A53:A54"/>
    <mergeCell ref="A56:A57"/>
    <mergeCell ref="A59:A60"/>
    <mergeCell ref="A62:A63"/>
    <mergeCell ref="A65:A66"/>
    <mergeCell ref="A68:A69"/>
    <mergeCell ref="A71:A72"/>
    <mergeCell ref="A23:A24"/>
    <mergeCell ref="A26:A27"/>
    <mergeCell ref="A29:A30"/>
    <mergeCell ref="A32:A33"/>
    <mergeCell ref="A35:A36"/>
    <mergeCell ref="A38:A39"/>
    <mergeCell ref="AX5:AX6"/>
    <mergeCell ref="A8:A9"/>
    <mergeCell ref="A11:A12"/>
    <mergeCell ref="A14:A15"/>
    <mergeCell ref="A17:A18"/>
    <mergeCell ref="A20:A21"/>
    <mergeCell ref="AR5:AR6"/>
    <mergeCell ref="AS5:AS6"/>
    <mergeCell ref="AT5:AT6"/>
    <mergeCell ref="AU5:AU6"/>
    <mergeCell ref="AV5:AV6"/>
    <mergeCell ref="AW5:AW6"/>
    <mergeCell ref="AL5:AL6"/>
    <mergeCell ref="AM5:AM6"/>
    <mergeCell ref="AN5:AN6"/>
    <mergeCell ref="R5:R6"/>
    <mergeCell ref="AE5:AE6"/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M5:M6"/>
    <mergeCell ref="N5:N6"/>
    <mergeCell ref="O5:O6"/>
    <mergeCell ref="P5:P6"/>
    <mergeCell ref="Q5:Q6"/>
    <mergeCell ref="H5:H6"/>
    <mergeCell ref="I5:I6"/>
    <mergeCell ref="J5:J6"/>
    <mergeCell ref="K5:K6"/>
    <mergeCell ref="L5:L6"/>
    <mergeCell ref="AI4:AL4"/>
    <mergeCell ref="AM4:AP4"/>
    <mergeCell ref="AQ4:AT4"/>
    <mergeCell ref="AU4:AX4"/>
    <mergeCell ref="S5:S6"/>
    <mergeCell ref="AO5:AO6"/>
    <mergeCell ref="AP5:AP6"/>
    <mergeCell ref="AQ5:AQ6"/>
    <mergeCell ref="AF5:AF6"/>
    <mergeCell ref="AG5:AG6"/>
    <mergeCell ref="AH5:AH6"/>
    <mergeCell ref="AI5:AI6"/>
    <mergeCell ref="AJ5:AJ6"/>
    <mergeCell ref="AK5:AK6"/>
    <mergeCell ref="A3:B6"/>
    <mergeCell ref="C3:Z3"/>
    <mergeCell ref="AA3:AX3"/>
    <mergeCell ref="C4:F4"/>
    <mergeCell ref="G4:J4"/>
    <mergeCell ref="K4:N4"/>
    <mergeCell ref="O4:R4"/>
    <mergeCell ref="S4:V4"/>
    <mergeCell ref="W4:Z4"/>
    <mergeCell ref="AA4:AD4"/>
    <mergeCell ref="C5:C6"/>
    <mergeCell ref="D5:D6"/>
    <mergeCell ref="E5:E6"/>
    <mergeCell ref="F5:F6"/>
    <mergeCell ref="G5:G6"/>
    <mergeCell ref="AE4:AH4"/>
  </mergeCells>
  <phoneticPr fontId="6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86" fitToWidth="10" orientation="landscape" useFirstPageNumber="1" horizontalDpi="4294967292" verticalDpi="3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BV34"/>
  <sheetViews>
    <sheetView zoomScaleNormal="100" zoomScaleSheetLayoutView="100" workbookViewId="0">
      <pane xSplit="2" ySplit="7" topLeftCell="AN17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9.5" customHeight="1"/>
  <cols>
    <col min="1" max="1" width="10.1640625" style="84" customWidth="1"/>
    <col min="2" max="2" width="20.1640625" style="84" customWidth="1"/>
    <col min="3" max="74" width="8.83203125" style="84" customWidth="1"/>
    <col min="75" max="16384" width="12" style="84"/>
  </cols>
  <sheetData>
    <row r="1" spans="1:74" ht="19.5" customHeight="1">
      <c r="A1" s="115" t="s">
        <v>293</v>
      </c>
      <c r="B1" s="117"/>
    </row>
    <row r="2" spans="1:74" ht="19.5" customHeight="1">
      <c r="A2" s="26" t="s">
        <v>315</v>
      </c>
      <c r="B2" s="118"/>
    </row>
    <row r="3" spans="1:74" ht="15.75" customHeight="1">
      <c r="A3" s="410" t="s">
        <v>316</v>
      </c>
      <c r="B3" s="411"/>
      <c r="C3" s="405" t="s">
        <v>310</v>
      </c>
      <c r="D3" s="406"/>
      <c r="E3" s="406"/>
      <c r="F3" s="406"/>
      <c r="G3" s="406"/>
      <c r="H3" s="406"/>
      <c r="I3" s="406"/>
      <c r="J3" s="406"/>
      <c r="K3" s="406"/>
      <c r="L3" s="406"/>
      <c r="M3" s="406"/>
      <c r="N3" s="406"/>
      <c r="O3" s="405" t="s">
        <v>311</v>
      </c>
      <c r="P3" s="406"/>
      <c r="Q3" s="406"/>
      <c r="R3" s="406"/>
      <c r="S3" s="406"/>
      <c r="T3" s="406"/>
      <c r="U3" s="406"/>
      <c r="V3" s="406"/>
      <c r="W3" s="406"/>
      <c r="X3" s="406"/>
      <c r="Y3" s="406"/>
      <c r="Z3" s="406"/>
      <c r="AA3" s="406"/>
      <c r="AB3" s="406"/>
      <c r="AC3" s="406"/>
      <c r="AD3" s="406"/>
      <c r="AE3" s="406"/>
      <c r="AF3" s="406"/>
      <c r="AG3" s="406"/>
      <c r="AH3" s="406"/>
      <c r="AI3" s="406"/>
      <c r="AJ3" s="406"/>
      <c r="AK3" s="406"/>
      <c r="AL3" s="406"/>
      <c r="AM3" s="406"/>
      <c r="AN3" s="406"/>
      <c r="AO3" s="406"/>
      <c r="AP3" s="406"/>
      <c r="AQ3" s="406"/>
      <c r="AR3" s="406"/>
      <c r="AS3" s="406"/>
      <c r="AT3" s="406"/>
      <c r="AU3" s="406"/>
      <c r="AV3" s="406"/>
      <c r="AW3" s="406"/>
      <c r="AX3" s="406"/>
      <c r="AY3" s="406"/>
      <c r="AZ3" s="406"/>
      <c r="BA3" s="406"/>
      <c r="BB3" s="406"/>
      <c r="BC3" s="406"/>
      <c r="BD3" s="406"/>
      <c r="BE3" s="406"/>
      <c r="BF3" s="406"/>
      <c r="BG3" s="406"/>
      <c r="BH3" s="406"/>
      <c r="BI3" s="406"/>
      <c r="BJ3" s="406"/>
      <c r="BK3" s="406"/>
      <c r="BL3" s="406"/>
      <c r="BM3" s="406"/>
      <c r="BN3" s="406"/>
      <c r="BO3" s="406"/>
      <c r="BP3" s="406"/>
      <c r="BQ3" s="406"/>
      <c r="BR3" s="406"/>
      <c r="BS3" s="406"/>
      <c r="BT3" s="406"/>
      <c r="BU3" s="406"/>
      <c r="BV3" s="406"/>
    </row>
    <row r="4" spans="1:74" s="82" customFormat="1" ht="15.75" customHeight="1">
      <c r="A4" s="412"/>
      <c r="B4" s="413"/>
      <c r="C4" s="405" t="s">
        <v>297</v>
      </c>
      <c r="D4" s="406"/>
      <c r="E4" s="406"/>
      <c r="F4" s="406"/>
      <c r="G4" s="406"/>
      <c r="H4" s="406"/>
      <c r="I4" s="406"/>
      <c r="J4" s="406"/>
      <c r="K4" s="406"/>
      <c r="L4" s="406"/>
      <c r="M4" s="406"/>
      <c r="N4" s="407"/>
      <c r="O4" s="332" t="s">
        <v>81</v>
      </c>
      <c r="P4" s="304"/>
      <c r="Q4" s="304"/>
      <c r="R4" s="304"/>
      <c r="S4" s="304"/>
      <c r="T4" s="304"/>
      <c r="U4" s="304"/>
      <c r="V4" s="304"/>
      <c r="W4" s="304"/>
      <c r="X4" s="304"/>
      <c r="Y4" s="304"/>
      <c r="Z4" s="304"/>
      <c r="AA4" s="304"/>
      <c r="AB4" s="304"/>
      <c r="AC4" s="304"/>
      <c r="AD4" s="304"/>
      <c r="AE4" s="304"/>
      <c r="AF4" s="304"/>
      <c r="AG4" s="304"/>
      <c r="AH4" s="304"/>
      <c r="AI4" s="304"/>
      <c r="AJ4" s="304"/>
      <c r="AK4" s="304"/>
      <c r="AL4" s="304"/>
      <c r="AM4" s="304"/>
      <c r="AN4" s="304"/>
      <c r="AO4" s="304"/>
      <c r="AP4" s="304"/>
      <c r="AQ4" s="304"/>
      <c r="AR4" s="304"/>
      <c r="AS4" s="304"/>
      <c r="AT4" s="304"/>
      <c r="AU4" s="304"/>
      <c r="AV4" s="304"/>
      <c r="AW4" s="304"/>
      <c r="AX4" s="304"/>
      <c r="AY4" s="304"/>
      <c r="AZ4" s="304"/>
      <c r="BA4" s="304"/>
      <c r="BB4" s="304"/>
      <c r="BC4" s="304"/>
      <c r="BD4" s="304"/>
      <c r="BE4" s="304"/>
      <c r="BF4" s="304"/>
      <c r="BG4" s="304"/>
      <c r="BH4" s="304"/>
      <c r="BI4" s="304"/>
      <c r="BJ4" s="304"/>
      <c r="BK4" s="304"/>
      <c r="BL4" s="304"/>
      <c r="BM4" s="304"/>
      <c r="BN4" s="304"/>
      <c r="BO4" s="304"/>
      <c r="BP4" s="304"/>
      <c r="BQ4" s="304"/>
      <c r="BR4" s="304"/>
      <c r="BS4" s="304"/>
      <c r="BT4" s="304"/>
      <c r="BU4" s="304"/>
      <c r="BV4" s="304"/>
    </row>
    <row r="5" spans="1:74" s="83" customFormat="1" ht="15.75" customHeight="1">
      <c r="A5" s="412"/>
      <c r="B5" s="413"/>
      <c r="C5" s="408" t="s">
        <v>189</v>
      </c>
      <c r="D5" s="408"/>
      <c r="E5" s="408"/>
      <c r="F5" s="409" t="s">
        <v>178</v>
      </c>
      <c r="G5" s="409"/>
      <c r="H5" s="409"/>
      <c r="I5" s="409" t="s">
        <v>179</v>
      </c>
      <c r="J5" s="409"/>
      <c r="K5" s="409"/>
      <c r="L5" s="409" t="s">
        <v>180</v>
      </c>
      <c r="M5" s="409"/>
      <c r="N5" s="409"/>
      <c r="O5" s="333" t="s">
        <v>182</v>
      </c>
      <c r="P5" s="334"/>
      <c r="Q5" s="334"/>
      <c r="R5" s="334"/>
      <c r="S5" s="334"/>
      <c r="T5" s="334"/>
      <c r="U5" s="334"/>
      <c r="V5" s="334"/>
      <c r="W5" s="334"/>
      <c r="X5" s="334"/>
      <c r="Y5" s="334"/>
      <c r="Z5" s="335"/>
      <c r="AA5" s="309" t="s">
        <v>183</v>
      </c>
      <c r="AB5" s="310"/>
      <c r="AC5" s="310"/>
      <c r="AD5" s="310"/>
      <c r="AE5" s="310"/>
      <c r="AF5" s="310"/>
      <c r="AG5" s="310"/>
      <c r="AH5" s="310"/>
      <c r="AI5" s="310"/>
      <c r="AJ5" s="310"/>
      <c r="AK5" s="310"/>
      <c r="AL5" s="336"/>
      <c r="AM5" s="309" t="s">
        <v>184</v>
      </c>
      <c r="AN5" s="310"/>
      <c r="AO5" s="310"/>
      <c r="AP5" s="310"/>
      <c r="AQ5" s="310"/>
      <c r="AR5" s="310"/>
      <c r="AS5" s="310"/>
      <c r="AT5" s="310"/>
      <c r="AU5" s="310"/>
      <c r="AV5" s="310"/>
      <c r="AW5" s="310"/>
      <c r="AX5" s="336"/>
      <c r="AY5" s="309" t="s">
        <v>185</v>
      </c>
      <c r="AZ5" s="310"/>
      <c r="BA5" s="310"/>
      <c r="BB5" s="310"/>
      <c r="BC5" s="310"/>
      <c r="BD5" s="310"/>
      <c r="BE5" s="310"/>
      <c r="BF5" s="310"/>
      <c r="BG5" s="310"/>
      <c r="BH5" s="310"/>
      <c r="BI5" s="310"/>
      <c r="BJ5" s="336"/>
      <c r="BK5" s="309" t="s">
        <v>186</v>
      </c>
      <c r="BL5" s="310"/>
      <c r="BM5" s="310"/>
      <c r="BN5" s="310"/>
      <c r="BO5" s="310"/>
      <c r="BP5" s="310"/>
      <c r="BQ5" s="310"/>
      <c r="BR5" s="310"/>
      <c r="BS5" s="310"/>
      <c r="BT5" s="310"/>
      <c r="BU5" s="310"/>
      <c r="BV5" s="310"/>
    </row>
    <row r="6" spans="1:74" ht="15.75" customHeight="1" thickBot="1">
      <c r="A6" s="412"/>
      <c r="B6" s="413"/>
      <c r="C6" s="408"/>
      <c r="D6" s="408"/>
      <c r="E6" s="408"/>
      <c r="F6" s="409"/>
      <c r="G6" s="409"/>
      <c r="H6" s="409"/>
      <c r="I6" s="409"/>
      <c r="J6" s="409"/>
      <c r="K6" s="409"/>
      <c r="L6" s="409"/>
      <c r="M6" s="409"/>
      <c r="N6" s="409"/>
      <c r="O6" s="399" t="s">
        <v>189</v>
      </c>
      <c r="P6" s="400"/>
      <c r="Q6" s="401"/>
      <c r="R6" s="395" t="s">
        <v>178</v>
      </c>
      <c r="S6" s="396"/>
      <c r="T6" s="397"/>
      <c r="U6" s="395" t="s">
        <v>179</v>
      </c>
      <c r="V6" s="396"/>
      <c r="W6" s="397"/>
      <c r="X6" s="395" t="s">
        <v>180</v>
      </c>
      <c r="Y6" s="396"/>
      <c r="Z6" s="397"/>
      <c r="AA6" s="399" t="s">
        <v>189</v>
      </c>
      <c r="AB6" s="400"/>
      <c r="AC6" s="401"/>
      <c r="AD6" s="395" t="s">
        <v>178</v>
      </c>
      <c r="AE6" s="396"/>
      <c r="AF6" s="397"/>
      <c r="AG6" s="395" t="s">
        <v>179</v>
      </c>
      <c r="AH6" s="396"/>
      <c r="AI6" s="397"/>
      <c r="AJ6" s="395" t="s">
        <v>180</v>
      </c>
      <c r="AK6" s="396"/>
      <c r="AL6" s="397"/>
      <c r="AM6" s="399" t="s">
        <v>189</v>
      </c>
      <c r="AN6" s="400"/>
      <c r="AO6" s="401"/>
      <c r="AP6" s="395" t="s">
        <v>178</v>
      </c>
      <c r="AQ6" s="396"/>
      <c r="AR6" s="397"/>
      <c r="AS6" s="395" t="s">
        <v>179</v>
      </c>
      <c r="AT6" s="396"/>
      <c r="AU6" s="397"/>
      <c r="AV6" s="395" t="s">
        <v>180</v>
      </c>
      <c r="AW6" s="396"/>
      <c r="AX6" s="397"/>
      <c r="AY6" s="399" t="s">
        <v>189</v>
      </c>
      <c r="AZ6" s="400"/>
      <c r="BA6" s="401"/>
      <c r="BB6" s="395" t="s">
        <v>178</v>
      </c>
      <c r="BC6" s="396"/>
      <c r="BD6" s="397"/>
      <c r="BE6" s="395" t="s">
        <v>179</v>
      </c>
      <c r="BF6" s="396"/>
      <c r="BG6" s="397"/>
      <c r="BH6" s="395" t="s">
        <v>180</v>
      </c>
      <c r="BI6" s="396"/>
      <c r="BJ6" s="397"/>
      <c r="BK6" s="399" t="s">
        <v>189</v>
      </c>
      <c r="BL6" s="400"/>
      <c r="BM6" s="401"/>
      <c r="BN6" s="395" t="s">
        <v>178</v>
      </c>
      <c r="BO6" s="396"/>
      <c r="BP6" s="397"/>
      <c r="BQ6" s="395" t="s">
        <v>179</v>
      </c>
      <c r="BR6" s="396"/>
      <c r="BS6" s="397"/>
      <c r="BT6" s="395" t="s">
        <v>180</v>
      </c>
      <c r="BU6" s="396"/>
      <c r="BV6" s="396"/>
    </row>
    <row r="7" spans="1:74" ht="36" customHeight="1">
      <c r="A7" s="414"/>
      <c r="B7" s="415"/>
      <c r="C7" s="119" t="s">
        <v>307</v>
      </c>
      <c r="D7" s="119" t="s">
        <v>308</v>
      </c>
      <c r="E7" s="119" t="s">
        <v>309</v>
      </c>
      <c r="F7" s="119" t="s">
        <v>307</v>
      </c>
      <c r="G7" s="119" t="s">
        <v>308</v>
      </c>
      <c r="H7" s="119" t="s">
        <v>309</v>
      </c>
      <c r="I7" s="119" t="s">
        <v>307</v>
      </c>
      <c r="J7" s="119" t="s">
        <v>308</v>
      </c>
      <c r="K7" s="119" t="s">
        <v>309</v>
      </c>
      <c r="L7" s="119" t="s">
        <v>307</v>
      </c>
      <c r="M7" s="119" t="s">
        <v>308</v>
      </c>
      <c r="N7" s="119" t="s">
        <v>309</v>
      </c>
      <c r="O7" s="73" t="s">
        <v>72</v>
      </c>
      <c r="P7" s="73" t="s">
        <v>73</v>
      </c>
      <c r="Q7" s="73" t="s">
        <v>74</v>
      </c>
      <c r="R7" s="75" t="s">
        <v>72</v>
      </c>
      <c r="S7" s="73" t="s">
        <v>73</v>
      </c>
      <c r="T7" s="73" t="s">
        <v>74</v>
      </c>
      <c r="U7" s="75" t="s">
        <v>72</v>
      </c>
      <c r="V7" s="73" t="s">
        <v>73</v>
      </c>
      <c r="W7" s="73" t="s">
        <v>74</v>
      </c>
      <c r="X7" s="75" t="s">
        <v>72</v>
      </c>
      <c r="Y7" s="73" t="s">
        <v>73</v>
      </c>
      <c r="Z7" s="73" t="s">
        <v>74</v>
      </c>
      <c r="AA7" s="75" t="s">
        <v>72</v>
      </c>
      <c r="AB7" s="73" t="s">
        <v>73</v>
      </c>
      <c r="AC7" s="73" t="s">
        <v>74</v>
      </c>
      <c r="AD7" s="75" t="s">
        <v>72</v>
      </c>
      <c r="AE7" s="73" t="s">
        <v>73</v>
      </c>
      <c r="AF7" s="73" t="s">
        <v>74</v>
      </c>
      <c r="AG7" s="75" t="s">
        <v>72</v>
      </c>
      <c r="AH7" s="73" t="s">
        <v>73</v>
      </c>
      <c r="AI7" s="73" t="s">
        <v>74</v>
      </c>
      <c r="AJ7" s="75" t="s">
        <v>72</v>
      </c>
      <c r="AK7" s="73" t="s">
        <v>73</v>
      </c>
      <c r="AL7" s="73" t="s">
        <v>74</v>
      </c>
      <c r="AM7" s="75" t="s">
        <v>72</v>
      </c>
      <c r="AN7" s="73" t="s">
        <v>73</v>
      </c>
      <c r="AO7" s="73" t="s">
        <v>74</v>
      </c>
      <c r="AP7" s="75" t="s">
        <v>72</v>
      </c>
      <c r="AQ7" s="73" t="s">
        <v>73</v>
      </c>
      <c r="AR7" s="73" t="s">
        <v>74</v>
      </c>
      <c r="AS7" s="75" t="s">
        <v>72</v>
      </c>
      <c r="AT7" s="73" t="s">
        <v>73</v>
      </c>
      <c r="AU7" s="73" t="s">
        <v>74</v>
      </c>
      <c r="AV7" s="75" t="s">
        <v>72</v>
      </c>
      <c r="AW7" s="73" t="s">
        <v>73</v>
      </c>
      <c r="AX7" s="73" t="s">
        <v>74</v>
      </c>
      <c r="AY7" s="75" t="s">
        <v>72</v>
      </c>
      <c r="AZ7" s="73" t="s">
        <v>73</v>
      </c>
      <c r="BA7" s="73" t="s">
        <v>74</v>
      </c>
      <c r="BB7" s="75" t="s">
        <v>72</v>
      </c>
      <c r="BC7" s="73" t="s">
        <v>73</v>
      </c>
      <c r="BD7" s="73" t="s">
        <v>74</v>
      </c>
      <c r="BE7" s="75" t="s">
        <v>72</v>
      </c>
      <c r="BF7" s="73" t="s">
        <v>73</v>
      </c>
      <c r="BG7" s="73" t="s">
        <v>74</v>
      </c>
      <c r="BH7" s="75" t="s">
        <v>72</v>
      </c>
      <c r="BI7" s="73" t="s">
        <v>73</v>
      </c>
      <c r="BJ7" s="73" t="s">
        <v>74</v>
      </c>
      <c r="BK7" s="75" t="s">
        <v>72</v>
      </c>
      <c r="BL7" s="73" t="s">
        <v>73</v>
      </c>
      <c r="BM7" s="73" t="s">
        <v>74</v>
      </c>
      <c r="BN7" s="75" t="s">
        <v>72</v>
      </c>
      <c r="BO7" s="73" t="s">
        <v>73</v>
      </c>
      <c r="BP7" s="73" t="s">
        <v>74</v>
      </c>
      <c r="BQ7" s="75" t="s">
        <v>72</v>
      </c>
      <c r="BR7" s="73" t="s">
        <v>73</v>
      </c>
      <c r="BS7" s="73" t="s">
        <v>74</v>
      </c>
      <c r="BT7" s="75" t="s">
        <v>72</v>
      </c>
      <c r="BU7" s="73" t="s">
        <v>73</v>
      </c>
      <c r="BV7" s="74" t="s">
        <v>74</v>
      </c>
    </row>
    <row r="8" spans="1:74" s="123" customFormat="1" ht="15.6" customHeight="1">
      <c r="A8" s="120" t="s">
        <v>317</v>
      </c>
      <c r="B8" s="121" t="s">
        <v>199</v>
      </c>
      <c r="C8" s="122">
        <v>793</v>
      </c>
      <c r="D8" s="122">
        <v>237</v>
      </c>
      <c r="E8" s="122">
        <v>556</v>
      </c>
      <c r="F8" s="122">
        <v>50</v>
      </c>
      <c r="G8" s="122">
        <v>14</v>
      </c>
      <c r="H8" s="122">
        <v>36</v>
      </c>
      <c r="I8" s="122">
        <v>43</v>
      </c>
      <c r="J8" s="122">
        <v>19</v>
      </c>
      <c r="K8" s="122">
        <v>24</v>
      </c>
      <c r="L8" s="122">
        <v>700</v>
      </c>
      <c r="M8" s="122">
        <v>204</v>
      </c>
      <c r="N8" s="122">
        <v>496</v>
      </c>
      <c r="O8" s="122">
        <v>8175</v>
      </c>
      <c r="P8" s="122">
        <v>2837</v>
      </c>
      <c r="Q8" s="122">
        <v>5338</v>
      </c>
      <c r="R8" s="122">
        <v>854</v>
      </c>
      <c r="S8" s="122">
        <v>388</v>
      </c>
      <c r="T8" s="122">
        <v>466</v>
      </c>
      <c r="U8" s="122">
        <v>533</v>
      </c>
      <c r="V8" s="122">
        <v>233</v>
      </c>
      <c r="W8" s="122">
        <v>300</v>
      </c>
      <c r="X8" s="122">
        <v>6788</v>
      </c>
      <c r="Y8" s="122">
        <v>2216</v>
      </c>
      <c r="Z8" s="122">
        <v>4572</v>
      </c>
      <c r="AA8" s="122">
        <v>5169</v>
      </c>
      <c r="AB8" s="122">
        <v>1756</v>
      </c>
      <c r="AC8" s="122">
        <v>3413</v>
      </c>
      <c r="AD8" s="122">
        <v>478</v>
      </c>
      <c r="AE8" s="122">
        <v>196</v>
      </c>
      <c r="AF8" s="122">
        <v>282</v>
      </c>
      <c r="AG8" s="122">
        <v>309</v>
      </c>
      <c r="AH8" s="122">
        <v>152</v>
      </c>
      <c r="AI8" s="122">
        <v>157</v>
      </c>
      <c r="AJ8" s="122">
        <v>4382</v>
      </c>
      <c r="AK8" s="122">
        <v>1408</v>
      </c>
      <c r="AL8" s="122">
        <v>2974</v>
      </c>
      <c r="AM8" s="122">
        <v>68</v>
      </c>
      <c r="AN8" s="122">
        <v>34</v>
      </c>
      <c r="AO8" s="122">
        <v>34</v>
      </c>
      <c r="AP8" s="122">
        <v>37</v>
      </c>
      <c r="AQ8" s="122">
        <v>26</v>
      </c>
      <c r="AR8" s="122">
        <v>11</v>
      </c>
      <c r="AS8" s="122">
        <v>16</v>
      </c>
      <c r="AT8" s="122">
        <v>3</v>
      </c>
      <c r="AU8" s="122">
        <v>13</v>
      </c>
      <c r="AV8" s="122">
        <v>15</v>
      </c>
      <c r="AW8" s="122">
        <v>5</v>
      </c>
      <c r="AX8" s="122">
        <v>10</v>
      </c>
      <c r="AY8" s="122">
        <v>421</v>
      </c>
      <c r="AZ8" s="122">
        <v>242</v>
      </c>
      <c r="BA8" s="122">
        <v>179</v>
      </c>
      <c r="BB8" s="122">
        <v>124</v>
      </c>
      <c r="BC8" s="122">
        <v>92</v>
      </c>
      <c r="BD8" s="122">
        <v>32</v>
      </c>
      <c r="BE8" s="122">
        <v>106</v>
      </c>
      <c r="BF8" s="122">
        <v>45</v>
      </c>
      <c r="BG8" s="122">
        <v>61</v>
      </c>
      <c r="BH8" s="122">
        <v>191</v>
      </c>
      <c r="BI8" s="122">
        <v>105</v>
      </c>
      <c r="BJ8" s="122">
        <v>86</v>
      </c>
      <c r="BK8" s="122">
        <v>2517</v>
      </c>
      <c r="BL8" s="122">
        <v>805</v>
      </c>
      <c r="BM8" s="122">
        <v>1712</v>
      </c>
      <c r="BN8" s="122">
        <v>215</v>
      </c>
      <c r="BO8" s="122">
        <v>74</v>
      </c>
      <c r="BP8" s="122">
        <v>141</v>
      </c>
      <c r="BQ8" s="122">
        <v>102</v>
      </c>
      <c r="BR8" s="122">
        <v>33</v>
      </c>
      <c r="BS8" s="122">
        <v>69</v>
      </c>
      <c r="BT8" s="122">
        <v>2200</v>
      </c>
      <c r="BU8" s="122">
        <v>698</v>
      </c>
      <c r="BV8" s="122">
        <v>1502</v>
      </c>
    </row>
    <row r="9" spans="1:74" s="126" customFormat="1" ht="15.6" customHeight="1">
      <c r="A9" s="91" t="s">
        <v>125</v>
      </c>
      <c r="B9" s="124" t="s">
        <v>318</v>
      </c>
      <c r="C9" s="125">
        <v>37</v>
      </c>
      <c r="D9" s="125">
        <v>11</v>
      </c>
      <c r="E9" s="125">
        <v>26</v>
      </c>
      <c r="F9" s="125">
        <v>2</v>
      </c>
      <c r="G9" s="125">
        <v>0</v>
      </c>
      <c r="H9" s="125">
        <v>2</v>
      </c>
      <c r="I9" s="125">
        <v>1</v>
      </c>
      <c r="J9" s="125">
        <v>0</v>
      </c>
      <c r="K9" s="125">
        <v>1</v>
      </c>
      <c r="L9" s="125">
        <v>34</v>
      </c>
      <c r="M9" s="125">
        <v>11</v>
      </c>
      <c r="N9" s="125">
        <v>23</v>
      </c>
      <c r="O9" s="125">
        <v>742</v>
      </c>
      <c r="P9" s="125">
        <v>232</v>
      </c>
      <c r="Q9" s="125">
        <v>510</v>
      </c>
      <c r="R9" s="125">
        <v>33</v>
      </c>
      <c r="S9" s="125">
        <v>10</v>
      </c>
      <c r="T9" s="125">
        <v>23</v>
      </c>
      <c r="U9" s="125">
        <v>29</v>
      </c>
      <c r="V9" s="125">
        <v>11</v>
      </c>
      <c r="W9" s="125">
        <v>18</v>
      </c>
      <c r="X9" s="125">
        <v>680</v>
      </c>
      <c r="Y9" s="125">
        <v>211</v>
      </c>
      <c r="Z9" s="125">
        <v>469</v>
      </c>
      <c r="AA9" s="125">
        <v>258</v>
      </c>
      <c r="AB9" s="125">
        <v>91</v>
      </c>
      <c r="AC9" s="125">
        <v>167</v>
      </c>
      <c r="AD9" s="125">
        <v>12</v>
      </c>
      <c r="AE9" s="125">
        <v>6</v>
      </c>
      <c r="AF9" s="125">
        <v>6</v>
      </c>
      <c r="AG9" s="125">
        <v>5</v>
      </c>
      <c r="AH9" s="125">
        <v>2</v>
      </c>
      <c r="AI9" s="125">
        <v>3</v>
      </c>
      <c r="AJ9" s="125">
        <v>241</v>
      </c>
      <c r="AK9" s="125">
        <v>83</v>
      </c>
      <c r="AL9" s="125">
        <v>158</v>
      </c>
      <c r="AM9" s="125">
        <v>0</v>
      </c>
      <c r="AN9" s="125">
        <v>0</v>
      </c>
      <c r="AO9" s="125">
        <v>0</v>
      </c>
      <c r="AP9" s="125">
        <v>0</v>
      </c>
      <c r="AQ9" s="125">
        <v>0</v>
      </c>
      <c r="AR9" s="125">
        <v>0</v>
      </c>
      <c r="AS9" s="125">
        <v>0</v>
      </c>
      <c r="AT9" s="125">
        <v>0</v>
      </c>
      <c r="AU9" s="125">
        <v>0</v>
      </c>
      <c r="AV9" s="125">
        <v>0</v>
      </c>
      <c r="AW9" s="125">
        <v>0</v>
      </c>
      <c r="AX9" s="125">
        <v>0</v>
      </c>
      <c r="AY9" s="125">
        <v>13</v>
      </c>
      <c r="AZ9" s="125">
        <v>8</v>
      </c>
      <c r="BA9" s="125">
        <v>5</v>
      </c>
      <c r="BB9" s="125">
        <v>1</v>
      </c>
      <c r="BC9" s="125">
        <v>1</v>
      </c>
      <c r="BD9" s="125">
        <v>0</v>
      </c>
      <c r="BE9" s="125">
        <v>4</v>
      </c>
      <c r="BF9" s="125">
        <v>2</v>
      </c>
      <c r="BG9" s="125">
        <v>2</v>
      </c>
      <c r="BH9" s="125">
        <v>8</v>
      </c>
      <c r="BI9" s="125">
        <v>5</v>
      </c>
      <c r="BJ9" s="125">
        <v>3</v>
      </c>
      <c r="BK9" s="125">
        <v>471</v>
      </c>
      <c r="BL9" s="125">
        <v>133</v>
      </c>
      <c r="BM9" s="125">
        <v>338</v>
      </c>
      <c r="BN9" s="125">
        <v>20</v>
      </c>
      <c r="BO9" s="125">
        <v>3</v>
      </c>
      <c r="BP9" s="125">
        <v>17</v>
      </c>
      <c r="BQ9" s="125">
        <v>20</v>
      </c>
      <c r="BR9" s="125">
        <v>7</v>
      </c>
      <c r="BS9" s="125">
        <v>13</v>
      </c>
      <c r="BT9" s="125">
        <v>431</v>
      </c>
      <c r="BU9" s="125">
        <v>123</v>
      </c>
      <c r="BV9" s="125">
        <v>308</v>
      </c>
    </row>
    <row r="10" spans="1:74" s="126" customFormat="1" ht="15.6" customHeight="1">
      <c r="A10" s="91" t="s">
        <v>126</v>
      </c>
      <c r="B10" s="124" t="s">
        <v>3</v>
      </c>
      <c r="C10" s="125">
        <v>12</v>
      </c>
      <c r="D10" s="125">
        <v>1</v>
      </c>
      <c r="E10" s="125">
        <v>11</v>
      </c>
      <c r="F10" s="125">
        <v>0</v>
      </c>
      <c r="G10" s="125">
        <v>0</v>
      </c>
      <c r="H10" s="125">
        <v>0</v>
      </c>
      <c r="I10" s="125">
        <v>0</v>
      </c>
      <c r="J10" s="125">
        <v>0</v>
      </c>
      <c r="K10" s="125">
        <v>0</v>
      </c>
      <c r="L10" s="125">
        <v>12</v>
      </c>
      <c r="M10" s="125">
        <v>1</v>
      </c>
      <c r="N10" s="125">
        <v>11</v>
      </c>
      <c r="O10" s="125">
        <v>655</v>
      </c>
      <c r="P10" s="125">
        <v>230</v>
      </c>
      <c r="Q10" s="125">
        <v>425</v>
      </c>
      <c r="R10" s="125">
        <v>23</v>
      </c>
      <c r="S10" s="125">
        <v>9</v>
      </c>
      <c r="T10" s="125">
        <v>14</v>
      </c>
      <c r="U10" s="125">
        <v>7</v>
      </c>
      <c r="V10" s="125">
        <v>4</v>
      </c>
      <c r="W10" s="125">
        <v>3</v>
      </c>
      <c r="X10" s="125">
        <v>625</v>
      </c>
      <c r="Y10" s="125">
        <v>217</v>
      </c>
      <c r="Z10" s="125">
        <v>408</v>
      </c>
      <c r="AA10" s="125">
        <v>119</v>
      </c>
      <c r="AB10" s="125">
        <v>54</v>
      </c>
      <c r="AC10" s="125">
        <v>65</v>
      </c>
      <c r="AD10" s="125">
        <v>3</v>
      </c>
      <c r="AE10" s="125">
        <v>3</v>
      </c>
      <c r="AF10" s="125">
        <v>0</v>
      </c>
      <c r="AG10" s="125">
        <v>3</v>
      </c>
      <c r="AH10" s="125">
        <v>3</v>
      </c>
      <c r="AI10" s="125">
        <v>0</v>
      </c>
      <c r="AJ10" s="125">
        <v>113</v>
      </c>
      <c r="AK10" s="125">
        <v>48</v>
      </c>
      <c r="AL10" s="125">
        <v>65</v>
      </c>
      <c r="AM10" s="125">
        <v>0</v>
      </c>
      <c r="AN10" s="125">
        <v>0</v>
      </c>
      <c r="AO10" s="125">
        <v>0</v>
      </c>
      <c r="AP10" s="125">
        <v>0</v>
      </c>
      <c r="AQ10" s="125">
        <v>0</v>
      </c>
      <c r="AR10" s="125">
        <v>0</v>
      </c>
      <c r="AS10" s="125">
        <v>0</v>
      </c>
      <c r="AT10" s="125">
        <v>0</v>
      </c>
      <c r="AU10" s="125">
        <v>0</v>
      </c>
      <c r="AV10" s="125">
        <v>0</v>
      </c>
      <c r="AW10" s="125">
        <v>0</v>
      </c>
      <c r="AX10" s="125">
        <v>0</v>
      </c>
      <c r="AY10" s="125">
        <v>35</v>
      </c>
      <c r="AZ10" s="125">
        <v>19</v>
      </c>
      <c r="BA10" s="125">
        <v>16</v>
      </c>
      <c r="BB10" s="125">
        <v>4</v>
      </c>
      <c r="BC10" s="125">
        <v>1</v>
      </c>
      <c r="BD10" s="125">
        <v>3</v>
      </c>
      <c r="BE10" s="125">
        <v>0</v>
      </c>
      <c r="BF10" s="125">
        <v>0</v>
      </c>
      <c r="BG10" s="125">
        <v>0</v>
      </c>
      <c r="BH10" s="125">
        <v>31</v>
      </c>
      <c r="BI10" s="125">
        <v>18</v>
      </c>
      <c r="BJ10" s="125">
        <v>13</v>
      </c>
      <c r="BK10" s="125">
        <v>501</v>
      </c>
      <c r="BL10" s="125">
        <v>157</v>
      </c>
      <c r="BM10" s="125">
        <v>344</v>
      </c>
      <c r="BN10" s="125">
        <v>16</v>
      </c>
      <c r="BO10" s="125">
        <v>5</v>
      </c>
      <c r="BP10" s="125">
        <v>11</v>
      </c>
      <c r="BQ10" s="125">
        <v>4</v>
      </c>
      <c r="BR10" s="125">
        <v>1</v>
      </c>
      <c r="BS10" s="125">
        <v>3</v>
      </c>
      <c r="BT10" s="125">
        <v>481</v>
      </c>
      <c r="BU10" s="125">
        <v>151</v>
      </c>
      <c r="BV10" s="125">
        <v>330</v>
      </c>
    </row>
    <row r="11" spans="1:74" s="126" customFormat="1" ht="15.6" customHeight="1">
      <c r="A11" s="91" t="s">
        <v>127</v>
      </c>
      <c r="B11" s="124" t="s">
        <v>319</v>
      </c>
      <c r="C11" s="125">
        <v>19</v>
      </c>
      <c r="D11" s="125">
        <v>8</v>
      </c>
      <c r="E11" s="125">
        <v>11</v>
      </c>
      <c r="F11" s="125">
        <v>1</v>
      </c>
      <c r="G11" s="125">
        <v>0</v>
      </c>
      <c r="H11" s="125">
        <v>1</v>
      </c>
      <c r="I11" s="125">
        <v>0</v>
      </c>
      <c r="J11" s="125">
        <v>0</v>
      </c>
      <c r="K11" s="125">
        <v>0</v>
      </c>
      <c r="L11" s="125">
        <v>18</v>
      </c>
      <c r="M11" s="125">
        <v>8</v>
      </c>
      <c r="N11" s="125">
        <v>10</v>
      </c>
      <c r="O11" s="125">
        <v>248</v>
      </c>
      <c r="P11" s="125">
        <v>83</v>
      </c>
      <c r="Q11" s="125">
        <v>165</v>
      </c>
      <c r="R11" s="125">
        <v>15</v>
      </c>
      <c r="S11" s="125">
        <v>8</v>
      </c>
      <c r="T11" s="125">
        <v>7</v>
      </c>
      <c r="U11" s="125">
        <v>12</v>
      </c>
      <c r="V11" s="125">
        <v>1</v>
      </c>
      <c r="W11" s="125">
        <v>11</v>
      </c>
      <c r="X11" s="125">
        <v>221</v>
      </c>
      <c r="Y11" s="125">
        <v>74</v>
      </c>
      <c r="Z11" s="125">
        <v>147</v>
      </c>
      <c r="AA11" s="125">
        <v>100</v>
      </c>
      <c r="AB11" s="125">
        <v>39</v>
      </c>
      <c r="AC11" s="125">
        <v>61</v>
      </c>
      <c r="AD11" s="125">
        <v>8</v>
      </c>
      <c r="AE11" s="125">
        <v>4</v>
      </c>
      <c r="AF11" s="125">
        <v>4</v>
      </c>
      <c r="AG11" s="125">
        <v>5</v>
      </c>
      <c r="AH11" s="125">
        <v>0</v>
      </c>
      <c r="AI11" s="125">
        <v>5</v>
      </c>
      <c r="AJ11" s="125">
        <v>87</v>
      </c>
      <c r="AK11" s="125">
        <v>35</v>
      </c>
      <c r="AL11" s="125">
        <v>52</v>
      </c>
      <c r="AM11" s="125">
        <v>2</v>
      </c>
      <c r="AN11" s="125">
        <v>0</v>
      </c>
      <c r="AO11" s="125">
        <v>2</v>
      </c>
      <c r="AP11" s="125">
        <v>0</v>
      </c>
      <c r="AQ11" s="125">
        <v>0</v>
      </c>
      <c r="AR11" s="125">
        <v>0</v>
      </c>
      <c r="AS11" s="125">
        <v>1</v>
      </c>
      <c r="AT11" s="125">
        <v>0</v>
      </c>
      <c r="AU11" s="125">
        <v>1</v>
      </c>
      <c r="AV11" s="125">
        <v>1</v>
      </c>
      <c r="AW11" s="125">
        <v>0</v>
      </c>
      <c r="AX11" s="125">
        <v>1</v>
      </c>
      <c r="AY11" s="125">
        <v>11</v>
      </c>
      <c r="AZ11" s="125">
        <v>4</v>
      </c>
      <c r="BA11" s="125">
        <v>7</v>
      </c>
      <c r="BB11" s="125">
        <v>2</v>
      </c>
      <c r="BC11" s="125">
        <v>1</v>
      </c>
      <c r="BD11" s="125">
        <v>1</v>
      </c>
      <c r="BE11" s="125">
        <v>1</v>
      </c>
      <c r="BF11" s="125">
        <v>0</v>
      </c>
      <c r="BG11" s="125">
        <v>1</v>
      </c>
      <c r="BH11" s="125">
        <v>8</v>
      </c>
      <c r="BI11" s="125">
        <v>3</v>
      </c>
      <c r="BJ11" s="125">
        <v>5</v>
      </c>
      <c r="BK11" s="125">
        <v>135</v>
      </c>
      <c r="BL11" s="125">
        <v>40</v>
      </c>
      <c r="BM11" s="125">
        <v>95</v>
      </c>
      <c r="BN11" s="125">
        <v>5</v>
      </c>
      <c r="BO11" s="125">
        <v>3</v>
      </c>
      <c r="BP11" s="125">
        <v>2</v>
      </c>
      <c r="BQ11" s="125">
        <v>5</v>
      </c>
      <c r="BR11" s="125">
        <v>1</v>
      </c>
      <c r="BS11" s="125">
        <v>4</v>
      </c>
      <c r="BT11" s="125">
        <v>125</v>
      </c>
      <c r="BU11" s="125">
        <v>36</v>
      </c>
      <c r="BV11" s="125">
        <v>89</v>
      </c>
    </row>
    <row r="12" spans="1:74" s="126" customFormat="1" ht="15.6" customHeight="1">
      <c r="A12" s="91" t="s">
        <v>128</v>
      </c>
      <c r="B12" s="124" t="s">
        <v>4</v>
      </c>
      <c r="C12" s="125">
        <v>279</v>
      </c>
      <c r="D12" s="125">
        <v>91</v>
      </c>
      <c r="E12" s="125">
        <v>188</v>
      </c>
      <c r="F12" s="125">
        <v>25</v>
      </c>
      <c r="G12" s="125">
        <v>9</v>
      </c>
      <c r="H12" s="125">
        <v>16</v>
      </c>
      <c r="I12" s="125">
        <v>19</v>
      </c>
      <c r="J12" s="125">
        <v>10</v>
      </c>
      <c r="K12" s="125">
        <v>9</v>
      </c>
      <c r="L12" s="125">
        <v>235</v>
      </c>
      <c r="M12" s="125">
        <v>72</v>
      </c>
      <c r="N12" s="125">
        <v>163</v>
      </c>
      <c r="O12" s="125">
        <v>1274</v>
      </c>
      <c r="P12" s="125">
        <v>466</v>
      </c>
      <c r="Q12" s="125">
        <v>808</v>
      </c>
      <c r="R12" s="125">
        <v>203</v>
      </c>
      <c r="S12" s="125">
        <v>99</v>
      </c>
      <c r="T12" s="125">
        <v>104</v>
      </c>
      <c r="U12" s="125">
        <v>132</v>
      </c>
      <c r="V12" s="125">
        <v>76</v>
      </c>
      <c r="W12" s="125">
        <v>56</v>
      </c>
      <c r="X12" s="125">
        <v>939</v>
      </c>
      <c r="Y12" s="125">
        <v>291</v>
      </c>
      <c r="Z12" s="125">
        <v>648</v>
      </c>
      <c r="AA12" s="125">
        <v>1103</v>
      </c>
      <c r="AB12" s="125">
        <v>389</v>
      </c>
      <c r="AC12" s="125">
        <v>714</v>
      </c>
      <c r="AD12" s="125">
        <v>159</v>
      </c>
      <c r="AE12" s="125">
        <v>65</v>
      </c>
      <c r="AF12" s="125">
        <v>94</v>
      </c>
      <c r="AG12" s="125">
        <v>110</v>
      </c>
      <c r="AH12" s="125">
        <v>68</v>
      </c>
      <c r="AI12" s="125">
        <v>42</v>
      </c>
      <c r="AJ12" s="125">
        <v>834</v>
      </c>
      <c r="AK12" s="125">
        <v>256</v>
      </c>
      <c r="AL12" s="125">
        <v>578</v>
      </c>
      <c r="AM12" s="125">
        <v>0</v>
      </c>
      <c r="AN12" s="125">
        <v>0</v>
      </c>
      <c r="AO12" s="125">
        <v>0</v>
      </c>
      <c r="AP12" s="125">
        <v>0</v>
      </c>
      <c r="AQ12" s="125">
        <v>0</v>
      </c>
      <c r="AR12" s="125">
        <v>0</v>
      </c>
      <c r="AS12" s="125">
        <v>0</v>
      </c>
      <c r="AT12" s="125">
        <v>0</v>
      </c>
      <c r="AU12" s="125">
        <v>0</v>
      </c>
      <c r="AV12" s="125">
        <v>0</v>
      </c>
      <c r="AW12" s="125">
        <v>0</v>
      </c>
      <c r="AX12" s="125">
        <v>0</v>
      </c>
      <c r="AY12" s="125">
        <v>59</v>
      </c>
      <c r="AZ12" s="125">
        <v>32</v>
      </c>
      <c r="BA12" s="125">
        <v>27</v>
      </c>
      <c r="BB12" s="125">
        <v>24</v>
      </c>
      <c r="BC12" s="125">
        <v>20</v>
      </c>
      <c r="BD12" s="125">
        <v>4</v>
      </c>
      <c r="BE12" s="125">
        <v>13</v>
      </c>
      <c r="BF12" s="125">
        <v>5</v>
      </c>
      <c r="BG12" s="125">
        <v>8</v>
      </c>
      <c r="BH12" s="125">
        <v>22</v>
      </c>
      <c r="BI12" s="125">
        <v>7</v>
      </c>
      <c r="BJ12" s="125">
        <v>15</v>
      </c>
      <c r="BK12" s="125">
        <v>112</v>
      </c>
      <c r="BL12" s="125">
        <v>45</v>
      </c>
      <c r="BM12" s="125">
        <v>67</v>
      </c>
      <c r="BN12" s="125">
        <v>20</v>
      </c>
      <c r="BO12" s="125">
        <v>14</v>
      </c>
      <c r="BP12" s="125">
        <v>6</v>
      </c>
      <c r="BQ12" s="125">
        <v>9</v>
      </c>
      <c r="BR12" s="125">
        <v>3</v>
      </c>
      <c r="BS12" s="125">
        <v>6</v>
      </c>
      <c r="BT12" s="125">
        <v>83</v>
      </c>
      <c r="BU12" s="125">
        <v>28</v>
      </c>
      <c r="BV12" s="125">
        <v>55</v>
      </c>
    </row>
    <row r="13" spans="1:74" s="126" customFormat="1" ht="15.6" customHeight="1">
      <c r="A13" s="91" t="s">
        <v>129</v>
      </c>
      <c r="B13" s="124" t="s">
        <v>5</v>
      </c>
      <c r="C13" s="125">
        <v>153</v>
      </c>
      <c r="D13" s="125">
        <v>44</v>
      </c>
      <c r="E13" s="125">
        <v>109</v>
      </c>
      <c r="F13" s="125">
        <v>11</v>
      </c>
      <c r="G13" s="125">
        <v>3</v>
      </c>
      <c r="H13" s="125">
        <v>8</v>
      </c>
      <c r="I13" s="125">
        <v>12</v>
      </c>
      <c r="J13" s="125">
        <v>7</v>
      </c>
      <c r="K13" s="125">
        <v>5</v>
      </c>
      <c r="L13" s="125">
        <v>130</v>
      </c>
      <c r="M13" s="125">
        <v>34</v>
      </c>
      <c r="N13" s="125">
        <v>96</v>
      </c>
      <c r="O13" s="125">
        <v>918</v>
      </c>
      <c r="P13" s="125">
        <v>300</v>
      </c>
      <c r="Q13" s="125">
        <v>618</v>
      </c>
      <c r="R13" s="125">
        <v>122</v>
      </c>
      <c r="S13" s="125">
        <v>50</v>
      </c>
      <c r="T13" s="125">
        <v>72</v>
      </c>
      <c r="U13" s="125">
        <v>52</v>
      </c>
      <c r="V13" s="125">
        <v>17</v>
      </c>
      <c r="W13" s="125">
        <v>35</v>
      </c>
      <c r="X13" s="125">
        <v>744</v>
      </c>
      <c r="Y13" s="125">
        <v>233</v>
      </c>
      <c r="Z13" s="125">
        <v>511</v>
      </c>
      <c r="AA13" s="125">
        <v>775</v>
      </c>
      <c r="AB13" s="125">
        <v>225</v>
      </c>
      <c r="AC13" s="125">
        <v>550</v>
      </c>
      <c r="AD13" s="125">
        <v>96</v>
      </c>
      <c r="AE13" s="125">
        <v>28</v>
      </c>
      <c r="AF13" s="125">
        <v>68</v>
      </c>
      <c r="AG13" s="125">
        <v>35</v>
      </c>
      <c r="AH13" s="125">
        <v>11</v>
      </c>
      <c r="AI13" s="125">
        <v>24</v>
      </c>
      <c r="AJ13" s="125">
        <v>644</v>
      </c>
      <c r="AK13" s="125">
        <v>186</v>
      </c>
      <c r="AL13" s="125">
        <v>458</v>
      </c>
      <c r="AM13" s="125">
        <v>0</v>
      </c>
      <c r="AN13" s="125">
        <v>0</v>
      </c>
      <c r="AO13" s="125">
        <v>0</v>
      </c>
      <c r="AP13" s="125">
        <v>0</v>
      </c>
      <c r="AQ13" s="125">
        <v>0</v>
      </c>
      <c r="AR13" s="125">
        <v>0</v>
      </c>
      <c r="AS13" s="125">
        <v>0</v>
      </c>
      <c r="AT13" s="125">
        <v>0</v>
      </c>
      <c r="AU13" s="125">
        <v>0</v>
      </c>
      <c r="AV13" s="125">
        <v>0</v>
      </c>
      <c r="AW13" s="125">
        <v>0</v>
      </c>
      <c r="AX13" s="125">
        <v>0</v>
      </c>
      <c r="AY13" s="125">
        <v>65</v>
      </c>
      <c r="AZ13" s="125">
        <v>50</v>
      </c>
      <c r="BA13" s="125">
        <v>15</v>
      </c>
      <c r="BB13" s="125">
        <v>22</v>
      </c>
      <c r="BC13" s="125">
        <v>21</v>
      </c>
      <c r="BD13" s="125">
        <v>1</v>
      </c>
      <c r="BE13" s="125">
        <v>13</v>
      </c>
      <c r="BF13" s="125">
        <v>5</v>
      </c>
      <c r="BG13" s="125">
        <v>8</v>
      </c>
      <c r="BH13" s="125">
        <v>30</v>
      </c>
      <c r="BI13" s="125">
        <v>24</v>
      </c>
      <c r="BJ13" s="125">
        <v>6</v>
      </c>
      <c r="BK13" s="125">
        <v>78</v>
      </c>
      <c r="BL13" s="125">
        <v>25</v>
      </c>
      <c r="BM13" s="125">
        <v>53</v>
      </c>
      <c r="BN13" s="125">
        <v>4</v>
      </c>
      <c r="BO13" s="125">
        <v>1</v>
      </c>
      <c r="BP13" s="125">
        <v>3</v>
      </c>
      <c r="BQ13" s="125">
        <v>4</v>
      </c>
      <c r="BR13" s="125">
        <v>1</v>
      </c>
      <c r="BS13" s="125">
        <v>3</v>
      </c>
      <c r="BT13" s="125">
        <v>70</v>
      </c>
      <c r="BU13" s="125">
        <v>23</v>
      </c>
      <c r="BV13" s="125">
        <v>47</v>
      </c>
    </row>
    <row r="14" spans="1:74" s="126" customFormat="1" ht="15.6" customHeight="1">
      <c r="A14" s="48" t="s">
        <v>130</v>
      </c>
      <c r="B14" s="124" t="s">
        <v>6</v>
      </c>
      <c r="C14" s="125">
        <v>20</v>
      </c>
      <c r="D14" s="125">
        <v>4</v>
      </c>
      <c r="E14" s="125">
        <v>16</v>
      </c>
      <c r="F14" s="125">
        <v>2</v>
      </c>
      <c r="G14" s="125">
        <v>0</v>
      </c>
      <c r="H14" s="125">
        <v>2</v>
      </c>
      <c r="I14" s="125">
        <v>1</v>
      </c>
      <c r="J14" s="125">
        <v>0</v>
      </c>
      <c r="K14" s="125">
        <v>1</v>
      </c>
      <c r="L14" s="125">
        <v>17</v>
      </c>
      <c r="M14" s="125">
        <v>4</v>
      </c>
      <c r="N14" s="125">
        <v>13</v>
      </c>
      <c r="O14" s="125">
        <v>762</v>
      </c>
      <c r="P14" s="125">
        <v>274</v>
      </c>
      <c r="Q14" s="125">
        <v>488</v>
      </c>
      <c r="R14" s="125">
        <v>69</v>
      </c>
      <c r="S14" s="125">
        <v>28</v>
      </c>
      <c r="T14" s="125">
        <v>41</v>
      </c>
      <c r="U14" s="125">
        <v>42</v>
      </c>
      <c r="V14" s="125">
        <v>18</v>
      </c>
      <c r="W14" s="125">
        <v>24</v>
      </c>
      <c r="X14" s="125">
        <v>651</v>
      </c>
      <c r="Y14" s="125">
        <v>228</v>
      </c>
      <c r="Z14" s="125">
        <v>423</v>
      </c>
      <c r="AA14" s="125">
        <v>502</v>
      </c>
      <c r="AB14" s="125">
        <v>180</v>
      </c>
      <c r="AC14" s="125">
        <v>322</v>
      </c>
      <c r="AD14" s="125">
        <v>42</v>
      </c>
      <c r="AE14" s="125">
        <v>16</v>
      </c>
      <c r="AF14" s="125">
        <v>26</v>
      </c>
      <c r="AG14" s="125">
        <v>23</v>
      </c>
      <c r="AH14" s="125">
        <v>9</v>
      </c>
      <c r="AI14" s="125">
        <v>14</v>
      </c>
      <c r="AJ14" s="125">
        <v>437</v>
      </c>
      <c r="AK14" s="125">
        <v>155</v>
      </c>
      <c r="AL14" s="125">
        <v>282</v>
      </c>
      <c r="AM14" s="125">
        <v>3</v>
      </c>
      <c r="AN14" s="125">
        <v>1</v>
      </c>
      <c r="AO14" s="125">
        <v>2</v>
      </c>
      <c r="AP14" s="125">
        <v>1</v>
      </c>
      <c r="AQ14" s="125">
        <v>1</v>
      </c>
      <c r="AR14" s="125">
        <v>0</v>
      </c>
      <c r="AS14" s="125">
        <v>0</v>
      </c>
      <c r="AT14" s="125">
        <v>0</v>
      </c>
      <c r="AU14" s="125">
        <v>0</v>
      </c>
      <c r="AV14" s="125">
        <v>2</v>
      </c>
      <c r="AW14" s="125">
        <v>0</v>
      </c>
      <c r="AX14" s="125">
        <v>2</v>
      </c>
      <c r="AY14" s="125">
        <v>40</v>
      </c>
      <c r="AZ14" s="125">
        <v>19</v>
      </c>
      <c r="BA14" s="125">
        <v>21</v>
      </c>
      <c r="BB14" s="125">
        <v>12</v>
      </c>
      <c r="BC14" s="125">
        <v>4</v>
      </c>
      <c r="BD14" s="125">
        <v>8</v>
      </c>
      <c r="BE14" s="125">
        <v>10</v>
      </c>
      <c r="BF14" s="125">
        <v>4</v>
      </c>
      <c r="BG14" s="125">
        <v>6</v>
      </c>
      <c r="BH14" s="125">
        <v>18</v>
      </c>
      <c r="BI14" s="125">
        <v>11</v>
      </c>
      <c r="BJ14" s="125">
        <v>7</v>
      </c>
      <c r="BK14" s="125">
        <v>217</v>
      </c>
      <c r="BL14" s="125">
        <v>74</v>
      </c>
      <c r="BM14" s="125">
        <v>143</v>
      </c>
      <c r="BN14" s="125">
        <v>14</v>
      </c>
      <c r="BO14" s="125">
        <v>7</v>
      </c>
      <c r="BP14" s="125">
        <v>7</v>
      </c>
      <c r="BQ14" s="125">
        <v>9</v>
      </c>
      <c r="BR14" s="125">
        <v>5</v>
      </c>
      <c r="BS14" s="125">
        <v>4</v>
      </c>
      <c r="BT14" s="125">
        <v>194</v>
      </c>
      <c r="BU14" s="125">
        <v>62</v>
      </c>
      <c r="BV14" s="125">
        <v>132</v>
      </c>
    </row>
    <row r="15" spans="1:74" ht="15.6" customHeight="1">
      <c r="A15" s="45" t="s">
        <v>131</v>
      </c>
      <c r="B15" s="94" t="s">
        <v>7</v>
      </c>
      <c r="C15" s="20">
        <v>19</v>
      </c>
      <c r="D15" s="20">
        <v>7</v>
      </c>
      <c r="E15" s="20">
        <v>12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19</v>
      </c>
      <c r="M15" s="20">
        <v>7</v>
      </c>
      <c r="N15" s="20">
        <v>12</v>
      </c>
      <c r="O15" s="20">
        <v>219</v>
      </c>
      <c r="P15" s="20">
        <v>78</v>
      </c>
      <c r="Q15" s="20">
        <v>141</v>
      </c>
      <c r="R15" s="20">
        <v>13</v>
      </c>
      <c r="S15" s="20">
        <v>7</v>
      </c>
      <c r="T15" s="20">
        <v>6</v>
      </c>
      <c r="U15" s="20">
        <v>6</v>
      </c>
      <c r="V15" s="20">
        <v>3</v>
      </c>
      <c r="W15" s="20">
        <v>3</v>
      </c>
      <c r="X15" s="20">
        <v>200</v>
      </c>
      <c r="Y15" s="20">
        <v>68</v>
      </c>
      <c r="Z15" s="20">
        <v>132</v>
      </c>
      <c r="AA15" s="20">
        <v>143</v>
      </c>
      <c r="AB15" s="20">
        <v>39</v>
      </c>
      <c r="AC15" s="20">
        <v>104</v>
      </c>
      <c r="AD15" s="20">
        <v>7</v>
      </c>
      <c r="AE15" s="20">
        <v>4</v>
      </c>
      <c r="AF15" s="20">
        <v>3</v>
      </c>
      <c r="AG15" s="20">
        <v>2</v>
      </c>
      <c r="AH15" s="20">
        <v>1</v>
      </c>
      <c r="AI15" s="20">
        <v>1</v>
      </c>
      <c r="AJ15" s="20">
        <v>134</v>
      </c>
      <c r="AK15" s="20">
        <v>34</v>
      </c>
      <c r="AL15" s="20">
        <v>100</v>
      </c>
      <c r="AM15" s="20">
        <v>1</v>
      </c>
      <c r="AN15" s="20">
        <v>0</v>
      </c>
      <c r="AO15" s="20">
        <v>1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1</v>
      </c>
      <c r="AW15" s="20">
        <v>0</v>
      </c>
      <c r="AX15" s="20">
        <v>1</v>
      </c>
      <c r="AY15" s="20">
        <v>9</v>
      </c>
      <c r="AZ15" s="20">
        <v>5</v>
      </c>
      <c r="BA15" s="20">
        <v>4</v>
      </c>
      <c r="BB15" s="20">
        <v>2</v>
      </c>
      <c r="BC15" s="20">
        <v>1</v>
      </c>
      <c r="BD15" s="20">
        <v>1</v>
      </c>
      <c r="BE15" s="20">
        <v>2</v>
      </c>
      <c r="BF15" s="20">
        <v>1</v>
      </c>
      <c r="BG15" s="20">
        <v>1</v>
      </c>
      <c r="BH15" s="20">
        <v>5</v>
      </c>
      <c r="BI15" s="20">
        <v>3</v>
      </c>
      <c r="BJ15" s="20">
        <v>2</v>
      </c>
      <c r="BK15" s="20">
        <v>66</v>
      </c>
      <c r="BL15" s="20">
        <v>34</v>
      </c>
      <c r="BM15" s="20">
        <v>32</v>
      </c>
      <c r="BN15" s="20">
        <v>4</v>
      </c>
      <c r="BO15" s="20">
        <v>2</v>
      </c>
      <c r="BP15" s="20">
        <v>2</v>
      </c>
      <c r="BQ15" s="20">
        <v>2</v>
      </c>
      <c r="BR15" s="20">
        <v>1</v>
      </c>
      <c r="BS15" s="20">
        <v>1</v>
      </c>
      <c r="BT15" s="20">
        <v>60</v>
      </c>
      <c r="BU15" s="20">
        <v>31</v>
      </c>
      <c r="BV15" s="20">
        <v>29</v>
      </c>
    </row>
    <row r="16" spans="1:74" ht="15.6" customHeight="1">
      <c r="A16" s="45" t="s">
        <v>132</v>
      </c>
      <c r="B16" s="94" t="s">
        <v>9</v>
      </c>
      <c r="C16" s="20">
        <v>35</v>
      </c>
      <c r="D16" s="20">
        <v>17</v>
      </c>
      <c r="E16" s="20">
        <v>18</v>
      </c>
      <c r="F16" s="20">
        <v>1</v>
      </c>
      <c r="G16" s="20">
        <v>1</v>
      </c>
      <c r="H16" s="20">
        <v>0</v>
      </c>
      <c r="I16" s="20">
        <v>2</v>
      </c>
      <c r="J16" s="20">
        <v>0</v>
      </c>
      <c r="K16" s="20">
        <v>2</v>
      </c>
      <c r="L16" s="20">
        <v>32</v>
      </c>
      <c r="M16" s="20">
        <v>16</v>
      </c>
      <c r="N16" s="20">
        <v>16</v>
      </c>
      <c r="O16" s="20">
        <v>176</v>
      </c>
      <c r="P16" s="20">
        <v>75</v>
      </c>
      <c r="Q16" s="20">
        <v>101</v>
      </c>
      <c r="R16" s="20">
        <v>9</v>
      </c>
      <c r="S16" s="20">
        <v>5</v>
      </c>
      <c r="T16" s="20">
        <v>4</v>
      </c>
      <c r="U16" s="20">
        <v>15</v>
      </c>
      <c r="V16" s="20">
        <v>3</v>
      </c>
      <c r="W16" s="20">
        <v>12</v>
      </c>
      <c r="X16" s="20">
        <v>152</v>
      </c>
      <c r="Y16" s="20">
        <v>67</v>
      </c>
      <c r="Z16" s="20">
        <v>85</v>
      </c>
      <c r="AA16" s="20">
        <v>143</v>
      </c>
      <c r="AB16" s="20">
        <v>61</v>
      </c>
      <c r="AC16" s="20">
        <v>82</v>
      </c>
      <c r="AD16" s="20">
        <v>5</v>
      </c>
      <c r="AE16" s="20">
        <v>2</v>
      </c>
      <c r="AF16" s="20">
        <v>3</v>
      </c>
      <c r="AG16" s="20">
        <v>5</v>
      </c>
      <c r="AH16" s="20">
        <v>1</v>
      </c>
      <c r="AI16" s="20">
        <v>4</v>
      </c>
      <c r="AJ16" s="20">
        <v>133</v>
      </c>
      <c r="AK16" s="20">
        <v>58</v>
      </c>
      <c r="AL16" s="20">
        <v>75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11</v>
      </c>
      <c r="AZ16" s="20">
        <v>5</v>
      </c>
      <c r="BA16" s="20">
        <v>6</v>
      </c>
      <c r="BB16" s="20">
        <v>1</v>
      </c>
      <c r="BC16" s="20">
        <v>1</v>
      </c>
      <c r="BD16" s="20">
        <v>0</v>
      </c>
      <c r="BE16" s="20">
        <v>6</v>
      </c>
      <c r="BF16" s="20">
        <v>1</v>
      </c>
      <c r="BG16" s="20">
        <v>5</v>
      </c>
      <c r="BH16" s="20">
        <v>4</v>
      </c>
      <c r="BI16" s="20">
        <v>3</v>
      </c>
      <c r="BJ16" s="20">
        <v>1</v>
      </c>
      <c r="BK16" s="20">
        <v>22</v>
      </c>
      <c r="BL16" s="20">
        <v>9</v>
      </c>
      <c r="BM16" s="20">
        <v>13</v>
      </c>
      <c r="BN16" s="20">
        <v>3</v>
      </c>
      <c r="BO16" s="20">
        <v>2</v>
      </c>
      <c r="BP16" s="20">
        <v>1</v>
      </c>
      <c r="BQ16" s="20">
        <v>4</v>
      </c>
      <c r="BR16" s="20">
        <v>1</v>
      </c>
      <c r="BS16" s="20">
        <v>3</v>
      </c>
      <c r="BT16" s="20">
        <v>15</v>
      </c>
      <c r="BU16" s="20">
        <v>6</v>
      </c>
      <c r="BV16" s="20">
        <v>9</v>
      </c>
    </row>
    <row r="17" spans="1:74" ht="15.6" customHeight="1">
      <c r="A17" s="45" t="s">
        <v>133</v>
      </c>
      <c r="B17" s="94" t="s">
        <v>10</v>
      </c>
      <c r="C17" s="20">
        <v>12</v>
      </c>
      <c r="D17" s="20">
        <v>3</v>
      </c>
      <c r="E17" s="20">
        <v>9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12</v>
      </c>
      <c r="M17" s="20">
        <v>3</v>
      </c>
      <c r="N17" s="20">
        <v>9</v>
      </c>
      <c r="O17" s="20">
        <v>208</v>
      </c>
      <c r="P17" s="20">
        <v>71</v>
      </c>
      <c r="Q17" s="20">
        <v>137</v>
      </c>
      <c r="R17" s="20">
        <v>12</v>
      </c>
      <c r="S17" s="20">
        <v>7</v>
      </c>
      <c r="T17" s="20">
        <v>5</v>
      </c>
      <c r="U17" s="20">
        <v>13</v>
      </c>
      <c r="V17" s="20">
        <v>8</v>
      </c>
      <c r="W17" s="20">
        <v>5</v>
      </c>
      <c r="X17" s="20">
        <v>183</v>
      </c>
      <c r="Y17" s="20">
        <v>56</v>
      </c>
      <c r="Z17" s="20">
        <v>127</v>
      </c>
      <c r="AA17" s="20">
        <v>88</v>
      </c>
      <c r="AB17" s="20">
        <v>35</v>
      </c>
      <c r="AC17" s="20">
        <v>53</v>
      </c>
      <c r="AD17" s="20">
        <v>5</v>
      </c>
      <c r="AE17" s="20">
        <v>3</v>
      </c>
      <c r="AF17" s="20">
        <v>2</v>
      </c>
      <c r="AG17" s="20">
        <v>5</v>
      </c>
      <c r="AH17" s="20">
        <v>5</v>
      </c>
      <c r="AI17" s="20">
        <v>0</v>
      </c>
      <c r="AJ17" s="20">
        <v>78</v>
      </c>
      <c r="AK17" s="20">
        <v>27</v>
      </c>
      <c r="AL17" s="20">
        <v>51</v>
      </c>
      <c r="AM17" s="20">
        <v>1</v>
      </c>
      <c r="AN17" s="20">
        <v>0</v>
      </c>
      <c r="AO17" s="20">
        <v>1</v>
      </c>
      <c r="AP17" s="20">
        <v>0</v>
      </c>
      <c r="AQ17" s="20">
        <v>0</v>
      </c>
      <c r="AR17" s="20">
        <v>0</v>
      </c>
      <c r="AS17" s="20">
        <v>1</v>
      </c>
      <c r="AT17" s="20">
        <v>0</v>
      </c>
      <c r="AU17" s="20">
        <v>1</v>
      </c>
      <c r="AV17" s="20">
        <v>0</v>
      </c>
      <c r="AW17" s="20">
        <v>0</v>
      </c>
      <c r="AX17" s="20">
        <v>0</v>
      </c>
      <c r="AY17" s="20">
        <v>13</v>
      </c>
      <c r="AZ17" s="20">
        <v>8</v>
      </c>
      <c r="BA17" s="20">
        <v>5</v>
      </c>
      <c r="BB17" s="20">
        <v>4</v>
      </c>
      <c r="BC17" s="20">
        <v>2</v>
      </c>
      <c r="BD17" s="20">
        <v>2</v>
      </c>
      <c r="BE17" s="20">
        <v>3</v>
      </c>
      <c r="BF17" s="20">
        <v>1</v>
      </c>
      <c r="BG17" s="20">
        <v>2</v>
      </c>
      <c r="BH17" s="20">
        <v>6</v>
      </c>
      <c r="BI17" s="20">
        <v>5</v>
      </c>
      <c r="BJ17" s="20">
        <v>1</v>
      </c>
      <c r="BK17" s="20">
        <v>106</v>
      </c>
      <c r="BL17" s="20">
        <v>28</v>
      </c>
      <c r="BM17" s="20">
        <v>78</v>
      </c>
      <c r="BN17" s="20">
        <v>3</v>
      </c>
      <c r="BO17" s="20">
        <v>2</v>
      </c>
      <c r="BP17" s="20">
        <v>1</v>
      </c>
      <c r="BQ17" s="20">
        <v>4</v>
      </c>
      <c r="BR17" s="20">
        <v>2</v>
      </c>
      <c r="BS17" s="20">
        <v>2</v>
      </c>
      <c r="BT17" s="20">
        <v>99</v>
      </c>
      <c r="BU17" s="20">
        <v>24</v>
      </c>
      <c r="BV17" s="20">
        <v>75</v>
      </c>
    </row>
    <row r="18" spans="1:74" ht="15.6" customHeight="1">
      <c r="A18" s="45" t="s">
        <v>134</v>
      </c>
      <c r="B18" s="94" t="s">
        <v>11</v>
      </c>
      <c r="C18" s="20">
        <v>58</v>
      </c>
      <c r="D18" s="20">
        <v>12</v>
      </c>
      <c r="E18" s="20">
        <v>46</v>
      </c>
      <c r="F18" s="20">
        <v>2</v>
      </c>
      <c r="G18" s="20">
        <v>0</v>
      </c>
      <c r="H18" s="20">
        <v>2</v>
      </c>
      <c r="I18" s="20">
        <v>0</v>
      </c>
      <c r="J18" s="20">
        <v>0</v>
      </c>
      <c r="K18" s="20">
        <v>0</v>
      </c>
      <c r="L18" s="20">
        <v>56</v>
      </c>
      <c r="M18" s="20">
        <v>12</v>
      </c>
      <c r="N18" s="20">
        <v>44</v>
      </c>
      <c r="O18" s="20">
        <v>473</v>
      </c>
      <c r="P18" s="20">
        <v>159</v>
      </c>
      <c r="Q18" s="20">
        <v>314</v>
      </c>
      <c r="R18" s="20">
        <v>22</v>
      </c>
      <c r="S18" s="20">
        <v>11</v>
      </c>
      <c r="T18" s="20">
        <v>11</v>
      </c>
      <c r="U18" s="20">
        <v>39</v>
      </c>
      <c r="V18" s="20">
        <v>24</v>
      </c>
      <c r="W18" s="20">
        <v>15</v>
      </c>
      <c r="X18" s="20">
        <v>412</v>
      </c>
      <c r="Y18" s="20">
        <v>124</v>
      </c>
      <c r="Z18" s="20">
        <v>288</v>
      </c>
      <c r="AA18" s="20">
        <v>365</v>
      </c>
      <c r="AB18" s="20">
        <v>110</v>
      </c>
      <c r="AC18" s="20">
        <v>255</v>
      </c>
      <c r="AD18" s="20">
        <v>13</v>
      </c>
      <c r="AE18" s="20">
        <v>3</v>
      </c>
      <c r="AF18" s="20">
        <v>10</v>
      </c>
      <c r="AG18" s="20">
        <v>17</v>
      </c>
      <c r="AH18" s="20">
        <v>9</v>
      </c>
      <c r="AI18" s="20">
        <v>8</v>
      </c>
      <c r="AJ18" s="20">
        <v>335</v>
      </c>
      <c r="AK18" s="20">
        <v>98</v>
      </c>
      <c r="AL18" s="20">
        <v>237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41</v>
      </c>
      <c r="AZ18" s="20">
        <v>23</v>
      </c>
      <c r="BA18" s="20">
        <v>18</v>
      </c>
      <c r="BB18" s="20">
        <v>5</v>
      </c>
      <c r="BC18" s="20">
        <v>5</v>
      </c>
      <c r="BD18" s="20">
        <v>0</v>
      </c>
      <c r="BE18" s="20">
        <v>20</v>
      </c>
      <c r="BF18" s="20">
        <v>14</v>
      </c>
      <c r="BG18" s="20">
        <v>6</v>
      </c>
      <c r="BH18" s="20">
        <v>16</v>
      </c>
      <c r="BI18" s="20">
        <v>4</v>
      </c>
      <c r="BJ18" s="20">
        <v>12</v>
      </c>
      <c r="BK18" s="20">
        <v>67</v>
      </c>
      <c r="BL18" s="20">
        <v>26</v>
      </c>
      <c r="BM18" s="20">
        <v>41</v>
      </c>
      <c r="BN18" s="20">
        <v>4</v>
      </c>
      <c r="BO18" s="20">
        <v>3</v>
      </c>
      <c r="BP18" s="20">
        <v>1</v>
      </c>
      <c r="BQ18" s="20">
        <v>2</v>
      </c>
      <c r="BR18" s="20">
        <v>1</v>
      </c>
      <c r="BS18" s="20">
        <v>1</v>
      </c>
      <c r="BT18" s="20">
        <v>61</v>
      </c>
      <c r="BU18" s="20">
        <v>22</v>
      </c>
      <c r="BV18" s="20">
        <v>39</v>
      </c>
    </row>
    <row r="19" spans="1:74" ht="15.6" customHeight="1">
      <c r="A19" s="45" t="s">
        <v>135</v>
      </c>
      <c r="B19" s="94" t="s">
        <v>12</v>
      </c>
      <c r="C19" s="20">
        <v>30</v>
      </c>
      <c r="D19" s="20">
        <v>7</v>
      </c>
      <c r="E19" s="20">
        <v>23</v>
      </c>
      <c r="F19" s="20">
        <v>1</v>
      </c>
      <c r="G19" s="20">
        <v>0</v>
      </c>
      <c r="H19" s="20">
        <v>1</v>
      </c>
      <c r="I19" s="20">
        <v>0</v>
      </c>
      <c r="J19" s="20">
        <v>0</v>
      </c>
      <c r="K19" s="20">
        <v>0</v>
      </c>
      <c r="L19" s="20">
        <v>29</v>
      </c>
      <c r="M19" s="20">
        <v>7</v>
      </c>
      <c r="N19" s="20">
        <v>22</v>
      </c>
      <c r="O19" s="20">
        <v>562</v>
      </c>
      <c r="P19" s="20">
        <v>217</v>
      </c>
      <c r="Q19" s="20">
        <v>345</v>
      </c>
      <c r="R19" s="20">
        <v>29</v>
      </c>
      <c r="S19" s="20">
        <v>17</v>
      </c>
      <c r="T19" s="20">
        <v>12</v>
      </c>
      <c r="U19" s="20">
        <v>40</v>
      </c>
      <c r="V19" s="20">
        <v>15</v>
      </c>
      <c r="W19" s="20">
        <v>25</v>
      </c>
      <c r="X19" s="20">
        <v>493</v>
      </c>
      <c r="Y19" s="20">
        <v>185</v>
      </c>
      <c r="Z19" s="20">
        <v>308</v>
      </c>
      <c r="AA19" s="20">
        <v>308</v>
      </c>
      <c r="AB19" s="20">
        <v>136</v>
      </c>
      <c r="AC19" s="20">
        <v>172</v>
      </c>
      <c r="AD19" s="20">
        <v>14</v>
      </c>
      <c r="AE19" s="20">
        <v>10</v>
      </c>
      <c r="AF19" s="20">
        <v>4</v>
      </c>
      <c r="AG19" s="20">
        <v>24</v>
      </c>
      <c r="AH19" s="20">
        <v>13</v>
      </c>
      <c r="AI19" s="20">
        <v>11</v>
      </c>
      <c r="AJ19" s="20">
        <v>270</v>
      </c>
      <c r="AK19" s="20">
        <v>113</v>
      </c>
      <c r="AL19" s="20">
        <v>157</v>
      </c>
      <c r="AM19" s="20">
        <v>0</v>
      </c>
      <c r="AN19" s="20">
        <v>0</v>
      </c>
      <c r="AO19" s="20">
        <v>0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0</v>
      </c>
      <c r="AY19" s="20">
        <v>14</v>
      </c>
      <c r="AZ19" s="20">
        <v>6</v>
      </c>
      <c r="BA19" s="20">
        <v>8</v>
      </c>
      <c r="BB19" s="20">
        <v>1</v>
      </c>
      <c r="BC19" s="20">
        <v>0</v>
      </c>
      <c r="BD19" s="20">
        <v>1</v>
      </c>
      <c r="BE19" s="20">
        <v>4</v>
      </c>
      <c r="BF19" s="20">
        <v>2</v>
      </c>
      <c r="BG19" s="20">
        <v>2</v>
      </c>
      <c r="BH19" s="20">
        <v>9</v>
      </c>
      <c r="BI19" s="20">
        <v>4</v>
      </c>
      <c r="BJ19" s="20">
        <v>5</v>
      </c>
      <c r="BK19" s="20">
        <v>240</v>
      </c>
      <c r="BL19" s="20">
        <v>75</v>
      </c>
      <c r="BM19" s="20">
        <v>165</v>
      </c>
      <c r="BN19" s="20">
        <v>14</v>
      </c>
      <c r="BO19" s="20">
        <v>7</v>
      </c>
      <c r="BP19" s="20">
        <v>7</v>
      </c>
      <c r="BQ19" s="20">
        <v>12</v>
      </c>
      <c r="BR19" s="20">
        <v>0</v>
      </c>
      <c r="BS19" s="20">
        <v>12</v>
      </c>
      <c r="BT19" s="20">
        <v>214</v>
      </c>
      <c r="BU19" s="20">
        <v>68</v>
      </c>
      <c r="BV19" s="20">
        <v>146</v>
      </c>
    </row>
    <row r="20" spans="1:74" ht="15.6" customHeight="1">
      <c r="A20" s="45" t="s">
        <v>136</v>
      </c>
      <c r="B20" s="94" t="s">
        <v>13</v>
      </c>
      <c r="C20" s="20">
        <v>58</v>
      </c>
      <c r="D20" s="20">
        <v>17</v>
      </c>
      <c r="E20" s="20">
        <v>41</v>
      </c>
      <c r="F20" s="20">
        <v>1</v>
      </c>
      <c r="G20" s="20">
        <v>1</v>
      </c>
      <c r="H20" s="20">
        <v>0</v>
      </c>
      <c r="I20" s="20">
        <v>3</v>
      </c>
      <c r="J20" s="20">
        <v>0</v>
      </c>
      <c r="K20" s="20">
        <v>3</v>
      </c>
      <c r="L20" s="20">
        <v>54</v>
      </c>
      <c r="M20" s="20">
        <v>16</v>
      </c>
      <c r="N20" s="20">
        <v>38</v>
      </c>
      <c r="O20" s="20">
        <v>418</v>
      </c>
      <c r="P20" s="20">
        <v>139</v>
      </c>
      <c r="Q20" s="20">
        <v>279</v>
      </c>
      <c r="R20" s="20">
        <v>37</v>
      </c>
      <c r="S20" s="20">
        <v>14</v>
      </c>
      <c r="T20" s="20">
        <v>23</v>
      </c>
      <c r="U20" s="20">
        <v>30</v>
      </c>
      <c r="V20" s="20">
        <v>10</v>
      </c>
      <c r="W20" s="20">
        <v>20</v>
      </c>
      <c r="X20" s="20">
        <v>351</v>
      </c>
      <c r="Y20" s="20">
        <v>115</v>
      </c>
      <c r="Z20" s="20">
        <v>236</v>
      </c>
      <c r="AA20" s="20">
        <v>398</v>
      </c>
      <c r="AB20" s="20">
        <v>127</v>
      </c>
      <c r="AC20" s="20">
        <v>271</v>
      </c>
      <c r="AD20" s="20">
        <v>32</v>
      </c>
      <c r="AE20" s="20">
        <v>9</v>
      </c>
      <c r="AF20" s="20">
        <v>23</v>
      </c>
      <c r="AG20" s="20">
        <v>24</v>
      </c>
      <c r="AH20" s="20">
        <v>9</v>
      </c>
      <c r="AI20" s="20">
        <v>15</v>
      </c>
      <c r="AJ20" s="20">
        <v>342</v>
      </c>
      <c r="AK20" s="20">
        <v>109</v>
      </c>
      <c r="AL20" s="20">
        <v>233</v>
      </c>
      <c r="AM20" s="20">
        <v>1</v>
      </c>
      <c r="AN20" s="20">
        <v>1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1</v>
      </c>
      <c r="AW20" s="20">
        <v>1</v>
      </c>
      <c r="AX20" s="20">
        <v>0</v>
      </c>
      <c r="AY20" s="20">
        <v>18</v>
      </c>
      <c r="AZ20" s="20">
        <v>11</v>
      </c>
      <c r="BA20" s="20">
        <v>7</v>
      </c>
      <c r="BB20" s="20">
        <v>5</v>
      </c>
      <c r="BC20" s="20">
        <v>5</v>
      </c>
      <c r="BD20" s="20">
        <v>0</v>
      </c>
      <c r="BE20" s="20">
        <v>6</v>
      </c>
      <c r="BF20" s="20">
        <v>1</v>
      </c>
      <c r="BG20" s="20">
        <v>5</v>
      </c>
      <c r="BH20" s="20">
        <v>7</v>
      </c>
      <c r="BI20" s="20">
        <v>5</v>
      </c>
      <c r="BJ20" s="20">
        <v>2</v>
      </c>
      <c r="BK20" s="20">
        <v>1</v>
      </c>
      <c r="BL20" s="20">
        <v>0</v>
      </c>
      <c r="BM20" s="20">
        <v>1</v>
      </c>
      <c r="BN20" s="20">
        <v>0</v>
      </c>
      <c r="BO20" s="20">
        <v>0</v>
      </c>
      <c r="BP20" s="20">
        <v>0</v>
      </c>
      <c r="BQ20" s="20">
        <v>0</v>
      </c>
      <c r="BR20" s="20">
        <v>0</v>
      </c>
      <c r="BS20" s="20">
        <v>0</v>
      </c>
      <c r="BT20" s="20">
        <v>1</v>
      </c>
      <c r="BU20" s="20">
        <v>0</v>
      </c>
      <c r="BV20" s="20">
        <v>1</v>
      </c>
    </row>
    <row r="21" spans="1:74" ht="15.6" customHeight="1">
      <c r="A21" s="45" t="s">
        <v>137</v>
      </c>
      <c r="B21" s="94" t="s">
        <v>14</v>
      </c>
      <c r="C21" s="20">
        <v>13</v>
      </c>
      <c r="D21" s="20">
        <v>4</v>
      </c>
      <c r="E21" s="20">
        <v>9</v>
      </c>
      <c r="F21" s="20">
        <v>1</v>
      </c>
      <c r="G21" s="20">
        <v>0</v>
      </c>
      <c r="H21" s="20">
        <v>1</v>
      </c>
      <c r="I21" s="20">
        <v>0</v>
      </c>
      <c r="J21" s="20">
        <v>0</v>
      </c>
      <c r="K21" s="20">
        <v>0</v>
      </c>
      <c r="L21" s="20">
        <v>12</v>
      </c>
      <c r="M21" s="20">
        <v>4</v>
      </c>
      <c r="N21" s="20">
        <v>8</v>
      </c>
      <c r="O21" s="20">
        <v>161</v>
      </c>
      <c r="P21" s="20">
        <v>46</v>
      </c>
      <c r="Q21" s="20">
        <v>115</v>
      </c>
      <c r="R21" s="20">
        <v>11</v>
      </c>
      <c r="S21" s="20">
        <v>1</v>
      </c>
      <c r="T21" s="20">
        <v>10</v>
      </c>
      <c r="U21" s="20">
        <v>11</v>
      </c>
      <c r="V21" s="20">
        <v>3</v>
      </c>
      <c r="W21" s="20">
        <v>8</v>
      </c>
      <c r="X21" s="20">
        <v>139</v>
      </c>
      <c r="Y21" s="20">
        <v>42</v>
      </c>
      <c r="Z21" s="20">
        <v>97</v>
      </c>
      <c r="AA21" s="20">
        <v>67</v>
      </c>
      <c r="AB21" s="20">
        <v>14</v>
      </c>
      <c r="AC21" s="20">
        <v>53</v>
      </c>
      <c r="AD21" s="20">
        <v>3</v>
      </c>
      <c r="AE21" s="20">
        <v>0</v>
      </c>
      <c r="AF21" s="20">
        <v>3</v>
      </c>
      <c r="AG21" s="20">
        <v>4</v>
      </c>
      <c r="AH21" s="20">
        <v>1</v>
      </c>
      <c r="AI21" s="20">
        <v>3</v>
      </c>
      <c r="AJ21" s="20">
        <v>60</v>
      </c>
      <c r="AK21" s="20">
        <v>13</v>
      </c>
      <c r="AL21" s="20">
        <v>47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0</v>
      </c>
      <c r="AY21" s="20">
        <v>6</v>
      </c>
      <c r="AZ21" s="20">
        <v>4</v>
      </c>
      <c r="BA21" s="20">
        <v>2</v>
      </c>
      <c r="BB21" s="20">
        <v>0</v>
      </c>
      <c r="BC21" s="20">
        <v>0</v>
      </c>
      <c r="BD21" s="20">
        <v>0</v>
      </c>
      <c r="BE21" s="20">
        <v>1</v>
      </c>
      <c r="BF21" s="20">
        <v>1</v>
      </c>
      <c r="BG21" s="20">
        <v>0</v>
      </c>
      <c r="BH21" s="20">
        <v>5</v>
      </c>
      <c r="BI21" s="20">
        <v>3</v>
      </c>
      <c r="BJ21" s="20">
        <v>2</v>
      </c>
      <c r="BK21" s="20">
        <v>88</v>
      </c>
      <c r="BL21" s="20">
        <v>28</v>
      </c>
      <c r="BM21" s="20">
        <v>60</v>
      </c>
      <c r="BN21" s="20">
        <v>8</v>
      </c>
      <c r="BO21" s="20">
        <v>1</v>
      </c>
      <c r="BP21" s="20">
        <v>7</v>
      </c>
      <c r="BQ21" s="20">
        <v>6</v>
      </c>
      <c r="BR21" s="20">
        <v>1</v>
      </c>
      <c r="BS21" s="20">
        <v>5</v>
      </c>
      <c r="BT21" s="20">
        <v>74</v>
      </c>
      <c r="BU21" s="20">
        <v>26</v>
      </c>
      <c r="BV21" s="20">
        <v>48</v>
      </c>
    </row>
    <row r="22" spans="1:74" ht="15.6" customHeight="1">
      <c r="A22" s="45" t="s">
        <v>138</v>
      </c>
      <c r="B22" s="94" t="s">
        <v>15</v>
      </c>
      <c r="C22" s="20">
        <v>21</v>
      </c>
      <c r="D22" s="20">
        <v>6</v>
      </c>
      <c r="E22" s="20">
        <v>15</v>
      </c>
      <c r="F22" s="20">
        <v>1</v>
      </c>
      <c r="G22" s="20">
        <v>0</v>
      </c>
      <c r="H22" s="20">
        <v>1</v>
      </c>
      <c r="I22" s="20">
        <v>4</v>
      </c>
      <c r="J22" s="20">
        <v>2</v>
      </c>
      <c r="K22" s="20">
        <v>2</v>
      </c>
      <c r="L22" s="20">
        <v>16</v>
      </c>
      <c r="M22" s="20">
        <v>4</v>
      </c>
      <c r="N22" s="20">
        <v>12</v>
      </c>
      <c r="O22" s="20">
        <v>480</v>
      </c>
      <c r="P22" s="20">
        <v>177</v>
      </c>
      <c r="Q22" s="20">
        <v>303</v>
      </c>
      <c r="R22" s="20">
        <v>77</v>
      </c>
      <c r="S22" s="20">
        <v>36</v>
      </c>
      <c r="T22" s="20">
        <v>41</v>
      </c>
      <c r="U22" s="20">
        <v>41</v>
      </c>
      <c r="V22" s="20">
        <v>17</v>
      </c>
      <c r="W22" s="20">
        <v>24</v>
      </c>
      <c r="X22" s="20">
        <v>362</v>
      </c>
      <c r="Y22" s="20">
        <v>124</v>
      </c>
      <c r="Z22" s="20">
        <v>238</v>
      </c>
      <c r="AA22" s="20">
        <v>295</v>
      </c>
      <c r="AB22" s="20">
        <v>107</v>
      </c>
      <c r="AC22" s="20">
        <v>188</v>
      </c>
      <c r="AD22" s="20">
        <v>38</v>
      </c>
      <c r="AE22" s="20">
        <v>18</v>
      </c>
      <c r="AF22" s="20">
        <v>20</v>
      </c>
      <c r="AG22" s="20">
        <v>20</v>
      </c>
      <c r="AH22" s="20">
        <v>8</v>
      </c>
      <c r="AI22" s="20">
        <v>12</v>
      </c>
      <c r="AJ22" s="20">
        <v>237</v>
      </c>
      <c r="AK22" s="20">
        <v>81</v>
      </c>
      <c r="AL22" s="20">
        <v>156</v>
      </c>
      <c r="AM22" s="20">
        <v>14</v>
      </c>
      <c r="AN22" s="20">
        <v>8</v>
      </c>
      <c r="AO22" s="20">
        <v>6</v>
      </c>
      <c r="AP22" s="20">
        <v>5</v>
      </c>
      <c r="AQ22" s="20">
        <v>4</v>
      </c>
      <c r="AR22" s="20">
        <v>1</v>
      </c>
      <c r="AS22" s="20">
        <v>3</v>
      </c>
      <c r="AT22" s="20">
        <v>1</v>
      </c>
      <c r="AU22" s="20">
        <v>2</v>
      </c>
      <c r="AV22" s="20">
        <v>6</v>
      </c>
      <c r="AW22" s="20">
        <v>3</v>
      </c>
      <c r="AX22" s="20">
        <v>3</v>
      </c>
      <c r="AY22" s="20">
        <v>41</v>
      </c>
      <c r="AZ22" s="20">
        <v>20</v>
      </c>
      <c r="BA22" s="20">
        <v>21</v>
      </c>
      <c r="BB22" s="20">
        <v>21</v>
      </c>
      <c r="BC22" s="20">
        <v>12</v>
      </c>
      <c r="BD22" s="20">
        <v>9</v>
      </c>
      <c r="BE22" s="20">
        <v>7</v>
      </c>
      <c r="BF22" s="20">
        <v>3</v>
      </c>
      <c r="BG22" s="20">
        <v>4</v>
      </c>
      <c r="BH22" s="20">
        <v>13</v>
      </c>
      <c r="BI22" s="20">
        <v>5</v>
      </c>
      <c r="BJ22" s="20">
        <v>8</v>
      </c>
      <c r="BK22" s="20">
        <v>130</v>
      </c>
      <c r="BL22" s="20">
        <v>42</v>
      </c>
      <c r="BM22" s="20">
        <v>88</v>
      </c>
      <c r="BN22" s="20">
        <v>13</v>
      </c>
      <c r="BO22" s="20">
        <v>2</v>
      </c>
      <c r="BP22" s="20">
        <v>11</v>
      </c>
      <c r="BQ22" s="20">
        <v>11</v>
      </c>
      <c r="BR22" s="20">
        <v>5</v>
      </c>
      <c r="BS22" s="20">
        <v>6</v>
      </c>
      <c r="BT22" s="20">
        <v>106</v>
      </c>
      <c r="BU22" s="20">
        <v>35</v>
      </c>
      <c r="BV22" s="20">
        <v>71</v>
      </c>
    </row>
    <row r="23" spans="1:74" ht="15.6" customHeight="1">
      <c r="A23" s="45" t="s">
        <v>139</v>
      </c>
      <c r="B23" s="94" t="s">
        <v>16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184</v>
      </c>
      <c r="P23" s="20">
        <v>80</v>
      </c>
      <c r="Q23" s="20">
        <v>104</v>
      </c>
      <c r="R23" s="20">
        <v>59</v>
      </c>
      <c r="S23" s="20">
        <v>42</v>
      </c>
      <c r="T23" s="20">
        <v>17</v>
      </c>
      <c r="U23" s="20">
        <v>32</v>
      </c>
      <c r="V23" s="20">
        <v>8</v>
      </c>
      <c r="W23" s="20">
        <v>24</v>
      </c>
      <c r="X23" s="20">
        <v>93</v>
      </c>
      <c r="Y23" s="20">
        <v>30</v>
      </c>
      <c r="Z23" s="20">
        <v>63</v>
      </c>
      <c r="AA23" s="20">
        <v>102</v>
      </c>
      <c r="AB23" s="20">
        <v>38</v>
      </c>
      <c r="AC23" s="20">
        <v>64</v>
      </c>
      <c r="AD23" s="20">
        <v>16</v>
      </c>
      <c r="AE23" s="20">
        <v>11</v>
      </c>
      <c r="AF23" s="20">
        <v>5</v>
      </c>
      <c r="AG23" s="20">
        <v>11</v>
      </c>
      <c r="AH23" s="20">
        <v>5</v>
      </c>
      <c r="AI23" s="20">
        <v>6</v>
      </c>
      <c r="AJ23" s="20">
        <v>75</v>
      </c>
      <c r="AK23" s="20">
        <v>22</v>
      </c>
      <c r="AL23" s="20">
        <v>53</v>
      </c>
      <c r="AM23" s="20">
        <v>40</v>
      </c>
      <c r="AN23" s="20">
        <v>22</v>
      </c>
      <c r="AO23" s="20">
        <v>18</v>
      </c>
      <c r="AP23" s="20">
        <v>29</v>
      </c>
      <c r="AQ23" s="20">
        <v>19</v>
      </c>
      <c r="AR23" s="20">
        <v>10</v>
      </c>
      <c r="AS23" s="20">
        <v>9</v>
      </c>
      <c r="AT23" s="20">
        <v>2</v>
      </c>
      <c r="AU23" s="20">
        <v>7</v>
      </c>
      <c r="AV23" s="20">
        <v>2</v>
      </c>
      <c r="AW23" s="20">
        <v>1</v>
      </c>
      <c r="AX23" s="20">
        <v>1</v>
      </c>
      <c r="AY23" s="20">
        <v>27</v>
      </c>
      <c r="AZ23" s="20">
        <v>14</v>
      </c>
      <c r="BA23" s="20">
        <v>13</v>
      </c>
      <c r="BB23" s="20">
        <v>14</v>
      </c>
      <c r="BC23" s="20">
        <v>12</v>
      </c>
      <c r="BD23" s="20">
        <v>2</v>
      </c>
      <c r="BE23" s="20">
        <v>12</v>
      </c>
      <c r="BF23" s="20">
        <v>1</v>
      </c>
      <c r="BG23" s="20">
        <v>11</v>
      </c>
      <c r="BH23" s="20">
        <v>1</v>
      </c>
      <c r="BI23" s="20">
        <v>1</v>
      </c>
      <c r="BJ23" s="20">
        <v>0</v>
      </c>
      <c r="BK23" s="20">
        <v>15</v>
      </c>
      <c r="BL23" s="20">
        <v>6</v>
      </c>
      <c r="BM23" s="20">
        <v>9</v>
      </c>
      <c r="BN23" s="20">
        <v>0</v>
      </c>
      <c r="BO23" s="20">
        <v>0</v>
      </c>
      <c r="BP23" s="20">
        <v>0</v>
      </c>
      <c r="BQ23" s="20">
        <v>0</v>
      </c>
      <c r="BR23" s="20">
        <v>0</v>
      </c>
      <c r="BS23" s="20">
        <v>0</v>
      </c>
      <c r="BT23" s="20">
        <v>15</v>
      </c>
      <c r="BU23" s="20">
        <v>6</v>
      </c>
      <c r="BV23" s="20">
        <v>9</v>
      </c>
    </row>
    <row r="24" spans="1:74" ht="15.6" customHeight="1">
      <c r="A24" s="45" t="s">
        <v>140</v>
      </c>
      <c r="B24" s="94" t="s">
        <v>17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191</v>
      </c>
      <c r="P24" s="20">
        <v>45</v>
      </c>
      <c r="Q24" s="20">
        <v>146</v>
      </c>
      <c r="R24" s="20">
        <v>15</v>
      </c>
      <c r="S24" s="20">
        <v>11</v>
      </c>
      <c r="T24" s="20">
        <v>4</v>
      </c>
      <c r="U24" s="20">
        <v>10</v>
      </c>
      <c r="V24" s="20">
        <v>6</v>
      </c>
      <c r="W24" s="20">
        <v>4</v>
      </c>
      <c r="X24" s="20">
        <v>166</v>
      </c>
      <c r="Y24" s="20">
        <v>28</v>
      </c>
      <c r="Z24" s="20">
        <v>138</v>
      </c>
      <c r="AA24" s="20">
        <v>146</v>
      </c>
      <c r="AB24" s="20">
        <v>23</v>
      </c>
      <c r="AC24" s="20">
        <v>123</v>
      </c>
      <c r="AD24" s="20">
        <v>8</v>
      </c>
      <c r="AE24" s="20">
        <v>5</v>
      </c>
      <c r="AF24" s="20">
        <v>3</v>
      </c>
      <c r="AG24" s="20">
        <v>4</v>
      </c>
      <c r="AH24" s="20">
        <v>2</v>
      </c>
      <c r="AI24" s="20">
        <v>2</v>
      </c>
      <c r="AJ24" s="20">
        <v>134</v>
      </c>
      <c r="AK24" s="20">
        <v>16</v>
      </c>
      <c r="AL24" s="20">
        <v>118</v>
      </c>
      <c r="AM24" s="20">
        <v>6</v>
      </c>
      <c r="AN24" s="20">
        <v>2</v>
      </c>
      <c r="AO24" s="20">
        <v>4</v>
      </c>
      <c r="AP24" s="20">
        <v>2</v>
      </c>
      <c r="AQ24" s="20">
        <v>2</v>
      </c>
      <c r="AR24" s="20">
        <v>0</v>
      </c>
      <c r="AS24" s="20">
        <v>2</v>
      </c>
      <c r="AT24" s="20">
        <v>0</v>
      </c>
      <c r="AU24" s="20">
        <v>2</v>
      </c>
      <c r="AV24" s="20">
        <v>2</v>
      </c>
      <c r="AW24" s="20">
        <v>0</v>
      </c>
      <c r="AX24" s="20">
        <v>2</v>
      </c>
      <c r="AY24" s="20">
        <v>7</v>
      </c>
      <c r="AZ24" s="20">
        <v>6</v>
      </c>
      <c r="BA24" s="20">
        <v>1</v>
      </c>
      <c r="BB24" s="20">
        <v>3</v>
      </c>
      <c r="BC24" s="20">
        <v>3</v>
      </c>
      <c r="BD24" s="20">
        <v>0</v>
      </c>
      <c r="BE24" s="20">
        <v>3</v>
      </c>
      <c r="BF24" s="20">
        <v>3</v>
      </c>
      <c r="BG24" s="20">
        <v>0</v>
      </c>
      <c r="BH24" s="20">
        <v>1</v>
      </c>
      <c r="BI24" s="20">
        <v>0</v>
      </c>
      <c r="BJ24" s="20">
        <v>1</v>
      </c>
      <c r="BK24" s="20">
        <v>32</v>
      </c>
      <c r="BL24" s="20">
        <v>14</v>
      </c>
      <c r="BM24" s="20">
        <v>18</v>
      </c>
      <c r="BN24" s="20">
        <v>2</v>
      </c>
      <c r="BO24" s="20">
        <v>1</v>
      </c>
      <c r="BP24" s="20">
        <v>1</v>
      </c>
      <c r="BQ24" s="20">
        <v>1</v>
      </c>
      <c r="BR24" s="20">
        <v>1</v>
      </c>
      <c r="BS24" s="20">
        <v>0</v>
      </c>
      <c r="BT24" s="20">
        <v>29</v>
      </c>
      <c r="BU24" s="20">
        <v>12</v>
      </c>
      <c r="BV24" s="20">
        <v>17</v>
      </c>
    </row>
    <row r="25" spans="1:74" ht="15.6" customHeight="1">
      <c r="A25" s="45" t="s">
        <v>141</v>
      </c>
      <c r="B25" s="94" t="s">
        <v>18</v>
      </c>
      <c r="C25" s="20">
        <v>6</v>
      </c>
      <c r="D25" s="20">
        <v>0</v>
      </c>
      <c r="E25" s="20">
        <v>6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6</v>
      </c>
      <c r="M25" s="20">
        <v>0</v>
      </c>
      <c r="N25" s="20">
        <v>6</v>
      </c>
      <c r="O25" s="20">
        <v>95</v>
      </c>
      <c r="P25" s="20">
        <v>48</v>
      </c>
      <c r="Q25" s="20">
        <v>47</v>
      </c>
      <c r="R25" s="20">
        <v>13</v>
      </c>
      <c r="S25" s="20">
        <v>9</v>
      </c>
      <c r="T25" s="20">
        <v>4</v>
      </c>
      <c r="U25" s="20">
        <v>3</v>
      </c>
      <c r="V25" s="20">
        <v>2</v>
      </c>
      <c r="W25" s="20">
        <v>1</v>
      </c>
      <c r="X25" s="20">
        <v>79</v>
      </c>
      <c r="Y25" s="20">
        <v>37</v>
      </c>
      <c r="Z25" s="20">
        <v>42</v>
      </c>
      <c r="AA25" s="20">
        <v>86</v>
      </c>
      <c r="AB25" s="20">
        <v>42</v>
      </c>
      <c r="AC25" s="20">
        <v>44</v>
      </c>
      <c r="AD25" s="20">
        <v>11</v>
      </c>
      <c r="AE25" s="20">
        <v>7</v>
      </c>
      <c r="AF25" s="20">
        <v>4</v>
      </c>
      <c r="AG25" s="20">
        <v>2</v>
      </c>
      <c r="AH25" s="20">
        <v>1</v>
      </c>
      <c r="AI25" s="20">
        <v>1</v>
      </c>
      <c r="AJ25" s="20">
        <v>73</v>
      </c>
      <c r="AK25" s="20">
        <v>34</v>
      </c>
      <c r="AL25" s="20">
        <v>39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5</v>
      </c>
      <c r="AZ25" s="20">
        <v>5</v>
      </c>
      <c r="BA25" s="20">
        <v>0</v>
      </c>
      <c r="BB25" s="20">
        <v>2</v>
      </c>
      <c r="BC25" s="20">
        <v>2</v>
      </c>
      <c r="BD25" s="20">
        <v>0</v>
      </c>
      <c r="BE25" s="20">
        <v>1</v>
      </c>
      <c r="BF25" s="20">
        <v>1</v>
      </c>
      <c r="BG25" s="20">
        <v>0</v>
      </c>
      <c r="BH25" s="20">
        <v>2</v>
      </c>
      <c r="BI25" s="20">
        <v>2</v>
      </c>
      <c r="BJ25" s="20">
        <v>0</v>
      </c>
      <c r="BK25" s="20">
        <v>4</v>
      </c>
      <c r="BL25" s="20">
        <v>1</v>
      </c>
      <c r="BM25" s="20">
        <v>3</v>
      </c>
      <c r="BN25" s="20">
        <v>0</v>
      </c>
      <c r="BO25" s="20">
        <v>0</v>
      </c>
      <c r="BP25" s="20">
        <v>0</v>
      </c>
      <c r="BQ25" s="20">
        <v>0</v>
      </c>
      <c r="BR25" s="20">
        <v>0</v>
      </c>
      <c r="BS25" s="20">
        <v>0</v>
      </c>
      <c r="BT25" s="20">
        <v>4</v>
      </c>
      <c r="BU25" s="20">
        <v>1</v>
      </c>
      <c r="BV25" s="20">
        <v>3</v>
      </c>
    </row>
    <row r="26" spans="1:74" ht="15.6" customHeight="1">
      <c r="A26" s="45" t="s">
        <v>142</v>
      </c>
      <c r="B26" s="94" t="s">
        <v>19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130</v>
      </c>
      <c r="P26" s="20">
        <v>40</v>
      </c>
      <c r="Q26" s="20">
        <v>90</v>
      </c>
      <c r="R26" s="20">
        <v>78</v>
      </c>
      <c r="S26" s="20">
        <v>20</v>
      </c>
      <c r="T26" s="20">
        <v>58</v>
      </c>
      <c r="U26" s="20">
        <v>8</v>
      </c>
      <c r="V26" s="20">
        <v>1</v>
      </c>
      <c r="W26" s="20">
        <v>7</v>
      </c>
      <c r="X26" s="20">
        <v>44</v>
      </c>
      <c r="Y26" s="20">
        <v>19</v>
      </c>
      <c r="Z26" s="20">
        <v>25</v>
      </c>
      <c r="AA26" s="20">
        <v>35</v>
      </c>
      <c r="AB26" s="20">
        <v>17</v>
      </c>
      <c r="AC26" s="20">
        <v>18</v>
      </c>
      <c r="AD26" s="20">
        <v>1</v>
      </c>
      <c r="AE26" s="20">
        <v>1</v>
      </c>
      <c r="AF26" s="20">
        <v>0</v>
      </c>
      <c r="AG26" s="20">
        <v>2</v>
      </c>
      <c r="AH26" s="20">
        <v>1</v>
      </c>
      <c r="AI26" s="20">
        <v>1</v>
      </c>
      <c r="AJ26" s="20">
        <v>32</v>
      </c>
      <c r="AK26" s="20">
        <v>15</v>
      </c>
      <c r="AL26" s="20">
        <v>17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1</v>
      </c>
      <c r="AZ26" s="20">
        <v>1</v>
      </c>
      <c r="BA26" s="20">
        <v>0</v>
      </c>
      <c r="BB26" s="20">
        <v>1</v>
      </c>
      <c r="BC26" s="20">
        <v>1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  <c r="BK26" s="20">
        <v>94</v>
      </c>
      <c r="BL26" s="20">
        <v>22</v>
      </c>
      <c r="BM26" s="20">
        <v>72</v>
      </c>
      <c r="BN26" s="20">
        <v>76</v>
      </c>
      <c r="BO26" s="20">
        <v>18</v>
      </c>
      <c r="BP26" s="20">
        <v>58</v>
      </c>
      <c r="BQ26" s="20">
        <v>6</v>
      </c>
      <c r="BR26" s="20">
        <v>0</v>
      </c>
      <c r="BS26" s="20">
        <v>6</v>
      </c>
      <c r="BT26" s="20">
        <v>12</v>
      </c>
      <c r="BU26" s="20">
        <v>4</v>
      </c>
      <c r="BV26" s="20">
        <v>8</v>
      </c>
    </row>
    <row r="27" spans="1:74" ht="15.6" customHeight="1">
      <c r="A27" s="45" t="s">
        <v>143</v>
      </c>
      <c r="B27" s="94" t="s">
        <v>20</v>
      </c>
      <c r="C27" s="20">
        <v>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97</v>
      </c>
      <c r="P27" s="20">
        <v>29</v>
      </c>
      <c r="Q27" s="20">
        <v>68</v>
      </c>
      <c r="R27" s="20">
        <v>2</v>
      </c>
      <c r="S27" s="20">
        <v>0</v>
      </c>
      <c r="T27" s="20">
        <v>2</v>
      </c>
      <c r="U27" s="20">
        <v>4</v>
      </c>
      <c r="V27" s="20">
        <v>3</v>
      </c>
      <c r="W27" s="20">
        <v>1</v>
      </c>
      <c r="X27" s="20">
        <v>91</v>
      </c>
      <c r="Y27" s="20">
        <v>26</v>
      </c>
      <c r="Z27" s="20">
        <v>65</v>
      </c>
      <c r="AA27" s="20">
        <v>32</v>
      </c>
      <c r="AB27" s="20">
        <v>8</v>
      </c>
      <c r="AC27" s="20">
        <v>24</v>
      </c>
      <c r="AD27" s="20">
        <v>0</v>
      </c>
      <c r="AE27" s="20">
        <v>0</v>
      </c>
      <c r="AF27" s="20">
        <v>0</v>
      </c>
      <c r="AG27" s="20">
        <v>2</v>
      </c>
      <c r="AH27" s="20">
        <v>1</v>
      </c>
      <c r="AI27" s="20">
        <v>1</v>
      </c>
      <c r="AJ27" s="20">
        <v>30</v>
      </c>
      <c r="AK27" s="20">
        <v>7</v>
      </c>
      <c r="AL27" s="20">
        <v>23</v>
      </c>
      <c r="AM27" s="20">
        <v>0</v>
      </c>
      <c r="AN27" s="20">
        <v>0</v>
      </c>
      <c r="AO27" s="20">
        <v>0</v>
      </c>
      <c r="AP27" s="20">
        <v>0</v>
      </c>
      <c r="AQ27" s="20">
        <v>0</v>
      </c>
      <c r="AR27" s="20">
        <v>0</v>
      </c>
      <c r="AS27" s="20">
        <v>0</v>
      </c>
      <c r="AT27" s="20">
        <v>0</v>
      </c>
      <c r="AU27" s="20">
        <v>0</v>
      </c>
      <c r="AV27" s="20">
        <v>0</v>
      </c>
      <c r="AW27" s="20">
        <v>0</v>
      </c>
      <c r="AX27" s="20">
        <v>0</v>
      </c>
      <c r="AY27" s="20">
        <v>4</v>
      </c>
      <c r="AZ27" s="20">
        <v>1</v>
      </c>
      <c r="BA27" s="20">
        <v>3</v>
      </c>
      <c r="BB27" s="20">
        <v>0</v>
      </c>
      <c r="BC27" s="20">
        <v>0</v>
      </c>
      <c r="BD27" s="20">
        <v>0</v>
      </c>
      <c r="BE27" s="20">
        <v>0</v>
      </c>
      <c r="BF27" s="20">
        <v>0</v>
      </c>
      <c r="BG27" s="20">
        <v>0</v>
      </c>
      <c r="BH27" s="20">
        <v>4</v>
      </c>
      <c r="BI27" s="20">
        <v>1</v>
      </c>
      <c r="BJ27" s="20">
        <v>3</v>
      </c>
      <c r="BK27" s="20">
        <v>61</v>
      </c>
      <c r="BL27" s="20">
        <v>20</v>
      </c>
      <c r="BM27" s="20">
        <v>41</v>
      </c>
      <c r="BN27" s="20">
        <v>2</v>
      </c>
      <c r="BO27" s="20">
        <v>0</v>
      </c>
      <c r="BP27" s="20">
        <v>2</v>
      </c>
      <c r="BQ27" s="20">
        <v>2</v>
      </c>
      <c r="BR27" s="20">
        <v>2</v>
      </c>
      <c r="BS27" s="20">
        <v>0</v>
      </c>
      <c r="BT27" s="20">
        <v>57</v>
      </c>
      <c r="BU27" s="20">
        <v>18</v>
      </c>
      <c r="BV27" s="20">
        <v>39</v>
      </c>
    </row>
    <row r="28" spans="1:74" ht="15.6" customHeight="1">
      <c r="A28" s="45" t="s">
        <v>144</v>
      </c>
      <c r="B28" s="94" t="s">
        <v>21</v>
      </c>
      <c r="C28" s="20">
        <v>21</v>
      </c>
      <c r="D28" s="20">
        <v>5</v>
      </c>
      <c r="E28" s="20">
        <v>16</v>
      </c>
      <c r="F28" s="20">
        <v>2</v>
      </c>
      <c r="G28" s="20">
        <v>0</v>
      </c>
      <c r="H28" s="20">
        <v>2</v>
      </c>
      <c r="I28" s="20">
        <v>1</v>
      </c>
      <c r="J28" s="20">
        <v>0</v>
      </c>
      <c r="K28" s="20">
        <v>1</v>
      </c>
      <c r="L28" s="20">
        <v>18</v>
      </c>
      <c r="M28" s="20">
        <v>5</v>
      </c>
      <c r="N28" s="20">
        <v>13</v>
      </c>
      <c r="O28" s="20">
        <v>133</v>
      </c>
      <c r="P28" s="20">
        <v>35</v>
      </c>
      <c r="Q28" s="20">
        <v>98</v>
      </c>
      <c r="R28" s="20">
        <v>12</v>
      </c>
      <c r="S28" s="20">
        <v>4</v>
      </c>
      <c r="T28" s="20">
        <v>8</v>
      </c>
      <c r="U28" s="20">
        <v>7</v>
      </c>
      <c r="V28" s="20">
        <v>3</v>
      </c>
      <c r="W28" s="20">
        <v>4</v>
      </c>
      <c r="X28" s="20">
        <v>114</v>
      </c>
      <c r="Y28" s="20">
        <v>28</v>
      </c>
      <c r="Z28" s="20">
        <v>86</v>
      </c>
      <c r="AA28" s="20">
        <v>73</v>
      </c>
      <c r="AB28" s="20">
        <v>15</v>
      </c>
      <c r="AC28" s="20">
        <v>58</v>
      </c>
      <c r="AD28" s="20">
        <v>5</v>
      </c>
      <c r="AE28" s="20">
        <v>1</v>
      </c>
      <c r="AF28" s="20">
        <v>4</v>
      </c>
      <c r="AG28" s="20">
        <v>6</v>
      </c>
      <c r="AH28" s="20">
        <v>2</v>
      </c>
      <c r="AI28" s="20">
        <v>4</v>
      </c>
      <c r="AJ28" s="20">
        <v>62</v>
      </c>
      <c r="AK28" s="20">
        <v>12</v>
      </c>
      <c r="AL28" s="20">
        <v>50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  <c r="BK28" s="20">
        <v>60</v>
      </c>
      <c r="BL28" s="20">
        <v>20</v>
      </c>
      <c r="BM28" s="20">
        <v>40</v>
      </c>
      <c r="BN28" s="20">
        <v>7</v>
      </c>
      <c r="BO28" s="20">
        <v>3</v>
      </c>
      <c r="BP28" s="20">
        <v>4</v>
      </c>
      <c r="BQ28" s="20">
        <v>1</v>
      </c>
      <c r="BR28" s="20">
        <v>1</v>
      </c>
      <c r="BS28" s="20">
        <v>0</v>
      </c>
      <c r="BT28" s="20">
        <v>52</v>
      </c>
      <c r="BU28" s="20">
        <v>16</v>
      </c>
      <c r="BV28" s="20">
        <v>36</v>
      </c>
    </row>
    <row r="29" spans="1:74" ht="15.6" customHeight="1">
      <c r="A29" s="45" t="s">
        <v>145</v>
      </c>
      <c r="B29" s="94" t="s">
        <v>22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49</v>
      </c>
      <c r="P29" s="20">
        <v>13</v>
      </c>
      <c r="Q29" s="20">
        <v>36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49</v>
      </c>
      <c r="Y29" s="20">
        <v>13</v>
      </c>
      <c r="Z29" s="20">
        <v>36</v>
      </c>
      <c r="AA29" s="20">
        <v>31</v>
      </c>
      <c r="AB29" s="20">
        <v>6</v>
      </c>
      <c r="AC29" s="20">
        <v>25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>
        <v>31</v>
      </c>
      <c r="AK29" s="20">
        <v>6</v>
      </c>
      <c r="AL29" s="20">
        <v>25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0</v>
      </c>
      <c r="AX29" s="20">
        <v>0</v>
      </c>
      <c r="AY29" s="20">
        <v>1</v>
      </c>
      <c r="AZ29" s="20">
        <v>1</v>
      </c>
      <c r="BA29" s="20">
        <v>0</v>
      </c>
      <c r="BB29" s="20">
        <v>0</v>
      </c>
      <c r="BC29" s="20">
        <v>0</v>
      </c>
      <c r="BD29" s="20">
        <v>0</v>
      </c>
      <c r="BE29" s="20">
        <v>0</v>
      </c>
      <c r="BF29" s="20">
        <v>0</v>
      </c>
      <c r="BG29" s="20">
        <v>0</v>
      </c>
      <c r="BH29" s="20">
        <v>1</v>
      </c>
      <c r="BI29" s="20">
        <v>1</v>
      </c>
      <c r="BJ29" s="20">
        <v>0</v>
      </c>
      <c r="BK29" s="20">
        <v>17</v>
      </c>
      <c r="BL29" s="20">
        <v>6</v>
      </c>
      <c r="BM29" s="20">
        <v>11</v>
      </c>
      <c r="BN29" s="20">
        <v>0</v>
      </c>
      <c r="BO29" s="20">
        <v>0</v>
      </c>
      <c r="BP29" s="20">
        <v>0</v>
      </c>
      <c r="BQ29" s="20">
        <v>0</v>
      </c>
      <c r="BR29" s="20">
        <v>0</v>
      </c>
      <c r="BS29" s="20">
        <v>0</v>
      </c>
      <c r="BT29" s="20">
        <v>17</v>
      </c>
      <c r="BU29" s="20">
        <v>6</v>
      </c>
      <c r="BV29" s="20">
        <v>11</v>
      </c>
    </row>
    <row r="30" spans="1:74" ht="15.6" customHeight="1">
      <c r="A30" s="46" t="s">
        <v>146</v>
      </c>
      <c r="B30" s="95" t="s">
        <v>23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0</v>
      </c>
      <c r="AT30" s="22">
        <v>0</v>
      </c>
      <c r="AU30" s="22">
        <v>0</v>
      </c>
      <c r="AV30" s="22">
        <v>0</v>
      </c>
      <c r="AW30" s="22">
        <v>0</v>
      </c>
      <c r="AX30" s="22">
        <v>0</v>
      </c>
      <c r="AY30" s="22">
        <v>0</v>
      </c>
      <c r="AZ30" s="22">
        <v>0</v>
      </c>
      <c r="BA30" s="22">
        <v>0</v>
      </c>
      <c r="BB30" s="22">
        <v>0</v>
      </c>
      <c r="BC30" s="22">
        <v>0</v>
      </c>
      <c r="BD30" s="22">
        <v>0</v>
      </c>
      <c r="BE30" s="22">
        <v>0</v>
      </c>
      <c r="BF30" s="22">
        <v>0</v>
      </c>
      <c r="BG30" s="22">
        <v>0</v>
      </c>
      <c r="BH30" s="22">
        <v>0</v>
      </c>
      <c r="BI30" s="22">
        <v>0</v>
      </c>
      <c r="BJ30" s="22">
        <v>0</v>
      </c>
      <c r="BK30" s="22">
        <v>0</v>
      </c>
      <c r="BL30" s="22">
        <v>0</v>
      </c>
      <c r="BM30" s="22">
        <v>0</v>
      </c>
      <c r="BN30" s="22">
        <v>0</v>
      </c>
      <c r="BO30" s="22">
        <v>0</v>
      </c>
      <c r="BP30" s="22">
        <v>0</v>
      </c>
      <c r="BQ30" s="22">
        <v>0</v>
      </c>
      <c r="BR30" s="22">
        <v>0</v>
      </c>
      <c r="BS30" s="22">
        <v>0</v>
      </c>
      <c r="BT30" s="22">
        <v>0</v>
      </c>
      <c r="BU30" s="22">
        <v>0</v>
      </c>
      <c r="BV30" s="22">
        <v>0</v>
      </c>
    </row>
    <row r="31" spans="1:74" ht="15.6" customHeight="1">
      <c r="A31" s="127" t="s">
        <v>256</v>
      </c>
      <c r="B31" s="128"/>
    </row>
    <row r="32" spans="1:74" ht="15.6" customHeight="1">
      <c r="A32" s="84" t="s">
        <v>257</v>
      </c>
    </row>
    <row r="33" spans="1:1" ht="19.5" customHeight="1">
      <c r="A33" s="31" t="s">
        <v>191</v>
      </c>
    </row>
    <row r="34" spans="1:1" ht="19.5" customHeight="1">
      <c r="A34" s="31"/>
    </row>
  </sheetData>
  <mergeCells count="34">
    <mergeCell ref="U6:W6"/>
    <mergeCell ref="X6:Z6"/>
    <mergeCell ref="BK6:BM6"/>
    <mergeCell ref="BH6:BJ6"/>
    <mergeCell ref="AA6:AC6"/>
    <mergeCell ref="AV6:AX6"/>
    <mergeCell ref="BE6:BG6"/>
    <mergeCell ref="AY6:BA6"/>
    <mergeCell ref="BB6:BD6"/>
    <mergeCell ref="BK5:BV5"/>
    <mergeCell ref="AD6:AF6"/>
    <mergeCell ref="AG6:AI6"/>
    <mergeCell ref="AJ6:AL6"/>
    <mergeCell ref="AM6:AO6"/>
    <mergeCell ref="AP6:AR6"/>
    <mergeCell ref="AS6:AU6"/>
    <mergeCell ref="BQ6:BS6"/>
    <mergeCell ref="BT6:BV6"/>
    <mergeCell ref="A3:B7"/>
    <mergeCell ref="C3:N3"/>
    <mergeCell ref="O3:BV3"/>
    <mergeCell ref="C4:N4"/>
    <mergeCell ref="O4:BV4"/>
    <mergeCell ref="C5:E6"/>
    <mergeCell ref="F5:H6"/>
    <mergeCell ref="I5:K6"/>
    <mergeCell ref="L5:N6"/>
    <mergeCell ref="O5:Z5"/>
    <mergeCell ref="O6:Q6"/>
    <mergeCell ref="R6:T6"/>
    <mergeCell ref="BN6:BP6"/>
    <mergeCell ref="AA5:AL5"/>
    <mergeCell ref="AM5:AX5"/>
    <mergeCell ref="AY5:BJ5"/>
  </mergeCells>
  <phoneticPr fontId="6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85" fitToWidth="10" orientation="landscape" useFirstPageNumber="1" horizontalDpi="4294967292" verticalDpi="3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BX34"/>
  <sheetViews>
    <sheetView zoomScaleNormal="100" zoomScaleSheetLayoutView="100" workbookViewId="0">
      <pane xSplit="2" ySplit="7" topLeftCell="AP21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9.5" customHeight="1"/>
  <cols>
    <col min="1" max="1" width="10.1640625" style="84" customWidth="1"/>
    <col min="2" max="2" width="20.1640625" style="84" customWidth="1"/>
    <col min="3" max="15" width="11.5" style="84" customWidth="1"/>
    <col min="16" max="39" width="12.1640625" style="84" customWidth="1"/>
    <col min="40" max="52" width="11.5" style="84" customWidth="1"/>
    <col min="53" max="64" width="12" style="84" customWidth="1"/>
    <col min="65" max="76" width="12.1640625" style="84" customWidth="1"/>
    <col min="77" max="16384" width="12" style="84"/>
  </cols>
  <sheetData>
    <row r="1" spans="1:76" ht="19.5" customHeight="1">
      <c r="A1" s="115" t="s">
        <v>293</v>
      </c>
      <c r="B1" s="117"/>
    </row>
    <row r="2" spans="1:76" ht="19.5" customHeight="1">
      <c r="A2" s="26" t="s">
        <v>123</v>
      </c>
      <c r="B2" s="129"/>
    </row>
    <row r="3" spans="1:76" ht="19.5" customHeight="1">
      <c r="A3" s="410" t="s">
        <v>316</v>
      </c>
      <c r="B3" s="411"/>
      <c r="C3" s="405" t="s">
        <v>294</v>
      </c>
      <c r="D3" s="406"/>
      <c r="E3" s="406"/>
      <c r="F3" s="406"/>
      <c r="G3" s="406"/>
      <c r="H3" s="406"/>
      <c r="I3" s="406"/>
      <c r="J3" s="406"/>
      <c r="K3" s="406"/>
      <c r="L3" s="406"/>
      <c r="M3" s="406"/>
      <c r="N3" s="406"/>
      <c r="O3" s="406"/>
      <c r="P3" s="406"/>
      <c r="Q3" s="406"/>
      <c r="R3" s="406"/>
      <c r="S3" s="406"/>
      <c r="T3" s="406"/>
      <c r="U3" s="406"/>
      <c r="V3" s="406"/>
      <c r="W3" s="406"/>
      <c r="X3" s="406"/>
      <c r="Y3" s="406"/>
      <c r="Z3" s="406"/>
      <c r="AA3" s="406"/>
      <c r="AB3" s="406"/>
      <c r="AC3" s="406"/>
      <c r="AD3" s="406"/>
      <c r="AE3" s="406"/>
      <c r="AF3" s="406"/>
      <c r="AG3" s="406"/>
      <c r="AH3" s="406"/>
      <c r="AI3" s="406"/>
      <c r="AJ3" s="406"/>
      <c r="AK3" s="406"/>
      <c r="AL3" s="406"/>
      <c r="AM3" s="407"/>
      <c r="AN3" s="405" t="s">
        <v>295</v>
      </c>
      <c r="AO3" s="406"/>
      <c r="AP3" s="406"/>
      <c r="AQ3" s="406"/>
      <c r="AR3" s="406"/>
      <c r="AS3" s="406"/>
      <c r="AT3" s="406"/>
      <c r="AU3" s="406"/>
      <c r="AV3" s="406"/>
      <c r="AW3" s="406"/>
      <c r="AX3" s="406"/>
      <c r="AY3" s="406"/>
      <c r="AZ3" s="406"/>
      <c r="BA3" s="406"/>
      <c r="BB3" s="406"/>
      <c r="BC3" s="406"/>
      <c r="BD3" s="406"/>
      <c r="BE3" s="406"/>
      <c r="BF3" s="406"/>
      <c r="BG3" s="406"/>
      <c r="BH3" s="406"/>
      <c r="BI3" s="406"/>
      <c r="BJ3" s="406"/>
      <c r="BK3" s="406"/>
      <c r="BL3" s="406"/>
      <c r="BM3" s="406"/>
      <c r="BN3" s="406"/>
      <c r="BO3" s="406"/>
      <c r="BP3" s="406"/>
      <c r="BQ3" s="406"/>
      <c r="BR3" s="406"/>
      <c r="BS3" s="406"/>
      <c r="BT3" s="406"/>
      <c r="BU3" s="406"/>
      <c r="BV3" s="406"/>
      <c r="BW3" s="406"/>
      <c r="BX3" s="406"/>
    </row>
    <row r="4" spans="1:76" s="82" customFormat="1" ht="19.5" customHeight="1">
      <c r="A4" s="412"/>
      <c r="B4" s="413"/>
      <c r="C4" s="416" t="s">
        <v>296</v>
      </c>
      <c r="D4" s="405" t="s">
        <v>297</v>
      </c>
      <c r="E4" s="406"/>
      <c r="F4" s="406"/>
      <c r="G4" s="406"/>
      <c r="H4" s="406"/>
      <c r="I4" s="406"/>
      <c r="J4" s="406"/>
      <c r="K4" s="406"/>
      <c r="L4" s="406"/>
      <c r="M4" s="406"/>
      <c r="N4" s="406"/>
      <c r="O4" s="407"/>
      <c r="P4" s="419" t="s">
        <v>298</v>
      </c>
      <c r="Q4" s="419"/>
      <c r="R4" s="419"/>
      <c r="S4" s="419"/>
      <c r="T4" s="419"/>
      <c r="U4" s="419"/>
      <c r="V4" s="419"/>
      <c r="W4" s="419"/>
      <c r="X4" s="419"/>
      <c r="Y4" s="419"/>
      <c r="Z4" s="419"/>
      <c r="AA4" s="419"/>
      <c r="AB4" s="419" t="s">
        <v>299</v>
      </c>
      <c r="AC4" s="419"/>
      <c r="AD4" s="419"/>
      <c r="AE4" s="419"/>
      <c r="AF4" s="419"/>
      <c r="AG4" s="419"/>
      <c r="AH4" s="419"/>
      <c r="AI4" s="419"/>
      <c r="AJ4" s="419"/>
      <c r="AK4" s="419"/>
      <c r="AL4" s="419"/>
      <c r="AM4" s="419"/>
      <c r="AN4" s="417" t="s">
        <v>300</v>
      </c>
      <c r="AO4" s="405" t="s">
        <v>297</v>
      </c>
      <c r="AP4" s="406"/>
      <c r="AQ4" s="406"/>
      <c r="AR4" s="406"/>
      <c r="AS4" s="406"/>
      <c r="AT4" s="406"/>
      <c r="AU4" s="406"/>
      <c r="AV4" s="406"/>
      <c r="AW4" s="406"/>
      <c r="AX4" s="406"/>
      <c r="AY4" s="406"/>
      <c r="AZ4" s="407"/>
      <c r="BA4" s="405" t="s">
        <v>301</v>
      </c>
      <c r="BB4" s="406"/>
      <c r="BC4" s="406"/>
      <c r="BD4" s="406"/>
      <c r="BE4" s="406"/>
      <c r="BF4" s="406"/>
      <c r="BG4" s="406"/>
      <c r="BH4" s="406"/>
      <c r="BI4" s="406"/>
      <c r="BJ4" s="406"/>
      <c r="BK4" s="406"/>
      <c r="BL4" s="407"/>
      <c r="BM4" s="405" t="s">
        <v>302</v>
      </c>
      <c r="BN4" s="406"/>
      <c r="BO4" s="406"/>
      <c r="BP4" s="406"/>
      <c r="BQ4" s="406"/>
      <c r="BR4" s="406"/>
      <c r="BS4" s="406"/>
      <c r="BT4" s="406"/>
      <c r="BU4" s="406"/>
      <c r="BV4" s="406"/>
      <c r="BW4" s="406"/>
      <c r="BX4" s="406"/>
    </row>
    <row r="5" spans="1:76" s="83" customFormat="1" ht="27" customHeight="1">
      <c r="A5" s="412"/>
      <c r="B5" s="413"/>
      <c r="C5" s="417"/>
      <c r="D5" s="130" t="s">
        <v>303</v>
      </c>
      <c r="E5" s="131"/>
      <c r="F5" s="132"/>
      <c r="G5" s="420" t="s">
        <v>304</v>
      </c>
      <c r="H5" s="420"/>
      <c r="I5" s="420"/>
      <c r="J5" s="420" t="s">
        <v>305</v>
      </c>
      <c r="K5" s="420"/>
      <c r="L5" s="420"/>
      <c r="M5" s="420" t="s">
        <v>306</v>
      </c>
      <c r="N5" s="420"/>
      <c r="O5" s="420"/>
      <c r="P5" s="130" t="s">
        <v>303</v>
      </c>
      <c r="Q5" s="131"/>
      <c r="R5" s="132"/>
      <c r="S5" s="420" t="s">
        <v>304</v>
      </c>
      <c r="T5" s="420"/>
      <c r="U5" s="420"/>
      <c r="V5" s="420" t="s">
        <v>305</v>
      </c>
      <c r="W5" s="420"/>
      <c r="X5" s="420"/>
      <c r="Y5" s="420" t="s">
        <v>306</v>
      </c>
      <c r="Z5" s="420"/>
      <c r="AA5" s="420"/>
      <c r="AB5" s="130" t="s">
        <v>303</v>
      </c>
      <c r="AC5" s="131"/>
      <c r="AD5" s="132"/>
      <c r="AE5" s="420" t="s">
        <v>304</v>
      </c>
      <c r="AF5" s="420"/>
      <c r="AG5" s="420"/>
      <c r="AH5" s="420" t="s">
        <v>305</v>
      </c>
      <c r="AI5" s="420"/>
      <c r="AJ5" s="420"/>
      <c r="AK5" s="420" t="s">
        <v>306</v>
      </c>
      <c r="AL5" s="420"/>
      <c r="AM5" s="420"/>
      <c r="AN5" s="417"/>
      <c r="AO5" s="130" t="s">
        <v>303</v>
      </c>
      <c r="AP5" s="131"/>
      <c r="AQ5" s="132"/>
      <c r="AR5" s="420" t="s">
        <v>304</v>
      </c>
      <c r="AS5" s="420"/>
      <c r="AT5" s="420"/>
      <c r="AU5" s="420" t="s">
        <v>305</v>
      </c>
      <c r="AV5" s="420"/>
      <c r="AW5" s="420"/>
      <c r="AX5" s="420" t="s">
        <v>306</v>
      </c>
      <c r="AY5" s="420"/>
      <c r="AZ5" s="420"/>
      <c r="BA5" s="130" t="s">
        <v>303</v>
      </c>
      <c r="BB5" s="133"/>
      <c r="BC5" s="132"/>
      <c r="BD5" s="420" t="s">
        <v>304</v>
      </c>
      <c r="BE5" s="420"/>
      <c r="BF5" s="420"/>
      <c r="BG5" s="420" t="s">
        <v>305</v>
      </c>
      <c r="BH5" s="420"/>
      <c r="BI5" s="420"/>
      <c r="BJ5" s="420" t="s">
        <v>306</v>
      </c>
      <c r="BK5" s="420"/>
      <c r="BL5" s="420"/>
      <c r="BM5" s="130" t="s">
        <v>303</v>
      </c>
      <c r="BN5" s="133"/>
      <c r="BO5" s="132"/>
      <c r="BP5" s="420" t="s">
        <v>304</v>
      </c>
      <c r="BQ5" s="420"/>
      <c r="BR5" s="420"/>
      <c r="BS5" s="420" t="s">
        <v>305</v>
      </c>
      <c r="BT5" s="420"/>
      <c r="BU5" s="420"/>
      <c r="BV5" s="420" t="s">
        <v>306</v>
      </c>
      <c r="BW5" s="420"/>
      <c r="BX5" s="422"/>
    </row>
    <row r="6" spans="1:76" ht="19.5" customHeight="1">
      <c r="A6" s="412"/>
      <c r="B6" s="413"/>
      <c r="C6" s="417"/>
      <c r="D6" s="416" t="s">
        <v>307</v>
      </c>
      <c r="E6" s="416" t="s">
        <v>308</v>
      </c>
      <c r="F6" s="416" t="s">
        <v>309</v>
      </c>
      <c r="G6" s="416" t="s">
        <v>307</v>
      </c>
      <c r="H6" s="416" t="s">
        <v>308</v>
      </c>
      <c r="I6" s="416" t="s">
        <v>309</v>
      </c>
      <c r="J6" s="416" t="s">
        <v>307</v>
      </c>
      <c r="K6" s="416" t="s">
        <v>308</v>
      </c>
      <c r="L6" s="416" t="s">
        <v>309</v>
      </c>
      <c r="M6" s="416" t="s">
        <v>307</v>
      </c>
      <c r="N6" s="416" t="s">
        <v>308</v>
      </c>
      <c r="O6" s="416" t="s">
        <v>309</v>
      </c>
      <c r="P6" s="416" t="s">
        <v>307</v>
      </c>
      <c r="Q6" s="416" t="s">
        <v>308</v>
      </c>
      <c r="R6" s="416" t="s">
        <v>309</v>
      </c>
      <c r="S6" s="416" t="s">
        <v>307</v>
      </c>
      <c r="T6" s="416" t="s">
        <v>308</v>
      </c>
      <c r="U6" s="416" t="s">
        <v>309</v>
      </c>
      <c r="V6" s="416" t="s">
        <v>307</v>
      </c>
      <c r="W6" s="416" t="s">
        <v>308</v>
      </c>
      <c r="X6" s="416" t="s">
        <v>309</v>
      </c>
      <c r="Y6" s="416" t="s">
        <v>307</v>
      </c>
      <c r="Z6" s="416" t="s">
        <v>308</v>
      </c>
      <c r="AA6" s="416" t="s">
        <v>309</v>
      </c>
      <c r="AB6" s="416" t="s">
        <v>307</v>
      </c>
      <c r="AC6" s="416" t="s">
        <v>308</v>
      </c>
      <c r="AD6" s="416" t="s">
        <v>309</v>
      </c>
      <c r="AE6" s="416" t="s">
        <v>307</v>
      </c>
      <c r="AF6" s="416" t="s">
        <v>308</v>
      </c>
      <c r="AG6" s="416" t="s">
        <v>309</v>
      </c>
      <c r="AH6" s="416" t="s">
        <v>307</v>
      </c>
      <c r="AI6" s="416" t="s">
        <v>308</v>
      </c>
      <c r="AJ6" s="416" t="s">
        <v>309</v>
      </c>
      <c r="AK6" s="416" t="s">
        <v>307</v>
      </c>
      <c r="AL6" s="416" t="s">
        <v>308</v>
      </c>
      <c r="AM6" s="416" t="s">
        <v>309</v>
      </c>
      <c r="AN6" s="417"/>
      <c r="AO6" s="416" t="s">
        <v>307</v>
      </c>
      <c r="AP6" s="416" t="s">
        <v>308</v>
      </c>
      <c r="AQ6" s="416" t="s">
        <v>309</v>
      </c>
      <c r="AR6" s="416" t="s">
        <v>307</v>
      </c>
      <c r="AS6" s="416" t="s">
        <v>308</v>
      </c>
      <c r="AT6" s="416" t="s">
        <v>309</v>
      </c>
      <c r="AU6" s="416" t="s">
        <v>307</v>
      </c>
      <c r="AV6" s="416" t="s">
        <v>308</v>
      </c>
      <c r="AW6" s="416" t="s">
        <v>309</v>
      </c>
      <c r="AX6" s="416" t="s">
        <v>307</v>
      </c>
      <c r="AY6" s="416" t="s">
        <v>308</v>
      </c>
      <c r="AZ6" s="416" t="s">
        <v>309</v>
      </c>
      <c r="BA6" s="416" t="s">
        <v>307</v>
      </c>
      <c r="BB6" s="416" t="s">
        <v>308</v>
      </c>
      <c r="BC6" s="416" t="s">
        <v>309</v>
      </c>
      <c r="BD6" s="416" t="s">
        <v>307</v>
      </c>
      <c r="BE6" s="416" t="s">
        <v>308</v>
      </c>
      <c r="BF6" s="416" t="s">
        <v>309</v>
      </c>
      <c r="BG6" s="416" t="s">
        <v>307</v>
      </c>
      <c r="BH6" s="416" t="s">
        <v>308</v>
      </c>
      <c r="BI6" s="416" t="s">
        <v>309</v>
      </c>
      <c r="BJ6" s="416" t="s">
        <v>307</v>
      </c>
      <c r="BK6" s="416" t="s">
        <v>308</v>
      </c>
      <c r="BL6" s="416" t="s">
        <v>309</v>
      </c>
      <c r="BM6" s="416" t="s">
        <v>307</v>
      </c>
      <c r="BN6" s="416" t="s">
        <v>308</v>
      </c>
      <c r="BO6" s="416" t="s">
        <v>309</v>
      </c>
      <c r="BP6" s="416" t="s">
        <v>307</v>
      </c>
      <c r="BQ6" s="416" t="s">
        <v>308</v>
      </c>
      <c r="BR6" s="416" t="s">
        <v>309</v>
      </c>
      <c r="BS6" s="416" t="s">
        <v>307</v>
      </c>
      <c r="BT6" s="416" t="s">
        <v>308</v>
      </c>
      <c r="BU6" s="416" t="s">
        <v>309</v>
      </c>
      <c r="BV6" s="416" t="s">
        <v>307</v>
      </c>
      <c r="BW6" s="416" t="s">
        <v>308</v>
      </c>
      <c r="BX6" s="423" t="s">
        <v>309</v>
      </c>
    </row>
    <row r="7" spans="1:76" ht="19.5" customHeight="1">
      <c r="A7" s="414"/>
      <c r="B7" s="415"/>
      <c r="C7" s="418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421"/>
      <c r="S7" s="421"/>
      <c r="T7" s="421"/>
      <c r="U7" s="421"/>
      <c r="V7" s="421"/>
      <c r="W7" s="421"/>
      <c r="X7" s="421"/>
      <c r="Y7" s="421"/>
      <c r="Z7" s="421"/>
      <c r="AA7" s="421"/>
      <c r="AB7" s="421"/>
      <c r="AC7" s="421"/>
      <c r="AD7" s="421"/>
      <c r="AE7" s="421"/>
      <c r="AF7" s="421"/>
      <c r="AG7" s="421"/>
      <c r="AH7" s="421"/>
      <c r="AI7" s="421"/>
      <c r="AJ7" s="421"/>
      <c r="AK7" s="421"/>
      <c r="AL7" s="421"/>
      <c r="AM7" s="421"/>
      <c r="AN7" s="418"/>
      <c r="AO7" s="421"/>
      <c r="AP7" s="421"/>
      <c r="AQ7" s="421"/>
      <c r="AR7" s="421"/>
      <c r="AS7" s="421"/>
      <c r="AT7" s="421"/>
      <c r="AU7" s="421"/>
      <c r="AV7" s="421"/>
      <c r="AW7" s="421"/>
      <c r="AX7" s="421"/>
      <c r="AY7" s="421"/>
      <c r="AZ7" s="421"/>
      <c r="BA7" s="421"/>
      <c r="BB7" s="421"/>
      <c r="BC7" s="421"/>
      <c r="BD7" s="421"/>
      <c r="BE7" s="421"/>
      <c r="BF7" s="421"/>
      <c r="BG7" s="421"/>
      <c r="BH7" s="421"/>
      <c r="BI7" s="421"/>
      <c r="BJ7" s="421"/>
      <c r="BK7" s="421"/>
      <c r="BL7" s="421"/>
      <c r="BM7" s="421"/>
      <c r="BN7" s="421"/>
      <c r="BO7" s="421"/>
      <c r="BP7" s="421"/>
      <c r="BQ7" s="421"/>
      <c r="BR7" s="421"/>
      <c r="BS7" s="421"/>
      <c r="BT7" s="421"/>
      <c r="BU7" s="421"/>
      <c r="BV7" s="421"/>
      <c r="BW7" s="421"/>
      <c r="BX7" s="424"/>
    </row>
    <row r="8" spans="1:76" s="123" customFormat="1" ht="15.6" customHeight="1">
      <c r="A8" s="120" t="s">
        <v>317</v>
      </c>
      <c r="B8" s="121" t="s">
        <v>199</v>
      </c>
      <c r="C8" s="122">
        <v>32</v>
      </c>
      <c r="D8" s="122">
        <v>770</v>
      </c>
      <c r="E8" s="122">
        <v>211</v>
      </c>
      <c r="F8" s="122">
        <v>559</v>
      </c>
      <c r="G8" s="122">
        <v>42</v>
      </c>
      <c r="H8" s="122">
        <v>14</v>
      </c>
      <c r="I8" s="122">
        <v>28</v>
      </c>
      <c r="J8" s="122">
        <v>46</v>
      </c>
      <c r="K8" s="122">
        <v>9</v>
      </c>
      <c r="L8" s="122">
        <v>37</v>
      </c>
      <c r="M8" s="122">
        <v>682</v>
      </c>
      <c r="N8" s="122">
        <v>188</v>
      </c>
      <c r="O8" s="122">
        <v>494</v>
      </c>
      <c r="P8" s="122">
        <v>125774</v>
      </c>
      <c r="Q8" s="122">
        <v>36315</v>
      </c>
      <c r="R8" s="122">
        <v>89459</v>
      </c>
      <c r="S8" s="122">
        <v>6412</v>
      </c>
      <c r="T8" s="122">
        <v>2163</v>
      </c>
      <c r="U8" s="122">
        <v>4249</v>
      </c>
      <c r="V8" s="122">
        <v>7363</v>
      </c>
      <c r="W8" s="122">
        <v>1646</v>
      </c>
      <c r="X8" s="122">
        <v>5717</v>
      </c>
      <c r="Y8" s="122">
        <v>111999</v>
      </c>
      <c r="Z8" s="122">
        <v>32506</v>
      </c>
      <c r="AA8" s="122">
        <v>79493</v>
      </c>
      <c r="AB8" s="122">
        <v>901062.3</v>
      </c>
      <c r="AC8" s="122">
        <v>261891.5</v>
      </c>
      <c r="AD8" s="122">
        <v>639170.80000000005</v>
      </c>
      <c r="AE8" s="122">
        <v>47412.1</v>
      </c>
      <c r="AF8" s="122">
        <v>16521.5</v>
      </c>
      <c r="AG8" s="122">
        <v>30890.6</v>
      </c>
      <c r="AH8" s="122">
        <v>50578.5</v>
      </c>
      <c r="AI8" s="122">
        <v>11158</v>
      </c>
      <c r="AJ8" s="122">
        <v>39420.5</v>
      </c>
      <c r="AK8" s="122">
        <v>803071.7</v>
      </c>
      <c r="AL8" s="122">
        <v>234212</v>
      </c>
      <c r="AM8" s="122">
        <v>568859.69999999995</v>
      </c>
      <c r="AN8" s="122">
        <v>227</v>
      </c>
      <c r="AO8" s="122">
        <v>4321</v>
      </c>
      <c r="AP8" s="122">
        <v>1579</v>
      </c>
      <c r="AQ8" s="122">
        <v>2742</v>
      </c>
      <c r="AR8" s="122">
        <v>366</v>
      </c>
      <c r="AS8" s="122">
        <v>166</v>
      </c>
      <c r="AT8" s="122">
        <v>200</v>
      </c>
      <c r="AU8" s="122">
        <v>257</v>
      </c>
      <c r="AV8" s="122">
        <v>105</v>
      </c>
      <c r="AW8" s="122">
        <v>152</v>
      </c>
      <c r="AX8" s="122">
        <v>3698</v>
      </c>
      <c r="AY8" s="122">
        <v>1308</v>
      </c>
      <c r="AZ8" s="122">
        <v>2390</v>
      </c>
      <c r="BA8" s="122">
        <v>784212</v>
      </c>
      <c r="BB8" s="122">
        <v>276596</v>
      </c>
      <c r="BC8" s="122">
        <v>507616</v>
      </c>
      <c r="BD8" s="122">
        <v>63282</v>
      </c>
      <c r="BE8" s="122">
        <v>27399</v>
      </c>
      <c r="BF8" s="122">
        <v>35883</v>
      </c>
      <c r="BG8" s="122">
        <v>44719</v>
      </c>
      <c r="BH8" s="122">
        <v>18270</v>
      </c>
      <c r="BI8" s="122">
        <v>26449</v>
      </c>
      <c r="BJ8" s="122">
        <v>676211</v>
      </c>
      <c r="BK8" s="122">
        <v>230927</v>
      </c>
      <c r="BL8" s="122">
        <v>445284</v>
      </c>
      <c r="BM8" s="122">
        <v>5975337.2999999998</v>
      </c>
      <c r="BN8" s="122">
        <v>2110683.7000000002</v>
      </c>
      <c r="BO8" s="122">
        <v>3864653.6</v>
      </c>
      <c r="BP8" s="122">
        <v>475852.3</v>
      </c>
      <c r="BQ8" s="122">
        <v>190087.4</v>
      </c>
      <c r="BR8" s="122">
        <v>285764.90000000002</v>
      </c>
      <c r="BS8" s="122">
        <v>334203.2</v>
      </c>
      <c r="BT8" s="122">
        <v>132569</v>
      </c>
      <c r="BU8" s="122">
        <v>201634.2</v>
      </c>
      <c r="BV8" s="122">
        <v>5165281.8</v>
      </c>
      <c r="BW8" s="122">
        <v>1788027.3</v>
      </c>
      <c r="BX8" s="122">
        <v>3377254.5</v>
      </c>
    </row>
    <row r="9" spans="1:76" s="126" customFormat="1" ht="15.6" customHeight="1">
      <c r="A9" s="91" t="s">
        <v>125</v>
      </c>
      <c r="B9" s="124" t="s">
        <v>318</v>
      </c>
      <c r="C9" s="125">
        <v>1</v>
      </c>
      <c r="D9" s="125">
        <v>37</v>
      </c>
      <c r="E9" s="125">
        <v>9</v>
      </c>
      <c r="F9" s="125">
        <v>28</v>
      </c>
      <c r="G9" s="125">
        <v>1</v>
      </c>
      <c r="H9" s="125" t="s">
        <v>261</v>
      </c>
      <c r="I9" s="125">
        <v>1</v>
      </c>
      <c r="J9" s="125" t="s">
        <v>261</v>
      </c>
      <c r="K9" s="125" t="s">
        <v>261</v>
      </c>
      <c r="L9" s="125" t="s">
        <v>261</v>
      </c>
      <c r="M9" s="125">
        <v>36</v>
      </c>
      <c r="N9" s="125">
        <v>9</v>
      </c>
      <c r="O9" s="125">
        <v>27</v>
      </c>
      <c r="P9" s="125">
        <v>10224</v>
      </c>
      <c r="Q9" s="125">
        <v>2916</v>
      </c>
      <c r="R9" s="125">
        <v>7308</v>
      </c>
      <c r="S9" s="125">
        <v>221</v>
      </c>
      <c r="T9" s="125" t="s">
        <v>261</v>
      </c>
      <c r="U9" s="125">
        <v>221</v>
      </c>
      <c r="V9" s="125">
        <v>22</v>
      </c>
      <c r="W9" s="125" t="s">
        <v>261</v>
      </c>
      <c r="X9" s="125">
        <v>22</v>
      </c>
      <c r="Y9" s="125">
        <v>9981</v>
      </c>
      <c r="Z9" s="125">
        <v>2916</v>
      </c>
      <c r="AA9" s="125">
        <v>7065</v>
      </c>
      <c r="AB9" s="125">
        <v>83102</v>
      </c>
      <c r="AC9" s="125">
        <v>23780</v>
      </c>
      <c r="AD9" s="125">
        <v>59322</v>
      </c>
      <c r="AE9" s="125">
        <v>2288</v>
      </c>
      <c r="AF9" s="125" t="s">
        <v>262</v>
      </c>
      <c r="AG9" s="125">
        <v>2288</v>
      </c>
      <c r="AH9" s="125">
        <v>176</v>
      </c>
      <c r="AI9" s="125" t="s">
        <v>262</v>
      </c>
      <c r="AJ9" s="125">
        <v>176</v>
      </c>
      <c r="AK9" s="125">
        <v>80638</v>
      </c>
      <c r="AL9" s="125">
        <v>23780</v>
      </c>
      <c r="AM9" s="125">
        <v>56858</v>
      </c>
      <c r="AN9" s="125">
        <v>23</v>
      </c>
      <c r="AO9" s="125">
        <v>494</v>
      </c>
      <c r="AP9" s="125">
        <v>174</v>
      </c>
      <c r="AQ9" s="125">
        <v>320</v>
      </c>
      <c r="AR9" s="125">
        <v>25</v>
      </c>
      <c r="AS9" s="125">
        <v>8</v>
      </c>
      <c r="AT9" s="125">
        <v>17</v>
      </c>
      <c r="AU9" s="125">
        <v>17</v>
      </c>
      <c r="AV9" s="125">
        <v>7</v>
      </c>
      <c r="AW9" s="125">
        <v>10</v>
      </c>
      <c r="AX9" s="125">
        <v>452</v>
      </c>
      <c r="AY9" s="125">
        <v>159</v>
      </c>
      <c r="AZ9" s="125">
        <v>293</v>
      </c>
      <c r="BA9" s="125">
        <v>115892</v>
      </c>
      <c r="BB9" s="125">
        <v>39417</v>
      </c>
      <c r="BC9" s="125">
        <v>76475</v>
      </c>
      <c r="BD9" s="125">
        <v>6075</v>
      </c>
      <c r="BE9" s="125">
        <v>1984</v>
      </c>
      <c r="BF9" s="125">
        <v>4091</v>
      </c>
      <c r="BG9" s="125">
        <v>3909</v>
      </c>
      <c r="BH9" s="125">
        <v>1482</v>
      </c>
      <c r="BI9" s="125">
        <v>2427</v>
      </c>
      <c r="BJ9" s="125">
        <v>105908</v>
      </c>
      <c r="BK9" s="125">
        <v>35951</v>
      </c>
      <c r="BL9" s="125">
        <v>69957</v>
      </c>
      <c r="BM9" s="125">
        <v>932092</v>
      </c>
      <c r="BN9" s="125">
        <v>324958</v>
      </c>
      <c r="BO9" s="125">
        <v>607134</v>
      </c>
      <c r="BP9" s="125">
        <v>48912</v>
      </c>
      <c r="BQ9" s="125">
        <v>16192</v>
      </c>
      <c r="BR9" s="125">
        <v>32720</v>
      </c>
      <c r="BS9" s="125">
        <v>31576</v>
      </c>
      <c r="BT9" s="125">
        <v>12349</v>
      </c>
      <c r="BU9" s="125">
        <v>19227</v>
      </c>
      <c r="BV9" s="125">
        <v>851604</v>
      </c>
      <c r="BW9" s="125">
        <v>296417</v>
      </c>
      <c r="BX9" s="125">
        <v>555187</v>
      </c>
    </row>
    <row r="10" spans="1:76" s="126" customFormat="1" ht="15.6" customHeight="1">
      <c r="A10" s="91" t="s">
        <v>126</v>
      </c>
      <c r="B10" s="124" t="s">
        <v>3</v>
      </c>
      <c r="C10" s="125">
        <v>2</v>
      </c>
      <c r="D10" s="125">
        <v>45</v>
      </c>
      <c r="E10" s="125">
        <v>17</v>
      </c>
      <c r="F10" s="125">
        <v>28</v>
      </c>
      <c r="G10" s="125" t="s">
        <v>261</v>
      </c>
      <c r="H10" s="125" t="s">
        <v>261</v>
      </c>
      <c r="I10" s="125" t="s">
        <v>261</v>
      </c>
      <c r="J10" s="125">
        <v>1</v>
      </c>
      <c r="K10" s="125">
        <v>1</v>
      </c>
      <c r="L10" s="125" t="s">
        <v>261</v>
      </c>
      <c r="M10" s="125">
        <v>44</v>
      </c>
      <c r="N10" s="125">
        <v>16</v>
      </c>
      <c r="O10" s="125">
        <v>28</v>
      </c>
      <c r="P10" s="125">
        <v>8670</v>
      </c>
      <c r="Q10" s="125">
        <v>2851</v>
      </c>
      <c r="R10" s="125">
        <v>5819</v>
      </c>
      <c r="S10" s="125" t="s">
        <v>261</v>
      </c>
      <c r="T10" s="125" t="s">
        <v>261</v>
      </c>
      <c r="U10" s="125" t="s">
        <v>261</v>
      </c>
      <c r="V10" s="125">
        <v>179</v>
      </c>
      <c r="W10" s="125">
        <v>23</v>
      </c>
      <c r="X10" s="125">
        <v>156</v>
      </c>
      <c r="Y10" s="125">
        <v>8491</v>
      </c>
      <c r="Z10" s="125">
        <v>2828</v>
      </c>
      <c r="AA10" s="125">
        <v>5663</v>
      </c>
      <c r="AB10" s="125">
        <v>70307</v>
      </c>
      <c r="AC10" s="125">
        <v>23186</v>
      </c>
      <c r="AD10" s="125">
        <v>47121</v>
      </c>
      <c r="AE10" s="125" t="s">
        <v>262</v>
      </c>
      <c r="AF10" s="125" t="s">
        <v>262</v>
      </c>
      <c r="AG10" s="125" t="s">
        <v>262</v>
      </c>
      <c r="AH10" s="125">
        <v>1352</v>
      </c>
      <c r="AI10" s="125">
        <v>104</v>
      </c>
      <c r="AJ10" s="125">
        <v>1248</v>
      </c>
      <c r="AK10" s="125">
        <v>68955</v>
      </c>
      <c r="AL10" s="125">
        <v>23082</v>
      </c>
      <c r="AM10" s="125">
        <v>45873</v>
      </c>
      <c r="AN10" s="125">
        <v>16</v>
      </c>
      <c r="AO10" s="125">
        <v>379</v>
      </c>
      <c r="AP10" s="125">
        <v>111</v>
      </c>
      <c r="AQ10" s="125">
        <v>268</v>
      </c>
      <c r="AR10" s="125">
        <v>6</v>
      </c>
      <c r="AS10" s="125">
        <v>4</v>
      </c>
      <c r="AT10" s="125">
        <v>2</v>
      </c>
      <c r="AU10" s="125">
        <v>18</v>
      </c>
      <c r="AV10" s="125">
        <v>5</v>
      </c>
      <c r="AW10" s="125">
        <v>13</v>
      </c>
      <c r="AX10" s="125">
        <v>355</v>
      </c>
      <c r="AY10" s="125">
        <v>102</v>
      </c>
      <c r="AZ10" s="125">
        <v>253</v>
      </c>
      <c r="BA10" s="125">
        <v>77677</v>
      </c>
      <c r="BB10" s="125">
        <v>21806</v>
      </c>
      <c r="BC10" s="125">
        <v>55871</v>
      </c>
      <c r="BD10" s="125">
        <v>1622</v>
      </c>
      <c r="BE10" s="125">
        <v>782</v>
      </c>
      <c r="BF10" s="125">
        <v>840</v>
      </c>
      <c r="BG10" s="125">
        <v>2991</v>
      </c>
      <c r="BH10" s="125">
        <v>695</v>
      </c>
      <c r="BI10" s="125">
        <v>2296</v>
      </c>
      <c r="BJ10" s="125">
        <v>73064</v>
      </c>
      <c r="BK10" s="125">
        <v>20329</v>
      </c>
      <c r="BL10" s="125">
        <v>52735</v>
      </c>
      <c r="BM10" s="125">
        <v>624475</v>
      </c>
      <c r="BN10" s="125">
        <v>176063</v>
      </c>
      <c r="BO10" s="125">
        <v>448412</v>
      </c>
      <c r="BP10" s="125">
        <v>12922</v>
      </c>
      <c r="BQ10" s="125">
        <v>6192</v>
      </c>
      <c r="BR10" s="125">
        <v>6730</v>
      </c>
      <c r="BS10" s="125">
        <v>24139</v>
      </c>
      <c r="BT10" s="125">
        <v>5703</v>
      </c>
      <c r="BU10" s="125">
        <v>18436</v>
      </c>
      <c r="BV10" s="125">
        <v>587414</v>
      </c>
      <c r="BW10" s="125">
        <v>164168</v>
      </c>
      <c r="BX10" s="125">
        <v>423246</v>
      </c>
    </row>
    <row r="11" spans="1:76" s="126" customFormat="1" ht="15.6" customHeight="1">
      <c r="A11" s="91" t="s">
        <v>127</v>
      </c>
      <c r="B11" s="124" t="s">
        <v>319</v>
      </c>
      <c r="C11" s="125" t="s">
        <v>261</v>
      </c>
      <c r="D11" s="125" t="s">
        <v>261</v>
      </c>
      <c r="E11" s="125" t="s">
        <v>261</v>
      </c>
      <c r="F11" s="125" t="s">
        <v>261</v>
      </c>
      <c r="G11" s="125" t="s">
        <v>261</v>
      </c>
      <c r="H11" s="125" t="s">
        <v>261</v>
      </c>
      <c r="I11" s="125" t="s">
        <v>261</v>
      </c>
      <c r="J11" s="125" t="s">
        <v>261</v>
      </c>
      <c r="K11" s="125" t="s">
        <v>261</v>
      </c>
      <c r="L11" s="125" t="s">
        <v>261</v>
      </c>
      <c r="M11" s="125" t="s">
        <v>261</v>
      </c>
      <c r="N11" s="125" t="s">
        <v>261</v>
      </c>
      <c r="O11" s="125" t="s">
        <v>261</v>
      </c>
      <c r="P11" s="125" t="s">
        <v>261</v>
      </c>
      <c r="Q11" s="125" t="s">
        <v>261</v>
      </c>
      <c r="R11" s="125" t="s">
        <v>261</v>
      </c>
      <c r="S11" s="125" t="s">
        <v>261</v>
      </c>
      <c r="T11" s="125" t="s">
        <v>261</v>
      </c>
      <c r="U11" s="125" t="s">
        <v>261</v>
      </c>
      <c r="V11" s="125" t="s">
        <v>261</v>
      </c>
      <c r="W11" s="125" t="s">
        <v>261</v>
      </c>
      <c r="X11" s="125" t="s">
        <v>261</v>
      </c>
      <c r="Y11" s="125" t="s">
        <v>261</v>
      </c>
      <c r="Z11" s="125" t="s">
        <v>261</v>
      </c>
      <c r="AA11" s="125" t="s">
        <v>261</v>
      </c>
      <c r="AB11" s="125" t="s">
        <v>262</v>
      </c>
      <c r="AC11" s="125" t="s">
        <v>262</v>
      </c>
      <c r="AD11" s="125" t="s">
        <v>262</v>
      </c>
      <c r="AE11" s="125" t="s">
        <v>262</v>
      </c>
      <c r="AF11" s="125" t="s">
        <v>262</v>
      </c>
      <c r="AG11" s="125" t="s">
        <v>262</v>
      </c>
      <c r="AH11" s="125" t="s">
        <v>262</v>
      </c>
      <c r="AI11" s="125" t="s">
        <v>262</v>
      </c>
      <c r="AJ11" s="125" t="s">
        <v>262</v>
      </c>
      <c r="AK11" s="125" t="s">
        <v>262</v>
      </c>
      <c r="AL11" s="125" t="s">
        <v>262</v>
      </c>
      <c r="AM11" s="125" t="s">
        <v>262</v>
      </c>
      <c r="AN11" s="125">
        <v>8</v>
      </c>
      <c r="AO11" s="125">
        <v>130</v>
      </c>
      <c r="AP11" s="125">
        <v>47</v>
      </c>
      <c r="AQ11" s="125">
        <v>83</v>
      </c>
      <c r="AR11" s="125">
        <v>7</v>
      </c>
      <c r="AS11" s="125">
        <v>4</v>
      </c>
      <c r="AT11" s="125">
        <v>3</v>
      </c>
      <c r="AU11" s="125">
        <v>5</v>
      </c>
      <c r="AV11" s="125">
        <v>1</v>
      </c>
      <c r="AW11" s="125">
        <v>4</v>
      </c>
      <c r="AX11" s="125">
        <v>118</v>
      </c>
      <c r="AY11" s="125">
        <v>42</v>
      </c>
      <c r="AZ11" s="125">
        <v>76</v>
      </c>
      <c r="BA11" s="125">
        <v>23813</v>
      </c>
      <c r="BB11" s="125">
        <v>9645</v>
      </c>
      <c r="BC11" s="125">
        <v>14168</v>
      </c>
      <c r="BD11" s="125">
        <v>1577</v>
      </c>
      <c r="BE11" s="125">
        <v>859</v>
      </c>
      <c r="BF11" s="125">
        <v>718</v>
      </c>
      <c r="BG11" s="125">
        <v>1037</v>
      </c>
      <c r="BH11" s="125">
        <v>188</v>
      </c>
      <c r="BI11" s="125">
        <v>849</v>
      </c>
      <c r="BJ11" s="125">
        <v>21199</v>
      </c>
      <c r="BK11" s="125">
        <v>8598</v>
      </c>
      <c r="BL11" s="125">
        <v>12601</v>
      </c>
      <c r="BM11" s="125">
        <v>202597</v>
      </c>
      <c r="BN11" s="125">
        <v>80136</v>
      </c>
      <c r="BO11" s="125">
        <v>122461</v>
      </c>
      <c r="BP11" s="125">
        <v>13190</v>
      </c>
      <c r="BQ11" s="125">
        <v>6776</v>
      </c>
      <c r="BR11" s="125">
        <v>6414</v>
      </c>
      <c r="BS11" s="125">
        <v>8823</v>
      </c>
      <c r="BT11" s="125">
        <v>1504</v>
      </c>
      <c r="BU11" s="125">
        <v>7319</v>
      </c>
      <c r="BV11" s="125">
        <v>180584</v>
      </c>
      <c r="BW11" s="125">
        <v>71856</v>
      </c>
      <c r="BX11" s="125">
        <v>108728</v>
      </c>
    </row>
    <row r="12" spans="1:76" s="126" customFormat="1" ht="15.6" customHeight="1">
      <c r="A12" s="91" t="s">
        <v>128</v>
      </c>
      <c r="B12" s="124" t="s">
        <v>4</v>
      </c>
      <c r="C12" s="125">
        <v>3</v>
      </c>
      <c r="D12" s="125">
        <v>53</v>
      </c>
      <c r="E12" s="125">
        <v>16</v>
      </c>
      <c r="F12" s="125">
        <v>37</v>
      </c>
      <c r="G12" s="125">
        <v>10</v>
      </c>
      <c r="H12" s="125">
        <v>3</v>
      </c>
      <c r="I12" s="125">
        <v>7</v>
      </c>
      <c r="J12" s="125">
        <v>1</v>
      </c>
      <c r="K12" s="125" t="s">
        <v>261</v>
      </c>
      <c r="L12" s="125">
        <v>1</v>
      </c>
      <c r="M12" s="125">
        <v>42</v>
      </c>
      <c r="N12" s="125">
        <v>13</v>
      </c>
      <c r="O12" s="125">
        <v>29</v>
      </c>
      <c r="P12" s="125">
        <v>9502</v>
      </c>
      <c r="Q12" s="125">
        <v>2318</v>
      </c>
      <c r="R12" s="125">
        <v>7184</v>
      </c>
      <c r="S12" s="125">
        <v>1967</v>
      </c>
      <c r="T12" s="125">
        <v>730</v>
      </c>
      <c r="U12" s="125">
        <v>1237</v>
      </c>
      <c r="V12" s="125">
        <v>113</v>
      </c>
      <c r="W12" s="125" t="s">
        <v>261</v>
      </c>
      <c r="X12" s="125">
        <v>113</v>
      </c>
      <c r="Y12" s="125">
        <v>7422</v>
      </c>
      <c r="Z12" s="125">
        <v>1588</v>
      </c>
      <c r="AA12" s="125">
        <v>5834</v>
      </c>
      <c r="AB12" s="125">
        <v>75365</v>
      </c>
      <c r="AC12" s="125">
        <v>18528</v>
      </c>
      <c r="AD12" s="125">
        <v>56837</v>
      </c>
      <c r="AE12" s="125">
        <v>15528</v>
      </c>
      <c r="AF12" s="125">
        <v>5840</v>
      </c>
      <c r="AG12" s="125">
        <v>9688</v>
      </c>
      <c r="AH12" s="125">
        <v>904</v>
      </c>
      <c r="AI12" s="125" t="s">
        <v>262</v>
      </c>
      <c r="AJ12" s="125">
        <v>904</v>
      </c>
      <c r="AK12" s="125">
        <v>58933</v>
      </c>
      <c r="AL12" s="125">
        <v>12688</v>
      </c>
      <c r="AM12" s="125">
        <v>46245</v>
      </c>
      <c r="AN12" s="125">
        <v>22</v>
      </c>
      <c r="AO12" s="125">
        <v>481</v>
      </c>
      <c r="AP12" s="125">
        <v>166</v>
      </c>
      <c r="AQ12" s="125">
        <v>315</v>
      </c>
      <c r="AR12" s="125">
        <v>64</v>
      </c>
      <c r="AS12" s="125">
        <v>29</v>
      </c>
      <c r="AT12" s="125">
        <v>35</v>
      </c>
      <c r="AU12" s="125">
        <v>30</v>
      </c>
      <c r="AV12" s="125">
        <v>11</v>
      </c>
      <c r="AW12" s="125">
        <v>19</v>
      </c>
      <c r="AX12" s="125">
        <v>387</v>
      </c>
      <c r="AY12" s="125">
        <v>126</v>
      </c>
      <c r="AZ12" s="125">
        <v>261</v>
      </c>
      <c r="BA12" s="125">
        <v>95089</v>
      </c>
      <c r="BB12" s="125">
        <v>31283</v>
      </c>
      <c r="BC12" s="125">
        <v>63806</v>
      </c>
      <c r="BD12" s="125">
        <v>10817</v>
      </c>
      <c r="BE12" s="125">
        <v>4526</v>
      </c>
      <c r="BF12" s="125">
        <v>6291</v>
      </c>
      <c r="BG12" s="125">
        <v>5754</v>
      </c>
      <c r="BH12" s="125">
        <v>2235</v>
      </c>
      <c r="BI12" s="125">
        <v>3519</v>
      </c>
      <c r="BJ12" s="125">
        <v>78518</v>
      </c>
      <c r="BK12" s="125">
        <v>24522</v>
      </c>
      <c r="BL12" s="125">
        <v>53996</v>
      </c>
      <c r="BM12" s="125">
        <v>757595</v>
      </c>
      <c r="BN12" s="125">
        <v>249467</v>
      </c>
      <c r="BO12" s="125">
        <v>508128</v>
      </c>
      <c r="BP12" s="125">
        <v>86522</v>
      </c>
      <c r="BQ12" s="125">
        <v>36208</v>
      </c>
      <c r="BR12" s="125">
        <v>50314</v>
      </c>
      <c r="BS12" s="125">
        <v>46236</v>
      </c>
      <c r="BT12" s="125">
        <v>17880</v>
      </c>
      <c r="BU12" s="125">
        <v>28356</v>
      </c>
      <c r="BV12" s="125">
        <v>624837</v>
      </c>
      <c r="BW12" s="125">
        <v>195379</v>
      </c>
      <c r="BX12" s="125">
        <v>429458</v>
      </c>
    </row>
    <row r="13" spans="1:76" s="126" customFormat="1" ht="15.6" customHeight="1">
      <c r="A13" s="91" t="s">
        <v>129</v>
      </c>
      <c r="B13" s="124" t="s">
        <v>5</v>
      </c>
      <c r="C13" s="125">
        <v>6</v>
      </c>
      <c r="D13" s="125">
        <v>117</v>
      </c>
      <c r="E13" s="125">
        <v>36</v>
      </c>
      <c r="F13" s="125">
        <v>81</v>
      </c>
      <c r="G13" s="125">
        <v>6</v>
      </c>
      <c r="H13" s="125">
        <v>3</v>
      </c>
      <c r="I13" s="125">
        <v>3</v>
      </c>
      <c r="J13" s="125">
        <v>14</v>
      </c>
      <c r="K13" s="125">
        <v>4</v>
      </c>
      <c r="L13" s="125">
        <v>10</v>
      </c>
      <c r="M13" s="125">
        <v>97</v>
      </c>
      <c r="N13" s="125">
        <v>29</v>
      </c>
      <c r="O13" s="125">
        <v>68</v>
      </c>
      <c r="P13" s="125">
        <v>24462</v>
      </c>
      <c r="Q13" s="125">
        <v>8245</v>
      </c>
      <c r="R13" s="125">
        <v>16217</v>
      </c>
      <c r="S13" s="125">
        <v>1376</v>
      </c>
      <c r="T13" s="125">
        <v>589</v>
      </c>
      <c r="U13" s="125">
        <v>787</v>
      </c>
      <c r="V13" s="125">
        <v>2562</v>
      </c>
      <c r="W13" s="125">
        <v>995</v>
      </c>
      <c r="X13" s="125">
        <v>1567</v>
      </c>
      <c r="Y13" s="125">
        <v>20524</v>
      </c>
      <c r="Z13" s="125">
        <v>6661</v>
      </c>
      <c r="AA13" s="125">
        <v>13863</v>
      </c>
      <c r="AB13" s="125">
        <v>196200</v>
      </c>
      <c r="AC13" s="125">
        <v>66730.5</v>
      </c>
      <c r="AD13" s="125">
        <v>129469.5</v>
      </c>
      <c r="AE13" s="125">
        <v>11808</v>
      </c>
      <c r="AF13" s="125">
        <v>5512</v>
      </c>
      <c r="AG13" s="125">
        <v>6296</v>
      </c>
      <c r="AH13" s="125">
        <v>20814.5</v>
      </c>
      <c r="AI13" s="125">
        <v>8230</v>
      </c>
      <c r="AJ13" s="125">
        <v>12584.5</v>
      </c>
      <c r="AK13" s="125">
        <v>163577.5</v>
      </c>
      <c r="AL13" s="125">
        <v>52988.5</v>
      </c>
      <c r="AM13" s="125">
        <v>110589</v>
      </c>
      <c r="AN13" s="125">
        <v>23</v>
      </c>
      <c r="AO13" s="125">
        <v>510</v>
      </c>
      <c r="AP13" s="125">
        <v>183</v>
      </c>
      <c r="AQ13" s="125">
        <v>327</v>
      </c>
      <c r="AR13" s="125">
        <v>39</v>
      </c>
      <c r="AS13" s="125">
        <v>13</v>
      </c>
      <c r="AT13" s="125">
        <v>26</v>
      </c>
      <c r="AU13" s="125">
        <v>32</v>
      </c>
      <c r="AV13" s="125">
        <v>11</v>
      </c>
      <c r="AW13" s="125">
        <v>21</v>
      </c>
      <c r="AX13" s="125">
        <v>439</v>
      </c>
      <c r="AY13" s="125">
        <v>159</v>
      </c>
      <c r="AZ13" s="125">
        <v>280</v>
      </c>
      <c r="BA13" s="125">
        <v>100305</v>
      </c>
      <c r="BB13" s="125">
        <v>34736</v>
      </c>
      <c r="BC13" s="125">
        <v>65569</v>
      </c>
      <c r="BD13" s="125">
        <v>7458</v>
      </c>
      <c r="BE13" s="125">
        <v>1950</v>
      </c>
      <c r="BF13" s="125">
        <v>5508</v>
      </c>
      <c r="BG13" s="125">
        <v>6782</v>
      </c>
      <c r="BH13" s="125">
        <v>2342</v>
      </c>
      <c r="BI13" s="125">
        <v>4440</v>
      </c>
      <c r="BJ13" s="125">
        <v>86065</v>
      </c>
      <c r="BK13" s="125">
        <v>30444</v>
      </c>
      <c r="BL13" s="125">
        <v>55621</v>
      </c>
      <c r="BM13" s="125">
        <v>756090</v>
      </c>
      <c r="BN13" s="125">
        <v>278525.5</v>
      </c>
      <c r="BO13" s="125">
        <v>477564.5</v>
      </c>
      <c r="BP13" s="125">
        <v>60249</v>
      </c>
      <c r="BQ13" s="125">
        <v>15680</v>
      </c>
      <c r="BR13" s="125">
        <v>44569</v>
      </c>
      <c r="BS13" s="125">
        <v>54337</v>
      </c>
      <c r="BT13" s="125">
        <v>18576</v>
      </c>
      <c r="BU13" s="125">
        <v>35761</v>
      </c>
      <c r="BV13" s="125">
        <v>641504</v>
      </c>
      <c r="BW13" s="125">
        <v>244269.5</v>
      </c>
      <c r="BX13" s="125">
        <v>397234.5</v>
      </c>
    </row>
    <row r="14" spans="1:76" s="126" customFormat="1" ht="15.6" customHeight="1">
      <c r="A14" s="48" t="s">
        <v>130</v>
      </c>
      <c r="B14" s="124" t="s">
        <v>6</v>
      </c>
      <c r="C14" s="125">
        <v>1</v>
      </c>
      <c r="D14" s="125">
        <v>7</v>
      </c>
      <c r="E14" s="125">
        <v>3</v>
      </c>
      <c r="F14" s="125">
        <v>4</v>
      </c>
      <c r="G14" s="125" t="s">
        <v>261</v>
      </c>
      <c r="H14" s="125" t="s">
        <v>261</v>
      </c>
      <c r="I14" s="125" t="s">
        <v>261</v>
      </c>
      <c r="J14" s="125" t="s">
        <v>261</v>
      </c>
      <c r="K14" s="125" t="s">
        <v>261</v>
      </c>
      <c r="L14" s="125" t="s">
        <v>261</v>
      </c>
      <c r="M14" s="125">
        <v>7</v>
      </c>
      <c r="N14" s="125">
        <v>3</v>
      </c>
      <c r="O14" s="125">
        <v>4</v>
      </c>
      <c r="P14" s="125">
        <v>1031</v>
      </c>
      <c r="Q14" s="125">
        <v>183</v>
      </c>
      <c r="R14" s="125">
        <v>848</v>
      </c>
      <c r="S14" s="125" t="s">
        <v>261</v>
      </c>
      <c r="T14" s="125" t="s">
        <v>261</v>
      </c>
      <c r="U14" s="125" t="s">
        <v>261</v>
      </c>
      <c r="V14" s="125" t="s">
        <v>261</v>
      </c>
      <c r="W14" s="125" t="s">
        <v>261</v>
      </c>
      <c r="X14" s="125" t="s">
        <v>261</v>
      </c>
      <c r="Y14" s="125">
        <v>1031</v>
      </c>
      <c r="Z14" s="125">
        <v>183</v>
      </c>
      <c r="AA14" s="125">
        <v>848</v>
      </c>
      <c r="AB14" s="125">
        <v>8245</v>
      </c>
      <c r="AC14" s="125">
        <v>1443</v>
      </c>
      <c r="AD14" s="125">
        <v>6802</v>
      </c>
      <c r="AE14" s="125" t="s">
        <v>262</v>
      </c>
      <c r="AF14" s="125" t="s">
        <v>262</v>
      </c>
      <c r="AG14" s="125" t="s">
        <v>262</v>
      </c>
      <c r="AH14" s="125" t="s">
        <v>262</v>
      </c>
      <c r="AI14" s="125" t="s">
        <v>262</v>
      </c>
      <c r="AJ14" s="125" t="s">
        <v>262</v>
      </c>
      <c r="AK14" s="125">
        <v>8245</v>
      </c>
      <c r="AL14" s="125">
        <v>1443</v>
      </c>
      <c r="AM14" s="125">
        <v>6802</v>
      </c>
      <c r="AN14" s="125">
        <v>24</v>
      </c>
      <c r="AO14" s="125">
        <v>513</v>
      </c>
      <c r="AP14" s="125">
        <v>183</v>
      </c>
      <c r="AQ14" s="125">
        <v>330</v>
      </c>
      <c r="AR14" s="125">
        <v>55</v>
      </c>
      <c r="AS14" s="125">
        <v>19</v>
      </c>
      <c r="AT14" s="125">
        <v>36</v>
      </c>
      <c r="AU14" s="125">
        <v>19</v>
      </c>
      <c r="AV14" s="125">
        <v>8</v>
      </c>
      <c r="AW14" s="125">
        <v>11</v>
      </c>
      <c r="AX14" s="125">
        <v>439</v>
      </c>
      <c r="AY14" s="125">
        <v>156</v>
      </c>
      <c r="AZ14" s="125">
        <v>283</v>
      </c>
      <c r="BA14" s="125">
        <v>91889</v>
      </c>
      <c r="BB14" s="125">
        <v>32337</v>
      </c>
      <c r="BC14" s="125">
        <v>59552</v>
      </c>
      <c r="BD14" s="125">
        <v>8449</v>
      </c>
      <c r="BE14" s="125">
        <v>2778</v>
      </c>
      <c r="BF14" s="125">
        <v>5671</v>
      </c>
      <c r="BG14" s="125">
        <v>4284</v>
      </c>
      <c r="BH14" s="125">
        <v>1528</v>
      </c>
      <c r="BI14" s="125">
        <v>2756</v>
      </c>
      <c r="BJ14" s="125">
        <v>79156</v>
      </c>
      <c r="BK14" s="125">
        <v>28031</v>
      </c>
      <c r="BL14" s="125">
        <v>51125</v>
      </c>
      <c r="BM14" s="125">
        <v>822116.9</v>
      </c>
      <c r="BN14" s="125">
        <v>290803.90000000002</v>
      </c>
      <c r="BO14" s="125">
        <v>531313</v>
      </c>
      <c r="BP14" s="125">
        <v>74715.8</v>
      </c>
      <c r="BQ14" s="125">
        <v>24314</v>
      </c>
      <c r="BR14" s="125">
        <v>50401.8</v>
      </c>
      <c r="BS14" s="125">
        <v>36853</v>
      </c>
      <c r="BT14" s="125">
        <v>13036</v>
      </c>
      <c r="BU14" s="125">
        <v>23817</v>
      </c>
      <c r="BV14" s="125">
        <v>710548.1</v>
      </c>
      <c r="BW14" s="125">
        <v>253453.9</v>
      </c>
      <c r="BX14" s="125">
        <v>457094.2</v>
      </c>
    </row>
    <row r="15" spans="1:76" ht="15.6" customHeight="1">
      <c r="A15" s="45" t="s">
        <v>131</v>
      </c>
      <c r="B15" s="94" t="s">
        <v>7</v>
      </c>
      <c r="C15" s="20">
        <v>1</v>
      </c>
      <c r="D15" s="20">
        <v>14</v>
      </c>
      <c r="E15" s="20">
        <v>5</v>
      </c>
      <c r="F15" s="20">
        <v>9</v>
      </c>
      <c r="G15" s="20" t="s">
        <v>261</v>
      </c>
      <c r="H15" s="20" t="s">
        <v>261</v>
      </c>
      <c r="I15" s="20" t="s">
        <v>261</v>
      </c>
      <c r="J15" s="20">
        <v>1</v>
      </c>
      <c r="K15" s="20" t="s">
        <v>261</v>
      </c>
      <c r="L15" s="20">
        <v>1</v>
      </c>
      <c r="M15" s="20">
        <v>13</v>
      </c>
      <c r="N15" s="20">
        <v>5</v>
      </c>
      <c r="O15" s="20">
        <v>8</v>
      </c>
      <c r="P15" s="20">
        <v>3383</v>
      </c>
      <c r="Q15" s="20">
        <v>933</v>
      </c>
      <c r="R15" s="20">
        <v>2450</v>
      </c>
      <c r="S15" s="20" t="s">
        <v>261</v>
      </c>
      <c r="T15" s="20" t="s">
        <v>261</v>
      </c>
      <c r="U15" s="20" t="s">
        <v>261</v>
      </c>
      <c r="V15" s="20">
        <v>88</v>
      </c>
      <c r="W15" s="20" t="s">
        <v>261</v>
      </c>
      <c r="X15" s="20">
        <v>88</v>
      </c>
      <c r="Y15" s="20">
        <v>3295</v>
      </c>
      <c r="Z15" s="20">
        <v>933</v>
      </c>
      <c r="AA15" s="20">
        <v>2362</v>
      </c>
      <c r="AB15" s="20">
        <v>28893</v>
      </c>
      <c r="AC15" s="20">
        <v>7992</v>
      </c>
      <c r="AD15" s="20">
        <v>20901</v>
      </c>
      <c r="AE15" s="20" t="s">
        <v>262</v>
      </c>
      <c r="AF15" s="20" t="s">
        <v>262</v>
      </c>
      <c r="AG15" s="20" t="s">
        <v>262</v>
      </c>
      <c r="AH15" s="20">
        <v>460</v>
      </c>
      <c r="AI15" s="20" t="s">
        <v>262</v>
      </c>
      <c r="AJ15" s="20">
        <v>460</v>
      </c>
      <c r="AK15" s="20">
        <v>28433</v>
      </c>
      <c r="AL15" s="20">
        <v>7992</v>
      </c>
      <c r="AM15" s="20">
        <v>20441</v>
      </c>
      <c r="AN15" s="20">
        <v>8</v>
      </c>
      <c r="AO15" s="20">
        <v>145</v>
      </c>
      <c r="AP15" s="20">
        <v>47</v>
      </c>
      <c r="AQ15" s="20">
        <v>98</v>
      </c>
      <c r="AR15" s="20">
        <v>8</v>
      </c>
      <c r="AS15" s="20">
        <v>5</v>
      </c>
      <c r="AT15" s="20">
        <v>3</v>
      </c>
      <c r="AU15" s="20">
        <v>5</v>
      </c>
      <c r="AV15" s="20">
        <v>2</v>
      </c>
      <c r="AW15" s="20">
        <v>3</v>
      </c>
      <c r="AX15" s="20">
        <v>132</v>
      </c>
      <c r="AY15" s="20">
        <v>40</v>
      </c>
      <c r="AZ15" s="20">
        <v>92</v>
      </c>
      <c r="BA15" s="20">
        <v>25824</v>
      </c>
      <c r="BB15" s="20">
        <v>7309</v>
      </c>
      <c r="BC15" s="20">
        <v>18515</v>
      </c>
      <c r="BD15" s="20">
        <v>1528</v>
      </c>
      <c r="BE15" s="20">
        <v>943</v>
      </c>
      <c r="BF15" s="20">
        <v>585</v>
      </c>
      <c r="BG15" s="20">
        <v>576</v>
      </c>
      <c r="BH15" s="20">
        <v>378</v>
      </c>
      <c r="BI15" s="20">
        <v>198</v>
      </c>
      <c r="BJ15" s="20">
        <v>23720</v>
      </c>
      <c r="BK15" s="20">
        <v>5988</v>
      </c>
      <c r="BL15" s="20">
        <v>17732</v>
      </c>
      <c r="BM15" s="20">
        <v>210471</v>
      </c>
      <c r="BN15" s="20">
        <v>58830</v>
      </c>
      <c r="BO15" s="20">
        <v>151641</v>
      </c>
      <c r="BP15" s="20">
        <v>12224</v>
      </c>
      <c r="BQ15" s="20">
        <v>7544</v>
      </c>
      <c r="BR15" s="20">
        <v>4680</v>
      </c>
      <c r="BS15" s="20">
        <v>4920</v>
      </c>
      <c r="BT15" s="20">
        <v>3255</v>
      </c>
      <c r="BU15" s="20">
        <v>1665</v>
      </c>
      <c r="BV15" s="20">
        <v>193327</v>
      </c>
      <c r="BW15" s="20">
        <v>48031</v>
      </c>
      <c r="BX15" s="20">
        <v>145296</v>
      </c>
    </row>
    <row r="16" spans="1:76" ht="15.6" customHeight="1">
      <c r="A16" s="45" t="s">
        <v>132</v>
      </c>
      <c r="B16" s="94" t="s">
        <v>9</v>
      </c>
      <c r="C16" s="20">
        <v>2</v>
      </c>
      <c r="D16" s="20">
        <v>21</v>
      </c>
      <c r="E16" s="20">
        <v>9</v>
      </c>
      <c r="F16" s="20">
        <v>12</v>
      </c>
      <c r="G16" s="20">
        <v>2</v>
      </c>
      <c r="H16" s="20">
        <v>1</v>
      </c>
      <c r="I16" s="20">
        <v>1</v>
      </c>
      <c r="J16" s="20" t="s">
        <v>261</v>
      </c>
      <c r="K16" s="20" t="s">
        <v>261</v>
      </c>
      <c r="L16" s="20" t="s">
        <v>261</v>
      </c>
      <c r="M16" s="20">
        <v>19</v>
      </c>
      <c r="N16" s="20">
        <v>8</v>
      </c>
      <c r="O16" s="20">
        <v>11</v>
      </c>
      <c r="P16" s="20">
        <v>4625</v>
      </c>
      <c r="Q16" s="20">
        <v>2156</v>
      </c>
      <c r="R16" s="20">
        <v>2469</v>
      </c>
      <c r="S16" s="20">
        <v>472</v>
      </c>
      <c r="T16" s="20">
        <v>241</v>
      </c>
      <c r="U16" s="20">
        <v>231</v>
      </c>
      <c r="V16" s="20" t="s">
        <v>261</v>
      </c>
      <c r="W16" s="20" t="s">
        <v>261</v>
      </c>
      <c r="X16" s="20" t="s">
        <v>261</v>
      </c>
      <c r="Y16" s="20">
        <v>4153</v>
      </c>
      <c r="Z16" s="20">
        <v>1915</v>
      </c>
      <c r="AA16" s="20">
        <v>2238</v>
      </c>
      <c r="AB16" s="20">
        <v>35832</v>
      </c>
      <c r="AC16" s="20">
        <v>16714</v>
      </c>
      <c r="AD16" s="20">
        <v>19118</v>
      </c>
      <c r="AE16" s="20">
        <v>3744</v>
      </c>
      <c r="AF16" s="20">
        <v>1904</v>
      </c>
      <c r="AG16" s="20">
        <v>1840</v>
      </c>
      <c r="AH16" s="20" t="s">
        <v>262</v>
      </c>
      <c r="AI16" s="20" t="s">
        <v>262</v>
      </c>
      <c r="AJ16" s="20" t="s">
        <v>262</v>
      </c>
      <c r="AK16" s="20">
        <v>32088</v>
      </c>
      <c r="AL16" s="20">
        <v>14810</v>
      </c>
      <c r="AM16" s="20">
        <v>17278</v>
      </c>
      <c r="AN16" s="20">
        <v>10</v>
      </c>
      <c r="AO16" s="20">
        <v>74</v>
      </c>
      <c r="AP16" s="20">
        <v>37</v>
      </c>
      <c r="AQ16" s="20">
        <v>37</v>
      </c>
      <c r="AR16" s="20">
        <v>5</v>
      </c>
      <c r="AS16" s="20">
        <v>1</v>
      </c>
      <c r="AT16" s="20">
        <v>4</v>
      </c>
      <c r="AU16" s="20">
        <v>5</v>
      </c>
      <c r="AV16" s="20">
        <v>1</v>
      </c>
      <c r="AW16" s="20">
        <v>4</v>
      </c>
      <c r="AX16" s="20">
        <v>64</v>
      </c>
      <c r="AY16" s="20">
        <v>35</v>
      </c>
      <c r="AZ16" s="20">
        <v>29</v>
      </c>
      <c r="BA16" s="20">
        <v>10309</v>
      </c>
      <c r="BB16" s="20">
        <v>4615</v>
      </c>
      <c r="BC16" s="20">
        <v>5694</v>
      </c>
      <c r="BD16" s="20">
        <v>650</v>
      </c>
      <c r="BE16" s="20">
        <v>167</v>
      </c>
      <c r="BF16" s="20">
        <v>483</v>
      </c>
      <c r="BG16" s="20">
        <v>501</v>
      </c>
      <c r="BH16" s="20">
        <v>89</v>
      </c>
      <c r="BI16" s="20">
        <v>412</v>
      </c>
      <c r="BJ16" s="20">
        <v>9158</v>
      </c>
      <c r="BK16" s="20">
        <v>4359</v>
      </c>
      <c r="BL16" s="20">
        <v>4799</v>
      </c>
      <c r="BM16" s="20">
        <v>78331</v>
      </c>
      <c r="BN16" s="20">
        <v>35183</v>
      </c>
      <c r="BO16" s="20">
        <v>43148</v>
      </c>
      <c r="BP16" s="20">
        <v>4142</v>
      </c>
      <c r="BQ16" s="20">
        <v>1298</v>
      </c>
      <c r="BR16" s="20">
        <v>2844</v>
      </c>
      <c r="BS16" s="20">
        <v>3824</v>
      </c>
      <c r="BT16" s="20">
        <v>679</v>
      </c>
      <c r="BU16" s="20">
        <v>3145</v>
      </c>
      <c r="BV16" s="20">
        <v>70365</v>
      </c>
      <c r="BW16" s="20">
        <v>33206</v>
      </c>
      <c r="BX16" s="20">
        <v>37159</v>
      </c>
    </row>
    <row r="17" spans="1:76" ht="15.6" customHeight="1">
      <c r="A17" s="45" t="s">
        <v>133</v>
      </c>
      <c r="B17" s="94" t="s">
        <v>10</v>
      </c>
      <c r="C17" s="20">
        <v>3</v>
      </c>
      <c r="D17" s="20">
        <v>41</v>
      </c>
      <c r="E17" s="20">
        <v>14</v>
      </c>
      <c r="F17" s="20">
        <v>27</v>
      </c>
      <c r="G17" s="20">
        <v>1</v>
      </c>
      <c r="H17" s="20" t="s">
        <v>261</v>
      </c>
      <c r="I17" s="20">
        <v>1</v>
      </c>
      <c r="J17" s="20">
        <v>2</v>
      </c>
      <c r="K17" s="20" t="s">
        <v>261</v>
      </c>
      <c r="L17" s="20">
        <v>2</v>
      </c>
      <c r="M17" s="20">
        <v>38</v>
      </c>
      <c r="N17" s="20">
        <v>14</v>
      </c>
      <c r="O17" s="20">
        <v>24</v>
      </c>
      <c r="P17" s="20">
        <v>7916</v>
      </c>
      <c r="Q17" s="20">
        <v>2758</v>
      </c>
      <c r="R17" s="20">
        <v>5158</v>
      </c>
      <c r="S17" s="20">
        <v>268</v>
      </c>
      <c r="T17" s="20">
        <v>22</v>
      </c>
      <c r="U17" s="20">
        <v>246</v>
      </c>
      <c r="V17" s="20">
        <v>351</v>
      </c>
      <c r="W17" s="20" t="s">
        <v>261</v>
      </c>
      <c r="X17" s="20">
        <v>351</v>
      </c>
      <c r="Y17" s="20">
        <v>7297</v>
      </c>
      <c r="Z17" s="20">
        <v>2736</v>
      </c>
      <c r="AA17" s="20">
        <v>4561</v>
      </c>
      <c r="AB17" s="20">
        <v>63393</v>
      </c>
      <c r="AC17" s="20">
        <v>22089</v>
      </c>
      <c r="AD17" s="20">
        <v>41304</v>
      </c>
      <c r="AE17" s="20">
        <v>2144</v>
      </c>
      <c r="AF17" s="20">
        <v>176</v>
      </c>
      <c r="AG17" s="20">
        <v>1968</v>
      </c>
      <c r="AH17" s="20">
        <v>2808</v>
      </c>
      <c r="AI17" s="20" t="s">
        <v>262</v>
      </c>
      <c r="AJ17" s="20">
        <v>2808</v>
      </c>
      <c r="AK17" s="20">
        <v>58441</v>
      </c>
      <c r="AL17" s="20">
        <v>21913</v>
      </c>
      <c r="AM17" s="20">
        <v>36528</v>
      </c>
      <c r="AN17" s="20">
        <v>6</v>
      </c>
      <c r="AO17" s="20">
        <v>90</v>
      </c>
      <c r="AP17" s="20">
        <v>40</v>
      </c>
      <c r="AQ17" s="20">
        <v>50</v>
      </c>
      <c r="AR17" s="20">
        <v>12</v>
      </c>
      <c r="AS17" s="20">
        <v>6</v>
      </c>
      <c r="AT17" s="20">
        <v>6</v>
      </c>
      <c r="AU17" s="20">
        <v>9</v>
      </c>
      <c r="AV17" s="20">
        <v>5</v>
      </c>
      <c r="AW17" s="20">
        <v>4</v>
      </c>
      <c r="AX17" s="20">
        <v>69</v>
      </c>
      <c r="AY17" s="20">
        <v>29</v>
      </c>
      <c r="AZ17" s="20">
        <v>40</v>
      </c>
      <c r="BA17" s="20">
        <v>16577</v>
      </c>
      <c r="BB17" s="20">
        <v>7232</v>
      </c>
      <c r="BC17" s="20">
        <v>9345</v>
      </c>
      <c r="BD17" s="20">
        <v>2299</v>
      </c>
      <c r="BE17" s="20">
        <v>1232</v>
      </c>
      <c r="BF17" s="20">
        <v>1067</v>
      </c>
      <c r="BG17" s="20">
        <v>1874</v>
      </c>
      <c r="BH17" s="20">
        <v>1138</v>
      </c>
      <c r="BI17" s="20">
        <v>736</v>
      </c>
      <c r="BJ17" s="20">
        <v>12404</v>
      </c>
      <c r="BK17" s="20">
        <v>4862</v>
      </c>
      <c r="BL17" s="20">
        <v>7542</v>
      </c>
      <c r="BM17" s="20">
        <v>131151</v>
      </c>
      <c r="BN17" s="20">
        <v>57296</v>
      </c>
      <c r="BO17" s="20">
        <v>73855</v>
      </c>
      <c r="BP17" s="20">
        <v>18474</v>
      </c>
      <c r="BQ17" s="20">
        <v>9856</v>
      </c>
      <c r="BR17" s="20">
        <v>8618</v>
      </c>
      <c r="BS17" s="20">
        <v>14886</v>
      </c>
      <c r="BT17" s="20">
        <v>8994</v>
      </c>
      <c r="BU17" s="20">
        <v>5892</v>
      </c>
      <c r="BV17" s="20">
        <v>97791</v>
      </c>
      <c r="BW17" s="20">
        <v>38446</v>
      </c>
      <c r="BX17" s="20">
        <v>59345</v>
      </c>
    </row>
    <row r="18" spans="1:76" ht="15.6" customHeight="1">
      <c r="A18" s="45" t="s">
        <v>134</v>
      </c>
      <c r="B18" s="94" t="s">
        <v>11</v>
      </c>
      <c r="C18" s="20">
        <v>2</v>
      </c>
      <c r="D18" s="20">
        <v>45</v>
      </c>
      <c r="E18" s="20">
        <v>4</v>
      </c>
      <c r="F18" s="20">
        <v>41</v>
      </c>
      <c r="G18" s="20" t="s">
        <v>261</v>
      </c>
      <c r="H18" s="20" t="s">
        <v>261</v>
      </c>
      <c r="I18" s="20" t="s">
        <v>261</v>
      </c>
      <c r="J18" s="20" t="s">
        <v>261</v>
      </c>
      <c r="K18" s="20" t="s">
        <v>261</v>
      </c>
      <c r="L18" s="20" t="s">
        <v>261</v>
      </c>
      <c r="M18" s="20">
        <v>45</v>
      </c>
      <c r="N18" s="20">
        <v>4</v>
      </c>
      <c r="O18" s="20">
        <v>41</v>
      </c>
      <c r="P18" s="20">
        <v>7477</v>
      </c>
      <c r="Q18" s="20">
        <v>1158</v>
      </c>
      <c r="R18" s="20">
        <v>6319</v>
      </c>
      <c r="S18" s="20">
        <v>36</v>
      </c>
      <c r="T18" s="20" t="s">
        <v>261</v>
      </c>
      <c r="U18" s="20">
        <v>36</v>
      </c>
      <c r="V18" s="20">
        <v>18</v>
      </c>
      <c r="W18" s="20" t="s">
        <v>261</v>
      </c>
      <c r="X18" s="20">
        <v>18</v>
      </c>
      <c r="Y18" s="20">
        <v>7423</v>
      </c>
      <c r="Z18" s="20">
        <v>1158</v>
      </c>
      <c r="AA18" s="20">
        <v>6265</v>
      </c>
      <c r="AB18" s="20">
        <v>58689</v>
      </c>
      <c r="AC18" s="20">
        <v>8622</v>
      </c>
      <c r="AD18" s="20">
        <v>50067</v>
      </c>
      <c r="AE18" s="20">
        <v>288</v>
      </c>
      <c r="AF18" s="20" t="s">
        <v>262</v>
      </c>
      <c r="AG18" s="20">
        <v>288</v>
      </c>
      <c r="AH18" s="20">
        <v>144</v>
      </c>
      <c r="AI18" s="20" t="s">
        <v>262</v>
      </c>
      <c r="AJ18" s="20">
        <v>144</v>
      </c>
      <c r="AK18" s="20">
        <v>58257</v>
      </c>
      <c r="AL18" s="20">
        <v>8622</v>
      </c>
      <c r="AM18" s="20">
        <v>49635</v>
      </c>
      <c r="AN18" s="20">
        <v>11</v>
      </c>
      <c r="AO18" s="20">
        <v>186</v>
      </c>
      <c r="AP18" s="20">
        <v>64</v>
      </c>
      <c r="AQ18" s="20">
        <v>122</v>
      </c>
      <c r="AR18" s="20">
        <v>7</v>
      </c>
      <c r="AS18" s="20">
        <v>4</v>
      </c>
      <c r="AT18" s="20">
        <v>3</v>
      </c>
      <c r="AU18" s="20">
        <v>13</v>
      </c>
      <c r="AV18" s="20">
        <v>9</v>
      </c>
      <c r="AW18" s="20">
        <v>4</v>
      </c>
      <c r="AX18" s="20">
        <v>166</v>
      </c>
      <c r="AY18" s="20">
        <v>51</v>
      </c>
      <c r="AZ18" s="20">
        <v>115</v>
      </c>
      <c r="BA18" s="20">
        <v>16178</v>
      </c>
      <c r="BB18" s="20">
        <v>5184</v>
      </c>
      <c r="BC18" s="20">
        <v>10994</v>
      </c>
      <c r="BD18" s="20">
        <v>638</v>
      </c>
      <c r="BE18" s="20">
        <v>101</v>
      </c>
      <c r="BF18" s="20">
        <v>537</v>
      </c>
      <c r="BG18" s="20">
        <v>1123</v>
      </c>
      <c r="BH18" s="20">
        <v>709</v>
      </c>
      <c r="BI18" s="20">
        <v>414</v>
      </c>
      <c r="BJ18" s="20">
        <v>14417</v>
      </c>
      <c r="BK18" s="20">
        <v>4374</v>
      </c>
      <c r="BL18" s="20">
        <v>10043</v>
      </c>
      <c r="BM18" s="20">
        <v>123899</v>
      </c>
      <c r="BN18" s="20">
        <v>39541</v>
      </c>
      <c r="BO18" s="20">
        <v>84358</v>
      </c>
      <c r="BP18" s="20">
        <v>5036</v>
      </c>
      <c r="BQ18" s="20">
        <v>776</v>
      </c>
      <c r="BR18" s="20">
        <v>4260</v>
      </c>
      <c r="BS18" s="20">
        <v>8408</v>
      </c>
      <c r="BT18" s="20">
        <v>5406</v>
      </c>
      <c r="BU18" s="20">
        <v>3002</v>
      </c>
      <c r="BV18" s="20">
        <v>110455</v>
      </c>
      <c r="BW18" s="20">
        <v>33359</v>
      </c>
      <c r="BX18" s="20">
        <v>77096</v>
      </c>
    </row>
    <row r="19" spans="1:76" ht="15.6" customHeight="1">
      <c r="A19" s="45" t="s">
        <v>135</v>
      </c>
      <c r="B19" s="94" t="s">
        <v>12</v>
      </c>
      <c r="C19" s="20">
        <v>3</v>
      </c>
      <c r="D19" s="20">
        <v>42</v>
      </c>
      <c r="E19" s="20">
        <v>8</v>
      </c>
      <c r="F19" s="20">
        <v>34</v>
      </c>
      <c r="G19" s="20" t="s">
        <v>261</v>
      </c>
      <c r="H19" s="20" t="s">
        <v>261</v>
      </c>
      <c r="I19" s="20" t="s">
        <v>261</v>
      </c>
      <c r="J19" s="20">
        <v>4</v>
      </c>
      <c r="K19" s="20" t="s">
        <v>261</v>
      </c>
      <c r="L19" s="20">
        <v>4</v>
      </c>
      <c r="M19" s="20">
        <v>38</v>
      </c>
      <c r="N19" s="20">
        <v>8</v>
      </c>
      <c r="O19" s="20">
        <v>30</v>
      </c>
      <c r="P19" s="20">
        <v>7058</v>
      </c>
      <c r="Q19" s="20">
        <v>1199</v>
      </c>
      <c r="R19" s="20">
        <v>5859</v>
      </c>
      <c r="S19" s="20" t="s">
        <v>261</v>
      </c>
      <c r="T19" s="20" t="s">
        <v>261</v>
      </c>
      <c r="U19" s="20" t="s">
        <v>261</v>
      </c>
      <c r="V19" s="20">
        <v>600</v>
      </c>
      <c r="W19" s="20" t="s">
        <v>261</v>
      </c>
      <c r="X19" s="20">
        <v>600</v>
      </c>
      <c r="Y19" s="20">
        <v>6458</v>
      </c>
      <c r="Z19" s="20">
        <v>1199</v>
      </c>
      <c r="AA19" s="20">
        <v>5259</v>
      </c>
      <c r="AB19" s="20">
        <v>42170</v>
      </c>
      <c r="AC19" s="20">
        <v>4922</v>
      </c>
      <c r="AD19" s="20">
        <v>37248</v>
      </c>
      <c r="AE19" s="20" t="s">
        <v>262</v>
      </c>
      <c r="AF19" s="20" t="s">
        <v>262</v>
      </c>
      <c r="AG19" s="20" t="s">
        <v>262</v>
      </c>
      <c r="AH19" s="20">
        <v>4897</v>
      </c>
      <c r="AI19" s="20" t="s">
        <v>262</v>
      </c>
      <c r="AJ19" s="20">
        <v>4897</v>
      </c>
      <c r="AK19" s="20">
        <v>37273</v>
      </c>
      <c r="AL19" s="20">
        <v>4922</v>
      </c>
      <c r="AM19" s="20">
        <v>32351</v>
      </c>
      <c r="AN19" s="20">
        <v>8</v>
      </c>
      <c r="AO19" s="20">
        <v>200</v>
      </c>
      <c r="AP19" s="20">
        <v>94</v>
      </c>
      <c r="AQ19" s="20">
        <v>106</v>
      </c>
      <c r="AR19" s="20">
        <v>8</v>
      </c>
      <c r="AS19" s="20">
        <v>4</v>
      </c>
      <c r="AT19" s="20">
        <v>4</v>
      </c>
      <c r="AU19" s="20">
        <v>11</v>
      </c>
      <c r="AV19" s="20">
        <v>5</v>
      </c>
      <c r="AW19" s="20">
        <v>6</v>
      </c>
      <c r="AX19" s="20">
        <v>181</v>
      </c>
      <c r="AY19" s="20">
        <v>85</v>
      </c>
      <c r="AZ19" s="20">
        <v>96</v>
      </c>
      <c r="BA19" s="20">
        <v>17017</v>
      </c>
      <c r="BB19" s="20">
        <v>6807</v>
      </c>
      <c r="BC19" s="20">
        <v>10210</v>
      </c>
      <c r="BD19" s="20">
        <v>937</v>
      </c>
      <c r="BE19" s="20">
        <v>374</v>
      </c>
      <c r="BF19" s="20">
        <v>563</v>
      </c>
      <c r="BG19" s="20">
        <v>2576</v>
      </c>
      <c r="BH19" s="20">
        <v>1128</v>
      </c>
      <c r="BI19" s="20">
        <v>1448</v>
      </c>
      <c r="BJ19" s="20">
        <v>13504</v>
      </c>
      <c r="BK19" s="20">
        <v>5305</v>
      </c>
      <c r="BL19" s="20">
        <v>8199</v>
      </c>
      <c r="BM19" s="20">
        <v>146148</v>
      </c>
      <c r="BN19" s="20">
        <v>60782</v>
      </c>
      <c r="BO19" s="20">
        <v>85366</v>
      </c>
      <c r="BP19" s="20">
        <v>7312</v>
      </c>
      <c r="BQ19" s="20">
        <v>2840</v>
      </c>
      <c r="BR19" s="20">
        <v>4472</v>
      </c>
      <c r="BS19" s="20">
        <v>19444</v>
      </c>
      <c r="BT19" s="20">
        <v>8163</v>
      </c>
      <c r="BU19" s="20">
        <v>11281</v>
      </c>
      <c r="BV19" s="20">
        <v>119392</v>
      </c>
      <c r="BW19" s="20">
        <v>49779</v>
      </c>
      <c r="BX19" s="20">
        <v>69613</v>
      </c>
    </row>
    <row r="20" spans="1:76" ht="15.6" customHeight="1">
      <c r="A20" s="45" t="s">
        <v>136</v>
      </c>
      <c r="B20" s="94" t="s">
        <v>13</v>
      </c>
      <c r="C20" s="20">
        <v>2</v>
      </c>
      <c r="D20" s="20">
        <v>46</v>
      </c>
      <c r="E20" s="20">
        <v>14</v>
      </c>
      <c r="F20" s="20">
        <v>32</v>
      </c>
      <c r="G20" s="20">
        <v>1</v>
      </c>
      <c r="H20" s="20">
        <v>1</v>
      </c>
      <c r="I20" s="20" t="s">
        <v>261</v>
      </c>
      <c r="J20" s="20">
        <v>3</v>
      </c>
      <c r="K20" s="20" t="s">
        <v>261</v>
      </c>
      <c r="L20" s="20">
        <v>3</v>
      </c>
      <c r="M20" s="20">
        <v>42</v>
      </c>
      <c r="N20" s="20">
        <v>13</v>
      </c>
      <c r="O20" s="20">
        <v>29</v>
      </c>
      <c r="P20" s="20">
        <v>10606</v>
      </c>
      <c r="Q20" s="20">
        <v>3169</v>
      </c>
      <c r="R20" s="20">
        <v>7437</v>
      </c>
      <c r="S20" s="20">
        <v>98</v>
      </c>
      <c r="T20" s="20">
        <v>7</v>
      </c>
      <c r="U20" s="20">
        <v>91</v>
      </c>
      <c r="V20" s="20">
        <v>693</v>
      </c>
      <c r="W20" s="20">
        <v>19</v>
      </c>
      <c r="X20" s="20">
        <v>674</v>
      </c>
      <c r="Y20" s="20">
        <v>9815</v>
      </c>
      <c r="Z20" s="20">
        <v>3143</v>
      </c>
      <c r="AA20" s="20">
        <v>6672</v>
      </c>
      <c r="AB20" s="20">
        <v>85298</v>
      </c>
      <c r="AC20" s="20">
        <v>25322</v>
      </c>
      <c r="AD20" s="20">
        <v>59976</v>
      </c>
      <c r="AE20" s="20">
        <v>784</v>
      </c>
      <c r="AF20" s="20">
        <v>56</v>
      </c>
      <c r="AG20" s="20">
        <v>728</v>
      </c>
      <c r="AH20" s="20">
        <v>5404</v>
      </c>
      <c r="AI20" s="20">
        <v>122</v>
      </c>
      <c r="AJ20" s="20">
        <v>5282</v>
      </c>
      <c r="AK20" s="20">
        <v>79110</v>
      </c>
      <c r="AL20" s="20">
        <v>25144</v>
      </c>
      <c r="AM20" s="20">
        <v>53966</v>
      </c>
      <c r="AN20" s="20">
        <v>16</v>
      </c>
      <c r="AO20" s="20">
        <v>330</v>
      </c>
      <c r="AP20" s="20">
        <v>127</v>
      </c>
      <c r="AQ20" s="20">
        <v>203</v>
      </c>
      <c r="AR20" s="20">
        <v>35</v>
      </c>
      <c r="AS20" s="20">
        <v>20</v>
      </c>
      <c r="AT20" s="20">
        <v>15</v>
      </c>
      <c r="AU20" s="20">
        <v>23</v>
      </c>
      <c r="AV20" s="20">
        <v>11</v>
      </c>
      <c r="AW20" s="20">
        <v>12</v>
      </c>
      <c r="AX20" s="20">
        <v>272</v>
      </c>
      <c r="AY20" s="20">
        <v>96</v>
      </c>
      <c r="AZ20" s="20">
        <v>176</v>
      </c>
      <c r="BA20" s="20">
        <v>67859</v>
      </c>
      <c r="BB20" s="20">
        <v>26253</v>
      </c>
      <c r="BC20" s="20">
        <v>41606</v>
      </c>
      <c r="BD20" s="20">
        <v>6645</v>
      </c>
      <c r="BE20" s="20">
        <v>3722</v>
      </c>
      <c r="BF20" s="20">
        <v>2923</v>
      </c>
      <c r="BG20" s="20">
        <v>4503</v>
      </c>
      <c r="BH20" s="20">
        <v>2350</v>
      </c>
      <c r="BI20" s="20">
        <v>2153</v>
      </c>
      <c r="BJ20" s="20">
        <v>56711</v>
      </c>
      <c r="BK20" s="20">
        <v>20181</v>
      </c>
      <c r="BL20" s="20">
        <v>36530</v>
      </c>
      <c r="BM20" s="20">
        <v>542312</v>
      </c>
      <c r="BN20" s="20">
        <v>209591</v>
      </c>
      <c r="BO20" s="20">
        <v>332721</v>
      </c>
      <c r="BP20" s="20">
        <v>53079</v>
      </c>
      <c r="BQ20" s="20">
        <v>29695</v>
      </c>
      <c r="BR20" s="20">
        <v>23384</v>
      </c>
      <c r="BS20" s="20">
        <v>36096</v>
      </c>
      <c r="BT20" s="20">
        <v>18792</v>
      </c>
      <c r="BU20" s="20">
        <v>17304</v>
      </c>
      <c r="BV20" s="20">
        <v>453137</v>
      </c>
      <c r="BW20" s="20">
        <v>161104</v>
      </c>
      <c r="BX20" s="20">
        <v>292033</v>
      </c>
    </row>
    <row r="21" spans="1:76" ht="15.6" customHeight="1">
      <c r="A21" s="45" t="s">
        <v>137</v>
      </c>
      <c r="B21" s="94" t="s">
        <v>14</v>
      </c>
      <c r="C21" s="20">
        <v>1</v>
      </c>
      <c r="D21" s="20">
        <v>10</v>
      </c>
      <c r="E21" s="20">
        <v>4</v>
      </c>
      <c r="F21" s="20">
        <v>6</v>
      </c>
      <c r="G21" s="20">
        <v>1</v>
      </c>
      <c r="H21" s="20" t="s">
        <v>261</v>
      </c>
      <c r="I21" s="20">
        <v>1</v>
      </c>
      <c r="J21" s="20">
        <v>1</v>
      </c>
      <c r="K21" s="20" t="s">
        <v>261</v>
      </c>
      <c r="L21" s="20">
        <v>1</v>
      </c>
      <c r="M21" s="20">
        <v>8</v>
      </c>
      <c r="N21" s="20">
        <v>4</v>
      </c>
      <c r="O21" s="20">
        <v>4</v>
      </c>
      <c r="P21" s="20">
        <v>3264</v>
      </c>
      <c r="Q21" s="20">
        <v>1252</v>
      </c>
      <c r="R21" s="20">
        <v>2012</v>
      </c>
      <c r="S21" s="20">
        <v>200</v>
      </c>
      <c r="T21" s="20" t="s">
        <v>261</v>
      </c>
      <c r="U21" s="20">
        <v>200</v>
      </c>
      <c r="V21" s="20">
        <v>299</v>
      </c>
      <c r="W21" s="20">
        <v>18</v>
      </c>
      <c r="X21" s="20">
        <v>281</v>
      </c>
      <c r="Y21" s="20">
        <v>2765</v>
      </c>
      <c r="Z21" s="20">
        <v>1234</v>
      </c>
      <c r="AA21" s="20">
        <v>1531</v>
      </c>
      <c r="AB21" s="20">
        <v>26054</v>
      </c>
      <c r="AC21" s="20">
        <v>9797</v>
      </c>
      <c r="AD21" s="20">
        <v>16257</v>
      </c>
      <c r="AE21" s="20">
        <v>1592</v>
      </c>
      <c r="AF21" s="20" t="s">
        <v>262</v>
      </c>
      <c r="AG21" s="20">
        <v>1592</v>
      </c>
      <c r="AH21" s="20">
        <v>2377</v>
      </c>
      <c r="AI21" s="20">
        <v>144</v>
      </c>
      <c r="AJ21" s="20">
        <v>2233</v>
      </c>
      <c r="AK21" s="20">
        <v>22085</v>
      </c>
      <c r="AL21" s="20">
        <v>9653</v>
      </c>
      <c r="AM21" s="20">
        <v>12432</v>
      </c>
      <c r="AN21" s="20">
        <v>6</v>
      </c>
      <c r="AO21" s="20">
        <v>95</v>
      </c>
      <c r="AP21" s="20">
        <v>34</v>
      </c>
      <c r="AQ21" s="20">
        <v>61</v>
      </c>
      <c r="AR21" s="20">
        <v>7</v>
      </c>
      <c r="AS21" s="20">
        <v>2</v>
      </c>
      <c r="AT21" s="20">
        <v>5</v>
      </c>
      <c r="AU21" s="20">
        <v>6</v>
      </c>
      <c r="AV21" s="20">
        <v>2</v>
      </c>
      <c r="AW21" s="20">
        <v>4</v>
      </c>
      <c r="AX21" s="20">
        <v>82</v>
      </c>
      <c r="AY21" s="20">
        <v>30</v>
      </c>
      <c r="AZ21" s="20">
        <v>52</v>
      </c>
      <c r="BA21" s="20">
        <v>15865</v>
      </c>
      <c r="BB21" s="20">
        <v>5748</v>
      </c>
      <c r="BC21" s="20">
        <v>10117</v>
      </c>
      <c r="BD21" s="20">
        <v>1707</v>
      </c>
      <c r="BE21" s="20">
        <v>549</v>
      </c>
      <c r="BF21" s="20">
        <v>1158</v>
      </c>
      <c r="BG21" s="20">
        <v>938</v>
      </c>
      <c r="BH21" s="20">
        <v>202</v>
      </c>
      <c r="BI21" s="20">
        <v>736</v>
      </c>
      <c r="BJ21" s="20">
        <v>13220</v>
      </c>
      <c r="BK21" s="20">
        <v>4997</v>
      </c>
      <c r="BL21" s="20">
        <v>8223</v>
      </c>
      <c r="BM21" s="20">
        <v>126920</v>
      </c>
      <c r="BN21" s="20">
        <v>45984</v>
      </c>
      <c r="BO21" s="20">
        <v>80936</v>
      </c>
      <c r="BP21" s="20">
        <v>13487</v>
      </c>
      <c r="BQ21" s="20">
        <v>4321</v>
      </c>
      <c r="BR21" s="20">
        <v>9166</v>
      </c>
      <c r="BS21" s="20">
        <v>7389</v>
      </c>
      <c r="BT21" s="20">
        <v>1601</v>
      </c>
      <c r="BU21" s="20">
        <v>5788</v>
      </c>
      <c r="BV21" s="20">
        <v>106044</v>
      </c>
      <c r="BW21" s="20">
        <v>40062</v>
      </c>
      <c r="BX21" s="20">
        <v>65982</v>
      </c>
    </row>
    <row r="22" spans="1:76" ht="15.6" customHeight="1">
      <c r="A22" s="45" t="s">
        <v>138</v>
      </c>
      <c r="B22" s="94" t="s">
        <v>15</v>
      </c>
      <c r="C22" s="20">
        <v>1</v>
      </c>
      <c r="D22" s="20">
        <v>18</v>
      </c>
      <c r="E22" s="20">
        <v>6</v>
      </c>
      <c r="F22" s="20">
        <v>12</v>
      </c>
      <c r="G22" s="20" t="s">
        <v>261</v>
      </c>
      <c r="H22" s="20" t="s">
        <v>261</v>
      </c>
      <c r="I22" s="20" t="s">
        <v>261</v>
      </c>
      <c r="J22" s="20">
        <v>4</v>
      </c>
      <c r="K22" s="20">
        <v>1</v>
      </c>
      <c r="L22" s="20">
        <v>3</v>
      </c>
      <c r="M22" s="20">
        <v>14</v>
      </c>
      <c r="N22" s="20">
        <v>5</v>
      </c>
      <c r="O22" s="20">
        <v>9</v>
      </c>
      <c r="P22" s="20">
        <v>4684</v>
      </c>
      <c r="Q22" s="20">
        <v>1455</v>
      </c>
      <c r="R22" s="20">
        <v>3229</v>
      </c>
      <c r="S22" s="20">
        <v>48</v>
      </c>
      <c r="T22" s="20">
        <v>33</v>
      </c>
      <c r="U22" s="20">
        <v>15</v>
      </c>
      <c r="V22" s="20">
        <v>1095</v>
      </c>
      <c r="W22" s="20">
        <v>201</v>
      </c>
      <c r="X22" s="20">
        <v>894</v>
      </c>
      <c r="Y22" s="20">
        <v>3541</v>
      </c>
      <c r="Z22" s="20">
        <v>1221</v>
      </c>
      <c r="AA22" s="20">
        <v>2320</v>
      </c>
      <c r="AB22" s="20">
        <v>18711</v>
      </c>
      <c r="AC22" s="20">
        <v>6100</v>
      </c>
      <c r="AD22" s="20">
        <v>12611</v>
      </c>
      <c r="AE22" s="20">
        <v>384</v>
      </c>
      <c r="AF22" s="20">
        <v>264</v>
      </c>
      <c r="AG22" s="20">
        <v>120</v>
      </c>
      <c r="AH22" s="20">
        <v>2990</v>
      </c>
      <c r="AI22" s="20">
        <v>952</v>
      </c>
      <c r="AJ22" s="20">
        <v>2038</v>
      </c>
      <c r="AK22" s="20">
        <v>15337</v>
      </c>
      <c r="AL22" s="20">
        <v>4884</v>
      </c>
      <c r="AM22" s="20">
        <v>10453</v>
      </c>
      <c r="AN22" s="20">
        <v>18</v>
      </c>
      <c r="AO22" s="20">
        <v>257</v>
      </c>
      <c r="AP22" s="20">
        <v>106</v>
      </c>
      <c r="AQ22" s="20">
        <v>151</v>
      </c>
      <c r="AR22" s="20">
        <v>36</v>
      </c>
      <c r="AS22" s="20">
        <v>14</v>
      </c>
      <c r="AT22" s="20">
        <v>22</v>
      </c>
      <c r="AU22" s="20">
        <v>32</v>
      </c>
      <c r="AV22" s="20">
        <v>13</v>
      </c>
      <c r="AW22" s="20">
        <v>19</v>
      </c>
      <c r="AX22" s="20">
        <v>189</v>
      </c>
      <c r="AY22" s="20">
        <v>79</v>
      </c>
      <c r="AZ22" s="20">
        <v>110</v>
      </c>
      <c r="BA22" s="20">
        <v>36412</v>
      </c>
      <c r="BB22" s="20">
        <v>15305</v>
      </c>
      <c r="BC22" s="20">
        <v>21107</v>
      </c>
      <c r="BD22" s="20">
        <v>5471</v>
      </c>
      <c r="BE22" s="20">
        <v>2582</v>
      </c>
      <c r="BF22" s="20">
        <v>2889</v>
      </c>
      <c r="BG22" s="20">
        <v>4934</v>
      </c>
      <c r="BH22" s="20">
        <v>2599</v>
      </c>
      <c r="BI22" s="20">
        <v>2335</v>
      </c>
      <c r="BJ22" s="20">
        <v>26007</v>
      </c>
      <c r="BK22" s="20">
        <v>10124</v>
      </c>
      <c r="BL22" s="20">
        <v>15883</v>
      </c>
      <c r="BM22" s="20">
        <v>158183.79999999999</v>
      </c>
      <c r="BN22" s="20">
        <v>65126.3</v>
      </c>
      <c r="BO22" s="20">
        <v>93057.5</v>
      </c>
      <c r="BP22" s="20">
        <v>24284.5</v>
      </c>
      <c r="BQ22" s="20">
        <v>11684.5</v>
      </c>
      <c r="BR22" s="20">
        <v>12600</v>
      </c>
      <c r="BS22" s="20">
        <v>23211.5</v>
      </c>
      <c r="BT22" s="20">
        <v>10664</v>
      </c>
      <c r="BU22" s="20">
        <v>12547.5</v>
      </c>
      <c r="BV22" s="20">
        <v>110687.8</v>
      </c>
      <c r="BW22" s="20">
        <v>42777.8</v>
      </c>
      <c r="BX22" s="20">
        <v>67910</v>
      </c>
    </row>
    <row r="23" spans="1:76" ht="15.6" customHeight="1">
      <c r="A23" s="45" t="s">
        <v>139</v>
      </c>
      <c r="B23" s="94" t="s">
        <v>16</v>
      </c>
      <c r="C23" s="20" t="s">
        <v>261</v>
      </c>
      <c r="D23" s="20" t="s">
        <v>261</v>
      </c>
      <c r="E23" s="20" t="s">
        <v>261</v>
      </c>
      <c r="F23" s="20" t="s">
        <v>261</v>
      </c>
      <c r="G23" s="20" t="s">
        <v>261</v>
      </c>
      <c r="H23" s="20" t="s">
        <v>261</v>
      </c>
      <c r="I23" s="20" t="s">
        <v>261</v>
      </c>
      <c r="J23" s="20" t="s">
        <v>261</v>
      </c>
      <c r="K23" s="20" t="s">
        <v>261</v>
      </c>
      <c r="L23" s="20" t="s">
        <v>261</v>
      </c>
      <c r="M23" s="20" t="s">
        <v>261</v>
      </c>
      <c r="N23" s="20" t="s">
        <v>261</v>
      </c>
      <c r="O23" s="20" t="s">
        <v>261</v>
      </c>
      <c r="P23" s="20" t="s">
        <v>261</v>
      </c>
      <c r="Q23" s="20" t="s">
        <v>261</v>
      </c>
      <c r="R23" s="20" t="s">
        <v>261</v>
      </c>
      <c r="S23" s="20" t="s">
        <v>261</v>
      </c>
      <c r="T23" s="20" t="s">
        <v>261</v>
      </c>
      <c r="U23" s="20" t="s">
        <v>261</v>
      </c>
      <c r="V23" s="20" t="s">
        <v>261</v>
      </c>
      <c r="W23" s="20" t="s">
        <v>261</v>
      </c>
      <c r="X23" s="20" t="s">
        <v>261</v>
      </c>
      <c r="Y23" s="20" t="s">
        <v>261</v>
      </c>
      <c r="Z23" s="20" t="s">
        <v>261</v>
      </c>
      <c r="AA23" s="20" t="s">
        <v>261</v>
      </c>
      <c r="AB23" s="20" t="s">
        <v>262</v>
      </c>
      <c r="AC23" s="20" t="s">
        <v>262</v>
      </c>
      <c r="AD23" s="20" t="s">
        <v>262</v>
      </c>
      <c r="AE23" s="20" t="s">
        <v>262</v>
      </c>
      <c r="AF23" s="20" t="s">
        <v>262</v>
      </c>
      <c r="AG23" s="20" t="s">
        <v>262</v>
      </c>
      <c r="AH23" s="20" t="s">
        <v>262</v>
      </c>
      <c r="AI23" s="20" t="s">
        <v>262</v>
      </c>
      <c r="AJ23" s="20" t="s">
        <v>262</v>
      </c>
      <c r="AK23" s="20" t="s">
        <v>262</v>
      </c>
      <c r="AL23" s="20" t="s">
        <v>262</v>
      </c>
      <c r="AM23" s="20" t="s">
        <v>262</v>
      </c>
      <c r="AN23" s="20">
        <v>8</v>
      </c>
      <c r="AO23" s="20">
        <v>103</v>
      </c>
      <c r="AP23" s="20">
        <v>37</v>
      </c>
      <c r="AQ23" s="20">
        <v>66</v>
      </c>
      <c r="AR23" s="20">
        <v>21</v>
      </c>
      <c r="AS23" s="20">
        <v>18</v>
      </c>
      <c r="AT23" s="20">
        <v>3</v>
      </c>
      <c r="AU23" s="20">
        <v>8</v>
      </c>
      <c r="AV23" s="20">
        <v>4</v>
      </c>
      <c r="AW23" s="20">
        <v>4</v>
      </c>
      <c r="AX23" s="20">
        <v>74</v>
      </c>
      <c r="AY23" s="20">
        <v>15</v>
      </c>
      <c r="AZ23" s="20">
        <v>59</v>
      </c>
      <c r="BA23" s="20">
        <v>15524</v>
      </c>
      <c r="BB23" s="20">
        <v>5877</v>
      </c>
      <c r="BC23" s="20">
        <v>9647</v>
      </c>
      <c r="BD23" s="20">
        <v>3350</v>
      </c>
      <c r="BE23" s="20">
        <v>2550</v>
      </c>
      <c r="BF23" s="20">
        <v>800</v>
      </c>
      <c r="BG23" s="20">
        <v>378</v>
      </c>
      <c r="BH23" s="20">
        <v>161</v>
      </c>
      <c r="BI23" s="20">
        <v>217</v>
      </c>
      <c r="BJ23" s="20">
        <v>11796</v>
      </c>
      <c r="BK23" s="20">
        <v>3166</v>
      </c>
      <c r="BL23" s="20">
        <v>8630</v>
      </c>
      <c r="BM23" s="20">
        <v>56771</v>
      </c>
      <c r="BN23" s="20">
        <v>23101</v>
      </c>
      <c r="BO23" s="20">
        <v>33670</v>
      </c>
      <c r="BP23" s="20">
        <v>12036</v>
      </c>
      <c r="BQ23" s="20">
        <v>9225</v>
      </c>
      <c r="BR23" s="20">
        <v>2811</v>
      </c>
      <c r="BS23" s="20">
        <v>2122</v>
      </c>
      <c r="BT23" s="20">
        <v>797</v>
      </c>
      <c r="BU23" s="20">
        <v>1325</v>
      </c>
      <c r="BV23" s="20">
        <v>42613</v>
      </c>
      <c r="BW23" s="20">
        <v>13079</v>
      </c>
      <c r="BX23" s="20">
        <v>29534</v>
      </c>
    </row>
    <row r="24" spans="1:76" ht="15.6" customHeight="1">
      <c r="A24" s="45" t="s">
        <v>140</v>
      </c>
      <c r="B24" s="94" t="s">
        <v>17</v>
      </c>
      <c r="C24" s="20" t="s">
        <v>261</v>
      </c>
      <c r="D24" s="20" t="s">
        <v>261</v>
      </c>
      <c r="E24" s="20" t="s">
        <v>261</v>
      </c>
      <c r="F24" s="20" t="s">
        <v>261</v>
      </c>
      <c r="G24" s="20" t="s">
        <v>261</v>
      </c>
      <c r="H24" s="20" t="s">
        <v>261</v>
      </c>
      <c r="I24" s="20" t="s">
        <v>261</v>
      </c>
      <c r="J24" s="20" t="s">
        <v>261</v>
      </c>
      <c r="K24" s="20" t="s">
        <v>261</v>
      </c>
      <c r="L24" s="20" t="s">
        <v>261</v>
      </c>
      <c r="M24" s="20" t="s">
        <v>261</v>
      </c>
      <c r="N24" s="20" t="s">
        <v>261</v>
      </c>
      <c r="O24" s="20" t="s">
        <v>261</v>
      </c>
      <c r="P24" s="20" t="s">
        <v>261</v>
      </c>
      <c r="Q24" s="20" t="s">
        <v>261</v>
      </c>
      <c r="R24" s="20" t="s">
        <v>261</v>
      </c>
      <c r="S24" s="20" t="s">
        <v>261</v>
      </c>
      <c r="T24" s="20" t="s">
        <v>261</v>
      </c>
      <c r="U24" s="20" t="s">
        <v>261</v>
      </c>
      <c r="V24" s="20" t="s">
        <v>261</v>
      </c>
      <c r="W24" s="20" t="s">
        <v>261</v>
      </c>
      <c r="X24" s="20" t="s">
        <v>261</v>
      </c>
      <c r="Y24" s="20" t="s">
        <v>261</v>
      </c>
      <c r="Z24" s="20" t="s">
        <v>261</v>
      </c>
      <c r="AA24" s="20" t="s">
        <v>261</v>
      </c>
      <c r="AB24" s="20" t="s">
        <v>262</v>
      </c>
      <c r="AC24" s="20" t="s">
        <v>262</v>
      </c>
      <c r="AD24" s="20" t="s">
        <v>262</v>
      </c>
      <c r="AE24" s="20" t="s">
        <v>262</v>
      </c>
      <c r="AF24" s="20" t="s">
        <v>262</v>
      </c>
      <c r="AG24" s="20" t="s">
        <v>262</v>
      </c>
      <c r="AH24" s="20" t="s">
        <v>262</v>
      </c>
      <c r="AI24" s="20" t="s">
        <v>262</v>
      </c>
      <c r="AJ24" s="20" t="s">
        <v>262</v>
      </c>
      <c r="AK24" s="20" t="s">
        <v>262</v>
      </c>
      <c r="AL24" s="20" t="s">
        <v>262</v>
      </c>
      <c r="AM24" s="20" t="s">
        <v>262</v>
      </c>
      <c r="AN24" s="20">
        <v>3</v>
      </c>
      <c r="AO24" s="20">
        <v>59</v>
      </c>
      <c r="AP24" s="20">
        <v>23</v>
      </c>
      <c r="AQ24" s="20">
        <v>36</v>
      </c>
      <c r="AR24" s="20">
        <v>7</v>
      </c>
      <c r="AS24" s="20">
        <v>5</v>
      </c>
      <c r="AT24" s="20">
        <v>2</v>
      </c>
      <c r="AU24" s="20">
        <v>4</v>
      </c>
      <c r="AV24" s="20">
        <v>2</v>
      </c>
      <c r="AW24" s="20">
        <v>2</v>
      </c>
      <c r="AX24" s="20">
        <v>48</v>
      </c>
      <c r="AY24" s="20">
        <v>16</v>
      </c>
      <c r="AZ24" s="20">
        <v>32</v>
      </c>
      <c r="BA24" s="20">
        <v>11283</v>
      </c>
      <c r="BB24" s="20">
        <v>3970</v>
      </c>
      <c r="BC24" s="20">
        <v>7313</v>
      </c>
      <c r="BD24" s="20">
        <v>920</v>
      </c>
      <c r="BE24" s="20">
        <v>590</v>
      </c>
      <c r="BF24" s="20">
        <v>330</v>
      </c>
      <c r="BG24" s="20">
        <v>879</v>
      </c>
      <c r="BH24" s="20">
        <v>340</v>
      </c>
      <c r="BI24" s="20">
        <v>539</v>
      </c>
      <c r="BJ24" s="20">
        <v>9484</v>
      </c>
      <c r="BK24" s="20">
        <v>3040</v>
      </c>
      <c r="BL24" s="20">
        <v>6444</v>
      </c>
      <c r="BM24" s="20">
        <v>60472</v>
      </c>
      <c r="BN24" s="20">
        <v>23071</v>
      </c>
      <c r="BO24" s="20">
        <v>37401</v>
      </c>
      <c r="BP24" s="20">
        <v>5186</v>
      </c>
      <c r="BQ24" s="20">
        <v>3230</v>
      </c>
      <c r="BR24" s="20">
        <v>1956</v>
      </c>
      <c r="BS24" s="20">
        <v>4791</v>
      </c>
      <c r="BT24" s="20">
        <v>2412</v>
      </c>
      <c r="BU24" s="20">
        <v>2379</v>
      </c>
      <c r="BV24" s="20">
        <v>50495</v>
      </c>
      <c r="BW24" s="20">
        <v>17429</v>
      </c>
      <c r="BX24" s="20">
        <v>33066</v>
      </c>
    </row>
    <row r="25" spans="1:76" ht="15.6" customHeight="1">
      <c r="A25" s="45" t="s">
        <v>141</v>
      </c>
      <c r="B25" s="94" t="s">
        <v>18</v>
      </c>
      <c r="C25" s="20">
        <v>1</v>
      </c>
      <c r="D25" s="20">
        <v>128</v>
      </c>
      <c r="E25" s="20">
        <v>34</v>
      </c>
      <c r="F25" s="20">
        <v>94</v>
      </c>
      <c r="G25" s="20">
        <v>6</v>
      </c>
      <c r="H25" s="20">
        <v>6</v>
      </c>
      <c r="I25" s="20" t="s">
        <v>261</v>
      </c>
      <c r="J25" s="20">
        <v>2</v>
      </c>
      <c r="K25" s="20" t="s">
        <v>261</v>
      </c>
      <c r="L25" s="20">
        <v>2</v>
      </c>
      <c r="M25" s="20">
        <v>120</v>
      </c>
      <c r="N25" s="20">
        <v>28</v>
      </c>
      <c r="O25" s="20">
        <v>92</v>
      </c>
      <c r="P25" s="20">
        <v>3535</v>
      </c>
      <c r="Q25" s="20">
        <v>835</v>
      </c>
      <c r="R25" s="20">
        <v>2700</v>
      </c>
      <c r="S25" s="20">
        <v>206</v>
      </c>
      <c r="T25" s="20">
        <v>121</v>
      </c>
      <c r="U25" s="20">
        <v>85</v>
      </c>
      <c r="V25" s="20">
        <v>32</v>
      </c>
      <c r="W25" s="20" t="s">
        <v>261</v>
      </c>
      <c r="X25" s="20">
        <v>32</v>
      </c>
      <c r="Y25" s="20">
        <v>3297</v>
      </c>
      <c r="Z25" s="20">
        <v>714</v>
      </c>
      <c r="AA25" s="20">
        <v>2583</v>
      </c>
      <c r="AB25" s="20">
        <v>8767.2999999999993</v>
      </c>
      <c r="AC25" s="20">
        <v>2380.8000000000002</v>
      </c>
      <c r="AD25" s="20">
        <v>6386.5</v>
      </c>
      <c r="AE25" s="20">
        <v>685.5</v>
      </c>
      <c r="AF25" s="20">
        <v>435.5</v>
      </c>
      <c r="AG25" s="20">
        <v>250</v>
      </c>
      <c r="AH25" s="20">
        <v>50</v>
      </c>
      <c r="AI25" s="20" t="s">
        <v>262</v>
      </c>
      <c r="AJ25" s="20">
        <v>50</v>
      </c>
      <c r="AK25" s="20">
        <v>8031.8</v>
      </c>
      <c r="AL25" s="20">
        <v>1945.3</v>
      </c>
      <c r="AM25" s="20">
        <v>6086.5</v>
      </c>
      <c r="AN25" s="20">
        <v>5</v>
      </c>
      <c r="AO25" s="20">
        <v>81</v>
      </c>
      <c r="AP25" s="20">
        <v>36</v>
      </c>
      <c r="AQ25" s="20">
        <v>45</v>
      </c>
      <c r="AR25" s="20">
        <v>7</v>
      </c>
      <c r="AS25" s="20">
        <v>6</v>
      </c>
      <c r="AT25" s="20">
        <v>1</v>
      </c>
      <c r="AU25" s="20">
        <v>7</v>
      </c>
      <c r="AV25" s="20">
        <v>3</v>
      </c>
      <c r="AW25" s="20">
        <v>4</v>
      </c>
      <c r="AX25" s="20">
        <v>67</v>
      </c>
      <c r="AY25" s="20">
        <v>27</v>
      </c>
      <c r="AZ25" s="20">
        <v>40</v>
      </c>
      <c r="BA25" s="20">
        <v>11261</v>
      </c>
      <c r="BB25" s="20">
        <v>5307</v>
      </c>
      <c r="BC25" s="20">
        <v>5954</v>
      </c>
      <c r="BD25" s="20">
        <v>1328</v>
      </c>
      <c r="BE25" s="20">
        <v>1137</v>
      </c>
      <c r="BF25" s="20">
        <v>191</v>
      </c>
      <c r="BG25" s="20">
        <v>960</v>
      </c>
      <c r="BH25" s="20">
        <v>363</v>
      </c>
      <c r="BI25" s="20">
        <v>597</v>
      </c>
      <c r="BJ25" s="20">
        <v>8973</v>
      </c>
      <c r="BK25" s="20">
        <v>3807</v>
      </c>
      <c r="BL25" s="20">
        <v>5166</v>
      </c>
      <c r="BM25" s="20">
        <v>25776.2</v>
      </c>
      <c r="BN25" s="20">
        <v>12306.2</v>
      </c>
      <c r="BO25" s="20">
        <v>13470</v>
      </c>
      <c r="BP25" s="20">
        <v>2948.2</v>
      </c>
      <c r="BQ25" s="20">
        <v>2470.6999999999998</v>
      </c>
      <c r="BR25" s="20">
        <v>477.5</v>
      </c>
      <c r="BS25" s="20">
        <v>1943.7</v>
      </c>
      <c r="BT25" s="20">
        <v>530</v>
      </c>
      <c r="BU25" s="20">
        <v>1413.7</v>
      </c>
      <c r="BV25" s="20">
        <v>20884.3</v>
      </c>
      <c r="BW25" s="20">
        <v>9305.5</v>
      </c>
      <c r="BX25" s="20">
        <v>11578.8</v>
      </c>
    </row>
    <row r="26" spans="1:76" ht="15.6" customHeight="1">
      <c r="A26" s="45" t="s">
        <v>142</v>
      </c>
      <c r="B26" s="94" t="s">
        <v>19</v>
      </c>
      <c r="C26" s="20" t="s">
        <v>261</v>
      </c>
      <c r="D26" s="20">
        <v>85</v>
      </c>
      <c r="E26" s="20">
        <v>15</v>
      </c>
      <c r="F26" s="20">
        <v>70</v>
      </c>
      <c r="G26" s="20">
        <v>11</v>
      </c>
      <c r="H26" s="20" t="s">
        <v>261</v>
      </c>
      <c r="I26" s="20">
        <v>11</v>
      </c>
      <c r="J26" s="20">
        <v>8</v>
      </c>
      <c r="K26" s="20">
        <v>1</v>
      </c>
      <c r="L26" s="20">
        <v>7</v>
      </c>
      <c r="M26" s="20">
        <v>66</v>
      </c>
      <c r="N26" s="20">
        <v>14</v>
      </c>
      <c r="O26" s="20">
        <v>52</v>
      </c>
      <c r="P26" s="20">
        <v>7860</v>
      </c>
      <c r="Q26" s="20">
        <v>1929</v>
      </c>
      <c r="R26" s="20">
        <v>5931</v>
      </c>
      <c r="S26" s="20">
        <v>604</v>
      </c>
      <c r="T26" s="20">
        <v>223</v>
      </c>
      <c r="U26" s="20">
        <v>381</v>
      </c>
      <c r="V26" s="20">
        <v>905</v>
      </c>
      <c r="W26" s="20">
        <v>147</v>
      </c>
      <c r="X26" s="20">
        <v>758</v>
      </c>
      <c r="Y26" s="20">
        <v>6351</v>
      </c>
      <c r="Z26" s="20">
        <v>1559</v>
      </c>
      <c r="AA26" s="20">
        <v>4792</v>
      </c>
      <c r="AB26" s="20">
        <v>54392</v>
      </c>
      <c r="AC26" s="20">
        <v>13428</v>
      </c>
      <c r="AD26" s="20">
        <v>40964</v>
      </c>
      <c r="AE26" s="20">
        <v>4738</v>
      </c>
      <c r="AF26" s="20">
        <v>1784</v>
      </c>
      <c r="AG26" s="20">
        <v>2954</v>
      </c>
      <c r="AH26" s="20">
        <v>6248</v>
      </c>
      <c r="AI26" s="20">
        <v>956</v>
      </c>
      <c r="AJ26" s="20">
        <v>5292</v>
      </c>
      <c r="AK26" s="20">
        <v>43406</v>
      </c>
      <c r="AL26" s="20">
        <v>10688</v>
      </c>
      <c r="AM26" s="20">
        <v>32718</v>
      </c>
      <c r="AN26" s="20">
        <v>3</v>
      </c>
      <c r="AO26" s="20">
        <v>66</v>
      </c>
      <c r="AP26" s="20">
        <v>17</v>
      </c>
      <c r="AQ26" s="20">
        <v>49</v>
      </c>
      <c r="AR26" s="20">
        <v>6</v>
      </c>
      <c r="AS26" s="20" t="s">
        <v>261</v>
      </c>
      <c r="AT26" s="20">
        <v>6</v>
      </c>
      <c r="AU26" s="20">
        <v>6</v>
      </c>
      <c r="AV26" s="20" t="s">
        <v>261</v>
      </c>
      <c r="AW26" s="20">
        <v>6</v>
      </c>
      <c r="AX26" s="20">
        <v>54</v>
      </c>
      <c r="AY26" s="20">
        <v>17</v>
      </c>
      <c r="AZ26" s="20">
        <v>37</v>
      </c>
      <c r="BA26" s="20">
        <v>5568</v>
      </c>
      <c r="BB26" s="20">
        <v>1994</v>
      </c>
      <c r="BC26" s="20">
        <v>3574</v>
      </c>
      <c r="BD26" s="20">
        <v>585</v>
      </c>
      <c r="BE26" s="20">
        <v>96</v>
      </c>
      <c r="BF26" s="20">
        <v>489</v>
      </c>
      <c r="BG26" s="20">
        <v>158</v>
      </c>
      <c r="BH26" s="20">
        <v>12</v>
      </c>
      <c r="BI26" s="20">
        <v>146</v>
      </c>
      <c r="BJ26" s="20">
        <v>4825</v>
      </c>
      <c r="BK26" s="20">
        <v>1886</v>
      </c>
      <c r="BL26" s="20">
        <v>2939</v>
      </c>
      <c r="BM26" s="20">
        <v>52585</v>
      </c>
      <c r="BN26" s="20">
        <v>13710</v>
      </c>
      <c r="BO26" s="20">
        <v>38875</v>
      </c>
      <c r="BP26" s="20">
        <v>17397</v>
      </c>
      <c r="BQ26" s="20">
        <v>739</v>
      </c>
      <c r="BR26" s="20">
        <v>16658</v>
      </c>
      <c r="BS26" s="20">
        <v>1224</v>
      </c>
      <c r="BT26" s="20">
        <v>96</v>
      </c>
      <c r="BU26" s="20">
        <v>1128</v>
      </c>
      <c r="BV26" s="20">
        <v>33964</v>
      </c>
      <c r="BW26" s="20">
        <v>12875</v>
      </c>
      <c r="BX26" s="20">
        <v>21089</v>
      </c>
    </row>
    <row r="27" spans="1:76" ht="15.6" customHeight="1">
      <c r="A27" s="45" t="s">
        <v>143</v>
      </c>
      <c r="B27" s="94" t="s">
        <v>20</v>
      </c>
      <c r="C27" s="20">
        <v>1</v>
      </c>
      <c r="D27" s="20">
        <v>20</v>
      </c>
      <c r="E27" s="20">
        <v>5</v>
      </c>
      <c r="F27" s="20">
        <v>15</v>
      </c>
      <c r="G27" s="20">
        <v>1</v>
      </c>
      <c r="H27" s="20" t="s">
        <v>261</v>
      </c>
      <c r="I27" s="20">
        <v>1</v>
      </c>
      <c r="J27" s="20">
        <v>3</v>
      </c>
      <c r="K27" s="20" t="s">
        <v>261</v>
      </c>
      <c r="L27" s="20">
        <v>3</v>
      </c>
      <c r="M27" s="20">
        <v>16</v>
      </c>
      <c r="N27" s="20">
        <v>5</v>
      </c>
      <c r="O27" s="20">
        <v>11</v>
      </c>
      <c r="P27" s="20">
        <v>3629</v>
      </c>
      <c r="Q27" s="20">
        <v>847</v>
      </c>
      <c r="R27" s="20">
        <v>2782</v>
      </c>
      <c r="S27" s="20">
        <v>21</v>
      </c>
      <c r="T27" s="20" t="s">
        <v>261</v>
      </c>
      <c r="U27" s="20">
        <v>21</v>
      </c>
      <c r="V27" s="20">
        <v>163</v>
      </c>
      <c r="W27" s="20" t="s">
        <v>261</v>
      </c>
      <c r="X27" s="20">
        <v>163</v>
      </c>
      <c r="Y27" s="20">
        <v>3445</v>
      </c>
      <c r="Z27" s="20">
        <v>847</v>
      </c>
      <c r="AA27" s="20">
        <v>2598</v>
      </c>
      <c r="AB27" s="20">
        <v>26647</v>
      </c>
      <c r="AC27" s="20">
        <v>5226</v>
      </c>
      <c r="AD27" s="20">
        <v>21421</v>
      </c>
      <c r="AE27" s="20">
        <v>168</v>
      </c>
      <c r="AF27" s="20" t="s">
        <v>262</v>
      </c>
      <c r="AG27" s="20">
        <v>168</v>
      </c>
      <c r="AH27" s="20">
        <v>1304</v>
      </c>
      <c r="AI27" s="20" t="s">
        <v>262</v>
      </c>
      <c r="AJ27" s="20">
        <v>1304</v>
      </c>
      <c r="AK27" s="20">
        <v>25175</v>
      </c>
      <c r="AL27" s="20">
        <v>5226</v>
      </c>
      <c r="AM27" s="20">
        <v>19949</v>
      </c>
      <c r="AN27" s="20">
        <v>3</v>
      </c>
      <c r="AO27" s="20">
        <v>57</v>
      </c>
      <c r="AP27" s="20">
        <v>26</v>
      </c>
      <c r="AQ27" s="20">
        <v>31</v>
      </c>
      <c r="AR27" s="20">
        <v>2</v>
      </c>
      <c r="AS27" s="20" t="s">
        <v>261</v>
      </c>
      <c r="AT27" s="20">
        <v>2</v>
      </c>
      <c r="AU27" s="20">
        <v>7</v>
      </c>
      <c r="AV27" s="20">
        <v>5</v>
      </c>
      <c r="AW27" s="20">
        <v>2</v>
      </c>
      <c r="AX27" s="20">
        <v>48</v>
      </c>
      <c r="AY27" s="20">
        <v>21</v>
      </c>
      <c r="AZ27" s="20">
        <v>27</v>
      </c>
      <c r="BA27" s="20">
        <v>11930</v>
      </c>
      <c r="BB27" s="20">
        <v>5121</v>
      </c>
      <c r="BC27" s="20">
        <v>6809</v>
      </c>
      <c r="BD27" s="20">
        <v>64</v>
      </c>
      <c r="BE27" s="20" t="s">
        <v>261</v>
      </c>
      <c r="BF27" s="20">
        <v>64</v>
      </c>
      <c r="BG27" s="20">
        <v>541</v>
      </c>
      <c r="BH27" s="20">
        <v>331</v>
      </c>
      <c r="BI27" s="20">
        <v>210</v>
      </c>
      <c r="BJ27" s="20">
        <v>11325</v>
      </c>
      <c r="BK27" s="20">
        <v>4790</v>
      </c>
      <c r="BL27" s="20">
        <v>6535</v>
      </c>
      <c r="BM27" s="20">
        <v>90864</v>
      </c>
      <c r="BN27" s="20">
        <v>38632</v>
      </c>
      <c r="BO27" s="20">
        <v>52232</v>
      </c>
      <c r="BP27" s="20">
        <v>512</v>
      </c>
      <c r="BQ27" s="20" t="s">
        <v>262</v>
      </c>
      <c r="BR27" s="20">
        <v>512</v>
      </c>
      <c r="BS27" s="20">
        <v>3812</v>
      </c>
      <c r="BT27" s="20">
        <v>2132</v>
      </c>
      <c r="BU27" s="20">
        <v>1680</v>
      </c>
      <c r="BV27" s="20">
        <v>86540</v>
      </c>
      <c r="BW27" s="20">
        <v>36500</v>
      </c>
      <c r="BX27" s="20">
        <v>50040</v>
      </c>
    </row>
    <row r="28" spans="1:76" ht="15.6" customHeight="1">
      <c r="A28" s="45" t="s">
        <v>144</v>
      </c>
      <c r="B28" s="94" t="s">
        <v>21</v>
      </c>
      <c r="C28" s="20">
        <v>2</v>
      </c>
      <c r="D28" s="20">
        <v>41</v>
      </c>
      <c r="E28" s="20">
        <v>12</v>
      </c>
      <c r="F28" s="20">
        <v>29</v>
      </c>
      <c r="G28" s="20">
        <v>2</v>
      </c>
      <c r="H28" s="20" t="s">
        <v>261</v>
      </c>
      <c r="I28" s="20">
        <v>2</v>
      </c>
      <c r="J28" s="20">
        <v>2</v>
      </c>
      <c r="K28" s="20">
        <v>2</v>
      </c>
      <c r="L28" s="20" t="s">
        <v>261</v>
      </c>
      <c r="M28" s="20">
        <v>37</v>
      </c>
      <c r="N28" s="20">
        <v>10</v>
      </c>
      <c r="O28" s="20">
        <v>27</v>
      </c>
      <c r="P28" s="20">
        <v>7848</v>
      </c>
      <c r="Q28" s="20">
        <v>2111</v>
      </c>
      <c r="R28" s="20">
        <v>5737</v>
      </c>
      <c r="S28" s="20">
        <v>895</v>
      </c>
      <c r="T28" s="20">
        <v>197</v>
      </c>
      <c r="U28" s="20">
        <v>698</v>
      </c>
      <c r="V28" s="20">
        <v>243</v>
      </c>
      <c r="W28" s="20">
        <v>243</v>
      </c>
      <c r="X28" s="20" t="s">
        <v>261</v>
      </c>
      <c r="Y28" s="20">
        <v>6710</v>
      </c>
      <c r="Z28" s="20">
        <v>1671</v>
      </c>
      <c r="AA28" s="20">
        <v>5039</v>
      </c>
      <c r="AB28" s="20">
        <v>18997</v>
      </c>
      <c r="AC28" s="20">
        <v>5631.2</v>
      </c>
      <c r="AD28" s="20">
        <v>13365.8</v>
      </c>
      <c r="AE28" s="20">
        <v>3260.6</v>
      </c>
      <c r="AF28" s="20">
        <v>550</v>
      </c>
      <c r="AG28" s="20">
        <v>2710.6</v>
      </c>
      <c r="AH28" s="20">
        <v>650</v>
      </c>
      <c r="AI28" s="20">
        <v>650</v>
      </c>
      <c r="AJ28" s="20" t="s">
        <v>262</v>
      </c>
      <c r="AK28" s="20">
        <v>15086.4</v>
      </c>
      <c r="AL28" s="20">
        <v>4431.2</v>
      </c>
      <c r="AM28" s="20">
        <v>10655.2</v>
      </c>
      <c r="AN28" s="20">
        <v>3</v>
      </c>
      <c r="AO28" s="20">
        <v>71</v>
      </c>
      <c r="AP28" s="20">
        <v>27</v>
      </c>
      <c r="AQ28" s="20">
        <v>44</v>
      </c>
      <c r="AR28" s="20">
        <v>9</v>
      </c>
      <c r="AS28" s="20">
        <v>4</v>
      </c>
      <c r="AT28" s="20">
        <v>5</v>
      </c>
      <c r="AU28" s="20" t="s">
        <v>261</v>
      </c>
      <c r="AV28" s="20" t="s">
        <v>261</v>
      </c>
      <c r="AW28" s="20" t="s">
        <v>261</v>
      </c>
      <c r="AX28" s="20">
        <v>62</v>
      </c>
      <c r="AY28" s="20">
        <v>23</v>
      </c>
      <c r="AZ28" s="20">
        <v>39</v>
      </c>
      <c r="BA28" s="20">
        <v>12257</v>
      </c>
      <c r="BB28" s="20">
        <v>4545</v>
      </c>
      <c r="BC28" s="20">
        <v>7712</v>
      </c>
      <c r="BD28" s="20">
        <v>1162</v>
      </c>
      <c r="BE28" s="20">
        <v>477</v>
      </c>
      <c r="BF28" s="20">
        <v>685</v>
      </c>
      <c r="BG28" s="20">
        <v>21</v>
      </c>
      <c r="BH28" s="20" t="s">
        <v>261</v>
      </c>
      <c r="BI28" s="20">
        <v>21</v>
      </c>
      <c r="BJ28" s="20">
        <v>11074</v>
      </c>
      <c r="BK28" s="20">
        <v>4068</v>
      </c>
      <c r="BL28" s="20">
        <v>7006</v>
      </c>
      <c r="BM28" s="20">
        <v>27487.4</v>
      </c>
      <c r="BN28" s="20">
        <v>10736.8</v>
      </c>
      <c r="BO28" s="20">
        <v>16750.599999999999</v>
      </c>
      <c r="BP28" s="20">
        <v>3223.8</v>
      </c>
      <c r="BQ28" s="20">
        <v>1046.2</v>
      </c>
      <c r="BR28" s="20">
        <v>2177.6</v>
      </c>
      <c r="BS28" s="20">
        <v>168</v>
      </c>
      <c r="BT28" s="20" t="s">
        <v>262</v>
      </c>
      <c r="BU28" s="20">
        <v>168</v>
      </c>
      <c r="BV28" s="20">
        <v>24095.599999999999</v>
      </c>
      <c r="BW28" s="20">
        <v>9690.6</v>
      </c>
      <c r="BX28" s="20">
        <v>14405</v>
      </c>
    </row>
    <row r="29" spans="1:76" ht="15.6" customHeight="1">
      <c r="A29" s="45" t="s">
        <v>145</v>
      </c>
      <c r="B29" s="94" t="s">
        <v>22</v>
      </c>
      <c r="C29" s="20" t="s">
        <v>261</v>
      </c>
      <c r="D29" s="20" t="s">
        <v>261</v>
      </c>
      <c r="E29" s="20" t="s">
        <v>261</v>
      </c>
      <c r="F29" s="20" t="s">
        <v>261</v>
      </c>
      <c r="G29" s="20" t="s">
        <v>261</v>
      </c>
      <c r="H29" s="20" t="s">
        <v>261</v>
      </c>
      <c r="I29" s="20" t="s">
        <v>261</v>
      </c>
      <c r="J29" s="20" t="s">
        <v>261</v>
      </c>
      <c r="K29" s="20" t="s">
        <v>261</v>
      </c>
      <c r="L29" s="20" t="s">
        <v>261</v>
      </c>
      <c r="M29" s="20" t="s">
        <v>261</v>
      </c>
      <c r="N29" s="20" t="s">
        <v>261</v>
      </c>
      <c r="O29" s="20" t="s">
        <v>261</v>
      </c>
      <c r="P29" s="20" t="s">
        <v>261</v>
      </c>
      <c r="Q29" s="20" t="s">
        <v>261</v>
      </c>
      <c r="R29" s="20" t="s">
        <v>261</v>
      </c>
      <c r="S29" s="20" t="s">
        <v>261</v>
      </c>
      <c r="T29" s="20" t="s">
        <v>261</v>
      </c>
      <c r="U29" s="20" t="s">
        <v>261</v>
      </c>
      <c r="V29" s="20" t="s">
        <v>261</v>
      </c>
      <c r="W29" s="20" t="s">
        <v>261</v>
      </c>
      <c r="X29" s="20" t="s">
        <v>261</v>
      </c>
      <c r="Y29" s="20" t="s">
        <v>261</v>
      </c>
      <c r="Z29" s="20" t="s">
        <v>261</v>
      </c>
      <c r="AA29" s="20" t="s">
        <v>261</v>
      </c>
      <c r="AB29" s="20" t="s">
        <v>262</v>
      </c>
      <c r="AC29" s="20" t="s">
        <v>262</v>
      </c>
      <c r="AD29" s="20" t="s">
        <v>262</v>
      </c>
      <c r="AE29" s="20" t="s">
        <v>262</v>
      </c>
      <c r="AF29" s="20" t="s">
        <v>262</v>
      </c>
      <c r="AG29" s="20" t="s">
        <v>262</v>
      </c>
      <c r="AH29" s="20" t="s">
        <v>262</v>
      </c>
      <c r="AI29" s="20" t="s">
        <v>262</v>
      </c>
      <c r="AJ29" s="20" t="s">
        <v>262</v>
      </c>
      <c r="AK29" s="20" t="s">
        <v>262</v>
      </c>
      <c r="AL29" s="20" t="s">
        <v>262</v>
      </c>
      <c r="AM29" s="20" t="s">
        <v>262</v>
      </c>
      <c r="AN29" s="20">
        <v>2</v>
      </c>
      <c r="AO29" s="20" t="s">
        <v>261</v>
      </c>
      <c r="AP29" s="20" t="s">
        <v>261</v>
      </c>
      <c r="AQ29" s="20" t="s">
        <v>261</v>
      </c>
      <c r="AR29" s="20" t="s">
        <v>261</v>
      </c>
      <c r="AS29" s="20" t="s">
        <v>261</v>
      </c>
      <c r="AT29" s="20" t="s">
        <v>261</v>
      </c>
      <c r="AU29" s="20" t="s">
        <v>261</v>
      </c>
      <c r="AV29" s="20" t="s">
        <v>261</v>
      </c>
      <c r="AW29" s="20" t="s">
        <v>261</v>
      </c>
      <c r="AX29" s="20" t="s">
        <v>261</v>
      </c>
      <c r="AY29" s="20" t="s">
        <v>261</v>
      </c>
      <c r="AZ29" s="20" t="s">
        <v>261</v>
      </c>
      <c r="BA29" s="20">
        <v>5683</v>
      </c>
      <c r="BB29" s="20">
        <v>2105</v>
      </c>
      <c r="BC29" s="20">
        <v>3578</v>
      </c>
      <c r="BD29" s="20" t="s">
        <v>261</v>
      </c>
      <c r="BE29" s="20" t="s">
        <v>261</v>
      </c>
      <c r="BF29" s="20" t="s">
        <v>261</v>
      </c>
      <c r="BG29" s="20" t="s">
        <v>261</v>
      </c>
      <c r="BH29" s="20" t="s">
        <v>261</v>
      </c>
      <c r="BI29" s="20" t="s">
        <v>261</v>
      </c>
      <c r="BJ29" s="20">
        <v>5683</v>
      </c>
      <c r="BK29" s="20">
        <v>2105</v>
      </c>
      <c r="BL29" s="20">
        <v>3578</v>
      </c>
      <c r="BM29" s="20">
        <v>49000</v>
      </c>
      <c r="BN29" s="20">
        <v>16840</v>
      </c>
      <c r="BO29" s="20">
        <v>32160</v>
      </c>
      <c r="BP29" s="20" t="s">
        <v>262</v>
      </c>
      <c r="BQ29" s="20" t="s">
        <v>262</v>
      </c>
      <c r="BR29" s="20" t="s">
        <v>262</v>
      </c>
      <c r="BS29" s="20" t="s">
        <v>262</v>
      </c>
      <c r="BT29" s="20" t="s">
        <v>262</v>
      </c>
      <c r="BU29" s="20" t="s">
        <v>262</v>
      </c>
      <c r="BV29" s="20">
        <v>49000</v>
      </c>
      <c r="BW29" s="20">
        <v>16840</v>
      </c>
      <c r="BX29" s="20">
        <v>32160</v>
      </c>
    </row>
    <row r="30" spans="1:76" ht="15.6" customHeight="1">
      <c r="A30" s="46" t="s">
        <v>146</v>
      </c>
      <c r="B30" s="95" t="s">
        <v>23</v>
      </c>
      <c r="C30" s="22" t="s">
        <v>261</v>
      </c>
      <c r="D30" s="22" t="s">
        <v>261</v>
      </c>
      <c r="E30" s="22" t="s">
        <v>261</v>
      </c>
      <c r="F30" s="22" t="s">
        <v>261</v>
      </c>
      <c r="G30" s="22" t="s">
        <v>261</v>
      </c>
      <c r="H30" s="22" t="s">
        <v>261</v>
      </c>
      <c r="I30" s="22" t="s">
        <v>261</v>
      </c>
      <c r="J30" s="22" t="s">
        <v>261</v>
      </c>
      <c r="K30" s="22" t="s">
        <v>261</v>
      </c>
      <c r="L30" s="22" t="s">
        <v>261</v>
      </c>
      <c r="M30" s="22" t="s">
        <v>261</v>
      </c>
      <c r="N30" s="22" t="s">
        <v>261</v>
      </c>
      <c r="O30" s="22" t="s">
        <v>261</v>
      </c>
      <c r="P30" s="22" t="s">
        <v>261</v>
      </c>
      <c r="Q30" s="22" t="s">
        <v>261</v>
      </c>
      <c r="R30" s="22" t="s">
        <v>261</v>
      </c>
      <c r="S30" s="22" t="s">
        <v>261</v>
      </c>
      <c r="T30" s="22" t="s">
        <v>261</v>
      </c>
      <c r="U30" s="22" t="s">
        <v>261</v>
      </c>
      <c r="V30" s="22" t="s">
        <v>261</v>
      </c>
      <c r="W30" s="22" t="s">
        <v>261</v>
      </c>
      <c r="X30" s="22" t="s">
        <v>261</v>
      </c>
      <c r="Y30" s="22" t="s">
        <v>261</v>
      </c>
      <c r="Z30" s="22" t="s">
        <v>261</v>
      </c>
      <c r="AA30" s="22" t="s">
        <v>261</v>
      </c>
      <c r="AB30" s="22" t="s">
        <v>262</v>
      </c>
      <c r="AC30" s="22" t="s">
        <v>262</v>
      </c>
      <c r="AD30" s="22" t="s">
        <v>262</v>
      </c>
      <c r="AE30" s="22" t="s">
        <v>262</v>
      </c>
      <c r="AF30" s="22" t="s">
        <v>262</v>
      </c>
      <c r="AG30" s="22" t="s">
        <v>262</v>
      </c>
      <c r="AH30" s="22" t="s">
        <v>262</v>
      </c>
      <c r="AI30" s="22" t="s">
        <v>262</v>
      </c>
      <c r="AJ30" s="22" t="s">
        <v>262</v>
      </c>
      <c r="AK30" s="22" t="s">
        <v>262</v>
      </c>
      <c r="AL30" s="22" t="s">
        <v>262</v>
      </c>
      <c r="AM30" s="22" t="s">
        <v>262</v>
      </c>
      <c r="AN30" s="22">
        <v>1</v>
      </c>
      <c r="AO30" s="22" t="s">
        <v>261</v>
      </c>
      <c r="AP30" s="22" t="s">
        <v>261</v>
      </c>
      <c r="AQ30" s="22" t="s">
        <v>261</v>
      </c>
      <c r="AR30" s="22" t="s">
        <v>261</v>
      </c>
      <c r="AS30" s="22" t="s">
        <v>261</v>
      </c>
      <c r="AT30" s="22" t="s">
        <v>261</v>
      </c>
      <c r="AU30" s="22" t="s">
        <v>261</v>
      </c>
      <c r="AV30" s="22" t="s">
        <v>261</v>
      </c>
      <c r="AW30" s="22" t="s">
        <v>261</v>
      </c>
      <c r="AX30" s="22" t="s">
        <v>261</v>
      </c>
      <c r="AY30" s="22" t="s">
        <v>261</v>
      </c>
      <c r="AZ30" s="22" t="s">
        <v>261</v>
      </c>
      <c r="BA30" s="22" t="s">
        <v>261</v>
      </c>
      <c r="BB30" s="22" t="s">
        <v>261</v>
      </c>
      <c r="BC30" s="22" t="s">
        <v>261</v>
      </c>
      <c r="BD30" s="22" t="s">
        <v>261</v>
      </c>
      <c r="BE30" s="22" t="s">
        <v>261</v>
      </c>
      <c r="BF30" s="22" t="s">
        <v>261</v>
      </c>
      <c r="BG30" s="22" t="s">
        <v>261</v>
      </c>
      <c r="BH30" s="22" t="s">
        <v>261</v>
      </c>
      <c r="BI30" s="22" t="s">
        <v>261</v>
      </c>
      <c r="BJ30" s="22" t="s">
        <v>261</v>
      </c>
      <c r="BK30" s="22" t="s">
        <v>261</v>
      </c>
      <c r="BL30" s="22" t="s">
        <v>261</v>
      </c>
      <c r="BM30" s="22" t="s">
        <v>262</v>
      </c>
      <c r="BN30" s="22" t="s">
        <v>262</v>
      </c>
      <c r="BO30" s="22" t="s">
        <v>262</v>
      </c>
      <c r="BP30" s="22" t="s">
        <v>262</v>
      </c>
      <c r="BQ30" s="22" t="s">
        <v>262</v>
      </c>
      <c r="BR30" s="22" t="s">
        <v>262</v>
      </c>
      <c r="BS30" s="22" t="s">
        <v>262</v>
      </c>
      <c r="BT30" s="22" t="s">
        <v>262</v>
      </c>
      <c r="BU30" s="22" t="s">
        <v>262</v>
      </c>
      <c r="BV30" s="22" t="s">
        <v>262</v>
      </c>
      <c r="BW30" s="22" t="s">
        <v>262</v>
      </c>
      <c r="BX30" s="22" t="s">
        <v>262</v>
      </c>
    </row>
    <row r="31" spans="1:76" ht="15.6" customHeight="1">
      <c r="A31" s="127" t="s">
        <v>256</v>
      </c>
      <c r="B31" s="128"/>
    </row>
    <row r="32" spans="1:76" ht="15.6" customHeight="1">
      <c r="A32" s="84" t="s">
        <v>257</v>
      </c>
    </row>
    <row r="33" spans="1:1" ht="19.5" customHeight="1">
      <c r="A33" s="31" t="s">
        <v>124</v>
      </c>
    </row>
    <row r="34" spans="1:1" ht="19.5" customHeight="1">
      <c r="A34" s="31"/>
    </row>
  </sheetData>
  <mergeCells count="101">
    <mergeCell ref="BT6:BT7"/>
    <mergeCell ref="BU6:BU7"/>
    <mergeCell ref="BV6:BV7"/>
    <mergeCell ref="BW6:BW7"/>
    <mergeCell ref="BX6:BX7"/>
    <mergeCell ref="BN6:BN7"/>
    <mergeCell ref="BO6:BO7"/>
    <mergeCell ref="BP6:BP7"/>
    <mergeCell ref="BQ6:BQ7"/>
    <mergeCell ref="BR6:BR7"/>
    <mergeCell ref="BS6:BS7"/>
    <mergeCell ref="BH6:BH7"/>
    <mergeCell ref="BI6:BI7"/>
    <mergeCell ref="BJ6:BJ7"/>
    <mergeCell ref="BK6:BK7"/>
    <mergeCell ref="BL6:BL7"/>
    <mergeCell ref="BM6:BM7"/>
    <mergeCell ref="BB6:BB7"/>
    <mergeCell ref="BC6:BC7"/>
    <mergeCell ref="BD6:BD7"/>
    <mergeCell ref="BE6:BE7"/>
    <mergeCell ref="BF6:BF7"/>
    <mergeCell ref="BG6:BG7"/>
    <mergeCell ref="AX6:AX7"/>
    <mergeCell ref="AY6:AY7"/>
    <mergeCell ref="AZ6:AZ7"/>
    <mergeCell ref="BA6:BA7"/>
    <mergeCell ref="AP6:AP7"/>
    <mergeCell ref="AQ6:AQ7"/>
    <mergeCell ref="AR6:AR7"/>
    <mergeCell ref="AS6:AS7"/>
    <mergeCell ref="AT6:AT7"/>
    <mergeCell ref="AU6:AU7"/>
    <mergeCell ref="BP5:BR5"/>
    <mergeCell ref="BS5:BU5"/>
    <mergeCell ref="BV5:BX5"/>
    <mergeCell ref="AX5:AZ5"/>
    <mergeCell ref="BD5:BF5"/>
    <mergeCell ref="BG5:BI5"/>
    <mergeCell ref="BJ5:BL5"/>
    <mergeCell ref="W6:W7"/>
    <mergeCell ref="X6:X7"/>
    <mergeCell ref="Y6:Y7"/>
    <mergeCell ref="Z6:Z7"/>
    <mergeCell ref="AA6:AA7"/>
    <mergeCell ref="AB6:AB7"/>
    <mergeCell ref="AI6:AI7"/>
    <mergeCell ref="AJ6:AJ7"/>
    <mergeCell ref="AK6:AK7"/>
    <mergeCell ref="AL6:AL7"/>
    <mergeCell ref="AM6:AM7"/>
    <mergeCell ref="AO6:AO7"/>
    <mergeCell ref="AC6:AC7"/>
    <mergeCell ref="AD6:AD7"/>
    <mergeCell ref="AE6:AE7"/>
    <mergeCell ref="AF6:AF7"/>
    <mergeCell ref="AG6:AG7"/>
    <mergeCell ref="H6:H7"/>
    <mergeCell ref="I6:I7"/>
    <mergeCell ref="J6:J7"/>
    <mergeCell ref="AR5:AT5"/>
    <mergeCell ref="AU5:AW5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AH6:AH7"/>
    <mergeCell ref="AV6:AV7"/>
    <mergeCell ref="AW6:AW7"/>
    <mergeCell ref="A3:B7"/>
    <mergeCell ref="C3:AM3"/>
    <mergeCell ref="AN3:BX3"/>
    <mergeCell ref="C4:C7"/>
    <mergeCell ref="D4:O4"/>
    <mergeCell ref="P4:AA4"/>
    <mergeCell ref="AB4:AM4"/>
    <mergeCell ref="AN4:AN7"/>
    <mergeCell ref="AO4:AZ4"/>
    <mergeCell ref="BA4:BL4"/>
    <mergeCell ref="BM4:BX4"/>
    <mergeCell ref="G5:I5"/>
    <mergeCell ref="J5:L5"/>
    <mergeCell ref="M5:O5"/>
    <mergeCell ref="S5:U5"/>
    <mergeCell ref="V5:X5"/>
    <mergeCell ref="Y5:AA5"/>
    <mergeCell ref="AE5:AG5"/>
    <mergeCell ref="AH5:AJ5"/>
    <mergeCell ref="AK5:AM5"/>
    <mergeCell ref="D6:D7"/>
    <mergeCell ref="E6:E7"/>
    <mergeCell ref="F6:F7"/>
    <mergeCell ref="G6:G7"/>
  </mergeCells>
  <phoneticPr fontId="6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85" fitToWidth="10" orientation="landscape" useFirstPageNumber="1" horizontalDpi="4294967292" verticalDpi="3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BX34"/>
  <sheetViews>
    <sheetView zoomScaleNormal="100" zoomScaleSheetLayoutView="100" workbookViewId="0">
      <pane xSplit="2" ySplit="7" topLeftCell="C8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0.1640625" style="84" customWidth="1"/>
    <col min="2" max="2" width="20.1640625" style="84" customWidth="1"/>
    <col min="3" max="15" width="11.5" style="84" customWidth="1"/>
    <col min="16" max="39" width="12.1640625" style="84" customWidth="1"/>
    <col min="40" max="52" width="11.5" style="84" customWidth="1"/>
    <col min="53" max="64" width="12" style="84" customWidth="1"/>
    <col min="65" max="76" width="12.1640625" style="84" customWidth="1"/>
    <col min="77" max="16384" width="12" style="84"/>
  </cols>
  <sheetData>
    <row r="1" spans="1:76" ht="19.5" customHeight="1">
      <c r="A1" s="115" t="s">
        <v>293</v>
      </c>
      <c r="B1" s="117"/>
    </row>
    <row r="2" spans="1:76" ht="19.5" customHeight="1">
      <c r="A2" s="26" t="s">
        <v>122</v>
      </c>
      <c r="B2" s="129"/>
    </row>
    <row r="3" spans="1:76" ht="19.5" customHeight="1">
      <c r="A3" s="410" t="s">
        <v>316</v>
      </c>
      <c r="B3" s="411"/>
      <c r="C3" s="405" t="s">
        <v>294</v>
      </c>
      <c r="D3" s="406"/>
      <c r="E3" s="406"/>
      <c r="F3" s="406"/>
      <c r="G3" s="406"/>
      <c r="H3" s="406"/>
      <c r="I3" s="406"/>
      <c r="J3" s="406"/>
      <c r="K3" s="406"/>
      <c r="L3" s="406"/>
      <c r="M3" s="406"/>
      <c r="N3" s="406"/>
      <c r="O3" s="406"/>
      <c r="P3" s="406"/>
      <c r="Q3" s="406"/>
      <c r="R3" s="406"/>
      <c r="S3" s="406"/>
      <c r="T3" s="406"/>
      <c r="U3" s="406"/>
      <c r="V3" s="406"/>
      <c r="W3" s="406"/>
      <c r="X3" s="406"/>
      <c r="Y3" s="406"/>
      <c r="Z3" s="406"/>
      <c r="AA3" s="406"/>
      <c r="AB3" s="406"/>
      <c r="AC3" s="406"/>
      <c r="AD3" s="406"/>
      <c r="AE3" s="406"/>
      <c r="AF3" s="406"/>
      <c r="AG3" s="406"/>
      <c r="AH3" s="406"/>
      <c r="AI3" s="406"/>
      <c r="AJ3" s="406"/>
      <c r="AK3" s="406"/>
      <c r="AL3" s="406"/>
      <c r="AM3" s="407"/>
      <c r="AN3" s="405" t="s">
        <v>295</v>
      </c>
      <c r="AO3" s="406"/>
      <c r="AP3" s="406"/>
      <c r="AQ3" s="406"/>
      <c r="AR3" s="406"/>
      <c r="AS3" s="406"/>
      <c r="AT3" s="406"/>
      <c r="AU3" s="406"/>
      <c r="AV3" s="406"/>
      <c r="AW3" s="406"/>
      <c r="AX3" s="406"/>
      <c r="AY3" s="406"/>
      <c r="AZ3" s="406"/>
      <c r="BA3" s="406"/>
      <c r="BB3" s="406"/>
      <c r="BC3" s="406"/>
      <c r="BD3" s="406"/>
      <c r="BE3" s="406"/>
      <c r="BF3" s="406"/>
      <c r="BG3" s="406"/>
      <c r="BH3" s="406"/>
      <c r="BI3" s="406"/>
      <c r="BJ3" s="406"/>
      <c r="BK3" s="406"/>
      <c r="BL3" s="406"/>
      <c r="BM3" s="406"/>
      <c r="BN3" s="406"/>
      <c r="BO3" s="406"/>
      <c r="BP3" s="406"/>
      <c r="BQ3" s="406"/>
      <c r="BR3" s="406"/>
      <c r="BS3" s="406"/>
      <c r="BT3" s="406"/>
      <c r="BU3" s="406"/>
      <c r="BV3" s="406"/>
      <c r="BW3" s="406"/>
      <c r="BX3" s="406"/>
    </row>
    <row r="4" spans="1:76" s="82" customFormat="1" ht="19.5" customHeight="1">
      <c r="A4" s="412"/>
      <c r="B4" s="413"/>
      <c r="C4" s="416" t="s">
        <v>296</v>
      </c>
      <c r="D4" s="405" t="s">
        <v>297</v>
      </c>
      <c r="E4" s="406"/>
      <c r="F4" s="406"/>
      <c r="G4" s="406"/>
      <c r="H4" s="406"/>
      <c r="I4" s="406"/>
      <c r="J4" s="406"/>
      <c r="K4" s="406"/>
      <c r="L4" s="406"/>
      <c r="M4" s="406"/>
      <c r="N4" s="406"/>
      <c r="O4" s="407"/>
      <c r="P4" s="419" t="s">
        <v>298</v>
      </c>
      <c r="Q4" s="419"/>
      <c r="R4" s="419"/>
      <c r="S4" s="419"/>
      <c r="T4" s="419"/>
      <c r="U4" s="419"/>
      <c r="V4" s="419"/>
      <c r="W4" s="419"/>
      <c r="X4" s="419"/>
      <c r="Y4" s="419"/>
      <c r="Z4" s="419"/>
      <c r="AA4" s="419"/>
      <c r="AB4" s="419" t="s">
        <v>299</v>
      </c>
      <c r="AC4" s="419"/>
      <c r="AD4" s="419"/>
      <c r="AE4" s="419"/>
      <c r="AF4" s="419"/>
      <c r="AG4" s="419"/>
      <c r="AH4" s="419"/>
      <c r="AI4" s="419"/>
      <c r="AJ4" s="419"/>
      <c r="AK4" s="419"/>
      <c r="AL4" s="419"/>
      <c r="AM4" s="419"/>
      <c r="AN4" s="417" t="s">
        <v>300</v>
      </c>
      <c r="AO4" s="405" t="s">
        <v>297</v>
      </c>
      <c r="AP4" s="406"/>
      <c r="AQ4" s="406"/>
      <c r="AR4" s="406"/>
      <c r="AS4" s="406"/>
      <c r="AT4" s="406"/>
      <c r="AU4" s="406"/>
      <c r="AV4" s="406"/>
      <c r="AW4" s="406"/>
      <c r="AX4" s="406"/>
      <c r="AY4" s="406"/>
      <c r="AZ4" s="407"/>
      <c r="BA4" s="405" t="s">
        <v>301</v>
      </c>
      <c r="BB4" s="406"/>
      <c r="BC4" s="406"/>
      <c r="BD4" s="406"/>
      <c r="BE4" s="406"/>
      <c r="BF4" s="406"/>
      <c r="BG4" s="406"/>
      <c r="BH4" s="406"/>
      <c r="BI4" s="406"/>
      <c r="BJ4" s="406"/>
      <c r="BK4" s="406"/>
      <c r="BL4" s="407"/>
      <c r="BM4" s="405" t="s">
        <v>302</v>
      </c>
      <c r="BN4" s="406"/>
      <c r="BO4" s="406"/>
      <c r="BP4" s="406"/>
      <c r="BQ4" s="406"/>
      <c r="BR4" s="406"/>
      <c r="BS4" s="406"/>
      <c r="BT4" s="406"/>
      <c r="BU4" s="406"/>
      <c r="BV4" s="406"/>
      <c r="BW4" s="406"/>
      <c r="BX4" s="406"/>
    </row>
    <row r="5" spans="1:76" s="83" customFormat="1" ht="27" customHeight="1">
      <c r="A5" s="412"/>
      <c r="B5" s="413"/>
      <c r="C5" s="417"/>
      <c r="D5" s="130" t="s">
        <v>303</v>
      </c>
      <c r="E5" s="131"/>
      <c r="F5" s="132"/>
      <c r="G5" s="420" t="s">
        <v>304</v>
      </c>
      <c r="H5" s="420"/>
      <c r="I5" s="420"/>
      <c r="J5" s="420" t="s">
        <v>305</v>
      </c>
      <c r="K5" s="420"/>
      <c r="L5" s="420"/>
      <c r="M5" s="420" t="s">
        <v>306</v>
      </c>
      <c r="N5" s="420"/>
      <c r="O5" s="420"/>
      <c r="P5" s="130" t="s">
        <v>303</v>
      </c>
      <c r="Q5" s="131"/>
      <c r="R5" s="132"/>
      <c r="S5" s="420" t="s">
        <v>304</v>
      </c>
      <c r="T5" s="420"/>
      <c r="U5" s="420"/>
      <c r="V5" s="420" t="s">
        <v>305</v>
      </c>
      <c r="W5" s="420"/>
      <c r="X5" s="420"/>
      <c r="Y5" s="420" t="s">
        <v>306</v>
      </c>
      <c r="Z5" s="420"/>
      <c r="AA5" s="420"/>
      <c r="AB5" s="130" t="s">
        <v>303</v>
      </c>
      <c r="AC5" s="131"/>
      <c r="AD5" s="132"/>
      <c r="AE5" s="420" t="s">
        <v>304</v>
      </c>
      <c r="AF5" s="420"/>
      <c r="AG5" s="420"/>
      <c r="AH5" s="420" t="s">
        <v>305</v>
      </c>
      <c r="AI5" s="420"/>
      <c r="AJ5" s="420"/>
      <c r="AK5" s="420" t="s">
        <v>306</v>
      </c>
      <c r="AL5" s="420"/>
      <c r="AM5" s="420"/>
      <c r="AN5" s="417"/>
      <c r="AO5" s="130" t="s">
        <v>303</v>
      </c>
      <c r="AP5" s="131"/>
      <c r="AQ5" s="132"/>
      <c r="AR5" s="420" t="s">
        <v>304</v>
      </c>
      <c r="AS5" s="420"/>
      <c r="AT5" s="420"/>
      <c r="AU5" s="420" t="s">
        <v>305</v>
      </c>
      <c r="AV5" s="420"/>
      <c r="AW5" s="420"/>
      <c r="AX5" s="420" t="s">
        <v>306</v>
      </c>
      <c r="AY5" s="420"/>
      <c r="AZ5" s="420"/>
      <c r="BA5" s="130" t="s">
        <v>303</v>
      </c>
      <c r="BB5" s="133"/>
      <c r="BC5" s="132"/>
      <c r="BD5" s="420" t="s">
        <v>304</v>
      </c>
      <c r="BE5" s="420"/>
      <c r="BF5" s="420"/>
      <c r="BG5" s="420" t="s">
        <v>305</v>
      </c>
      <c r="BH5" s="420"/>
      <c r="BI5" s="420"/>
      <c r="BJ5" s="420" t="s">
        <v>306</v>
      </c>
      <c r="BK5" s="420"/>
      <c r="BL5" s="420"/>
      <c r="BM5" s="130" t="s">
        <v>303</v>
      </c>
      <c r="BN5" s="133"/>
      <c r="BO5" s="132"/>
      <c r="BP5" s="420" t="s">
        <v>304</v>
      </c>
      <c r="BQ5" s="420"/>
      <c r="BR5" s="420"/>
      <c r="BS5" s="420" t="s">
        <v>305</v>
      </c>
      <c r="BT5" s="420"/>
      <c r="BU5" s="420"/>
      <c r="BV5" s="420" t="s">
        <v>306</v>
      </c>
      <c r="BW5" s="420"/>
      <c r="BX5" s="422"/>
    </row>
    <row r="6" spans="1:76" ht="19.5" customHeight="1">
      <c r="A6" s="412"/>
      <c r="B6" s="413"/>
      <c r="C6" s="417"/>
      <c r="D6" s="416" t="s">
        <v>307</v>
      </c>
      <c r="E6" s="416" t="s">
        <v>308</v>
      </c>
      <c r="F6" s="416" t="s">
        <v>309</v>
      </c>
      <c r="G6" s="416" t="s">
        <v>307</v>
      </c>
      <c r="H6" s="416" t="s">
        <v>308</v>
      </c>
      <c r="I6" s="416" t="s">
        <v>309</v>
      </c>
      <c r="J6" s="416" t="s">
        <v>307</v>
      </c>
      <c r="K6" s="416" t="s">
        <v>308</v>
      </c>
      <c r="L6" s="416" t="s">
        <v>309</v>
      </c>
      <c r="M6" s="416" t="s">
        <v>307</v>
      </c>
      <c r="N6" s="416" t="s">
        <v>308</v>
      </c>
      <c r="O6" s="416" t="s">
        <v>309</v>
      </c>
      <c r="P6" s="416" t="s">
        <v>307</v>
      </c>
      <c r="Q6" s="416" t="s">
        <v>308</v>
      </c>
      <c r="R6" s="416" t="s">
        <v>309</v>
      </c>
      <c r="S6" s="416" t="s">
        <v>307</v>
      </c>
      <c r="T6" s="416" t="s">
        <v>308</v>
      </c>
      <c r="U6" s="416" t="s">
        <v>309</v>
      </c>
      <c r="V6" s="416" t="s">
        <v>307</v>
      </c>
      <c r="W6" s="416" t="s">
        <v>308</v>
      </c>
      <c r="X6" s="416" t="s">
        <v>309</v>
      </c>
      <c r="Y6" s="416" t="s">
        <v>307</v>
      </c>
      <c r="Z6" s="416" t="s">
        <v>308</v>
      </c>
      <c r="AA6" s="416" t="s">
        <v>309</v>
      </c>
      <c r="AB6" s="416" t="s">
        <v>307</v>
      </c>
      <c r="AC6" s="416" t="s">
        <v>308</v>
      </c>
      <c r="AD6" s="416" t="s">
        <v>309</v>
      </c>
      <c r="AE6" s="416" t="s">
        <v>307</v>
      </c>
      <c r="AF6" s="416" t="s">
        <v>308</v>
      </c>
      <c r="AG6" s="416" t="s">
        <v>309</v>
      </c>
      <c r="AH6" s="416" t="s">
        <v>307</v>
      </c>
      <c r="AI6" s="416" t="s">
        <v>308</v>
      </c>
      <c r="AJ6" s="416" t="s">
        <v>309</v>
      </c>
      <c r="AK6" s="416" t="s">
        <v>307</v>
      </c>
      <c r="AL6" s="416" t="s">
        <v>308</v>
      </c>
      <c r="AM6" s="416" t="s">
        <v>309</v>
      </c>
      <c r="AN6" s="417"/>
      <c r="AO6" s="416" t="s">
        <v>307</v>
      </c>
      <c r="AP6" s="416" t="s">
        <v>308</v>
      </c>
      <c r="AQ6" s="416" t="s">
        <v>309</v>
      </c>
      <c r="AR6" s="416" t="s">
        <v>307</v>
      </c>
      <c r="AS6" s="416" t="s">
        <v>308</v>
      </c>
      <c r="AT6" s="416" t="s">
        <v>309</v>
      </c>
      <c r="AU6" s="416" t="s">
        <v>307</v>
      </c>
      <c r="AV6" s="416" t="s">
        <v>308</v>
      </c>
      <c r="AW6" s="416" t="s">
        <v>309</v>
      </c>
      <c r="AX6" s="416" t="s">
        <v>307</v>
      </c>
      <c r="AY6" s="416" t="s">
        <v>308</v>
      </c>
      <c r="AZ6" s="416" t="s">
        <v>309</v>
      </c>
      <c r="BA6" s="416" t="s">
        <v>307</v>
      </c>
      <c r="BB6" s="416" t="s">
        <v>308</v>
      </c>
      <c r="BC6" s="416" t="s">
        <v>309</v>
      </c>
      <c r="BD6" s="416" t="s">
        <v>307</v>
      </c>
      <c r="BE6" s="416" t="s">
        <v>308</v>
      </c>
      <c r="BF6" s="416" t="s">
        <v>309</v>
      </c>
      <c r="BG6" s="416" t="s">
        <v>307</v>
      </c>
      <c r="BH6" s="416" t="s">
        <v>308</v>
      </c>
      <c r="BI6" s="416" t="s">
        <v>309</v>
      </c>
      <c r="BJ6" s="416" t="s">
        <v>307</v>
      </c>
      <c r="BK6" s="416" t="s">
        <v>308</v>
      </c>
      <c r="BL6" s="416" t="s">
        <v>309</v>
      </c>
      <c r="BM6" s="416" t="s">
        <v>307</v>
      </c>
      <c r="BN6" s="416" t="s">
        <v>308</v>
      </c>
      <c r="BO6" s="416" t="s">
        <v>309</v>
      </c>
      <c r="BP6" s="416" t="s">
        <v>307</v>
      </c>
      <c r="BQ6" s="416" t="s">
        <v>308</v>
      </c>
      <c r="BR6" s="416" t="s">
        <v>309</v>
      </c>
      <c r="BS6" s="416" t="s">
        <v>307</v>
      </c>
      <c r="BT6" s="416" t="s">
        <v>308</v>
      </c>
      <c r="BU6" s="416" t="s">
        <v>309</v>
      </c>
      <c r="BV6" s="416" t="s">
        <v>307</v>
      </c>
      <c r="BW6" s="416" t="s">
        <v>308</v>
      </c>
      <c r="BX6" s="423" t="s">
        <v>309</v>
      </c>
    </row>
    <row r="7" spans="1:76" ht="19.5" customHeight="1">
      <c r="A7" s="414"/>
      <c r="B7" s="415"/>
      <c r="C7" s="418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421"/>
      <c r="S7" s="421"/>
      <c r="T7" s="421"/>
      <c r="U7" s="421"/>
      <c r="V7" s="421"/>
      <c r="W7" s="421"/>
      <c r="X7" s="421"/>
      <c r="Y7" s="421"/>
      <c r="Z7" s="421"/>
      <c r="AA7" s="421"/>
      <c r="AB7" s="421"/>
      <c r="AC7" s="421"/>
      <c r="AD7" s="421"/>
      <c r="AE7" s="421"/>
      <c r="AF7" s="421"/>
      <c r="AG7" s="421"/>
      <c r="AH7" s="421"/>
      <c r="AI7" s="421"/>
      <c r="AJ7" s="421"/>
      <c r="AK7" s="421"/>
      <c r="AL7" s="421"/>
      <c r="AM7" s="421"/>
      <c r="AN7" s="418"/>
      <c r="AO7" s="421"/>
      <c r="AP7" s="421"/>
      <c r="AQ7" s="421"/>
      <c r="AR7" s="421"/>
      <c r="AS7" s="421"/>
      <c r="AT7" s="421"/>
      <c r="AU7" s="421"/>
      <c r="AV7" s="421"/>
      <c r="AW7" s="421"/>
      <c r="AX7" s="421"/>
      <c r="AY7" s="421"/>
      <c r="AZ7" s="421"/>
      <c r="BA7" s="421"/>
      <c r="BB7" s="421"/>
      <c r="BC7" s="421"/>
      <c r="BD7" s="421"/>
      <c r="BE7" s="421"/>
      <c r="BF7" s="421"/>
      <c r="BG7" s="421"/>
      <c r="BH7" s="421"/>
      <c r="BI7" s="421"/>
      <c r="BJ7" s="421"/>
      <c r="BK7" s="421"/>
      <c r="BL7" s="421"/>
      <c r="BM7" s="421"/>
      <c r="BN7" s="421"/>
      <c r="BO7" s="421"/>
      <c r="BP7" s="421"/>
      <c r="BQ7" s="421"/>
      <c r="BR7" s="421"/>
      <c r="BS7" s="421"/>
      <c r="BT7" s="421"/>
      <c r="BU7" s="421"/>
      <c r="BV7" s="421"/>
      <c r="BW7" s="421"/>
      <c r="BX7" s="424"/>
    </row>
    <row r="8" spans="1:76" s="123" customFormat="1" ht="15.6" customHeight="1">
      <c r="A8" s="134" t="s">
        <v>292</v>
      </c>
      <c r="B8" s="121" t="s">
        <v>199</v>
      </c>
      <c r="C8" s="122">
        <v>26</v>
      </c>
      <c r="D8" s="122">
        <v>511</v>
      </c>
      <c r="E8" s="122">
        <v>158</v>
      </c>
      <c r="F8" s="122">
        <v>353</v>
      </c>
      <c r="G8" s="122">
        <v>22</v>
      </c>
      <c r="H8" s="122">
        <v>7</v>
      </c>
      <c r="I8" s="122">
        <v>15</v>
      </c>
      <c r="J8" s="122">
        <v>27</v>
      </c>
      <c r="K8" s="122">
        <v>10</v>
      </c>
      <c r="L8" s="122">
        <v>17</v>
      </c>
      <c r="M8" s="122">
        <v>462</v>
      </c>
      <c r="N8" s="122">
        <v>141</v>
      </c>
      <c r="O8" s="122">
        <v>321</v>
      </c>
      <c r="P8" s="122">
        <v>101275</v>
      </c>
      <c r="Q8" s="122">
        <v>31306</v>
      </c>
      <c r="R8" s="122">
        <v>69969</v>
      </c>
      <c r="S8" s="122">
        <v>5063</v>
      </c>
      <c r="T8" s="122">
        <v>1685</v>
      </c>
      <c r="U8" s="122">
        <v>3378</v>
      </c>
      <c r="V8" s="122">
        <v>5449</v>
      </c>
      <c r="W8" s="122">
        <v>2016</v>
      </c>
      <c r="X8" s="122">
        <v>3433</v>
      </c>
      <c r="Y8" s="122">
        <v>90763</v>
      </c>
      <c r="Z8" s="122">
        <v>27605</v>
      </c>
      <c r="AA8" s="122">
        <v>63158</v>
      </c>
      <c r="AB8" s="122">
        <v>786443.8</v>
      </c>
      <c r="AC8" s="122">
        <v>253353.2</v>
      </c>
      <c r="AD8" s="122">
        <v>533090.6</v>
      </c>
      <c r="AE8" s="122">
        <v>33883.300000000003</v>
      </c>
      <c r="AF8" s="122">
        <v>12208</v>
      </c>
      <c r="AG8" s="122">
        <v>21675.3</v>
      </c>
      <c r="AH8" s="122">
        <v>38806.199999999997</v>
      </c>
      <c r="AI8" s="122">
        <v>13677</v>
      </c>
      <c r="AJ8" s="122">
        <v>25129.200000000001</v>
      </c>
      <c r="AK8" s="122">
        <v>713754.3</v>
      </c>
      <c r="AL8" s="122">
        <v>227468.2</v>
      </c>
      <c r="AM8" s="122">
        <v>486286.1</v>
      </c>
      <c r="AN8" s="122">
        <v>166</v>
      </c>
      <c r="AO8" s="122">
        <v>3406</v>
      </c>
      <c r="AP8" s="122">
        <v>1247</v>
      </c>
      <c r="AQ8" s="122">
        <v>2159</v>
      </c>
      <c r="AR8" s="122">
        <v>269</v>
      </c>
      <c r="AS8" s="122">
        <v>125</v>
      </c>
      <c r="AT8" s="122">
        <v>144</v>
      </c>
      <c r="AU8" s="122">
        <v>195</v>
      </c>
      <c r="AV8" s="122">
        <v>86</v>
      </c>
      <c r="AW8" s="122">
        <v>109</v>
      </c>
      <c r="AX8" s="122">
        <v>2942</v>
      </c>
      <c r="AY8" s="122">
        <v>1036</v>
      </c>
      <c r="AZ8" s="122">
        <v>1906</v>
      </c>
      <c r="BA8" s="122">
        <v>630068</v>
      </c>
      <c r="BB8" s="122">
        <v>225645</v>
      </c>
      <c r="BC8" s="122">
        <v>404423</v>
      </c>
      <c r="BD8" s="122">
        <v>50949</v>
      </c>
      <c r="BE8" s="122">
        <v>22912</v>
      </c>
      <c r="BF8" s="122">
        <v>28037</v>
      </c>
      <c r="BG8" s="122">
        <v>34020</v>
      </c>
      <c r="BH8" s="122">
        <v>14518</v>
      </c>
      <c r="BI8" s="122">
        <v>19502</v>
      </c>
      <c r="BJ8" s="122">
        <v>545099</v>
      </c>
      <c r="BK8" s="122">
        <v>188215</v>
      </c>
      <c r="BL8" s="122">
        <v>356884</v>
      </c>
      <c r="BM8" s="122">
        <v>5025312</v>
      </c>
      <c r="BN8" s="122">
        <v>1687814.1</v>
      </c>
      <c r="BO8" s="122">
        <v>3337497.9</v>
      </c>
      <c r="BP8" s="122">
        <v>362989.3</v>
      </c>
      <c r="BQ8" s="122">
        <v>154430.39999999999</v>
      </c>
      <c r="BR8" s="122">
        <v>208558.9</v>
      </c>
      <c r="BS8" s="122">
        <v>261801.1</v>
      </c>
      <c r="BT8" s="122">
        <v>111589</v>
      </c>
      <c r="BU8" s="122">
        <v>150212.1</v>
      </c>
      <c r="BV8" s="122">
        <v>4400521.5999999996</v>
      </c>
      <c r="BW8" s="122">
        <v>1421794.7</v>
      </c>
      <c r="BX8" s="122">
        <v>2978726.9</v>
      </c>
    </row>
    <row r="9" spans="1:76" s="126" customFormat="1" ht="15.6" customHeight="1">
      <c r="A9" s="91" t="s">
        <v>125</v>
      </c>
      <c r="B9" s="124" t="s">
        <v>318</v>
      </c>
      <c r="C9" s="125">
        <v>1</v>
      </c>
      <c r="D9" s="125">
        <v>41</v>
      </c>
      <c r="E9" s="125">
        <v>12</v>
      </c>
      <c r="F9" s="125">
        <v>29</v>
      </c>
      <c r="G9" s="125">
        <v>1</v>
      </c>
      <c r="H9" s="125" t="s">
        <v>261</v>
      </c>
      <c r="I9" s="125">
        <v>1</v>
      </c>
      <c r="J9" s="125">
        <v>1</v>
      </c>
      <c r="K9" s="125" t="s">
        <v>261</v>
      </c>
      <c r="L9" s="125">
        <v>1</v>
      </c>
      <c r="M9" s="125">
        <v>39</v>
      </c>
      <c r="N9" s="125">
        <v>12</v>
      </c>
      <c r="O9" s="125">
        <v>27</v>
      </c>
      <c r="P9" s="125">
        <v>10184</v>
      </c>
      <c r="Q9" s="125">
        <v>2688</v>
      </c>
      <c r="R9" s="125">
        <v>7496</v>
      </c>
      <c r="S9" s="125">
        <v>295</v>
      </c>
      <c r="T9" s="125" t="s">
        <v>261</v>
      </c>
      <c r="U9" s="125">
        <v>295</v>
      </c>
      <c r="V9" s="125">
        <v>270</v>
      </c>
      <c r="W9" s="125" t="s">
        <v>261</v>
      </c>
      <c r="X9" s="125">
        <v>270</v>
      </c>
      <c r="Y9" s="125">
        <v>9619</v>
      </c>
      <c r="Z9" s="125">
        <v>2688</v>
      </c>
      <c r="AA9" s="125">
        <v>6931</v>
      </c>
      <c r="AB9" s="125">
        <v>84636</v>
      </c>
      <c r="AC9" s="125">
        <v>22528</v>
      </c>
      <c r="AD9" s="125">
        <v>62108</v>
      </c>
      <c r="AE9" s="125">
        <v>2444</v>
      </c>
      <c r="AF9" s="125" t="s">
        <v>262</v>
      </c>
      <c r="AG9" s="125">
        <v>2444</v>
      </c>
      <c r="AH9" s="125">
        <v>2288</v>
      </c>
      <c r="AI9" s="125" t="s">
        <v>262</v>
      </c>
      <c r="AJ9" s="125">
        <v>2288</v>
      </c>
      <c r="AK9" s="125">
        <v>79904</v>
      </c>
      <c r="AL9" s="125">
        <v>22528</v>
      </c>
      <c r="AM9" s="125">
        <v>57376</v>
      </c>
      <c r="AN9" s="125">
        <v>21</v>
      </c>
      <c r="AO9" s="125">
        <v>397</v>
      </c>
      <c r="AP9" s="125">
        <v>138</v>
      </c>
      <c r="AQ9" s="125">
        <v>259</v>
      </c>
      <c r="AR9" s="125">
        <v>22</v>
      </c>
      <c r="AS9" s="125">
        <v>6</v>
      </c>
      <c r="AT9" s="125">
        <v>16</v>
      </c>
      <c r="AU9" s="125">
        <v>14</v>
      </c>
      <c r="AV9" s="125">
        <v>5</v>
      </c>
      <c r="AW9" s="125">
        <v>9</v>
      </c>
      <c r="AX9" s="125">
        <v>361</v>
      </c>
      <c r="AY9" s="125">
        <v>127</v>
      </c>
      <c r="AZ9" s="125">
        <v>234</v>
      </c>
      <c r="BA9" s="125">
        <v>88917</v>
      </c>
      <c r="BB9" s="125">
        <v>31736</v>
      </c>
      <c r="BC9" s="125">
        <v>57181</v>
      </c>
      <c r="BD9" s="125">
        <v>4864</v>
      </c>
      <c r="BE9" s="125">
        <v>1629</v>
      </c>
      <c r="BF9" s="125">
        <v>3235</v>
      </c>
      <c r="BG9" s="125">
        <v>3117</v>
      </c>
      <c r="BH9" s="125">
        <v>883</v>
      </c>
      <c r="BI9" s="125">
        <v>2234</v>
      </c>
      <c r="BJ9" s="125">
        <v>80936</v>
      </c>
      <c r="BK9" s="125">
        <v>29224</v>
      </c>
      <c r="BL9" s="125">
        <v>51712</v>
      </c>
      <c r="BM9" s="125">
        <v>738721</v>
      </c>
      <c r="BN9" s="125">
        <v>264493</v>
      </c>
      <c r="BO9" s="125">
        <v>474228</v>
      </c>
      <c r="BP9" s="125">
        <v>40128</v>
      </c>
      <c r="BQ9" s="125">
        <v>13552</v>
      </c>
      <c r="BR9" s="125">
        <v>26576</v>
      </c>
      <c r="BS9" s="125">
        <v>26192</v>
      </c>
      <c r="BT9" s="125">
        <v>7400</v>
      </c>
      <c r="BU9" s="125">
        <v>18792</v>
      </c>
      <c r="BV9" s="125">
        <v>672401</v>
      </c>
      <c r="BW9" s="125">
        <v>243541</v>
      </c>
      <c r="BX9" s="125">
        <v>428860</v>
      </c>
    </row>
    <row r="10" spans="1:76" s="126" customFormat="1" ht="15.6" customHeight="1">
      <c r="A10" s="91" t="s">
        <v>126</v>
      </c>
      <c r="B10" s="124" t="s">
        <v>3</v>
      </c>
      <c r="C10" s="125">
        <v>2</v>
      </c>
      <c r="D10" s="125">
        <v>42</v>
      </c>
      <c r="E10" s="125">
        <v>15</v>
      </c>
      <c r="F10" s="125">
        <v>27</v>
      </c>
      <c r="G10" s="125" t="s">
        <v>261</v>
      </c>
      <c r="H10" s="125" t="s">
        <v>261</v>
      </c>
      <c r="I10" s="125" t="s">
        <v>261</v>
      </c>
      <c r="J10" s="125">
        <v>1</v>
      </c>
      <c r="K10" s="125" t="s">
        <v>261</v>
      </c>
      <c r="L10" s="125">
        <v>1</v>
      </c>
      <c r="M10" s="125">
        <v>41</v>
      </c>
      <c r="N10" s="125">
        <v>15</v>
      </c>
      <c r="O10" s="125">
        <v>26</v>
      </c>
      <c r="P10" s="125">
        <v>7071</v>
      </c>
      <c r="Q10" s="125">
        <v>2715</v>
      </c>
      <c r="R10" s="125">
        <v>4356</v>
      </c>
      <c r="S10" s="125" t="s">
        <v>261</v>
      </c>
      <c r="T10" s="125" t="s">
        <v>261</v>
      </c>
      <c r="U10" s="125" t="s">
        <v>261</v>
      </c>
      <c r="V10" s="125">
        <v>160</v>
      </c>
      <c r="W10" s="125" t="s">
        <v>261</v>
      </c>
      <c r="X10" s="125">
        <v>160</v>
      </c>
      <c r="Y10" s="125">
        <v>6911</v>
      </c>
      <c r="Z10" s="125">
        <v>2715</v>
      </c>
      <c r="AA10" s="125">
        <v>4196</v>
      </c>
      <c r="AB10" s="125">
        <v>56342</v>
      </c>
      <c r="AC10" s="125">
        <v>22132</v>
      </c>
      <c r="AD10" s="125">
        <v>34210</v>
      </c>
      <c r="AE10" s="125" t="s">
        <v>262</v>
      </c>
      <c r="AF10" s="125" t="s">
        <v>262</v>
      </c>
      <c r="AG10" s="125" t="s">
        <v>262</v>
      </c>
      <c r="AH10" s="125">
        <v>1280</v>
      </c>
      <c r="AI10" s="125" t="s">
        <v>262</v>
      </c>
      <c r="AJ10" s="125">
        <v>1280</v>
      </c>
      <c r="AK10" s="125">
        <v>55062</v>
      </c>
      <c r="AL10" s="125">
        <v>22132</v>
      </c>
      <c r="AM10" s="125">
        <v>32930</v>
      </c>
      <c r="AN10" s="125">
        <v>15</v>
      </c>
      <c r="AO10" s="125">
        <v>352</v>
      </c>
      <c r="AP10" s="125">
        <v>104</v>
      </c>
      <c r="AQ10" s="125">
        <v>248</v>
      </c>
      <c r="AR10" s="125" t="s">
        <v>261</v>
      </c>
      <c r="AS10" s="125" t="s">
        <v>261</v>
      </c>
      <c r="AT10" s="125" t="s">
        <v>261</v>
      </c>
      <c r="AU10" s="125">
        <v>13</v>
      </c>
      <c r="AV10" s="125">
        <v>3</v>
      </c>
      <c r="AW10" s="125">
        <v>10</v>
      </c>
      <c r="AX10" s="125">
        <v>339</v>
      </c>
      <c r="AY10" s="125">
        <v>101</v>
      </c>
      <c r="AZ10" s="125">
        <v>238</v>
      </c>
      <c r="BA10" s="125">
        <v>73150</v>
      </c>
      <c r="BB10" s="125">
        <v>21456</v>
      </c>
      <c r="BC10" s="125">
        <v>51694</v>
      </c>
      <c r="BD10" s="125">
        <v>1318</v>
      </c>
      <c r="BE10" s="125">
        <v>415</v>
      </c>
      <c r="BF10" s="125">
        <v>903</v>
      </c>
      <c r="BG10" s="125">
        <v>2625</v>
      </c>
      <c r="BH10" s="125">
        <v>914</v>
      </c>
      <c r="BI10" s="125">
        <v>1711</v>
      </c>
      <c r="BJ10" s="125">
        <v>69207</v>
      </c>
      <c r="BK10" s="125">
        <v>20127</v>
      </c>
      <c r="BL10" s="125">
        <v>49080</v>
      </c>
      <c r="BM10" s="125">
        <v>579937</v>
      </c>
      <c r="BN10" s="125">
        <v>171000</v>
      </c>
      <c r="BO10" s="125">
        <v>408937</v>
      </c>
      <c r="BP10" s="125">
        <v>10549</v>
      </c>
      <c r="BQ10" s="125">
        <v>3422</v>
      </c>
      <c r="BR10" s="125">
        <v>7127</v>
      </c>
      <c r="BS10" s="125">
        <v>20901</v>
      </c>
      <c r="BT10" s="125">
        <v>7271</v>
      </c>
      <c r="BU10" s="125">
        <v>13630</v>
      </c>
      <c r="BV10" s="125">
        <v>548487</v>
      </c>
      <c r="BW10" s="125">
        <v>160307</v>
      </c>
      <c r="BX10" s="125">
        <v>388180</v>
      </c>
    </row>
    <row r="11" spans="1:76" s="126" customFormat="1" ht="15.6" customHeight="1">
      <c r="A11" s="91" t="s">
        <v>127</v>
      </c>
      <c r="B11" s="124" t="s">
        <v>319</v>
      </c>
      <c r="C11" s="125" t="s">
        <v>261</v>
      </c>
      <c r="D11" s="125">
        <v>8</v>
      </c>
      <c r="E11" s="125">
        <v>4</v>
      </c>
      <c r="F11" s="125">
        <v>4</v>
      </c>
      <c r="G11" s="125" t="s">
        <v>261</v>
      </c>
      <c r="H11" s="125" t="s">
        <v>261</v>
      </c>
      <c r="I11" s="125" t="s">
        <v>261</v>
      </c>
      <c r="J11" s="125" t="s">
        <v>261</v>
      </c>
      <c r="K11" s="125" t="s">
        <v>261</v>
      </c>
      <c r="L11" s="125" t="s">
        <v>261</v>
      </c>
      <c r="M11" s="125">
        <v>8</v>
      </c>
      <c r="N11" s="125">
        <v>4</v>
      </c>
      <c r="O11" s="125">
        <v>4</v>
      </c>
      <c r="P11" s="125">
        <v>1753</v>
      </c>
      <c r="Q11" s="125">
        <v>767</v>
      </c>
      <c r="R11" s="125">
        <v>986</v>
      </c>
      <c r="S11" s="125">
        <v>163</v>
      </c>
      <c r="T11" s="125">
        <v>163</v>
      </c>
      <c r="U11" s="125" t="s">
        <v>261</v>
      </c>
      <c r="V11" s="125">
        <v>91</v>
      </c>
      <c r="W11" s="125" t="s">
        <v>261</v>
      </c>
      <c r="X11" s="125">
        <v>91</v>
      </c>
      <c r="Y11" s="125">
        <v>1499</v>
      </c>
      <c r="Z11" s="125">
        <v>604</v>
      </c>
      <c r="AA11" s="125">
        <v>895</v>
      </c>
      <c r="AB11" s="125">
        <v>13378</v>
      </c>
      <c r="AC11" s="125">
        <v>5832</v>
      </c>
      <c r="AD11" s="125">
        <v>7546</v>
      </c>
      <c r="AE11" s="125">
        <v>1296</v>
      </c>
      <c r="AF11" s="125">
        <v>1296</v>
      </c>
      <c r="AG11" s="125" t="s">
        <v>262</v>
      </c>
      <c r="AH11" s="125">
        <v>728</v>
      </c>
      <c r="AI11" s="125" t="s">
        <v>262</v>
      </c>
      <c r="AJ11" s="125">
        <v>728</v>
      </c>
      <c r="AK11" s="125">
        <v>11354</v>
      </c>
      <c r="AL11" s="125">
        <v>4536</v>
      </c>
      <c r="AM11" s="125">
        <v>6818</v>
      </c>
      <c r="AN11" s="125">
        <v>6</v>
      </c>
      <c r="AO11" s="125">
        <v>79</v>
      </c>
      <c r="AP11" s="125">
        <v>33</v>
      </c>
      <c r="AQ11" s="125">
        <v>46</v>
      </c>
      <c r="AR11" s="125">
        <v>3</v>
      </c>
      <c r="AS11" s="125">
        <v>1</v>
      </c>
      <c r="AT11" s="125">
        <v>2</v>
      </c>
      <c r="AU11" s="125">
        <v>3</v>
      </c>
      <c r="AV11" s="125" t="s">
        <v>261</v>
      </c>
      <c r="AW11" s="125">
        <v>3</v>
      </c>
      <c r="AX11" s="125">
        <v>73</v>
      </c>
      <c r="AY11" s="125">
        <v>32</v>
      </c>
      <c r="AZ11" s="125">
        <v>41</v>
      </c>
      <c r="BA11" s="125">
        <v>17331</v>
      </c>
      <c r="BB11" s="125">
        <v>7031</v>
      </c>
      <c r="BC11" s="125">
        <v>10300</v>
      </c>
      <c r="BD11" s="125">
        <v>439</v>
      </c>
      <c r="BE11" s="125">
        <v>66</v>
      </c>
      <c r="BF11" s="125">
        <v>373</v>
      </c>
      <c r="BG11" s="125">
        <v>810</v>
      </c>
      <c r="BH11" s="125">
        <v>148</v>
      </c>
      <c r="BI11" s="125">
        <v>662</v>
      </c>
      <c r="BJ11" s="125">
        <v>16082</v>
      </c>
      <c r="BK11" s="125">
        <v>6817</v>
      </c>
      <c r="BL11" s="125">
        <v>9265</v>
      </c>
      <c r="BM11" s="125">
        <v>137018</v>
      </c>
      <c r="BN11" s="125">
        <v>55872</v>
      </c>
      <c r="BO11" s="125">
        <v>81146</v>
      </c>
      <c r="BP11" s="125">
        <v>2687</v>
      </c>
      <c r="BQ11" s="125">
        <v>463</v>
      </c>
      <c r="BR11" s="125">
        <v>2224</v>
      </c>
      <c r="BS11" s="125">
        <v>6317</v>
      </c>
      <c r="BT11" s="125">
        <v>1118</v>
      </c>
      <c r="BU11" s="125">
        <v>5199</v>
      </c>
      <c r="BV11" s="125">
        <v>128014</v>
      </c>
      <c r="BW11" s="125">
        <v>54291</v>
      </c>
      <c r="BX11" s="125">
        <v>73723</v>
      </c>
    </row>
    <row r="12" spans="1:76" s="126" customFormat="1" ht="15.6" customHeight="1">
      <c r="A12" s="91" t="s">
        <v>128</v>
      </c>
      <c r="B12" s="124" t="s">
        <v>4</v>
      </c>
      <c r="C12" s="125">
        <v>2</v>
      </c>
      <c r="D12" s="125">
        <v>44</v>
      </c>
      <c r="E12" s="125">
        <v>9</v>
      </c>
      <c r="F12" s="125">
        <v>35</v>
      </c>
      <c r="G12" s="125">
        <v>5</v>
      </c>
      <c r="H12" s="125">
        <v>1</v>
      </c>
      <c r="I12" s="125">
        <v>4</v>
      </c>
      <c r="J12" s="125">
        <v>5</v>
      </c>
      <c r="K12" s="125">
        <v>3</v>
      </c>
      <c r="L12" s="125">
        <v>2</v>
      </c>
      <c r="M12" s="125">
        <v>34</v>
      </c>
      <c r="N12" s="125">
        <v>5</v>
      </c>
      <c r="O12" s="125">
        <v>29</v>
      </c>
      <c r="P12" s="125">
        <v>9619</v>
      </c>
      <c r="Q12" s="125">
        <v>1794</v>
      </c>
      <c r="R12" s="125">
        <v>7825</v>
      </c>
      <c r="S12" s="125">
        <v>931</v>
      </c>
      <c r="T12" s="125">
        <v>135</v>
      </c>
      <c r="U12" s="125">
        <v>796</v>
      </c>
      <c r="V12" s="125">
        <v>838</v>
      </c>
      <c r="W12" s="125">
        <v>372</v>
      </c>
      <c r="X12" s="125">
        <v>466</v>
      </c>
      <c r="Y12" s="125">
        <v>7850</v>
      </c>
      <c r="Z12" s="125">
        <v>1287</v>
      </c>
      <c r="AA12" s="125">
        <v>6563</v>
      </c>
      <c r="AB12" s="125">
        <v>76864.5</v>
      </c>
      <c r="AC12" s="125">
        <v>14356</v>
      </c>
      <c r="AD12" s="125">
        <v>62508.5</v>
      </c>
      <c r="AE12" s="125">
        <v>7429</v>
      </c>
      <c r="AF12" s="125">
        <v>1080</v>
      </c>
      <c r="AG12" s="125">
        <v>6349</v>
      </c>
      <c r="AH12" s="125">
        <v>6704</v>
      </c>
      <c r="AI12" s="125">
        <v>2984</v>
      </c>
      <c r="AJ12" s="125">
        <v>3720</v>
      </c>
      <c r="AK12" s="125">
        <v>62731.5</v>
      </c>
      <c r="AL12" s="125">
        <v>10292</v>
      </c>
      <c r="AM12" s="125">
        <v>52439.5</v>
      </c>
      <c r="AN12" s="125">
        <v>16</v>
      </c>
      <c r="AO12" s="125">
        <v>402</v>
      </c>
      <c r="AP12" s="125">
        <v>136</v>
      </c>
      <c r="AQ12" s="125">
        <v>266</v>
      </c>
      <c r="AR12" s="125">
        <v>46</v>
      </c>
      <c r="AS12" s="125">
        <v>21</v>
      </c>
      <c r="AT12" s="125">
        <v>25</v>
      </c>
      <c r="AU12" s="125">
        <v>17</v>
      </c>
      <c r="AV12" s="125">
        <v>5</v>
      </c>
      <c r="AW12" s="125">
        <v>12</v>
      </c>
      <c r="AX12" s="125">
        <v>339</v>
      </c>
      <c r="AY12" s="125">
        <v>110</v>
      </c>
      <c r="AZ12" s="125">
        <v>229</v>
      </c>
      <c r="BA12" s="125">
        <v>79147</v>
      </c>
      <c r="BB12" s="125">
        <v>26569</v>
      </c>
      <c r="BC12" s="125">
        <v>52578</v>
      </c>
      <c r="BD12" s="125">
        <v>8422</v>
      </c>
      <c r="BE12" s="125">
        <v>3994</v>
      </c>
      <c r="BF12" s="125">
        <v>4428</v>
      </c>
      <c r="BG12" s="125">
        <v>3490</v>
      </c>
      <c r="BH12" s="125">
        <v>1385</v>
      </c>
      <c r="BI12" s="125">
        <v>2105</v>
      </c>
      <c r="BJ12" s="125">
        <v>67235</v>
      </c>
      <c r="BK12" s="125">
        <v>21190</v>
      </c>
      <c r="BL12" s="125">
        <v>46045</v>
      </c>
      <c r="BM12" s="125">
        <v>631877</v>
      </c>
      <c r="BN12" s="125">
        <v>212279</v>
      </c>
      <c r="BO12" s="125">
        <v>419598</v>
      </c>
      <c r="BP12" s="125">
        <v>67242</v>
      </c>
      <c r="BQ12" s="125">
        <v>31907</v>
      </c>
      <c r="BR12" s="125">
        <v>35335</v>
      </c>
      <c r="BS12" s="125">
        <v>27920</v>
      </c>
      <c r="BT12" s="125">
        <v>11080</v>
      </c>
      <c r="BU12" s="125">
        <v>16840</v>
      </c>
      <c r="BV12" s="125">
        <v>536715</v>
      </c>
      <c r="BW12" s="125">
        <v>169292</v>
      </c>
      <c r="BX12" s="125">
        <v>367423</v>
      </c>
    </row>
    <row r="13" spans="1:76" s="126" customFormat="1" ht="15.6" customHeight="1">
      <c r="A13" s="91" t="s">
        <v>129</v>
      </c>
      <c r="B13" s="124" t="s">
        <v>5</v>
      </c>
      <c r="C13" s="125">
        <v>5</v>
      </c>
      <c r="D13" s="125">
        <v>89</v>
      </c>
      <c r="E13" s="125">
        <v>32</v>
      </c>
      <c r="F13" s="125">
        <v>57</v>
      </c>
      <c r="G13" s="125">
        <v>5</v>
      </c>
      <c r="H13" s="125">
        <v>3</v>
      </c>
      <c r="I13" s="125">
        <v>2</v>
      </c>
      <c r="J13" s="125">
        <v>4</v>
      </c>
      <c r="K13" s="125">
        <v>3</v>
      </c>
      <c r="L13" s="125">
        <v>1</v>
      </c>
      <c r="M13" s="125">
        <v>80</v>
      </c>
      <c r="N13" s="125">
        <v>26</v>
      </c>
      <c r="O13" s="125">
        <v>54</v>
      </c>
      <c r="P13" s="125">
        <v>17194</v>
      </c>
      <c r="Q13" s="125">
        <v>6550</v>
      </c>
      <c r="R13" s="125">
        <v>10644</v>
      </c>
      <c r="S13" s="125">
        <v>1092</v>
      </c>
      <c r="T13" s="125">
        <v>601</v>
      </c>
      <c r="U13" s="125">
        <v>491</v>
      </c>
      <c r="V13" s="125">
        <v>1349</v>
      </c>
      <c r="W13" s="125">
        <v>874</v>
      </c>
      <c r="X13" s="125">
        <v>475</v>
      </c>
      <c r="Y13" s="125">
        <v>14753</v>
      </c>
      <c r="Z13" s="125">
        <v>5075</v>
      </c>
      <c r="AA13" s="125">
        <v>9678</v>
      </c>
      <c r="AB13" s="125">
        <v>137140.5</v>
      </c>
      <c r="AC13" s="125">
        <v>52254.5</v>
      </c>
      <c r="AD13" s="125">
        <v>84886</v>
      </c>
      <c r="AE13" s="125">
        <v>8712</v>
      </c>
      <c r="AF13" s="125">
        <v>4800</v>
      </c>
      <c r="AG13" s="125">
        <v>3912</v>
      </c>
      <c r="AH13" s="125">
        <v>10776</v>
      </c>
      <c r="AI13" s="125">
        <v>6984</v>
      </c>
      <c r="AJ13" s="125">
        <v>3792</v>
      </c>
      <c r="AK13" s="125">
        <v>117652.5</v>
      </c>
      <c r="AL13" s="125">
        <v>40470.5</v>
      </c>
      <c r="AM13" s="125">
        <v>77182</v>
      </c>
      <c r="AN13" s="125">
        <v>17</v>
      </c>
      <c r="AO13" s="125">
        <v>391</v>
      </c>
      <c r="AP13" s="125">
        <v>133</v>
      </c>
      <c r="AQ13" s="125">
        <v>258</v>
      </c>
      <c r="AR13" s="125">
        <v>28</v>
      </c>
      <c r="AS13" s="125">
        <v>5</v>
      </c>
      <c r="AT13" s="125">
        <v>23</v>
      </c>
      <c r="AU13" s="125">
        <v>30</v>
      </c>
      <c r="AV13" s="125">
        <v>13</v>
      </c>
      <c r="AW13" s="125">
        <v>17</v>
      </c>
      <c r="AX13" s="125">
        <v>333</v>
      </c>
      <c r="AY13" s="125">
        <v>115</v>
      </c>
      <c r="AZ13" s="125">
        <v>218</v>
      </c>
      <c r="BA13" s="125">
        <v>77934</v>
      </c>
      <c r="BB13" s="125">
        <v>25351</v>
      </c>
      <c r="BC13" s="125">
        <v>52583</v>
      </c>
      <c r="BD13" s="125">
        <v>6096</v>
      </c>
      <c r="BE13" s="125">
        <v>1432</v>
      </c>
      <c r="BF13" s="125">
        <v>4664</v>
      </c>
      <c r="BG13" s="125">
        <v>5591</v>
      </c>
      <c r="BH13" s="125">
        <v>2471</v>
      </c>
      <c r="BI13" s="125">
        <v>3120</v>
      </c>
      <c r="BJ13" s="125">
        <v>66247</v>
      </c>
      <c r="BK13" s="125">
        <v>21448</v>
      </c>
      <c r="BL13" s="125">
        <v>44799</v>
      </c>
      <c r="BM13" s="125">
        <v>623480.5</v>
      </c>
      <c r="BN13" s="125">
        <v>202564.5</v>
      </c>
      <c r="BO13" s="125">
        <v>420916</v>
      </c>
      <c r="BP13" s="125">
        <v>48718</v>
      </c>
      <c r="BQ13" s="125">
        <v>11372</v>
      </c>
      <c r="BR13" s="125">
        <v>37346</v>
      </c>
      <c r="BS13" s="125">
        <v>44866</v>
      </c>
      <c r="BT13" s="125">
        <v>19682</v>
      </c>
      <c r="BU13" s="125">
        <v>25184</v>
      </c>
      <c r="BV13" s="125">
        <v>529896.5</v>
      </c>
      <c r="BW13" s="125">
        <v>171510.5</v>
      </c>
      <c r="BX13" s="125">
        <v>358386</v>
      </c>
    </row>
    <row r="14" spans="1:76" s="126" customFormat="1" ht="15.6" customHeight="1">
      <c r="A14" s="48" t="s">
        <v>130</v>
      </c>
      <c r="B14" s="124" t="s">
        <v>6</v>
      </c>
      <c r="C14" s="125">
        <v>1</v>
      </c>
      <c r="D14" s="125">
        <v>4</v>
      </c>
      <c r="E14" s="125" t="s">
        <v>261</v>
      </c>
      <c r="F14" s="125">
        <v>4</v>
      </c>
      <c r="G14" s="125" t="s">
        <v>261</v>
      </c>
      <c r="H14" s="125" t="s">
        <v>261</v>
      </c>
      <c r="I14" s="125" t="s">
        <v>261</v>
      </c>
      <c r="J14" s="125" t="s">
        <v>261</v>
      </c>
      <c r="K14" s="125" t="s">
        <v>261</v>
      </c>
      <c r="L14" s="125" t="s">
        <v>261</v>
      </c>
      <c r="M14" s="125">
        <v>4</v>
      </c>
      <c r="N14" s="125" t="s">
        <v>261</v>
      </c>
      <c r="O14" s="125">
        <v>4</v>
      </c>
      <c r="P14" s="125">
        <v>844</v>
      </c>
      <c r="Q14" s="125">
        <v>9</v>
      </c>
      <c r="R14" s="125">
        <v>835</v>
      </c>
      <c r="S14" s="125">
        <v>18</v>
      </c>
      <c r="T14" s="125" t="s">
        <v>261</v>
      </c>
      <c r="U14" s="125">
        <v>18</v>
      </c>
      <c r="V14" s="125" t="s">
        <v>261</v>
      </c>
      <c r="W14" s="125" t="s">
        <v>261</v>
      </c>
      <c r="X14" s="125" t="s">
        <v>261</v>
      </c>
      <c r="Y14" s="125">
        <v>826</v>
      </c>
      <c r="Z14" s="125">
        <v>9</v>
      </c>
      <c r="AA14" s="125">
        <v>817</v>
      </c>
      <c r="AB14" s="125">
        <v>6752</v>
      </c>
      <c r="AC14" s="125">
        <v>72</v>
      </c>
      <c r="AD14" s="125">
        <v>6680</v>
      </c>
      <c r="AE14" s="125">
        <v>144</v>
      </c>
      <c r="AF14" s="125" t="s">
        <v>262</v>
      </c>
      <c r="AG14" s="125">
        <v>144</v>
      </c>
      <c r="AH14" s="125" t="s">
        <v>262</v>
      </c>
      <c r="AI14" s="125" t="s">
        <v>262</v>
      </c>
      <c r="AJ14" s="125" t="s">
        <v>262</v>
      </c>
      <c r="AK14" s="125">
        <v>6608</v>
      </c>
      <c r="AL14" s="125">
        <v>72</v>
      </c>
      <c r="AM14" s="125">
        <v>6536</v>
      </c>
      <c r="AN14" s="125">
        <v>16</v>
      </c>
      <c r="AO14" s="125">
        <v>319</v>
      </c>
      <c r="AP14" s="125">
        <v>115</v>
      </c>
      <c r="AQ14" s="125">
        <v>204</v>
      </c>
      <c r="AR14" s="125">
        <v>19</v>
      </c>
      <c r="AS14" s="125">
        <v>9</v>
      </c>
      <c r="AT14" s="125">
        <v>10</v>
      </c>
      <c r="AU14" s="125">
        <v>17</v>
      </c>
      <c r="AV14" s="125">
        <v>4</v>
      </c>
      <c r="AW14" s="125">
        <v>13</v>
      </c>
      <c r="AX14" s="125">
        <v>283</v>
      </c>
      <c r="AY14" s="125">
        <v>102</v>
      </c>
      <c r="AZ14" s="125">
        <v>181</v>
      </c>
      <c r="BA14" s="125">
        <v>62534</v>
      </c>
      <c r="BB14" s="125">
        <v>21540</v>
      </c>
      <c r="BC14" s="125">
        <v>40994</v>
      </c>
      <c r="BD14" s="125">
        <v>4441</v>
      </c>
      <c r="BE14" s="125">
        <v>1893</v>
      </c>
      <c r="BF14" s="125">
        <v>2548</v>
      </c>
      <c r="BG14" s="125">
        <v>3675</v>
      </c>
      <c r="BH14" s="125">
        <v>962</v>
      </c>
      <c r="BI14" s="125">
        <v>2713</v>
      </c>
      <c r="BJ14" s="125">
        <v>54418</v>
      </c>
      <c r="BK14" s="125">
        <v>18685</v>
      </c>
      <c r="BL14" s="125">
        <v>35733</v>
      </c>
      <c r="BM14" s="125">
        <v>568053.1</v>
      </c>
      <c r="BN14" s="125">
        <v>195568.1</v>
      </c>
      <c r="BO14" s="125">
        <v>372485</v>
      </c>
      <c r="BP14" s="125">
        <v>40878</v>
      </c>
      <c r="BQ14" s="125">
        <v>16629</v>
      </c>
      <c r="BR14" s="125">
        <v>24249</v>
      </c>
      <c r="BS14" s="125">
        <v>32544</v>
      </c>
      <c r="BT14" s="125">
        <v>8407</v>
      </c>
      <c r="BU14" s="125">
        <v>24137</v>
      </c>
      <c r="BV14" s="125">
        <v>494631.1</v>
      </c>
      <c r="BW14" s="125">
        <v>170532.1</v>
      </c>
      <c r="BX14" s="125">
        <v>324099</v>
      </c>
    </row>
    <row r="15" spans="1:76" ht="15.6" customHeight="1">
      <c r="A15" s="45" t="s">
        <v>131</v>
      </c>
      <c r="B15" s="94" t="s">
        <v>7</v>
      </c>
      <c r="C15" s="20">
        <v>1</v>
      </c>
      <c r="D15" s="20">
        <v>15</v>
      </c>
      <c r="E15" s="20">
        <v>5</v>
      </c>
      <c r="F15" s="20">
        <v>10</v>
      </c>
      <c r="G15" s="20" t="s">
        <v>261</v>
      </c>
      <c r="H15" s="20" t="s">
        <v>261</v>
      </c>
      <c r="I15" s="20" t="s">
        <v>261</v>
      </c>
      <c r="J15" s="20" t="s">
        <v>261</v>
      </c>
      <c r="K15" s="20" t="s">
        <v>261</v>
      </c>
      <c r="L15" s="20" t="s">
        <v>261</v>
      </c>
      <c r="M15" s="20">
        <v>15</v>
      </c>
      <c r="N15" s="20">
        <v>5</v>
      </c>
      <c r="O15" s="20">
        <v>10</v>
      </c>
      <c r="P15" s="20">
        <v>2862</v>
      </c>
      <c r="Q15" s="20">
        <v>1004</v>
      </c>
      <c r="R15" s="20">
        <v>1858</v>
      </c>
      <c r="S15" s="20" t="s">
        <v>261</v>
      </c>
      <c r="T15" s="20" t="s">
        <v>261</v>
      </c>
      <c r="U15" s="20" t="s">
        <v>261</v>
      </c>
      <c r="V15" s="20" t="s">
        <v>261</v>
      </c>
      <c r="W15" s="20" t="s">
        <v>261</v>
      </c>
      <c r="X15" s="20" t="s">
        <v>261</v>
      </c>
      <c r="Y15" s="20">
        <v>2862</v>
      </c>
      <c r="Z15" s="20">
        <v>1004</v>
      </c>
      <c r="AA15" s="20">
        <v>1858</v>
      </c>
      <c r="AB15" s="20">
        <v>19533</v>
      </c>
      <c r="AC15" s="20">
        <v>6416</v>
      </c>
      <c r="AD15" s="20">
        <v>13117</v>
      </c>
      <c r="AE15" s="20" t="s">
        <v>262</v>
      </c>
      <c r="AF15" s="20" t="s">
        <v>262</v>
      </c>
      <c r="AG15" s="20" t="s">
        <v>262</v>
      </c>
      <c r="AH15" s="20" t="s">
        <v>262</v>
      </c>
      <c r="AI15" s="20" t="s">
        <v>262</v>
      </c>
      <c r="AJ15" s="20" t="s">
        <v>262</v>
      </c>
      <c r="AK15" s="20">
        <v>19533</v>
      </c>
      <c r="AL15" s="20">
        <v>6416</v>
      </c>
      <c r="AM15" s="20">
        <v>13117</v>
      </c>
      <c r="AN15" s="20">
        <v>6</v>
      </c>
      <c r="AO15" s="20">
        <v>96</v>
      </c>
      <c r="AP15" s="20">
        <v>22</v>
      </c>
      <c r="AQ15" s="20">
        <v>74</v>
      </c>
      <c r="AR15" s="20">
        <v>5</v>
      </c>
      <c r="AS15" s="20">
        <v>3</v>
      </c>
      <c r="AT15" s="20">
        <v>2</v>
      </c>
      <c r="AU15" s="20">
        <v>2</v>
      </c>
      <c r="AV15" s="20">
        <v>1</v>
      </c>
      <c r="AW15" s="20">
        <v>1</v>
      </c>
      <c r="AX15" s="20">
        <v>89</v>
      </c>
      <c r="AY15" s="20">
        <v>18</v>
      </c>
      <c r="AZ15" s="20">
        <v>71</v>
      </c>
      <c r="BA15" s="20">
        <v>19763</v>
      </c>
      <c r="BB15" s="20">
        <v>4476</v>
      </c>
      <c r="BC15" s="20">
        <v>15287</v>
      </c>
      <c r="BD15" s="20">
        <v>1340</v>
      </c>
      <c r="BE15" s="20">
        <v>787</v>
      </c>
      <c r="BF15" s="20">
        <v>553</v>
      </c>
      <c r="BG15" s="20">
        <v>385</v>
      </c>
      <c r="BH15" s="20">
        <v>240</v>
      </c>
      <c r="BI15" s="20">
        <v>145</v>
      </c>
      <c r="BJ15" s="20">
        <v>18038</v>
      </c>
      <c r="BK15" s="20">
        <v>3449</v>
      </c>
      <c r="BL15" s="20">
        <v>14589</v>
      </c>
      <c r="BM15" s="20">
        <v>160061</v>
      </c>
      <c r="BN15" s="20">
        <v>35815</v>
      </c>
      <c r="BO15" s="20">
        <v>124246</v>
      </c>
      <c r="BP15" s="20">
        <v>10192</v>
      </c>
      <c r="BQ15" s="20">
        <v>5768</v>
      </c>
      <c r="BR15" s="20">
        <v>4424</v>
      </c>
      <c r="BS15" s="20">
        <v>3320</v>
      </c>
      <c r="BT15" s="20">
        <v>2160</v>
      </c>
      <c r="BU15" s="20">
        <v>1160</v>
      </c>
      <c r="BV15" s="20">
        <v>146549</v>
      </c>
      <c r="BW15" s="20">
        <v>27887</v>
      </c>
      <c r="BX15" s="20">
        <v>118662</v>
      </c>
    </row>
    <row r="16" spans="1:76" ht="15.6" customHeight="1">
      <c r="A16" s="45" t="s">
        <v>132</v>
      </c>
      <c r="B16" s="94" t="s">
        <v>9</v>
      </c>
      <c r="C16" s="20">
        <v>1</v>
      </c>
      <c r="D16" s="20">
        <v>21</v>
      </c>
      <c r="E16" s="20">
        <v>9</v>
      </c>
      <c r="F16" s="20">
        <v>12</v>
      </c>
      <c r="G16" s="20">
        <v>1</v>
      </c>
      <c r="H16" s="20">
        <v>1</v>
      </c>
      <c r="I16" s="20" t="s">
        <v>261</v>
      </c>
      <c r="J16" s="20" t="s">
        <v>261</v>
      </c>
      <c r="K16" s="20" t="s">
        <v>261</v>
      </c>
      <c r="L16" s="20" t="s">
        <v>261</v>
      </c>
      <c r="M16" s="20">
        <v>20</v>
      </c>
      <c r="N16" s="20">
        <v>8</v>
      </c>
      <c r="O16" s="20">
        <v>12</v>
      </c>
      <c r="P16" s="20">
        <v>1967</v>
      </c>
      <c r="Q16" s="20">
        <v>878</v>
      </c>
      <c r="R16" s="20">
        <v>1089</v>
      </c>
      <c r="S16" s="20">
        <v>102</v>
      </c>
      <c r="T16" s="20">
        <v>102</v>
      </c>
      <c r="U16" s="20" t="s">
        <v>261</v>
      </c>
      <c r="V16" s="20" t="s">
        <v>261</v>
      </c>
      <c r="W16" s="20" t="s">
        <v>261</v>
      </c>
      <c r="X16" s="20" t="s">
        <v>261</v>
      </c>
      <c r="Y16" s="20">
        <v>1865</v>
      </c>
      <c r="Z16" s="20">
        <v>776</v>
      </c>
      <c r="AA16" s="20">
        <v>1089</v>
      </c>
      <c r="AB16" s="20">
        <v>29273</v>
      </c>
      <c r="AC16" s="20">
        <v>13173</v>
      </c>
      <c r="AD16" s="20">
        <v>16100</v>
      </c>
      <c r="AE16" s="20">
        <v>1674</v>
      </c>
      <c r="AF16" s="20">
        <v>1674</v>
      </c>
      <c r="AG16" s="20" t="s">
        <v>262</v>
      </c>
      <c r="AH16" s="20" t="s">
        <v>262</v>
      </c>
      <c r="AI16" s="20" t="s">
        <v>262</v>
      </c>
      <c r="AJ16" s="20" t="s">
        <v>262</v>
      </c>
      <c r="AK16" s="20">
        <v>27599</v>
      </c>
      <c r="AL16" s="20">
        <v>11499</v>
      </c>
      <c r="AM16" s="20">
        <v>16100</v>
      </c>
      <c r="AN16" s="20">
        <v>5</v>
      </c>
      <c r="AO16" s="20">
        <v>34</v>
      </c>
      <c r="AP16" s="20">
        <v>15</v>
      </c>
      <c r="AQ16" s="20">
        <v>19</v>
      </c>
      <c r="AR16" s="20">
        <v>2</v>
      </c>
      <c r="AS16" s="20" t="s">
        <v>261</v>
      </c>
      <c r="AT16" s="20">
        <v>2</v>
      </c>
      <c r="AU16" s="20">
        <v>2</v>
      </c>
      <c r="AV16" s="20" t="s">
        <v>261</v>
      </c>
      <c r="AW16" s="20">
        <v>2</v>
      </c>
      <c r="AX16" s="20">
        <v>30</v>
      </c>
      <c r="AY16" s="20">
        <v>15</v>
      </c>
      <c r="AZ16" s="20">
        <v>15</v>
      </c>
      <c r="BA16" s="20">
        <v>4922</v>
      </c>
      <c r="BB16" s="20">
        <v>2158</v>
      </c>
      <c r="BC16" s="20">
        <v>2764</v>
      </c>
      <c r="BD16" s="20">
        <v>349</v>
      </c>
      <c r="BE16" s="20" t="s">
        <v>261</v>
      </c>
      <c r="BF16" s="20">
        <v>349</v>
      </c>
      <c r="BG16" s="20">
        <v>335</v>
      </c>
      <c r="BH16" s="20" t="s">
        <v>261</v>
      </c>
      <c r="BI16" s="20">
        <v>335</v>
      </c>
      <c r="BJ16" s="20">
        <v>4238</v>
      </c>
      <c r="BK16" s="20">
        <v>2158</v>
      </c>
      <c r="BL16" s="20">
        <v>2080</v>
      </c>
      <c r="BM16" s="20">
        <v>41674</v>
      </c>
      <c r="BN16" s="20">
        <v>18367</v>
      </c>
      <c r="BO16" s="20">
        <v>23307</v>
      </c>
      <c r="BP16" s="20">
        <v>1849</v>
      </c>
      <c r="BQ16" s="20" t="s">
        <v>262</v>
      </c>
      <c r="BR16" s="20">
        <v>1849</v>
      </c>
      <c r="BS16" s="20">
        <v>2545</v>
      </c>
      <c r="BT16" s="20" t="s">
        <v>262</v>
      </c>
      <c r="BU16" s="20">
        <v>2545</v>
      </c>
      <c r="BV16" s="20">
        <v>37280</v>
      </c>
      <c r="BW16" s="20">
        <v>18367</v>
      </c>
      <c r="BX16" s="20">
        <v>18913</v>
      </c>
    </row>
    <row r="17" spans="1:76" ht="15.6" customHeight="1">
      <c r="A17" s="45" t="s">
        <v>133</v>
      </c>
      <c r="B17" s="94" t="s">
        <v>10</v>
      </c>
      <c r="C17" s="20">
        <v>1</v>
      </c>
      <c r="D17" s="20">
        <v>25</v>
      </c>
      <c r="E17" s="20">
        <v>6</v>
      </c>
      <c r="F17" s="20">
        <v>19</v>
      </c>
      <c r="G17" s="20">
        <v>1</v>
      </c>
      <c r="H17" s="20" t="s">
        <v>261</v>
      </c>
      <c r="I17" s="20">
        <v>1</v>
      </c>
      <c r="J17" s="20">
        <v>1</v>
      </c>
      <c r="K17" s="20" t="s">
        <v>261</v>
      </c>
      <c r="L17" s="20">
        <v>1</v>
      </c>
      <c r="M17" s="20">
        <v>23</v>
      </c>
      <c r="N17" s="20">
        <v>6</v>
      </c>
      <c r="O17" s="20">
        <v>17</v>
      </c>
      <c r="P17" s="20">
        <v>5307</v>
      </c>
      <c r="Q17" s="20">
        <v>1570</v>
      </c>
      <c r="R17" s="20">
        <v>3737</v>
      </c>
      <c r="S17" s="20">
        <v>137</v>
      </c>
      <c r="T17" s="20">
        <v>2</v>
      </c>
      <c r="U17" s="20">
        <v>135</v>
      </c>
      <c r="V17" s="20">
        <v>35</v>
      </c>
      <c r="W17" s="20" t="s">
        <v>261</v>
      </c>
      <c r="X17" s="20">
        <v>35</v>
      </c>
      <c r="Y17" s="20">
        <v>5135</v>
      </c>
      <c r="Z17" s="20">
        <v>1568</v>
      </c>
      <c r="AA17" s="20">
        <v>3567</v>
      </c>
      <c r="AB17" s="20">
        <v>42362</v>
      </c>
      <c r="AC17" s="20">
        <v>12481</v>
      </c>
      <c r="AD17" s="20">
        <v>29881</v>
      </c>
      <c r="AE17" s="20">
        <v>1096</v>
      </c>
      <c r="AF17" s="20">
        <v>16</v>
      </c>
      <c r="AG17" s="20">
        <v>1080</v>
      </c>
      <c r="AH17" s="20">
        <v>280</v>
      </c>
      <c r="AI17" s="20" t="s">
        <v>262</v>
      </c>
      <c r="AJ17" s="20">
        <v>280</v>
      </c>
      <c r="AK17" s="20">
        <v>40986</v>
      </c>
      <c r="AL17" s="20">
        <v>12465</v>
      </c>
      <c r="AM17" s="20">
        <v>28521</v>
      </c>
      <c r="AN17" s="20">
        <v>4</v>
      </c>
      <c r="AO17" s="20">
        <v>64</v>
      </c>
      <c r="AP17" s="20">
        <v>33</v>
      </c>
      <c r="AQ17" s="20">
        <v>31</v>
      </c>
      <c r="AR17" s="20">
        <v>12</v>
      </c>
      <c r="AS17" s="20">
        <v>8</v>
      </c>
      <c r="AT17" s="20">
        <v>4</v>
      </c>
      <c r="AU17" s="20">
        <v>6</v>
      </c>
      <c r="AV17" s="20">
        <v>5</v>
      </c>
      <c r="AW17" s="20">
        <v>1</v>
      </c>
      <c r="AX17" s="20">
        <v>46</v>
      </c>
      <c r="AY17" s="20">
        <v>20</v>
      </c>
      <c r="AZ17" s="20">
        <v>26</v>
      </c>
      <c r="BA17" s="20">
        <v>12537</v>
      </c>
      <c r="BB17" s="20">
        <v>6535</v>
      </c>
      <c r="BC17" s="20">
        <v>6002</v>
      </c>
      <c r="BD17" s="20">
        <v>2260</v>
      </c>
      <c r="BE17" s="20">
        <v>1337</v>
      </c>
      <c r="BF17" s="20">
        <v>923</v>
      </c>
      <c r="BG17" s="20">
        <v>1373</v>
      </c>
      <c r="BH17" s="20">
        <v>1189</v>
      </c>
      <c r="BI17" s="20">
        <v>184</v>
      </c>
      <c r="BJ17" s="20">
        <v>8904</v>
      </c>
      <c r="BK17" s="20">
        <v>4009</v>
      </c>
      <c r="BL17" s="20">
        <v>4895</v>
      </c>
      <c r="BM17" s="20">
        <v>101002</v>
      </c>
      <c r="BN17" s="20">
        <v>52981</v>
      </c>
      <c r="BO17" s="20">
        <v>48021</v>
      </c>
      <c r="BP17" s="20">
        <v>18588</v>
      </c>
      <c r="BQ17" s="20">
        <v>11068</v>
      </c>
      <c r="BR17" s="20">
        <v>7520</v>
      </c>
      <c r="BS17" s="20">
        <v>10927</v>
      </c>
      <c r="BT17" s="20">
        <v>9435</v>
      </c>
      <c r="BU17" s="20">
        <v>1492</v>
      </c>
      <c r="BV17" s="20">
        <v>71487</v>
      </c>
      <c r="BW17" s="20">
        <v>32478</v>
      </c>
      <c r="BX17" s="20">
        <v>39009</v>
      </c>
    </row>
    <row r="18" spans="1:76" ht="15.6" customHeight="1">
      <c r="A18" s="45" t="s">
        <v>134</v>
      </c>
      <c r="B18" s="94" t="s">
        <v>11</v>
      </c>
      <c r="C18" s="20">
        <v>1</v>
      </c>
      <c r="D18" s="20">
        <v>29</v>
      </c>
      <c r="E18" s="20">
        <v>6</v>
      </c>
      <c r="F18" s="20">
        <v>23</v>
      </c>
      <c r="G18" s="20" t="s">
        <v>261</v>
      </c>
      <c r="H18" s="20" t="s">
        <v>261</v>
      </c>
      <c r="I18" s="20" t="s">
        <v>261</v>
      </c>
      <c r="J18" s="20" t="s">
        <v>261</v>
      </c>
      <c r="K18" s="20" t="s">
        <v>261</v>
      </c>
      <c r="L18" s="20" t="s">
        <v>261</v>
      </c>
      <c r="M18" s="20">
        <v>29</v>
      </c>
      <c r="N18" s="20">
        <v>6</v>
      </c>
      <c r="O18" s="20">
        <v>23</v>
      </c>
      <c r="P18" s="20">
        <v>6106</v>
      </c>
      <c r="Q18" s="20">
        <v>1310</v>
      </c>
      <c r="R18" s="20">
        <v>4796</v>
      </c>
      <c r="S18" s="20" t="s">
        <v>261</v>
      </c>
      <c r="T18" s="20" t="s">
        <v>261</v>
      </c>
      <c r="U18" s="20" t="s">
        <v>261</v>
      </c>
      <c r="V18" s="20" t="s">
        <v>261</v>
      </c>
      <c r="W18" s="20" t="s">
        <v>261</v>
      </c>
      <c r="X18" s="20" t="s">
        <v>261</v>
      </c>
      <c r="Y18" s="20">
        <v>6106</v>
      </c>
      <c r="Z18" s="20">
        <v>1310</v>
      </c>
      <c r="AA18" s="20">
        <v>4796</v>
      </c>
      <c r="AB18" s="20">
        <v>48217</v>
      </c>
      <c r="AC18" s="20">
        <v>10448</v>
      </c>
      <c r="AD18" s="20">
        <v>37769</v>
      </c>
      <c r="AE18" s="20" t="s">
        <v>262</v>
      </c>
      <c r="AF18" s="20" t="s">
        <v>262</v>
      </c>
      <c r="AG18" s="20" t="s">
        <v>262</v>
      </c>
      <c r="AH18" s="20" t="s">
        <v>262</v>
      </c>
      <c r="AI18" s="20" t="s">
        <v>262</v>
      </c>
      <c r="AJ18" s="20" t="s">
        <v>262</v>
      </c>
      <c r="AK18" s="20">
        <v>48217</v>
      </c>
      <c r="AL18" s="20">
        <v>10448</v>
      </c>
      <c r="AM18" s="20">
        <v>37769</v>
      </c>
      <c r="AN18" s="20">
        <v>5</v>
      </c>
      <c r="AO18" s="20">
        <v>75</v>
      </c>
      <c r="AP18" s="20">
        <v>26</v>
      </c>
      <c r="AQ18" s="20">
        <v>49</v>
      </c>
      <c r="AR18" s="20">
        <v>3</v>
      </c>
      <c r="AS18" s="20" t="s">
        <v>261</v>
      </c>
      <c r="AT18" s="20">
        <v>3</v>
      </c>
      <c r="AU18" s="20">
        <v>6</v>
      </c>
      <c r="AV18" s="20">
        <v>3</v>
      </c>
      <c r="AW18" s="20">
        <v>3</v>
      </c>
      <c r="AX18" s="20">
        <v>66</v>
      </c>
      <c r="AY18" s="20">
        <v>23</v>
      </c>
      <c r="AZ18" s="20">
        <v>43</v>
      </c>
      <c r="BA18" s="20">
        <v>15180</v>
      </c>
      <c r="BB18" s="20">
        <v>4045</v>
      </c>
      <c r="BC18" s="20">
        <v>11135</v>
      </c>
      <c r="BD18" s="20">
        <v>847</v>
      </c>
      <c r="BE18" s="20">
        <v>123</v>
      </c>
      <c r="BF18" s="20">
        <v>724</v>
      </c>
      <c r="BG18" s="20">
        <v>752</v>
      </c>
      <c r="BH18" s="20">
        <v>325</v>
      </c>
      <c r="BI18" s="20">
        <v>427</v>
      </c>
      <c r="BJ18" s="20">
        <v>13581</v>
      </c>
      <c r="BK18" s="20">
        <v>3597</v>
      </c>
      <c r="BL18" s="20">
        <v>9984</v>
      </c>
      <c r="BM18" s="20">
        <v>119726.5</v>
      </c>
      <c r="BN18" s="20">
        <v>31358</v>
      </c>
      <c r="BO18" s="20">
        <v>88368.5</v>
      </c>
      <c r="BP18" s="20">
        <v>6920</v>
      </c>
      <c r="BQ18" s="20">
        <v>1026</v>
      </c>
      <c r="BR18" s="20">
        <v>5894</v>
      </c>
      <c r="BS18" s="20">
        <v>6026</v>
      </c>
      <c r="BT18" s="20">
        <v>2600</v>
      </c>
      <c r="BU18" s="20">
        <v>3426</v>
      </c>
      <c r="BV18" s="20">
        <v>106780.5</v>
      </c>
      <c r="BW18" s="20">
        <v>27732</v>
      </c>
      <c r="BX18" s="20">
        <v>79048.5</v>
      </c>
    </row>
    <row r="19" spans="1:76" ht="15.6" customHeight="1">
      <c r="A19" s="45" t="s">
        <v>135</v>
      </c>
      <c r="B19" s="94" t="s">
        <v>12</v>
      </c>
      <c r="C19" s="20">
        <v>3</v>
      </c>
      <c r="D19" s="20">
        <v>28</v>
      </c>
      <c r="E19" s="20">
        <v>5</v>
      </c>
      <c r="F19" s="20">
        <v>23</v>
      </c>
      <c r="G19" s="20" t="s">
        <v>261</v>
      </c>
      <c r="H19" s="20" t="s">
        <v>261</v>
      </c>
      <c r="I19" s="20" t="s">
        <v>261</v>
      </c>
      <c r="J19" s="20">
        <v>3</v>
      </c>
      <c r="K19" s="20" t="s">
        <v>261</v>
      </c>
      <c r="L19" s="20">
        <v>3</v>
      </c>
      <c r="M19" s="20">
        <v>25</v>
      </c>
      <c r="N19" s="20">
        <v>5</v>
      </c>
      <c r="O19" s="20">
        <v>20</v>
      </c>
      <c r="P19" s="20">
        <v>5752</v>
      </c>
      <c r="Q19" s="20">
        <v>1074</v>
      </c>
      <c r="R19" s="20">
        <v>4678</v>
      </c>
      <c r="S19" s="20" t="s">
        <v>261</v>
      </c>
      <c r="T19" s="20" t="s">
        <v>261</v>
      </c>
      <c r="U19" s="20" t="s">
        <v>261</v>
      </c>
      <c r="V19" s="20">
        <v>835</v>
      </c>
      <c r="W19" s="20">
        <v>96</v>
      </c>
      <c r="X19" s="20">
        <v>739</v>
      </c>
      <c r="Y19" s="20">
        <v>4917</v>
      </c>
      <c r="Z19" s="20">
        <v>978</v>
      </c>
      <c r="AA19" s="20">
        <v>3939</v>
      </c>
      <c r="AB19" s="20">
        <v>66060</v>
      </c>
      <c r="AC19" s="20">
        <v>28588</v>
      </c>
      <c r="AD19" s="20">
        <v>37472</v>
      </c>
      <c r="AE19" s="20" t="s">
        <v>262</v>
      </c>
      <c r="AF19" s="20" t="s">
        <v>262</v>
      </c>
      <c r="AG19" s="20" t="s">
        <v>262</v>
      </c>
      <c r="AH19" s="20">
        <v>6680</v>
      </c>
      <c r="AI19" s="20">
        <v>768</v>
      </c>
      <c r="AJ19" s="20">
        <v>5912</v>
      </c>
      <c r="AK19" s="20">
        <v>59380</v>
      </c>
      <c r="AL19" s="20">
        <v>27820</v>
      </c>
      <c r="AM19" s="20">
        <v>31560</v>
      </c>
      <c r="AN19" s="20">
        <v>7</v>
      </c>
      <c r="AO19" s="20">
        <v>98</v>
      </c>
      <c r="AP19" s="20">
        <v>44</v>
      </c>
      <c r="AQ19" s="20">
        <v>54</v>
      </c>
      <c r="AR19" s="20">
        <v>15</v>
      </c>
      <c r="AS19" s="20">
        <v>10</v>
      </c>
      <c r="AT19" s="20">
        <v>5</v>
      </c>
      <c r="AU19" s="20">
        <v>16</v>
      </c>
      <c r="AV19" s="20">
        <v>9</v>
      </c>
      <c r="AW19" s="20">
        <v>7</v>
      </c>
      <c r="AX19" s="20">
        <v>67</v>
      </c>
      <c r="AY19" s="20">
        <v>25</v>
      </c>
      <c r="AZ19" s="20">
        <v>42</v>
      </c>
      <c r="BA19" s="20">
        <v>23394</v>
      </c>
      <c r="BB19" s="20">
        <v>13318</v>
      </c>
      <c r="BC19" s="20">
        <v>10076</v>
      </c>
      <c r="BD19" s="20">
        <v>2306</v>
      </c>
      <c r="BE19" s="20">
        <v>1520</v>
      </c>
      <c r="BF19" s="20">
        <v>786</v>
      </c>
      <c r="BG19" s="20">
        <v>2412</v>
      </c>
      <c r="BH19" s="20">
        <v>1112</v>
      </c>
      <c r="BI19" s="20">
        <v>1300</v>
      </c>
      <c r="BJ19" s="20">
        <v>18676</v>
      </c>
      <c r="BK19" s="20">
        <v>10686</v>
      </c>
      <c r="BL19" s="20">
        <v>7990</v>
      </c>
      <c r="BM19" s="20">
        <v>284802</v>
      </c>
      <c r="BN19" s="20">
        <v>60308</v>
      </c>
      <c r="BO19" s="20">
        <v>224494</v>
      </c>
      <c r="BP19" s="20">
        <v>6685</v>
      </c>
      <c r="BQ19" s="20">
        <v>3585</v>
      </c>
      <c r="BR19" s="20">
        <v>3100</v>
      </c>
      <c r="BS19" s="20">
        <v>20379</v>
      </c>
      <c r="BT19" s="20">
        <v>9773</v>
      </c>
      <c r="BU19" s="20">
        <v>10606</v>
      </c>
      <c r="BV19" s="20">
        <v>257738</v>
      </c>
      <c r="BW19" s="20">
        <v>46950</v>
      </c>
      <c r="BX19" s="20">
        <v>210788</v>
      </c>
    </row>
    <row r="20" spans="1:76" ht="15.6" customHeight="1">
      <c r="A20" s="45" t="s">
        <v>136</v>
      </c>
      <c r="B20" s="94" t="s">
        <v>13</v>
      </c>
      <c r="C20" s="20">
        <v>2</v>
      </c>
      <c r="D20" s="20">
        <v>45</v>
      </c>
      <c r="E20" s="20">
        <v>12</v>
      </c>
      <c r="F20" s="20">
        <v>33</v>
      </c>
      <c r="G20" s="20" t="s">
        <v>261</v>
      </c>
      <c r="H20" s="20" t="s">
        <v>261</v>
      </c>
      <c r="I20" s="20" t="s">
        <v>261</v>
      </c>
      <c r="J20" s="20">
        <v>2</v>
      </c>
      <c r="K20" s="20" t="s">
        <v>261</v>
      </c>
      <c r="L20" s="20">
        <v>2</v>
      </c>
      <c r="M20" s="20">
        <v>43</v>
      </c>
      <c r="N20" s="20">
        <v>12</v>
      </c>
      <c r="O20" s="20">
        <v>31</v>
      </c>
      <c r="P20" s="20">
        <v>9116</v>
      </c>
      <c r="Q20" s="20">
        <v>2346</v>
      </c>
      <c r="R20" s="20">
        <v>6770</v>
      </c>
      <c r="S20" s="20">
        <v>10</v>
      </c>
      <c r="T20" s="20" t="s">
        <v>261</v>
      </c>
      <c r="U20" s="20">
        <v>10</v>
      </c>
      <c r="V20" s="20">
        <v>478</v>
      </c>
      <c r="W20" s="20" t="s">
        <v>261</v>
      </c>
      <c r="X20" s="20">
        <v>478</v>
      </c>
      <c r="Y20" s="20">
        <v>8628</v>
      </c>
      <c r="Z20" s="20">
        <v>2346</v>
      </c>
      <c r="AA20" s="20">
        <v>6282</v>
      </c>
      <c r="AB20" s="20">
        <v>73650</v>
      </c>
      <c r="AC20" s="20">
        <v>18760</v>
      </c>
      <c r="AD20" s="20">
        <v>54890</v>
      </c>
      <c r="AE20" s="20">
        <v>80</v>
      </c>
      <c r="AF20" s="20" t="s">
        <v>262</v>
      </c>
      <c r="AG20" s="20">
        <v>80</v>
      </c>
      <c r="AH20" s="20">
        <v>3824</v>
      </c>
      <c r="AI20" s="20" t="s">
        <v>262</v>
      </c>
      <c r="AJ20" s="20">
        <v>3824</v>
      </c>
      <c r="AK20" s="20">
        <v>69746</v>
      </c>
      <c r="AL20" s="20">
        <v>18760</v>
      </c>
      <c r="AM20" s="20">
        <v>50986</v>
      </c>
      <c r="AN20" s="20">
        <v>9</v>
      </c>
      <c r="AO20" s="20">
        <v>285</v>
      </c>
      <c r="AP20" s="20">
        <v>111</v>
      </c>
      <c r="AQ20" s="20">
        <v>174</v>
      </c>
      <c r="AR20" s="20">
        <v>36</v>
      </c>
      <c r="AS20" s="20">
        <v>19</v>
      </c>
      <c r="AT20" s="20">
        <v>17</v>
      </c>
      <c r="AU20" s="20">
        <v>19</v>
      </c>
      <c r="AV20" s="20">
        <v>11</v>
      </c>
      <c r="AW20" s="20">
        <v>8</v>
      </c>
      <c r="AX20" s="20">
        <v>230</v>
      </c>
      <c r="AY20" s="20">
        <v>81</v>
      </c>
      <c r="AZ20" s="20">
        <v>149</v>
      </c>
      <c r="BA20" s="20">
        <v>62660</v>
      </c>
      <c r="BB20" s="20">
        <v>22609</v>
      </c>
      <c r="BC20" s="20">
        <v>40051</v>
      </c>
      <c r="BD20" s="20">
        <v>7735</v>
      </c>
      <c r="BE20" s="20">
        <v>3816</v>
      </c>
      <c r="BF20" s="20">
        <v>3919</v>
      </c>
      <c r="BG20" s="20">
        <v>4451</v>
      </c>
      <c r="BH20" s="20">
        <v>2613</v>
      </c>
      <c r="BI20" s="20">
        <v>1838</v>
      </c>
      <c r="BJ20" s="20">
        <v>50474</v>
      </c>
      <c r="BK20" s="20">
        <v>16180</v>
      </c>
      <c r="BL20" s="20">
        <v>34294</v>
      </c>
      <c r="BM20" s="20">
        <v>501040.5</v>
      </c>
      <c r="BN20" s="20">
        <v>180808.5</v>
      </c>
      <c r="BO20" s="20">
        <v>320232</v>
      </c>
      <c r="BP20" s="20">
        <v>61864</v>
      </c>
      <c r="BQ20" s="20">
        <v>30516</v>
      </c>
      <c r="BR20" s="20">
        <v>31348</v>
      </c>
      <c r="BS20" s="20">
        <v>35172</v>
      </c>
      <c r="BT20" s="20">
        <v>20856</v>
      </c>
      <c r="BU20" s="20">
        <v>14316</v>
      </c>
      <c r="BV20" s="20">
        <v>404004.5</v>
      </c>
      <c r="BW20" s="20">
        <v>129436.5</v>
      </c>
      <c r="BX20" s="20">
        <v>274568</v>
      </c>
    </row>
    <row r="21" spans="1:76" ht="15.6" customHeight="1">
      <c r="A21" s="45" t="s">
        <v>137</v>
      </c>
      <c r="B21" s="94" t="s">
        <v>14</v>
      </c>
      <c r="C21" s="20">
        <v>1</v>
      </c>
      <c r="D21" s="20">
        <v>18</v>
      </c>
      <c r="E21" s="20">
        <v>7</v>
      </c>
      <c r="F21" s="20">
        <v>11</v>
      </c>
      <c r="G21" s="20">
        <v>1</v>
      </c>
      <c r="H21" s="20" t="s">
        <v>261</v>
      </c>
      <c r="I21" s="20">
        <v>1</v>
      </c>
      <c r="J21" s="20">
        <v>1</v>
      </c>
      <c r="K21" s="20" t="s">
        <v>261</v>
      </c>
      <c r="L21" s="20">
        <v>1</v>
      </c>
      <c r="M21" s="20">
        <v>16</v>
      </c>
      <c r="N21" s="20">
        <v>7</v>
      </c>
      <c r="O21" s="20">
        <v>9</v>
      </c>
      <c r="P21" s="20">
        <v>2310</v>
      </c>
      <c r="Q21" s="20">
        <v>833</v>
      </c>
      <c r="R21" s="20">
        <v>1477</v>
      </c>
      <c r="S21" s="20">
        <v>262</v>
      </c>
      <c r="T21" s="20">
        <v>106</v>
      </c>
      <c r="U21" s="20">
        <v>156</v>
      </c>
      <c r="V21" s="20">
        <v>153</v>
      </c>
      <c r="W21" s="20" t="s">
        <v>261</v>
      </c>
      <c r="X21" s="20">
        <v>153</v>
      </c>
      <c r="Y21" s="20">
        <v>1895</v>
      </c>
      <c r="Z21" s="20">
        <v>727</v>
      </c>
      <c r="AA21" s="20">
        <v>1168</v>
      </c>
      <c r="AB21" s="20">
        <v>18553</v>
      </c>
      <c r="AC21" s="20">
        <v>6650</v>
      </c>
      <c r="AD21" s="20">
        <v>11903</v>
      </c>
      <c r="AE21" s="20">
        <v>2096</v>
      </c>
      <c r="AF21" s="20">
        <v>848</v>
      </c>
      <c r="AG21" s="20">
        <v>1248</v>
      </c>
      <c r="AH21" s="20">
        <v>1224</v>
      </c>
      <c r="AI21" s="20" t="s">
        <v>262</v>
      </c>
      <c r="AJ21" s="20">
        <v>1224</v>
      </c>
      <c r="AK21" s="20">
        <v>15233</v>
      </c>
      <c r="AL21" s="20">
        <v>5802</v>
      </c>
      <c r="AM21" s="20">
        <v>9431</v>
      </c>
      <c r="AN21" s="20">
        <v>4</v>
      </c>
      <c r="AO21" s="20">
        <v>55</v>
      </c>
      <c r="AP21" s="20">
        <v>19</v>
      </c>
      <c r="AQ21" s="20">
        <v>36</v>
      </c>
      <c r="AR21" s="20">
        <v>8</v>
      </c>
      <c r="AS21" s="20">
        <v>3</v>
      </c>
      <c r="AT21" s="20">
        <v>5</v>
      </c>
      <c r="AU21" s="20">
        <v>2</v>
      </c>
      <c r="AV21" s="20" t="s">
        <v>261</v>
      </c>
      <c r="AW21" s="20">
        <v>2</v>
      </c>
      <c r="AX21" s="20">
        <v>45</v>
      </c>
      <c r="AY21" s="20">
        <v>16</v>
      </c>
      <c r="AZ21" s="20">
        <v>29</v>
      </c>
      <c r="BA21" s="20">
        <v>12241</v>
      </c>
      <c r="BB21" s="20">
        <v>4972</v>
      </c>
      <c r="BC21" s="20">
        <v>7269</v>
      </c>
      <c r="BD21" s="20">
        <v>1629</v>
      </c>
      <c r="BE21" s="20">
        <v>686</v>
      </c>
      <c r="BF21" s="20">
        <v>943</v>
      </c>
      <c r="BG21" s="20">
        <v>722</v>
      </c>
      <c r="BH21" s="20">
        <v>201</v>
      </c>
      <c r="BI21" s="20">
        <v>521</v>
      </c>
      <c r="BJ21" s="20">
        <v>9890</v>
      </c>
      <c r="BK21" s="20">
        <v>4085</v>
      </c>
      <c r="BL21" s="20">
        <v>5805</v>
      </c>
      <c r="BM21" s="20">
        <v>139901</v>
      </c>
      <c r="BN21" s="20">
        <v>35065</v>
      </c>
      <c r="BO21" s="20">
        <v>104836</v>
      </c>
      <c r="BP21" s="20">
        <v>11394</v>
      </c>
      <c r="BQ21" s="20">
        <v>4783</v>
      </c>
      <c r="BR21" s="20">
        <v>6611</v>
      </c>
      <c r="BS21" s="20">
        <v>4957</v>
      </c>
      <c r="BT21" s="20">
        <v>1236</v>
      </c>
      <c r="BU21" s="20">
        <v>3721</v>
      </c>
      <c r="BV21" s="20">
        <v>123550</v>
      </c>
      <c r="BW21" s="20">
        <v>29046</v>
      </c>
      <c r="BX21" s="20">
        <v>94504</v>
      </c>
    </row>
    <row r="22" spans="1:76" ht="15.6" customHeight="1">
      <c r="A22" s="45" t="s">
        <v>138</v>
      </c>
      <c r="B22" s="94" t="s">
        <v>15</v>
      </c>
      <c r="C22" s="20">
        <v>1</v>
      </c>
      <c r="D22" s="20">
        <v>25</v>
      </c>
      <c r="E22" s="20">
        <v>10</v>
      </c>
      <c r="F22" s="20">
        <v>15</v>
      </c>
      <c r="G22" s="20" t="s">
        <v>261</v>
      </c>
      <c r="H22" s="20" t="s">
        <v>261</v>
      </c>
      <c r="I22" s="20" t="s">
        <v>261</v>
      </c>
      <c r="J22" s="20">
        <v>4</v>
      </c>
      <c r="K22" s="20">
        <v>1</v>
      </c>
      <c r="L22" s="20">
        <v>3</v>
      </c>
      <c r="M22" s="20">
        <v>21</v>
      </c>
      <c r="N22" s="20">
        <v>9</v>
      </c>
      <c r="O22" s="20">
        <v>12</v>
      </c>
      <c r="P22" s="20">
        <v>5138</v>
      </c>
      <c r="Q22" s="20">
        <v>1896</v>
      </c>
      <c r="R22" s="20">
        <v>3242</v>
      </c>
      <c r="S22" s="20">
        <v>109</v>
      </c>
      <c r="T22" s="20">
        <v>14</v>
      </c>
      <c r="U22" s="20">
        <v>95</v>
      </c>
      <c r="V22" s="20">
        <v>413</v>
      </c>
      <c r="W22" s="20">
        <v>87</v>
      </c>
      <c r="X22" s="20">
        <v>326</v>
      </c>
      <c r="Y22" s="20">
        <v>4616</v>
      </c>
      <c r="Z22" s="20">
        <v>1795</v>
      </c>
      <c r="AA22" s="20">
        <v>2821</v>
      </c>
      <c r="AB22" s="20">
        <v>20550</v>
      </c>
      <c r="AC22" s="20">
        <v>7416</v>
      </c>
      <c r="AD22" s="20">
        <v>13134</v>
      </c>
      <c r="AE22" s="20">
        <v>316</v>
      </c>
      <c r="AF22" s="20">
        <v>66</v>
      </c>
      <c r="AG22" s="20">
        <v>250</v>
      </c>
      <c r="AH22" s="20">
        <v>1360</v>
      </c>
      <c r="AI22" s="20">
        <v>350</v>
      </c>
      <c r="AJ22" s="20">
        <v>1010</v>
      </c>
      <c r="AK22" s="20">
        <v>18874</v>
      </c>
      <c r="AL22" s="20">
        <v>7000</v>
      </c>
      <c r="AM22" s="20">
        <v>11874</v>
      </c>
      <c r="AN22" s="20">
        <v>10</v>
      </c>
      <c r="AO22" s="20">
        <v>144</v>
      </c>
      <c r="AP22" s="20">
        <v>57</v>
      </c>
      <c r="AQ22" s="20">
        <v>87</v>
      </c>
      <c r="AR22" s="20">
        <v>18</v>
      </c>
      <c r="AS22" s="20">
        <v>9</v>
      </c>
      <c r="AT22" s="20">
        <v>9</v>
      </c>
      <c r="AU22" s="20">
        <v>16</v>
      </c>
      <c r="AV22" s="20">
        <v>8</v>
      </c>
      <c r="AW22" s="20">
        <v>8</v>
      </c>
      <c r="AX22" s="20">
        <v>110</v>
      </c>
      <c r="AY22" s="20">
        <v>40</v>
      </c>
      <c r="AZ22" s="20">
        <v>70</v>
      </c>
      <c r="BA22" s="20">
        <v>18439</v>
      </c>
      <c r="BB22" s="20">
        <v>7547</v>
      </c>
      <c r="BC22" s="20">
        <v>10892</v>
      </c>
      <c r="BD22" s="20">
        <v>2761</v>
      </c>
      <c r="BE22" s="20">
        <v>1328</v>
      </c>
      <c r="BF22" s="20">
        <v>1433</v>
      </c>
      <c r="BG22" s="20">
        <v>1961</v>
      </c>
      <c r="BH22" s="20">
        <v>801</v>
      </c>
      <c r="BI22" s="20">
        <v>1160</v>
      </c>
      <c r="BJ22" s="20">
        <v>13717</v>
      </c>
      <c r="BK22" s="20">
        <v>5418</v>
      </c>
      <c r="BL22" s="20">
        <v>8299</v>
      </c>
      <c r="BM22" s="20">
        <v>79571</v>
      </c>
      <c r="BN22" s="20">
        <v>32364</v>
      </c>
      <c r="BO22" s="20">
        <v>47207</v>
      </c>
      <c r="BP22" s="20">
        <v>10624</v>
      </c>
      <c r="BQ22" s="20">
        <v>5834</v>
      </c>
      <c r="BR22" s="20">
        <v>4790</v>
      </c>
      <c r="BS22" s="20">
        <v>7389</v>
      </c>
      <c r="BT22" s="20">
        <v>3403</v>
      </c>
      <c r="BU22" s="20">
        <v>3986</v>
      </c>
      <c r="BV22" s="20">
        <v>61558</v>
      </c>
      <c r="BW22" s="20">
        <v>23127</v>
      </c>
      <c r="BX22" s="20">
        <v>38431</v>
      </c>
    </row>
    <row r="23" spans="1:76" ht="15.6" customHeight="1">
      <c r="A23" s="45" t="s">
        <v>139</v>
      </c>
      <c r="B23" s="94" t="s">
        <v>16</v>
      </c>
      <c r="C23" s="20" t="s">
        <v>261</v>
      </c>
      <c r="D23" s="20" t="s">
        <v>261</v>
      </c>
      <c r="E23" s="20" t="s">
        <v>261</v>
      </c>
      <c r="F23" s="20" t="s">
        <v>261</v>
      </c>
      <c r="G23" s="20" t="s">
        <v>261</v>
      </c>
      <c r="H23" s="20" t="s">
        <v>261</v>
      </c>
      <c r="I23" s="20" t="s">
        <v>261</v>
      </c>
      <c r="J23" s="20" t="s">
        <v>261</v>
      </c>
      <c r="K23" s="20" t="s">
        <v>261</v>
      </c>
      <c r="L23" s="20" t="s">
        <v>261</v>
      </c>
      <c r="M23" s="20" t="s">
        <v>261</v>
      </c>
      <c r="N23" s="20" t="s">
        <v>261</v>
      </c>
      <c r="O23" s="20" t="s">
        <v>261</v>
      </c>
      <c r="P23" s="20">
        <v>18</v>
      </c>
      <c r="Q23" s="20">
        <v>18</v>
      </c>
      <c r="R23" s="20" t="s">
        <v>261</v>
      </c>
      <c r="S23" s="20">
        <v>18</v>
      </c>
      <c r="T23" s="20">
        <v>18</v>
      </c>
      <c r="U23" s="20" t="s">
        <v>261</v>
      </c>
      <c r="V23" s="20" t="s">
        <v>261</v>
      </c>
      <c r="W23" s="20" t="s">
        <v>261</v>
      </c>
      <c r="X23" s="20" t="s">
        <v>261</v>
      </c>
      <c r="Y23" s="20" t="s">
        <v>261</v>
      </c>
      <c r="Z23" s="20" t="s">
        <v>261</v>
      </c>
      <c r="AA23" s="20" t="s">
        <v>261</v>
      </c>
      <c r="AB23" s="20">
        <v>66</v>
      </c>
      <c r="AC23" s="20">
        <v>66</v>
      </c>
      <c r="AD23" s="20" t="s">
        <v>262</v>
      </c>
      <c r="AE23" s="20">
        <v>66</v>
      </c>
      <c r="AF23" s="20">
        <v>66</v>
      </c>
      <c r="AG23" s="20" t="s">
        <v>262</v>
      </c>
      <c r="AH23" s="20" t="s">
        <v>262</v>
      </c>
      <c r="AI23" s="20" t="s">
        <v>262</v>
      </c>
      <c r="AJ23" s="20" t="s">
        <v>262</v>
      </c>
      <c r="AK23" s="20" t="s">
        <v>262</v>
      </c>
      <c r="AL23" s="20" t="s">
        <v>262</v>
      </c>
      <c r="AM23" s="20" t="s">
        <v>262</v>
      </c>
      <c r="AN23" s="20">
        <v>6</v>
      </c>
      <c r="AO23" s="20">
        <v>92</v>
      </c>
      <c r="AP23" s="20">
        <v>40</v>
      </c>
      <c r="AQ23" s="20">
        <v>52</v>
      </c>
      <c r="AR23" s="20">
        <v>19</v>
      </c>
      <c r="AS23" s="20">
        <v>15</v>
      </c>
      <c r="AT23" s="20">
        <v>4</v>
      </c>
      <c r="AU23" s="20">
        <v>3</v>
      </c>
      <c r="AV23" s="20">
        <v>1</v>
      </c>
      <c r="AW23" s="20">
        <v>2</v>
      </c>
      <c r="AX23" s="20">
        <v>70</v>
      </c>
      <c r="AY23" s="20">
        <v>24</v>
      </c>
      <c r="AZ23" s="20">
        <v>46</v>
      </c>
      <c r="BA23" s="20">
        <v>13522</v>
      </c>
      <c r="BB23" s="20">
        <v>5576</v>
      </c>
      <c r="BC23" s="20">
        <v>7946</v>
      </c>
      <c r="BD23" s="20">
        <v>2373</v>
      </c>
      <c r="BE23" s="20">
        <v>1809</v>
      </c>
      <c r="BF23" s="20">
        <v>564</v>
      </c>
      <c r="BG23" s="20">
        <v>404</v>
      </c>
      <c r="BH23" s="20">
        <v>158</v>
      </c>
      <c r="BI23" s="20">
        <v>246</v>
      </c>
      <c r="BJ23" s="20">
        <v>10745</v>
      </c>
      <c r="BK23" s="20">
        <v>3609</v>
      </c>
      <c r="BL23" s="20">
        <v>7136</v>
      </c>
      <c r="BM23" s="20">
        <v>47168</v>
      </c>
      <c r="BN23" s="20">
        <v>20002</v>
      </c>
      <c r="BO23" s="20">
        <v>27166</v>
      </c>
      <c r="BP23" s="20">
        <v>7802</v>
      </c>
      <c r="BQ23" s="20">
        <v>6254</v>
      </c>
      <c r="BR23" s="20">
        <v>1548</v>
      </c>
      <c r="BS23" s="20">
        <v>1901</v>
      </c>
      <c r="BT23" s="20">
        <v>916</v>
      </c>
      <c r="BU23" s="20">
        <v>985</v>
      </c>
      <c r="BV23" s="20">
        <v>37465</v>
      </c>
      <c r="BW23" s="20">
        <v>12832</v>
      </c>
      <c r="BX23" s="20">
        <v>24633</v>
      </c>
    </row>
    <row r="24" spans="1:76" ht="15.6" customHeight="1">
      <c r="A24" s="45" t="s">
        <v>140</v>
      </c>
      <c r="B24" s="94" t="s">
        <v>17</v>
      </c>
      <c r="C24" s="20" t="s">
        <v>261</v>
      </c>
      <c r="D24" s="20" t="s">
        <v>261</v>
      </c>
      <c r="E24" s="20" t="s">
        <v>261</v>
      </c>
      <c r="F24" s="20" t="s">
        <v>261</v>
      </c>
      <c r="G24" s="20" t="s">
        <v>261</v>
      </c>
      <c r="H24" s="20" t="s">
        <v>261</v>
      </c>
      <c r="I24" s="20" t="s">
        <v>261</v>
      </c>
      <c r="J24" s="20" t="s">
        <v>261</v>
      </c>
      <c r="K24" s="20" t="s">
        <v>261</v>
      </c>
      <c r="L24" s="20" t="s">
        <v>261</v>
      </c>
      <c r="M24" s="20" t="s">
        <v>261</v>
      </c>
      <c r="N24" s="20" t="s">
        <v>261</v>
      </c>
      <c r="O24" s="20" t="s">
        <v>261</v>
      </c>
      <c r="P24" s="20" t="s">
        <v>261</v>
      </c>
      <c r="Q24" s="20" t="s">
        <v>261</v>
      </c>
      <c r="R24" s="20" t="s">
        <v>261</v>
      </c>
      <c r="S24" s="20" t="s">
        <v>261</v>
      </c>
      <c r="T24" s="20" t="s">
        <v>261</v>
      </c>
      <c r="U24" s="20" t="s">
        <v>261</v>
      </c>
      <c r="V24" s="20" t="s">
        <v>261</v>
      </c>
      <c r="W24" s="20" t="s">
        <v>261</v>
      </c>
      <c r="X24" s="20" t="s">
        <v>261</v>
      </c>
      <c r="Y24" s="20" t="s">
        <v>261</v>
      </c>
      <c r="Z24" s="20" t="s">
        <v>261</v>
      </c>
      <c r="AA24" s="20" t="s">
        <v>261</v>
      </c>
      <c r="AB24" s="20" t="s">
        <v>262</v>
      </c>
      <c r="AC24" s="20" t="s">
        <v>262</v>
      </c>
      <c r="AD24" s="20" t="s">
        <v>262</v>
      </c>
      <c r="AE24" s="20" t="s">
        <v>262</v>
      </c>
      <c r="AF24" s="20" t="s">
        <v>262</v>
      </c>
      <c r="AG24" s="20" t="s">
        <v>262</v>
      </c>
      <c r="AH24" s="20" t="s">
        <v>262</v>
      </c>
      <c r="AI24" s="20" t="s">
        <v>262</v>
      </c>
      <c r="AJ24" s="20" t="s">
        <v>262</v>
      </c>
      <c r="AK24" s="20" t="s">
        <v>262</v>
      </c>
      <c r="AL24" s="20" t="s">
        <v>262</v>
      </c>
      <c r="AM24" s="20" t="s">
        <v>262</v>
      </c>
      <c r="AN24" s="20">
        <v>3</v>
      </c>
      <c r="AO24" s="20">
        <v>319</v>
      </c>
      <c r="AP24" s="20">
        <v>137</v>
      </c>
      <c r="AQ24" s="20">
        <v>182</v>
      </c>
      <c r="AR24" s="20">
        <v>19</v>
      </c>
      <c r="AS24" s="20">
        <v>8</v>
      </c>
      <c r="AT24" s="20">
        <v>11</v>
      </c>
      <c r="AU24" s="20">
        <v>21</v>
      </c>
      <c r="AV24" s="20">
        <v>14</v>
      </c>
      <c r="AW24" s="20">
        <v>7</v>
      </c>
      <c r="AX24" s="20">
        <v>279</v>
      </c>
      <c r="AY24" s="20">
        <v>115</v>
      </c>
      <c r="AZ24" s="20">
        <v>164</v>
      </c>
      <c r="BA24" s="20">
        <v>8521</v>
      </c>
      <c r="BB24" s="20">
        <v>3783</v>
      </c>
      <c r="BC24" s="20">
        <v>4738</v>
      </c>
      <c r="BD24" s="20">
        <v>563</v>
      </c>
      <c r="BE24" s="20">
        <v>326</v>
      </c>
      <c r="BF24" s="20">
        <v>237</v>
      </c>
      <c r="BG24" s="20">
        <v>646</v>
      </c>
      <c r="BH24" s="20">
        <v>414</v>
      </c>
      <c r="BI24" s="20">
        <v>232</v>
      </c>
      <c r="BJ24" s="20">
        <v>7312</v>
      </c>
      <c r="BK24" s="20">
        <v>3043</v>
      </c>
      <c r="BL24" s="20">
        <v>4269</v>
      </c>
      <c r="BM24" s="20">
        <v>68020</v>
      </c>
      <c r="BN24" s="20">
        <v>30330</v>
      </c>
      <c r="BO24" s="20">
        <v>37690</v>
      </c>
      <c r="BP24" s="20">
        <v>4303</v>
      </c>
      <c r="BQ24" s="20">
        <v>2608</v>
      </c>
      <c r="BR24" s="20">
        <v>1695</v>
      </c>
      <c r="BS24" s="20">
        <v>5164</v>
      </c>
      <c r="BT24" s="20">
        <v>3308</v>
      </c>
      <c r="BU24" s="20">
        <v>1856</v>
      </c>
      <c r="BV24" s="20">
        <v>58553</v>
      </c>
      <c r="BW24" s="20">
        <v>24414</v>
      </c>
      <c r="BX24" s="20">
        <v>34139</v>
      </c>
    </row>
    <row r="25" spans="1:76" ht="15.6" customHeight="1">
      <c r="A25" s="45" t="s">
        <v>141</v>
      </c>
      <c r="B25" s="94" t="s">
        <v>18</v>
      </c>
      <c r="C25" s="20">
        <v>1</v>
      </c>
      <c r="D25" s="20">
        <v>2</v>
      </c>
      <c r="E25" s="20" t="s">
        <v>261</v>
      </c>
      <c r="F25" s="20">
        <v>2</v>
      </c>
      <c r="G25" s="20">
        <v>1</v>
      </c>
      <c r="H25" s="20" t="s">
        <v>261</v>
      </c>
      <c r="I25" s="20">
        <v>1</v>
      </c>
      <c r="J25" s="20" t="s">
        <v>261</v>
      </c>
      <c r="K25" s="20" t="s">
        <v>261</v>
      </c>
      <c r="L25" s="20" t="s">
        <v>261</v>
      </c>
      <c r="M25" s="20">
        <v>1</v>
      </c>
      <c r="N25" s="20" t="s">
        <v>261</v>
      </c>
      <c r="O25" s="20">
        <v>1</v>
      </c>
      <c r="P25" s="20">
        <v>448</v>
      </c>
      <c r="Q25" s="20">
        <v>164</v>
      </c>
      <c r="R25" s="20">
        <v>284</v>
      </c>
      <c r="S25" s="20">
        <v>239</v>
      </c>
      <c r="T25" s="20">
        <v>72</v>
      </c>
      <c r="U25" s="20">
        <v>167</v>
      </c>
      <c r="V25" s="20">
        <v>32</v>
      </c>
      <c r="W25" s="20">
        <v>32</v>
      </c>
      <c r="X25" s="20" t="s">
        <v>261</v>
      </c>
      <c r="Y25" s="20">
        <v>177</v>
      </c>
      <c r="Z25" s="20">
        <v>60</v>
      </c>
      <c r="AA25" s="20">
        <v>117</v>
      </c>
      <c r="AB25" s="20">
        <v>1039</v>
      </c>
      <c r="AC25" s="20">
        <v>334</v>
      </c>
      <c r="AD25" s="20">
        <v>705</v>
      </c>
      <c r="AE25" s="20">
        <v>648</v>
      </c>
      <c r="AF25" s="20">
        <v>168</v>
      </c>
      <c r="AG25" s="20">
        <v>480</v>
      </c>
      <c r="AH25" s="20">
        <v>45</v>
      </c>
      <c r="AI25" s="20">
        <v>45</v>
      </c>
      <c r="AJ25" s="20" t="s">
        <v>262</v>
      </c>
      <c r="AK25" s="20">
        <v>346</v>
      </c>
      <c r="AL25" s="20">
        <v>121</v>
      </c>
      <c r="AM25" s="20">
        <v>225</v>
      </c>
      <c r="AN25" s="20">
        <v>5</v>
      </c>
      <c r="AO25" s="20">
        <v>52</v>
      </c>
      <c r="AP25" s="20">
        <v>21</v>
      </c>
      <c r="AQ25" s="20">
        <v>31</v>
      </c>
      <c r="AR25" s="20">
        <v>6</v>
      </c>
      <c r="AS25" s="20">
        <v>5</v>
      </c>
      <c r="AT25" s="20">
        <v>1</v>
      </c>
      <c r="AU25" s="20">
        <v>5</v>
      </c>
      <c r="AV25" s="20">
        <v>2</v>
      </c>
      <c r="AW25" s="20">
        <v>3</v>
      </c>
      <c r="AX25" s="20">
        <v>41</v>
      </c>
      <c r="AY25" s="20">
        <v>14</v>
      </c>
      <c r="AZ25" s="20">
        <v>27</v>
      </c>
      <c r="BA25" s="20">
        <v>7762</v>
      </c>
      <c r="BB25" s="20">
        <v>3398</v>
      </c>
      <c r="BC25" s="20">
        <v>4364</v>
      </c>
      <c r="BD25" s="20">
        <v>1529</v>
      </c>
      <c r="BE25" s="20">
        <v>1099</v>
      </c>
      <c r="BF25" s="20">
        <v>430</v>
      </c>
      <c r="BG25" s="20">
        <v>522</v>
      </c>
      <c r="BH25" s="20">
        <v>242</v>
      </c>
      <c r="BI25" s="20">
        <v>280</v>
      </c>
      <c r="BJ25" s="20">
        <v>5711</v>
      </c>
      <c r="BK25" s="20">
        <v>2057</v>
      </c>
      <c r="BL25" s="20">
        <v>3654</v>
      </c>
      <c r="BM25" s="20">
        <v>19983.5</v>
      </c>
      <c r="BN25" s="20">
        <v>8310</v>
      </c>
      <c r="BO25" s="20">
        <v>11673.5</v>
      </c>
      <c r="BP25" s="20">
        <v>3744.9</v>
      </c>
      <c r="BQ25" s="20">
        <v>2890.7</v>
      </c>
      <c r="BR25" s="20">
        <v>854.2</v>
      </c>
      <c r="BS25" s="20">
        <v>1289.3</v>
      </c>
      <c r="BT25" s="20">
        <v>370</v>
      </c>
      <c r="BU25" s="20">
        <v>919.3</v>
      </c>
      <c r="BV25" s="20">
        <v>14949.3</v>
      </c>
      <c r="BW25" s="20">
        <v>5049.3</v>
      </c>
      <c r="BX25" s="20">
        <v>9900</v>
      </c>
    </row>
    <row r="26" spans="1:76" ht="15.6" customHeight="1">
      <c r="A26" s="45" t="s">
        <v>142</v>
      </c>
      <c r="B26" s="94" t="s">
        <v>19</v>
      </c>
      <c r="C26" s="20" t="s">
        <v>261</v>
      </c>
      <c r="D26" s="20">
        <v>31</v>
      </c>
      <c r="E26" s="20">
        <v>14</v>
      </c>
      <c r="F26" s="20">
        <v>17</v>
      </c>
      <c r="G26" s="20">
        <v>2</v>
      </c>
      <c r="H26" s="20">
        <v>1</v>
      </c>
      <c r="I26" s="20">
        <v>1</v>
      </c>
      <c r="J26" s="20">
        <v>2</v>
      </c>
      <c r="K26" s="20">
        <v>1</v>
      </c>
      <c r="L26" s="20">
        <v>1</v>
      </c>
      <c r="M26" s="20">
        <v>27</v>
      </c>
      <c r="N26" s="20">
        <v>12</v>
      </c>
      <c r="O26" s="20">
        <v>15</v>
      </c>
      <c r="P26" s="20">
        <v>6167</v>
      </c>
      <c r="Q26" s="20">
        <v>2537</v>
      </c>
      <c r="R26" s="20">
        <v>3630</v>
      </c>
      <c r="S26" s="20">
        <v>420</v>
      </c>
      <c r="T26" s="20">
        <v>229</v>
      </c>
      <c r="U26" s="20">
        <v>191</v>
      </c>
      <c r="V26" s="20">
        <v>138</v>
      </c>
      <c r="W26" s="20">
        <v>102</v>
      </c>
      <c r="X26" s="20">
        <v>36</v>
      </c>
      <c r="Y26" s="20">
        <v>5609</v>
      </c>
      <c r="Z26" s="20">
        <v>2206</v>
      </c>
      <c r="AA26" s="20">
        <v>3403</v>
      </c>
      <c r="AB26" s="20">
        <v>47869</v>
      </c>
      <c r="AC26" s="20">
        <v>19904</v>
      </c>
      <c r="AD26" s="20">
        <v>27965</v>
      </c>
      <c r="AE26" s="20">
        <v>3299</v>
      </c>
      <c r="AF26" s="20">
        <v>1771</v>
      </c>
      <c r="AG26" s="20">
        <v>1528</v>
      </c>
      <c r="AH26" s="20">
        <v>800</v>
      </c>
      <c r="AI26" s="20">
        <v>700</v>
      </c>
      <c r="AJ26" s="20">
        <v>100</v>
      </c>
      <c r="AK26" s="20">
        <v>43770</v>
      </c>
      <c r="AL26" s="20">
        <v>17433</v>
      </c>
      <c r="AM26" s="20">
        <v>26337</v>
      </c>
      <c r="AN26" s="20">
        <v>3</v>
      </c>
      <c r="AO26" s="20">
        <v>23</v>
      </c>
      <c r="AP26" s="20">
        <v>11</v>
      </c>
      <c r="AQ26" s="20">
        <v>12</v>
      </c>
      <c r="AR26" s="20">
        <v>3</v>
      </c>
      <c r="AS26" s="20">
        <v>1</v>
      </c>
      <c r="AT26" s="20">
        <v>2</v>
      </c>
      <c r="AU26" s="20" t="s">
        <v>261</v>
      </c>
      <c r="AV26" s="20" t="s">
        <v>261</v>
      </c>
      <c r="AW26" s="20" t="s">
        <v>261</v>
      </c>
      <c r="AX26" s="20">
        <v>20</v>
      </c>
      <c r="AY26" s="20">
        <v>10</v>
      </c>
      <c r="AZ26" s="20">
        <v>10</v>
      </c>
      <c r="BA26" s="20">
        <v>3147</v>
      </c>
      <c r="BB26" s="20">
        <v>1394</v>
      </c>
      <c r="BC26" s="20">
        <v>1753</v>
      </c>
      <c r="BD26" s="20">
        <v>460</v>
      </c>
      <c r="BE26" s="20">
        <v>40</v>
      </c>
      <c r="BF26" s="20">
        <v>420</v>
      </c>
      <c r="BG26" s="20">
        <v>7</v>
      </c>
      <c r="BH26" s="20">
        <v>7</v>
      </c>
      <c r="BI26" s="20" t="s">
        <v>261</v>
      </c>
      <c r="BJ26" s="20">
        <v>2680</v>
      </c>
      <c r="BK26" s="20">
        <v>1347</v>
      </c>
      <c r="BL26" s="20">
        <v>1333</v>
      </c>
      <c r="BM26" s="20">
        <v>23978</v>
      </c>
      <c r="BN26" s="20">
        <v>10691</v>
      </c>
      <c r="BO26" s="20">
        <v>13287</v>
      </c>
      <c r="BP26" s="20">
        <v>3445</v>
      </c>
      <c r="BQ26" s="20">
        <v>281</v>
      </c>
      <c r="BR26" s="20">
        <v>3164</v>
      </c>
      <c r="BS26" s="20">
        <v>56</v>
      </c>
      <c r="BT26" s="20">
        <v>56</v>
      </c>
      <c r="BU26" s="20" t="s">
        <v>262</v>
      </c>
      <c r="BV26" s="20">
        <v>20477</v>
      </c>
      <c r="BW26" s="20">
        <v>10354</v>
      </c>
      <c r="BX26" s="20">
        <v>10123</v>
      </c>
    </row>
    <row r="27" spans="1:76" ht="15.6" customHeight="1">
      <c r="A27" s="45" t="s">
        <v>143</v>
      </c>
      <c r="B27" s="94" t="s">
        <v>20</v>
      </c>
      <c r="C27" s="20">
        <v>1</v>
      </c>
      <c r="D27" s="20">
        <v>13</v>
      </c>
      <c r="E27" s="20">
        <v>3</v>
      </c>
      <c r="F27" s="20">
        <v>10</v>
      </c>
      <c r="G27" s="20" t="s">
        <v>261</v>
      </c>
      <c r="H27" s="20" t="s">
        <v>261</v>
      </c>
      <c r="I27" s="20" t="s">
        <v>261</v>
      </c>
      <c r="J27" s="20" t="s">
        <v>261</v>
      </c>
      <c r="K27" s="20" t="s">
        <v>261</v>
      </c>
      <c r="L27" s="20" t="s">
        <v>261</v>
      </c>
      <c r="M27" s="20">
        <v>13</v>
      </c>
      <c r="N27" s="20">
        <v>3</v>
      </c>
      <c r="O27" s="20">
        <v>10</v>
      </c>
      <c r="P27" s="20">
        <v>2526</v>
      </c>
      <c r="Q27" s="20">
        <v>483</v>
      </c>
      <c r="R27" s="20">
        <v>2043</v>
      </c>
      <c r="S27" s="20">
        <v>21</v>
      </c>
      <c r="T27" s="20" t="s">
        <v>261</v>
      </c>
      <c r="U27" s="20">
        <v>21</v>
      </c>
      <c r="V27" s="20">
        <v>2</v>
      </c>
      <c r="W27" s="20">
        <v>2</v>
      </c>
      <c r="X27" s="20" t="s">
        <v>261</v>
      </c>
      <c r="Y27" s="20">
        <v>2503</v>
      </c>
      <c r="Z27" s="20">
        <v>481</v>
      </c>
      <c r="AA27" s="20">
        <v>2022</v>
      </c>
      <c r="AB27" s="20">
        <v>18164</v>
      </c>
      <c r="AC27" s="20">
        <v>2010</v>
      </c>
      <c r="AD27" s="20">
        <v>16154</v>
      </c>
      <c r="AE27" s="20">
        <v>90</v>
      </c>
      <c r="AF27" s="20" t="s">
        <v>262</v>
      </c>
      <c r="AG27" s="20">
        <v>90</v>
      </c>
      <c r="AH27" s="20">
        <v>50</v>
      </c>
      <c r="AI27" s="20">
        <v>50</v>
      </c>
      <c r="AJ27" s="20" t="s">
        <v>262</v>
      </c>
      <c r="AK27" s="20">
        <v>18024</v>
      </c>
      <c r="AL27" s="20">
        <v>1960</v>
      </c>
      <c r="AM27" s="20">
        <v>16064</v>
      </c>
      <c r="AN27" s="20">
        <v>4</v>
      </c>
      <c r="AO27" s="20">
        <v>49</v>
      </c>
      <c r="AP27" s="20">
        <v>23</v>
      </c>
      <c r="AQ27" s="20">
        <v>26</v>
      </c>
      <c r="AR27" s="20" t="s">
        <v>261</v>
      </c>
      <c r="AS27" s="20" t="s">
        <v>261</v>
      </c>
      <c r="AT27" s="20" t="s">
        <v>261</v>
      </c>
      <c r="AU27" s="20">
        <v>2</v>
      </c>
      <c r="AV27" s="20">
        <v>2</v>
      </c>
      <c r="AW27" s="20" t="s">
        <v>261</v>
      </c>
      <c r="AX27" s="20">
        <v>47</v>
      </c>
      <c r="AY27" s="20">
        <v>21</v>
      </c>
      <c r="AZ27" s="20">
        <v>26</v>
      </c>
      <c r="BA27" s="20">
        <v>10821</v>
      </c>
      <c r="BB27" s="20">
        <v>5381</v>
      </c>
      <c r="BC27" s="20">
        <v>5440</v>
      </c>
      <c r="BD27" s="20">
        <v>49</v>
      </c>
      <c r="BE27" s="20" t="s">
        <v>261</v>
      </c>
      <c r="BF27" s="20">
        <v>49</v>
      </c>
      <c r="BG27" s="20">
        <v>453</v>
      </c>
      <c r="BH27" s="20">
        <v>453</v>
      </c>
      <c r="BI27" s="20" t="s">
        <v>261</v>
      </c>
      <c r="BJ27" s="20">
        <v>10319</v>
      </c>
      <c r="BK27" s="20">
        <v>4928</v>
      </c>
      <c r="BL27" s="20">
        <v>5391</v>
      </c>
      <c r="BM27" s="20">
        <v>78763</v>
      </c>
      <c r="BN27" s="20">
        <v>37855</v>
      </c>
      <c r="BO27" s="20">
        <v>40908</v>
      </c>
      <c r="BP27" s="20">
        <v>387</v>
      </c>
      <c r="BQ27" s="20" t="s">
        <v>262</v>
      </c>
      <c r="BR27" s="20">
        <v>387</v>
      </c>
      <c r="BS27" s="20">
        <v>2518</v>
      </c>
      <c r="BT27" s="20">
        <v>2518</v>
      </c>
      <c r="BU27" s="20" t="s">
        <v>262</v>
      </c>
      <c r="BV27" s="20">
        <v>75858</v>
      </c>
      <c r="BW27" s="20">
        <v>35337</v>
      </c>
      <c r="BX27" s="20">
        <v>40521</v>
      </c>
    </row>
    <row r="28" spans="1:76" ht="15.6" customHeight="1">
      <c r="A28" s="45" t="s">
        <v>144</v>
      </c>
      <c r="B28" s="94" t="s">
        <v>21</v>
      </c>
      <c r="C28" s="20">
        <v>2</v>
      </c>
      <c r="D28" s="20">
        <v>30</v>
      </c>
      <c r="E28" s="20">
        <v>9</v>
      </c>
      <c r="F28" s="20">
        <v>21</v>
      </c>
      <c r="G28" s="20">
        <v>5</v>
      </c>
      <c r="H28" s="20">
        <v>1</v>
      </c>
      <c r="I28" s="20">
        <v>4</v>
      </c>
      <c r="J28" s="20">
        <v>3</v>
      </c>
      <c r="K28" s="20">
        <v>2</v>
      </c>
      <c r="L28" s="20">
        <v>1</v>
      </c>
      <c r="M28" s="20">
        <v>22</v>
      </c>
      <c r="N28" s="20">
        <v>6</v>
      </c>
      <c r="O28" s="20">
        <v>16</v>
      </c>
      <c r="P28" s="20">
        <v>6892</v>
      </c>
      <c r="Q28" s="20">
        <v>2670</v>
      </c>
      <c r="R28" s="20">
        <v>4222</v>
      </c>
      <c r="S28" s="20">
        <v>1246</v>
      </c>
      <c r="T28" s="20">
        <v>243</v>
      </c>
      <c r="U28" s="20">
        <v>1003</v>
      </c>
      <c r="V28" s="20">
        <v>655</v>
      </c>
      <c r="W28" s="20">
        <v>451</v>
      </c>
      <c r="X28" s="20">
        <v>204</v>
      </c>
      <c r="Y28" s="20">
        <v>4991</v>
      </c>
      <c r="Z28" s="20">
        <v>1976</v>
      </c>
      <c r="AA28" s="20">
        <v>3015</v>
      </c>
      <c r="AB28" s="20">
        <v>25834.799999999999</v>
      </c>
      <c r="AC28" s="20">
        <v>9932.7000000000007</v>
      </c>
      <c r="AD28" s="20">
        <v>15902.1</v>
      </c>
      <c r="AE28" s="20">
        <v>4493.3</v>
      </c>
      <c r="AF28" s="20">
        <v>423</v>
      </c>
      <c r="AG28" s="20">
        <v>4070.3</v>
      </c>
      <c r="AH28" s="20">
        <v>2767.2</v>
      </c>
      <c r="AI28" s="20">
        <v>1796</v>
      </c>
      <c r="AJ28" s="20">
        <v>971.2</v>
      </c>
      <c r="AK28" s="20">
        <v>18574.3</v>
      </c>
      <c r="AL28" s="20">
        <v>7713.7</v>
      </c>
      <c r="AM28" s="20">
        <v>10860.6</v>
      </c>
      <c r="AN28" s="20">
        <v>3</v>
      </c>
      <c r="AO28" s="20">
        <v>54</v>
      </c>
      <c r="AP28" s="20">
        <v>22</v>
      </c>
      <c r="AQ28" s="20">
        <v>32</v>
      </c>
      <c r="AR28" s="20">
        <v>5</v>
      </c>
      <c r="AS28" s="20">
        <v>2</v>
      </c>
      <c r="AT28" s="20">
        <v>3</v>
      </c>
      <c r="AU28" s="20">
        <v>1</v>
      </c>
      <c r="AV28" s="20" t="s">
        <v>261</v>
      </c>
      <c r="AW28" s="20">
        <v>1</v>
      </c>
      <c r="AX28" s="20">
        <v>48</v>
      </c>
      <c r="AY28" s="20">
        <v>20</v>
      </c>
      <c r="AZ28" s="20">
        <v>28</v>
      </c>
      <c r="BA28" s="20">
        <v>10558</v>
      </c>
      <c r="BB28" s="20">
        <v>3599</v>
      </c>
      <c r="BC28" s="20">
        <v>6959</v>
      </c>
      <c r="BD28" s="20">
        <v>837</v>
      </c>
      <c r="BE28" s="20">
        <v>301</v>
      </c>
      <c r="BF28" s="20">
        <v>536</v>
      </c>
      <c r="BG28" s="20">
        <v>250</v>
      </c>
      <c r="BH28" s="20" t="s">
        <v>261</v>
      </c>
      <c r="BI28" s="20">
        <v>250</v>
      </c>
      <c r="BJ28" s="20">
        <v>9471</v>
      </c>
      <c r="BK28" s="20">
        <v>3298</v>
      </c>
      <c r="BL28" s="20">
        <v>6173</v>
      </c>
      <c r="BM28" s="20">
        <v>25196.9</v>
      </c>
      <c r="BN28" s="20">
        <v>8901</v>
      </c>
      <c r="BO28" s="20">
        <v>16295.9</v>
      </c>
      <c r="BP28" s="20">
        <v>2797.4</v>
      </c>
      <c r="BQ28" s="20">
        <v>439.7</v>
      </c>
      <c r="BR28" s="20">
        <v>2357.6999999999998</v>
      </c>
      <c r="BS28" s="20">
        <v>1105.8</v>
      </c>
      <c r="BT28" s="20" t="s">
        <v>262</v>
      </c>
      <c r="BU28" s="20">
        <v>1105.8</v>
      </c>
      <c r="BV28" s="20">
        <v>21293.7</v>
      </c>
      <c r="BW28" s="20">
        <v>8461.2999999999993</v>
      </c>
      <c r="BX28" s="20">
        <v>12832.4</v>
      </c>
    </row>
    <row r="29" spans="1:76" ht="15.6" customHeight="1">
      <c r="A29" s="45" t="s">
        <v>145</v>
      </c>
      <c r="B29" s="94" t="s">
        <v>22</v>
      </c>
      <c r="C29" s="20" t="s">
        <v>261</v>
      </c>
      <c r="D29" s="20" t="s">
        <v>261</v>
      </c>
      <c r="E29" s="20" t="s">
        <v>261</v>
      </c>
      <c r="F29" s="20" t="s">
        <v>261</v>
      </c>
      <c r="G29" s="20" t="s">
        <v>261</v>
      </c>
      <c r="H29" s="20" t="s">
        <v>261</v>
      </c>
      <c r="I29" s="20" t="s">
        <v>261</v>
      </c>
      <c r="J29" s="20" t="s">
        <v>261</v>
      </c>
      <c r="K29" s="20" t="s">
        <v>261</v>
      </c>
      <c r="L29" s="20" t="s">
        <v>261</v>
      </c>
      <c r="M29" s="20" t="s">
        <v>261</v>
      </c>
      <c r="N29" s="20" t="s">
        <v>261</v>
      </c>
      <c r="O29" s="20" t="s">
        <v>261</v>
      </c>
      <c r="P29" s="20" t="s">
        <v>261</v>
      </c>
      <c r="Q29" s="20" t="s">
        <v>261</v>
      </c>
      <c r="R29" s="20" t="s">
        <v>261</v>
      </c>
      <c r="S29" s="20" t="s">
        <v>261</v>
      </c>
      <c r="T29" s="20" t="s">
        <v>261</v>
      </c>
      <c r="U29" s="20" t="s">
        <v>261</v>
      </c>
      <c r="V29" s="20" t="s">
        <v>261</v>
      </c>
      <c r="W29" s="20" t="s">
        <v>261</v>
      </c>
      <c r="X29" s="20" t="s">
        <v>261</v>
      </c>
      <c r="Y29" s="20" t="s">
        <v>261</v>
      </c>
      <c r="Z29" s="20" t="s">
        <v>261</v>
      </c>
      <c r="AA29" s="20" t="s">
        <v>261</v>
      </c>
      <c r="AB29" s="20" t="s">
        <v>262</v>
      </c>
      <c r="AC29" s="20" t="s">
        <v>262</v>
      </c>
      <c r="AD29" s="20" t="s">
        <v>262</v>
      </c>
      <c r="AE29" s="20" t="s">
        <v>262</v>
      </c>
      <c r="AF29" s="20" t="s">
        <v>262</v>
      </c>
      <c r="AG29" s="20" t="s">
        <v>262</v>
      </c>
      <c r="AH29" s="20" t="s">
        <v>262</v>
      </c>
      <c r="AI29" s="20" t="s">
        <v>262</v>
      </c>
      <c r="AJ29" s="20" t="s">
        <v>262</v>
      </c>
      <c r="AK29" s="20" t="s">
        <v>262</v>
      </c>
      <c r="AL29" s="20" t="s">
        <v>262</v>
      </c>
      <c r="AM29" s="20" t="s">
        <v>262</v>
      </c>
      <c r="AN29" s="20">
        <v>1</v>
      </c>
      <c r="AO29" s="20">
        <v>26</v>
      </c>
      <c r="AP29" s="20">
        <v>7</v>
      </c>
      <c r="AQ29" s="20">
        <v>19</v>
      </c>
      <c r="AR29" s="20" t="s">
        <v>261</v>
      </c>
      <c r="AS29" s="20" t="s">
        <v>261</v>
      </c>
      <c r="AT29" s="20" t="s">
        <v>261</v>
      </c>
      <c r="AU29" s="20" t="s">
        <v>261</v>
      </c>
      <c r="AV29" s="20" t="s">
        <v>261</v>
      </c>
      <c r="AW29" s="20" t="s">
        <v>261</v>
      </c>
      <c r="AX29" s="20">
        <v>26</v>
      </c>
      <c r="AY29" s="20">
        <v>7</v>
      </c>
      <c r="AZ29" s="20">
        <v>19</v>
      </c>
      <c r="BA29" s="20">
        <v>7588</v>
      </c>
      <c r="BB29" s="20">
        <v>3171</v>
      </c>
      <c r="BC29" s="20">
        <v>4417</v>
      </c>
      <c r="BD29" s="20">
        <v>331</v>
      </c>
      <c r="BE29" s="20">
        <v>311</v>
      </c>
      <c r="BF29" s="20">
        <v>20</v>
      </c>
      <c r="BG29" s="20">
        <v>39</v>
      </c>
      <c r="BH29" s="20" t="s">
        <v>261</v>
      </c>
      <c r="BI29" s="20">
        <v>39</v>
      </c>
      <c r="BJ29" s="20">
        <v>7218</v>
      </c>
      <c r="BK29" s="20">
        <v>2860</v>
      </c>
      <c r="BL29" s="20">
        <v>4358</v>
      </c>
      <c r="BM29" s="20">
        <v>55338</v>
      </c>
      <c r="BN29" s="20">
        <v>22882</v>
      </c>
      <c r="BO29" s="20">
        <v>32456</v>
      </c>
      <c r="BP29" s="20">
        <v>2192</v>
      </c>
      <c r="BQ29" s="20">
        <v>2032</v>
      </c>
      <c r="BR29" s="20">
        <v>160</v>
      </c>
      <c r="BS29" s="20">
        <v>312</v>
      </c>
      <c r="BT29" s="20" t="s">
        <v>262</v>
      </c>
      <c r="BU29" s="20">
        <v>312</v>
      </c>
      <c r="BV29" s="20">
        <v>52834</v>
      </c>
      <c r="BW29" s="20">
        <v>20850</v>
      </c>
      <c r="BX29" s="20">
        <v>31984</v>
      </c>
    </row>
    <row r="30" spans="1:76" ht="15.6" customHeight="1">
      <c r="A30" s="46" t="s">
        <v>146</v>
      </c>
      <c r="B30" s="95" t="s">
        <v>23</v>
      </c>
      <c r="C30" s="22" t="s">
        <v>261</v>
      </c>
      <c r="D30" s="22">
        <v>1</v>
      </c>
      <c r="E30" s="22" t="s">
        <v>261</v>
      </c>
      <c r="F30" s="22">
        <v>1</v>
      </c>
      <c r="G30" s="22" t="s">
        <v>261</v>
      </c>
      <c r="H30" s="22" t="s">
        <v>261</v>
      </c>
      <c r="I30" s="22" t="s">
        <v>261</v>
      </c>
      <c r="J30" s="22" t="s">
        <v>261</v>
      </c>
      <c r="K30" s="22" t="s">
        <v>261</v>
      </c>
      <c r="L30" s="22" t="s">
        <v>261</v>
      </c>
      <c r="M30" s="22">
        <v>1</v>
      </c>
      <c r="N30" s="22" t="s">
        <v>261</v>
      </c>
      <c r="O30" s="22">
        <v>1</v>
      </c>
      <c r="P30" s="22">
        <v>1</v>
      </c>
      <c r="Q30" s="22" t="s">
        <v>261</v>
      </c>
      <c r="R30" s="22">
        <v>1</v>
      </c>
      <c r="S30" s="22" t="s">
        <v>261</v>
      </c>
      <c r="T30" s="22" t="s">
        <v>261</v>
      </c>
      <c r="U30" s="22" t="s">
        <v>261</v>
      </c>
      <c r="V30" s="22" t="s">
        <v>261</v>
      </c>
      <c r="W30" s="22" t="s">
        <v>261</v>
      </c>
      <c r="X30" s="22" t="s">
        <v>261</v>
      </c>
      <c r="Y30" s="22">
        <v>1</v>
      </c>
      <c r="Z30" s="22" t="s">
        <v>261</v>
      </c>
      <c r="AA30" s="22">
        <v>1</v>
      </c>
      <c r="AB30" s="22">
        <v>160</v>
      </c>
      <c r="AC30" s="22" t="s">
        <v>262</v>
      </c>
      <c r="AD30" s="22">
        <v>160</v>
      </c>
      <c r="AE30" s="22" t="s">
        <v>262</v>
      </c>
      <c r="AF30" s="22" t="s">
        <v>262</v>
      </c>
      <c r="AG30" s="22" t="s">
        <v>262</v>
      </c>
      <c r="AH30" s="22" t="s">
        <v>262</v>
      </c>
      <c r="AI30" s="22" t="s">
        <v>262</v>
      </c>
      <c r="AJ30" s="22" t="s">
        <v>262</v>
      </c>
      <c r="AK30" s="22">
        <v>160</v>
      </c>
      <c r="AL30" s="22" t="s">
        <v>262</v>
      </c>
      <c r="AM30" s="22">
        <v>160</v>
      </c>
      <c r="AN30" s="22" t="s">
        <v>261</v>
      </c>
      <c r="AO30" s="22" t="s">
        <v>261</v>
      </c>
      <c r="AP30" s="22" t="s">
        <v>261</v>
      </c>
      <c r="AQ30" s="22" t="s">
        <v>261</v>
      </c>
      <c r="AR30" s="22" t="s">
        <v>261</v>
      </c>
      <c r="AS30" s="22" t="s">
        <v>261</v>
      </c>
      <c r="AT30" s="22" t="s">
        <v>261</v>
      </c>
      <c r="AU30" s="22" t="s">
        <v>261</v>
      </c>
      <c r="AV30" s="22" t="s">
        <v>261</v>
      </c>
      <c r="AW30" s="22" t="s">
        <v>261</v>
      </c>
      <c r="AX30" s="22" t="s">
        <v>261</v>
      </c>
      <c r="AY30" s="22" t="s">
        <v>261</v>
      </c>
      <c r="AZ30" s="22" t="s">
        <v>261</v>
      </c>
      <c r="BA30" s="22" t="s">
        <v>261</v>
      </c>
      <c r="BB30" s="22" t="s">
        <v>261</v>
      </c>
      <c r="BC30" s="22" t="s">
        <v>261</v>
      </c>
      <c r="BD30" s="22" t="s">
        <v>261</v>
      </c>
      <c r="BE30" s="22" t="s">
        <v>261</v>
      </c>
      <c r="BF30" s="22" t="s">
        <v>261</v>
      </c>
      <c r="BG30" s="22" t="s">
        <v>261</v>
      </c>
      <c r="BH30" s="22" t="s">
        <v>261</v>
      </c>
      <c r="BI30" s="22" t="s">
        <v>261</v>
      </c>
      <c r="BJ30" s="22" t="s">
        <v>261</v>
      </c>
      <c r="BK30" s="22" t="s">
        <v>261</v>
      </c>
      <c r="BL30" s="22" t="s">
        <v>261</v>
      </c>
      <c r="BM30" s="22" t="s">
        <v>262</v>
      </c>
      <c r="BN30" s="22" t="s">
        <v>262</v>
      </c>
      <c r="BO30" s="22" t="s">
        <v>262</v>
      </c>
      <c r="BP30" s="22" t="s">
        <v>262</v>
      </c>
      <c r="BQ30" s="22" t="s">
        <v>262</v>
      </c>
      <c r="BR30" s="22" t="s">
        <v>262</v>
      </c>
      <c r="BS30" s="22" t="s">
        <v>262</v>
      </c>
      <c r="BT30" s="22" t="s">
        <v>262</v>
      </c>
      <c r="BU30" s="22" t="s">
        <v>262</v>
      </c>
      <c r="BV30" s="22" t="s">
        <v>262</v>
      </c>
      <c r="BW30" s="22" t="s">
        <v>262</v>
      </c>
      <c r="BX30" s="22" t="s">
        <v>262</v>
      </c>
    </row>
    <row r="31" spans="1:76" ht="15.6" customHeight="1">
      <c r="A31" s="127" t="s">
        <v>256</v>
      </c>
      <c r="B31" s="128"/>
    </row>
    <row r="32" spans="1:76" ht="15.6" customHeight="1">
      <c r="A32" s="84" t="s">
        <v>257</v>
      </c>
    </row>
    <row r="33" spans="1:1" ht="19.5" customHeight="1"/>
    <row r="34" spans="1:1" ht="19.5" customHeight="1">
      <c r="A34" s="31" t="s">
        <v>111</v>
      </c>
    </row>
  </sheetData>
  <mergeCells count="101">
    <mergeCell ref="BT6:BT7"/>
    <mergeCell ref="BU6:BU7"/>
    <mergeCell ref="BV6:BV7"/>
    <mergeCell ref="BW6:BW7"/>
    <mergeCell ref="BX6:BX7"/>
    <mergeCell ref="BN6:BN7"/>
    <mergeCell ref="BO6:BO7"/>
    <mergeCell ref="BP6:BP7"/>
    <mergeCell ref="BQ6:BQ7"/>
    <mergeCell ref="BR6:BR7"/>
    <mergeCell ref="BS6:BS7"/>
    <mergeCell ref="BH6:BH7"/>
    <mergeCell ref="BI6:BI7"/>
    <mergeCell ref="BJ6:BJ7"/>
    <mergeCell ref="BK6:BK7"/>
    <mergeCell ref="BL6:BL7"/>
    <mergeCell ref="BM6:BM7"/>
    <mergeCell ref="BB6:BB7"/>
    <mergeCell ref="BC6:BC7"/>
    <mergeCell ref="BD6:BD7"/>
    <mergeCell ref="BE6:BE7"/>
    <mergeCell ref="BF6:BF7"/>
    <mergeCell ref="BG6:BG7"/>
    <mergeCell ref="AX6:AX7"/>
    <mergeCell ref="AY6:AY7"/>
    <mergeCell ref="AZ6:AZ7"/>
    <mergeCell ref="BA6:BA7"/>
    <mergeCell ref="AP6:AP7"/>
    <mergeCell ref="AQ6:AQ7"/>
    <mergeCell ref="AR6:AR7"/>
    <mergeCell ref="AS6:AS7"/>
    <mergeCell ref="AT6:AT7"/>
    <mergeCell ref="AU6:AU7"/>
    <mergeCell ref="BP5:BR5"/>
    <mergeCell ref="BS5:BU5"/>
    <mergeCell ref="BV5:BX5"/>
    <mergeCell ref="AX5:AZ5"/>
    <mergeCell ref="BD5:BF5"/>
    <mergeCell ref="BG5:BI5"/>
    <mergeCell ref="BJ5:BL5"/>
    <mergeCell ref="W6:W7"/>
    <mergeCell ref="X6:X7"/>
    <mergeCell ref="Y6:Y7"/>
    <mergeCell ref="Z6:Z7"/>
    <mergeCell ref="AA6:AA7"/>
    <mergeCell ref="AB6:AB7"/>
    <mergeCell ref="AI6:AI7"/>
    <mergeCell ref="AJ6:AJ7"/>
    <mergeCell ref="AK6:AK7"/>
    <mergeCell ref="AL6:AL7"/>
    <mergeCell ref="AM6:AM7"/>
    <mergeCell ref="AO6:AO7"/>
    <mergeCell ref="AC6:AC7"/>
    <mergeCell ref="AD6:AD7"/>
    <mergeCell ref="AE6:AE7"/>
    <mergeCell ref="AF6:AF7"/>
    <mergeCell ref="AG6:AG7"/>
    <mergeCell ref="H6:H7"/>
    <mergeCell ref="I6:I7"/>
    <mergeCell ref="J6:J7"/>
    <mergeCell ref="AR5:AT5"/>
    <mergeCell ref="AU5:AW5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AH6:AH7"/>
    <mergeCell ref="AV6:AV7"/>
    <mergeCell ref="AW6:AW7"/>
    <mergeCell ref="A3:B7"/>
    <mergeCell ref="C3:AM3"/>
    <mergeCell ref="AN3:BX3"/>
    <mergeCell ref="C4:C7"/>
    <mergeCell ref="D4:O4"/>
    <mergeCell ref="P4:AA4"/>
    <mergeCell ref="AB4:AM4"/>
    <mergeCell ref="AN4:AN7"/>
    <mergeCell ref="AO4:AZ4"/>
    <mergeCell ref="BA4:BL4"/>
    <mergeCell ref="BM4:BX4"/>
    <mergeCell ref="G5:I5"/>
    <mergeCell ref="J5:L5"/>
    <mergeCell ref="M5:O5"/>
    <mergeCell ref="S5:U5"/>
    <mergeCell ref="V5:X5"/>
    <mergeCell ref="Y5:AA5"/>
    <mergeCell ref="AE5:AG5"/>
    <mergeCell ref="AH5:AJ5"/>
    <mergeCell ref="AK5:AM5"/>
    <mergeCell ref="D6:D7"/>
    <mergeCell ref="E6:E7"/>
    <mergeCell ref="F6:F7"/>
    <mergeCell ref="G6:G7"/>
  </mergeCells>
  <phoneticPr fontId="6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90" fitToWidth="10" orientation="landscape" useFirstPageNumber="1" horizontalDpi="4294967292" verticalDpi="3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BX34"/>
  <sheetViews>
    <sheetView zoomScaleNormal="100" zoomScaleSheetLayoutView="100" workbookViewId="0">
      <pane xSplit="2" ySplit="7" topLeftCell="C8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9.5" customHeight="1"/>
  <cols>
    <col min="1" max="1" width="10.1640625" style="84" customWidth="1"/>
    <col min="2" max="2" width="20.1640625" style="84" customWidth="1"/>
    <col min="3" max="15" width="11.5" style="84" customWidth="1"/>
    <col min="16" max="39" width="12.1640625" style="84" customWidth="1"/>
    <col min="40" max="52" width="11.5" style="84" customWidth="1"/>
    <col min="53" max="64" width="12" style="84" customWidth="1"/>
    <col min="65" max="76" width="12.1640625" style="84" customWidth="1"/>
    <col min="77" max="16384" width="12" style="84"/>
  </cols>
  <sheetData>
    <row r="1" spans="1:76" ht="19.5" customHeight="1">
      <c r="A1" s="115" t="s">
        <v>293</v>
      </c>
      <c r="B1" s="117"/>
    </row>
    <row r="2" spans="1:76" ht="19.5" customHeight="1">
      <c r="A2" s="26" t="s">
        <v>119</v>
      </c>
      <c r="B2" s="129"/>
    </row>
    <row r="3" spans="1:76" ht="19.5" customHeight="1">
      <c r="A3" s="410" t="s">
        <v>316</v>
      </c>
      <c r="B3" s="411"/>
      <c r="C3" s="405" t="s">
        <v>294</v>
      </c>
      <c r="D3" s="406"/>
      <c r="E3" s="406"/>
      <c r="F3" s="406"/>
      <c r="G3" s="406"/>
      <c r="H3" s="406"/>
      <c r="I3" s="406"/>
      <c r="J3" s="406"/>
      <c r="K3" s="406"/>
      <c r="L3" s="406"/>
      <c r="M3" s="406"/>
      <c r="N3" s="406"/>
      <c r="O3" s="406"/>
      <c r="P3" s="406"/>
      <c r="Q3" s="406"/>
      <c r="R3" s="406"/>
      <c r="S3" s="406"/>
      <c r="T3" s="406"/>
      <c r="U3" s="406"/>
      <c r="V3" s="406"/>
      <c r="W3" s="406"/>
      <c r="X3" s="406"/>
      <c r="Y3" s="406"/>
      <c r="Z3" s="406"/>
      <c r="AA3" s="406"/>
      <c r="AB3" s="406"/>
      <c r="AC3" s="406"/>
      <c r="AD3" s="406"/>
      <c r="AE3" s="406"/>
      <c r="AF3" s="406"/>
      <c r="AG3" s="406"/>
      <c r="AH3" s="406"/>
      <c r="AI3" s="406"/>
      <c r="AJ3" s="406"/>
      <c r="AK3" s="406"/>
      <c r="AL3" s="406"/>
      <c r="AM3" s="407"/>
      <c r="AN3" s="405" t="s">
        <v>295</v>
      </c>
      <c r="AO3" s="406"/>
      <c r="AP3" s="406"/>
      <c r="AQ3" s="406"/>
      <c r="AR3" s="406"/>
      <c r="AS3" s="406"/>
      <c r="AT3" s="406"/>
      <c r="AU3" s="406"/>
      <c r="AV3" s="406"/>
      <c r="AW3" s="406"/>
      <c r="AX3" s="406"/>
      <c r="AY3" s="406"/>
      <c r="AZ3" s="406"/>
      <c r="BA3" s="406"/>
      <c r="BB3" s="406"/>
      <c r="BC3" s="406"/>
      <c r="BD3" s="406"/>
      <c r="BE3" s="406"/>
      <c r="BF3" s="406"/>
      <c r="BG3" s="406"/>
      <c r="BH3" s="406"/>
      <c r="BI3" s="406"/>
      <c r="BJ3" s="406"/>
      <c r="BK3" s="406"/>
      <c r="BL3" s="406"/>
      <c r="BM3" s="406"/>
      <c r="BN3" s="406"/>
      <c r="BO3" s="406"/>
      <c r="BP3" s="406"/>
      <c r="BQ3" s="406"/>
      <c r="BR3" s="406"/>
      <c r="BS3" s="406"/>
      <c r="BT3" s="406"/>
      <c r="BU3" s="406"/>
      <c r="BV3" s="406"/>
      <c r="BW3" s="406"/>
      <c r="BX3" s="406"/>
    </row>
    <row r="4" spans="1:76" s="82" customFormat="1" ht="19.5" customHeight="1">
      <c r="A4" s="412"/>
      <c r="B4" s="413"/>
      <c r="C4" s="416" t="s">
        <v>296</v>
      </c>
      <c r="D4" s="405" t="s">
        <v>297</v>
      </c>
      <c r="E4" s="406"/>
      <c r="F4" s="406"/>
      <c r="G4" s="406"/>
      <c r="H4" s="406"/>
      <c r="I4" s="406"/>
      <c r="J4" s="406"/>
      <c r="K4" s="406"/>
      <c r="L4" s="406"/>
      <c r="M4" s="406"/>
      <c r="N4" s="406"/>
      <c r="O4" s="407"/>
      <c r="P4" s="419" t="s">
        <v>298</v>
      </c>
      <c r="Q4" s="419"/>
      <c r="R4" s="419"/>
      <c r="S4" s="419"/>
      <c r="T4" s="419"/>
      <c r="U4" s="419"/>
      <c r="V4" s="419"/>
      <c r="W4" s="419"/>
      <c r="X4" s="419"/>
      <c r="Y4" s="419"/>
      <c r="Z4" s="419"/>
      <c r="AA4" s="419"/>
      <c r="AB4" s="419" t="s">
        <v>299</v>
      </c>
      <c r="AC4" s="419"/>
      <c r="AD4" s="419"/>
      <c r="AE4" s="419"/>
      <c r="AF4" s="419"/>
      <c r="AG4" s="419"/>
      <c r="AH4" s="419"/>
      <c r="AI4" s="419"/>
      <c r="AJ4" s="419"/>
      <c r="AK4" s="419"/>
      <c r="AL4" s="419"/>
      <c r="AM4" s="419"/>
      <c r="AN4" s="417" t="s">
        <v>300</v>
      </c>
      <c r="AO4" s="405" t="s">
        <v>297</v>
      </c>
      <c r="AP4" s="406"/>
      <c r="AQ4" s="406"/>
      <c r="AR4" s="406"/>
      <c r="AS4" s="406"/>
      <c r="AT4" s="406"/>
      <c r="AU4" s="406"/>
      <c r="AV4" s="406"/>
      <c r="AW4" s="406"/>
      <c r="AX4" s="406"/>
      <c r="AY4" s="406"/>
      <c r="AZ4" s="407"/>
      <c r="BA4" s="405" t="s">
        <v>301</v>
      </c>
      <c r="BB4" s="406"/>
      <c r="BC4" s="406"/>
      <c r="BD4" s="406"/>
      <c r="BE4" s="406"/>
      <c r="BF4" s="406"/>
      <c r="BG4" s="406"/>
      <c r="BH4" s="406"/>
      <c r="BI4" s="406"/>
      <c r="BJ4" s="406"/>
      <c r="BK4" s="406"/>
      <c r="BL4" s="407"/>
      <c r="BM4" s="405" t="s">
        <v>302</v>
      </c>
      <c r="BN4" s="406"/>
      <c r="BO4" s="406"/>
      <c r="BP4" s="406"/>
      <c r="BQ4" s="406"/>
      <c r="BR4" s="406"/>
      <c r="BS4" s="406"/>
      <c r="BT4" s="406"/>
      <c r="BU4" s="406"/>
      <c r="BV4" s="406"/>
      <c r="BW4" s="406"/>
      <c r="BX4" s="406"/>
    </row>
    <row r="5" spans="1:76" s="83" customFormat="1" ht="27" customHeight="1">
      <c r="A5" s="412"/>
      <c r="B5" s="413"/>
      <c r="C5" s="417"/>
      <c r="D5" s="130" t="s">
        <v>303</v>
      </c>
      <c r="E5" s="131"/>
      <c r="F5" s="132"/>
      <c r="G5" s="420" t="s">
        <v>304</v>
      </c>
      <c r="H5" s="420"/>
      <c r="I5" s="420"/>
      <c r="J5" s="420" t="s">
        <v>305</v>
      </c>
      <c r="K5" s="420"/>
      <c r="L5" s="420"/>
      <c r="M5" s="420" t="s">
        <v>306</v>
      </c>
      <c r="N5" s="420"/>
      <c r="O5" s="420"/>
      <c r="P5" s="130" t="s">
        <v>303</v>
      </c>
      <c r="Q5" s="131"/>
      <c r="R5" s="132"/>
      <c r="S5" s="420" t="s">
        <v>304</v>
      </c>
      <c r="T5" s="420"/>
      <c r="U5" s="420"/>
      <c r="V5" s="420" t="s">
        <v>305</v>
      </c>
      <c r="W5" s="420"/>
      <c r="X5" s="420"/>
      <c r="Y5" s="420" t="s">
        <v>306</v>
      </c>
      <c r="Z5" s="420"/>
      <c r="AA5" s="420"/>
      <c r="AB5" s="130" t="s">
        <v>303</v>
      </c>
      <c r="AC5" s="131"/>
      <c r="AD5" s="132"/>
      <c r="AE5" s="420" t="s">
        <v>304</v>
      </c>
      <c r="AF5" s="420"/>
      <c r="AG5" s="420"/>
      <c r="AH5" s="420" t="s">
        <v>305</v>
      </c>
      <c r="AI5" s="420"/>
      <c r="AJ5" s="420"/>
      <c r="AK5" s="420" t="s">
        <v>306</v>
      </c>
      <c r="AL5" s="420"/>
      <c r="AM5" s="420"/>
      <c r="AN5" s="417"/>
      <c r="AO5" s="130" t="s">
        <v>303</v>
      </c>
      <c r="AP5" s="131"/>
      <c r="AQ5" s="132"/>
      <c r="AR5" s="420" t="s">
        <v>304</v>
      </c>
      <c r="AS5" s="420"/>
      <c r="AT5" s="420"/>
      <c r="AU5" s="420" t="s">
        <v>305</v>
      </c>
      <c r="AV5" s="420"/>
      <c r="AW5" s="420"/>
      <c r="AX5" s="420" t="s">
        <v>306</v>
      </c>
      <c r="AY5" s="420"/>
      <c r="AZ5" s="420"/>
      <c r="BA5" s="130" t="s">
        <v>303</v>
      </c>
      <c r="BB5" s="133"/>
      <c r="BC5" s="132"/>
      <c r="BD5" s="420" t="s">
        <v>304</v>
      </c>
      <c r="BE5" s="420"/>
      <c r="BF5" s="420"/>
      <c r="BG5" s="420" t="s">
        <v>305</v>
      </c>
      <c r="BH5" s="420"/>
      <c r="BI5" s="420"/>
      <c r="BJ5" s="420" t="s">
        <v>306</v>
      </c>
      <c r="BK5" s="420"/>
      <c r="BL5" s="420"/>
      <c r="BM5" s="130" t="s">
        <v>303</v>
      </c>
      <c r="BN5" s="133"/>
      <c r="BO5" s="132"/>
      <c r="BP5" s="420" t="s">
        <v>304</v>
      </c>
      <c r="BQ5" s="420"/>
      <c r="BR5" s="420"/>
      <c r="BS5" s="420" t="s">
        <v>305</v>
      </c>
      <c r="BT5" s="420"/>
      <c r="BU5" s="420"/>
      <c r="BV5" s="420" t="s">
        <v>306</v>
      </c>
      <c r="BW5" s="420"/>
      <c r="BX5" s="422"/>
    </row>
    <row r="6" spans="1:76" ht="19.5" customHeight="1">
      <c r="A6" s="412"/>
      <c r="B6" s="413"/>
      <c r="C6" s="417"/>
      <c r="D6" s="416" t="s">
        <v>307</v>
      </c>
      <c r="E6" s="416" t="s">
        <v>308</v>
      </c>
      <c r="F6" s="416" t="s">
        <v>309</v>
      </c>
      <c r="G6" s="416" t="s">
        <v>307</v>
      </c>
      <c r="H6" s="416" t="s">
        <v>308</v>
      </c>
      <c r="I6" s="416" t="s">
        <v>309</v>
      </c>
      <c r="J6" s="416" t="s">
        <v>307</v>
      </c>
      <c r="K6" s="416" t="s">
        <v>308</v>
      </c>
      <c r="L6" s="416" t="s">
        <v>309</v>
      </c>
      <c r="M6" s="416" t="s">
        <v>307</v>
      </c>
      <c r="N6" s="416" t="s">
        <v>308</v>
      </c>
      <c r="O6" s="416" t="s">
        <v>309</v>
      </c>
      <c r="P6" s="416" t="s">
        <v>307</v>
      </c>
      <c r="Q6" s="416" t="s">
        <v>308</v>
      </c>
      <c r="R6" s="416" t="s">
        <v>309</v>
      </c>
      <c r="S6" s="416" t="s">
        <v>307</v>
      </c>
      <c r="T6" s="416" t="s">
        <v>308</v>
      </c>
      <c r="U6" s="416" t="s">
        <v>309</v>
      </c>
      <c r="V6" s="416" t="s">
        <v>307</v>
      </c>
      <c r="W6" s="416" t="s">
        <v>308</v>
      </c>
      <c r="X6" s="416" t="s">
        <v>309</v>
      </c>
      <c r="Y6" s="416" t="s">
        <v>307</v>
      </c>
      <c r="Z6" s="416" t="s">
        <v>308</v>
      </c>
      <c r="AA6" s="416" t="s">
        <v>309</v>
      </c>
      <c r="AB6" s="416" t="s">
        <v>307</v>
      </c>
      <c r="AC6" s="416" t="s">
        <v>308</v>
      </c>
      <c r="AD6" s="416" t="s">
        <v>309</v>
      </c>
      <c r="AE6" s="416" t="s">
        <v>307</v>
      </c>
      <c r="AF6" s="416" t="s">
        <v>308</v>
      </c>
      <c r="AG6" s="416" t="s">
        <v>309</v>
      </c>
      <c r="AH6" s="416" t="s">
        <v>307</v>
      </c>
      <c r="AI6" s="416" t="s">
        <v>308</v>
      </c>
      <c r="AJ6" s="416" t="s">
        <v>309</v>
      </c>
      <c r="AK6" s="416" t="s">
        <v>307</v>
      </c>
      <c r="AL6" s="416" t="s">
        <v>308</v>
      </c>
      <c r="AM6" s="416" t="s">
        <v>309</v>
      </c>
      <c r="AN6" s="417"/>
      <c r="AO6" s="416" t="s">
        <v>307</v>
      </c>
      <c r="AP6" s="416" t="s">
        <v>308</v>
      </c>
      <c r="AQ6" s="416" t="s">
        <v>309</v>
      </c>
      <c r="AR6" s="416" t="s">
        <v>307</v>
      </c>
      <c r="AS6" s="416" t="s">
        <v>308</v>
      </c>
      <c r="AT6" s="416" t="s">
        <v>309</v>
      </c>
      <c r="AU6" s="416" t="s">
        <v>307</v>
      </c>
      <c r="AV6" s="416" t="s">
        <v>308</v>
      </c>
      <c r="AW6" s="416" t="s">
        <v>309</v>
      </c>
      <c r="AX6" s="416" t="s">
        <v>307</v>
      </c>
      <c r="AY6" s="416" t="s">
        <v>308</v>
      </c>
      <c r="AZ6" s="416" t="s">
        <v>309</v>
      </c>
      <c r="BA6" s="416" t="s">
        <v>307</v>
      </c>
      <c r="BB6" s="416" t="s">
        <v>308</v>
      </c>
      <c r="BC6" s="416" t="s">
        <v>309</v>
      </c>
      <c r="BD6" s="416" t="s">
        <v>307</v>
      </c>
      <c r="BE6" s="416" t="s">
        <v>308</v>
      </c>
      <c r="BF6" s="416" t="s">
        <v>309</v>
      </c>
      <c r="BG6" s="416" t="s">
        <v>307</v>
      </c>
      <c r="BH6" s="416" t="s">
        <v>308</v>
      </c>
      <c r="BI6" s="416" t="s">
        <v>309</v>
      </c>
      <c r="BJ6" s="416" t="s">
        <v>307</v>
      </c>
      <c r="BK6" s="416" t="s">
        <v>308</v>
      </c>
      <c r="BL6" s="416" t="s">
        <v>309</v>
      </c>
      <c r="BM6" s="416" t="s">
        <v>307</v>
      </c>
      <c r="BN6" s="416" t="s">
        <v>308</v>
      </c>
      <c r="BO6" s="416" t="s">
        <v>309</v>
      </c>
      <c r="BP6" s="416" t="s">
        <v>307</v>
      </c>
      <c r="BQ6" s="416" t="s">
        <v>308</v>
      </c>
      <c r="BR6" s="416" t="s">
        <v>309</v>
      </c>
      <c r="BS6" s="416" t="s">
        <v>307</v>
      </c>
      <c r="BT6" s="416" t="s">
        <v>308</v>
      </c>
      <c r="BU6" s="416" t="s">
        <v>309</v>
      </c>
      <c r="BV6" s="416" t="s">
        <v>307</v>
      </c>
      <c r="BW6" s="416" t="s">
        <v>308</v>
      </c>
      <c r="BX6" s="423" t="s">
        <v>309</v>
      </c>
    </row>
    <row r="7" spans="1:76" ht="19.5" customHeight="1">
      <c r="A7" s="414"/>
      <c r="B7" s="415"/>
      <c r="C7" s="418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421"/>
      <c r="S7" s="421"/>
      <c r="T7" s="421"/>
      <c r="U7" s="421"/>
      <c r="V7" s="421"/>
      <c r="W7" s="421"/>
      <c r="X7" s="421"/>
      <c r="Y7" s="421"/>
      <c r="Z7" s="421"/>
      <c r="AA7" s="421"/>
      <c r="AB7" s="421"/>
      <c r="AC7" s="421"/>
      <c r="AD7" s="421"/>
      <c r="AE7" s="421"/>
      <c r="AF7" s="421"/>
      <c r="AG7" s="421"/>
      <c r="AH7" s="421"/>
      <c r="AI7" s="421"/>
      <c r="AJ7" s="421"/>
      <c r="AK7" s="421"/>
      <c r="AL7" s="421"/>
      <c r="AM7" s="421"/>
      <c r="AN7" s="418"/>
      <c r="AO7" s="421"/>
      <c r="AP7" s="421"/>
      <c r="AQ7" s="421"/>
      <c r="AR7" s="421"/>
      <c r="AS7" s="421"/>
      <c r="AT7" s="421"/>
      <c r="AU7" s="421"/>
      <c r="AV7" s="421"/>
      <c r="AW7" s="421"/>
      <c r="AX7" s="421"/>
      <c r="AY7" s="421"/>
      <c r="AZ7" s="421"/>
      <c r="BA7" s="421"/>
      <c r="BB7" s="421"/>
      <c r="BC7" s="421"/>
      <c r="BD7" s="421"/>
      <c r="BE7" s="421"/>
      <c r="BF7" s="421"/>
      <c r="BG7" s="421"/>
      <c r="BH7" s="421"/>
      <c r="BI7" s="421"/>
      <c r="BJ7" s="421"/>
      <c r="BK7" s="421"/>
      <c r="BL7" s="421"/>
      <c r="BM7" s="421"/>
      <c r="BN7" s="421"/>
      <c r="BO7" s="421"/>
      <c r="BP7" s="421"/>
      <c r="BQ7" s="421"/>
      <c r="BR7" s="421"/>
      <c r="BS7" s="421"/>
      <c r="BT7" s="421"/>
      <c r="BU7" s="421"/>
      <c r="BV7" s="421"/>
      <c r="BW7" s="421"/>
      <c r="BX7" s="424"/>
    </row>
    <row r="8" spans="1:76" s="123" customFormat="1" ht="15.6" customHeight="1">
      <c r="A8" s="134" t="s">
        <v>292</v>
      </c>
      <c r="B8" s="121" t="s">
        <v>199</v>
      </c>
      <c r="C8" s="122">
        <v>27</v>
      </c>
      <c r="D8" s="122">
        <v>421</v>
      </c>
      <c r="E8" s="122">
        <v>141</v>
      </c>
      <c r="F8" s="122">
        <v>280</v>
      </c>
      <c r="G8" s="122">
        <v>23</v>
      </c>
      <c r="H8" s="122">
        <v>10</v>
      </c>
      <c r="I8" s="122">
        <v>13</v>
      </c>
      <c r="J8" s="122">
        <v>21</v>
      </c>
      <c r="K8" s="122">
        <v>9</v>
      </c>
      <c r="L8" s="122">
        <v>12</v>
      </c>
      <c r="M8" s="122">
        <v>377</v>
      </c>
      <c r="N8" s="122">
        <v>122</v>
      </c>
      <c r="O8" s="122">
        <v>255</v>
      </c>
      <c r="P8" s="122">
        <v>83000</v>
      </c>
      <c r="Q8" s="122">
        <v>26699</v>
      </c>
      <c r="R8" s="122">
        <v>56301</v>
      </c>
      <c r="S8" s="122">
        <v>3985</v>
      </c>
      <c r="T8" s="122">
        <v>1544</v>
      </c>
      <c r="U8" s="122">
        <v>2441</v>
      </c>
      <c r="V8" s="122">
        <v>4898</v>
      </c>
      <c r="W8" s="122">
        <v>1866</v>
      </c>
      <c r="X8" s="122">
        <v>3032</v>
      </c>
      <c r="Y8" s="122">
        <v>74117</v>
      </c>
      <c r="Z8" s="122">
        <v>23289</v>
      </c>
      <c r="AA8" s="122">
        <v>50828</v>
      </c>
      <c r="AB8" s="122">
        <v>600851.5</v>
      </c>
      <c r="AC8" s="122">
        <v>188546.5</v>
      </c>
      <c r="AD8" s="122">
        <v>412305</v>
      </c>
      <c r="AE8" s="122">
        <v>27235</v>
      </c>
      <c r="AF8" s="122">
        <v>11322</v>
      </c>
      <c r="AG8" s="122">
        <v>15913</v>
      </c>
      <c r="AH8" s="122">
        <v>34331</v>
      </c>
      <c r="AI8" s="122">
        <v>12023</v>
      </c>
      <c r="AJ8" s="122">
        <v>22308</v>
      </c>
      <c r="AK8" s="122">
        <v>539285.5</v>
      </c>
      <c r="AL8" s="122">
        <v>165201.5</v>
      </c>
      <c r="AM8" s="122">
        <v>374084</v>
      </c>
      <c r="AN8" s="122">
        <v>144</v>
      </c>
      <c r="AO8" s="122">
        <v>2572</v>
      </c>
      <c r="AP8" s="122">
        <v>904</v>
      </c>
      <c r="AQ8" s="122">
        <v>1668</v>
      </c>
      <c r="AR8" s="122">
        <v>232</v>
      </c>
      <c r="AS8" s="122">
        <v>101</v>
      </c>
      <c r="AT8" s="122">
        <v>131</v>
      </c>
      <c r="AU8" s="122">
        <v>152</v>
      </c>
      <c r="AV8" s="122">
        <v>66</v>
      </c>
      <c r="AW8" s="122">
        <v>86</v>
      </c>
      <c r="AX8" s="122">
        <v>2188</v>
      </c>
      <c r="AY8" s="122">
        <v>737</v>
      </c>
      <c r="AZ8" s="122">
        <v>1451</v>
      </c>
      <c r="BA8" s="122">
        <v>509514</v>
      </c>
      <c r="BB8" s="122">
        <v>174132</v>
      </c>
      <c r="BC8" s="122">
        <v>335382</v>
      </c>
      <c r="BD8" s="122">
        <v>43200</v>
      </c>
      <c r="BE8" s="122">
        <v>19100</v>
      </c>
      <c r="BF8" s="122">
        <v>24100</v>
      </c>
      <c r="BG8" s="122">
        <v>26660</v>
      </c>
      <c r="BH8" s="122">
        <v>10932</v>
      </c>
      <c r="BI8" s="122">
        <v>15728</v>
      </c>
      <c r="BJ8" s="122">
        <v>439654</v>
      </c>
      <c r="BK8" s="122">
        <v>144100</v>
      </c>
      <c r="BL8" s="122">
        <v>295554</v>
      </c>
      <c r="BM8" s="122">
        <v>3861747.4</v>
      </c>
      <c r="BN8" s="122">
        <v>1306651.8999999999</v>
      </c>
      <c r="BO8" s="122">
        <v>2555095.5</v>
      </c>
      <c r="BP8" s="122">
        <v>314534.3</v>
      </c>
      <c r="BQ8" s="122">
        <v>135243.9</v>
      </c>
      <c r="BR8" s="122">
        <v>179290.4</v>
      </c>
      <c r="BS8" s="122">
        <v>195136.8</v>
      </c>
      <c r="BT8" s="122">
        <v>83415.5</v>
      </c>
      <c r="BU8" s="122">
        <v>111721.3</v>
      </c>
      <c r="BV8" s="122">
        <v>3352076.3</v>
      </c>
      <c r="BW8" s="122">
        <v>1087992.5</v>
      </c>
      <c r="BX8" s="122">
        <v>2264083.7999999998</v>
      </c>
    </row>
    <row r="9" spans="1:76" s="126" customFormat="1" ht="15.6" customHeight="1">
      <c r="A9" s="91" t="s">
        <v>125</v>
      </c>
      <c r="B9" s="124" t="s">
        <v>318</v>
      </c>
      <c r="C9" s="125">
        <v>1</v>
      </c>
      <c r="D9" s="125">
        <v>36</v>
      </c>
      <c r="E9" s="125">
        <v>9</v>
      </c>
      <c r="F9" s="125">
        <v>27</v>
      </c>
      <c r="G9" s="125">
        <v>1</v>
      </c>
      <c r="H9" s="125" t="s">
        <v>261</v>
      </c>
      <c r="I9" s="125">
        <v>1</v>
      </c>
      <c r="J9" s="125">
        <v>1</v>
      </c>
      <c r="K9" s="125" t="s">
        <v>261</v>
      </c>
      <c r="L9" s="125">
        <v>1</v>
      </c>
      <c r="M9" s="125">
        <v>34</v>
      </c>
      <c r="N9" s="125">
        <v>9</v>
      </c>
      <c r="O9" s="125">
        <v>25</v>
      </c>
      <c r="P9" s="125">
        <v>9402</v>
      </c>
      <c r="Q9" s="125">
        <v>2736</v>
      </c>
      <c r="R9" s="125">
        <v>6666</v>
      </c>
      <c r="S9" s="125">
        <v>133</v>
      </c>
      <c r="T9" s="125" t="s">
        <v>261</v>
      </c>
      <c r="U9" s="125">
        <v>133</v>
      </c>
      <c r="V9" s="125">
        <v>111</v>
      </c>
      <c r="W9" s="125" t="s">
        <v>261</v>
      </c>
      <c r="X9" s="125">
        <v>111</v>
      </c>
      <c r="Y9" s="125">
        <v>9158</v>
      </c>
      <c r="Z9" s="125">
        <v>2736</v>
      </c>
      <c r="AA9" s="125">
        <v>6422</v>
      </c>
      <c r="AB9" s="125">
        <v>75098</v>
      </c>
      <c r="AC9" s="125">
        <v>21736</v>
      </c>
      <c r="AD9" s="125">
        <v>53362</v>
      </c>
      <c r="AE9" s="125">
        <v>1056</v>
      </c>
      <c r="AF9" s="125" t="s">
        <v>262</v>
      </c>
      <c r="AG9" s="125">
        <v>1056</v>
      </c>
      <c r="AH9" s="125">
        <v>880</v>
      </c>
      <c r="AI9" s="125" t="s">
        <v>262</v>
      </c>
      <c r="AJ9" s="125">
        <v>880</v>
      </c>
      <c r="AK9" s="125">
        <v>73162</v>
      </c>
      <c r="AL9" s="125">
        <v>21736</v>
      </c>
      <c r="AM9" s="125">
        <v>51426</v>
      </c>
      <c r="AN9" s="125">
        <v>18</v>
      </c>
      <c r="AO9" s="125">
        <v>317</v>
      </c>
      <c r="AP9" s="125">
        <v>118</v>
      </c>
      <c r="AQ9" s="125">
        <v>199</v>
      </c>
      <c r="AR9" s="125">
        <v>16</v>
      </c>
      <c r="AS9" s="125">
        <v>6</v>
      </c>
      <c r="AT9" s="125">
        <v>10</v>
      </c>
      <c r="AU9" s="125">
        <v>11</v>
      </c>
      <c r="AV9" s="125">
        <v>2</v>
      </c>
      <c r="AW9" s="125">
        <v>9</v>
      </c>
      <c r="AX9" s="125">
        <v>290</v>
      </c>
      <c r="AY9" s="125">
        <v>110</v>
      </c>
      <c r="AZ9" s="125">
        <v>180</v>
      </c>
      <c r="BA9" s="125">
        <v>68493</v>
      </c>
      <c r="BB9" s="125">
        <v>25583</v>
      </c>
      <c r="BC9" s="125">
        <v>42910</v>
      </c>
      <c r="BD9" s="125">
        <v>3178</v>
      </c>
      <c r="BE9" s="125">
        <v>1330</v>
      </c>
      <c r="BF9" s="125">
        <v>1848</v>
      </c>
      <c r="BG9" s="125">
        <v>1194</v>
      </c>
      <c r="BH9" s="125">
        <v>116</v>
      </c>
      <c r="BI9" s="125">
        <v>1078</v>
      </c>
      <c r="BJ9" s="125">
        <v>64121</v>
      </c>
      <c r="BK9" s="125">
        <v>24137</v>
      </c>
      <c r="BL9" s="125">
        <v>39984</v>
      </c>
      <c r="BM9" s="125">
        <v>547735</v>
      </c>
      <c r="BN9" s="125">
        <v>204468</v>
      </c>
      <c r="BO9" s="125">
        <v>343267</v>
      </c>
      <c r="BP9" s="125">
        <v>25416</v>
      </c>
      <c r="BQ9" s="125">
        <v>10632</v>
      </c>
      <c r="BR9" s="125">
        <v>14784</v>
      </c>
      <c r="BS9" s="125">
        <v>9536</v>
      </c>
      <c r="BT9" s="125">
        <v>928</v>
      </c>
      <c r="BU9" s="125">
        <v>8608</v>
      </c>
      <c r="BV9" s="125">
        <v>512783</v>
      </c>
      <c r="BW9" s="125">
        <v>192908</v>
      </c>
      <c r="BX9" s="125">
        <v>319875</v>
      </c>
    </row>
    <row r="10" spans="1:76" s="126" customFormat="1" ht="15.6" customHeight="1">
      <c r="A10" s="91" t="s">
        <v>126</v>
      </c>
      <c r="B10" s="124" t="s">
        <v>3</v>
      </c>
      <c r="C10" s="125">
        <v>2</v>
      </c>
      <c r="D10" s="125">
        <v>32</v>
      </c>
      <c r="E10" s="125">
        <v>13</v>
      </c>
      <c r="F10" s="125">
        <v>19</v>
      </c>
      <c r="G10" s="125" t="s">
        <v>261</v>
      </c>
      <c r="H10" s="125" t="s">
        <v>261</v>
      </c>
      <c r="I10" s="125" t="s">
        <v>261</v>
      </c>
      <c r="J10" s="125">
        <v>1</v>
      </c>
      <c r="K10" s="125">
        <v>1</v>
      </c>
      <c r="L10" s="125" t="s">
        <v>261</v>
      </c>
      <c r="M10" s="125">
        <v>31</v>
      </c>
      <c r="N10" s="125">
        <v>12</v>
      </c>
      <c r="O10" s="125">
        <v>19</v>
      </c>
      <c r="P10" s="125">
        <v>5824</v>
      </c>
      <c r="Q10" s="125">
        <v>1793</v>
      </c>
      <c r="R10" s="125">
        <v>4031</v>
      </c>
      <c r="S10" s="125">
        <v>202</v>
      </c>
      <c r="T10" s="125">
        <v>41</v>
      </c>
      <c r="U10" s="125">
        <v>161</v>
      </c>
      <c r="V10" s="125">
        <v>26</v>
      </c>
      <c r="W10" s="125">
        <v>26</v>
      </c>
      <c r="X10" s="125" t="s">
        <v>261</v>
      </c>
      <c r="Y10" s="125">
        <v>5596</v>
      </c>
      <c r="Z10" s="125">
        <v>1726</v>
      </c>
      <c r="AA10" s="125">
        <v>3870</v>
      </c>
      <c r="AB10" s="125">
        <v>47065</v>
      </c>
      <c r="AC10" s="125">
        <v>14291</v>
      </c>
      <c r="AD10" s="125">
        <v>32774</v>
      </c>
      <c r="AE10" s="125">
        <v>1788</v>
      </c>
      <c r="AF10" s="125">
        <v>328</v>
      </c>
      <c r="AG10" s="125">
        <v>1460</v>
      </c>
      <c r="AH10" s="125">
        <v>208</v>
      </c>
      <c r="AI10" s="125">
        <v>208</v>
      </c>
      <c r="AJ10" s="125" t="s">
        <v>262</v>
      </c>
      <c r="AK10" s="125">
        <v>45069</v>
      </c>
      <c r="AL10" s="125">
        <v>13755</v>
      </c>
      <c r="AM10" s="125">
        <v>31314</v>
      </c>
      <c r="AN10" s="125">
        <v>15</v>
      </c>
      <c r="AO10" s="125">
        <v>333</v>
      </c>
      <c r="AP10" s="125">
        <v>97</v>
      </c>
      <c r="AQ10" s="125">
        <v>236</v>
      </c>
      <c r="AR10" s="125">
        <v>18</v>
      </c>
      <c r="AS10" s="125">
        <v>3</v>
      </c>
      <c r="AT10" s="125">
        <v>15</v>
      </c>
      <c r="AU10" s="125">
        <v>11</v>
      </c>
      <c r="AV10" s="125">
        <v>3</v>
      </c>
      <c r="AW10" s="125">
        <v>8</v>
      </c>
      <c r="AX10" s="125">
        <v>304</v>
      </c>
      <c r="AY10" s="125">
        <v>91</v>
      </c>
      <c r="AZ10" s="125">
        <v>213</v>
      </c>
      <c r="BA10" s="125">
        <v>66359</v>
      </c>
      <c r="BB10" s="125">
        <v>19224</v>
      </c>
      <c r="BC10" s="125">
        <v>47135</v>
      </c>
      <c r="BD10" s="125">
        <v>1996</v>
      </c>
      <c r="BE10" s="125">
        <v>791</v>
      </c>
      <c r="BF10" s="125">
        <v>1205</v>
      </c>
      <c r="BG10" s="125">
        <v>2113</v>
      </c>
      <c r="BH10" s="125">
        <v>465</v>
      </c>
      <c r="BI10" s="125">
        <v>1648</v>
      </c>
      <c r="BJ10" s="125">
        <v>62250</v>
      </c>
      <c r="BK10" s="125">
        <v>17968</v>
      </c>
      <c r="BL10" s="125">
        <v>44282</v>
      </c>
      <c r="BM10" s="125">
        <v>533479</v>
      </c>
      <c r="BN10" s="125">
        <v>154179</v>
      </c>
      <c r="BO10" s="125">
        <v>379300</v>
      </c>
      <c r="BP10" s="125">
        <v>16252</v>
      </c>
      <c r="BQ10" s="125">
        <v>6462</v>
      </c>
      <c r="BR10" s="125">
        <v>9790</v>
      </c>
      <c r="BS10" s="125">
        <v>16923</v>
      </c>
      <c r="BT10" s="125">
        <v>3746</v>
      </c>
      <c r="BU10" s="125">
        <v>13177</v>
      </c>
      <c r="BV10" s="125">
        <v>500304</v>
      </c>
      <c r="BW10" s="125">
        <v>143971</v>
      </c>
      <c r="BX10" s="125">
        <v>356333</v>
      </c>
    </row>
    <row r="11" spans="1:76" s="126" customFormat="1" ht="15.6" customHeight="1">
      <c r="A11" s="91" t="s">
        <v>127</v>
      </c>
      <c r="B11" s="124" t="s">
        <v>319</v>
      </c>
      <c r="C11" s="125">
        <v>1</v>
      </c>
      <c r="D11" s="125">
        <v>6</v>
      </c>
      <c r="E11" s="125">
        <v>3</v>
      </c>
      <c r="F11" s="125">
        <v>3</v>
      </c>
      <c r="G11" s="125">
        <v>1</v>
      </c>
      <c r="H11" s="125">
        <v>1</v>
      </c>
      <c r="I11" s="125" t="s">
        <v>261</v>
      </c>
      <c r="J11" s="125" t="s">
        <v>261</v>
      </c>
      <c r="K11" s="125" t="s">
        <v>261</v>
      </c>
      <c r="L11" s="125" t="s">
        <v>261</v>
      </c>
      <c r="M11" s="125">
        <v>5</v>
      </c>
      <c r="N11" s="125">
        <v>2</v>
      </c>
      <c r="O11" s="125">
        <v>3</v>
      </c>
      <c r="P11" s="125">
        <v>1264</v>
      </c>
      <c r="Q11" s="125">
        <v>762</v>
      </c>
      <c r="R11" s="125">
        <v>502</v>
      </c>
      <c r="S11" s="125">
        <v>377</v>
      </c>
      <c r="T11" s="125">
        <v>201</v>
      </c>
      <c r="U11" s="125">
        <v>176</v>
      </c>
      <c r="V11" s="125">
        <v>42</v>
      </c>
      <c r="W11" s="125">
        <v>42</v>
      </c>
      <c r="X11" s="125" t="s">
        <v>261</v>
      </c>
      <c r="Y11" s="125">
        <v>845</v>
      </c>
      <c r="Z11" s="125">
        <v>519</v>
      </c>
      <c r="AA11" s="125">
        <v>326</v>
      </c>
      <c r="AB11" s="125">
        <v>9290</v>
      </c>
      <c r="AC11" s="125">
        <v>6302</v>
      </c>
      <c r="AD11" s="125">
        <v>2988</v>
      </c>
      <c r="AE11" s="125">
        <v>1806</v>
      </c>
      <c r="AF11" s="125">
        <v>1604</v>
      </c>
      <c r="AG11" s="125">
        <v>202</v>
      </c>
      <c r="AH11" s="125">
        <v>345</v>
      </c>
      <c r="AI11" s="125">
        <v>345</v>
      </c>
      <c r="AJ11" s="125" t="s">
        <v>262</v>
      </c>
      <c r="AK11" s="125">
        <v>7139</v>
      </c>
      <c r="AL11" s="125">
        <v>4353</v>
      </c>
      <c r="AM11" s="125">
        <v>2786</v>
      </c>
      <c r="AN11" s="125">
        <v>4</v>
      </c>
      <c r="AO11" s="125">
        <v>82</v>
      </c>
      <c r="AP11" s="125">
        <v>27</v>
      </c>
      <c r="AQ11" s="125">
        <v>55</v>
      </c>
      <c r="AR11" s="125">
        <v>5</v>
      </c>
      <c r="AS11" s="125">
        <v>1</v>
      </c>
      <c r="AT11" s="125">
        <v>4</v>
      </c>
      <c r="AU11" s="125">
        <v>5</v>
      </c>
      <c r="AV11" s="125">
        <v>2</v>
      </c>
      <c r="AW11" s="125">
        <v>3</v>
      </c>
      <c r="AX11" s="125">
        <v>72</v>
      </c>
      <c r="AY11" s="125">
        <v>24</v>
      </c>
      <c r="AZ11" s="125">
        <v>48</v>
      </c>
      <c r="BA11" s="125">
        <v>17966</v>
      </c>
      <c r="BB11" s="125">
        <v>5793</v>
      </c>
      <c r="BC11" s="125">
        <v>12173</v>
      </c>
      <c r="BD11" s="125">
        <v>594</v>
      </c>
      <c r="BE11" s="125">
        <v>38</v>
      </c>
      <c r="BF11" s="125">
        <v>556</v>
      </c>
      <c r="BG11" s="125">
        <v>589</v>
      </c>
      <c r="BH11" s="125">
        <v>301</v>
      </c>
      <c r="BI11" s="125">
        <v>288</v>
      </c>
      <c r="BJ11" s="125">
        <v>16783</v>
      </c>
      <c r="BK11" s="125">
        <v>5454</v>
      </c>
      <c r="BL11" s="125">
        <v>11329</v>
      </c>
      <c r="BM11" s="125">
        <v>139356</v>
      </c>
      <c r="BN11" s="125">
        <v>45942</v>
      </c>
      <c r="BO11" s="125">
        <v>93414</v>
      </c>
      <c r="BP11" s="125">
        <v>4539</v>
      </c>
      <c r="BQ11" s="125">
        <v>247</v>
      </c>
      <c r="BR11" s="125">
        <v>4292</v>
      </c>
      <c r="BS11" s="125">
        <v>4707</v>
      </c>
      <c r="BT11" s="125">
        <v>2408</v>
      </c>
      <c r="BU11" s="125">
        <v>2299</v>
      </c>
      <c r="BV11" s="125">
        <v>130110</v>
      </c>
      <c r="BW11" s="125">
        <v>43287</v>
      </c>
      <c r="BX11" s="125">
        <v>86823</v>
      </c>
    </row>
    <row r="12" spans="1:76" s="126" customFormat="1" ht="15.6" customHeight="1">
      <c r="A12" s="91" t="s">
        <v>128</v>
      </c>
      <c r="B12" s="124" t="s">
        <v>4</v>
      </c>
      <c r="C12" s="125">
        <v>2</v>
      </c>
      <c r="D12" s="125">
        <v>44</v>
      </c>
      <c r="E12" s="125">
        <v>8</v>
      </c>
      <c r="F12" s="125">
        <v>36</v>
      </c>
      <c r="G12" s="125">
        <v>3</v>
      </c>
      <c r="H12" s="125">
        <v>1</v>
      </c>
      <c r="I12" s="125">
        <v>2</v>
      </c>
      <c r="J12" s="125">
        <v>3</v>
      </c>
      <c r="K12" s="125" t="s">
        <v>261</v>
      </c>
      <c r="L12" s="125">
        <v>3</v>
      </c>
      <c r="M12" s="125">
        <v>38</v>
      </c>
      <c r="N12" s="125">
        <v>7</v>
      </c>
      <c r="O12" s="125">
        <v>31</v>
      </c>
      <c r="P12" s="125">
        <v>9422</v>
      </c>
      <c r="Q12" s="125">
        <v>1574</v>
      </c>
      <c r="R12" s="125">
        <v>7848</v>
      </c>
      <c r="S12" s="125">
        <v>630</v>
      </c>
      <c r="T12" s="125">
        <v>129</v>
      </c>
      <c r="U12" s="125">
        <v>501</v>
      </c>
      <c r="V12" s="125">
        <v>510</v>
      </c>
      <c r="W12" s="125">
        <v>30</v>
      </c>
      <c r="X12" s="125">
        <v>480</v>
      </c>
      <c r="Y12" s="125">
        <v>8282</v>
      </c>
      <c r="Z12" s="125">
        <v>1415</v>
      </c>
      <c r="AA12" s="125">
        <v>6867</v>
      </c>
      <c r="AB12" s="125">
        <v>76552</v>
      </c>
      <c r="AC12" s="125">
        <v>12742</v>
      </c>
      <c r="AD12" s="125">
        <v>63810</v>
      </c>
      <c r="AE12" s="125">
        <v>5040</v>
      </c>
      <c r="AF12" s="125">
        <v>1032</v>
      </c>
      <c r="AG12" s="125">
        <v>4008</v>
      </c>
      <c r="AH12" s="125">
        <v>4199</v>
      </c>
      <c r="AI12" s="125">
        <v>240</v>
      </c>
      <c r="AJ12" s="125">
        <v>3959</v>
      </c>
      <c r="AK12" s="125">
        <v>67313</v>
      </c>
      <c r="AL12" s="125">
        <v>11470</v>
      </c>
      <c r="AM12" s="125">
        <v>55843</v>
      </c>
      <c r="AN12" s="125">
        <v>16</v>
      </c>
      <c r="AO12" s="125">
        <v>341</v>
      </c>
      <c r="AP12" s="125">
        <v>120</v>
      </c>
      <c r="AQ12" s="125">
        <v>221</v>
      </c>
      <c r="AR12" s="125">
        <v>40</v>
      </c>
      <c r="AS12" s="125">
        <v>18</v>
      </c>
      <c r="AT12" s="125">
        <v>22</v>
      </c>
      <c r="AU12" s="125">
        <v>17</v>
      </c>
      <c r="AV12" s="125">
        <v>8</v>
      </c>
      <c r="AW12" s="125">
        <v>9</v>
      </c>
      <c r="AX12" s="125">
        <v>284</v>
      </c>
      <c r="AY12" s="125">
        <v>94</v>
      </c>
      <c r="AZ12" s="125">
        <v>190</v>
      </c>
      <c r="BA12" s="125">
        <v>70282</v>
      </c>
      <c r="BB12" s="125">
        <v>25383</v>
      </c>
      <c r="BC12" s="125">
        <v>44899</v>
      </c>
      <c r="BD12" s="125">
        <v>7974</v>
      </c>
      <c r="BE12" s="125">
        <v>3669</v>
      </c>
      <c r="BF12" s="125">
        <v>4305</v>
      </c>
      <c r="BG12" s="125">
        <v>3381</v>
      </c>
      <c r="BH12" s="125">
        <v>1420</v>
      </c>
      <c r="BI12" s="125">
        <v>1961</v>
      </c>
      <c r="BJ12" s="125">
        <v>58927</v>
      </c>
      <c r="BK12" s="125">
        <v>20294</v>
      </c>
      <c r="BL12" s="125">
        <v>38633</v>
      </c>
      <c r="BM12" s="125">
        <v>560022</v>
      </c>
      <c r="BN12" s="125">
        <v>202066</v>
      </c>
      <c r="BO12" s="125">
        <v>357956</v>
      </c>
      <c r="BP12" s="125">
        <v>63720</v>
      </c>
      <c r="BQ12" s="125">
        <v>29332</v>
      </c>
      <c r="BR12" s="125">
        <v>34388</v>
      </c>
      <c r="BS12" s="125">
        <v>27044</v>
      </c>
      <c r="BT12" s="125">
        <v>11360</v>
      </c>
      <c r="BU12" s="125">
        <v>15684</v>
      </c>
      <c r="BV12" s="125">
        <v>469258</v>
      </c>
      <c r="BW12" s="125">
        <v>161374</v>
      </c>
      <c r="BX12" s="125">
        <v>307884</v>
      </c>
    </row>
    <row r="13" spans="1:76" s="126" customFormat="1" ht="15.6" customHeight="1">
      <c r="A13" s="91" t="s">
        <v>129</v>
      </c>
      <c r="B13" s="124" t="s">
        <v>5</v>
      </c>
      <c r="C13" s="125">
        <v>5</v>
      </c>
      <c r="D13" s="125">
        <v>58</v>
      </c>
      <c r="E13" s="125">
        <v>22</v>
      </c>
      <c r="F13" s="125">
        <v>36</v>
      </c>
      <c r="G13" s="125">
        <v>3</v>
      </c>
      <c r="H13" s="125">
        <v>1</v>
      </c>
      <c r="I13" s="125">
        <v>2</v>
      </c>
      <c r="J13" s="125">
        <v>5</v>
      </c>
      <c r="K13" s="125">
        <v>2</v>
      </c>
      <c r="L13" s="125">
        <v>3</v>
      </c>
      <c r="M13" s="125">
        <v>50</v>
      </c>
      <c r="N13" s="125">
        <v>19</v>
      </c>
      <c r="O13" s="125">
        <v>31</v>
      </c>
      <c r="P13" s="125">
        <v>10406</v>
      </c>
      <c r="Q13" s="125">
        <v>4158</v>
      </c>
      <c r="R13" s="125">
        <v>6248</v>
      </c>
      <c r="S13" s="125">
        <v>459</v>
      </c>
      <c r="T13" s="125">
        <v>187</v>
      </c>
      <c r="U13" s="125">
        <v>272</v>
      </c>
      <c r="V13" s="125">
        <v>1200</v>
      </c>
      <c r="W13" s="125">
        <v>487</v>
      </c>
      <c r="X13" s="125">
        <v>713</v>
      </c>
      <c r="Y13" s="125">
        <v>8747</v>
      </c>
      <c r="Z13" s="125">
        <v>3484</v>
      </c>
      <c r="AA13" s="125">
        <v>5263</v>
      </c>
      <c r="AB13" s="125">
        <v>83248</v>
      </c>
      <c r="AC13" s="125">
        <v>33414</v>
      </c>
      <c r="AD13" s="125">
        <v>49834</v>
      </c>
      <c r="AE13" s="125">
        <v>3672</v>
      </c>
      <c r="AF13" s="125">
        <v>1496</v>
      </c>
      <c r="AG13" s="125">
        <v>2176</v>
      </c>
      <c r="AH13" s="125">
        <v>9600</v>
      </c>
      <c r="AI13" s="125">
        <v>3896</v>
      </c>
      <c r="AJ13" s="125">
        <v>5704</v>
      </c>
      <c r="AK13" s="125">
        <v>69976</v>
      </c>
      <c r="AL13" s="125">
        <v>28022</v>
      </c>
      <c r="AM13" s="125">
        <v>41954</v>
      </c>
      <c r="AN13" s="125">
        <v>17</v>
      </c>
      <c r="AO13" s="125">
        <v>279</v>
      </c>
      <c r="AP13" s="125">
        <v>82</v>
      </c>
      <c r="AQ13" s="125">
        <v>197</v>
      </c>
      <c r="AR13" s="125">
        <v>23</v>
      </c>
      <c r="AS13" s="125">
        <v>5</v>
      </c>
      <c r="AT13" s="125">
        <v>18</v>
      </c>
      <c r="AU13" s="125">
        <v>20</v>
      </c>
      <c r="AV13" s="125">
        <v>8</v>
      </c>
      <c r="AW13" s="125">
        <v>12</v>
      </c>
      <c r="AX13" s="125">
        <v>236</v>
      </c>
      <c r="AY13" s="125">
        <v>69</v>
      </c>
      <c r="AZ13" s="125">
        <v>167</v>
      </c>
      <c r="BA13" s="125">
        <v>52217</v>
      </c>
      <c r="BB13" s="125">
        <v>15915</v>
      </c>
      <c r="BC13" s="125">
        <v>36302</v>
      </c>
      <c r="BD13" s="125">
        <v>4820</v>
      </c>
      <c r="BE13" s="125">
        <v>1255</v>
      </c>
      <c r="BF13" s="125">
        <v>3565</v>
      </c>
      <c r="BG13" s="125">
        <v>3505</v>
      </c>
      <c r="BH13" s="125">
        <v>1281</v>
      </c>
      <c r="BI13" s="125">
        <v>2224</v>
      </c>
      <c r="BJ13" s="125">
        <v>43892</v>
      </c>
      <c r="BK13" s="125">
        <v>13379</v>
      </c>
      <c r="BL13" s="125">
        <v>30513</v>
      </c>
      <c r="BM13" s="125">
        <v>422177.5</v>
      </c>
      <c r="BN13" s="125">
        <v>128683.5</v>
      </c>
      <c r="BO13" s="125">
        <v>293494</v>
      </c>
      <c r="BP13" s="125">
        <v>38676</v>
      </c>
      <c r="BQ13" s="125">
        <v>10050</v>
      </c>
      <c r="BR13" s="125">
        <v>28626</v>
      </c>
      <c r="BS13" s="125">
        <v>28630</v>
      </c>
      <c r="BT13" s="125">
        <v>10494</v>
      </c>
      <c r="BU13" s="125">
        <v>18136</v>
      </c>
      <c r="BV13" s="125">
        <v>354871.5</v>
      </c>
      <c r="BW13" s="125">
        <v>108139.5</v>
      </c>
      <c r="BX13" s="125">
        <v>246732</v>
      </c>
    </row>
    <row r="14" spans="1:76" s="126" customFormat="1" ht="15.6" customHeight="1">
      <c r="A14" s="48" t="s">
        <v>130</v>
      </c>
      <c r="B14" s="124" t="s">
        <v>6</v>
      </c>
      <c r="C14" s="125">
        <v>1</v>
      </c>
      <c r="D14" s="125">
        <v>5</v>
      </c>
      <c r="E14" s="125" t="s">
        <v>261</v>
      </c>
      <c r="F14" s="125">
        <v>5</v>
      </c>
      <c r="G14" s="125" t="s">
        <v>261</v>
      </c>
      <c r="H14" s="125" t="s">
        <v>261</v>
      </c>
      <c r="I14" s="125" t="s">
        <v>261</v>
      </c>
      <c r="J14" s="125" t="s">
        <v>261</v>
      </c>
      <c r="K14" s="125" t="s">
        <v>261</v>
      </c>
      <c r="L14" s="125" t="s">
        <v>261</v>
      </c>
      <c r="M14" s="125">
        <v>5</v>
      </c>
      <c r="N14" s="125" t="s">
        <v>261</v>
      </c>
      <c r="O14" s="125">
        <v>5</v>
      </c>
      <c r="P14" s="125">
        <v>874</v>
      </c>
      <c r="Q14" s="125">
        <v>132</v>
      </c>
      <c r="R14" s="125">
        <v>742</v>
      </c>
      <c r="S14" s="125" t="s">
        <v>261</v>
      </c>
      <c r="T14" s="125" t="s">
        <v>261</v>
      </c>
      <c r="U14" s="125" t="s">
        <v>261</v>
      </c>
      <c r="V14" s="125" t="s">
        <v>261</v>
      </c>
      <c r="W14" s="125" t="s">
        <v>261</v>
      </c>
      <c r="X14" s="125" t="s">
        <v>261</v>
      </c>
      <c r="Y14" s="125">
        <v>874</v>
      </c>
      <c r="Z14" s="125">
        <v>132</v>
      </c>
      <c r="AA14" s="125">
        <v>742</v>
      </c>
      <c r="AB14" s="125">
        <v>6948</v>
      </c>
      <c r="AC14" s="125">
        <v>1044</v>
      </c>
      <c r="AD14" s="125">
        <v>5904</v>
      </c>
      <c r="AE14" s="125" t="s">
        <v>262</v>
      </c>
      <c r="AF14" s="125" t="s">
        <v>262</v>
      </c>
      <c r="AG14" s="125" t="s">
        <v>262</v>
      </c>
      <c r="AH14" s="125" t="s">
        <v>262</v>
      </c>
      <c r="AI14" s="125" t="s">
        <v>262</v>
      </c>
      <c r="AJ14" s="125" t="s">
        <v>262</v>
      </c>
      <c r="AK14" s="125">
        <v>6948</v>
      </c>
      <c r="AL14" s="125">
        <v>1044</v>
      </c>
      <c r="AM14" s="125">
        <v>5904</v>
      </c>
      <c r="AN14" s="125">
        <v>11</v>
      </c>
      <c r="AO14" s="125">
        <v>250</v>
      </c>
      <c r="AP14" s="125">
        <v>88</v>
      </c>
      <c r="AQ14" s="125">
        <v>162</v>
      </c>
      <c r="AR14" s="125">
        <v>19</v>
      </c>
      <c r="AS14" s="125">
        <v>7</v>
      </c>
      <c r="AT14" s="125">
        <v>12</v>
      </c>
      <c r="AU14" s="125">
        <v>12</v>
      </c>
      <c r="AV14" s="125">
        <v>5</v>
      </c>
      <c r="AW14" s="125">
        <v>7</v>
      </c>
      <c r="AX14" s="125">
        <v>219</v>
      </c>
      <c r="AY14" s="125">
        <v>76</v>
      </c>
      <c r="AZ14" s="125">
        <v>143</v>
      </c>
      <c r="BA14" s="125">
        <v>51599</v>
      </c>
      <c r="BB14" s="125">
        <v>17111</v>
      </c>
      <c r="BC14" s="125">
        <v>34488</v>
      </c>
      <c r="BD14" s="125">
        <v>4149</v>
      </c>
      <c r="BE14" s="125">
        <v>1621</v>
      </c>
      <c r="BF14" s="125">
        <v>2528</v>
      </c>
      <c r="BG14" s="125">
        <v>2196</v>
      </c>
      <c r="BH14" s="125">
        <v>1079</v>
      </c>
      <c r="BI14" s="125">
        <v>1117</v>
      </c>
      <c r="BJ14" s="125">
        <v>45254</v>
      </c>
      <c r="BK14" s="125">
        <v>14411</v>
      </c>
      <c r="BL14" s="125">
        <v>30843</v>
      </c>
      <c r="BM14" s="125">
        <v>486431</v>
      </c>
      <c r="BN14" s="125">
        <v>158955</v>
      </c>
      <c r="BO14" s="125">
        <v>327476</v>
      </c>
      <c r="BP14" s="125">
        <v>39049</v>
      </c>
      <c r="BQ14" s="125">
        <v>15309</v>
      </c>
      <c r="BR14" s="125">
        <v>23740</v>
      </c>
      <c r="BS14" s="125">
        <v>19428</v>
      </c>
      <c r="BT14" s="125">
        <v>9106</v>
      </c>
      <c r="BU14" s="125">
        <v>10322</v>
      </c>
      <c r="BV14" s="125">
        <v>427954</v>
      </c>
      <c r="BW14" s="125">
        <v>134540</v>
      </c>
      <c r="BX14" s="125">
        <v>293414</v>
      </c>
    </row>
    <row r="15" spans="1:76" ht="15.6" customHeight="1">
      <c r="A15" s="45" t="s">
        <v>131</v>
      </c>
      <c r="B15" s="94" t="s">
        <v>7</v>
      </c>
      <c r="C15" s="20">
        <v>1</v>
      </c>
      <c r="D15" s="20">
        <v>15</v>
      </c>
      <c r="E15" s="20">
        <v>5</v>
      </c>
      <c r="F15" s="20">
        <v>10</v>
      </c>
      <c r="G15" s="20">
        <v>1</v>
      </c>
      <c r="H15" s="20" t="s">
        <v>261</v>
      </c>
      <c r="I15" s="20">
        <v>1</v>
      </c>
      <c r="J15" s="20" t="s">
        <v>261</v>
      </c>
      <c r="K15" s="20" t="s">
        <v>261</v>
      </c>
      <c r="L15" s="20" t="s">
        <v>261</v>
      </c>
      <c r="M15" s="20">
        <v>14</v>
      </c>
      <c r="N15" s="20">
        <v>5</v>
      </c>
      <c r="O15" s="20">
        <v>9</v>
      </c>
      <c r="P15" s="20">
        <v>3944</v>
      </c>
      <c r="Q15" s="20">
        <v>1543</v>
      </c>
      <c r="R15" s="20">
        <v>2401</v>
      </c>
      <c r="S15" s="20">
        <v>66</v>
      </c>
      <c r="T15" s="20" t="s">
        <v>261</v>
      </c>
      <c r="U15" s="20">
        <v>66</v>
      </c>
      <c r="V15" s="20" t="s">
        <v>261</v>
      </c>
      <c r="W15" s="20" t="s">
        <v>261</v>
      </c>
      <c r="X15" s="20" t="s">
        <v>261</v>
      </c>
      <c r="Y15" s="20">
        <v>3878</v>
      </c>
      <c r="Z15" s="20">
        <v>1543</v>
      </c>
      <c r="AA15" s="20">
        <v>2335</v>
      </c>
      <c r="AB15" s="20">
        <v>32064</v>
      </c>
      <c r="AC15" s="20">
        <v>12504</v>
      </c>
      <c r="AD15" s="20">
        <v>19560</v>
      </c>
      <c r="AE15" s="20">
        <v>528</v>
      </c>
      <c r="AF15" s="20" t="s">
        <v>262</v>
      </c>
      <c r="AG15" s="20">
        <v>528</v>
      </c>
      <c r="AH15" s="20" t="s">
        <v>262</v>
      </c>
      <c r="AI15" s="20" t="s">
        <v>262</v>
      </c>
      <c r="AJ15" s="20" t="s">
        <v>262</v>
      </c>
      <c r="AK15" s="20">
        <v>31536</v>
      </c>
      <c r="AL15" s="20">
        <v>12504</v>
      </c>
      <c r="AM15" s="20">
        <v>19032</v>
      </c>
      <c r="AN15" s="20">
        <v>5</v>
      </c>
      <c r="AO15" s="20">
        <v>89</v>
      </c>
      <c r="AP15" s="20">
        <v>20</v>
      </c>
      <c r="AQ15" s="20">
        <v>69</v>
      </c>
      <c r="AR15" s="20">
        <v>7</v>
      </c>
      <c r="AS15" s="20">
        <v>4</v>
      </c>
      <c r="AT15" s="20">
        <v>3</v>
      </c>
      <c r="AU15" s="20">
        <v>2</v>
      </c>
      <c r="AV15" s="20">
        <v>1</v>
      </c>
      <c r="AW15" s="20">
        <v>1</v>
      </c>
      <c r="AX15" s="20">
        <v>80</v>
      </c>
      <c r="AY15" s="20">
        <v>15</v>
      </c>
      <c r="AZ15" s="20">
        <v>65</v>
      </c>
      <c r="BA15" s="20">
        <v>20611</v>
      </c>
      <c r="BB15" s="20">
        <v>5643</v>
      </c>
      <c r="BC15" s="20">
        <v>14968</v>
      </c>
      <c r="BD15" s="20">
        <v>1827</v>
      </c>
      <c r="BE15" s="20">
        <v>968</v>
      </c>
      <c r="BF15" s="20">
        <v>859</v>
      </c>
      <c r="BG15" s="20">
        <v>300</v>
      </c>
      <c r="BH15" s="20">
        <v>22</v>
      </c>
      <c r="BI15" s="20">
        <v>278</v>
      </c>
      <c r="BJ15" s="20">
        <v>18484</v>
      </c>
      <c r="BK15" s="20">
        <v>4653</v>
      </c>
      <c r="BL15" s="20">
        <v>13831</v>
      </c>
      <c r="BM15" s="20">
        <v>132689.5</v>
      </c>
      <c r="BN15" s="20">
        <v>36474.5</v>
      </c>
      <c r="BO15" s="20">
        <v>96215</v>
      </c>
      <c r="BP15" s="20">
        <v>13083</v>
      </c>
      <c r="BQ15" s="20">
        <v>7744</v>
      </c>
      <c r="BR15" s="20">
        <v>5339</v>
      </c>
      <c r="BS15" s="20">
        <v>2065.5</v>
      </c>
      <c r="BT15" s="20">
        <v>198</v>
      </c>
      <c r="BU15" s="20">
        <v>1867.5</v>
      </c>
      <c r="BV15" s="20">
        <v>117541</v>
      </c>
      <c r="BW15" s="20">
        <v>28532.5</v>
      </c>
      <c r="BX15" s="20">
        <v>89008.5</v>
      </c>
    </row>
    <row r="16" spans="1:76" ht="15.6" customHeight="1">
      <c r="A16" s="45" t="s">
        <v>132</v>
      </c>
      <c r="B16" s="94" t="s">
        <v>9</v>
      </c>
      <c r="C16" s="20">
        <v>1</v>
      </c>
      <c r="D16" s="20">
        <v>21</v>
      </c>
      <c r="E16" s="20">
        <v>10</v>
      </c>
      <c r="F16" s="20">
        <v>11</v>
      </c>
      <c r="G16" s="20">
        <v>3</v>
      </c>
      <c r="H16" s="20">
        <v>3</v>
      </c>
      <c r="I16" s="20" t="s">
        <v>261</v>
      </c>
      <c r="J16" s="20" t="s">
        <v>261</v>
      </c>
      <c r="K16" s="20" t="s">
        <v>261</v>
      </c>
      <c r="L16" s="20" t="s">
        <v>261</v>
      </c>
      <c r="M16" s="20">
        <v>18</v>
      </c>
      <c r="N16" s="20">
        <v>7</v>
      </c>
      <c r="O16" s="20">
        <v>11</v>
      </c>
      <c r="P16" s="20">
        <v>1515</v>
      </c>
      <c r="Q16" s="20">
        <v>815</v>
      </c>
      <c r="R16" s="20">
        <v>700</v>
      </c>
      <c r="S16" s="20">
        <v>269</v>
      </c>
      <c r="T16" s="20">
        <v>269</v>
      </c>
      <c r="U16" s="20" t="s">
        <v>261</v>
      </c>
      <c r="V16" s="20" t="s">
        <v>261</v>
      </c>
      <c r="W16" s="20" t="s">
        <v>261</v>
      </c>
      <c r="X16" s="20" t="s">
        <v>261</v>
      </c>
      <c r="Y16" s="20">
        <v>1246</v>
      </c>
      <c r="Z16" s="20">
        <v>546</v>
      </c>
      <c r="AA16" s="20">
        <v>700</v>
      </c>
      <c r="AB16" s="20">
        <v>11240</v>
      </c>
      <c r="AC16" s="20">
        <v>6086</v>
      </c>
      <c r="AD16" s="20">
        <v>5154</v>
      </c>
      <c r="AE16" s="20">
        <v>1978</v>
      </c>
      <c r="AF16" s="20">
        <v>1978</v>
      </c>
      <c r="AG16" s="20" t="s">
        <v>262</v>
      </c>
      <c r="AH16" s="20" t="s">
        <v>262</v>
      </c>
      <c r="AI16" s="20" t="s">
        <v>262</v>
      </c>
      <c r="AJ16" s="20" t="s">
        <v>262</v>
      </c>
      <c r="AK16" s="20">
        <v>9262</v>
      </c>
      <c r="AL16" s="20">
        <v>4108</v>
      </c>
      <c r="AM16" s="20">
        <v>5154</v>
      </c>
      <c r="AN16" s="20">
        <v>4</v>
      </c>
      <c r="AO16" s="20">
        <v>31</v>
      </c>
      <c r="AP16" s="20">
        <v>15</v>
      </c>
      <c r="AQ16" s="20">
        <v>16</v>
      </c>
      <c r="AR16" s="20">
        <v>5</v>
      </c>
      <c r="AS16" s="20">
        <v>3</v>
      </c>
      <c r="AT16" s="20">
        <v>2</v>
      </c>
      <c r="AU16" s="20">
        <v>2</v>
      </c>
      <c r="AV16" s="20" t="s">
        <v>261</v>
      </c>
      <c r="AW16" s="20">
        <v>2</v>
      </c>
      <c r="AX16" s="20">
        <v>24</v>
      </c>
      <c r="AY16" s="20">
        <v>12</v>
      </c>
      <c r="AZ16" s="20">
        <v>12</v>
      </c>
      <c r="BA16" s="20">
        <v>5492</v>
      </c>
      <c r="BB16" s="20">
        <v>2321</v>
      </c>
      <c r="BC16" s="20">
        <v>3171</v>
      </c>
      <c r="BD16" s="20">
        <v>1140</v>
      </c>
      <c r="BE16" s="20">
        <v>478</v>
      </c>
      <c r="BF16" s="20">
        <v>662</v>
      </c>
      <c r="BG16" s="20">
        <v>516</v>
      </c>
      <c r="BH16" s="20" t="s">
        <v>261</v>
      </c>
      <c r="BI16" s="20">
        <v>516</v>
      </c>
      <c r="BJ16" s="20">
        <v>3836</v>
      </c>
      <c r="BK16" s="20">
        <v>1843</v>
      </c>
      <c r="BL16" s="20">
        <v>1993</v>
      </c>
      <c r="BM16" s="20">
        <v>34866</v>
      </c>
      <c r="BN16" s="20">
        <v>13288.5</v>
      </c>
      <c r="BO16" s="20">
        <v>21577.5</v>
      </c>
      <c r="BP16" s="20">
        <v>5725.5</v>
      </c>
      <c r="BQ16" s="20">
        <v>2288</v>
      </c>
      <c r="BR16" s="20">
        <v>3437.5</v>
      </c>
      <c r="BS16" s="20">
        <v>1654</v>
      </c>
      <c r="BT16" s="20" t="s">
        <v>262</v>
      </c>
      <c r="BU16" s="20">
        <v>1654</v>
      </c>
      <c r="BV16" s="20">
        <v>27486.5</v>
      </c>
      <c r="BW16" s="20">
        <v>11000.5</v>
      </c>
      <c r="BX16" s="20">
        <v>16486</v>
      </c>
    </row>
    <row r="17" spans="1:76" ht="15.6" customHeight="1">
      <c r="A17" s="45" t="s">
        <v>133</v>
      </c>
      <c r="B17" s="94" t="s">
        <v>10</v>
      </c>
      <c r="C17" s="20">
        <v>1</v>
      </c>
      <c r="D17" s="20">
        <v>19</v>
      </c>
      <c r="E17" s="20">
        <v>8</v>
      </c>
      <c r="F17" s="20">
        <v>11</v>
      </c>
      <c r="G17" s="20">
        <v>1</v>
      </c>
      <c r="H17" s="20">
        <v>1</v>
      </c>
      <c r="I17" s="20" t="s">
        <v>261</v>
      </c>
      <c r="J17" s="20" t="s">
        <v>261</v>
      </c>
      <c r="K17" s="20" t="s">
        <v>261</v>
      </c>
      <c r="L17" s="20" t="s">
        <v>261</v>
      </c>
      <c r="M17" s="20">
        <v>18</v>
      </c>
      <c r="N17" s="20">
        <v>7</v>
      </c>
      <c r="O17" s="20">
        <v>11</v>
      </c>
      <c r="P17" s="20">
        <v>4379</v>
      </c>
      <c r="Q17" s="20">
        <v>1537</v>
      </c>
      <c r="R17" s="20">
        <v>2842</v>
      </c>
      <c r="S17" s="20">
        <v>206</v>
      </c>
      <c r="T17" s="20">
        <v>174</v>
      </c>
      <c r="U17" s="20">
        <v>32</v>
      </c>
      <c r="V17" s="20">
        <v>129</v>
      </c>
      <c r="W17" s="20">
        <v>30</v>
      </c>
      <c r="X17" s="20">
        <v>99</v>
      </c>
      <c r="Y17" s="20">
        <v>4044</v>
      </c>
      <c r="Z17" s="20">
        <v>1333</v>
      </c>
      <c r="AA17" s="20">
        <v>2711</v>
      </c>
      <c r="AB17" s="20">
        <v>19460</v>
      </c>
      <c r="AC17" s="20">
        <v>6591</v>
      </c>
      <c r="AD17" s="20">
        <v>12869</v>
      </c>
      <c r="AE17" s="20">
        <v>1084</v>
      </c>
      <c r="AF17" s="20">
        <v>904</v>
      </c>
      <c r="AG17" s="20">
        <v>180</v>
      </c>
      <c r="AH17" s="20">
        <v>550</v>
      </c>
      <c r="AI17" s="20">
        <v>100</v>
      </c>
      <c r="AJ17" s="20">
        <v>450</v>
      </c>
      <c r="AK17" s="20">
        <v>17826</v>
      </c>
      <c r="AL17" s="20">
        <v>5587</v>
      </c>
      <c r="AM17" s="20">
        <v>12239</v>
      </c>
      <c r="AN17" s="20">
        <v>4</v>
      </c>
      <c r="AO17" s="20">
        <v>51</v>
      </c>
      <c r="AP17" s="20">
        <v>24</v>
      </c>
      <c r="AQ17" s="20">
        <v>27</v>
      </c>
      <c r="AR17" s="20">
        <v>9</v>
      </c>
      <c r="AS17" s="20">
        <v>5</v>
      </c>
      <c r="AT17" s="20">
        <v>4</v>
      </c>
      <c r="AU17" s="20">
        <v>10</v>
      </c>
      <c r="AV17" s="20">
        <v>7</v>
      </c>
      <c r="AW17" s="20">
        <v>3</v>
      </c>
      <c r="AX17" s="20">
        <v>32</v>
      </c>
      <c r="AY17" s="20">
        <v>12</v>
      </c>
      <c r="AZ17" s="20">
        <v>20</v>
      </c>
      <c r="BA17" s="20">
        <v>6483</v>
      </c>
      <c r="BB17" s="20">
        <v>2548</v>
      </c>
      <c r="BC17" s="20">
        <v>3935</v>
      </c>
      <c r="BD17" s="20">
        <v>883</v>
      </c>
      <c r="BE17" s="20">
        <v>312</v>
      </c>
      <c r="BF17" s="20">
        <v>571</v>
      </c>
      <c r="BG17" s="20">
        <v>1868</v>
      </c>
      <c r="BH17" s="20">
        <v>1151</v>
      </c>
      <c r="BI17" s="20">
        <v>717</v>
      </c>
      <c r="BJ17" s="20">
        <v>3732</v>
      </c>
      <c r="BK17" s="20">
        <v>1085</v>
      </c>
      <c r="BL17" s="20">
        <v>2647</v>
      </c>
      <c r="BM17" s="20">
        <v>36199</v>
      </c>
      <c r="BN17" s="20">
        <v>14809</v>
      </c>
      <c r="BO17" s="20">
        <v>21390</v>
      </c>
      <c r="BP17" s="20">
        <v>5604</v>
      </c>
      <c r="BQ17" s="20">
        <v>2629</v>
      </c>
      <c r="BR17" s="20">
        <v>2975</v>
      </c>
      <c r="BS17" s="20">
        <v>9016</v>
      </c>
      <c r="BT17" s="20">
        <v>5744</v>
      </c>
      <c r="BU17" s="20">
        <v>3272</v>
      </c>
      <c r="BV17" s="20">
        <v>21579</v>
      </c>
      <c r="BW17" s="20">
        <v>6436</v>
      </c>
      <c r="BX17" s="20">
        <v>15143</v>
      </c>
    </row>
    <row r="18" spans="1:76" ht="15.6" customHeight="1">
      <c r="A18" s="45" t="s">
        <v>134</v>
      </c>
      <c r="B18" s="94" t="s">
        <v>11</v>
      </c>
      <c r="C18" s="20">
        <v>1</v>
      </c>
      <c r="D18" s="20">
        <v>19</v>
      </c>
      <c r="E18" s="20">
        <v>4</v>
      </c>
      <c r="F18" s="20">
        <v>15</v>
      </c>
      <c r="G18" s="20" t="s">
        <v>261</v>
      </c>
      <c r="H18" s="20" t="s">
        <v>261</v>
      </c>
      <c r="I18" s="20" t="s">
        <v>261</v>
      </c>
      <c r="J18" s="20" t="s">
        <v>261</v>
      </c>
      <c r="K18" s="20" t="s">
        <v>261</v>
      </c>
      <c r="L18" s="20" t="s">
        <v>261</v>
      </c>
      <c r="M18" s="20">
        <v>19</v>
      </c>
      <c r="N18" s="20">
        <v>4</v>
      </c>
      <c r="O18" s="20">
        <v>15</v>
      </c>
      <c r="P18" s="20">
        <v>4774</v>
      </c>
      <c r="Q18" s="20">
        <v>1275</v>
      </c>
      <c r="R18" s="20">
        <v>3499</v>
      </c>
      <c r="S18" s="20" t="s">
        <v>261</v>
      </c>
      <c r="T18" s="20" t="s">
        <v>261</v>
      </c>
      <c r="U18" s="20" t="s">
        <v>261</v>
      </c>
      <c r="V18" s="20" t="s">
        <v>261</v>
      </c>
      <c r="W18" s="20" t="s">
        <v>261</v>
      </c>
      <c r="X18" s="20" t="s">
        <v>261</v>
      </c>
      <c r="Y18" s="20">
        <v>4774</v>
      </c>
      <c r="Z18" s="20">
        <v>1275</v>
      </c>
      <c r="AA18" s="20">
        <v>3499</v>
      </c>
      <c r="AB18" s="20">
        <v>37983.5</v>
      </c>
      <c r="AC18" s="20">
        <v>10092.5</v>
      </c>
      <c r="AD18" s="20">
        <v>27891</v>
      </c>
      <c r="AE18" s="20" t="s">
        <v>262</v>
      </c>
      <c r="AF18" s="20" t="s">
        <v>262</v>
      </c>
      <c r="AG18" s="20" t="s">
        <v>262</v>
      </c>
      <c r="AH18" s="20" t="s">
        <v>262</v>
      </c>
      <c r="AI18" s="20" t="s">
        <v>262</v>
      </c>
      <c r="AJ18" s="20" t="s">
        <v>262</v>
      </c>
      <c r="AK18" s="20">
        <v>37983.5</v>
      </c>
      <c r="AL18" s="20">
        <v>10092.5</v>
      </c>
      <c r="AM18" s="20">
        <v>27891</v>
      </c>
      <c r="AN18" s="20">
        <v>5</v>
      </c>
      <c r="AO18" s="20">
        <v>78</v>
      </c>
      <c r="AP18" s="20">
        <v>24</v>
      </c>
      <c r="AQ18" s="20">
        <v>54</v>
      </c>
      <c r="AR18" s="20">
        <v>5</v>
      </c>
      <c r="AS18" s="20">
        <v>2</v>
      </c>
      <c r="AT18" s="20">
        <v>3</v>
      </c>
      <c r="AU18" s="20">
        <v>4</v>
      </c>
      <c r="AV18" s="20">
        <v>2</v>
      </c>
      <c r="AW18" s="20">
        <v>2</v>
      </c>
      <c r="AX18" s="20">
        <v>69</v>
      </c>
      <c r="AY18" s="20">
        <v>20</v>
      </c>
      <c r="AZ18" s="20">
        <v>49</v>
      </c>
      <c r="BA18" s="20">
        <v>15105</v>
      </c>
      <c r="BB18" s="20">
        <v>3884</v>
      </c>
      <c r="BC18" s="20">
        <v>11221</v>
      </c>
      <c r="BD18" s="20">
        <v>1128</v>
      </c>
      <c r="BE18" s="20">
        <v>455</v>
      </c>
      <c r="BF18" s="20">
        <v>673</v>
      </c>
      <c r="BG18" s="20">
        <v>790</v>
      </c>
      <c r="BH18" s="20">
        <v>188</v>
      </c>
      <c r="BI18" s="20">
        <v>602</v>
      </c>
      <c r="BJ18" s="20">
        <v>13187</v>
      </c>
      <c r="BK18" s="20">
        <v>3241</v>
      </c>
      <c r="BL18" s="20">
        <v>9946</v>
      </c>
      <c r="BM18" s="20">
        <v>117470</v>
      </c>
      <c r="BN18" s="20">
        <v>28356</v>
      </c>
      <c r="BO18" s="20">
        <v>89114</v>
      </c>
      <c r="BP18" s="20">
        <v>9336.5</v>
      </c>
      <c r="BQ18" s="20">
        <v>3580.5</v>
      </c>
      <c r="BR18" s="20">
        <v>5756</v>
      </c>
      <c r="BS18" s="20">
        <v>6189</v>
      </c>
      <c r="BT18" s="20">
        <v>1500</v>
      </c>
      <c r="BU18" s="20">
        <v>4689</v>
      </c>
      <c r="BV18" s="20">
        <v>101944.5</v>
      </c>
      <c r="BW18" s="20">
        <v>23275.5</v>
      </c>
      <c r="BX18" s="20">
        <v>78669</v>
      </c>
    </row>
    <row r="19" spans="1:76" ht="15.6" customHeight="1">
      <c r="A19" s="45" t="s">
        <v>135</v>
      </c>
      <c r="B19" s="94" t="s">
        <v>12</v>
      </c>
      <c r="C19" s="20">
        <v>3</v>
      </c>
      <c r="D19" s="20">
        <v>29</v>
      </c>
      <c r="E19" s="20">
        <v>6</v>
      </c>
      <c r="F19" s="20">
        <v>23</v>
      </c>
      <c r="G19" s="20" t="s">
        <v>261</v>
      </c>
      <c r="H19" s="20" t="s">
        <v>261</v>
      </c>
      <c r="I19" s="20" t="s">
        <v>261</v>
      </c>
      <c r="J19" s="20">
        <v>5</v>
      </c>
      <c r="K19" s="20">
        <v>2</v>
      </c>
      <c r="L19" s="20">
        <v>3</v>
      </c>
      <c r="M19" s="20">
        <v>24</v>
      </c>
      <c r="N19" s="20">
        <v>4</v>
      </c>
      <c r="O19" s="20">
        <v>20</v>
      </c>
      <c r="P19" s="20">
        <v>6055</v>
      </c>
      <c r="Q19" s="20">
        <v>1556</v>
      </c>
      <c r="R19" s="20">
        <v>4499</v>
      </c>
      <c r="S19" s="20" t="s">
        <v>261</v>
      </c>
      <c r="T19" s="20" t="s">
        <v>261</v>
      </c>
      <c r="U19" s="20" t="s">
        <v>261</v>
      </c>
      <c r="V19" s="20">
        <v>1302</v>
      </c>
      <c r="W19" s="20">
        <v>474</v>
      </c>
      <c r="X19" s="20">
        <v>828</v>
      </c>
      <c r="Y19" s="20">
        <v>4753</v>
      </c>
      <c r="Z19" s="20">
        <v>1082</v>
      </c>
      <c r="AA19" s="20">
        <v>3671</v>
      </c>
      <c r="AB19" s="20">
        <v>48454</v>
      </c>
      <c r="AC19" s="20">
        <v>12448</v>
      </c>
      <c r="AD19" s="20">
        <v>36006</v>
      </c>
      <c r="AE19" s="20" t="s">
        <v>262</v>
      </c>
      <c r="AF19" s="20" t="s">
        <v>262</v>
      </c>
      <c r="AG19" s="20" t="s">
        <v>262</v>
      </c>
      <c r="AH19" s="20">
        <v>10407</v>
      </c>
      <c r="AI19" s="20">
        <v>3792</v>
      </c>
      <c r="AJ19" s="20">
        <v>6615</v>
      </c>
      <c r="AK19" s="20">
        <v>38047</v>
      </c>
      <c r="AL19" s="20">
        <v>8656</v>
      </c>
      <c r="AM19" s="20">
        <v>29391</v>
      </c>
      <c r="AN19" s="20">
        <v>7</v>
      </c>
      <c r="AO19" s="20">
        <v>85</v>
      </c>
      <c r="AP19" s="20">
        <v>29</v>
      </c>
      <c r="AQ19" s="20">
        <v>56</v>
      </c>
      <c r="AR19" s="20">
        <v>4</v>
      </c>
      <c r="AS19" s="20">
        <v>3</v>
      </c>
      <c r="AT19" s="20">
        <v>1</v>
      </c>
      <c r="AU19" s="20">
        <v>13</v>
      </c>
      <c r="AV19" s="20">
        <v>7</v>
      </c>
      <c r="AW19" s="20">
        <v>6</v>
      </c>
      <c r="AX19" s="20">
        <v>68</v>
      </c>
      <c r="AY19" s="20">
        <v>19</v>
      </c>
      <c r="AZ19" s="20">
        <v>49</v>
      </c>
      <c r="BA19" s="20">
        <v>14068</v>
      </c>
      <c r="BB19" s="20">
        <v>4418</v>
      </c>
      <c r="BC19" s="20">
        <v>9650</v>
      </c>
      <c r="BD19" s="20">
        <v>634</v>
      </c>
      <c r="BE19" s="20">
        <v>399</v>
      </c>
      <c r="BF19" s="20">
        <v>235</v>
      </c>
      <c r="BG19" s="20">
        <v>2438</v>
      </c>
      <c r="BH19" s="20">
        <v>1271</v>
      </c>
      <c r="BI19" s="20">
        <v>1167</v>
      </c>
      <c r="BJ19" s="20">
        <v>10996</v>
      </c>
      <c r="BK19" s="20">
        <v>2748</v>
      </c>
      <c r="BL19" s="20">
        <v>8248</v>
      </c>
      <c r="BM19" s="20">
        <v>121277</v>
      </c>
      <c r="BN19" s="20">
        <v>38759</v>
      </c>
      <c r="BO19" s="20">
        <v>82518</v>
      </c>
      <c r="BP19" s="20">
        <v>5351</v>
      </c>
      <c r="BQ19" s="20">
        <v>3471</v>
      </c>
      <c r="BR19" s="20">
        <v>1880</v>
      </c>
      <c r="BS19" s="20">
        <v>21401</v>
      </c>
      <c r="BT19" s="20">
        <v>12065</v>
      </c>
      <c r="BU19" s="20">
        <v>9336</v>
      </c>
      <c r="BV19" s="20">
        <v>94525</v>
      </c>
      <c r="BW19" s="20">
        <v>23223</v>
      </c>
      <c r="BX19" s="20">
        <v>71302</v>
      </c>
    </row>
    <row r="20" spans="1:76" ht="15.6" customHeight="1">
      <c r="A20" s="45" t="s">
        <v>136</v>
      </c>
      <c r="B20" s="94" t="s">
        <v>13</v>
      </c>
      <c r="C20" s="20">
        <v>2</v>
      </c>
      <c r="D20" s="20">
        <v>31</v>
      </c>
      <c r="E20" s="20">
        <v>7</v>
      </c>
      <c r="F20" s="20">
        <v>24</v>
      </c>
      <c r="G20" s="20">
        <v>1</v>
      </c>
      <c r="H20" s="20" t="s">
        <v>261</v>
      </c>
      <c r="I20" s="20">
        <v>1</v>
      </c>
      <c r="J20" s="20">
        <v>1</v>
      </c>
      <c r="K20" s="20" t="s">
        <v>261</v>
      </c>
      <c r="L20" s="20">
        <v>1</v>
      </c>
      <c r="M20" s="20">
        <v>29</v>
      </c>
      <c r="N20" s="20">
        <v>7</v>
      </c>
      <c r="O20" s="20">
        <v>22</v>
      </c>
      <c r="P20" s="20">
        <v>6203</v>
      </c>
      <c r="Q20" s="20">
        <v>1499</v>
      </c>
      <c r="R20" s="20">
        <v>4704</v>
      </c>
      <c r="S20" s="20">
        <v>389</v>
      </c>
      <c r="T20" s="20" t="s">
        <v>261</v>
      </c>
      <c r="U20" s="20">
        <v>389</v>
      </c>
      <c r="V20" s="20">
        <v>281</v>
      </c>
      <c r="W20" s="20" t="s">
        <v>261</v>
      </c>
      <c r="X20" s="20">
        <v>281</v>
      </c>
      <c r="Y20" s="20">
        <v>5533</v>
      </c>
      <c r="Z20" s="20">
        <v>1499</v>
      </c>
      <c r="AA20" s="20">
        <v>4034</v>
      </c>
      <c r="AB20" s="20">
        <v>49566</v>
      </c>
      <c r="AC20" s="20">
        <v>11992</v>
      </c>
      <c r="AD20" s="20">
        <v>37574</v>
      </c>
      <c r="AE20" s="20">
        <v>3112</v>
      </c>
      <c r="AF20" s="20" t="s">
        <v>262</v>
      </c>
      <c r="AG20" s="20">
        <v>3112</v>
      </c>
      <c r="AH20" s="20">
        <v>2248</v>
      </c>
      <c r="AI20" s="20" t="s">
        <v>262</v>
      </c>
      <c r="AJ20" s="20">
        <v>2248</v>
      </c>
      <c r="AK20" s="20">
        <v>44206</v>
      </c>
      <c r="AL20" s="20">
        <v>11992</v>
      </c>
      <c r="AM20" s="20">
        <v>32214</v>
      </c>
      <c r="AN20" s="20">
        <v>9</v>
      </c>
      <c r="AO20" s="20">
        <v>267</v>
      </c>
      <c r="AP20" s="20">
        <v>107</v>
      </c>
      <c r="AQ20" s="20">
        <v>160</v>
      </c>
      <c r="AR20" s="20">
        <v>32</v>
      </c>
      <c r="AS20" s="20">
        <v>15</v>
      </c>
      <c r="AT20" s="20">
        <v>17</v>
      </c>
      <c r="AU20" s="20">
        <v>19</v>
      </c>
      <c r="AV20" s="20">
        <v>11</v>
      </c>
      <c r="AW20" s="20">
        <v>8</v>
      </c>
      <c r="AX20" s="20">
        <v>216</v>
      </c>
      <c r="AY20" s="20">
        <v>81</v>
      </c>
      <c r="AZ20" s="20">
        <v>135</v>
      </c>
      <c r="BA20" s="20">
        <v>54145</v>
      </c>
      <c r="BB20" s="20">
        <v>20118</v>
      </c>
      <c r="BC20" s="20">
        <v>34027</v>
      </c>
      <c r="BD20" s="20">
        <v>6725</v>
      </c>
      <c r="BE20" s="20">
        <v>3107</v>
      </c>
      <c r="BF20" s="20">
        <v>3618</v>
      </c>
      <c r="BG20" s="20">
        <v>3384</v>
      </c>
      <c r="BH20" s="20">
        <v>1955</v>
      </c>
      <c r="BI20" s="20">
        <v>1429</v>
      </c>
      <c r="BJ20" s="20">
        <v>44036</v>
      </c>
      <c r="BK20" s="20">
        <v>15056</v>
      </c>
      <c r="BL20" s="20">
        <v>28980</v>
      </c>
      <c r="BM20" s="20">
        <v>431102</v>
      </c>
      <c r="BN20" s="20">
        <v>159871</v>
      </c>
      <c r="BO20" s="20">
        <v>271231</v>
      </c>
      <c r="BP20" s="20">
        <v>53478</v>
      </c>
      <c r="BQ20" s="20">
        <v>24546</v>
      </c>
      <c r="BR20" s="20">
        <v>28932</v>
      </c>
      <c r="BS20" s="20">
        <v>26714</v>
      </c>
      <c r="BT20" s="20">
        <v>15604</v>
      </c>
      <c r="BU20" s="20">
        <v>11110</v>
      </c>
      <c r="BV20" s="20">
        <v>350910</v>
      </c>
      <c r="BW20" s="20">
        <v>119721</v>
      </c>
      <c r="BX20" s="20">
        <v>231189</v>
      </c>
    </row>
    <row r="21" spans="1:76" ht="15.6" customHeight="1">
      <c r="A21" s="45" t="s">
        <v>137</v>
      </c>
      <c r="B21" s="94" t="s">
        <v>14</v>
      </c>
      <c r="C21" s="20">
        <v>1</v>
      </c>
      <c r="D21" s="20">
        <v>1</v>
      </c>
      <c r="E21" s="20" t="s">
        <v>261</v>
      </c>
      <c r="F21" s="20">
        <v>1</v>
      </c>
      <c r="G21" s="20" t="s">
        <v>261</v>
      </c>
      <c r="H21" s="20" t="s">
        <v>261</v>
      </c>
      <c r="I21" s="20" t="s">
        <v>261</v>
      </c>
      <c r="J21" s="20" t="s">
        <v>261</v>
      </c>
      <c r="K21" s="20" t="s">
        <v>261</v>
      </c>
      <c r="L21" s="20" t="s">
        <v>261</v>
      </c>
      <c r="M21" s="20">
        <v>1</v>
      </c>
      <c r="N21" s="20" t="s">
        <v>261</v>
      </c>
      <c r="O21" s="20">
        <v>1</v>
      </c>
      <c r="P21" s="20">
        <v>473</v>
      </c>
      <c r="Q21" s="20">
        <v>91</v>
      </c>
      <c r="R21" s="20">
        <v>382</v>
      </c>
      <c r="S21" s="20" t="s">
        <v>261</v>
      </c>
      <c r="T21" s="20" t="s">
        <v>261</v>
      </c>
      <c r="U21" s="20" t="s">
        <v>261</v>
      </c>
      <c r="V21" s="20" t="s">
        <v>261</v>
      </c>
      <c r="W21" s="20" t="s">
        <v>261</v>
      </c>
      <c r="X21" s="20" t="s">
        <v>261</v>
      </c>
      <c r="Y21" s="20">
        <v>473</v>
      </c>
      <c r="Z21" s="20">
        <v>91</v>
      </c>
      <c r="AA21" s="20">
        <v>382</v>
      </c>
      <c r="AB21" s="20">
        <v>2149</v>
      </c>
      <c r="AC21" s="20">
        <v>360</v>
      </c>
      <c r="AD21" s="20">
        <v>1789</v>
      </c>
      <c r="AE21" s="20" t="s">
        <v>262</v>
      </c>
      <c r="AF21" s="20" t="s">
        <v>262</v>
      </c>
      <c r="AG21" s="20" t="s">
        <v>262</v>
      </c>
      <c r="AH21" s="20" t="s">
        <v>262</v>
      </c>
      <c r="AI21" s="20" t="s">
        <v>262</v>
      </c>
      <c r="AJ21" s="20" t="s">
        <v>262</v>
      </c>
      <c r="AK21" s="20">
        <v>2149</v>
      </c>
      <c r="AL21" s="20">
        <v>360</v>
      </c>
      <c r="AM21" s="20">
        <v>1789</v>
      </c>
      <c r="AN21" s="20">
        <v>3</v>
      </c>
      <c r="AO21" s="20">
        <v>53</v>
      </c>
      <c r="AP21" s="20">
        <v>21</v>
      </c>
      <c r="AQ21" s="20">
        <v>32</v>
      </c>
      <c r="AR21" s="20">
        <v>6</v>
      </c>
      <c r="AS21" s="20">
        <v>3</v>
      </c>
      <c r="AT21" s="20">
        <v>3</v>
      </c>
      <c r="AU21" s="20">
        <v>4</v>
      </c>
      <c r="AV21" s="20">
        <v>1</v>
      </c>
      <c r="AW21" s="20">
        <v>3</v>
      </c>
      <c r="AX21" s="20">
        <v>43</v>
      </c>
      <c r="AY21" s="20">
        <v>17</v>
      </c>
      <c r="AZ21" s="20">
        <v>26</v>
      </c>
      <c r="BA21" s="20">
        <v>10045</v>
      </c>
      <c r="BB21" s="20">
        <v>4015</v>
      </c>
      <c r="BC21" s="20">
        <v>6030</v>
      </c>
      <c r="BD21" s="20">
        <v>1182</v>
      </c>
      <c r="BE21" s="20">
        <v>679</v>
      </c>
      <c r="BF21" s="20">
        <v>503</v>
      </c>
      <c r="BG21" s="20">
        <v>943</v>
      </c>
      <c r="BH21" s="20">
        <v>253</v>
      </c>
      <c r="BI21" s="20">
        <v>690</v>
      </c>
      <c r="BJ21" s="20">
        <v>7920</v>
      </c>
      <c r="BK21" s="20">
        <v>3083</v>
      </c>
      <c r="BL21" s="20">
        <v>4837</v>
      </c>
      <c r="BM21" s="20">
        <v>60635</v>
      </c>
      <c r="BN21" s="20">
        <v>24406</v>
      </c>
      <c r="BO21" s="20">
        <v>36229</v>
      </c>
      <c r="BP21" s="20">
        <v>7586</v>
      </c>
      <c r="BQ21" s="20">
        <v>4455</v>
      </c>
      <c r="BR21" s="20">
        <v>3131</v>
      </c>
      <c r="BS21" s="20">
        <v>5740</v>
      </c>
      <c r="BT21" s="20">
        <v>1590</v>
      </c>
      <c r="BU21" s="20">
        <v>4150</v>
      </c>
      <c r="BV21" s="20">
        <v>47309</v>
      </c>
      <c r="BW21" s="20">
        <v>18361</v>
      </c>
      <c r="BX21" s="20">
        <v>28948</v>
      </c>
    </row>
    <row r="22" spans="1:76" ht="15.6" customHeight="1">
      <c r="A22" s="45" t="s">
        <v>138</v>
      </c>
      <c r="B22" s="94" t="s">
        <v>15</v>
      </c>
      <c r="C22" s="20">
        <v>1</v>
      </c>
      <c r="D22" s="20">
        <v>34</v>
      </c>
      <c r="E22" s="20">
        <v>15</v>
      </c>
      <c r="F22" s="20">
        <v>19</v>
      </c>
      <c r="G22" s="20">
        <v>1</v>
      </c>
      <c r="H22" s="20" t="s">
        <v>261</v>
      </c>
      <c r="I22" s="20">
        <v>1</v>
      </c>
      <c r="J22" s="20">
        <v>1</v>
      </c>
      <c r="K22" s="20">
        <v>1</v>
      </c>
      <c r="L22" s="20" t="s">
        <v>261</v>
      </c>
      <c r="M22" s="20">
        <v>32</v>
      </c>
      <c r="N22" s="20">
        <v>14</v>
      </c>
      <c r="O22" s="20">
        <v>18</v>
      </c>
      <c r="P22" s="20">
        <v>4036</v>
      </c>
      <c r="Q22" s="20">
        <v>1554</v>
      </c>
      <c r="R22" s="20">
        <v>2482</v>
      </c>
      <c r="S22" s="20">
        <v>22</v>
      </c>
      <c r="T22" s="20" t="s">
        <v>261</v>
      </c>
      <c r="U22" s="20">
        <v>22</v>
      </c>
      <c r="V22" s="20">
        <v>285</v>
      </c>
      <c r="W22" s="20">
        <v>207</v>
      </c>
      <c r="X22" s="20">
        <v>78</v>
      </c>
      <c r="Y22" s="20">
        <v>3729</v>
      </c>
      <c r="Z22" s="20">
        <v>1347</v>
      </c>
      <c r="AA22" s="20">
        <v>2382</v>
      </c>
      <c r="AB22" s="20">
        <v>13756</v>
      </c>
      <c r="AC22" s="20">
        <v>4784</v>
      </c>
      <c r="AD22" s="20">
        <v>8972</v>
      </c>
      <c r="AE22" s="20">
        <v>50</v>
      </c>
      <c r="AF22" s="20" t="s">
        <v>262</v>
      </c>
      <c r="AG22" s="20">
        <v>50</v>
      </c>
      <c r="AH22" s="20">
        <v>943</v>
      </c>
      <c r="AI22" s="20">
        <v>643</v>
      </c>
      <c r="AJ22" s="20">
        <v>300</v>
      </c>
      <c r="AK22" s="20">
        <v>12763</v>
      </c>
      <c r="AL22" s="20">
        <v>4141</v>
      </c>
      <c r="AM22" s="20">
        <v>8622</v>
      </c>
      <c r="AN22" s="20">
        <v>9</v>
      </c>
      <c r="AO22" s="20">
        <v>62</v>
      </c>
      <c r="AP22" s="20">
        <v>30</v>
      </c>
      <c r="AQ22" s="20">
        <v>32</v>
      </c>
      <c r="AR22" s="20">
        <v>9</v>
      </c>
      <c r="AS22" s="20">
        <v>5</v>
      </c>
      <c r="AT22" s="20">
        <v>4</v>
      </c>
      <c r="AU22" s="20">
        <v>10</v>
      </c>
      <c r="AV22" s="20">
        <v>6</v>
      </c>
      <c r="AW22" s="20">
        <v>4</v>
      </c>
      <c r="AX22" s="20">
        <v>43</v>
      </c>
      <c r="AY22" s="20">
        <v>19</v>
      </c>
      <c r="AZ22" s="20">
        <v>24</v>
      </c>
      <c r="BA22" s="20">
        <v>12982</v>
      </c>
      <c r="BB22" s="20">
        <v>5412</v>
      </c>
      <c r="BC22" s="20">
        <v>7570</v>
      </c>
      <c r="BD22" s="20">
        <v>1639</v>
      </c>
      <c r="BE22" s="20">
        <v>653</v>
      </c>
      <c r="BF22" s="20">
        <v>986</v>
      </c>
      <c r="BG22" s="20">
        <v>1215</v>
      </c>
      <c r="BH22" s="20">
        <v>604</v>
      </c>
      <c r="BI22" s="20">
        <v>611</v>
      </c>
      <c r="BJ22" s="20">
        <v>10128</v>
      </c>
      <c r="BK22" s="20">
        <v>4155</v>
      </c>
      <c r="BL22" s="20">
        <v>5973</v>
      </c>
      <c r="BM22" s="20">
        <v>56574.1</v>
      </c>
      <c r="BN22" s="20">
        <v>26359.9</v>
      </c>
      <c r="BO22" s="20">
        <v>30214.2</v>
      </c>
      <c r="BP22" s="20">
        <v>6672.2</v>
      </c>
      <c r="BQ22" s="20">
        <v>3332</v>
      </c>
      <c r="BR22" s="20">
        <v>3340.2</v>
      </c>
      <c r="BS22" s="20">
        <v>6187</v>
      </c>
      <c r="BT22" s="20">
        <v>4161</v>
      </c>
      <c r="BU22" s="20">
        <v>2026</v>
      </c>
      <c r="BV22" s="20">
        <v>43714.9</v>
      </c>
      <c r="BW22" s="20">
        <v>18866.900000000001</v>
      </c>
      <c r="BX22" s="20">
        <v>24848</v>
      </c>
    </row>
    <row r="23" spans="1:76" ht="15.6" customHeight="1">
      <c r="A23" s="45" t="s">
        <v>139</v>
      </c>
      <c r="B23" s="94" t="s">
        <v>16</v>
      </c>
      <c r="C23" s="20" t="s">
        <v>261</v>
      </c>
      <c r="D23" s="20" t="s">
        <v>261</v>
      </c>
      <c r="E23" s="20" t="s">
        <v>261</v>
      </c>
      <c r="F23" s="20" t="s">
        <v>261</v>
      </c>
      <c r="G23" s="20" t="s">
        <v>261</v>
      </c>
      <c r="H23" s="20" t="s">
        <v>261</v>
      </c>
      <c r="I23" s="20" t="s">
        <v>261</v>
      </c>
      <c r="J23" s="20" t="s">
        <v>261</v>
      </c>
      <c r="K23" s="20" t="s">
        <v>261</v>
      </c>
      <c r="L23" s="20" t="s">
        <v>261</v>
      </c>
      <c r="M23" s="20" t="s">
        <v>261</v>
      </c>
      <c r="N23" s="20" t="s">
        <v>261</v>
      </c>
      <c r="O23" s="20" t="s">
        <v>261</v>
      </c>
      <c r="P23" s="20" t="s">
        <v>261</v>
      </c>
      <c r="Q23" s="20" t="s">
        <v>261</v>
      </c>
      <c r="R23" s="20" t="s">
        <v>261</v>
      </c>
      <c r="S23" s="20" t="s">
        <v>261</v>
      </c>
      <c r="T23" s="20" t="s">
        <v>261</v>
      </c>
      <c r="U23" s="20" t="s">
        <v>261</v>
      </c>
      <c r="V23" s="20" t="s">
        <v>261</v>
      </c>
      <c r="W23" s="20" t="s">
        <v>261</v>
      </c>
      <c r="X23" s="20" t="s">
        <v>261</v>
      </c>
      <c r="Y23" s="20" t="s">
        <v>261</v>
      </c>
      <c r="Z23" s="20" t="s">
        <v>261</v>
      </c>
      <c r="AA23" s="20" t="s">
        <v>261</v>
      </c>
      <c r="AB23" s="20" t="s">
        <v>262</v>
      </c>
      <c r="AC23" s="20" t="s">
        <v>262</v>
      </c>
      <c r="AD23" s="20" t="s">
        <v>262</v>
      </c>
      <c r="AE23" s="20" t="s">
        <v>262</v>
      </c>
      <c r="AF23" s="20" t="s">
        <v>262</v>
      </c>
      <c r="AG23" s="20" t="s">
        <v>262</v>
      </c>
      <c r="AH23" s="20" t="s">
        <v>262</v>
      </c>
      <c r="AI23" s="20" t="s">
        <v>262</v>
      </c>
      <c r="AJ23" s="20" t="s">
        <v>262</v>
      </c>
      <c r="AK23" s="20" t="s">
        <v>262</v>
      </c>
      <c r="AL23" s="20" t="s">
        <v>262</v>
      </c>
      <c r="AM23" s="20" t="s">
        <v>262</v>
      </c>
      <c r="AN23" s="20">
        <v>4</v>
      </c>
      <c r="AO23" s="20">
        <v>73</v>
      </c>
      <c r="AP23" s="20">
        <v>29</v>
      </c>
      <c r="AQ23" s="20">
        <v>44</v>
      </c>
      <c r="AR23" s="20">
        <v>13</v>
      </c>
      <c r="AS23" s="20">
        <v>9</v>
      </c>
      <c r="AT23" s="20">
        <v>4</v>
      </c>
      <c r="AU23" s="20">
        <v>3</v>
      </c>
      <c r="AV23" s="20" t="s">
        <v>261</v>
      </c>
      <c r="AW23" s="20">
        <v>3</v>
      </c>
      <c r="AX23" s="20">
        <v>57</v>
      </c>
      <c r="AY23" s="20">
        <v>20</v>
      </c>
      <c r="AZ23" s="20">
        <v>37</v>
      </c>
      <c r="BA23" s="20">
        <v>10942</v>
      </c>
      <c r="BB23" s="20">
        <v>4493</v>
      </c>
      <c r="BC23" s="20">
        <v>6449</v>
      </c>
      <c r="BD23" s="20">
        <v>2084</v>
      </c>
      <c r="BE23" s="20">
        <v>1478</v>
      </c>
      <c r="BF23" s="20">
        <v>606</v>
      </c>
      <c r="BG23" s="20">
        <v>333</v>
      </c>
      <c r="BH23" s="20">
        <v>21</v>
      </c>
      <c r="BI23" s="20">
        <v>312</v>
      </c>
      <c r="BJ23" s="20">
        <v>8525</v>
      </c>
      <c r="BK23" s="20">
        <v>2994</v>
      </c>
      <c r="BL23" s="20">
        <v>5531</v>
      </c>
      <c r="BM23" s="20">
        <v>37884</v>
      </c>
      <c r="BN23" s="20">
        <v>14835</v>
      </c>
      <c r="BO23" s="20">
        <v>23049</v>
      </c>
      <c r="BP23" s="20">
        <v>6506</v>
      </c>
      <c r="BQ23" s="20">
        <v>4688</v>
      </c>
      <c r="BR23" s="20">
        <v>1818</v>
      </c>
      <c r="BS23" s="20">
        <v>1418</v>
      </c>
      <c r="BT23" s="20">
        <v>72</v>
      </c>
      <c r="BU23" s="20">
        <v>1346</v>
      </c>
      <c r="BV23" s="20">
        <v>29960</v>
      </c>
      <c r="BW23" s="20">
        <v>10075</v>
      </c>
      <c r="BX23" s="20">
        <v>19885</v>
      </c>
    </row>
    <row r="24" spans="1:76" ht="15.6" customHeight="1">
      <c r="A24" s="45" t="s">
        <v>140</v>
      </c>
      <c r="B24" s="94" t="s">
        <v>17</v>
      </c>
      <c r="C24" s="20" t="s">
        <v>261</v>
      </c>
      <c r="D24" s="20" t="s">
        <v>261</v>
      </c>
      <c r="E24" s="20" t="s">
        <v>261</v>
      </c>
      <c r="F24" s="20" t="s">
        <v>261</v>
      </c>
      <c r="G24" s="20" t="s">
        <v>261</v>
      </c>
      <c r="H24" s="20" t="s">
        <v>261</v>
      </c>
      <c r="I24" s="20" t="s">
        <v>261</v>
      </c>
      <c r="J24" s="20" t="s">
        <v>261</v>
      </c>
      <c r="K24" s="20" t="s">
        <v>261</v>
      </c>
      <c r="L24" s="20" t="s">
        <v>261</v>
      </c>
      <c r="M24" s="20" t="s">
        <v>261</v>
      </c>
      <c r="N24" s="20" t="s">
        <v>261</v>
      </c>
      <c r="O24" s="20" t="s">
        <v>261</v>
      </c>
      <c r="P24" s="20" t="s">
        <v>261</v>
      </c>
      <c r="Q24" s="20" t="s">
        <v>261</v>
      </c>
      <c r="R24" s="20" t="s">
        <v>261</v>
      </c>
      <c r="S24" s="20" t="s">
        <v>261</v>
      </c>
      <c r="T24" s="20" t="s">
        <v>261</v>
      </c>
      <c r="U24" s="20" t="s">
        <v>261</v>
      </c>
      <c r="V24" s="20" t="s">
        <v>261</v>
      </c>
      <c r="W24" s="20" t="s">
        <v>261</v>
      </c>
      <c r="X24" s="20" t="s">
        <v>261</v>
      </c>
      <c r="Y24" s="20" t="s">
        <v>261</v>
      </c>
      <c r="Z24" s="20" t="s">
        <v>261</v>
      </c>
      <c r="AA24" s="20" t="s">
        <v>261</v>
      </c>
      <c r="AB24" s="20" t="s">
        <v>262</v>
      </c>
      <c r="AC24" s="20" t="s">
        <v>262</v>
      </c>
      <c r="AD24" s="20" t="s">
        <v>262</v>
      </c>
      <c r="AE24" s="20" t="s">
        <v>262</v>
      </c>
      <c r="AF24" s="20" t="s">
        <v>262</v>
      </c>
      <c r="AG24" s="20" t="s">
        <v>262</v>
      </c>
      <c r="AH24" s="20" t="s">
        <v>262</v>
      </c>
      <c r="AI24" s="20" t="s">
        <v>262</v>
      </c>
      <c r="AJ24" s="20" t="s">
        <v>262</v>
      </c>
      <c r="AK24" s="20" t="s">
        <v>262</v>
      </c>
      <c r="AL24" s="20" t="s">
        <v>262</v>
      </c>
      <c r="AM24" s="20" t="s">
        <v>262</v>
      </c>
      <c r="AN24" s="20">
        <v>2</v>
      </c>
      <c r="AO24" s="20">
        <v>9</v>
      </c>
      <c r="AP24" s="20">
        <v>1</v>
      </c>
      <c r="AQ24" s="20">
        <v>8</v>
      </c>
      <c r="AR24" s="20">
        <v>3</v>
      </c>
      <c r="AS24" s="20">
        <v>1</v>
      </c>
      <c r="AT24" s="20">
        <v>2</v>
      </c>
      <c r="AU24" s="20" t="s">
        <v>261</v>
      </c>
      <c r="AV24" s="20" t="s">
        <v>261</v>
      </c>
      <c r="AW24" s="20" t="s">
        <v>261</v>
      </c>
      <c r="AX24" s="20">
        <v>6</v>
      </c>
      <c r="AY24" s="20" t="s">
        <v>261</v>
      </c>
      <c r="AZ24" s="20">
        <v>6</v>
      </c>
      <c r="BA24" s="20">
        <v>1453</v>
      </c>
      <c r="BB24" s="20">
        <v>271</v>
      </c>
      <c r="BC24" s="20">
        <v>1182</v>
      </c>
      <c r="BD24" s="20">
        <v>505</v>
      </c>
      <c r="BE24" s="20">
        <v>244</v>
      </c>
      <c r="BF24" s="20">
        <v>261</v>
      </c>
      <c r="BG24" s="20">
        <v>12</v>
      </c>
      <c r="BH24" s="20">
        <v>12</v>
      </c>
      <c r="BI24" s="20" t="s">
        <v>261</v>
      </c>
      <c r="BJ24" s="20">
        <v>936</v>
      </c>
      <c r="BK24" s="20">
        <v>15</v>
      </c>
      <c r="BL24" s="20">
        <v>921</v>
      </c>
      <c r="BM24" s="20">
        <v>11632</v>
      </c>
      <c r="BN24" s="20">
        <v>2168</v>
      </c>
      <c r="BO24" s="20">
        <v>9464</v>
      </c>
      <c r="BP24" s="20">
        <v>4040</v>
      </c>
      <c r="BQ24" s="20">
        <v>1952</v>
      </c>
      <c r="BR24" s="20">
        <v>2088</v>
      </c>
      <c r="BS24" s="20">
        <v>96</v>
      </c>
      <c r="BT24" s="20">
        <v>96</v>
      </c>
      <c r="BU24" s="20" t="s">
        <v>262</v>
      </c>
      <c r="BV24" s="20">
        <v>7496</v>
      </c>
      <c r="BW24" s="20">
        <v>120</v>
      </c>
      <c r="BX24" s="20">
        <v>7376</v>
      </c>
    </row>
    <row r="25" spans="1:76" ht="15.6" customHeight="1">
      <c r="A25" s="45" t="s">
        <v>141</v>
      </c>
      <c r="B25" s="94" t="s">
        <v>18</v>
      </c>
      <c r="C25" s="20">
        <v>1</v>
      </c>
      <c r="D25" s="20">
        <v>4</v>
      </c>
      <c r="E25" s="20">
        <v>2</v>
      </c>
      <c r="F25" s="20">
        <v>2</v>
      </c>
      <c r="G25" s="20">
        <v>4</v>
      </c>
      <c r="H25" s="20">
        <v>2</v>
      </c>
      <c r="I25" s="20">
        <v>2</v>
      </c>
      <c r="J25" s="20" t="s">
        <v>261</v>
      </c>
      <c r="K25" s="20" t="s">
        <v>261</v>
      </c>
      <c r="L25" s="20" t="s">
        <v>261</v>
      </c>
      <c r="M25" s="20" t="s">
        <v>261</v>
      </c>
      <c r="N25" s="20" t="s">
        <v>261</v>
      </c>
      <c r="O25" s="20" t="s">
        <v>261</v>
      </c>
      <c r="P25" s="20">
        <v>231</v>
      </c>
      <c r="Q25" s="20">
        <v>121</v>
      </c>
      <c r="R25" s="20">
        <v>110</v>
      </c>
      <c r="S25" s="20">
        <v>132</v>
      </c>
      <c r="T25" s="20">
        <v>61</v>
      </c>
      <c r="U25" s="20">
        <v>71</v>
      </c>
      <c r="V25" s="20" t="s">
        <v>261</v>
      </c>
      <c r="W25" s="20" t="s">
        <v>261</v>
      </c>
      <c r="X25" s="20" t="s">
        <v>261</v>
      </c>
      <c r="Y25" s="20">
        <v>99</v>
      </c>
      <c r="Z25" s="20">
        <v>60</v>
      </c>
      <c r="AA25" s="20">
        <v>39</v>
      </c>
      <c r="AB25" s="20">
        <v>816</v>
      </c>
      <c r="AC25" s="20">
        <v>510</v>
      </c>
      <c r="AD25" s="20">
        <v>306</v>
      </c>
      <c r="AE25" s="20">
        <v>471</v>
      </c>
      <c r="AF25" s="20">
        <v>240</v>
      </c>
      <c r="AG25" s="20">
        <v>231</v>
      </c>
      <c r="AH25" s="20" t="s">
        <v>262</v>
      </c>
      <c r="AI25" s="20" t="s">
        <v>262</v>
      </c>
      <c r="AJ25" s="20" t="s">
        <v>262</v>
      </c>
      <c r="AK25" s="20">
        <v>345</v>
      </c>
      <c r="AL25" s="20">
        <v>270</v>
      </c>
      <c r="AM25" s="20">
        <v>75</v>
      </c>
      <c r="AN25" s="20">
        <v>2</v>
      </c>
      <c r="AO25" s="20">
        <v>29</v>
      </c>
      <c r="AP25" s="20">
        <v>15</v>
      </c>
      <c r="AQ25" s="20">
        <v>14</v>
      </c>
      <c r="AR25" s="20">
        <v>9</v>
      </c>
      <c r="AS25" s="20">
        <v>6</v>
      </c>
      <c r="AT25" s="20">
        <v>3</v>
      </c>
      <c r="AU25" s="20">
        <v>4</v>
      </c>
      <c r="AV25" s="20">
        <v>1</v>
      </c>
      <c r="AW25" s="20">
        <v>3</v>
      </c>
      <c r="AX25" s="20">
        <v>16</v>
      </c>
      <c r="AY25" s="20">
        <v>8</v>
      </c>
      <c r="AZ25" s="20">
        <v>8</v>
      </c>
      <c r="BA25" s="20">
        <v>4941</v>
      </c>
      <c r="BB25" s="20">
        <v>2332</v>
      </c>
      <c r="BC25" s="20">
        <v>2609</v>
      </c>
      <c r="BD25" s="20">
        <v>1297</v>
      </c>
      <c r="BE25" s="20">
        <v>954</v>
      </c>
      <c r="BF25" s="20">
        <v>343</v>
      </c>
      <c r="BG25" s="20">
        <v>643</v>
      </c>
      <c r="BH25" s="20">
        <v>120</v>
      </c>
      <c r="BI25" s="20">
        <v>523</v>
      </c>
      <c r="BJ25" s="20">
        <v>3001</v>
      </c>
      <c r="BK25" s="20">
        <v>1258</v>
      </c>
      <c r="BL25" s="20">
        <v>1743</v>
      </c>
      <c r="BM25" s="20">
        <v>13255.8</v>
      </c>
      <c r="BN25" s="20">
        <v>5372.4</v>
      </c>
      <c r="BO25" s="20">
        <v>7883.4</v>
      </c>
      <c r="BP25" s="20">
        <v>3270.6</v>
      </c>
      <c r="BQ25" s="20">
        <v>2626.4</v>
      </c>
      <c r="BR25" s="20">
        <v>644.20000000000005</v>
      </c>
      <c r="BS25" s="20">
        <v>1729</v>
      </c>
      <c r="BT25" s="20">
        <v>258</v>
      </c>
      <c r="BU25" s="20">
        <v>1471</v>
      </c>
      <c r="BV25" s="20">
        <v>8256.2000000000007</v>
      </c>
      <c r="BW25" s="20">
        <v>2488</v>
      </c>
      <c r="BX25" s="20">
        <v>5768.2</v>
      </c>
    </row>
    <row r="26" spans="1:76" ht="15.6" customHeight="1">
      <c r="A26" s="45" t="s">
        <v>142</v>
      </c>
      <c r="B26" s="94" t="s">
        <v>19</v>
      </c>
      <c r="C26" s="20" t="s">
        <v>261</v>
      </c>
      <c r="D26" s="20">
        <v>26</v>
      </c>
      <c r="E26" s="20">
        <v>12</v>
      </c>
      <c r="F26" s="20">
        <v>14</v>
      </c>
      <c r="G26" s="20">
        <v>1</v>
      </c>
      <c r="H26" s="20">
        <v>1</v>
      </c>
      <c r="I26" s="20" t="s">
        <v>261</v>
      </c>
      <c r="J26" s="20">
        <v>1</v>
      </c>
      <c r="K26" s="20">
        <v>1</v>
      </c>
      <c r="L26" s="20" t="s">
        <v>261</v>
      </c>
      <c r="M26" s="20">
        <v>24</v>
      </c>
      <c r="N26" s="20">
        <v>10</v>
      </c>
      <c r="O26" s="20">
        <v>14</v>
      </c>
      <c r="P26" s="20">
        <v>4512</v>
      </c>
      <c r="Q26" s="20">
        <v>1822</v>
      </c>
      <c r="R26" s="20">
        <v>2690</v>
      </c>
      <c r="S26" s="20">
        <v>267</v>
      </c>
      <c r="T26" s="20">
        <v>267</v>
      </c>
      <c r="U26" s="20" t="s">
        <v>261</v>
      </c>
      <c r="V26" s="20">
        <v>171</v>
      </c>
      <c r="W26" s="20">
        <v>171</v>
      </c>
      <c r="X26" s="20" t="s">
        <v>261</v>
      </c>
      <c r="Y26" s="20">
        <v>4074</v>
      </c>
      <c r="Z26" s="20">
        <v>1384</v>
      </c>
      <c r="AA26" s="20">
        <v>2690</v>
      </c>
      <c r="AB26" s="20">
        <v>36096</v>
      </c>
      <c r="AC26" s="20">
        <v>14576</v>
      </c>
      <c r="AD26" s="20">
        <v>21520</v>
      </c>
      <c r="AE26" s="20">
        <v>2136</v>
      </c>
      <c r="AF26" s="20">
        <v>2136</v>
      </c>
      <c r="AG26" s="20" t="s">
        <v>262</v>
      </c>
      <c r="AH26" s="20">
        <v>1368</v>
      </c>
      <c r="AI26" s="20">
        <v>1368</v>
      </c>
      <c r="AJ26" s="20" t="s">
        <v>262</v>
      </c>
      <c r="AK26" s="20">
        <v>32592</v>
      </c>
      <c r="AL26" s="20">
        <v>11072</v>
      </c>
      <c r="AM26" s="20">
        <v>21520</v>
      </c>
      <c r="AN26" s="20">
        <v>2</v>
      </c>
      <c r="AO26" s="20">
        <v>12</v>
      </c>
      <c r="AP26" s="20">
        <v>6</v>
      </c>
      <c r="AQ26" s="20">
        <v>6</v>
      </c>
      <c r="AR26" s="20">
        <v>4</v>
      </c>
      <c r="AS26" s="20">
        <v>2</v>
      </c>
      <c r="AT26" s="20">
        <v>2</v>
      </c>
      <c r="AU26" s="20" t="s">
        <v>261</v>
      </c>
      <c r="AV26" s="20" t="s">
        <v>261</v>
      </c>
      <c r="AW26" s="20" t="s">
        <v>261</v>
      </c>
      <c r="AX26" s="20">
        <v>8</v>
      </c>
      <c r="AY26" s="20">
        <v>4</v>
      </c>
      <c r="AZ26" s="20">
        <v>4</v>
      </c>
      <c r="BA26" s="20">
        <v>1706</v>
      </c>
      <c r="BB26" s="20">
        <v>811</v>
      </c>
      <c r="BC26" s="20">
        <v>895</v>
      </c>
      <c r="BD26" s="20">
        <v>397</v>
      </c>
      <c r="BE26" s="20">
        <v>60</v>
      </c>
      <c r="BF26" s="20">
        <v>337</v>
      </c>
      <c r="BG26" s="20">
        <v>40</v>
      </c>
      <c r="BH26" s="20">
        <v>34</v>
      </c>
      <c r="BI26" s="20">
        <v>6</v>
      </c>
      <c r="BJ26" s="20">
        <v>1269</v>
      </c>
      <c r="BK26" s="20">
        <v>717</v>
      </c>
      <c r="BL26" s="20">
        <v>552</v>
      </c>
      <c r="BM26" s="20">
        <v>13071</v>
      </c>
      <c r="BN26" s="20">
        <v>6424</v>
      </c>
      <c r="BO26" s="20">
        <v>6647</v>
      </c>
      <c r="BP26" s="20">
        <v>2840</v>
      </c>
      <c r="BQ26" s="20">
        <v>420</v>
      </c>
      <c r="BR26" s="20">
        <v>2420</v>
      </c>
      <c r="BS26" s="20">
        <v>320</v>
      </c>
      <c r="BT26" s="20">
        <v>272</v>
      </c>
      <c r="BU26" s="20">
        <v>48</v>
      </c>
      <c r="BV26" s="20">
        <v>9911</v>
      </c>
      <c r="BW26" s="20">
        <v>5732</v>
      </c>
      <c r="BX26" s="20">
        <v>4179</v>
      </c>
    </row>
    <row r="27" spans="1:76" ht="15.6" customHeight="1">
      <c r="A27" s="45" t="s">
        <v>143</v>
      </c>
      <c r="B27" s="94" t="s">
        <v>20</v>
      </c>
      <c r="C27" s="20">
        <v>1</v>
      </c>
      <c r="D27" s="20">
        <v>9</v>
      </c>
      <c r="E27" s="20">
        <v>1</v>
      </c>
      <c r="F27" s="20">
        <v>8</v>
      </c>
      <c r="G27" s="20" t="s">
        <v>261</v>
      </c>
      <c r="H27" s="20" t="s">
        <v>261</v>
      </c>
      <c r="I27" s="20" t="s">
        <v>261</v>
      </c>
      <c r="J27" s="20" t="s">
        <v>261</v>
      </c>
      <c r="K27" s="20" t="s">
        <v>261</v>
      </c>
      <c r="L27" s="20" t="s">
        <v>261</v>
      </c>
      <c r="M27" s="20">
        <v>9</v>
      </c>
      <c r="N27" s="20">
        <v>1</v>
      </c>
      <c r="O27" s="20">
        <v>8</v>
      </c>
      <c r="P27" s="20">
        <v>2624</v>
      </c>
      <c r="Q27" s="20">
        <v>483</v>
      </c>
      <c r="R27" s="20">
        <v>2141</v>
      </c>
      <c r="S27" s="20">
        <v>198</v>
      </c>
      <c r="T27" s="20">
        <v>198</v>
      </c>
      <c r="U27" s="20" t="s">
        <v>261</v>
      </c>
      <c r="V27" s="20">
        <v>194</v>
      </c>
      <c r="W27" s="20" t="s">
        <v>261</v>
      </c>
      <c r="X27" s="20">
        <v>194</v>
      </c>
      <c r="Y27" s="20">
        <v>2232</v>
      </c>
      <c r="Z27" s="20">
        <v>285</v>
      </c>
      <c r="AA27" s="20">
        <v>1947</v>
      </c>
      <c r="AB27" s="20">
        <v>19963</v>
      </c>
      <c r="AC27" s="20">
        <v>2800</v>
      </c>
      <c r="AD27" s="20">
        <v>17163</v>
      </c>
      <c r="AE27" s="20">
        <v>1584</v>
      </c>
      <c r="AF27" s="20">
        <v>1584</v>
      </c>
      <c r="AG27" s="20" t="s">
        <v>262</v>
      </c>
      <c r="AH27" s="20">
        <v>1552</v>
      </c>
      <c r="AI27" s="20" t="s">
        <v>262</v>
      </c>
      <c r="AJ27" s="20">
        <v>1552</v>
      </c>
      <c r="AK27" s="20">
        <v>16827</v>
      </c>
      <c r="AL27" s="20">
        <v>1216</v>
      </c>
      <c r="AM27" s="20">
        <v>15611</v>
      </c>
      <c r="AN27" s="20">
        <v>3</v>
      </c>
      <c r="AO27" s="20">
        <v>45</v>
      </c>
      <c r="AP27" s="20">
        <v>23</v>
      </c>
      <c r="AQ27" s="20">
        <v>22</v>
      </c>
      <c r="AR27" s="20" t="s">
        <v>261</v>
      </c>
      <c r="AS27" s="20" t="s">
        <v>261</v>
      </c>
      <c r="AT27" s="20" t="s">
        <v>261</v>
      </c>
      <c r="AU27" s="20">
        <v>2</v>
      </c>
      <c r="AV27" s="20">
        <v>2</v>
      </c>
      <c r="AW27" s="20" t="s">
        <v>261</v>
      </c>
      <c r="AX27" s="20">
        <v>43</v>
      </c>
      <c r="AY27" s="20">
        <v>21</v>
      </c>
      <c r="AZ27" s="20">
        <v>22</v>
      </c>
      <c r="BA27" s="20">
        <v>8916</v>
      </c>
      <c r="BB27" s="20">
        <v>3928</v>
      </c>
      <c r="BC27" s="20">
        <v>4988</v>
      </c>
      <c r="BD27" s="20" t="s">
        <v>261</v>
      </c>
      <c r="BE27" s="20" t="s">
        <v>261</v>
      </c>
      <c r="BF27" s="20" t="s">
        <v>261</v>
      </c>
      <c r="BG27" s="20">
        <v>737</v>
      </c>
      <c r="BH27" s="20">
        <v>619</v>
      </c>
      <c r="BI27" s="20">
        <v>118</v>
      </c>
      <c r="BJ27" s="20">
        <v>8179</v>
      </c>
      <c r="BK27" s="20">
        <v>3309</v>
      </c>
      <c r="BL27" s="20">
        <v>4870</v>
      </c>
      <c r="BM27" s="20">
        <v>66149.5</v>
      </c>
      <c r="BN27" s="20">
        <v>28055.5</v>
      </c>
      <c r="BO27" s="20">
        <v>38094</v>
      </c>
      <c r="BP27" s="20" t="s">
        <v>262</v>
      </c>
      <c r="BQ27" s="20" t="s">
        <v>262</v>
      </c>
      <c r="BR27" s="20" t="s">
        <v>262</v>
      </c>
      <c r="BS27" s="20">
        <v>4707.5</v>
      </c>
      <c r="BT27" s="20">
        <v>3763.5</v>
      </c>
      <c r="BU27" s="20">
        <v>944</v>
      </c>
      <c r="BV27" s="20">
        <v>61442</v>
      </c>
      <c r="BW27" s="20">
        <v>24292</v>
      </c>
      <c r="BX27" s="20">
        <v>37150</v>
      </c>
    </row>
    <row r="28" spans="1:76" ht="15.6" customHeight="1">
      <c r="A28" s="45" t="s">
        <v>144</v>
      </c>
      <c r="B28" s="94" t="s">
        <v>21</v>
      </c>
      <c r="C28" s="20">
        <v>2</v>
      </c>
      <c r="D28" s="20">
        <v>32</v>
      </c>
      <c r="E28" s="20">
        <v>16</v>
      </c>
      <c r="F28" s="20">
        <v>16</v>
      </c>
      <c r="G28" s="20">
        <v>3</v>
      </c>
      <c r="H28" s="20" t="s">
        <v>261</v>
      </c>
      <c r="I28" s="20">
        <v>3</v>
      </c>
      <c r="J28" s="20">
        <v>3</v>
      </c>
      <c r="K28" s="20">
        <v>2</v>
      </c>
      <c r="L28" s="20">
        <v>1</v>
      </c>
      <c r="M28" s="20">
        <v>26</v>
      </c>
      <c r="N28" s="20">
        <v>14</v>
      </c>
      <c r="O28" s="20">
        <v>12</v>
      </c>
      <c r="P28" s="20">
        <v>7062</v>
      </c>
      <c r="Q28" s="20">
        <v>3248</v>
      </c>
      <c r="R28" s="20">
        <v>3814</v>
      </c>
      <c r="S28" s="20">
        <v>635</v>
      </c>
      <c r="T28" s="20">
        <v>17</v>
      </c>
      <c r="U28" s="20">
        <v>618</v>
      </c>
      <c r="V28" s="20">
        <v>647</v>
      </c>
      <c r="W28" s="20">
        <v>399</v>
      </c>
      <c r="X28" s="20">
        <v>248</v>
      </c>
      <c r="Y28" s="20">
        <v>5780</v>
      </c>
      <c r="Z28" s="20">
        <v>2832</v>
      </c>
      <c r="AA28" s="20">
        <v>2948</v>
      </c>
      <c r="AB28" s="20">
        <v>31103</v>
      </c>
      <c r="AC28" s="20">
        <v>16274</v>
      </c>
      <c r="AD28" s="20">
        <v>14829</v>
      </c>
      <c r="AE28" s="20">
        <v>2930</v>
      </c>
      <c r="AF28" s="20">
        <v>20</v>
      </c>
      <c r="AG28" s="20">
        <v>2910</v>
      </c>
      <c r="AH28" s="20">
        <v>2031</v>
      </c>
      <c r="AI28" s="20">
        <v>1431</v>
      </c>
      <c r="AJ28" s="20">
        <v>600</v>
      </c>
      <c r="AK28" s="20">
        <v>26142</v>
      </c>
      <c r="AL28" s="20">
        <v>14823</v>
      </c>
      <c r="AM28" s="20">
        <v>11319</v>
      </c>
      <c r="AN28" s="20">
        <v>3</v>
      </c>
      <c r="AO28" s="20">
        <v>52</v>
      </c>
      <c r="AP28" s="20">
        <v>13</v>
      </c>
      <c r="AQ28" s="20">
        <v>39</v>
      </c>
      <c r="AR28" s="20">
        <v>3</v>
      </c>
      <c r="AS28" s="20">
        <v>1</v>
      </c>
      <c r="AT28" s="20">
        <v>2</v>
      </c>
      <c r="AU28" s="20">
        <v>2</v>
      </c>
      <c r="AV28" s="20" t="s">
        <v>261</v>
      </c>
      <c r="AW28" s="20">
        <v>2</v>
      </c>
      <c r="AX28" s="20">
        <v>47</v>
      </c>
      <c r="AY28" s="20">
        <v>12</v>
      </c>
      <c r="AZ28" s="20">
        <v>35</v>
      </c>
      <c r="BA28" s="20">
        <v>9757</v>
      </c>
      <c r="BB28" s="20">
        <v>2359</v>
      </c>
      <c r="BC28" s="20">
        <v>7398</v>
      </c>
      <c r="BD28" s="20">
        <v>598</v>
      </c>
      <c r="BE28" s="20">
        <v>159</v>
      </c>
      <c r="BF28" s="20">
        <v>439</v>
      </c>
      <c r="BG28" s="20">
        <v>342</v>
      </c>
      <c r="BH28" s="20" t="s">
        <v>261</v>
      </c>
      <c r="BI28" s="20">
        <v>342</v>
      </c>
      <c r="BJ28" s="20">
        <v>8817</v>
      </c>
      <c r="BK28" s="20">
        <v>2200</v>
      </c>
      <c r="BL28" s="20">
        <v>6617</v>
      </c>
      <c r="BM28" s="20">
        <v>23033</v>
      </c>
      <c r="BN28" s="20">
        <v>5737.6</v>
      </c>
      <c r="BO28" s="20">
        <v>17295.400000000001</v>
      </c>
      <c r="BP28" s="20">
        <v>2324.5</v>
      </c>
      <c r="BQ28" s="20">
        <v>415</v>
      </c>
      <c r="BR28" s="20">
        <v>1909.5</v>
      </c>
      <c r="BS28" s="20">
        <v>1456.8</v>
      </c>
      <c r="BT28" s="20" t="s">
        <v>262</v>
      </c>
      <c r="BU28" s="20">
        <v>1456.8</v>
      </c>
      <c r="BV28" s="20">
        <v>19251.7</v>
      </c>
      <c r="BW28" s="20">
        <v>5322.6</v>
      </c>
      <c r="BX28" s="20">
        <v>13929.1</v>
      </c>
    </row>
    <row r="29" spans="1:76" ht="15.6" customHeight="1">
      <c r="A29" s="45" t="s">
        <v>145</v>
      </c>
      <c r="B29" s="94" t="s">
        <v>22</v>
      </c>
      <c r="C29" s="20" t="s">
        <v>261</v>
      </c>
      <c r="D29" s="20" t="s">
        <v>261</v>
      </c>
      <c r="E29" s="20" t="s">
        <v>261</v>
      </c>
      <c r="F29" s="20" t="s">
        <v>261</v>
      </c>
      <c r="G29" s="20" t="s">
        <v>261</v>
      </c>
      <c r="H29" s="20" t="s">
        <v>261</v>
      </c>
      <c r="I29" s="20" t="s">
        <v>261</v>
      </c>
      <c r="J29" s="20" t="s">
        <v>261</v>
      </c>
      <c r="K29" s="20" t="s">
        <v>261</v>
      </c>
      <c r="L29" s="20" t="s">
        <v>261</v>
      </c>
      <c r="M29" s="20" t="s">
        <v>261</v>
      </c>
      <c r="N29" s="20" t="s">
        <v>261</v>
      </c>
      <c r="O29" s="20" t="s">
        <v>261</v>
      </c>
      <c r="P29" s="20" t="s">
        <v>261</v>
      </c>
      <c r="Q29" s="20" t="s">
        <v>261</v>
      </c>
      <c r="R29" s="20" t="s">
        <v>261</v>
      </c>
      <c r="S29" s="20" t="s">
        <v>261</v>
      </c>
      <c r="T29" s="20" t="s">
        <v>261</v>
      </c>
      <c r="U29" s="20" t="s">
        <v>261</v>
      </c>
      <c r="V29" s="20" t="s">
        <v>261</v>
      </c>
      <c r="W29" s="20" t="s">
        <v>261</v>
      </c>
      <c r="X29" s="20" t="s">
        <v>261</v>
      </c>
      <c r="Y29" s="20" t="s">
        <v>261</v>
      </c>
      <c r="Z29" s="20" t="s">
        <v>261</v>
      </c>
      <c r="AA29" s="20" t="s">
        <v>261</v>
      </c>
      <c r="AB29" s="20" t="s">
        <v>262</v>
      </c>
      <c r="AC29" s="20" t="s">
        <v>262</v>
      </c>
      <c r="AD29" s="20" t="s">
        <v>262</v>
      </c>
      <c r="AE29" s="20" t="s">
        <v>262</v>
      </c>
      <c r="AF29" s="20" t="s">
        <v>262</v>
      </c>
      <c r="AG29" s="20" t="s">
        <v>262</v>
      </c>
      <c r="AH29" s="20" t="s">
        <v>262</v>
      </c>
      <c r="AI29" s="20" t="s">
        <v>262</v>
      </c>
      <c r="AJ29" s="20" t="s">
        <v>262</v>
      </c>
      <c r="AK29" s="20" t="s">
        <v>262</v>
      </c>
      <c r="AL29" s="20" t="s">
        <v>262</v>
      </c>
      <c r="AM29" s="20" t="s">
        <v>262</v>
      </c>
      <c r="AN29" s="20">
        <v>1</v>
      </c>
      <c r="AO29" s="20">
        <v>34</v>
      </c>
      <c r="AP29" s="20">
        <v>15</v>
      </c>
      <c r="AQ29" s="20">
        <v>19</v>
      </c>
      <c r="AR29" s="20">
        <v>2</v>
      </c>
      <c r="AS29" s="20">
        <v>2</v>
      </c>
      <c r="AT29" s="20" t="s">
        <v>261</v>
      </c>
      <c r="AU29" s="20">
        <v>1</v>
      </c>
      <c r="AV29" s="20" t="s">
        <v>261</v>
      </c>
      <c r="AW29" s="20">
        <v>1</v>
      </c>
      <c r="AX29" s="20">
        <v>31</v>
      </c>
      <c r="AY29" s="20">
        <v>13</v>
      </c>
      <c r="AZ29" s="20">
        <v>18</v>
      </c>
      <c r="BA29" s="20">
        <v>5952</v>
      </c>
      <c r="BB29" s="20">
        <v>2570</v>
      </c>
      <c r="BC29" s="20">
        <v>3382</v>
      </c>
      <c r="BD29" s="20">
        <v>450</v>
      </c>
      <c r="BE29" s="20">
        <v>450</v>
      </c>
      <c r="BF29" s="20" t="s">
        <v>261</v>
      </c>
      <c r="BG29" s="20">
        <v>121</v>
      </c>
      <c r="BH29" s="20">
        <v>20</v>
      </c>
      <c r="BI29" s="20">
        <v>101</v>
      </c>
      <c r="BJ29" s="20">
        <v>5381</v>
      </c>
      <c r="BK29" s="20">
        <v>2100</v>
      </c>
      <c r="BL29" s="20">
        <v>3281</v>
      </c>
      <c r="BM29" s="20">
        <v>16709</v>
      </c>
      <c r="BN29" s="20">
        <v>7442</v>
      </c>
      <c r="BO29" s="20">
        <v>9267</v>
      </c>
      <c r="BP29" s="20">
        <v>1065</v>
      </c>
      <c r="BQ29" s="20">
        <v>1065</v>
      </c>
      <c r="BR29" s="20" t="s">
        <v>262</v>
      </c>
      <c r="BS29" s="20">
        <v>175</v>
      </c>
      <c r="BT29" s="20">
        <v>50</v>
      </c>
      <c r="BU29" s="20">
        <v>125</v>
      </c>
      <c r="BV29" s="20">
        <v>15469</v>
      </c>
      <c r="BW29" s="20">
        <v>6327</v>
      </c>
      <c r="BX29" s="20">
        <v>9142</v>
      </c>
    </row>
    <row r="30" spans="1:76" ht="15.6" customHeight="1">
      <c r="A30" s="46" t="s">
        <v>146</v>
      </c>
      <c r="B30" s="95" t="s">
        <v>23</v>
      </c>
      <c r="C30" s="22" t="s">
        <v>261</v>
      </c>
      <c r="D30" s="22" t="s">
        <v>261</v>
      </c>
      <c r="E30" s="22" t="s">
        <v>261</v>
      </c>
      <c r="F30" s="22" t="s">
        <v>261</v>
      </c>
      <c r="G30" s="22" t="s">
        <v>261</v>
      </c>
      <c r="H30" s="22" t="s">
        <v>261</v>
      </c>
      <c r="I30" s="22" t="s">
        <v>261</v>
      </c>
      <c r="J30" s="22" t="s">
        <v>261</v>
      </c>
      <c r="K30" s="22" t="s">
        <v>261</v>
      </c>
      <c r="L30" s="22" t="s">
        <v>261</v>
      </c>
      <c r="M30" s="22" t="s">
        <v>261</v>
      </c>
      <c r="N30" s="22" t="s">
        <v>261</v>
      </c>
      <c r="O30" s="22" t="s">
        <v>261</v>
      </c>
      <c r="P30" s="22" t="s">
        <v>261</v>
      </c>
      <c r="Q30" s="22" t="s">
        <v>261</v>
      </c>
      <c r="R30" s="22" t="s">
        <v>261</v>
      </c>
      <c r="S30" s="22" t="s">
        <v>261</v>
      </c>
      <c r="T30" s="22" t="s">
        <v>261</v>
      </c>
      <c r="U30" s="22" t="s">
        <v>261</v>
      </c>
      <c r="V30" s="22" t="s">
        <v>261</v>
      </c>
      <c r="W30" s="22" t="s">
        <v>261</v>
      </c>
      <c r="X30" s="22" t="s">
        <v>261</v>
      </c>
      <c r="Y30" s="22" t="s">
        <v>261</v>
      </c>
      <c r="Z30" s="22" t="s">
        <v>261</v>
      </c>
      <c r="AA30" s="22" t="s">
        <v>261</v>
      </c>
      <c r="AB30" s="22" t="s">
        <v>262</v>
      </c>
      <c r="AC30" s="22" t="s">
        <v>262</v>
      </c>
      <c r="AD30" s="22" t="s">
        <v>262</v>
      </c>
      <c r="AE30" s="22" t="s">
        <v>262</v>
      </c>
      <c r="AF30" s="22" t="s">
        <v>262</v>
      </c>
      <c r="AG30" s="22" t="s">
        <v>262</v>
      </c>
      <c r="AH30" s="22" t="s">
        <v>262</v>
      </c>
      <c r="AI30" s="22" t="s">
        <v>262</v>
      </c>
      <c r="AJ30" s="22" t="s">
        <v>262</v>
      </c>
      <c r="AK30" s="22" t="s">
        <v>262</v>
      </c>
      <c r="AL30" s="22" t="s">
        <v>262</v>
      </c>
      <c r="AM30" s="22" t="s">
        <v>262</v>
      </c>
      <c r="AN30" s="22" t="s">
        <v>261</v>
      </c>
      <c r="AO30" s="22" t="s">
        <v>261</v>
      </c>
      <c r="AP30" s="22" t="s">
        <v>261</v>
      </c>
      <c r="AQ30" s="22" t="s">
        <v>261</v>
      </c>
      <c r="AR30" s="22" t="s">
        <v>261</v>
      </c>
      <c r="AS30" s="22" t="s">
        <v>261</v>
      </c>
      <c r="AT30" s="22" t="s">
        <v>261</v>
      </c>
      <c r="AU30" s="22" t="s">
        <v>261</v>
      </c>
      <c r="AV30" s="22" t="s">
        <v>261</v>
      </c>
      <c r="AW30" s="22" t="s">
        <v>261</v>
      </c>
      <c r="AX30" s="22" t="s">
        <v>261</v>
      </c>
      <c r="AY30" s="22" t="s">
        <v>261</v>
      </c>
      <c r="AZ30" s="22" t="s">
        <v>261</v>
      </c>
      <c r="BA30" s="22" t="s">
        <v>261</v>
      </c>
      <c r="BB30" s="22" t="s">
        <v>261</v>
      </c>
      <c r="BC30" s="22" t="s">
        <v>261</v>
      </c>
      <c r="BD30" s="22" t="s">
        <v>261</v>
      </c>
      <c r="BE30" s="22" t="s">
        <v>261</v>
      </c>
      <c r="BF30" s="22" t="s">
        <v>261</v>
      </c>
      <c r="BG30" s="22" t="s">
        <v>261</v>
      </c>
      <c r="BH30" s="22" t="s">
        <v>261</v>
      </c>
      <c r="BI30" s="22" t="s">
        <v>261</v>
      </c>
      <c r="BJ30" s="22" t="s">
        <v>261</v>
      </c>
      <c r="BK30" s="22" t="s">
        <v>261</v>
      </c>
      <c r="BL30" s="22" t="s">
        <v>261</v>
      </c>
      <c r="BM30" s="22" t="s">
        <v>262</v>
      </c>
      <c r="BN30" s="22" t="s">
        <v>262</v>
      </c>
      <c r="BO30" s="22" t="s">
        <v>262</v>
      </c>
      <c r="BP30" s="22" t="s">
        <v>262</v>
      </c>
      <c r="BQ30" s="22" t="s">
        <v>262</v>
      </c>
      <c r="BR30" s="22" t="s">
        <v>262</v>
      </c>
      <c r="BS30" s="22" t="s">
        <v>262</v>
      </c>
      <c r="BT30" s="22" t="s">
        <v>262</v>
      </c>
      <c r="BU30" s="22" t="s">
        <v>262</v>
      </c>
      <c r="BV30" s="22" t="s">
        <v>262</v>
      </c>
      <c r="BW30" s="22" t="s">
        <v>262</v>
      </c>
      <c r="BX30" s="22" t="s">
        <v>262</v>
      </c>
    </row>
    <row r="31" spans="1:76" ht="15.6" customHeight="1">
      <c r="A31" s="127" t="s">
        <v>256</v>
      </c>
      <c r="B31" s="128"/>
    </row>
    <row r="32" spans="1:76" ht="15.6" customHeight="1">
      <c r="A32" s="84" t="s">
        <v>257</v>
      </c>
    </row>
    <row r="34" spans="1:1" ht="19.5" customHeight="1">
      <c r="A34" s="31" t="s">
        <v>320</v>
      </c>
    </row>
  </sheetData>
  <mergeCells count="101">
    <mergeCell ref="BT6:BT7"/>
    <mergeCell ref="BU6:BU7"/>
    <mergeCell ref="BV6:BV7"/>
    <mergeCell ref="BW6:BW7"/>
    <mergeCell ref="BX6:BX7"/>
    <mergeCell ref="BN6:BN7"/>
    <mergeCell ref="BO6:BO7"/>
    <mergeCell ref="BP6:BP7"/>
    <mergeCell ref="BQ6:BQ7"/>
    <mergeCell ref="BR6:BR7"/>
    <mergeCell ref="BS6:BS7"/>
    <mergeCell ref="BH6:BH7"/>
    <mergeCell ref="BI6:BI7"/>
    <mergeCell ref="BJ6:BJ7"/>
    <mergeCell ref="BK6:BK7"/>
    <mergeCell ref="BL6:BL7"/>
    <mergeCell ref="BM6:BM7"/>
    <mergeCell ref="BB6:BB7"/>
    <mergeCell ref="BC6:BC7"/>
    <mergeCell ref="BD6:BD7"/>
    <mergeCell ref="BE6:BE7"/>
    <mergeCell ref="BF6:BF7"/>
    <mergeCell ref="BG6:BG7"/>
    <mergeCell ref="AX6:AX7"/>
    <mergeCell ref="AY6:AY7"/>
    <mergeCell ref="AZ6:AZ7"/>
    <mergeCell ref="BA6:BA7"/>
    <mergeCell ref="AP6:AP7"/>
    <mergeCell ref="AQ6:AQ7"/>
    <mergeCell ref="AR6:AR7"/>
    <mergeCell ref="AS6:AS7"/>
    <mergeCell ref="AT6:AT7"/>
    <mergeCell ref="AU6:AU7"/>
    <mergeCell ref="BP5:BR5"/>
    <mergeCell ref="BS5:BU5"/>
    <mergeCell ref="BV5:BX5"/>
    <mergeCell ref="AX5:AZ5"/>
    <mergeCell ref="BD5:BF5"/>
    <mergeCell ref="BG5:BI5"/>
    <mergeCell ref="BJ5:BL5"/>
    <mergeCell ref="W6:W7"/>
    <mergeCell ref="X6:X7"/>
    <mergeCell ref="Y6:Y7"/>
    <mergeCell ref="Z6:Z7"/>
    <mergeCell ref="AA6:AA7"/>
    <mergeCell ref="AB6:AB7"/>
    <mergeCell ref="AI6:AI7"/>
    <mergeCell ref="AJ6:AJ7"/>
    <mergeCell ref="AK6:AK7"/>
    <mergeCell ref="AL6:AL7"/>
    <mergeCell ref="AM6:AM7"/>
    <mergeCell ref="AO6:AO7"/>
    <mergeCell ref="AC6:AC7"/>
    <mergeCell ref="AD6:AD7"/>
    <mergeCell ref="AE6:AE7"/>
    <mergeCell ref="AF6:AF7"/>
    <mergeCell ref="AG6:AG7"/>
    <mergeCell ref="H6:H7"/>
    <mergeCell ref="I6:I7"/>
    <mergeCell ref="J6:J7"/>
    <mergeCell ref="AR5:AT5"/>
    <mergeCell ref="AU5:AW5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AH6:AH7"/>
    <mergeCell ref="AV6:AV7"/>
    <mergeCell ref="AW6:AW7"/>
    <mergeCell ref="A3:B7"/>
    <mergeCell ref="C3:AM3"/>
    <mergeCell ref="AN3:BX3"/>
    <mergeCell ref="C4:C7"/>
    <mergeCell ref="D4:O4"/>
    <mergeCell ref="P4:AA4"/>
    <mergeCell ref="AB4:AM4"/>
    <mergeCell ref="AN4:AN7"/>
    <mergeCell ref="AO4:AZ4"/>
    <mergeCell ref="BA4:BL4"/>
    <mergeCell ref="BM4:BX4"/>
    <mergeCell ref="G5:I5"/>
    <mergeCell ref="J5:L5"/>
    <mergeCell ref="M5:O5"/>
    <mergeCell ref="S5:U5"/>
    <mergeCell ref="V5:X5"/>
    <mergeCell ref="Y5:AA5"/>
    <mergeCell ref="AE5:AG5"/>
    <mergeCell ref="AH5:AJ5"/>
    <mergeCell ref="AK5:AM5"/>
    <mergeCell ref="D6:D7"/>
    <mergeCell ref="E6:E7"/>
    <mergeCell ref="F6:F7"/>
    <mergeCell ref="G6:G7"/>
  </mergeCells>
  <phoneticPr fontId="6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86" fitToWidth="10" orientation="landscape" useFirstPageNumber="1" horizontalDpi="4294967292" verticalDpi="300" r:id="rId1"/>
  <headerFooter alignWithMargins="0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BX34"/>
  <sheetViews>
    <sheetView zoomScaleNormal="100" zoomScaleSheetLayoutView="100" workbookViewId="0">
      <pane xSplit="2" ySplit="7" topLeftCell="C8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0.1640625" style="84" customWidth="1"/>
    <col min="2" max="2" width="20.1640625" style="84" customWidth="1"/>
    <col min="3" max="15" width="11.5" style="84" customWidth="1"/>
    <col min="16" max="39" width="12.1640625" style="84" customWidth="1"/>
    <col min="40" max="52" width="11.5" style="84" customWidth="1"/>
    <col min="53" max="64" width="12" style="84" customWidth="1"/>
    <col min="65" max="76" width="12.1640625" style="84" customWidth="1"/>
    <col min="77" max="16384" width="12" style="84"/>
  </cols>
  <sheetData>
    <row r="1" spans="1:76" ht="19.5" customHeight="1">
      <c r="A1" s="115" t="s">
        <v>293</v>
      </c>
      <c r="B1" s="117"/>
    </row>
    <row r="2" spans="1:76" ht="19.5" customHeight="1">
      <c r="A2" s="26" t="s">
        <v>117</v>
      </c>
      <c r="B2" s="129"/>
    </row>
    <row r="3" spans="1:76" ht="19.5" customHeight="1">
      <c r="A3" s="410" t="s">
        <v>316</v>
      </c>
      <c r="B3" s="411"/>
      <c r="C3" s="405" t="s">
        <v>294</v>
      </c>
      <c r="D3" s="406"/>
      <c r="E3" s="406"/>
      <c r="F3" s="406"/>
      <c r="G3" s="406"/>
      <c r="H3" s="406"/>
      <c r="I3" s="406"/>
      <c r="J3" s="406"/>
      <c r="K3" s="406"/>
      <c r="L3" s="406"/>
      <c r="M3" s="406"/>
      <c r="N3" s="406"/>
      <c r="O3" s="406"/>
      <c r="P3" s="406"/>
      <c r="Q3" s="406"/>
      <c r="R3" s="406"/>
      <c r="S3" s="406"/>
      <c r="T3" s="406"/>
      <c r="U3" s="406"/>
      <c r="V3" s="406"/>
      <c r="W3" s="406"/>
      <c r="X3" s="406"/>
      <c r="Y3" s="406"/>
      <c r="Z3" s="406"/>
      <c r="AA3" s="406"/>
      <c r="AB3" s="406"/>
      <c r="AC3" s="406"/>
      <c r="AD3" s="406"/>
      <c r="AE3" s="406"/>
      <c r="AF3" s="406"/>
      <c r="AG3" s="406"/>
      <c r="AH3" s="406"/>
      <c r="AI3" s="406"/>
      <c r="AJ3" s="406"/>
      <c r="AK3" s="406"/>
      <c r="AL3" s="406"/>
      <c r="AM3" s="407"/>
      <c r="AN3" s="405" t="s">
        <v>295</v>
      </c>
      <c r="AO3" s="406"/>
      <c r="AP3" s="406"/>
      <c r="AQ3" s="406"/>
      <c r="AR3" s="406"/>
      <c r="AS3" s="406"/>
      <c r="AT3" s="406"/>
      <c r="AU3" s="406"/>
      <c r="AV3" s="406"/>
      <c r="AW3" s="406"/>
      <c r="AX3" s="406"/>
      <c r="AY3" s="406"/>
      <c r="AZ3" s="406"/>
      <c r="BA3" s="406"/>
      <c r="BB3" s="406"/>
      <c r="BC3" s="406"/>
      <c r="BD3" s="406"/>
      <c r="BE3" s="406"/>
      <c r="BF3" s="406"/>
      <c r="BG3" s="406"/>
      <c r="BH3" s="406"/>
      <c r="BI3" s="406"/>
      <c r="BJ3" s="406"/>
      <c r="BK3" s="406"/>
      <c r="BL3" s="406"/>
      <c r="BM3" s="406"/>
      <c r="BN3" s="406"/>
      <c r="BO3" s="406"/>
      <c r="BP3" s="406"/>
      <c r="BQ3" s="406"/>
      <c r="BR3" s="406"/>
      <c r="BS3" s="406"/>
      <c r="BT3" s="406"/>
      <c r="BU3" s="406"/>
      <c r="BV3" s="406"/>
      <c r="BW3" s="406"/>
      <c r="BX3" s="406"/>
    </row>
    <row r="4" spans="1:76" s="82" customFormat="1" ht="19.5" customHeight="1">
      <c r="A4" s="412"/>
      <c r="B4" s="413"/>
      <c r="C4" s="416" t="s">
        <v>296</v>
      </c>
      <c r="D4" s="405" t="s">
        <v>297</v>
      </c>
      <c r="E4" s="406"/>
      <c r="F4" s="406"/>
      <c r="G4" s="406"/>
      <c r="H4" s="406"/>
      <c r="I4" s="406"/>
      <c r="J4" s="406"/>
      <c r="K4" s="406"/>
      <c r="L4" s="406"/>
      <c r="M4" s="406"/>
      <c r="N4" s="406"/>
      <c r="O4" s="407"/>
      <c r="P4" s="419" t="s">
        <v>298</v>
      </c>
      <c r="Q4" s="419"/>
      <c r="R4" s="419"/>
      <c r="S4" s="419"/>
      <c r="T4" s="419"/>
      <c r="U4" s="419"/>
      <c r="V4" s="419"/>
      <c r="W4" s="419"/>
      <c r="X4" s="419"/>
      <c r="Y4" s="419"/>
      <c r="Z4" s="419"/>
      <c r="AA4" s="419"/>
      <c r="AB4" s="419" t="s">
        <v>299</v>
      </c>
      <c r="AC4" s="419"/>
      <c r="AD4" s="419"/>
      <c r="AE4" s="419"/>
      <c r="AF4" s="419"/>
      <c r="AG4" s="419"/>
      <c r="AH4" s="419"/>
      <c r="AI4" s="419"/>
      <c r="AJ4" s="419"/>
      <c r="AK4" s="419"/>
      <c r="AL4" s="419"/>
      <c r="AM4" s="419"/>
      <c r="AN4" s="417" t="s">
        <v>300</v>
      </c>
      <c r="AO4" s="405" t="s">
        <v>297</v>
      </c>
      <c r="AP4" s="406"/>
      <c r="AQ4" s="406"/>
      <c r="AR4" s="406"/>
      <c r="AS4" s="406"/>
      <c r="AT4" s="406"/>
      <c r="AU4" s="406"/>
      <c r="AV4" s="406"/>
      <c r="AW4" s="406"/>
      <c r="AX4" s="406"/>
      <c r="AY4" s="406"/>
      <c r="AZ4" s="407"/>
      <c r="BA4" s="405" t="s">
        <v>301</v>
      </c>
      <c r="BB4" s="406"/>
      <c r="BC4" s="406"/>
      <c r="BD4" s="406"/>
      <c r="BE4" s="406"/>
      <c r="BF4" s="406"/>
      <c r="BG4" s="406"/>
      <c r="BH4" s="406"/>
      <c r="BI4" s="406"/>
      <c r="BJ4" s="406"/>
      <c r="BK4" s="406"/>
      <c r="BL4" s="407"/>
      <c r="BM4" s="405" t="s">
        <v>302</v>
      </c>
      <c r="BN4" s="406"/>
      <c r="BO4" s="406"/>
      <c r="BP4" s="406"/>
      <c r="BQ4" s="406"/>
      <c r="BR4" s="406"/>
      <c r="BS4" s="406"/>
      <c r="BT4" s="406"/>
      <c r="BU4" s="406"/>
      <c r="BV4" s="406"/>
      <c r="BW4" s="406"/>
      <c r="BX4" s="406"/>
    </row>
    <row r="5" spans="1:76" s="83" customFormat="1" ht="27" customHeight="1">
      <c r="A5" s="412"/>
      <c r="B5" s="413"/>
      <c r="C5" s="417"/>
      <c r="D5" s="130" t="s">
        <v>303</v>
      </c>
      <c r="E5" s="131"/>
      <c r="F5" s="132"/>
      <c r="G5" s="420" t="s">
        <v>304</v>
      </c>
      <c r="H5" s="420"/>
      <c r="I5" s="420"/>
      <c r="J5" s="420" t="s">
        <v>305</v>
      </c>
      <c r="K5" s="420"/>
      <c r="L5" s="420"/>
      <c r="M5" s="420" t="s">
        <v>306</v>
      </c>
      <c r="N5" s="420"/>
      <c r="O5" s="420"/>
      <c r="P5" s="130" t="s">
        <v>303</v>
      </c>
      <c r="Q5" s="131"/>
      <c r="R5" s="132"/>
      <c r="S5" s="420" t="s">
        <v>304</v>
      </c>
      <c r="T5" s="420"/>
      <c r="U5" s="420"/>
      <c r="V5" s="420" t="s">
        <v>305</v>
      </c>
      <c r="W5" s="420"/>
      <c r="X5" s="420"/>
      <c r="Y5" s="420" t="s">
        <v>306</v>
      </c>
      <c r="Z5" s="420"/>
      <c r="AA5" s="420"/>
      <c r="AB5" s="130" t="s">
        <v>303</v>
      </c>
      <c r="AC5" s="131"/>
      <c r="AD5" s="132"/>
      <c r="AE5" s="420" t="s">
        <v>304</v>
      </c>
      <c r="AF5" s="420"/>
      <c r="AG5" s="420"/>
      <c r="AH5" s="420" t="s">
        <v>305</v>
      </c>
      <c r="AI5" s="420"/>
      <c r="AJ5" s="420"/>
      <c r="AK5" s="420" t="s">
        <v>306</v>
      </c>
      <c r="AL5" s="420"/>
      <c r="AM5" s="420"/>
      <c r="AN5" s="417"/>
      <c r="AO5" s="130" t="s">
        <v>303</v>
      </c>
      <c r="AP5" s="131"/>
      <c r="AQ5" s="132"/>
      <c r="AR5" s="420" t="s">
        <v>304</v>
      </c>
      <c r="AS5" s="420"/>
      <c r="AT5" s="420"/>
      <c r="AU5" s="420" t="s">
        <v>305</v>
      </c>
      <c r="AV5" s="420"/>
      <c r="AW5" s="420"/>
      <c r="AX5" s="420" t="s">
        <v>306</v>
      </c>
      <c r="AY5" s="420"/>
      <c r="AZ5" s="420"/>
      <c r="BA5" s="130" t="s">
        <v>303</v>
      </c>
      <c r="BB5" s="133"/>
      <c r="BC5" s="132"/>
      <c r="BD5" s="420" t="s">
        <v>304</v>
      </c>
      <c r="BE5" s="420"/>
      <c r="BF5" s="420"/>
      <c r="BG5" s="420" t="s">
        <v>305</v>
      </c>
      <c r="BH5" s="420"/>
      <c r="BI5" s="420"/>
      <c r="BJ5" s="420" t="s">
        <v>306</v>
      </c>
      <c r="BK5" s="420"/>
      <c r="BL5" s="420"/>
      <c r="BM5" s="130" t="s">
        <v>303</v>
      </c>
      <c r="BN5" s="133"/>
      <c r="BO5" s="132"/>
      <c r="BP5" s="420" t="s">
        <v>304</v>
      </c>
      <c r="BQ5" s="420"/>
      <c r="BR5" s="420"/>
      <c r="BS5" s="420" t="s">
        <v>305</v>
      </c>
      <c r="BT5" s="420"/>
      <c r="BU5" s="420"/>
      <c r="BV5" s="420" t="s">
        <v>306</v>
      </c>
      <c r="BW5" s="420"/>
      <c r="BX5" s="422"/>
    </row>
    <row r="6" spans="1:76" ht="19.5" customHeight="1">
      <c r="A6" s="412"/>
      <c r="B6" s="413"/>
      <c r="C6" s="417"/>
      <c r="D6" s="416" t="s">
        <v>307</v>
      </c>
      <c r="E6" s="416" t="s">
        <v>308</v>
      </c>
      <c r="F6" s="416" t="s">
        <v>309</v>
      </c>
      <c r="G6" s="416" t="s">
        <v>307</v>
      </c>
      <c r="H6" s="416" t="s">
        <v>308</v>
      </c>
      <c r="I6" s="416" t="s">
        <v>309</v>
      </c>
      <c r="J6" s="416" t="s">
        <v>307</v>
      </c>
      <c r="K6" s="416" t="s">
        <v>308</v>
      </c>
      <c r="L6" s="416" t="s">
        <v>309</v>
      </c>
      <c r="M6" s="416" t="s">
        <v>307</v>
      </c>
      <c r="N6" s="416" t="s">
        <v>308</v>
      </c>
      <c r="O6" s="416" t="s">
        <v>309</v>
      </c>
      <c r="P6" s="416" t="s">
        <v>307</v>
      </c>
      <c r="Q6" s="416" t="s">
        <v>308</v>
      </c>
      <c r="R6" s="416" t="s">
        <v>309</v>
      </c>
      <c r="S6" s="416" t="s">
        <v>307</v>
      </c>
      <c r="T6" s="416" t="s">
        <v>308</v>
      </c>
      <c r="U6" s="416" t="s">
        <v>309</v>
      </c>
      <c r="V6" s="416" t="s">
        <v>307</v>
      </c>
      <c r="W6" s="416" t="s">
        <v>308</v>
      </c>
      <c r="X6" s="416" t="s">
        <v>309</v>
      </c>
      <c r="Y6" s="416" t="s">
        <v>307</v>
      </c>
      <c r="Z6" s="416" t="s">
        <v>308</v>
      </c>
      <c r="AA6" s="416" t="s">
        <v>309</v>
      </c>
      <c r="AB6" s="416" t="s">
        <v>307</v>
      </c>
      <c r="AC6" s="416" t="s">
        <v>308</v>
      </c>
      <c r="AD6" s="416" t="s">
        <v>309</v>
      </c>
      <c r="AE6" s="416" t="s">
        <v>307</v>
      </c>
      <c r="AF6" s="416" t="s">
        <v>308</v>
      </c>
      <c r="AG6" s="416" t="s">
        <v>309</v>
      </c>
      <c r="AH6" s="416" t="s">
        <v>307</v>
      </c>
      <c r="AI6" s="416" t="s">
        <v>308</v>
      </c>
      <c r="AJ6" s="416" t="s">
        <v>309</v>
      </c>
      <c r="AK6" s="416" t="s">
        <v>307</v>
      </c>
      <c r="AL6" s="416" t="s">
        <v>308</v>
      </c>
      <c r="AM6" s="416" t="s">
        <v>309</v>
      </c>
      <c r="AN6" s="417"/>
      <c r="AO6" s="416" t="s">
        <v>307</v>
      </c>
      <c r="AP6" s="416" t="s">
        <v>308</v>
      </c>
      <c r="AQ6" s="416" t="s">
        <v>309</v>
      </c>
      <c r="AR6" s="416" t="s">
        <v>307</v>
      </c>
      <c r="AS6" s="416" t="s">
        <v>308</v>
      </c>
      <c r="AT6" s="416" t="s">
        <v>309</v>
      </c>
      <c r="AU6" s="416" t="s">
        <v>307</v>
      </c>
      <c r="AV6" s="416" t="s">
        <v>308</v>
      </c>
      <c r="AW6" s="416" t="s">
        <v>309</v>
      </c>
      <c r="AX6" s="416" t="s">
        <v>307</v>
      </c>
      <c r="AY6" s="416" t="s">
        <v>308</v>
      </c>
      <c r="AZ6" s="416" t="s">
        <v>309</v>
      </c>
      <c r="BA6" s="416" t="s">
        <v>307</v>
      </c>
      <c r="BB6" s="416" t="s">
        <v>308</v>
      </c>
      <c r="BC6" s="416" t="s">
        <v>309</v>
      </c>
      <c r="BD6" s="416" t="s">
        <v>307</v>
      </c>
      <c r="BE6" s="416" t="s">
        <v>308</v>
      </c>
      <c r="BF6" s="416" t="s">
        <v>309</v>
      </c>
      <c r="BG6" s="416" t="s">
        <v>307</v>
      </c>
      <c r="BH6" s="416" t="s">
        <v>308</v>
      </c>
      <c r="BI6" s="416" t="s">
        <v>309</v>
      </c>
      <c r="BJ6" s="416" t="s">
        <v>307</v>
      </c>
      <c r="BK6" s="416" t="s">
        <v>308</v>
      </c>
      <c r="BL6" s="416" t="s">
        <v>309</v>
      </c>
      <c r="BM6" s="416" t="s">
        <v>307</v>
      </c>
      <c r="BN6" s="416" t="s">
        <v>308</v>
      </c>
      <c r="BO6" s="416" t="s">
        <v>309</v>
      </c>
      <c r="BP6" s="416" t="s">
        <v>307</v>
      </c>
      <c r="BQ6" s="416" t="s">
        <v>308</v>
      </c>
      <c r="BR6" s="416" t="s">
        <v>309</v>
      </c>
      <c r="BS6" s="416" t="s">
        <v>307</v>
      </c>
      <c r="BT6" s="416" t="s">
        <v>308</v>
      </c>
      <c r="BU6" s="416" t="s">
        <v>309</v>
      </c>
      <c r="BV6" s="416" t="s">
        <v>307</v>
      </c>
      <c r="BW6" s="416" t="s">
        <v>308</v>
      </c>
      <c r="BX6" s="423" t="s">
        <v>309</v>
      </c>
    </row>
    <row r="7" spans="1:76" ht="19.5" customHeight="1">
      <c r="A7" s="414"/>
      <c r="B7" s="415"/>
      <c r="C7" s="418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421"/>
      <c r="S7" s="421"/>
      <c r="T7" s="421"/>
      <c r="U7" s="421"/>
      <c r="V7" s="421"/>
      <c r="W7" s="421"/>
      <c r="X7" s="421"/>
      <c r="Y7" s="421"/>
      <c r="Z7" s="421"/>
      <c r="AA7" s="421"/>
      <c r="AB7" s="421"/>
      <c r="AC7" s="421"/>
      <c r="AD7" s="421"/>
      <c r="AE7" s="421"/>
      <c r="AF7" s="421"/>
      <c r="AG7" s="421"/>
      <c r="AH7" s="421"/>
      <c r="AI7" s="421"/>
      <c r="AJ7" s="421"/>
      <c r="AK7" s="421"/>
      <c r="AL7" s="421"/>
      <c r="AM7" s="421"/>
      <c r="AN7" s="418"/>
      <c r="AO7" s="421"/>
      <c r="AP7" s="421"/>
      <c r="AQ7" s="421"/>
      <c r="AR7" s="421"/>
      <c r="AS7" s="421"/>
      <c r="AT7" s="421"/>
      <c r="AU7" s="421"/>
      <c r="AV7" s="421"/>
      <c r="AW7" s="421"/>
      <c r="AX7" s="421"/>
      <c r="AY7" s="421"/>
      <c r="AZ7" s="421"/>
      <c r="BA7" s="421"/>
      <c r="BB7" s="421"/>
      <c r="BC7" s="421"/>
      <c r="BD7" s="421"/>
      <c r="BE7" s="421"/>
      <c r="BF7" s="421"/>
      <c r="BG7" s="421"/>
      <c r="BH7" s="421"/>
      <c r="BI7" s="421"/>
      <c r="BJ7" s="421"/>
      <c r="BK7" s="421"/>
      <c r="BL7" s="421"/>
      <c r="BM7" s="421"/>
      <c r="BN7" s="421"/>
      <c r="BO7" s="421"/>
      <c r="BP7" s="421"/>
      <c r="BQ7" s="421"/>
      <c r="BR7" s="421"/>
      <c r="BS7" s="421"/>
      <c r="BT7" s="421"/>
      <c r="BU7" s="421"/>
      <c r="BV7" s="421"/>
      <c r="BW7" s="421"/>
      <c r="BX7" s="424"/>
    </row>
    <row r="8" spans="1:76" s="123" customFormat="1" ht="15.6" customHeight="1">
      <c r="A8" s="134" t="s">
        <v>292</v>
      </c>
      <c r="B8" s="121" t="s">
        <v>199</v>
      </c>
      <c r="C8" s="41">
        <v>26</v>
      </c>
      <c r="D8" s="41">
        <v>387</v>
      </c>
      <c r="E8" s="41">
        <v>122</v>
      </c>
      <c r="F8" s="41">
        <v>265</v>
      </c>
      <c r="G8" s="41">
        <v>16</v>
      </c>
      <c r="H8" s="41">
        <v>9</v>
      </c>
      <c r="I8" s="41">
        <v>7</v>
      </c>
      <c r="J8" s="41">
        <v>18</v>
      </c>
      <c r="K8" s="41">
        <v>7</v>
      </c>
      <c r="L8" s="41">
        <v>11</v>
      </c>
      <c r="M8" s="41">
        <v>353</v>
      </c>
      <c r="N8" s="41">
        <v>106</v>
      </c>
      <c r="O8" s="41">
        <v>247</v>
      </c>
      <c r="P8" s="41">
        <v>67584</v>
      </c>
      <c r="Q8" s="41">
        <v>22061</v>
      </c>
      <c r="R8" s="41">
        <v>45523</v>
      </c>
      <c r="S8" s="41">
        <v>2101</v>
      </c>
      <c r="T8" s="41">
        <v>1158</v>
      </c>
      <c r="U8" s="41">
        <v>943</v>
      </c>
      <c r="V8" s="41">
        <v>3802</v>
      </c>
      <c r="W8" s="41">
        <v>1378</v>
      </c>
      <c r="X8" s="41">
        <v>2424</v>
      </c>
      <c r="Y8" s="41">
        <v>61681</v>
      </c>
      <c r="Z8" s="41">
        <v>19525</v>
      </c>
      <c r="AA8" s="41">
        <v>42156</v>
      </c>
      <c r="AB8" s="41">
        <v>492355.2</v>
      </c>
      <c r="AC8" s="41">
        <v>161721.79999999999</v>
      </c>
      <c r="AD8" s="41">
        <v>330633.40000000002</v>
      </c>
      <c r="AE8" s="41">
        <v>15690</v>
      </c>
      <c r="AF8" s="41">
        <v>9182</v>
      </c>
      <c r="AG8" s="41">
        <v>6508</v>
      </c>
      <c r="AH8" s="41">
        <v>28560</v>
      </c>
      <c r="AI8" s="41">
        <v>10310</v>
      </c>
      <c r="AJ8" s="41">
        <v>18250</v>
      </c>
      <c r="AK8" s="41">
        <v>448105.2</v>
      </c>
      <c r="AL8" s="41">
        <v>142229.79999999999</v>
      </c>
      <c r="AM8" s="41">
        <v>305875.40000000002</v>
      </c>
      <c r="AN8" s="41">
        <v>120</v>
      </c>
      <c r="AO8" s="41">
        <v>1927</v>
      </c>
      <c r="AP8" s="41">
        <v>674</v>
      </c>
      <c r="AQ8" s="41">
        <v>1253</v>
      </c>
      <c r="AR8" s="41">
        <v>157</v>
      </c>
      <c r="AS8" s="41">
        <v>71</v>
      </c>
      <c r="AT8" s="41">
        <v>86</v>
      </c>
      <c r="AU8" s="41">
        <v>114</v>
      </c>
      <c r="AV8" s="41">
        <v>55</v>
      </c>
      <c r="AW8" s="41">
        <v>59</v>
      </c>
      <c r="AX8" s="41">
        <v>1656</v>
      </c>
      <c r="AY8" s="41">
        <v>548</v>
      </c>
      <c r="AZ8" s="41">
        <v>1108</v>
      </c>
      <c r="BA8" s="41">
        <v>396609</v>
      </c>
      <c r="BB8" s="41">
        <v>133038</v>
      </c>
      <c r="BC8" s="41">
        <v>263571</v>
      </c>
      <c r="BD8" s="41">
        <v>30230</v>
      </c>
      <c r="BE8" s="41">
        <v>13179</v>
      </c>
      <c r="BF8" s="41">
        <v>17051</v>
      </c>
      <c r="BG8" s="41">
        <v>22969</v>
      </c>
      <c r="BH8" s="41">
        <v>9564</v>
      </c>
      <c r="BI8" s="41">
        <v>13405</v>
      </c>
      <c r="BJ8" s="41">
        <v>343410</v>
      </c>
      <c r="BK8" s="41">
        <v>110295</v>
      </c>
      <c r="BL8" s="41">
        <v>233115</v>
      </c>
      <c r="BM8" s="41">
        <v>3012567.1</v>
      </c>
      <c r="BN8" s="41">
        <v>998605.7</v>
      </c>
      <c r="BO8" s="41">
        <v>2013961.4</v>
      </c>
      <c r="BP8" s="41">
        <v>220351.2</v>
      </c>
      <c r="BQ8" s="41">
        <v>91246.399999999994</v>
      </c>
      <c r="BR8" s="41">
        <v>129104.8</v>
      </c>
      <c r="BS8" s="41">
        <v>173741.1</v>
      </c>
      <c r="BT8" s="41">
        <v>72842.5</v>
      </c>
      <c r="BU8" s="41">
        <v>100898.6</v>
      </c>
      <c r="BV8" s="41">
        <v>2618474.7999999998</v>
      </c>
      <c r="BW8" s="41">
        <v>834516.8</v>
      </c>
      <c r="BX8" s="41">
        <v>1783958</v>
      </c>
    </row>
    <row r="9" spans="1:76" s="126" customFormat="1" ht="15.6" customHeight="1">
      <c r="A9" s="49" t="s">
        <v>147</v>
      </c>
      <c r="B9" s="124" t="s">
        <v>318</v>
      </c>
      <c r="C9" s="41">
        <v>1</v>
      </c>
      <c r="D9" s="41">
        <v>33</v>
      </c>
      <c r="E9" s="41">
        <v>11</v>
      </c>
      <c r="F9" s="41">
        <v>22</v>
      </c>
      <c r="G9" s="41">
        <v>0</v>
      </c>
      <c r="H9" s="41">
        <v>0</v>
      </c>
      <c r="I9" s="41">
        <v>0</v>
      </c>
      <c r="J9" s="41">
        <v>0</v>
      </c>
      <c r="K9" s="41">
        <v>0</v>
      </c>
      <c r="L9" s="41">
        <v>0</v>
      </c>
      <c r="M9" s="41">
        <v>33</v>
      </c>
      <c r="N9" s="41">
        <v>11</v>
      </c>
      <c r="O9" s="41">
        <v>22</v>
      </c>
      <c r="P9" s="41">
        <v>9271</v>
      </c>
      <c r="Q9" s="41">
        <v>3294</v>
      </c>
      <c r="R9" s="41">
        <v>5977</v>
      </c>
      <c r="S9" s="41">
        <v>0</v>
      </c>
      <c r="T9" s="41">
        <v>0</v>
      </c>
      <c r="U9" s="41">
        <v>0</v>
      </c>
      <c r="V9" s="41">
        <v>110</v>
      </c>
      <c r="W9" s="41">
        <v>110</v>
      </c>
      <c r="X9" s="41">
        <v>0</v>
      </c>
      <c r="Y9" s="41">
        <v>9161</v>
      </c>
      <c r="Z9" s="41">
        <v>3184</v>
      </c>
      <c r="AA9" s="41">
        <v>5977</v>
      </c>
      <c r="AB9" s="41">
        <v>73874</v>
      </c>
      <c r="AC9" s="41">
        <v>26276</v>
      </c>
      <c r="AD9" s="41">
        <v>47598</v>
      </c>
      <c r="AE9" s="41">
        <v>0</v>
      </c>
      <c r="AF9" s="41">
        <v>0</v>
      </c>
      <c r="AG9" s="41">
        <v>0</v>
      </c>
      <c r="AH9" s="41">
        <v>880</v>
      </c>
      <c r="AI9" s="41">
        <v>880</v>
      </c>
      <c r="AJ9" s="41">
        <v>0</v>
      </c>
      <c r="AK9" s="41">
        <v>72994</v>
      </c>
      <c r="AL9" s="41">
        <v>25396</v>
      </c>
      <c r="AM9" s="41">
        <v>47598</v>
      </c>
      <c r="AN9" s="41">
        <v>16</v>
      </c>
      <c r="AO9" s="41">
        <v>183</v>
      </c>
      <c r="AP9" s="41">
        <v>71</v>
      </c>
      <c r="AQ9" s="41">
        <v>112</v>
      </c>
      <c r="AR9" s="41">
        <v>7</v>
      </c>
      <c r="AS9" s="41">
        <v>3</v>
      </c>
      <c r="AT9" s="41">
        <v>4</v>
      </c>
      <c r="AU9" s="41">
        <v>1</v>
      </c>
      <c r="AV9" s="41">
        <v>0</v>
      </c>
      <c r="AW9" s="41">
        <v>1</v>
      </c>
      <c r="AX9" s="41">
        <v>175</v>
      </c>
      <c r="AY9" s="41">
        <v>68</v>
      </c>
      <c r="AZ9" s="41">
        <v>107</v>
      </c>
      <c r="BA9" s="41">
        <v>35354</v>
      </c>
      <c r="BB9" s="41">
        <v>14782</v>
      </c>
      <c r="BC9" s="41">
        <v>20572</v>
      </c>
      <c r="BD9" s="41">
        <v>1188</v>
      </c>
      <c r="BE9" s="41">
        <v>462</v>
      </c>
      <c r="BF9" s="41">
        <v>726</v>
      </c>
      <c r="BG9" s="41">
        <v>365</v>
      </c>
      <c r="BH9" s="41">
        <v>198</v>
      </c>
      <c r="BI9" s="41">
        <v>167</v>
      </c>
      <c r="BJ9" s="41">
        <v>33801</v>
      </c>
      <c r="BK9" s="41">
        <v>14122</v>
      </c>
      <c r="BL9" s="41">
        <v>19679</v>
      </c>
      <c r="BM9" s="41">
        <v>281176</v>
      </c>
      <c r="BN9" s="41">
        <v>118256</v>
      </c>
      <c r="BO9" s="41">
        <v>162920</v>
      </c>
      <c r="BP9" s="41">
        <v>9504</v>
      </c>
      <c r="BQ9" s="41">
        <v>3696</v>
      </c>
      <c r="BR9" s="41">
        <v>5808</v>
      </c>
      <c r="BS9" s="41">
        <v>2920</v>
      </c>
      <c r="BT9" s="41">
        <v>1584</v>
      </c>
      <c r="BU9" s="41">
        <v>1336</v>
      </c>
      <c r="BV9" s="41">
        <v>268752</v>
      </c>
      <c r="BW9" s="41">
        <v>112976</v>
      </c>
      <c r="BX9" s="41">
        <v>155776</v>
      </c>
    </row>
    <row r="10" spans="1:76" s="126" customFormat="1" ht="15.6" customHeight="1">
      <c r="A10" s="49" t="s">
        <v>148</v>
      </c>
      <c r="B10" s="124" t="s">
        <v>3</v>
      </c>
      <c r="C10" s="41">
        <v>2</v>
      </c>
      <c r="D10" s="41">
        <v>85</v>
      </c>
      <c r="E10" s="41">
        <v>24</v>
      </c>
      <c r="F10" s="41">
        <v>61</v>
      </c>
      <c r="G10" s="41">
        <v>3</v>
      </c>
      <c r="H10" s="41">
        <v>2</v>
      </c>
      <c r="I10" s="41">
        <v>1</v>
      </c>
      <c r="J10" s="41">
        <v>1</v>
      </c>
      <c r="K10" s="41">
        <v>0</v>
      </c>
      <c r="L10" s="41">
        <v>1</v>
      </c>
      <c r="M10" s="41">
        <v>81</v>
      </c>
      <c r="N10" s="41">
        <v>22</v>
      </c>
      <c r="O10" s="41">
        <v>59</v>
      </c>
      <c r="P10" s="41">
        <v>7785</v>
      </c>
      <c r="Q10" s="41">
        <v>2435</v>
      </c>
      <c r="R10" s="41">
        <v>5350</v>
      </c>
      <c r="S10" s="41">
        <v>92</v>
      </c>
      <c r="T10" s="41">
        <v>68</v>
      </c>
      <c r="U10" s="41">
        <v>24</v>
      </c>
      <c r="V10" s="41">
        <v>45</v>
      </c>
      <c r="W10" s="41">
        <v>0</v>
      </c>
      <c r="X10" s="41">
        <v>45</v>
      </c>
      <c r="Y10" s="41">
        <v>7648</v>
      </c>
      <c r="Z10" s="41">
        <v>2367</v>
      </c>
      <c r="AA10" s="41">
        <v>5281</v>
      </c>
      <c r="AB10" s="41">
        <v>66652</v>
      </c>
      <c r="AC10" s="41">
        <v>20223</v>
      </c>
      <c r="AD10" s="41">
        <v>46429</v>
      </c>
      <c r="AE10" s="41">
        <v>900</v>
      </c>
      <c r="AF10" s="41">
        <v>684</v>
      </c>
      <c r="AG10" s="41">
        <v>216</v>
      </c>
      <c r="AH10" s="41">
        <v>360</v>
      </c>
      <c r="AI10" s="41">
        <v>0</v>
      </c>
      <c r="AJ10" s="41">
        <v>360</v>
      </c>
      <c r="AK10" s="41">
        <v>65392</v>
      </c>
      <c r="AL10" s="41">
        <v>19539</v>
      </c>
      <c r="AM10" s="41">
        <v>45853</v>
      </c>
      <c r="AN10" s="41">
        <v>13</v>
      </c>
      <c r="AO10" s="41">
        <v>232</v>
      </c>
      <c r="AP10" s="41">
        <v>69</v>
      </c>
      <c r="AQ10" s="41">
        <v>163</v>
      </c>
      <c r="AR10" s="41">
        <v>4</v>
      </c>
      <c r="AS10" s="41">
        <v>1</v>
      </c>
      <c r="AT10" s="41">
        <v>3</v>
      </c>
      <c r="AU10" s="41">
        <v>11</v>
      </c>
      <c r="AV10" s="41">
        <v>5</v>
      </c>
      <c r="AW10" s="41">
        <v>6</v>
      </c>
      <c r="AX10" s="41">
        <v>217</v>
      </c>
      <c r="AY10" s="41">
        <v>63</v>
      </c>
      <c r="AZ10" s="41">
        <v>154</v>
      </c>
      <c r="BA10" s="41">
        <v>61352</v>
      </c>
      <c r="BB10" s="41">
        <v>18226</v>
      </c>
      <c r="BC10" s="41">
        <v>43126</v>
      </c>
      <c r="BD10" s="41">
        <v>1818</v>
      </c>
      <c r="BE10" s="41">
        <v>684</v>
      </c>
      <c r="BF10" s="41">
        <v>1134</v>
      </c>
      <c r="BG10" s="41">
        <v>3086</v>
      </c>
      <c r="BH10" s="41">
        <v>1070</v>
      </c>
      <c r="BI10" s="41">
        <v>2016</v>
      </c>
      <c r="BJ10" s="41">
        <v>56448</v>
      </c>
      <c r="BK10" s="41">
        <v>16472</v>
      </c>
      <c r="BL10" s="41">
        <v>39976</v>
      </c>
      <c r="BM10" s="41">
        <v>483138</v>
      </c>
      <c r="BN10" s="41">
        <v>147076</v>
      </c>
      <c r="BO10" s="41">
        <v>336062</v>
      </c>
      <c r="BP10" s="41">
        <v>14638</v>
      </c>
      <c r="BQ10" s="41">
        <v>5508</v>
      </c>
      <c r="BR10" s="41">
        <v>9130</v>
      </c>
      <c r="BS10" s="41">
        <v>24846</v>
      </c>
      <c r="BT10" s="41">
        <v>8667</v>
      </c>
      <c r="BU10" s="41">
        <v>16179</v>
      </c>
      <c r="BV10" s="41">
        <v>443654</v>
      </c>
      <c r="BW10" s="41">
        <v>132901</v>
      </c>
      <c r="BX10" s="41">
        <v>310753</v>
      </c>
    </row>
    <row r="11" spans="1:76" s="126" customFormat="1" ht="15.6" customHeight="1">
      <c r="A11" s="49" t="s">
        <v>149</v>
      </c>
      <c r="B11" s="124" t="s">
        <v>4</v>
      </c>
      <c r="C11" s="41">
        <v>3</v>
      </c>
      <c r="D11" s="41">
        <v>45</v>
      </c>
      <c r="E11" s="41">
        <v>15</v>
      </c>
      <c r="F11" s="41">
        <v>30</v>
      </c>
      <c r="G11" s="41">
        <v>3</v>
      </c>
      <c r="H11" s="41">
        <v>1</v>
      </c>
      <c r="I11" s="41">
        <v>2</v>
      </c>
      <c r="J11" s="41">
        <v>3</v>
      </c>
      <c r="K11" s="41">
        <v>2</v>
      </c>
      <c r="L11" s="41">
        <v>1</v>
      </c>
      <c r="M11" s="41">
        <v>39</v>
      </c>
      <c r="N11" s="41">
        <v>12</v>
      </c>
      <c r="O11" s="41">
        <v>27</v>
      </c>
      <c r="P11" s="41">
        <v>9501</v>
      </c>
      <c r="Q11" s="41">
        <v>2953</v>
      </c>
      <c r="R11" s="41">
        <v>6548</v>
      </c>
      <c r="S11" s="41">
        <v>810</v>
      </c>
      <c r="T11" s="41">
        <v>339</v>
      </c>
      <c r="U11" s="41">
        <v>471</v>
      </c>
      <c r="V11" s="41">
        <v>935</v>
      </c>
      <c r="W11" s="41">
        <v>442</v>
      </c>
      <c r="X11" s="41">
        <v>493</v>
      </c>
      <c r="Y11" s="41">
        <v>7756</v>
      </c>
      <c r="Z11" s="41">
        <v>2172</v>
      </c>
      <c r="AA11" s="41">
        <v>5584</v>
      </c>
      <c r="AB11" s="41">
        <v>76022</v>
      </c>
      <c r="AC11" s="41">
        <v>23624</v>
      </c>
      <c r="AD11" s="41">
        <v>52398</v>
      </c>
      <c r="AE11" s="41">
        <v>6476</v>
      </c>
      <c r="AF11" s="41">
        <v>2712</v>
      </c>
      <c r="AG11" s="41">
        <v>3764</v>
      </c>
      <c r="AH11" s="41">
        <v>7480</v>
      </c>
      <c r="AI11" s="41">
        <v>3536</v>
      </c>
      <c r="AJ11" s="41">
        <v>3944</v>
      </c>
      <c r="AK11" s="41">
        <v>62066</v>
      </c>
      <c r="AL11" s="41">
        <v>17376</v>
      </c>
      <c r="AM11" s="41">
        <v>44690</v>
      </c>
      <c r="AN11" s="41">
        <v>12</v>
      </c>
      <c r="AO11" s="41">
        <v>274</v>
      </c>
      <c r="AP11" s="41">
        <v>118</v>
      </c>
      <c r="AQ11" s="41">
        <v>156</v>
      </c>
      <c r="AR11" s="41">
        <v>29</v>
      </c>
      <c r="AS11" s="41">
        <v>12</v>
      </c>
      <c r="AT11" s="41">
        <v>17</v>
      </c>
      <c r="AU11" s="41">
        <v>13</v>
      </c>
      <c r="AV11" s="41">
        <v>6</v>
      </c>
      <c r="AW11" s="41">
        <v>7</v>
      </c>
      <c r="AX11" s="41">
        <v>232</v>
      </c>
      <c r="AY11" s="41">
        <v>100</v>
      </c>
      <c r="AZ11" s="41">
        <v>132</v>
      </c>
      <c r="BA11" s="41">
        <v>62069</v>
      </c>
      <c r="BB11" s="41">
        <v>22614</v>
      </c>
      <c r="BC11" s="41">
        <v>39455</v>
      </c>
      <c r="BD11" s="41">
        <v>5318</v>
      </c>
      <c r="BE11" s="41">
        <v>1956</v>
      </c>
      <c r="BF11" s="41">
        <v>3362</v>
      </c>
      <c r="BG11" s="41">
        <v>2255</v>
      </c>
      <c r="BH11" s="41">
        <v>1008</v>
      </c>
      <c r="BI11" s="41">
        <v>1247</v>
      </c>
      <c r="BJ11" s="41">
        <v>54496</v>
      </c>
      <c r="BK11" s="41">
        <v>19650</v>
      </c>
      <c r="BL11" s="41">
        <v>34846</v>
      </c>
      <c r="BM11" s="41">
        <v>485965</v>
      </c>
      <c r="BN11" s="41">
        <v>178713</v>
      </c>
      <c r="BO11" s="41">
        <v>307252</v>
      </c>
      <c r="BP11" s="41">
        <v>42290</v>
      </c>
      <c r="BQ11" s="41">
        <v>15628</v>
      </c>
      <c r="BR11" s="41">
        <v>26662</v>
      </c>
      <c r="BS11" s="41">
        <v>18008</v>
      </c>
      <c r="BT11" s="41">
        <v>8064</v>
      </c>
      <c r="BU11" s="41">
        <v>9944</v>
      </c>
      <c r="BV11" s="41">
        <v>425667</v>
      </c>
      <c r="BW11" s="41">
        <v>155021</v>
      </c>
      <c r="BX11" s="41">
        <v>270646</v>
      </c>
    </row>
    <row r="12" spans="1:76" s="126" customFormat="1" ht="15.6" customHeight="1">
      <c r="A12" s="49" t="s">
        <v>150</v>
      </c>
      <c r="B12" s="124" t="s">
        <v>5</v>
      </c>
      <c r="C12" s="41">
        <v>3</v>
      </c>
      <c r="D12" s="41">
        <v>29</v>
      </c>
      <c r="E12" s="41">
        <v>12</v>
      </c>
      <c r="F12" s="41">
        <v>17</v>
      </c>
      <c r="G12" s="41">
        <v>0</v>
      </c>
      <c r="H12" s="41">
        <v>0</v>
      </c>
      <c r="I12" s="41">
        <v>0</v>
      </c>
      <c r="J12" s="41">
        <v>3</v>
      </c>
      <c r="K12" s="41">
        <v>1</v>
      </c>
      <c r="L12" s="41">
        <v>2</v>
      </c>
      <c r="M12" s="41">
        <v>26</v>
      </c>
      <c r="N12" s="41">
        <v>11</v>
      </c>
      <c r="O12" s="41">
        <v>15</v>
      </c>
      <c r="P12" s="41">
        <v>6077</v>
      </c>
      <c r="Q12" s="41">
        <v>2407</v>
      </c>
      <c r="R12" s="41">
        <v>3670</v>
      </c>
      <c r="S12" s="41">
        <v>0</v>
      </c>
      <c r="T12" s="41">
        <v>0</v>
      </c>
      <c r="U12" s="41">
        <v>0</v>
      </c>
      <c r="V12" s="41">
        <v>832</v>
      </c>
      <c r="W12" s="41">
        <v>247</v>
      </c>
      <c r="X12" s="41">
        <v>585</v>
      </c>
      <c r="Y12" s="41">
        <v>5245</v>
      </c>
      <c r="Z12" s="41">
        <v>2160</v>
      </c>
      <c r="AA12" s="41">
        <v>3085</v>
      </c>
      <c r="AB12" s="41">
        <v>48678</v>
      </c>
      <c r="AC12" s="41">
        <v>19264</v>
      </c>
      <c r="AD12" s="41">
        <v>29414</v>
      </c>
      <c r="AE12" s="41">
        <v>0</v>
      </c>
      <c r="AF12" s="41">
        <v>0</v>
      </c>
      <c r="AG12" s="41">
        <v>0</v>
      </c>
      <c r="AH12" s="41">
        <v>6718</v>
      </c>
      <c r="AI12" s="41">
        <v>1976</v>
      </c>
      <c r="AJ12" s="41">
        <v>4742</v>
      </c>
      <c r="AK12" s="41">
        <v>41960</v>
      </c>
      <c r="AL12" s="41">
        <v>17288</v>
      </c>
      <c r="AM12" s="41">
        <v>24672</v>
      </c>
      <c r="AN12" s="41">
        <v>11</v>
      </c>
      <c r="AO12" s="41">
        <v>161</v>
      </c>
      <c r="AP12" s="41">
        <v>48</v>
      </c>
      <c r="AQ12" s="41">
        <v>113</v>
      </c>
      <c r="AR12" s="41">
        <v>12</v>
      </c>
      <c r="AS12" s="41">
        <v>3</v>
      </c>
      <c r="AT12" s="41">
        <v>9</v>
      </c>
      <c r="AU12" s="41">
        <v>16</v>
      </c>
      <c r="AV12" s="41">
        <v>5</v>
      </c>
      <c r="AW12" s="41">
        <v>11</v>
      </c>
      <c r="AX12" s="41">
        <v>133</v>
      </c>
      <c r="AY12" s="41">
        <v>40</v>
      </c>
      <c r="AZ12" s="41">
        <v>93</v>
      </c>
      <c r="BA12" s="41">
        <v>31480</v>
      </c>
      <c r="BB12" s="41">
        <v>8298</v>
      </c>
      <c r="BC12" s="41">
        <v>23182</v>
      </c>
      <c r="BD12" s="41">
        <v>2532</v>
      </c>
      <c r="BE12" s="41">
        <v>482</v>
      </c>
      <c r="BF12" s="41">
        <v>2050</v>
      </c>
      <c r="BG12" s="41">
        <v>2966</v>
      </c>
      <c r="BH12" s="41">
        <v>954</v>
      </c>
      <c r="BI12" s="41">
        <v>2012</v>
      </c>
      <c r="BJ12" s="41">
        <v>25982</v>
      </c>
      <c r="BK12" s="41">
        <v>6862</v>
      </c>
      <c r="BL12" s="41">
        <v>19120</v>
      </c>
      <c r="BM12" s="41">
        <v>252998</v>
      </c>
      <c r="BN12" s="41">
        <v>66171</v>
      </c>
      <c r="BO12" s="41">
        <v>186827</v>
      </c>
      <c r="BP12" s="41">
        <v>20246</v>
      </c>
      <c r="BQ12" s="41">
        <v>3856</v>
      </c>
      <c r="BR12" s="41">
        <v>16390</v>
      </c>
      <c r="BS12" s="41">
        <v>23896</v>
      </c>
      <c r="BT12" s="41">
        <v>7649</v>
      </c>
      <c r="BU12" s="41">
        <v>16247</v>
      </c>
      <c r="BV12" s="41">
        <v>208856</v>
      </c>
      <c r="BW12" s="41">
        <v>54666</v>
      </c>
      <c r="BX12" s="41">
        <v>154190</v>
      </c>
    </row>
    <row r="13" spans="1:76" s="126" customFormat="1" ht="15.6" customHeight="1">
      <c r="A13" s="49" t="s">
        <v>151</v>
      </c>
      <c r="B13" s="124" t="s">
        <v>6</v>
      </c>
      <c r="C13" s="41">
        <v>1</v>
      </c>
      <c r="D13" s="41">
        <v>2</v>
      </c>
      <c r="E13" s="41">
        <v>0</v>
      </c>
      <c r="F13" s="41">
        <v>2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2</v>
      </c>
      <c r="N13" s="41">
        <v>0</v>
      </c>
      <c r="O13" s="41">
        <v>2</v>
      </c>
      <c r="P13" s="41">
        <v>633</v>
      </c>
      <c r="Q13" s="41">
        <v>171</v>
      </c>
      <c r="R13" s="41">
        <v>462</v>
      </c>
      <c r="S13" s="41">
        <v>47</v>
      </c>
      <c r="T13" s="41">
        <v>47</v>
      </c>
      <c r="U13" s="41">
        <v>0</v>
      </c>
      <c r="V13" s="41">
        <v>38</v>
      </c>
      <c r="W13" s="41">
        <v>17</v>
      </c>
      <c r="X13" s="41">
        <v>21</v>
      </c>
      <c r="Y13" s="41">
        <v>548</v>
      </c>
      <c r="Z13" s="41">
        <v>107</v>
      </c>
      <c r="AA13" s="41">
        <v>441</v>
      </c>
      <c r="AB13" s="41">
        <v>4808</v>
      </c>
      <c r="AC13" s="41">
        <v>1237</v>
      </c>
      <c r="AD13" s="41">
        <v>3571</v>
      </c>
      <c r="AE13" s="41">
        <v>376</v>
      </c>
      <c r="AF13" s="41">
        <v>376</v>
      </c>
      <c r="AG13" s="41">
        <v>0</v>
      </c>
      <c r="AH13" s="41">
        <v>68</v>
      </c>
      <c r="AI13" s="41">
        <v>68</v>
      </c>
      <c r="AJ13" s="41">
        <v>0</v>
      </c>
      <c r="AK13" s="41">
        <v>4364</v>
      </c>
      <c r="AL13" s="41">
        <v>793</v>
      </c>
      <c r="AM13" s="41">
        <v>3571</v>
      </c>
      <c r="AN13" s="41">
        <v>10</v>
      </c>
      <c r="AO13" s="41">
        <v>202</v>
      </c>
      <c r="AP13" s="41">
        <v>67</v>
      </c>
      <c r="AQ13" s="41">
        <v>135</v>
      </c>
      <c r="AR13" s="41">
        <v>13</v>
      </c>
      <c r="AS13" s="41">
        <v>3</v>
      </c>
      <c r="AT13" s="41">
        <v>10</v>
      </c>
      <c r="AU13" s="41">
        <v>14</v>
      </c>
      <c r="AV13" s="41">
        <v>10</v>
      </c>
      <c r="AW13" s="41">
        <v>4</v>
      </c>
      <c r="AX13" s="41">
        <v>175</v>
      </c>
      <c r="AY13" s="41">
        <v>54</v>
      </c>
      <c r="AZ13" s="41">
        <v>121</v>
      </c>
      <c r="BA13" s="41">
        <v>41789</v>
      </c>
      <c r="BB13" s="41">
        <v>13810</v>
      </c>
      <c r="BC13" s="41">
        <v>27979</v>
      </c>
      <c r="BD13" s="41">
        <v>2431</v>
      </c>
      <c r="BE13" s="41">
        <v>810</v>
      </c>
      <c r="BF13" s="41">
        <v>1621</v>
      </c>
      <c r="BG13" s="41">
        <v>3236</v>
      </c>
      <c r="BH13" s="41">
        <v>1894</v>
      </c>
      <c r="BI13" s="41">
        <v>1342</v>
      </c>
      <c r="BJ13" s="41">
        <v>36122</v>
      </c>
      <c r="BK13" s="41">
        <v>11106</v>
      </c>
      <c r="BL13" s="41">
        <v>25016</v>
      </c>
      <c r="BM13" s="41">
        <v>410003</v>
      </c>
      <c r="BN13" s="41">
        <v>129551</v>
      </c>
      <c r="BO13" s="41">
        <v>280452</v>
      </c>
      <c r="BP13" s="41">
        <v>25308</v>
      </c>
      <c r="BQ13" s="41">
        <v>7425</v>
      </c>
      <c r="BR13" s="41">
        <v>17883</v>
      </c>
      <c r="BS13" s="41">
        <v>28836</v>
      </c>
      <c r="BT13" s="41">
        <v>16465</v>
      </c>
      <c r="BU13" s="41">
        <v>12371</v>
      </c>
      <c r="BV13" s="41">
        <v>355859</v>
      </c>
      <c r="BW13" s="41">
        <v>105661</v>
      </c>
      <c r="BX13" s="41">
        <v>250198</v>
      </c>
    </row>
    <row r="14" spans="1:76" s="126" customFormat="1" ht="15.6" customHeight="1">
      <c r="A14" s="50" t="s">
        <v>152</v>
      </c>
      <c r="B14" s="124" t="s">
        <v>7</v>
      </c>
      <c r="C14" s="20">
        <v>1</v>
      </c>
      <c r="D14" s="20">
        <v>14</v>
      </c>
      <c r="E14" s="20">
        <v>4</v>
      </c>
      <c r="F14" s="20">
        <v>10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14</v>
      </c>
      <c r="N14" s="20">
        <v>4</v>
      </c>
      <c r="O14" s="20">
        <v>10</v>
      </c>
      <c r="P14" s="20">
        <v>2900</v>
      </c>
      <c r="Q14" s="20">
        <v>715</v>
      </c>
      <c r="R14" s="20">
        <v>2185</v>
      </c>
      <c r="S14" s="20">
        <v>44</v>
      </c>
      <c r="T14" s="20">
        <v>22</v>
      </c>
      <c r="U14" s="20">
        <v>22</v>
      </c>
      <c r="V14" s="20">
        <v>0</v>
      </c>
      <c r="W14" s="20">
        <v>0</v>
      </c>
      <c r="X14" s="20">
        <v>0</v>
      </c>
      <c r="Y14" s="20">
        <v>2856</v>
      </c>
      <c r="Z14" s="20">
        <v>693</v>
      </c>
      <c r="AA14" s="20">
        <v>2163</v>
      </c>
      <c r="AB14" s="20">
        <v>23709</v>
      </c>
      <c r="AC14" s="20">
        <v>5672</v>
      </c>
      <c r="AD14" s="20">
        <v>18037</v>
      </c>
      <c r="AE14" s="20">
        <v>352</v>
      </c>
      <c r="AF14" s="20">
        <v>176</v>
      </c>
      <c r="AG14" s="20">
        <v>176</v>
      </c>
      <c r="AH14" s="20">
        <v>0</v>
      </c>
      <c r="AI14" s="20">
        <v>0</v>
      </c>
      <c r="AJ14" s="20">
        <v>0</v>
      </c>
      <c r="AK14" s="20">
        <v>23357</v>
      </c>
      <c r="AL14" s="20">
        <v>5496</v>
      </c>
      <c r="AM14" s="20">
        <v>17861</v>
      </c>
      <c r="AN14" s="20">
        <v>5</v>
      </c>
      <c r="AO14" s="20">
        <v>99</v>
      </c>
      <c r="AP14" s="20">
        <v>28</v>
      </c>
      <c r="AQ14" s="20">
        <v>71</v>
      </c>
      <c r="AR14" s="20">
        <v>8</v>
      </c>
      <c r="AS14" s="20">
        <v>4</v>
      </c>
      <c r="AT14" s="20">
        <v>4</v>
      </c>
      <c r="AU14" s="20">
        <v>2</v>
      </c>
      <c r="AV14" s="20">
        <v>0</v>
      </c>
      <c r="AW14" s="20">
        <v>2</v>
      </c>
      <c r="AX14" s="20">
        <v>89</v>
      </c>
      <c r="AY14" s="20">
        <v>24</v>
      </c>
      <c r="AZ14" s="20">
        <v>65</v>
      </c>
      <c r="BA14" s="20">
        <v>21881</v>
      </c>
      <c r="BB14" s="20">
        <v>6595</v>
      </c>
      <c r="BC14" s="20">
        <v>15286</v>
      </c>
      <c r="BD14" s="20">
        <v>1664</v>
      </c>
      <c r="BE14" s="20">
        <v>937</v>
      </c>
      <c r="BF14" s="20">
        <v>727</v>
      </c>
      <c r="BG14" s="20">
        <v>451</v>
      </c>
      <c r="BH14" s="20">
        <v>1</v>
      </c>
      <c r="BI14" s="20">
        <v>450</v>
      </c>
      <c r="BJ14" s="20">
        <v>19766</v>
      </c>
      <c r="BK14" s="20">
        <v>5657</v>
      </c>
      <c r="BL14" s="20">
        <v>14109</v>
      </c>
      <c r="BM14" s="20">
        <v>151113</v>
      </c>
      <c r="BN14" s="20">
        <v>48207</v>
      </c>
      <c r="BO14" s="20">
        <v>102906</v>
      </c>
      <c r="BP14" s="20">
        <v>11652</v>
      </c>
      <c r="BQ14" s="20">
        <v>7496</v>
      </c>
      <c r="BR14" s="20">
        <v>4156</v>
      </c>
      <c r="BS14" s="20">
        <v>3010</v>
      </c>
      <c r="BT14" s="20">
        <v>2</v>
      </c>
      <c r="BU14" s="20">
        <v>3008</v>
      </c>
      <c r="BV14" s="20">
        <v>136451</v>
      </c>
      <c r="BW14" s="20">
        <v>40709</v>
      </c>
      <c r="BX14" s="20">
        <v>95742</v>
      </c>
    </row>
    <row r="15" spans="1:76" ht="15.6" customHeight="1">
      <c r="A15" s="50" t="s">
        <v>153</v>
      </c>
      <c r="B15" s="94" t="s">
        <v>8</v>
      </c>
      <c r="C15" s="20">
        <v>1</v>
      </c>
      <c r="D15" s="20">
        <v>1</v>
      </c>
      <c r="E15" s="20">
        <v>1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1</v>
      </c>
      <c r="N15" s="20">
        <v>1</v>
      </c>
      <c r="O15" s="20">
        <v>0</v>
      </c>
      <c r="P15" s="20">
        <v>1</v>
      </c>
      <c r="Q15" s="20">
        <v>1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1</v>
      </c>
      <c r="Z15" s="20">
        <v>1</v>
      </c>
      <c r="AA15" s="20">
        <v>0</v>
      </c>
      <c r="AB15" s="20">
        <v>8</v>
      </c>
      <c r="AC15" s="20">
        <v>8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8</v>
      </c>
      <c r="AL15" s="20">
        <v>8</v>
      </c>
      <c r="AM15" s="20">
        <v>0</v>
      </c>
      <c r="AN15" s="20">
        <v>3</v>
      </c>
      <c r="AO15" s="20">
        <v>63</v>
      </c>
      <c r="AP15" s="20">
        <v>20</v>
      </c>
      <c r="AQ15" s="20">
        <v>43</v>
      </c>
      <c r="AR15" s="20">
        <v>2</v>
      </c>
      <c r="AS15" s="20">
        <v>0</v>
      </c>
      <c r="AT15" s="20">
        <v>2</v>
      </c>
      <c r="AU15" s="20">
        <v>2</v>
      </c>
      <c r="AV15" s="20">
        <v>1</v>
      </c>
      <c r="AW15" s="20">
        <v>1</v>
      </c>
      <c r="AX15" s="20">
        <v>59</v>
      </c>
      <c r="AY15" s="20">
        <v>19</v>
      </c>
      <c r="AZ15" s="20">
        <v>40</v>
      </c>
      <c r="BA15" s="20">
        <v>13870</v>
      </c>
      <c r="BB15" s="20">
        <v>4184</v>
      </c>
      <c r="BC15" s="20">
        <v>9686</v>
      </c>
      <c r="BD15" s="20">
        <v>466</v>
      </c>
      <c r="BE15" s="20">
        <v>23</v>
      </c>
      <c r="BF15" s="20">
        <v>443</v>
      </c>
      <c r="BG15" s="20">
        <v>867</v>
      </c>
      <c r="BH15" s="20">
        <v>318</v>
      </c>
      <c r="BI15" s="20">
        <v>549</v>
      </c>
      <c r="BJ15" s="20">
        <v>12537</v>
      </c>
      <c r="BK15" s="20">
        <v>3843</v>
      </c>
      <c r="BL15" s="20">
        <v>8694</v>
      </c>
      <c r="BM15" s="20">
        <v>111238</v>
      </c>
      <c r="BN15" s="20">
        <v>33878</v>
      </c>
      <c r="BO15" s="20">
        <v>77360</v>
      </c>
      <c r="BP15" s="20">
        <v>3915</v>
      </c>
      <c r="BQ15" s="20">
        <v>288</v>
      </c>
      <c r="BR15" s="20">
        <v>3627</v>
      </c>
      <c r="BS15" s="20">
        <v>7321</v>
      </c>
      <c r="BT15" s="20">
        <v>2674</v>
      </c>
      <c r="BU15" s="20">
        <v>4647</v>
      </c>
      <c r="BV15" s="20">
        <v>100002</v>
      </c>
      <c r="BW15" s="20">
        <v>30916</v>
      </c>
      <c r="BX15" s="20">
        <v>69086</v>
      </c>
    </row>
    <row r="16" spans="1:76" ht="15.6" customHeight="1">
      <c r="A16" s="50" t="s">
        <v>154</v>
      </c>
      <c r="B16" s="94" t="s">
        <v>9</v>
      </c>
      <c r="C16" s="20">
        <v>1</v>
      </c>
      <c r="D16" s="20">
        <v>6</v>
      </c>
      <c r="E16" s="20">
        <v>2</v>
      </c>
      <c r="F16" s="20">
        <v>4</v>
      </c>
      <c r="G16" s="20">
        <v>2</v>
      </c>
      <c r="H16" s="20">
        <v>2</v>
      </c>
      <c r="I16" s="20">
        <v>0</v>
      </c>
      <c r="J16" s="20">
        <v>0</v>
      </c>
      <c r="K16" s="20">
        <v>0</v>
      </c>
      <c r="L16" s="20">
        <v>0</v>
      </c>
      <c r="M16" s="20">
        <v>4</v>
      </c>
      <c r="N16" s="20">
        <v>0</v>
      </c>
      <c r="O16" s="20">
        <v>4</v>
      </c>
      <c r="P16" s="20">
        <v>356</v>
      </c>
      <c r="Q16" s="20">
        <v>125</v>
      </c>
      <c r="R16" s="20">
        <v>231</v>
      </c>
      <c r="S16" s="20">
        <v>111</v>
      </c>
      <c r="T16" s="20">
        <v>111</v>
      </c>
      <c r="U16" s="20">
        <v>0</v>
      </c>
      <c r="V16" s="20">
        <v>0</v>
      </c>
      <c r="W16" s="20">
        <v>0</v>
      </c>
      <c r="X16" s="20">
        <v>0</v>
      </c>
      <c r="Y16" s="20">
        <v>245</v>
      </c>
      <c r="Z16" s="20">
        <v>14</v>
      </c>
      <c r="AA16" s="20">
        <v>231</v>
      </c>
      <c r="AB16" s="20">
        <v>2650</v>
      </c>
      <c r="AC16" s="20">
        <v>916</v>
      </c>
      <c r="AD16" s="20">
        <v>1734</v>
      </c>
      <c r="AE16" s="20">
        <v>810</v>
      </c>
      <c r="AF16" s="20">
        <v>810</v>
      </c>
      <c r="AG16" s="20">
        <v>0</v>
      </c>
      <c r="AH16" s="20">
        <v>0</v>
      </c>
      <c r="AI16" s="20">
        <v>0</v>
      </c>
      <c r="AJ16" s="20">
        <v>0</v>
      </c>
      <c r="AK16" s="20">
        <v>1840</v>
      </c>
      <c r="AL16" s="20">
        <v>106</v>
      </c>
      <c r="AM16" s="20">
        <v>1734</v>
      </c>
      <c r="AN16" s="20">
        <v>4</v>
      </c>
      <c r="AO16" s="20">
        <v>29</v>
      </c>
      <c r="AP16" s="20">
        <v>15</v>
      </c>
      <c r="AQ16" s="20">
        <v>14</v>
      </c>
      <c r="AR16" s="20">
        <v>4</v>
      </c>
      <c r="AS16" s="20">
        <v>3</v>
      </c>
      <c r="AT16" s="20">
        <v>1</v>
      </c>
      <c r="AU16" s="20">
        <v>0</v>
      </c>
      <c r="AV16" s="20">
        <v>0</v>
      </c>
      <c r="AW16" s="20">
        <v>0</v>
      </c>
      <c r="AX16" s="20">
        <v>25</v>
      </c>
      <c r="AY16" s="20">
        <v>12</v>
      </c>
      <c r="AZ16" s="20">
        <v>13</v>
      </c>
      <c r="BA16" s="20">
        <v>4822</v>
      </c>
      <c r="BB16" s="20">
        <v>2035</v>
      </c>
      <c r="BC16" s="20">
        <v>2787</v>
      </c>
      <c r="BD16" s="20">
        <v>531</v>
      </c>
      <c r="BE16" s="20">
        <v>412</v>
      </c>
      <c r="BF16" s="20">
        <v>119</v>
      </c>
      <c r="BG16" s="20">
        <v>0</v>
      </c>
      <c r="BH16" s="20">
        <v>0</v>
      </c>
      <c r="BI16" s="20">
        <v>0</v>
      </c>
      <c r="BJ16" s="20">
        <v>4291</v>
      </c>
      <c r="BK16" s="20">
        <v>1623</v>
      </c>
      <c r="BL16" s="20">
        <v>2668</v>
      </c>
      <c r="BM16" s="20">
        <v>33670</v>
      </c>
      <c r="BN16" s="20">
        <v>14441</v>
      </c>
      <c r="BO16" s="20">
        <v>19229</v>
      </c>
      <c r="BP16" s="20">
        <v>2215</v>
      </c>
      <c r="BQ16" s="20">
        <v>1885</v>
      </c>
      <c r="BR16" s="20">
        <v>330</v>
      </c>
      <c r="BS16" s="20">
        <v>0</v>
      </c>
      <c r="BT16" s="20">
        <v>0</v>
      </c>
      <c r="BU16" s="20">
        <v>0</v>
      </c>
      <c r="BV16" s="20">
        <v>31455</v>
      </c>
      <c r="BW16" s="20">
        <v>12556</v>
      </c>
      <c r="BX16" s="20">
        <v>18899</v>
      </c>
    </row>
    <row r="17" spans="1:76" ht="15.6" customHeight="1">
      <c r="A17" s="50" t="s">
        <v>155</v>
      </c>
      <c r="B17" s="94" t="s">
        <v>10</v>
      </c>
      <c r="C17" s="20">
        <v>1</v>
      </c>
      <c r="D17" s="20">
        <v>16</v>
      </c>
      <c r="E17" s="20">
        <v>3</v>
      </c>
      <c r="F17" s="20">
        <v>13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16</v>
      </c>
      <c r="N17" s="20">
        <v>3</v>
      </c>
      <c r="O17" s="20">
        <v>13</v>
      </c>
      <c r="P17" s="20">
        <v>2850</v>
      </c>
      <c r="Q17" s="20">
        <v>806</v>
      </c>
      <c r="R17" s="20">
        <v>2044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2850</v>
      </c>
      <c r="Z17" s="20">
        <v>806</v>
      </c>
      <c r="AA17" s="20">
        <v>2044</v>
      </c>
      <c r="AB17" s="20">
        <v>11362</v>
      </c>
      <c r="AC17" s="20">
        <v>2559</v>
      </c>
      <c r="AD17" s="20">
        <v>8803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11362</v>
      </c>
      <c r="AL17" s="20">
        <v>2559</v>
      </c>
      <c r="AM17" s="20">
        <v>8803</v>
      </c>
      <c r="AN17" s="20">
        <v>3</v>
      </c>
      <c r="AO17" s="20">
        <v>33</v>
      </c>
      <c r="AP17" s="20">
        <v>11</v>
      </c>
      <c r="AQ17" s="20">
        <v>22</v>
      </c>
      <c r="AR17" s="20">
        <v>3</v>
      </c>
      <c r="AS17" s="20">
        <v>1</v>
      </c>
      <c r="AT17" s="20">
        <v>2</v>
      </c>
      <c r="AU17" s="20">
        <v>4</v>
      </c>
      <c r="AV17" s="20">
        <v>4</v>
      </c>
      <c r="AW17" s="20">
        <v>0</v>
      </c>
      <c r="AX17" s="20">
        <v>26</v>
      </c>
      <c r="AY17" s="20">
        <v>6</v>
      </c>
      <c r="AZ17" s="20">
        <v>20</v>
      </c>
      <c r="BA17" s="20">
        <v>2923</v>
      </c>
      <c r="BB17" s="20">
        <v>900</v>
      </c>
      <c r="BC17" s="20">
        <v>2023</v>
      </c>
      <c r="BD17" s="20">
        <v>492</v>
      </c>
      <c r="BE17" s="20">
        <v>112</v>
      </c>
      <c r="BF17" s="20">
        <v>380</v>
      </c>
      <c r="BG17" s="20">
        <v>869</v>
      </c>
      <c r="BH17" s="20">
        <v>525</v>
      </c>
      <c r="BI17" s="20">
        <v>344</v>
      </c>
      <c r="BJ17" s="20">
        <v>1562</v>
      </c>
      <c r="BK17" s="20">
        <v>263</v>
      </c>
      <c r="BL17" s="20">
        <v>1299</v>
      </c>
      <c r="BM17" s="20">
        <v>14097</v>
      </c>
      <c r="BN17" s="20">
        <v>4046</v>
      </c>
      <c r="BO17" s="20">
        <v>10051</v>
      </c>
      <c r="BP17" s="20">
        <v>2142</v>
      </c>
      <c r="BQ17" s="20">
        <v>482</v>
      </c>
      <c r="BR17" s="20">
        <v>1660</v>
      </c>
      <c r="BS17" s="20">
        <v>4128</v>
      </c>
      <c r="BT17" s="20">
        <v>2364</v>
      </c>
      <c r="BU17" s="20">
        <v>1764</v>
      </c>
      <c r="BV17" s="20">
        <v>7827</v>
      </c>
      <c r="BW17" s="20">
        <v>1200</v>
      </c>
      <c r="BX17" s="20">
        <v>6627</v>
      </c>
    </row>
    <row r="18" spans="1:76" ht="15.6" customHeight="1">
      <c r="A18" s="50" t="s">
        <v>156</v>
      </c>
      <c r="B18" s="94" t="s">
        <v>11</v>
      </c>
      <c r="C18" s="20">
        <v>1</v>
      </c>
      <c r="D18" s="20">
        <v>17</v>
      </c>
      <c r="E18" s="20">
        <v>6</v>
      </c>
      <c r="F18" s="20">
        <v>11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17</v>
      </c>
      <c r="N18" s="20">
        <v>6</v>
      </c>
      <c r="O18" s="20">
        <v>11</v>
      </c>
      <c r="P18" s="20">
        <v>3668</v>
      </c>
      <c r="Q18" s="20">
        <v>1557</v>
      </c>
      <c r="R18" s="20">
        <v>2111</v>
      </c>
      <c r="S18" s="20">
        <v>20</v>
      </c>
      <c r="T18" s="20">
        <v>0</v>
      </c>
      <c r="U18" s="20">
        <v>20</v>
      </c>
      <c r="V18" s="20">
        <v>19</v>
      </c>
      <c r="W18" s="20">
        <v>0</v>
      </c>
      <c r="X18" s="20">
        <v>19</v>
      </c>
      <c r="Y18" s="20">
        <v>3629</v>
      </c>
      <c r="Z18" s="20">
        <v>1557</v>
      </c>
      <c r="AA18" s="20">
        <v>2072</v>
      </c>
      <c r="AB18" s="20">
        <v>29438</v>
      </c>
      <c r="AC18" s="20">
        <v>12506</v>
      </c>
      <c r="AD18" s="20">
        <v>16932</v>
      </c>
      <c r="AE18" s="20">
        <v>160</v>
      </c>
      <c r="AF18" s="20">
        <v>0</v>
      </c>
      <c r="AG18" s="20">
        <v>160</v>
      </c>
      <c r="AH18" s="20">
        <v>152</v>
      </c>
      <c r="AI18" s="20">
        <v>0</v>
      </c>
      <c r="AJ18" s="20">
        <v>152</v>
      </c>
      <c r="AK18" s="20">
        <v>29126</v>
      </c>
      <c r="AL18" s="20">
        <v>12506</v>
      </c>
      <c r="AM18" s="20">
        <v>16620</v>
      </c>
      <c r="AN18" s="20">
        <v>4</v>
      </c>
      <c r="AO18" s="20">
        <v>61</v>
      </c>
      <c r="AP18" s="20">
        <v>13</v>
      </c>
      <c r="AQ18" s="20">
        <v>48</v>
      </c>
      <c r="AR18" s="20">
        <v>3</v>
      </c>
      <c r="AS18" s="20">
        <v>1</v>
      </c>
      <c r="AT18" s="20">
        <v>2</v>
      </c>
      <c r="AU18" s="20">
        <v>4</v>
      </c>
      <c r="AV18" s="20">
        <v>1</v>
      </c>
      <c r="AW18" s="20">
        <v>3</v>
      </c>
      <c r="AX18" s="20">
        <v>54</v>
      </c>
      <c r="AY18" s="20">
        <v>11</v>
      </c>
      <c r="AZ18" s="20">
        <v>43</v>
      </c>
      <c r="BA18" s="20">
        <v>9948</v>
      </c>
      <c r="BB18" s="20">
        <v>1738</v>
      </c>
      <c r="BC18" s="20">
        <v>8210</v>
      </c>
      <c r="BD18" s="20">
        <v>699</v>
      </c>
      <c r="BE18" s="20">
        <v>174</v>
      </c>
      <c r="BF18" s="20">
        <v>525</v>
      </c>
      <c r="BG18" s="20">
        <v>685</v>
      </c>
      <c r="BH18" s="20">
        <v>74</v>
      </c>
      <c r="BI18" s="20">
        <v>611</v>
      </c>
      <c r="BJ18" s="20">
        <v>8564</v>
      </c>
      <c r="BK18" s="20">
        <v>1490</v>
      </c>
      <c r="BL18" s="20">
        <v>7074</v>
      </c>
      <c r="BM18" s="20">
        <v>80277</v>
      </c>
      <c r="BN18" s="20">
        <v>13690</v>
      </c>
      <c r="BO18" s="20">
        <v>66587</v>
      </c>
      <c r="BP18" s="20">
        <v>5089</v>
      </c>
      <c r="BQ18" s="20">
        <v>882</v>
      </c>
      <c r="BR18" s="20">
        <v>4207</v>
      </c>
      <c r="BS18" s="20">
        <v>5679</v>
      </c>
      <c r="BT18" s="20">
        <v>644</v>
      </c>
      <c r="BU18" s="20">
        <v>5035</v>
      </c>
      <c r="BV18" s="20">
        <v>69509</v>
      </c>
      <c r="BW18" s="20">
        <v>12164</v>
      </c>
      <c r="BX18" s="20">
        <v>57345</v>
      </c>
    </row>
    <row r="19" spans="1:76" ht="15.6" customHeight="1">
      <c r="A19" s="50" t="s">
        <v>157</v>
      </c>
      <c r="B19" s="94" t="s">
        <v>12</v>
      </c>
      <c r="C19" s="20">
        <v>3</v>
      </c>
      <c r="D19" s="20">
        <v>40</v>
      </c>
      <c r="E19" s="20">
        <v>11</v>
      </c>
      <c r="F19" s="20">
        <v>29</v>
      </c>
      <c r="G19" s="20">
        <v>2</v>
      </c>
      <c r="H19" s="20">
        <v>1</v>
      </c>
      <c r="I19" s="20">
        <v>1</v>
      </c>
      <c r="J19" s="20">
        <v>7</v>
      </c>
      <c r="K19" s="20">
        <v>3</v>
      </c>
      <c r="L19" s="20">
        <v>4</v>
      </c>
      <c r="M19" s="20">
        <v>31</v>
      </c>
      <c r="N19" s="20">
        <v>7</v>
      </c>
      <c r="O19" s="20">
        <v>24</v>
      </c>
      <c r="P19" s="20">
        <v>7313</v>
      </c>
      <c r="Q19" s="20">
        <v>1624</v>
      </c>
      <c r="R19" s="20">
        <v>5689</v>
      </c>
      <c r="S19" s="20">
        <v>174</v>
      </c>
      <c r="T19" s="20">
        <v>51</v>
      </c>
      <c r="U19" s="20">
        <v>123</v>
      </c>
      <c r="V19" s="20">
        <v>1112</v>
      </c>
      <c r="W19" s="20">
        <v>490</v>
      </c>
      <c r="X19" s="20">
        <v>622</v>
      </c>
      <c r="Y19" s="20">
        <v>6027</v>
      </c>
      <c r="Z19" s="20">
        <v>1083</v>
      </c>
      <c r="AA19" s="20">
        <v>4944</v>
      </c>
      <c r="AB19" s="20">
        <v>42340</v>
      </c>
      <c r="AC19" s="20">
        <v>8480</v>
      </c>
      <c r="AD19" s="20">
        <v>33860</v>
      </c>
      <c r="AE19" s="20">
        <v>964</v>
      </c>
      <c r="AF19" s="20">
        <v>408</v>
      </c>
      <c r="AG19" s="20">
        <v>556</v>
      </c>
      <c r="AH19" s="20">
        <v>8250</v>
      </c>
      <c r="AI19" s="20">
        <v>3274</v>
      </c>
      <c r="AJ19" s="20">
        <v>4976</v>
      </c>
      <c r="AK19" s="20">
        <v>33126</v>
      </c>
      <c r="AL19" s="20">
        <v>4798</v>
      </c>
      <c r="AM19" s="20">
        <v>28328</v>
      </c>
      <c r="AN19" s="20">
        <v>6</v>
      </c>
      <c r="AO19" s="20">
        <v>84</v>
      </c>
      <c r="AP19" s="20">
        <v>28</v>
      </c>
      <c r="AQ19" s="20">
        <v>56</v>
      </c>
      <c r="AR19" s="20">
        <v>4</v>
      </c>
      <c r="AS19" s="20">
        <v>2</v>
      </c>
      <c r="AT19" s="20">
        <v>2</v>
      </c>
      <c r="AU19" s="20">
        <v>14</v>
      </c>
      <c r="AV19" s="20">
        <v>8</v>
      </c>
      <c r="AW19" s="20">
        <v>6</v>
      </c>
      <c r="AX19" s="20">
        <v>66</v>
      </c>
      <c r="AY19" s="20">
        <v>18</v>
      </c>
      <c r="AZ19" s="20">
        <v>48</v>
      </c>
      <c r="BA19" s="20">
        <v>13908</v>
      </c>
      <c r="BB19" s="20">
        <v>4295</v>
      </c>
      <c r="BC19" s="20">
        <v>9613</v>
      </c>
      <c r="BD19" s="20">
        <v>440</v>
      </c>
      <c r="BE19" s="20">
        <v>55</v>
      </c>
      <c r="BF19" s="20">
        <v>385</v>
      </c>
      <c r="BG19" s="20">
        <v>2345</v>
      </c>
      <c r="BH19" s="20">
        <v>1001</v>
      </c>
      <c r="BI19" s="20">
        <v>1344</v>
      </c>
      <c r="BJ19" s="20">
        <v>11123</v>
      </c>
      <c r="BK19" s="20">
        <v>3239</v>
      </c>
      <c r="BL19" s="20">
        <v>7884</v>
      </c>
      <c r="BM19" s="20">
        <v>123252</v>
      </c>
      <c r="BN19" s="20">
        <v>28352</v>
      </c>
      <c r="BO19" s="20">
        <v>94900</v>
      </c>
      <c r="BP19" s="20">
        <v>3244</v>
      </c>
      <c r="BQ19" s="20">
        <v>274</v>
      </c>
      <c r="BR19" s="20">
        <v>2970</v>
      </c>
      <c r="BS19" s="20">
        <v>18515</v>
      </c>
      <c r="BT19" s="20">
        <v>7820</v>
      </c>
      <c r="BU19" s="20">
        <v>10695</v>
      </c>
      <c r="BV19" s="20">
        <v>101493</v>
      </c>
      <c r="BW19" s="20">
        <v>20258</v>
      </c>
      <c r="BX19" s="20">
        <v>81235</v>
      </c>
    </row>
    <row r="20" spans="1:76" ht="15.6" customHeight="1">
      <c r="A20" s="50" t="s">
        <v>158</v>
      </c>
      <c r="B20" s="94" t="s">
        <v>13</v>
      </c>
      <c r="C20" s="20">
        <v>2</v>
      </c>
      <c r="D20" s="20">
        <v>19</v>
      </c>
      <c r="E20" s="20">
        <v>6</v>
      </c>
      <c r="F20" s="20">
        <v>13</v>
      </c>
      <c r="G20" s="20">
        <v>1</v>
      </c>
      <c r="H20" s="20">
        <v>0</v>
      </c>
      <c r="I20" s="20">
        <v>1</v>
      </c>
      <c r="J20" s="20">
        <v>1</v>
      </c>
      <c r="K20" s="20">
        <v>0</v>
      </c>
      <c r="L20" s="20">
        <v>1</v>
      </c>
      <c r="M20" s="20">
        <v>17</v>
      </c>
      <c r="N20" s="20">
        <v>6</v>
      </c>
      <c r="O20" s="20">
        <v>11</v>
      </c>
      <c r="P20" s="20">
        <v>3712</v>
      </c>
      <c r="Q20" s="20">
        <v>1373</v>
      </c>
      <c r="R20" s="20">
        <v>2339</v>
      </c>
      <c r="S20" s="20">
        <v>204</v>
      </c>
      <c r="T20" s="20">
        <v>72</v>
      </c>
      <c r="U20" s="20">
        <v>132</v>
      </c>
      <c r="V20" s="20">
        <v>253</v>
      </c>
      <c r="W20" s="20">
        <v>0</v>
      </c>
      <c r="X20" s="20">
        <v>253</v>
      </c>
      <c r="Y20" s="20">
        <v>3255</v>
      </c>
      <c r="Z20" s="20">
        <v>1301</v>
      </c>
      <c r="AA20" s="20">
        <v>1954</v>
      </c>
      <c r="AB20" s="20">
        <v>29624.799999999999</v>
      </c>
      <c r="AC20" s="20">
        <v>10958.3</v>
      </c>
      <c r="AD20" s="20">
        <v>18666.5</v>
      </c>
      <c r="AE20" s="20">
        <v>1466</v>
      </c>
      <c r="AF20" s="20">
        <v>558</v>
      </c>
      <c r="AG20" s="20">
        <v>908</v>
      </c>
      <c r="AH20" s="20">
        <v>2024</v>
      </c>
      <c r="AI20" s="20">
        <v>0</v>
      </c>
      <c r="AJ20" s="20">
        <v>2024</v>
      </c>
      <c r="AK20" s="20">
        <v>26134.799999999999</v>
      </c>
      <c r="AL20" s="20">
        <v>10400.299999999999</v>
      </c>
      <c r="AM20" s="20">
        <v>15734.5</v>
      </c>
      <c r="AN20" s="20">
        <v>9</v>
      </c>
      <c r="AO20" s="20">
        <v>202</v>
      </c>
      <c r="AP20" s="20">
        <v>74</v>
      </c>
      <c r="AQ20" s="20">
        <v>128</v>
      </c>
      <c r="AR20" s="20">
        <v>27</v>
      </c>
      <c r="AS20" s="20">
        <v>17</v>
      </c>
      <c r="AT20" s="20">
        <v>10</v>
      </c>
      <c r="AU20" s="20">
        <v>13</v>
      </c>
      <c r="AV20" s="20">
        <v>7</v>
      </c>
      <c r="AW20" s="20">
        <v>6</v>
      </c>
      <c r="AX20" s="20">
        <v>162</v>
      </c>
      <c r="AY20" s="20">
        <v>50</v>
      </c>
      <c r="AZ20" s="20">
        <v>112</v>
      </c>
      <c r="BA20" s="20">
        <v>39558</v>
      </c>
      <c r="BB20" s="20">
        <v>15249</v>
      </c>
      <c r="BC20" s="20">
        <v>24309</v>
      </c>
      <c r="BD20" s="20">
        <v>5853</v>
      </c>
      <c r="BE20" s="20">
        <v>3773</v>
      </c>
      <c r="BF20" s="20">
        <v>2080</v>
      </c>
      <c r="BG20" s="20">
        <v>2070</v>
      </c>
      <c r="BH20" s="20">
        <v>1059</v>
      </c>
      <c r="BI20" s="20">
        <v>1011</v>
      </c>
      <c r="BJ20" s="20">
        <v>31635</v>
      </c>
      <c r="BK20" s="20">
        <v>10417</v>
      </c>
      <c r="BL20" s="20">
        <v>21218</v>
      </c>
      <c r="BM20" s="20">
        <v>313161.5</v>
      </c>
      <c r="BN20" s="20">
        <v>119024.5</v>
      </c>
      <c r="BO20" s="20">
        <v>194137</v>
      </c>
      <c r="BP20" s="20">
        <v>45777.5</v>
      </c>
      <c r="BQ20" s="20">
        <v>28915</v>
      </c>
      <c r="BR20" s="20">
        <v>16862.5</v>
      </c>
      <c r="BS20" s="20">
        <v>16311.5</v>
      </c>
      <c r="BT20" s="20">
        <v>8390.5</v>
      </c>
      <c r="BU20" s="20">
        <v>7921</v>
      </c>
      <c r="BV20" s="20">
        <v>251072.5</v>
      </c>
      <c r="BW20" s="20">
        <v>81719</v>
      </c>
      <c r="BX20" s="20">
        <v>169353.5</v>
      </c>
    </row>
    <row r="21" spans="1:76" ht="15.6" customHeight="1">
      <c r="A21" s="50" t="s">
        <v>159</v>
      </c>
      <c r="B21" s="94" t="s">
        <v>14</v>
      </c>
      <c r="C21" s="20">
        <v>1</v>
      </c>
      <c r="D21" s="20">
        <v>4</v>
      </c>
      <c r="E21" s="20">
        <v>1</v>
      </c>
      <c r="F21" s="20">
        <v>3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4</v>
      </c>
      <c r="N21" s="20">
        <v>1</v>
      </c>
      <c r="O21" s="20">
        <v>3</v>
      </c>
      <c r="P21" s="20">
        <v>455</v>
      </c>
      <c r="Q21" s="20">
        <v>153</v>
      </c>
      <c r="R21" s="20">
        <v>302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455</v>
      </c>
      <c r="Z21" s="20">
        <v>153</v>
      </c>
      <c r="AA21" s="20">
        <v>302</v>
      </c>
      <c r="AB21" s="20">
        <v>1044</v>
      </c>
      <c r="AC21" s="20">
        <v>341</v>
      </c>
      <c r="AD21" s="20">
        <v>703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1044</v>
      </c>
      <c r="AL21" s="20">
        <v>341</v>
      </c>
      <c r="AM21" s="20">
        <v>703</v>
      </c>
      <c r="AN21" s="20">
        <v>3</v>
      </c>
      <c r="AO21" s="20">
        <v>46</v>
      </c>
      <c r="AP21" s="20">
        <v>18</v>
      </c>
      <c r="AQ21" s="20">
        <v>28</v>
      </c>
      <c r="AR21" s="20">
        <v>4</v>
      </c>
      <c r="AS21" s="20">
        <v>2</v>
      </c>
      <c r="AT21" s="20">
        <v>2</v>
      </c>
      <c r="AU21" s="20">
        <v>5</v>
      </c>
      <c r="AV21" s="20">
        <v>2</v>
      </c>
      <c r="AW21" s="20">
        <v>3</v>
      </c>
      <c r="AX21" s="20">
        <v>37</v>
      </c>
      <c r="AY21" s="20">
        <v>14</v>
      </c>
      <c r="AZ21" s="20">
        <v>23</v>
      </c>
      <c r="BA21" s="20">
        <v>10331</v>
      </c>
      <c r="BB21" s="20">
        <v>3839</v>
      </c>
      <c r="BC21" s="20">
        <v>6492</v>
      </c>
      <c r="BD21" s="20">
        <v>928</v>
      </c>
      <c r="BE21" s="20">
        <v>435</v>
      </c>
      <c r="BF21" s="20">
        <v>493</v>
      </c>
      <c r="BG21" s="20">
        <v>861</v>
      </c>
      <c r="BH21" s="20">
        <v>401</v>
      </c>
      <c r="BI21" s="20">
        <v>460</v>
      </c>
      <c r="BJ21" s="20">
        <v>8542</v>
      </c>
      <c r="BK21" s="20">
        <v>3003</v>
      </c>
      <c r="BL21" s="20">
        <v>5539</v>
      </c>
      <c r="BM21" s="20">
        <v>49681.599999999999</v>
      </c>
      <c r="BN21" s="20">
        <v>19376</v>
      </c>
      <c r="BO21" s="20">
        <v>30305.599999999999</v>
      </c>
      <c r="BP21" s="20">
        <v>8428</v>
      </c>
      <c r="BQ21" s="20">
        <v>3340</v>
      </c>
      <c r="BR21" s="20">
        <v>5088</v>
      </c>
      <c r="BS21" s="20">
        <v>5656</v>
      </c>
      <c r="BT21" s="20">
        <v>2522</v>
      </c>
      <c r="BU21" s="20">
        <v>3134</v>
      </c>
      <c r="BV21" s="20">
        <v>35597.599999999999</v>
      </c>
      <c r="BW21" s="20">
        <v>13514</v>
      </c>
      <c r="BX21" s="20">
        <v>22083.599999999999</v>
      </c>
    </row>
    <row r="22" spans="1:76" ht="15.6" customHeight="1">
      <c r="A22" s="50" t="s">
        <v>160</v>
      </c>
      <c r="B22" s="94" t="s">
        <v>15</v>
      </c>
      <c r="C22" s="20">
        <v>1</v>
      </c>
      <c r="D22" s="20">
        <v>16</v>
      </c>
      <c r="E22" s="20">
        <v>4</v>
      </c>
      <c r="F22" s="20">
        <v>12</v>
      </c>
      <c r="G22" s="20">
        <v>0</v>
      </c>
      <c r="H22" s="20">
        <v>0</v>
      </c>
      <c r="I22" s="20">
        <v>0</v>
      </c>
      <c r="J22" s="20">
        <v>1</v>
      </c>
      <c r="K22" s="20">
        <v>0</v>
      </c>
      <c r="L22" s="20">
        <v>1</v>
      </c>
      <c r="M22" s="20">
        <v>15</v>
      </c>
      <c r="N22" s="20">
        <v>4</v>
      </c>
      <c r="O22" s="20">
        <v>11</v>
      </c>
      <c r="P22" s="20">
        <v>3435</v>
      </c>
      <c r="Q22" s="20">
        <v>832</v>
      </c>
      <c r="R22" s="20">
        <v>2603</v>
      </c>
      <c r="S22" s="20">
        <v>0</v>
      </c>
      <c r="T22" s="20">
        <v>0</v>
      </c>
      <c r="U22" s="20">
        <v>0</v>
      </c>
      <c r="V22" s="20">
        <v>273</v>
      </c>
      <c r="W22" s="20">
        <v>0</v>
      </c>
      <c r="X22" s="20">
        <v>273</v>
      </c>
      <c r="Y22" s="20">
        <v>3162</v>
      </c>
      <c r="Z22" s="20">
        <v>832</v>
      </c>
      <c r="AA22" s="20">
        <v>2330</v>
      </c>
      <c r="AB22" s="20">
        <v>12965</v>
      </c>
      <c r="AC22" s="20">
        <v>2928</v>
      </c>
      <c r="AD22" s="20">
        <v>10037</v>
      </c>
      <c r="AE22" s="20">
        <v>0</v>
      </c>
      <c r="AF22" s="20">
        <v>0</v>
      </c>
      <c r="AG22" s="20">
        <v>0</v>
      </c>
      <c r="AH22" s="20">
        <v>1148</v>
      </c>
      <c r="AI22" s="20">
        <v>0</v>
      </c>
      <c r="AJ22" s="20">
        <v>1148</v>
      </c>
      <c r="AK22" s="20">
        <v>11817</v>
      </c>
      <c r="AL22" s="20">
        <v>2928</v>
      </c>
      <c r="AM22" s="20">
        <v>8889</v>
      </c>
      <c r="AN22" s="20">
        <v>4</v>
      </c>
      <c r="AO22" s="20">
        <v>62</v>
      </c>
      <c r="AP22" s="20">
        <v>23</v>
      </c>
      <c r="AQ22" s="20">
        <v>39</v>
      </c>
      <c r="AR22" s="20">
        <v>10</v>
      </c>
      <c r="AS22" s="20">
        <v>3</v>
      </c>
      <c r="AT22" s="20">
        <v>7</v>
      </c>
      <c r="AU22" s="20">
        <v>4</v>
      </c>
      <c r="AV22" s="20">
        <v>2</v>
      </c>
      <c r="AW22" s="20">
        <v>2</v>
      </c>
      <c r="AX22" s="20">
        <v>48</v>
      </c>
      <c r="AY22" s="20">
        <v>18</v>
      </c>
      <c r="AZ22" s="20">
        <v>30</v>
      </c>
      <c r="BA22" s="20">
        <v>10336</v>
      </c>
      <c r="BB22" s="20">
        <v>3800</v>
      </c>
      <c r="BC22" s="20">
        <v>6536</v>
      </c>
      <c r="BD22" s="20">
        <v>1735</v>
      </c>
      <c r="BE22" s="20">
        <v>573</v>
      </c>
      <c r="BF22" s="20">
        <v>1162</v>
      </c>
      <c r="BG22" s="20">
        <v>939</v>
      </c>
      <c r="BH22" s="20">
        <v>452</v>
      </c>
      <c r="BI22" s="20">
        <v>487</v>
      </c>
      <c r="BJ22" s="20">
        <v>7662</v>
      </c>
      <c r="BK22" s="20">
        <v>2775</v>
      </c>
      <c r="BL22" s="20">
        <v>4887</v>
      </c>
      <c r="BM22" s="20">
        <v>43196</v>
      </c>
      <c r="BN22" s="20">
        <v>17806</v>
      </c>
      <c r="BO22" s="20">
        <v>25390</v>
      </c>
      <c r="BP22" s="20">
        <v>5795</v>
      </c>
      <c r="BQ22" s="20">
        <v>1598</v>
      </c>
      <c r="BR22" s="20">
        <v>4197</v>
      </c>
      <c r="BS22" s="20">
        <v>3990</v>
      </c>
      <c r="BT22" s="20">
        <v>2782</v>
      </c>
      <c r="BU22" s="20">
        <v>1208</v>
      </c>
      <c r="BV22" s="20">
        <v>33411</v>
      </c>
      <c r="BW22" s="20">
        <v>13426</v>
      </c>
      <c r="BX22" s="20">
        <v>19985</v>
      </c>
    </row>
    <row r="23" spans="1:76" ht="15.6" customHeight="1">
      <c r="A23" s="50" t="s">
        <v>161</v>
      </c>
      <c r="B23" s="94" t="s">
        <v>16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4</v>
      </c>
      <c r="AO23" s="20">
        <v>52</v>
      </c>
      <c r="AP23" s="20">
        <v>19</v>
      </c>
      <c r="AQ23" s="20">
        <v>33</v>
      </c>
      <c r="AR23" s="20">
        <v>10</v>
      </c>
      <c r="AS23" s="20">
        <v>6</v>
      </c>
      <c r="AT23" s="20">
        <v>4</v>
      </c>
      <c r="AU23" s="20">
        <v>1</v>
      </c>
      <c r="AV23" s="20">
        <v>0</v>
      </c>
      <c r="AW23" s="20">
        <v>1</v>
      </c>
      <c r="AX23" s="20">
        <v>41</v>
      </c>
      <c r="AY23" s="20">
        <v>13</v>
      </c>
      <c r="AZ23" s="20">
        <v>28</v>
      </c>
      <c r="BA23" s="20">
        <v>8962</v>
      </c>
      <c r="BB23" s="20">
        <v>3015</v>
      </c>
      <c r="BC23" s="20">
        <v>5947</v>
      </c>
      <c r="BD23" s="20">
        <v>1289</v>
      </c>
      <c r="BE23" s="20">
        <v>658</v>
      </c>
      <c r="BF23" s="20">
        <v>631</v>
      </c>
      <c r="BG23" s="20">
        <v>364</v>
      </c>
      <c r="BH23" s="20">
        <v>17</v>
      </c>
      <c r="BI23" s="20">
        <v>347</v>
      </c>
      <c r="BJ23" s="20">
        <v>7309</v>
      </c>
      <c r="BK23" s="20">
        <v>2340</v>
      </c>
      <c r="BL23" s="20">
        <v>4969</v>
      </c>
      <c r="BM23" s="20">
        <v>63093</v>
      </c>
      <c r="BN23" s="20">
        <v>20986</v>
      </c>
      <c r="BO23" s="20">
        <v>42107</v>
      </c>
      <c r="BP23" s="20">
        <v>9142</v>
      </c>
      <c r="BQ23" s="20">
        <v>4594</v>
      </c>
      <c r="BR23" s="20">
        <v>4548</v>
      </c>
      <c r="BS23" s="20">
        <v>2702</v>
      </c>
      <c r="BT23" s="20">
        <v>124</v>
      </c>
      <c r="BU23" s="20">
        <v>2578</v>
      </c>
      <c r="BV23" s="20">
        <v>51249</v>
      </c>
      <c r="BW23" s="20">
        <v>16268</v>
      </c>
      <c r="BX23" s="20">
        <v>34981</v>
      </c>
    </row>
    <row r="24" spans="1:76" ht="15.6" customHeight="1">
      <c r="A24" s="50" t="s">
        <v>162</v>
      </c>
      <c r="B24" s="94" t="s">
        <v>17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1</v>
      </c>
      <c r="AO24" s="20">
        <v>1</v>
      </c>
      <c r="AP24" s="20">
        <v>1</v>
      </c>
      <c r="AQ24" s="20">
        <v>0</v>
      </c>
      <c r="AR24" s="20">
        <v>1</v>
      </c>
      <c r="AS24" s="20">
        <v>1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4</v>
      </c>
      <c r="BB24" s="20">
        <v>4</v>
      </c>
      <c r="BC24" s="20">
        <v>0</v>
      </c>
      <c r="BD24" s="20">
        <v>4</v>
      </c>
      <c r="BE24" s="20">
        <v>4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  <c r="BK24" s="20">
        <v>0</v>
      </c>
      <c r="BL24" s="20">
        <v>0</v>
      </c>
      <c r="BM24" s="20">
        <v>32</v>
      </c>
      <c r="BN24" s="20">
        <v>32</v>
      </c>
      <c r="BO24" s="20">
        <v>0</v>
      </c>
      <c r="BP24" s="20">
        <v>32</v>
      </c>
      <c r="BQ24" s="20">
        <v>32</v>
      </c>
      <c r="BR24" s="20">
        <v>0</v>
      </c>
      <c r="BS24" s="20">
        <v>0</v>
      </c>
      <c r="BT24" s="20">
        <v>0</v>
      </c>
      <c r="BU24" s="20">
        <v>0</v>
      </c>
      <c r="BV24" s="20">
        <v>0</v>
      </c>
      <c r="BW24" s="20">
        <v>0</v>
      </c>
      <c r="BX24" s="20">
        <v>0</v>
      </c>
    </row>
    <row r="25" spans="1:76" ht="15.6" customHeight="1">
      <c r="A25" s="50" t="s">
        <v>163</v>
      </c>
      <c r="B25" s="94" t="s">
        <v>18</v>
      </c>
      <c r="C25" s="20">
        <v>1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2</v>
      </c>
      <c r="AO25" s="20">
        <v>27</v>
      </c>
      <c r="AP25" s="20">
        <v>15</v>
      </c>
      <c r="AQ25" s="20">
        <v>12</v>
      </c>
      <c r="AR25" s="20">
        <v>9</v>
      </c>
      <c r="AS25" s="20">
        <v>7</v>
      </c>
      <c r="AT25" s="20">
        <v>2</v>
      </c>
      <c r="AU25" s="20">
        <v>4</v>
      </c>
      <c r="AV25" s="20">
        <v>1</v>
      </c>
      <c r="AW25" s="20">
        <v>3</v>
      </c>
      <c r="AX25" s="20">
        <v>14</v>
      </c>
      <c r="AY25" s="20">
        <v>7</v>
      </c>
      <c r="AZ25" s="20">
        <v>7</v>
      </c>
      <c r="BA25" s="20">
        <v>4765</v>
      </c>
      <c r="BB25" s="20">
        <v>2582</v>
      </c>
      <c r="BC25" s="20">
        <v>2183</v>
      </c>
      <c r="BD25" s="20">
        <v>1486</v>
      </c>
      <c r="BE25" s="20">
        <v>1267</v>
      </c>
      <c r="BF25" s="20">
        <v>219</v>
      </c>
      <c r="BG25" s="20">
        <v>717</v>
      </c>
      <c r="BH25" s="20">
        <v>255</v>
      </c>
      <c r="BI25" s="20">
        <v>462</v>
      </c>
      <c r="BJ25" s="20">
        <v>2562</v>
      </c>
      <c r="BK25" s="20">
        <v>1060</v>
      </c>
      <c r="BL25" s="20">
        <v>1502</v>
      </c>
      <c r="BM25" s="20">
        <v>13367</v>
      </c>
      <c r="BN25" s="20">
        <v>6436</v>
      </c>
      <c r="BO25" s="20">
        <v>6931</v>
      </c>
      <c r="BP25" s="20">
        <v>4160</v>
      </c>
      <c r="BQ25" s="20">
        <v>3613</v>
      </c>
      <c r="BR25" s="20">
        <v>547</v>
      </c>
      <c r="BS25" s="20">
        <v>1651</v>
      </c>
      <c r="BT25" s="20">
        <v>411</v>
      </c>
      <c r="BU25" s="20">
        <v>1240</v>
      </c>
      <c r="BV25" s="20">
        <v>7556</v>
      </c>
      <c r="BW25" s="20">
        <v>2412</v>
      </c>
      <c r="BX25" s="20">
        <v>5144</v>
      </c>
    </row>
    <row r="26" spans="1:76" ht="15.6" customHeight="1">
      <c r="A26" s="50" t="s">
        <v>164</v>
      </c>
      <c r="B26" s="94" t="s">
        <v>19</v>
      </c>
      <c r="C26" s="20">
        <v>0</v>
      </c>
      <c r="D26" s="20">
        <v>23</v>
      </c>
      <c r="E26" s="20">
        <v>8</v>
      </c>
      <c r="F26" s="20">
        <v>15</v>
      </c>
      <c r="G26" s="20">
        <v>2</v>
      </c>
      <c r="H26" s="20">
        <v>2</v>
      </c>
      <c r="I26" s="20">
        <v>0</v>
      </c>
      <c r="J26" s="20">
        <v>1</v>
      </c>
      <c r="K26" s="20">
        <v>1</v>
      </c>
      <c r="L26" s="20">
        <v>0</v>
      </c>
      <c r="M26" s="20">
        <v>20</v>
      </c>
      <c r="N26" s="20">
        <v>5</v>
      </c>
      <c r="O26" s="20">
        <v>15</v>
      </c>
      <c r="P26" s="20">
        <v>2320</v>
      </c>
      <c r="Q26" s="20">
        <v>891</v>
      </c>
      <c r="R26" s="20">
        <v>1429</v>
      </c>
      <c r="S26" s="20">
        <v>207</v>
      </c>
      <c r="T26" s="20">
        <v>207</v>
      </c>
      <c r="U26" s="20">
        <v>0</v>
      </c>
      <c r="V26" s="20">
        <v>72</v>
      </c>
      <c r="W26" s="20">
        <v>72</v>
      </c>
      <c r="X26" s="20">
        <v>0</v>
      </c>
      <c r="Y26" s="20">
        <v>2041</v>
      </c>
      <c r="Z26" s="20">
        <v>612</v>
      </c>
      <c r="AA26" s="20">
        <v>1429</v>
      </c>
      <c r="AB26" s="20">
        <v>18560</v>
      </c>
      <c r="AC26" s="20">
        <v>7128</v>
      </c>
      <c r="AD26" s="20">
        <v>11432</v>
      </c>
      <c r="AE26" s="20">
        <v>1656</v>
      </c>
      <c r="AF26" s="20">
        <v>1656</v>
      </c>
      <c r="AG26" s="20">
        <v>0</v>
      </c>
      <c r="AH26" s="20">
        <v>576</v>
      </c>
      <c r="AI26" s="20">
        <v>576</v>
      </c>
      <c r="AJ26" s="20">
        <v>0</v>
      </c>
      <c r="AK26" s="20">
        <v>16328</v>
      </c>
      <c r="AL26" s="20">
        <v>4896</v>
      </c>
      <c r="AM26" s="20">
        <v>11432</v>
      </c>
      <c r="AN26" s="20">
        <v>2</v>
      </c>
      <c r="AO26" s="20">
        <v>13</v>
      </c>
      <c r="AP26" s="20">
        <v>6</v>
      </c>
      <c r="AQ26" s="20">
        <v>7</v>
      </c>
      <c r="AR26" s="20">
        <v>3</v>
      </c>
      <c r="AS26" s="20">
        <v>1</v>
      </c>
      <c r="AT26" s="20">
        <v>2</v>
      </c>
      <c r="AU26" s="20">
        <v>2</v>
      </c>
      <c r="AV26" s="20">
        <v>1</v>
      </c>
      <c r="AW26" s="20">
        <v>1</v>
      </c>
      <c r="AX26" s="20">
        <v>8</v>
      </c>
      <c r="AY26" s="20">
        <v>4</v>
      </c>
      <c r="AZ26" s="20">
        <v>4</v>
      </c>
      <c r="BA26" s="20">
        <v>1519</v>
      </c>
      <c r="BB26" s="20">
        <v>647</v>
      </c>
      <c r="BC26" s="20">
        <v>872</v>
      </c>
      <c r="BD26" s="20">
        <v>399</v>
      </c>
      <c r="BE26" s="20">
        <v>44</v>
      </c>
      <c r="BF26" s="20">
        <v>355</v>
      </c>
      <c r="BG26" s="20">
        <v>162</v>
      </c>
      <c r="BH26" s="20">
        <v>23</v>
      </c>
      <c r="BI26" s="20">
        <v>139</v>
      </c>
      <c r="BJ26" s="20">
        <v>958</v>
      </c>
      <c r="BK26" s="20">
        <v>580</v>
      </c>
      <c r="BL26" s="20">
        <v>378</v>
      </c>
      <c r="BM26" s="20">
        <v>11649</v>
      </c>
      <c r="BN26" s="20">
        <v>5107</v>
      </c>
      <c r="BO26" s="20">
        <v>6542</v>
      </c>
      <c r="BP26" s="20">
        <v>2892</v>
      </c>
      <c r="BQ26" s="20">
        <v>308</v>
      </c>
      <c r="BR26" s="20">
        <v>2584</v>
      </c>
      <c r="BS26" s="20">
        <v>1296</v>
      </c>
      <c r="BT26" s="20">
        <v>184</v>
      </c>
      <c r="BU26" s="20">
        <v>1112</v>
      </c>
      <c r="BV26" s="20">
        <v>7461</v>
      </c>
      <c r="BW26" s="20">
        <v>4615</v>
      </c>
      <c r="BX26" s="20">
        <v>2846</v>
      </c>
    </row>
    <row r="27" spans="1:76" ht="15.6" customHeight="1">
      <c r="A27" s="50" t="s">
        <v>165</v>
      </c>
      <c r="B27" s="94" t="s">
        <v>20</v>
      </c>
      <c r="C27" s="20">
        <v>1</v>
      </c>
      <c r="D27" s="20">
        <v>11</v>
      </c>
      <c r="E27" s="20">
        <v>1</v>
      </c>
      <c r="F27" s="20">
        <v>10</v>
      </c>
      <c r="G27" s="20">
        <v>1</v>
      </c>
      <c r="H27" s="20">
        <v>1</v>
      </c>
      <c r="I27" s="20">
        <v>0</v>
      </c>
      <c r="J27" s="20">
        <v>1</v>
      </c>
      <c r="K27" s="20">
        <v>0</v>
      </c>
      <c r="L27" s="20">
        <v>1</v>
      </c>
      <c r="M27" s="20">
        <v>9</v>
      </c>
      <c r="N27" s="20">
        <v>0</v>
      </c>
      <c r="O27" s="20">
        <v>9</v>
      </c>
      <c r="P27" s="20">
        <v>2711</v>
      </c>
      <c r="Q27" s="20">
        <v>713</v>
      </c>
      <c r="R27" s="20">
        <v>1998</v>
      </c>
      <c r="S27" s="20">
        <v>241</v>
      </c>
      <c r="T27" s="20">
        <v>241</v>
      </c>
      <c r="U27" s="20">
        <v>0</v>
      </c>
      <c r="V27" s="20">
        <v>111</v>
      </c>
      <c r="W27" s="20">
        <v>0</v>
      </c>
      <c r="X27" s="20">
        <v>111</v>
      </c>
      <c r="Y27" s="20">
        <v>2359</v>
      </c>
      <c r="Z27" s="20">
        <v>472</v>
      </c>
      <c r="AA27" s="20">
        <v>1887</v>
      </c>
      <c r="AB27" s="20">
        <v>20379</v>
      </c>
      <c r="AC27" s="20">
        <v>5150</v>
      </c>
      <c r="AD27" s="20">
        <v>15229</v>
      </c>
      <c r="AE27" s="20">
        <v>1802</v>
      </c>
      <c r="AF27" s="20">
        <v>1802</v>
      </c>
      <c r="AG27" s="20">
        <v>0</v>
      </c>
      <c r="AH27" s="20">
        <v>888</v>
      </c>
      <c r="AI27" s="20">
        <v>0</v>
      </c>
      <c r="AJ27" s="20">
        <v>888</v>
      </c>
      <c r="AK27" s="20">
        <v>17689</v>
      </c>
      <c r="AL27" s="20">
        <v>3348</v>
      </c>
      <c r="AM27" s="20">
        <v>14341</v>
      </c>
      <c r="AN27" s="20">
        <v>3</v>
      </c>
      <c r="AO27" s="20">
        <v>32</v>
      </c>
      <c r="AP27" s="20">
        <v>11</v>
      </c>
      <c r="AQ27" s="20">
        <v>21</v>
      </c>
      <c r="AR27" s="20">
        <v>0</v>
      </c>
      <c r="AS27" s="20">
        <v>0</v>
      </c>
      <c r="AT27" s="20">
        <v>0</v>
      </c>
      <c r="AU27" s="20">
        <v>3</v>
      </c>
      <c r="AV27" s="20">
        <v>2</v>
      </c>
      <c r="AW27" s="20">
        <v>1</v>
      </c>
      <c r="AX27" s="20">
        <v>29</v>
      </c>
      <c r="AY27" s="20">
        <v>9</v>
      </c>
      <c r="AZ27" s="20">
        <v>20</v>
      </c>
      <c r="BA27" s="20">
        <v>7551</v>
      </c>
      <c r="BB27" s="20">
        <v>2361</v>
      </c>
      <c r="BC27" s="20">
        <v>5190</v>
      </c>
      <c r="BD27" s="20">
        <v>17</v>
      </c>
      <c r="BE27" s="20">
        <v>17</v>
      </c>
      <c r="BF27" s="20">
        <v>0</v>
      </c>
      <c r="BG27" s="20">
        <v>485</v>
      </c>
      <c r="BH27" s="20">
        <v>314</v>
      </c>
      <c r="BI27" s="20">
        <v>171</v>
      </c>
      <c r="BJ27" s="20">
        <v>7049</v>
      </c>
      <c r="BK27" s="20">
        <v>2030</v>
      </c>
      <c r="BL27" s="20">
        <v>5019</v>
      </c>
      <c r="BM27" s="20">
        <v>60299</v>
      </c>
      <c r="BN27" s="20">
        <v>18712</v>
      </c>
      <c r="BO27" s="20">
        <v>41587</v>
      </c>
      <c r="BP27" s="20">
        <v>136</v>
      </c>
      <c r="BQ27" s="20">
        <v>136</v>
      </c>
      <c r="BR27" s="20">
        <v>0</v>
      </c>
      <c r="BS27" s="20">
        <v>3914</v>
      </c>
      <c r="BT27" s="20">
        <v>2496</v>
      </c>
      <c r="BU27" s="20">
        <v>1418</v>
      </c>
      <c r="BV27" s="20">
        <v>56249</v>
      </c>
      <c r="BW27" s="20">
        <v>16080</v>
      </c>
      <c r="BX27" s="20">
        <v>40169</v>
      </c>
    </row>
    <row r="28" spans="1:76" ht="15.6" customHeight="1">
      <c r="A28" s="50" t="s">
        <v>166</v>
      </c>
      <c r="B28" s="94" t="s">
        <v>21</v>
      </c>
      <c r="C28" s="20">
        <v>2</v>
      </c>
      <c r="D28" s="20">
        <v>26</v>
      </c>
      <c r="E28" s="20">
        <v>13</v>
      </c>
      <c r="F28" s="20">
        <v>13</v>
      </c>
      <c r="G28" s="20">
        <v>2</v>
      </c>
      <c r="H28" s="20">
        <v>0</v>
      </c>
      <c r="I28" s="20">
        <v>2</v>
      </c>
      <c r="J28" s="20">
        <v>0</v>
      </c>
      <c r="K28" s="20">
        <v>0</v>
      </c>
      <c r="L28" s="20">
        <v>0</v>
      </c>
      <c r="M28" s="20">
        <v>24</v>
      </c>
      <c r="N28" s="20">
        <v>13</v>
      </c>
      <c r="O28" s="20">
        <v>11</v>
      </c>
      <c r="P28" s="20">
        <v>4596</v>
      </c>
      <c r="Q28" s="20">
        <v>2011</v>
      </c>
      <c r="R28" s="20">
        <v>2585</v>
      </c>
      <c r="S28" s="20">
        <v>151</v>
      </c>
      <c r="T28" s="20">
        <v>0</v>
      </c>
      <c r="U28" s="20">
        <v>151</v>
      </c>
      <c r="V28" s="20">
        <v>2</v>
      </c>
      <c r="W28" s="20">
        <v>0</v>
      </c>
      <c r="X28" s="20">
        <v>2</v>
      </c>
      <c r="Y28" s="20">
        <v>4443</v>
      </c>
      <c r="Z28" s="20">
        <v>2011</v>
      </c>
      <c r="AA28" s="20">
        <v>2432</v>
      </c>
      <c r="AB28" s="20">
        <v>30241.4</v>
      </c>
      <c r="AC28" s="20">
        <v>14451.5</v>
      </c>
      <c r="AD28" s="20">
        <v>15789.9</v>
      </c>
      <c r="AE28" s="20">
        <v>728</v>
      </c>
      <c r="AF28" s="20">
        <v>0</v>
      </c>
      <c r="AG28" s="20">
        <v>728</v>
      </c>
      <c r="AH28" s="20">
        <v>16</v>
      </c>
      <c r="AI28" s="20">
        <v>0</v>
      </c>
      <c r="AJ28" s="20">
        <v>16</v>
      </c>
      <c r="AK28" s="20">
        <v>29497.4</v>
      </c>
      <c r="AL28" s="20">
        <v>14451.5</v>
      </c>
      <c r="AM28" s="20">
        <v>15045.9</v>
      </c>
      <c r="AN28" s="20">
        <v>3</v>
      </c>
      <c r="AO28" s="20">
        <v>46</v>
      </c>
      <c r="AP28" s="20">
        <v>10</v>
      </c>
      <c r="AQ28" s="20">
        <v>36</v>
      </c>
      <c r="AR28" s="20">
        <v>3</v>
      </c>
      <c r="AS28" s="20">
        <v>0</v>
      </c>
      <c r="AT28" s="20">
        <v>3</v>
      </c>
      <c r="AU28" s="20">
        <v>1</v>
      </c>
      <c r="AV28" s="20">
        <v>0</v>
      </c>
      <c r="AW28" s="20">
        <v>1</v>
      </c>
      <c r="AX28" s="20">
        <v>42</v>
      </c>
      <c r="AY28" s="20">
        <v>10</v>
      </c>
      <c r="AZ28" s="20">
        <v>32</v>
      </c>
      <c r="BA28" s="20">
        <v>8840</v>
      </c>
      <c r="BB28" s="20">
        <v>1933</v>
      </c>
      <c r="BC28" s="20">
        <v>6907</v>
      </c>
      <c r="BD28" s="20">
        <v>663</v>
      </c>
      <c r="BE28" s="20">
        <v>50</v>
      </c>
      <c r="BF28" s="20">
        <v>613</v>
      </c>
      <c r="BG28" s="20">
        <v>246</v>
      </c>
      <c r="BH28" s="20">
        <v>0</v>
      </c>
      <c r="BI28" s="20">
        <v>246</v>
      </c>
      <c r="BJ28" s="20">
        <v>7931</v>
      </c>
      <c r="BK28" s="20">
        <v>1883</v>
      </c>
      <c r="BL28" s="20">
        <v>6048</v>
      </c>
      <c r="BM28" s="20">
        <v>21616</v>
      </c>
      <c r="BN28" s="20">
        <v>4940.2</v>
      </c>
      <c r="BO28" s="20">
        <v>16675.8</v>
      </c>
      <c r="BP28" s="20">
        <v>2615.6999999999998</v>
      </c>
      <c r="BQ28" s="20">
        <v>210.4</v>
      </c>
      <c r="BR28" s="20">
        <v>2405.3000000000002</v>
      </c>
      <c r="BS28" s="20">
        <v>1061.5999999999999</v>
      </c>
      <c r="BT28" s="20">
        <v>0</v>
      </c>
      <c r="BU28" s="20">
        <v>1061.5999999999999</v>
      </c>
      <c r="BV28" s="20">
        <v>17938.7</v>
      </c>
      <c r="BW28" s="20">
        <v>4729.8</v>
      </c>
      <c r="BX28" s="20">
        <v>13208.9</v>
      </c>
    </row>
    <row r="29" spans="1:76" ht="15.6" customHeight="1">
      <c r="A29" s="50" t="s">
        <v>167</v>
      </c>
      <c r="B29" s="94" t="s">
        <v>22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0">
        <v>2</v>
      </c>
      <c r="AO29" s="20">
        <v>25</v>
      </c>
      <c r="AP29" s="20">
        <v>9</v>
      </c>
      <c r="AQ29" s="20">
        <v>16</v>
      </c>
      <c r="AR29" s="20">
        <v>1</v>
      </c>
      <c r="AS29" s="20">
        <v>1</v>
      </c>
      <c r="AT29" s="20">
        <v>0</v>
      </c>
      <c r="AU29" s="20">
        <v>0</v>
      </c>
      <c r="AV29" s="20">
        <v>0</v>
      </c>
      <c r="AW29" s="20">
        <v>0</v>
      </c>
      <c r="AX29" s="20">
        <v>24</v>
      </c>
      <c r="AY29" s="20">
        <v>8</v>
      </c>
      <c r="AZ29" s="20">
        <v>16</v>
      </c>
      <c r="BA29" s="20">
        <v>5347</v>
      </c>
      <c r="BB29" s="20">
        <v>2131</v>
      </c>
      <c r="BC29" s="20">
        <v>3216</v>
      </c>
      <c r="BD29" s="20">
        <v>277</v>
      </c>
      <c r="BE29" s="20">
        <v>251</v>
      </c>
      <c r="BF29" s="20">
        <v>26</v>
      </c>
      <c r="BG29" s="20">
        <v>0</v>
      </c>
      <c r="BH29" s="20">
        <v>0</v>
      </c>
      <c r="BI29" s="20">
        <v>0</v>
      </c>
      <c r="BJ29" s="20">
        <v>5070</v>
      </c>
      <c r="BK29" s="20">
        <v>1880</v>
      </c>
      <c r="BL29" s="20">
        <v>3190</v>
      </c>
      <c r="BM29" s="20">
        <v>9545</v>
      </c>
      <c r="BN29" s="20">
        <v>3805</v>
      </c>
      <c r="BO29" s="20">
        <v>5740</v>
      </c>
      <c r="BP29" s="20">
        <v>1130</v>
      </c>
      <c r="BQ29" s="20">
        <v>1080</v>
      </c>
      <c r="BR29" s="20">
        <v>50</v>
      </c>
      <c r="BS29" s="20">
        <v>0</v>
      </c>
      <c r="BT29" s="20">
        <v>0</v>
      </c>
      <c r="BU29" s="20">
        <v>0</v>
      </c>
      <c r="BV29" s="20">
        <v>8415</v>
      </c>
      <c r="BW29" s="20">
        <v>2725</v>
      </c>
      <c r="BX29" s="20">
        <v>5690</v>
      </c>
    </row>
    <row r="30" spans="1:76" ht="15.6" customHeight="1">
      <c r="A30" s="51" t="s">
        <v>168</v>
      </c>
      <c r="B30" s="95" t="s">
        <v>23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0</v>
      </c>
      <c r="AT30" s="22">
        <v>0</v>
      </c>
      <c r="AU30" s="22">
        <v>0</v>
      </c>
      <c r="AV30" s="22">
        <v>0</v>
      </c>
      <c r="AW30" s="22">
        <v>0</v>
      </c>
      <c r="AX30" s="22">
        <v>0</v>
      </c>
      <c r="AY30" s="22">
        <v>0</v>
      </c>
      <c r="AZ30" s="22">
        <v>0</v>
      </c>
      <c r="BA30" s="22">
        <v>0</v>
      </c>
      <c r="BB30" s="22">
        <v>0</v>
      </c>
      <c r="BC30" s="22">
        <v>0</v>
      </c>
      <c r="BD30" s="22">
        <v>0</v>
      </c>
      <c r="BE30" s="22">
        <v>0</v>
      </c>
      <c r="BF30" s="22">
        <v>0</v>
      </c>
      <c r="BG30" s="22">
        <v>0</v>
      </c>
      <c r="BH30" s="22">
        <v>0</v>
      </c>
      <c r="BI30" s="22">
        <v>0</v>
      </c>
      <c r="BJ30" s="22">
        <v>0</v>
      </c>
      <c r="BK30" s="22">
        <v>0</v>
      </c>
      <c r="BL30" s="22">
        <v>0</v>
      </c>
      <c r="BM30" s="22">
        <v>0</v>
      </c>
      <c r="BN30" s="22">
        <v>0</v>
      </c>
      <c r="BO30" s="22">
        <v>0</v>
      </c>
      <c r="BP30" s="22">
        <v>0</v>
      </c>
      <c r="BQ30" s="22">
        <v>0</v>
      </c>
      <c r="BR30" s="22">
        <v>0</v>
      </c>
      <c r="BS30" s="22">
        <v>0</v>
      </c>
      <c r="BT30" s="22">
        <v>0</v>
      </c>
      <c r="BU30" s="22">
        <v>0</v>
      </c>
      <c r="BV30" s="22">
        <v>0</v>
      </c>
      <c r="BW30" s="22">
        <v>0</v>
      </c>
      <c r="BX30" s="22">
        <v>0</v>
      </c>
    </row>
    <row r="31" spans="1:76" ht="15.6" customHeight="1">
      <c r="A31" s="127" t="s">
        <v>256</v>
      </c>
      <c r="B31" s="128"/>
    </row>
    <row r="32" spans="1:76" ht="15.6" customHeight="1">
      <c r="A32" s="84" t="s">
        <v>257</v>
      </c>
    </row>
    <row r="33" spans="1:1" ht="19.5" customHeight="1"/>
    <row r="34" spans="1:1" ht="19.5" customHeight="1">
      <c r="A34" s="31" t="s">
        <v>321</v>
      </c>
    </row>
  </sheetData>
  <mergeCells count="101">
    <mergeCell ref="BT6:BT7"/>
    <mergeCell ref="BU6:BU7"/>
    <mergeCell ref="BV6:BV7"/>
    <mergeCell ref="BW6:BW7"/>
    <mergeCell ref="BX6:BX7"/>
    <mergeCell ref="BN6:BN7"/>
    <mergeCell ref="BO6:BO7"/>
    <mergeCell ref="BP6:BP7"/>
    <mergeCell ref="BQ6:BQ7"/>
    <mergeCell ref="BR6:BR7"/>
    <mergeCell ref="BS6:BS7"/>
    <mergeCell ref="BH6:BH7"/>
    <mergeCell ref="BI6:BI7"/>
    <mergeCell ref="BJ6:BJ7"/>
    <mergeCell ref="BK6:BK7"/>
    <mergeCell ref="BL6:BL7"/>
    <mergeCell ref="BM6:BM7"/>
    <mergeCell ref="BB6:BB7"/>
    <mergeCell ref="BC6:BC7"/>
    <mergeCell ref="BD6:BD7"/>
    <mergeCell ref="BE6:BE7"/>
    <mergeCell ref="BF6:BF7"/>
    <mergeCell ref="BG6:BG7"/>
    <mergeCell ref="AX6:AX7"/>
    <mergeCell ref="AY6:AY7"/>
    <mergeCell ref="AZ6:AZ7"/>
    <mergeCell ref="BA6:BA7"/>
    <mergeCell ref="AP6:AP7"/>
    <mergeCell ref="AQ6:AQ7"/>
    <mergeCell ref="AR6:AR7"/>
    <mergeCell ref="AS6:AS7"/>
    <mergeCell ref="AT6:AT7"/>
    <mergeCell ref="AU6:AU7"/>
    <mergeCell ref="BP5:BR5"/>
    <mergeCell ref="BS5:BU5"/>
    <mergeCell ref="BV5:BX5"/>
    <mergeCell ref="AX5:AZ5"/>
    <mergeCell ref="BD5:BF5"/>
    <mergeCell ref="BG5:BI5"/>
    <mergeCell ref="BJ5:BL5"/>
    <mergeCell ref="W6:W7"/>
    <mergeCell ref="X6:X7"/>
    <mergeCell ref="Y6:Y7"/>
    <mergeCell ref="Z6:Z7"/>
    <mergeCell ref="AA6:AA7"/>
    <mergeCell ref="AB6:AB7"/>
    <mergeCell ref="AI6:AI7"/>
    <mergeCell ref="AJ6:AJ7"/>
    <mergeCell ref="AK6:AK7"/>
    <mergeCell ref="AL6:AL7"/>
    <mergeCell ref="AM6:AM7"/>
    <mergeCell ref="AO6:AO7"/>
    <mergeCell ref="AC6:AC7"/>
    <mergeCell ref="AD6:AD7"/>
    <mergeCell ref="AE6:AE7"/>
    <mergeCell ref="AF6:AF7"/>
    <mergeCell ref="AG6:AG7"/>
    <mergeCell ref="H6:H7"/>
    <mergeCell ref="I6:I7"/>
    <mergeCell ref="J6:J7"/>
    <mergeCell ref="AR5:AT5"/>
    <mergeCell ref="AU5:AW5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AH6:AH7"/>
    <mergeCell ref="AV6:AV7"/>
    <mergeCell ref="AW6:AW7"/>
    <mergeCell ref="A3:B7"/>
    <mergeCell ref="C3:AM3"/>
    <mergeCell ref="AN3:BX3"/>
    <mergeCell ref="C4:C7"/>
    <mergeCell ref="D4:O4"/>
    <mergeCell ref="P4:AA4"/>
    <mergeCell ref="AB4:AM4"/>
    <mergeCell ref="AN4:AN7"/>
    <mergeCell ref="AO4:AZ4"/>
    <mergeCell ref="BA4:BL4"/>
    <mergeCell ref="BM4:BX4"/>
    <mergeCell ref="G5:I5"/>
    <mergeCell ref="J5:L5"/>
    <mergeCell ref="M5:O5"/>
    <mergeCell ref="S5:U5"/>
    <mergeCell ref="V5:X5"/>
    <mergeCell ref="Y5:AA5"/>
    <mergeCell ref="AE5:AG5"/>
    <mergeCell ref="AH5:AJ5"/>
    <mergeCell ref="AK5:AM5"/>
    <mergeCell ref="D6:D7"/>
    <mergeCell ref="E6:E7"/>
    <mergeCell ref="F6:F7"/>
    <mergeCell ref="G6:G7"/>
  </mergeCells>
  <phoneticPr fontId="6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85" fitToWidth="10" orientation="landscape" useFirstPageNumber="1" horizontalDpi="4294967292" verticalDpi="300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BX34"/>
  <sheetViews>
    <sheetView view="pageBreakPreview" zoomScaleNormal="100" zoomScaleSheetLayoutView="100" workbookViewId="0">
      <selection activeCell="E19" sqref="E19"/>
    </sheetView>
  </sheetViews>
  <sheetFormatPr defaultColWidth="12" defaultRowHeight="12.75"/>
  <cols>
    <col min="1" max="1" width="10.1640625" style="84" customWidth="1"/>
    <col min="2" max="2" width="20.1640625" style="84" customWidth="1"/>
    <col min="3" max="15" width="11.5" style="84" customWidth="1"/>
    <col min="16" max="39" width="12.1640625" style="84" customWidth="1"/>
    <col min="40" max="52" width="11.5" style="84" customWidth="1"/>
    <col min="53" max="64" width="12" style="84" customWidth="1"/>
    <col min="65" max="76" width="12.1640625" style="84" customWidth="1"/>
    <col min="77" max="16384" width="12" style="84"/>
  </cols>
  <sheetData>
    <row r="1" spans="1:76" ht="19.5" customHeight="1">
      <c r="A1" s="115" t="s">
        <v>293</v>
      </c>
      <c r="B1" s="117"/>
    </row>
    <row r="2" spans="1:76" ht="19.5" customHeight="1">
      <c r="A2" s="26" t="s">
        <v>322</v>
      </c>
      <c r="B2" s="129"/>
    </row>
    <row r="3" spans="1:76" ht="19.5" customHeight="1">
      <c r="A3" s="410" t="s">
        <v>316</v>
      </c>
      <c r="B3" s="411"/>
      <c r="C3" s="405" t="s">
        <v>294</v>
      </c>
      <c r="D3" s="406"/>
      <c r="E3" s="406"/>
      <c r="F3" s="406"/>
      <c r="G3" s="406"/>
      <c r="H3" s="406"/>
      <c r="I3" s="406"/>
      <c r="J3" s="406"/>
      <c r="K3" s="406"/>
      <c r="L3" s="406"/>
      <c r="M3" s="406"/>
      <c r="N3" s="406"/>
      <c r="O3" s="406"/>
      <c r="P3" s="406"/>
      <c r="Q3" s="406"/>
      <c r="R3" s="406"/>
      <c r="S3" s="406"/>
      <c r="T3" s="406"/>
      <c r="U3" s="406"/>
      <c r="V3" s="406"/>
      <c r="W3" s="406"/>
      <c r="X3" s="406"/>
      <c r="Y3" s="406"/>
      <c r="Z3" s="406"/>
      <c r="AA3" s="406"/>
      <c r="AB3" s="406"/>
      <c r="AC3" s="406"/>
      <c r="AD3" s="406"/>
      <c r="AE3" s="406"/>
      <c r="AF3" s="406"/>
      <c r="AG3" s="406"/>
      <c r="AH3" s="406"/>
      <c r="AI3" s="406"/>
      <c r="AJ3" s="406"/>
      <c r="AK3" s="406"/>
      <c r="AL3" s="406"/>
      <c r="AM3" s="407"/>
      <c r="AN3" s="405" t="s">
        <v>295</v>
      </c>
      <c r="AO3" s="406"/>
      <c r="AP3" s="406"/>
      <c r="AQ3" s="406"/>
      <c r="AR3" s="406"/>
      <c r="AS3" s="406"/>
      <c r="AT3" s="406"/>
      <c r="AU3" s="406"/>
      <c r="AV3" s="406"/>
      <c r="AW3" s="406"/>
      <c r="AX3" s="406"/>
      <c r="AY3" s="406"/>
      <c r="AZ3" s="406"/>
      <c r="BA3" s="406"/>
      <c r="BB3" s="406"/>
      <c r="BC3" s="406"/>
      <c r="BD3" s="406"/>
      <c r="BE3" s="406"/>
      <c r="BF3" s="406"/>
      <c r="BG3" s="406"/>
      <c r="BH3" s="406"/>
      <c r="BI3" s="406"/>
      <c r="BJ3" s="406"/>
      <c r="BK3" s="406"/>
      <c r="BL3" s="406"/>
      <c r="BM3" s="406"/>
      <c r="BN3" s="406"/>
      <c r="BO3" s="406"/>
      <c r="BP3" s="406"/>
      <c r="BQ3" s="406"/>
      <c r="BR3" s="406"/>
      <c r="BS3" s="406"/>
      <c r="BT3" s="406"/>
      <c r="BU3" s="406"/>
      <c r="BV3" s="406"/>
      <c r="BW3" s="406"/>
      <c r="BX3" s="406"/>
    </row>
    <row r="4" spans="1:76" s="82" customFormat="1" ht="19.5" customHeight="1">
      <c r="A4" s="412"/>
      <c r="B4" s="413"/>
      <c r="C4" s="416" t="s">
        <v>296</v>
      </c>
      <c r="D4" s="405" t="s">
        <v>297</v>
      </c>
      <c r="E4" s="406"/>
      <c r="F4" s="406"/>
      <c r="G4" s="406"/>
      <c r="H4" s="406"/>
      <c r="I4" s="406"/>
      <c r="J4" s="406"/>
      <c r="K4" s="406"/>
      <c r="L4" s="406"/>
      <c r="M4" s="406"/>
      <c r="N4" s="406"/>
      <c r="O4" s="407"/>
      <c r="P4" s="419" t="s">
        <v>298</v>
      </c>
      <c r="Q4" s="419"/>
      <c r="R4" s="419"/>
      <c r="S4" s="419"/>
      <c r="T4" s="419"/>
      <c r="U4" s="419"/>
      <c r="V4" s="419"/>
      <c r="W4" s="419"/>
      <c r="X4" s="419"/>
      <c r="Y4" s="419"/>
      <c r="Z4" s="419"/>
      <c r="AA4" s="419"/>
      <c r="AB4" s="419" t="s">
        <v>299</v>
      </c>
      <c r="AC4" s="419"/>
      <c r="AD4" s="419"/>
      <c r="AE4" s="419"/>
      <c r="AF4" s="419"/>
      <c r="AG4" s="419"/>
      <c r="AH4" s="419"/>
      <c r="AI4" s="419"/>
      <c r="AJ4" s="419"/>
      <c r="AK4" s="419"/>
      <c r="AL4" s="419"/>
      <c r="AM4" s="419"/>
      <c r="AN4" s="417" t="s">
        <v>300</v>
      </c>
      <c r="AO4" s="405" t="s">
        <v>297</v>
      </c>
      <c r="AP4" s="406"/>
      <c r="AQ4" s="406"/>
      <c r="AR4" s="406"/>
      <c r="AS4" s="406"/>
      <c r="AT4" s="406"/>
      <c r="AU4" s="406"/>
      <c r="AV4" s="406"/>
      <c r="AW4" s="406"/>
      <c r="AX4" s="406"/>
      <c r="AY4" s="406"/>
      <c r="AZ4" s="407"/>
      <c r="BA4" s="405" t="s">
        <v>301</v>
      </c>
      <c r="BB4" s="406"/>
      <c r="BC4" s="406"/>
      <c r="BD4" s="406"/>
      <c r="BE4" s="406"/>
      <c r="BF4" s="406"/>
      <c r="BG4" s="406"/>
      <c r="BH4" s="406"/>
      <c r="BI4" s="406"/>
      <c r="BJ4" s="406"/>
      <c r="BK4" s="406"/>
      <c r="BL4" s="407"/>
      <c r="BM4" s="405" t="s">
        <v>302</v>
      </c>
      <c r="BN4" s="406"/>
      <c r="BO4" s="406"/>
      <c r="BP4" s="406"/>
      <c r="BQ4" s="406"/>
      <c r="BR4" s="406"/>
      <c r="BS4" s="406"/>
      <c r="BT4" s="406"/>
      <c r="BU4" s="406"/>
      <c r="BV4" s="406"/>
      <c r="BW4" s="406"/>
      <c r="BX4" s="406"/>
    </row>
    <row r="5" spans="1:76" s="83" customFormat="1" ht="27" customHeight="1">
      <c r="A5" s="412"/>
      <c r="B5" s="413"/>
      <c r="C5" s="417"/>
      <c r="D5" s="130" t="s">
        <v>303</v>
      </c>
      <c r="E5" s="131"/>
      <c r="F5" s="132"/>
      <c r="G5" s="420" t="s">
        <v>304</v>
      </c>
      <c r="H5" s="420"/>
      <c r="I5" s="420"/>
      <c r="J5" s="420" t="s">
        <v>305</v>
      </c>
      <c r="K5" s="420"/>
      <c r="L5" s="420"/>
      <c r="M5" s="420" t="s">
        <v>306</v>
      </c>
      <c r="N5" s="420"/>
      <c r="O5" s="420"/>
      <c r="P5" s="130" t="s">
        <v>303</v>
      </c>
      <c r="Q5" s="131"/>
      <c r="R5" s="132"/>
      <c r="S5" s="420" t="s">
        <v>304</v>
      </c>
      <c r="T5" s="420"/>
      <c r="U5" s="420"/>
      <c r="V5" s="420" t="s">
        <v>305</v>
      </c>
      <c r="W5" s="420"/>
      <c r="X5" s="420"/>
      <c r="Y5" s="420" t="s">
        <v>306</v>
      </c>
      <c r="Z5" s="420"/>
      <c r="AA5" s="420"/>
      <c r="AB5" s="130" t="s">
        <v>303</v>
      </c>
      <c r="AC5" s="131"/>
      <c r="AD5" s="132"/>
      <c r="AE5" s="420" t="s">
        <v>304</v>
      </c>
      <c r="AF5" s="420"/>
      <c r="AG5" s="420"/>
      <c r="AH5" s="420" t="s">
        <v>305</v>
      </c>
      <c r="AI5" s="420"/>
      <c r="AJ5" s="420"/>
      <c r="AK5" s="420" t="s">
        <v>306</v>
      </c>
      <c r="AL5" s="420"/>
      <c r="AM5" s="420"/>
      <c r="AN5" s="417"/>
      <c r="AO5" s="130" t="s">
        <v>303</v>
      </c>
      <c r="AP5" s="131"/>
      <c r="AQ5" s="132"/>
      <c r="AR5" s="420" t="s">
        <v>304</v>
      </c>
      <c r="AS5" s="420"/>
      <c r="AT5" s="420"/>
      <c r="AU5" s="420" t="s">
        <v>305</v>
      </c>
      <c r="AV5" s="420"/>
      <c r="AW5" s="420"/>
      <c r="AX5" s="420" t="s">
        <v>306</v>
      </c>
      <c r="AY5" s="420"/>
      <c r="AZ5" s="420"/>
      <c r="BA5" s="130" t="s">
        <v>303</v>
      </c>
      <c r="BB5" s="133"/>
      <c r="BC5" s="132"/>
      <c r="BD5" s="420" t="s">
        <v>304</v>
      </c>
      <c r="BE5" s="420"/>
      <c r="BF5" s="420"/>
      <c r="BG5" s="420" t="s">
        <v>305</v>
      </c>
      <c r="BH5" s="420"/>
      <c r="BI5" s="420"/>
      <c r="BJ5" s="420" t="s">
        <v>306</v>
      </c>
      <c r="BK5" s="420"/>
      <c r="BL5" s="420"/>
      <c r="BM5" s="130" t="s">
        <v>303</v>
      </c>
      <c r="BN5" s="133"/>
      <c r="BO5" s="132"/>
      <c r="BP5" s="420" t="s">
        <v>304</v>
      </c>
      <c r="BQ5" s="420"/>
      <c r="BR5" s="420"/>
      <c r="BS5" s="420" t="s">
        <v>305</v>
      </c>
      <c r="BT5" s="420"/>
      <c r="BU5" s="420"/>
      <c r="BV5" s="420" t="s">
        <v>306</v>
      </c>
      <c r="BW5" s="420"/>
      <c r="BX5" s="422"/>
    </row>
    <row r="6" spans="1:76" ht="19.5" customHeight="1">
      <c r="A6" s="412"/>
      <c r="B6" s="413"/>
      <c r="C6" s="417"/>
      <c r="D6" s="416" t="s">
        <v>307</v>
      </c>
      <c r="E6" s="416" t="s">
        <v>308</v>
      </c>
      <c r="F6" s="416" t="s">
        <v>309</v>
      </c>
      <c r="G6" s="416" t="s">
        <v>307</v>
      </c>
      <c r="H6" s="416" t="s">
        <v>308</v>
      </c>
      <c r="I6" s="416" t="s">
        <v>309</v>
      </c>
      <c r="J6" s="416" t="s">
        <v>307</v>
      </c>
      <c r="K6" s="416" t="s">
        <v>308</v>
      </c>
      <c r="L6" s="416" t="s">
        <v>309</v>
      </c>
      <c r="M6" s="416" t="s">
        <v>307</v>
      </c>
      <c r="N6" s="416" t="s">
        <v>308</v>
      </c>
      <c r="O6" s="416" t="s">
        <v>309</v>
      </c>
      <c r="P6" s="416" t="s">
        <v>307</v>
      </c>
      <c r="Q6" s="416" t="s">
        <v>308</v>
      </c>
      <c r="R6" s="416" t="s">
        <v>309</v>
      </c>
      <c r="S6" s="416" t="s">
        <v>307</v>
      </c>
      <c r="T6" s="416" t="s">
        <v>308</v>
      </c>
      <c r="U6" s="416" t="s">
        <v>309</v>
      </c>
      <c r="V6" s="416" t="s">
        <v>307</v>
      </c>
      <c r="W6" s="416" t="s">
        <v>308</v>
      </c>
      <c r="X6" s="416" t="s">
        <v>309</v>
      </c>
      <c r="Y6" s="416" t="s">
        <v>307</v>
      </c>
      <c r="Z6" s="416" t="s">
        <v>308</v>
      </c>
      <c r="AA6" s="416" t="s">
        <v>309</v>
      </c>
      <c r="AB6" s="416" t="s">
        <v>307</v>
      </c>
      <c r="AC6" s="416" t="s">
        <v>308</v>
      </c>
      <c r="AD6" s="416" t="s">
        <v>309</v>
      </c>
      <c r="AE6" s="416" t="s">
        <v>307</v>
      </c>
      <c r="AF6" s="416" t="s">
        <v>308</v>
      </c>
      <c r="AG6" s="416" t="s">
        <v>309</v>
      </c>
      <c r="AH6" s="416" t="s">
        <v>307</v>
      </c>
      <c r="AI6" s="416" t="s">
        <v>308</v>
      </c>
      <c r="AJ6" s="416" t="s">
        <v>309</v>
      </c>
      <c r="AK6" s="416" t="s">
        <v>307</v>
      </c>
      <c r="AL6" s="416" t="s">
        <v>308</v>
      </c>
      <c r="AM6" s="416" t="s">
        <v>309</v>
      </c>
      <c r="AN6" s="417"/>
      <c r="AO6" s="416" t="s">
        <v>307</v>
      </c>
      <c r="AP6" s="416" t="s">
        <v>308</v>
      </c>
      <c r="AQ6" s="416" t="s">
        <v>309</v>
      </c>
      <c r="AR6" s="416" t="s">
        <v>307</v>
      </c>
      <c r="AS6" s="416" t="s">
        <v>308</v>
      </c>
      <c r="AT6" s="416" t="s">
        <v>309</v>
      </c>
      <c r="AU6" s="416" t="s">
        <v>307</v>
      </c>
      <c r="AV6" s="416" t="s">
        <v>308</v>
      </c>
      <c r="AW6" s="416" t="s">
        <v>309</v>
      </c>
      <c r="AX6" s="416" t="s">
        <v>307</v>
      </c>
      <c r="AY6" s="416" t="s">
        <v>308</v>
      </c>
      <c r="AZ6" s="416" t="s">
        <v>309</v>
      </c>
      <c r="BA6" s="416" t="s">
        <v>307</v>
      </c>
      <c r="BB6" s="416" t="s">
        <v>308</v>
      </c>
      <c r="BC6" s="416" t="s">
        <v>309</v>
      </c>
      <c r="BD6" s="416" t="s">
        <v>307</v>
      </c>
      <c r="BE6" s="416" t="s">
        <v>308</v>
      </c>
      <c r="BF6" s="416" t="s">
        <v>309</v>
      </c>
      <c r="BG6" s="416" t="s">
        <v>307</v>
      </c>
      <c r="BH6" s="416" t="s">
        <v>308</v>
      </c>
      <c r="BI6" s="416" t="s">
        <v>309</v>
      </c>
      <c r="BJ6" s="416" t="s">
        <v>307</v>
      </c>
      <c r="BK6" s="416" t="s">
        <v>308</v>
      </c>
      <c r="BL6" s="416" t="s">
        <v>309</v>
      </c>
      <c r="BM6" s="416" t="s">
        <v>307</v>
      </c>
      <c r="BN6" s="416" t="s">
        <v>308</v>
      </c>
      <c r="BO6" s="416" t="s">
        <v>309</v>
      </c>
      <c r="BP6" s="416" t="s">
        <v>307</v>
      </c>
      <c r="BQ6" s="416" t="s">
        <v>308</v>
      </c>
      <c r="BR6" s="416" t="s">
        <v>309</v>
      </c>
      <c r="BS6" s="416" t="s">
        <v>307</v>
      </c>
      <c r="BT6" s="416" t="s">
        <v>308</v>
      </c>
      <c r="BU6" s="416" t="s">
        <v>309</v>
      </c>
      <c r="BV6" s="416" t="s">
        <v>307</v>
      </c>
      <c r="BW6" s="416" t="s">
        <v>308</v>
      </c>
      <c r="BX6" s="423" t="s">
        <v>309</v>
      </c>
    </row>
    <row r="7" spans="1:76" ht="19.5" customHeight="1">
      <c r="A7" s="414"/>
      <c r="B7" s="415"/>
      <c r="C7" s="418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421"/>
      <c r="S7" s="421"/>
      <c r="T7" s="421"/>
      <c r="U7" s="421"/>
      <c r="V7" s="421"/>
      <c r="W7" s="421"/>
      <c r="X7" s="421"/>
      <c r="Y7" s="421"/>
      <c r="Z7" s="421"/>
      <c r="AA7" s="421"/>
      <c r="AB7" s="421"/>
      <c r="AC7" s="421"/>
      <c r="AD7" s="421"/>
      <c r="AE7" s="421"/>
      <c r="AF7" s="421"/>
      <c r="AG7" s="421"/>
      <c r="AH7" s="421"/>
      <c r="AI7" s="421"/>
      <c r="AJ7" s="421"/>
      <c r="AK7" s="421"/>
      <c r="AL7" s="421"/>
      <c r="AM7" s="421"/>
      <c r="AN7" s="418"/>
      <c r="AO7" s="421"/>
      <c r="AP7" s="421"/>
      <c r="AQ7" s="421"/>
      <c r="AR7" s="421"/>
      <c r="AS7" s="421"/>
      <c r="AT7" s="421"/>
      <c r="AU7" s="421"/>
      <c r="AV7" s="421"/>
      <c r="AW7" s="421"/>
      <c r="AX7" s="421"/>
      <c r="AY7" s="421"/>
      <c r="AZ7" s="421"/>
      <c r="BA7" s="421"/>
      <c r="BB7" s="421"/>
      <c r="BC7" s="421"/>
      <c r="BD7" s="421"/>
      <c r="BE7" s="421"/>
      <c r="BF7" s="421"/>
      <c r="BG7" s="421"/>
      <c r="BH7" s="421"/>
      <c r="BI7" s="421"/>
      <c r="BJ7" s="421"/>
      <c r="BK7" s="421"/>
      <c r="BL7" s="421"/>
      <c r="BM7" s="421"/>
      <c r="BN7" s="421"/>
      <c r="BO7" s="421"/>
      <c r="BP7" s="421"/>
      <c r="BQ7" s="421"/>
      <c r="BR7" s="421"/>
      <c r="BS7" s="421"/>
      <c r="BT7" s="421"/>
      <c r="BU7" s="421"/>
      <c r="BV7" s="421"/>
      <c r="BW7" s="421"/>
      <c r="BX7" s="424"/>
    </row>
    <row r="8" spans="1:76" s="123" customFormat="1" ht="15.6" customHeight="1">
      <c r="A8" s="134" t="s">
        <v>292</v>
      </c>
      <c r="B8" s="121" t="s">
        <v>199</v>
      </c>
      <c r="C8" s="41">
        <v>18</v>
      </c>
      <c r="D8" s="41">
        <v>273</v>
      </c>
      <c r="E8" s="41">
        <v>85</v>
      </c>
      <c r="F8" s="41">
        <v>188</v>
      </c>
      <c r="G8" s="41">
        <v>10</v>
      </c>
      <c r="H8" s="41">
        <v>5</v>
      </c>
      <c r="I8" s="41">
        <v>5</v>
      </c>
      <c r="J8" s="41">
        <v>16</v>
      </c>
      <c r="K8" s="41">
        <v>4</v>
      </c>
      <c r="L8" s="41">
        <v>12</v>
      </c>
      <c r="M8" s="41">
        <v>247</v>
      </c>
      <c r="N8" s="41">
        <v>76</v>
      </c>
      <c r="O8" s="41">
        <v>171</v>
      </c>
      <c r="P8" s="41">
        <v>52425</v>
      </c>
      <c r="Q8" s="41">
        <v>16963</v>
      </c>
      <c r="R8" s="41">
        <v>35462</v>
      </c>
      <c r="S8" s="41">
        <v>2569</v>
      </c>
      <c r="T8" s="41">
        <v>1113</v>
      </c>
      <c r="U8" s="41">
        <v>1456</v>
      </c>
      <c r="V8" s="41">
        <v>3052</v>
      </c>
      <c r="W8" s="41">
        <v>1010</v>
      </c>
      <c r="X8" s="41">
        <v>2042</v>
      </c>
      <c r="Y8" s="41">
        <v>46804</v>
      </c>
      <c r="Z8" s="41">
        <v>14840</v>
      </c>
      <c r="AA8" s="41">
        <v>31964</v>
      </c>
      <c r="AB8" s="41">
        <v>380766.5</v>
      </c>
      <c r="AC8" s="41">
        <v>125078</v>
      </c>
      <c r="AD8" s="41">
        <v>255688.5</v>
      </c>
      <c r="AE8" s="41">
        <v>20347</v>
      </c>
      <c r="AF8" s="41">
        <v>8871</v>
      </c>
      <c r="AG8" s="41">
        <v>11476</v>
      </c>
      <c r="AH8" s="41">
        <v>22040</v>
      </c>
      <c r="AI8" s="41">
        <v>7912</v>
      </c>
      <c r="AJ8" s="41">
        <v>14128</v>
      </c>
      <c r="AK8" s="41">
        <v>338379.5</v>
      </c>
      <c r="AL8" s="41">
        <v>108295</v>
      </c>
      <c r="AM8" s="41">
        <v>230084.5</v>
      </c>
      <c r="AN8" s="41">
        <v>76</v>
      </c>
      <c r="AO8" s="41">
        <v>1605</v>
      </c>
      <c r="AP8" s="41">
        <v>560</v>
      </c>
      <c r="AQ8" s="41">
        <v>1045</v>
      </c>
      <c r="AR8" s="41">
        <v>113</v>
      </c>
      <c r="AS8" s="41">
        <v>47</v>
      </c>
      <c r="AT8" s="41">
        <v>66</v>
      </c>
      <c r="AU8" s="41">
        <v>96</v>
      </c>
      <c r="AV8" s="41">
        <v>47</v>
      </c>
      <c r="AW8" s="41">
        <v>49</v>
      </c>
      <c r="AX8" s="41">
        <v>1396</v>
      </c>
      <c r="AY8" s="41">
        <v>466</v>
      </c>
      <c r="AZ8" s="41">
        <v>930</v>
      </c>
      <c r="BA8" s="41">
        <v>315826</v>
      </c>
      <c r="BB8" s="41">
        <v>108759</v>
      </c>
      <c r="BC8" s="41">
        <v>207067</v>
      </c>
      <c r="BD8" s="41">
        <v>19438</v>
      </c>
      <c r="BE8" s="41">
        <v>6956</v>
      </c>
      <c r="BF8" s="41">
        <v>12482</v>
      </c>
      <c r="BG8" s="41">
        <v>21778</v>
      </c>
      <c r="BH8" s="41">
        <v>9722</v>
      </c>
      <c r="BI8" s="41">
        <v>12056</v>
      </c>
      <c r="BJ8" s="41">
        <v>274610</v>
      </c>
      <c r="BK8" s="41">
        <v>92081</v>
      </c>
      <c r="BL8" s="41">
        <v>182529</v>
      </c>
      <c r="BM8" s="41">
        <v>2301607.4</v>
      </c>
      <c r="BN8" s="41">
        <v>789833.7</v>
      </c>
      <c r="BO8" s="41">
        <v>1511773.7</v>
      </c>
      <c r="BP8" s="41">
        <v>137576.20000000001</v>
      </c>
      <c r="BQ8" s="41">
        <v>48962</v>
      </c>
      <c r="BR8" s="41">
        <v>88614.2</v>
      </c>
      <c r="BS8" s="41">
        <v>156256.20000000001</v>
      </c>
      <c r="BT8" s="41">
        <v>67209.5</v>
      </c>
      <c r="BU8" s="41">
        <v>89046.7</v>
      </c>
      <c r="BV8" s="41">
        <v>2007775</v>
      </c>
      <c r="BW8" s="41">
        <v>673662.2</v>
      </c>
      <c r="BX8" s="41">
        <v>1334112.8</v>
      </c>
    </row>
    <row r="9" spans="1:76" s="126" customFormat="1" ht="15.6" customHeight="1">
      <c r="A9" s="49" t="s">
        <v>147</v>
      </c>
      <c r="B9" s="124" t="s">
        <v>318</v>
      </c>
      <c r="C9" s="41">
        <v>1</v>
      </c>
      <c r="D9" s="41">
        <v>37</v>
      </c>
      <c r="E9" s="41">
        <v>14</v>
      </c>
      <c r="F9" s="41">
        <v>23</v>
      </c>
      <c r="G9" s="41" t="s">
        <v>261</v>
      </c>
      <c r="H9" s="41" t="s">
        <v>261</v>
      </c>
      <c r="I9" s="41" t="s">
        <v>261</v>
      </c>
      <c r="J9" s="41">
        <v>1</v>
      </c>
      <c r="K9" s="41">
        <v>1</v>
      </c>
      <c r="L9" s="41" t="s">
        <v>261</v>
      </c>
      <c r="M9" s="41">
        <v>36</v>
      </c>
      <c r="N9" s="41">
        <v>13</v>
      </c>
      <c r="O9" s="41">
        <v>23</v>
      </c>
      <c r="P9" s="41">
        <v>9900</v>
      </c>
      <c r="Q9" s="41">
        <v>4004</v>
      </c>
      <c r="R9" s="41">
        <v>5896</v>
      </c>
      <c r="S9" s="41" t="s">
        <v>261</v>
      </c>
      <c r="T9" s="41" t="s">
        <v>261</v>
      </c>
      <c r="U9" s="41" t="s">
        <v>261</v>
      </c>
      <c r="V9" s="41">
        <v>198</v>
      </c>
      <c r="W9" s="41">
        <v>198</v>
      </c>
      <c r="X9" s="41" t="s">
        <v>261</v>
      </c>
      <c r="Y9" s="41">
        <v>9702</v>
      </c>
      <c r="Z9" s="41">
        <v>3806</v>
      </c>
      <c r="AA9" s="41">
        <v>5896</v>
      </c>
      <c r="AB9" s="41">
        <v>79200</v>
      </c>
      <c r="AC9" s="41">
        <v>32032</v>
      </c>
      <c r="AD9" s="41">
        <v>47168</v>
      </c>
      <c r="AE9" s="41" t="s">
        <v>262</v>
      </c>
      <c r="AF9" s="41" t="s">
        <v>262</v>
      </c>
      <c r="AG9" s="41" t="s">
        <v>262</v>
      </c>
      <c r="AH9" s="41">
        <v>1584</v>
      </c>
      <c r="AI9" s="41">
        <v>1584</v>
      </c>
      <c r="AJ9" s="41" t="s">
        <v>262</v>
      </c>
      <c r="AK9" s="41">
        <v>77616</v>
      </c>
      <c r="AL9" s="41">
        <v>30448</v>
      </c>
      <c r="AM9" s="41">
        <v>47168</v>
      </c>
      <c r="AN9" s="41">
        <v>5</v>
      </c>
      <c r="AO9" s="41">
        <v>88</v>
      </c>
      <c r="AP9" s="41">
        <v>36</v>
      </c>
      <c r="AQ9" s="41">
        <v>52</v>
      </c>
      <c r="AR9" s="41">
        <v>4</v>
      </c>
      <c r="AS9" s="41">
        <v>1</v>
      </c>
      <c r="AT9" s="41">
        <v>3</v>
      </c>
      <c r="AU9" s="41" t="s">
        <v>261</v>
      </c>
      <c r="AV9" s="41" t="s">
        <v>261</v>
      </c>
      <c r="AW9" s="41" t="s">
        <v>261</v>
      </c>
      <c r="AX9" s="41">
        <v>84</v>
      </c>
      <c r="AY9" s="41">
        <v>35</v>
      </c>
      <c r="AZ9" s="41">
        <v>49</v>
      </c>
      <c r="BA9" s="41">
        <v>21868</v>
      </c>
      <c r="BB9" s="41">
        <v>8712</v>
      </c>
      <c r="BC9" s="41">
        <v>13156</v>
      </c>
      <c r="BD9" s="41">
        <v>858</v>
      </c>
      <c r="BE9" s="41">
        <v>88</v>
      </c>
      <c r="BF9" s="41">
        <v>770</v>
      </c>
      <c r="BG9" s="41">
        <v>110</v>
      </c>
      <c r="BH9" s="41">
        <v>110</v>
      </c>
      <c r="BI9" s="41" t="s">
        <v>261</v>
      </c>
      <c r="BJ9" s="41">
        <v>20900</v>
      </c>
      <c r="BK9" s="41">
        <v>8514</v>
      </c>
      <c r="BL9" s="41">
        <v>12386</v>
      </c>
      <c r="BM9" s="41">
        <v>174944</v>
      </c>
      <c r="BN9" s="41">
        <v>69696</v>
      </c>
      <c r="BO9" s="41">
        <v>105248</v>
      </c>
      <c r="BP9" s="41">
        <v>6864</v>
      </c>
      <c r="BQ9" s="41">
        <v>704</v>
      </c>
      <c r="BR9" s="41">
        <v>6160</v>
      </c>
      <c r="BS9" s="41">
        <v>880</v>
      </c>
      <c r="BT9" s="41">
        <v>880</v>
      </c>
      <c r="BU9" s="41" t="s">
        <v>262</v>
      </c>
      <c r="BV9" s="41">
        <v>167200</v>
      </c>
      <c r="BW9" s="41">
        <v>68112</v>
      </c>
      <c r="BX9" s="41">
        <v>99088</v>
      </c>
    </row>
    <row r="10" spans="1:76" s="126" customFormat="1" ht="15.6" customHeight="1">
      <c r="A10" s="49" t="s">
        <v>148</v>
      </c>
      <c r="B10" s="124" t="s">
        <v>3</v>
      </c>
      <c r="C10" s="41">
        <v>2</v>
      </c>
      <c r="D10" s="41">
        <v>34</v>
      </c>
      <c r="E10" s="41">
        <v>9</v>
      </c>
      <c r="F10" s="41">
        <v>25</v>
      </c>
      <c r="G10" s="41" t="s">
        <v>261</v>
      </c>
      <c r="H10" s="41" t="s">
        <v>261</v>
      </c>
      <c r="I10" s="41" t="s">
        <v>261</v>
      </c>
      <c r="J10" s="41" t="s">
        <v>261</v>
      </c>
      <c r="K10" s="41" t="s">
        <v>261</v>
      </c>
      <c r="L10" s="41" t="s">
        <v>261</v>
      </c>
      <c r="M10" s="41">
        <v>34</v>
      </c>
      <c r="N10" s="41">
        <v>9</v>
      </c>
      <c r="O10" s="41">
        <v>25</v>
      </c>
      <c r="P10" s="41">
        <v>6598</v>
      </c>
      <c r="Q10" s="41">
        <v>1933</v>
      </c>
      <c r="R10" s="41">
        <v>4665</v>
      </c>
      <c r="S10" s="41">
        <v>649</v>
      </c>
      <c r="T10" s="41">
        <v>188</v>
      </c>
      <c r="U10" s="41">
        <v>461</v>
      </c>
      <c r="V10" s="41">
        <v>155</v>
      </c>
      <c r="W10" s="41">
        <v>24</v>
      </c>
      <c r="X10" s="41">
        <v>131</v>
      </c>
      <c r="Y10" s="41">
        <v>5794</v>
      </c>
      <c r="Z10" s="41">
        <v>1721</v>
      </c>
      <c r="AA10" s="41">
        <v>4073</v>
      </c>
      <c r="AB10" s="41">
        <v>52269</v>
      </c>
      <c r="AC10" s="41">
        <v>15489</v>
      </c>
      <c r="AD10" s="41">
        <v>36780</v>
      </c>
      <c r="AE10" s="41">
        <v>5192</v>
      </c>
      <c r="AF10" s="41">
        <v>1504</v>
      </c>
      <c r="AG10" s="41">
        <v>3688</v>
      </c>
      <c r="AH10" s="41">
        <v>1240</v>
      </c>
      <c r="AI10" s="41">
        <v>192</v>
      </c>
      <c r="AJ10" s="41">
        <v>1048</v>
      </c>
      <c r="AK10" s="41">
        <v>45837</v>
      </c>
      <c r="AL10" s="41">
        <v>13793</v>
      </c>
      <c r="AM10" s="41">
        <v>32044</v>
      </c>
      <c r="AN10" s="41">
        <v>12</v>
      </c>
      <c r="AO10" s="41">
        <v>266</v>
      </c>
      <c r="AP10" s="41">
        <v>89</v>
      </c>
      <c r="AQ10" s="41">
        <v>177</v>
      </c>
      <c r="AR10" s="41">
        <v>6</v>
      </c>
      <c r="AS10" s="41">
        <v>2</v>
      </c>
      <c r="AT10" s="41">
        <v>4</v>
      </c>
      <c r="AU10" s="41">
        <v>14</v>
      </c>
      <c r="AV10" s="41">
        <v>6</v>
      </c>
      <c r="AW10" s="41">
        <v>8</v>
      </c>
      <c r="AX10" s="41">
        <v>246</v>
      </c>
      <c r="AY10" s="41">
        <v>81</v>
      </c>
      <c r="AZ10" s="41">
        <v>165</v>
      </c>
      <c r="BA10" s="41">
        <v>57789</v>
      </c>
      <c r="BB10" s="41">
        <v>17845</v>
      </c>
      <c r="BC10" s="41">
        <v>39944</v>
      </c>
      <c r="BD10" s="41">
        <v>1305</v>
      </c>
      <c r="BE10" s="41">
        <v>518</v>
      </c>
      <c r="BF10" s="41">
        <v>787</v>
      </c>
      <c r="BG10" s="41">
        <v>4323</v>
      </c>
      <c r="BH10" s="41">
        <v>1404</v>
      </c>
      <c r="BI10" s="41">
        <v>2919</v>
      </c>
      <c r="BJ10" s="41">
        <v>52161</v>
      </c>
      <c r="BK10" s="41">
        <v>15923</v>
      </c>
      <c r="BL10" s="41">
        <v>36238</v>
      </c>
      <c r="BM10" s="41">
        <v>454966</v>
      </c>
      <c r="BN10" s="41">
        <v>142011</v>
      </c>
      <c r="BO10" s="41">
        <v>312955</v>
      </c>
      <c r="BP10" s="41">
        <v>10554</v>
      </c>
      <c r="BQ10" s="41">
        <v>4232</v>
      </c>
      <c r="BR10" s="41">
        <v>6322</v>
      </c>
      <c r="BS10" s="41">
        <v>34030</v>
      </c>
      <c r="BT10" s="41">
        <v>10655</v>
      </c>
      <c r="BU10" s="41">
        <v>23375</v>
      </c>
      <c r="BV10" s="41">
        <v>410382</v>
      </c>
      <c r="BW10" s="41">
        <v>127124</v>
      </c>
      <c r="BX10" s="41">
        <v>283258</v>
      </c>
    </row>
    <row r="11" spans="1:76" s="126" customFormat="1" ht="15.6" customHeight="1">
      <c r="A11" s="49" t="s">
        <v>149</v>
      </c>
      <c r="B11" s="124" t="s">
        <v>4</v>
      </c>
      <c r="C11" s="41">
        <v>3</v>
      </c>
      <c r="D11" s="41">
        <v>39</v>
      </c>
      <c r="E11" s="41">
        <v>13</v>
      </c>
      <c r="F11" s="41">
        <v>26</v>
      </c>
      <c r="G11" s="41">
        <v>6</v>
      </c>
      <c r="H11" s="41">
        <v>3</v>
      </c>
      <c r="I11" s="41">
        <v>3</v>
      </c>
      <c r="J11" s="41">
        <v>3</v>
      </c>
      <c r="K11" s="41">
        <v>1</v>
      </c>
      <c r="L11" s="41">
        <v>2</v>
      </c>
      <c r="M11" s="41">
        <v>30</v>
      </c>
      <c r="N11" s="41">
        <v>9</v>
      </c>
      <c r="O11" s="41">
        <v>21</v>
      </c>
      <c r="P11" s="41">
        <v>8640</v>
      </c>
      <c r="Q11" s="41">
        <v>2640</v>
      </c>
      <c r="R11" s="41">
        <v>6000</v>
      </c>
      <c r="S11" s="41">
        <v>1377</v>
      </c>
      <c r="T11" s="41">
        <v>523</v>
      </c>
      <c r="U11" s="41">
        <v>854</v>
      </c>
      <c r="V11" s="41">
        <v>441</v>
      </c>
      <c r="W11" s="41">
        <v>100</v>
      </c>
      <c r="X11" s="41">
        <v>341</v>
      </c>
      <c r="Y11" s="41">
        <v>6822</v>
      </c>
      <c r="Z11" s="41">
        <v>2017</v>
      </c>
      <c r="AA11" s="41">
        <v>4805</v>
      </c>
      <c r="AB11" s="41">
        <v>69111</v>
      </c>
      <c r="AC11" s="41">
        <v>21127</v>
      </c>
      <c r="AD11" s="41">
        <v>47984</v>
      </c>
      <c r="AE11" s="41">
        <v>10983</v>
      </c>
      <c r="AF11" s="41">
        <v>4151</v>
      </c>
      <c r="AG11" s="41">
        <v>6832</v>
      </c>
      <c r="AH11" s="41">
        <v>3512</v>
      </c>
      <c r="AI11" s="41">
        <v>800</v>
      </c>
      <c r="AJ11" s="41">
        <v>2712</v>
      </c>
      <c r="AK11" s="41">
        <v>54616</v>
      </c>
      <c r="AL11" s="41">
        <v>16176</v>
      </c>
      <c r="AM11" s="41">
        <v>38440</v>
      </c>
      <c r="AN11" s="41">
        <v>12</v>
      </c>
      <c r="AO11" s="41">
        <v>249</v>
      </c>
      <c r="AP11" s="41">
        <v>86</v>
      </c>
      <c r="AQ11" s="41">
        <v>163</v>
      </c>
      <c r="AR11" s="41">
        <v>22</v>
      </c>
      <c r="AS11" s="41">
        <v>7</v>
      </c>
      <c r="AT11" s="41">
        <v>15</v>
      </c>
      <c r="AU11" s="41">
        <v>10</v>
      </c>
      <c r="AV11" s="41">
        <v>4</v>
      </c>
      <c r="AW11" s="41">
        <v>6</v>
      </c>
      <c r="AX11" s="41">
        <v>217</v>
      </c>
      <c r="AY11" s="41">
        <v>75</v>
      </c>
      <c r="AZ11" s="41">
        <v>142</v>
      </c>
      <c r="BA11" s="41">
        <v>48751</v>
      </c>
      <c r="BB11" s="41">
        <v>16371</v>
      </c>
      <c r="BC11" s="41">
        <v>32380</v>
      </c>
      <c r="BD11" s="41">
        <v>3184</v>
      </c>
      <c r="BE11" s="41">
        <v>919</v>
      </c>
      <c r="BF11" s="41">
        <v>2265</v>
      </c>
      <c r="BG11" s="41">
        <v>2142</v>
      </c>
      <c r="BH11" s="41">
        <v>789</v>
      </c>
      <c r="BI11" s="41">
        <v>1353</v>
      </c>
      <c r="BJ11" s="41">
        <v>43425</v>
      </c>
      <c r="BK11" s="41">
        <v>14663</v>
      </c>
      <c r="BL11" s="41">
        <v>28762</v>
      </c>
      <c r="BM11" s="41">
        <v>384275</v>
      </c>
      <c r="BN11" s="41">
        <v>128576</v>
      </c>
      <c r="BO11" s="41">
        <v>255699</v>
      </c>
      <c r="BP11" s="41">
        <v>25212</v>
      </c>
      <c r="BQ11" s="41">
        <v>7352</v>
      </c>
      <c r="BR11" s="41">
        <v>17860</v>
      </c>
      <c r="BS11" s="41">
        <v>17136</v>
      </c>
      <c r="BT11" s="41">
        <v>6312</v>
      </c>
      <c r="BU11" s="41">
        <v>10824</v>
      </c>
      <c r="BV11" s="41">
        <v>341927</v>
      </c>
      <c r="BW11" s="41">
        <v>114912</v>
      </c>
      <c r="BX11" s="41">
        <v>227015</v>
      </c>
    </row>
    <row r="12" spans="1:76" s="126" customFormat="1" ht="15.6" customHeight="1">
      <c r="A12" s="49" t="s">
        <v>150</v>
      </c>
      <c r="B12" s="124" t="s">
        <v>5</v>
      </c>
      <c r="C12" s="41">
        <v>1</v>
      </c>
      <c r="D12" s="41">
        <v>24</v>
      </c>
      <c r="E12" s="41">
        <v>7</v>
      </c>
      <c r="F12" s="41">
        <v>17</v>
      </c>
      <c r="G12" s="41" t="s">
        <v>261</v>
      </c>
      <c r="H12" s="41" t="s">
        <v>261</v>
      </c>
      <c r="I12" s="41" t="s">
        <v>261</v>
      </c>
      <c r="J12" s="41">
        <v>5</v>
      </c>
      <c r="K12" s="41">
        <v>1</v>
      </c>
      <c r="L12" s="41">
        <v>4</v>
      </c>
      <c r="M12" s="41">
        <v>19</v>
      </c>
      <c r="N12" s="41">
        <v>6</v>
      </c>
      <c r="O12" s="41">
        <v>13</v>
      </c>
      <c r="P12" s="41">
        <v>4948</v>
      </c>
      <c r="Q12" s="41">
        <v>1781</v>
      </c>
      <c r="R12" s="41">
        <v>3167</v>
      </c>
      <c r="S12" s="41">
        <v>37</v>
      </c>
      <c r="T12" s="41">
        <v>37</v>
      </c>
      <c r="U12" s="41" t="s">
        <v>261</v>
      </c>
      <c r="V12" s="41">
        <v>870</v>
      </c>
      <c r="W12" s="41">
        <v>295</v>
      </c>
      <c r="X12" s="41">
        <v>575</v>
      </c>
      <c r="Y12" s="41">
        <v>4041</v>
      </c>
      <c r="Z12" s="41">
        <v>1449</v>
      </c>
      <c r="AA12" s="41">
        <v>2592</v>
      </c>
      <c r="AB12" s="41">
        <v>39636</v>
      </c>
      <c r="AC12" s="41">
        <v>14292</v>
      </c>
      <c r="AD12" s="41">
        <v>25344</v>
      </c>
      <c r="AE12" s="41">
        <v>296</v>
      </c>
      <c r="AF12" s="41">
        <v>296</v>
      </c>
      <c r="AG12" s="41" t="s">
        <v>262</v>
      </c>
      <c r="AH12" s="41">
        <v>7008</v>
      </c>
      <c r="AI12" s="41">
        <v>2408</v>
      </c>
      <c r="AJ12" s="41">
        <v>4600</v>
      </c>
      <c r="AK12" s="41">
        <v>32332</v>
      </c>
      <c r="AL12" s="41">
        <v>11588</v>
      </c>
      <c r="AM12" s="41">
        <v>20744</v>
      </c>
      <c r="AN12" s="41">
        <v>6</v>
      </c>
      <c r="AO12" s="41">
        <v>106</v>
      </c>
      <c r="AP12" s="41">
        <v>27</v>
      </c>
      <c r="AQ12" s="41">
        <v>79</v>
      </c>
      <c r="AR12" s="41">
        <v>4</v>
      </c>
      <c r="AS12" s="41">
        <v>1</v>
      </c>
      <c r="AT12" s="41">
        <v>3</v>
      </c>
      <c r="AU12" s="41">
        <v>14</v>
      </c>
      <c r="AV12" s="41">
        <v>5</v>
      </c>
      <c r="AW12" s="41">
        <v>9</v>
      </c>
      <c r="AX12" s="41">
        <v>88</v>
      </c>
      <c r="AY12" s="41">
        <v>21</v>
      </c>
      <c r="AZ12" s="41">
        <v>67</v>
      </c>
      <c r="BA12" s="41">
        <v>23046</v>
      </c>
      <c r="BB12" s="41">
        <v>6201</v>
      </c>
      <c r="BC12" s="41">
        <v>16845</v>
      </c>
      <c r="BD12" s="41">
        <v>1404</v>
      </c>
      <c r="BE12" s="41">
        <v>137</v>
      </c>
      <c r="BF12" s="41">
        <v>1267</v>
      </c>
      <c r="BG12" s="41">
        <v>3148</v>
      </c>
      <c r="BH12" s="41">
        <v>1003</v>
      </c>
      <c r="BI12" s="41">
        <v>2145</v>
      </c>
      <c r="BJ12" s="41">
        <v>18494</v>
      </c>
      <c r="BK12" s="41">
        <v>5061</v>
      </c>
      <c r="BL12" s="41">
        <v>13433</v>
      </c>
      <c r="BM12" s="41">
        <v>187091</v>
      </c>
      <c r="BN12" s="41">
        <v>50473</v>
      </c>
      <c r="BO12" s="41">
        <v>136618</v>
      </c>
      <c r="BP12" s="41">
        <v>11343</v>
      </c>
      <c r="BQ12" s="41">
        <v>1092</v>
      </c>
      <c r="BR12" s="41">
        <v>10251</v>
      </c>
      <c r="BS12" s="41">
        <v>25419</v>
      </c>
      <c r="BT12" s="41">
        <v>8210</v>
      </c>
      <c r="BU12" s="41">
        <v>17209</v>
      </c>
      <c r="BV12" s="41">
        <v>150329</v>
      </c>
      <c r="BW12" s="41">
        <v>41171</v>
      </c>
      <c r="BX12" s="41">
        <v>109158</v>
      </c>
    </row>
    <row r="13" spans="1:76" s="126" customFormat="1" ht="15.6" customHeight="1">
      <c r="A13" s="49" t="s">
        <v>151</v>
      </c>
      <c r="B13" s="124" t="s">
        <v>6</v>
      </c>
      <c r="C13" s="41">
        <v>2</v>
      </c>
      <c r="D13" s="41">
        <v>1</v>
      </c>
      <c r="E13" s="41" t="s">
        <v>261</v>
      </c>
      <c r="F13" s="41">
        <v>1</v>
      </c>
      <c r="G13" s="41" t="s">
        <v>261</v>
      </c>
      <c r="H13" s="41" t="s">
        <v>261</v>
      </c>
      <c r="I13" s="41" t="s">
        <v>261</v>
      </c>
      <c r="J13" s="41" t="s">
        <v>261</v>
      </c>
      <c r="K13" s="41" t="s">
        <v>261</v>
      </c>
      <c r="L13" s="41" t="s">
        <v>261</v>
      </c>
      <c r="M13" s="41">
        <v>1</v>
      </c>
      <c r="N13" s="41" t="s">
        <v>261</v>
      </c>
      <c r="O13" s="41">
        <v>1</v>
      </c>
      <c r="P13" s="41">
        <v>144</v>
      </c>
      <c r="Q13" s="41" t="s">
        <v>261</v>
      </c>
      <c r="R13" s="41">
        <v>144</v>
      </c>
      <c r="S13" s="41" t="s">
        <v>261</v>
      </c>
      <c r="T13" s="41" t="s">
        <v>261</v>
      </c>
      <c r="U13" s="41" t="s">
        <v>261</v>
      </c>
      <c r="V13" s="41" t="s">
        <v>261</v>
      </c>
      <c r="W13" s="41" t="s">
        <v>261</v>
      </c>
      <c r="X13" s="41" t="s">
        <v>261</v>
      </c>
      <c r="Y13" s="41">
        <v>144</v>
      </c>
      <c r="Z13" s="41" t="s">
        <v>261</v>
      </c>
      <c r="AA13" s="41">
        <v>144</v>
      </c>
      <c r="AB13" s="41">
        <v>1324</v>
      </c>
      <c r="AC13" s="41" t="s">
        <v>262</v>
      </c>
      <c r="AD13" s="41">
        <v>1324</v>
      </c>
      <c r="AE13" s="41" t="s">
        <v>262</v>
      </c>
      <c r="AF13" s="41" t="s">
        <v>262</v>
      </c>
      <c r="AG13" s="41" t="s">
        <v>262</v>
      </c>
      <c r="AH13" s="41" t="s">
        <v>262</v>
      </c>
      <c r="AI13" s="41" t="s">
        <v>262</v>
      </c>
      <c r="AJ13" s="41" t="s">
        <v>262</v>
      </c>
      <c r="AK13" s="41">
        <v>1324</v>
      </c>
      <c r="AL13" s="41" t="s">
        <v>262</v>
      </c>
      <c r="AM13" s="41">
        <v>1324</v>
      </c>
      <c r="AN13" s="41">
        <v>10</v>
      </c>
      <c r="AO13" s="41">
        <v>158</v>
      </c>
      <c r="AP13" s="41">
        <v>61</v>
      </c>
      <c r="AQ13" s="41">
        <v>97</v>
      </c>
      <c r="AR13" s="41">
        <v>9</v>
      </c>
      <c r="AS13" s="41">
        <v>4</v>
      </c>
      <c r="AT13" s="41">
        <v>5</v>
      </c>
      <c r="AU13" s="41">
        <v>9</v>
      </c>
      <c r="AV13" s="41">
        <v>7</v>
      </c>
      <c r="AW13" s="41">
        <v>2</v>
      </c>
      <c r="AX13" s="41">
        <v>140</v>
      </c>
      <c r="AY13" s="41">
        <v>50</v>
      </c>
      <c r="AZ13" s="41">
        <v>90</v>
      </c>
      <c r="BA13" s="41">
        <v>30285</v>
      </c>
      <c r="BB13" s="41">
        <v>10772</v>
      </c>
      <c r="BC13" s="41">
        <v>19513</v>
      </c>
      <c r="BD13" s="41">
        <v>2111</v>
      </c>
      <c r="BE13" s="41">
        <v>492</v>
      </c>
      <c r="BF13" s="41">
        <v>1619</v>
      </c>
      <c r="BG13" s="41">
        <v>2319</v>
      </c>
      <c r="BH13" s="41">
        <v>1918</v>
      </c>
      <c r="BI13" s="41">
        <v>401</v>
      </c>
      <c r="BJ13" s="41">
        <v>25855</v>
      </c>
      <c r="BK13" s="41">
        <v>8362</v>
      </c>
      <c r="BL13" s="41">
        <v>17493</v>
      </c>
      <c r="BM13" s="41">
        <v>259405.5</v>
      </c>
      <c r="BN13" s="41">
        <v>90967</v>
      </c>
      <c r="BO13" s="41">
        <v>168438.5</v>
      </c>
      <c r="BP13" s="41">
        <v>17356.5</v>
      </c>
      <c r="BQ13" s="41">
        <v>3883.5</v>
      </c>
      <c r="BR13" s="41">
        <v>13473</v>
      </c>
      <c r="BS13" s="41">
        <v>19004</v>
      </c>
      <c r="BT13" s="41">
        <v>15317</v>
      </c>
      <c r="BU13" s="41">
        <v>3687</v>
      </c>
      <c r="BV13" s="41">
        <v>223045</v>
      </c>
      <c r="BW13" s="41">
        <v>71766.5</v>
      </c>
      <c r="BX13" s="41">
        <v>151278.5</v>
      </c>
    </row>
    <row r="14" spans="1:76" s="126" customFormat="1" ht="15.6" customHeight="1">
      <c r="A14" s="50" t="s">
        <v>152</v>
      </c>
      <c r="B14" s="124" t="s">
        <v>7</v>
      </c>
      <c r="C14" s="20">
        <v>1</v>
      </c>
      <c r="D14" s="20">
        <v>6</v>
      </c>
      <c r="E14" s="20">
        <v>2</v>
      </c>
      <c r="F14" s="20">
        <v>4</v>
      </c>
      <c r="G14" s="20" t="s">
        <v>261</v>
      </c>
      <c r="H14" s="20" t="s">
        <v>261</v>
      </c>
      <c r="I14" s="20" t="s">
        <v>261</v>
      </c>
      <c r="J14" s="20" t="s">
        <v>261</v>
      </c>
      <c r="K14" s="20" t="s">
        <v>261</v>
      </c>
      <c r="L14" s="20" t="s">
        <v>261</v>
      </c>
      <c r="M14" s="20">
        <v>6</v>
      </c>
      <c r="N14" s="20">
        <v>2</v>
      </c>
      <c r="O14" s="20">
        <v>4</v>
      </c>
      <c r="P14" s="20">
        <v>925</v>
      </c>
      <c r="Q14" s="20">
        <v>298</v>
      </c>
      <c r="R14" s="20">
        <v>627</v>
      </c>
      <c r="S14" s="20" t="s">
        <v>261</v>
      </c>
      <c r="T14" s="20" t="s">
        <v>261</v>
      </c>
      <c r="U14" s="20" t="s">
        <v>261</v>
      </c>
      <c r="V14" s="20" t="s">
        <v>261</v>
      </c>
      <c r="W14" s="20" t="s">
        <v>261</v>
      </c>
      <c r="X14" s="20" t="s">
        <v>261</v>
      </c>
      <c r="Y14" s="20">
        <v>925</v>
      </c>
      <c r="Z14" s="20">
        <v>298</v>
      </c>
      <c r="AA14" s="20">
        <v>627</v>
      </c>
      <c r="AB14" s="20">
        <v>4132</v>
      </c>
      <c r="AC14" s="20">
        <v>1224</v>
      </c>
      <c r="AD14" s="20">
        <v>2908</v>
      </c>
      <c r="AE14" s="20" t="s">
        <v>262</v>
      </c>
      <c r="AF14" s="20" t="s">
        <v>262</v>
      </c>
      <c r="AG14" s="20" t="s">
        <v>262</v>
      </c>
      <c r="AH14" s="20" t="s">
        <v>262</v>
      </c>
      <c r="AI14" s="20" t="s">
        <v>262</v>
      </c>
      <c r="AJ14" s="20" t="s">
        <v>262</v>
      </c>
      <c r="AK14" s="20">
        <v>4132</v>
      </c>
      <c r="AL14" s="20">
        <v>1224</v>
      </c>
      <c r="AM14" s="20">
        <v>2908</v>
      </c>
      <c r="AN14" s="20">
        <v>5</v>
      </c>
      <c r="AO14" s="20">
        <v>92</v>
      </c>
      <c r="AP14" s="20">
        <v>31</v>
      </c>
      <c r="AQ14" s="20">
        <v>61</v>
      </c>
      <c r="AR14" s="20">
        <v>6</v>
      </c>
      <c r="AS14" s="20">
        <v>3</v>
      </c>
      <c r="AT14" s="20">
        <v>3</v>
      </c>
      <c r="AU14" s="20">
        <v>3</v>
      </c>
      <c r="AV14" s="20">
        <v>1</v>
      </c>
      <c r="AW14" s="20">
        <v>2</v>
      </c>
      <c r="AX14" s="20">
        <v>83</v>
      </c>
      <c r="AY14" s="20">
        <v>27</v>
      </c>
      <c r="AZ14" s="20">
        <v>56</v>
      </c>
      <c r="BA14" s="20">
        <v>20425</v>
      </c>
      <c r="BB14" s="20">
        <v>7765</v>
      </c>
      <c r="BC14" s="20">
        <v>12660</v>
      </c>
      <c r="BD14" s="20">
        <v>1441</v>
      </c>
      <c r="BE14" s="20">
        <v>774</v>
      </c>
      <c r="BF14" s="20">
        <v>667</v>
      </c>
      <c r="BG14" s="20">
        <v>94</v>
      </c>
      <c r="BH14" s="20">
        <v>26</v>
      </c>
      <c r="BI14" s="20">
        <v>68</v>
      </c>
      <c r="BJ14" s="20">
        <v>18890</v>
      </c>
      <c r="BK14" s="20">
        <v>6965</v>
      </c>
      <c r="BL14" s="20">
        <v>11925</v>
      </c>
      <c r="BM14" s="20">
        <v>161578</v>
      </c>
      <c r="BN14" s="20">
        <v>61875</v>
      </c>
      <c r="BO14" s="20">
        <v>99703</v>
      </c>
      <c r="BP14" s="20">
        <v>11234</v>
      </c>
      <c r="BQ14" s="20">
        <v>6192</v>
      </c>
      <c r="BR14" s="20">
        <v>5042</v>
      </c>
      <c r="BS14" s="20">
        <v>752</v>
      </c>
      <c r="BT14" s="20">
        <v>208</v>
      </c>
      <c r="BU14" s="20">
        <v>544</v>
      </c>
      <c r="BV14" s="20">
        <v>149592</v>
      </c>
      <c r="BW14" s="20">
        <v>55475</v>
      </c>
      <c r="BX14" s="20">
        <v>94117</v>
      </c>
    </row>
    <row r="15" spans="1:76" ht="15.6" customHeight="1">
      <c r="A15" s="50" t="s">
        <v>153</v>
      </c>
      <c r="B15" s="94" t="s">
        <v>8</v>
      </c>
      <c r="C15" s="20" t="s">
        <v>261</v>
      </c>
      <c r="D15" s="20" t="s">
        <v>261</v>
      </c>
      <c r="E15" s="20" t="s">
        <v>261</v>
      </c>
      <c r="F15" s="20" t="s">
        <v>261</v>
      </c>
      <c r="G15" s="20" t="s">
        <v>261</v>
      </c>
      <c r="H15" s="20" t="s">
        <v>261</v>
      </c>
      <c r="I15" s="20" t="s">
        <v>261</v>
      </c>
      <c r="J15" s="20" t="s">
        <v>261</v>
      </c>
      <c r="K15" s="20" t="s">
        <v>261</v>
      </c>
      <c r="L15" s="20" t="s">
        <v>261</v>
      </c>
      <c r="M15" s="20" t="s">
        <v>261</v>
      </c>
      <c r="N15" s="20" t="s">
        <v>261</v>
      </c>
      <c r="O15" s="20" t="s">
        <v>261</v>
      </c>
      <c r="P15" s="20">
        <v>21</v>
      </c>
      <c r="Q15" s="20" t="s">
        <v>261</v>
      </c>
      <c r="R15" s="20">
        <v>21</v>
      </c>
      <c r="S15" s="20" t="s">
        <v>261</v>
      </c>
      <c r="T15" s="20" t="s">
        <v>261</v>
      </c>
      <c r="U15" s="20" t="s">
        <v>261</v>
      </c>
      <c r="V15" s="20" t="s">
        <v>261</v>
      </c>
      <c r="W15" s="20" t="s">
        <v>261</v>
      </c>
      <c r="X15" s="20" t="s">
        <v>261</v>
      </c>
      <c r="Y15" s="20">
        <v>21</v>
      </c>
      <c r="Z15" s="20" t="s">
        <v>261</v>
      </c>
      <c r="AA15" s="20">
        <v>21</v>
      </c>
      <c r="AB15" s="20">
        <v>168</v>
      </c>
      <c r="AC15" s="20" t="s">
        <v>262</v>
      </c>
      <c r="AD15" s="20">
        <v>168</v>
      </c>
      <c r="AE15" s="20" t="s">
        <v>262</v>
      </c>
      <c r="AF15" s="20" t="s">
        <v>262</v>
      </c>
      <c r="AG15" s="20" t="s">
        <v>262</v>
      </c>
      <c r="AH15" s="20" t="s">
        <v>262</v>
      </c>
      <c r="AI15" s="20" t="s">
        <v>262</v>
      </c>
      <c r="AJ15" s="20" t="s">
        <v>262</v>
      </c>
      <c r="AK15" s="20">
        <v>168</v>
      </c>
      <c r="AL15" s="20" t="s">
        <v>262</v>
      </c>
      <c r="AM15" s="20">
        <v>168</v>
      </c>
      <c r="AN15" s="20">
        <v>3</v>
      </c>
      <c r="AO15" s="20">
        <v>63</v>
      </c>
      <c r="AP15" s="20">
        <v>22</v>
      </c>
      <c r="AQ15" s="20">
        <v>41</v>
      </c>
      <c r="AR15" s="20">
        <v>3</v>
      </c>
      <c r="AS15" s="20">
        <v>1</v>
      </c>
      <c r="AT15" s="20">
        <v>2</v>
      </c>
      <c r="AU15" s="20">
        <v>3</v>
      </c>
      <c r="AV15" s="20">
        <v>1</v>
      </c>
      <c r="AW15" s="20">
        <v>2</v>
      </c>
      <c r="AX15" s="20">
        <v>57</v>
      </c>
      <c r="AY15" s="20">
        <v>20</v>
      </c>
      <c r="AZ15" s="20">
        <v>37</v>
      </c>
      <c r="BA15" s="20">
        <v>11485</v>
      </c>
      <c r="BB15" s="20">
        <v>4468</v>
      </c>
      <c r="BC15" s="20">
        <v>7017</v>
      </c>
      <c r="BD15" s="20">
        <v>508</v>
      </c>
      <c r="BE15" s="20">
        <v>227</v>
      </c>
      <c r="BF15" s="20">
        <v>281</v>
      </c>
      <c r="BG15" s="20">
        <v>319</v>
      </c>
      <c r="BH15" s="20">
        <v>93</v>
      </c>
      <c r="BI15" s="20">
        <v>226</v>
      </c>
      <c r="BJ15" s="20">
        <v>10658</v>
      </c>
      <c r="BK15" s="20">
        <v>4148</v>
      </c>
      <c r="BL15" s="20">
        <v>6510</v>
      </c>
      <c r="BM15" s="20">
        <v>89333</v>
      </c>
      <c r="BN15" s="20">
        <v>35503</v>
      </c>
      <c r="BO15" s="20">
        <v>53830</v>
      </c>
      <c r="BP15" s="20">
        <v>3509</v>
      </c>
      <c r="BQ15" s="20">
        <v>1488</v>
      </c>
      <c r="BR15" s="20">
        <v>2021</v>
      </c>
      <c r="BS15" s="20">
        <v>2972</v>
      </c>
      <c r="BT15" s="20">
        <v>871</v>
      </c>
      <c r="BU15" s="20">
        <v>2101</v>
      </c>
      <c r="BV15" s="20">
        <v>82852</v>
      </c>
      <c r="BW15" s="20">
        <v>33144</v>
      </c>
      <c r="BX15" s="20">
        <v>49708</v>
      </c>
    </row>
    <row r="16" spans="1:76" ht="15.6" customHeight="1">
      <c r="A16" s="50" t="s">
        <v>154</v>
      </c>
      <c r="B16" s="94" t="s">
        <v>9</v>
      </c>
      <c r="C16" s="20" t="s">
        <v>261</v>
      </c>
      <c r="D16" s="20" t="s">
        <v>261</v>
      </c>
      <c r="E16" s="20" t="s">
        <v>261</v>
      </c>
      <c r="F16" s="20" t="s">
        <v>261</v>
      </c>
      <c r="G16" s="20" t="s">
        <v>261</v>
      </c>
      <c r="H16" s="20" t="s">
        <v>261</v>
      </c>
      <c r="I16" s="20" t="s">
        <v>261</v>
      </c>
      <c r="J16" s="20" t="s">
        <v>261</v>
      </c>
      <c r="K16" s="20" t="s">
        <v>261</v>
      </c>
      <c r="L16" s="20" t="s">
        <v>261</v>
      </c>
      <c r="M16" s="20" t="s">
        <v>261</v>
      </c>
      <c r="N16" s="20" t="s">
        <v>261</v>
      </c>
      <c r="O16" s="20" t="s">
        <v>261</v>
      </c>
      <c r="P16" s="20" t="s">
        <v>261</v>
      </c>
      <c r="Q16" s="20" t="s">
        <v>261</v>
      </c>
      <c r="R16" s="20" t="s">
        <v>261</v>
      </c>
      <c r="S16" s="20" t="s">
        <v>261</v>
      </c>
      <c r="T16" s="20" t="s">
        <v>261</v>
      </c>
      <c r="U16" s="20" t="s">
        <v>261</v>
      </c>
      <c r="V16" s="20" t="s">
        <v>261</v>
      </c>
      <c r="W16" s="20" t="s">
        <v>261</v>
      </c>
      <c r="X16" s="20" t="s">
        <v>261</v>
      </c>
      <c r="Y16" s="20" t="s">
        <v>261</v>
      </c>
      <c r="Z16" s="20" t="s">
        <v>261</v>
      </c>
      <c r="AA16" s="20" t="s">
        <v>261</v>
      </c>
      <c r="AB16" s="20" t="s">
        <v>262</v>
      </c>
      <c r="AC16" s="20" t="s">
        <v>262</v>
      </c>
      <c r="AD16" s="20" t="s">
        <v>262</v>
      </c>
      <c r="AE16" s="20" t="s">
        <v>262</v>
      </c>
      <c r="AF16" s="20" t="s">
        <v>262</v>
      </c>
      <c r="AG16" s="20" t="s">
        <v>262</v>
      </c>
      <c r="AH16" s="20" t="s">
        <v>262</v>
      </c>
      <c r="AI16" s="20" t="s">
        <v>262</v>
      </c>
      <c r="AJ16" s="20" t="s">
        <v>262</v>
      </c>
      <c r="AK16" s="20" t="s">
        <v>262</v>
      </c>
      <c r="AL16" s="20" t="s">
        <v>262</v>
      </c>
      <c r="AM16" s="20" t="s">
        <v>262</v>
      </c>
      <c r="AN16" s="20" t="s">
        <v>261</v>
      </c>
      <c r="AO16" s="20">
        <v>20</v>
      </c>
      <c r="AP16" s="20">
        <v>6</v>
      </c>
      <c r="AQ16" s="20">
        <v>14</v>
      </c>
      <c r="AR16" s="20">
        <v>1</v>
      </c>
      <c r="AS16" s="20">
        <v>1</v>
      </c>
      <c r="AT16" s="20" t="s">
        <v>261</v>
      </c>
      <c r="AU16" s="20" t="s">
        <v>261</v>
      </c>
      <c r="AV16" s="20" t="s">
        <v>261</v>
      </c>
      <c r="AW16" s="20" t="s">
        <v>261</v>
      </c>
      <c r="AX16" s="20">
        <v>19</v>
      </c>
      <c r="AY16" s="20">
        <v>5</v>
      </c>
      <c r="AZ16" s="20">
        <v>14</v>
      </c>
      <c r="BA16" s="20">
        <v>3257</v>
      </c>
      <c r="BB16" s="20">
        <v>1237</v>
      </c>
      <c r="BC16" s="20">
        <v>2020</v>
      </c>
      <c r="BD16" s="20">
        <v>287</v>
      </c>
      <c r="BE16" s="20">
        <v>287</v>
      </c>
      <c r="BF16" s="20" t="s">
        <v>261</v>
      </c>
      <c r="BG16" s="20">
        <v>11</v>
      </c>
      <c r="BH16" s="20">
        <v>11</v>
      </c>
      <c r="BI16" s="20" t="s">
        <v>261</v>
      </c>
      <c r="BJ16" s="20">
        <v>2959</v>
      </c>
      <c r="BK16" s="20">
        <v>939</v>
      </c>
      <c r="BL16" s="20">
        <v>2020</v>
      </c>
      <c r="BM16" s="20">
        <v>22970.5</v>
      </c>
      <c r="BN16" s="20">
        <v>8549.5</v>
      </c>
      <c r="BO16" s="20">
        <v>14421</v>
      </c>
      <c r="BP16" s="20">
        <v>1681.5</v>
      </c>
      <c r="BQ16" s="20">
        <v>1681.5</v>
      </c>
      <c r="BR16" s="20" t="s">
        <v>262</v>
      </c>
      <c r="BS16" s="20">
        <v>88</v>
      </c>
      <c r="BT16" s="20">
        <v>88</v>
      </c>
      <c r="BU16" s="20" t="s">
        <v>262</v>
      </c>
      <c r="BV16" s="20">
        <v>21201</v>
      </c>
      <c r="BW16" s="20">
        <v>6780</v>
      </c>
      <c r="BX16" s="20">
        <v>14421</v>
      </c>
    </row>
    <row r="17" spans="1:76" ht="15.6" customHeight="1">
      <c r="A17" s="50" t="s">
        <v>155</v>
      </c>
      <c r="B17" s="94" t="s">
        <v>10</v>
      </c>
      <c r="C17" s="20">
        <v>1</v>
      </c>
      <c r="D17" s="20">
        <v>9</v>
      </c>
      <c r="E17" s="20">
        <v>2</v>
      </c>
      <c r="F17" s="20">
        <v>7</v>
      </c>
      <c r="G17" s="20" t="s">
        <v>261</v>
      </c>
      <c r="H17" s="20" t="s">
        <v>261</v>
      </c>
      <c r="I17" s="20" t="s">
        <v>261</v>
      </c>
      <c r="J17" s="20" t="s">
        <v>261</v>
      </c>
      <c r="K17" s="20" t="s">
        <v>261</v>
      </c>
      <c r="L17" s="20" t="s">
        <v>261</v>
      </c>
      <c r="M17" s="20">
        <v>9</v>
      </c>
      <c r="N17" s="20">
        <v>2</v>
      </c>
      <c r="O17" s="20">
        <v>7</v>
      </c>
      <c r="P17" s="20">
        <v>1362</v>
      </c>
      <c r="Q17" s="20">
        <v>621</v>
      </c>
      <c r="R17" s="20">
        <v>741</v>
      </c>
      <c r="S17" s="20" t="s">
        <v>261</v>
      </c>
      <c r="T17" s="20" t="s">
        <v>261</v>
      </c>
      <c r="U17" s="20" t="s">
        <v>261</v>
      </c>
      <c r="V17" s="20">
        <v>58</v>
      </c>
      <c r="W17" s="20">
        <v>58</v>
      </c>
      <c r="X17" s="20" t="s">
        <v>261</v>
      </c>
      <c r="Y17" s="20">
        <v>1304</v>
      </c>
      <c r="Z17" s="20">
        <v>563</v>
      </c>
      <c r="AA17" s="20">
        <v>741</v>
      </c>
      <c r="AB17" s="20">
        <v>5466</v>
      </c>
      <c r="AC17" s="20">
        <v>2536</v>
      </c>
      <c r="AD17" s="20">
        <v>2930</v>
      </c>
      <c r="AE17" s="20" t="s">
        <v>262</v>
      </c>
      <c r="AF17" s="20" t="s">
        <v>262</v>
      </c>
      <c r="AG17" s="20" t="s">
        <v>262</v>
      </c>
      <c r="AH17" s="20">
        <v>270</v>
      </c>
      <c r="AI17" s="20">
        <v>270</v>
      </c>
      <c r="AJ17" s="20" t="s">
        <v>262</v>
      </c>
      <c r="AK17" s="20">
        <v>5196</v>
      </c>
      <c r="AL17" s="20">
        <v>2266</v>
      </c>
      <c r="AM17" s="20">
        <v>2930</v>
      </c>
      <c r="AN17" s="20">
        <v>1</v>
      </c>
      <c r="AO17" s="20">
        <v>8</v>
      </c>
      <c r="AP17" s="20">
        <v>2</v>
      </c>
      <c r="AQ17" s="20">
        <v>6</v>
      </c>
      <c r="AR17" s="20">
        <v>1</v>
      </c>
      <c r="AS17" s="20" t="s">
        <v>261</v>
      </c>
      <c r="AT17" s="20">
        <v>1</v>
      </c>
      <c r="AU17" s="20">
        <v>4</v>
      </c>
      <c r="AV17" s="20">
        <v>2</v>
      </c>
      <c r="AW17" s="20">
        <v>2</v>
      </c>
      <c r="AX17" s="20">
        <v>3</v>
      </c>
      <c r="AY17" s="20" t="s">
        <v>261</v>
      </c>
      <c r="AZ17" s="20">
        <v>3</v>
      </c>
      <c r="BA17" s="20">
        <v>1639</v>
      </c>
      <c r="BB17" s="20">
        <v>520</v>
      </c>
      <c r="BC17" s="20">
        <v>1119</v>
      </c>
      <c r="BD17" s="20">
        <v>71</v>
      </c>
      <c r="BE17" s="20" t="s">
        <v>261</v>
      </c>
      <c r="BF17" s="20">
        <v>71</v>
      </c>
      <c r="BG17" s="20">
        <v>946</v>
      </c>
      <c r="BH17" s="20">
        <v>486</v>
      </c>
      <c r="BI17" s="20">
        <v>460</v>
      </c>
      <c r="BJ17" s="20">
        <v>622</v>
      </c>
      <c r="BK17" s="20">
        <v>34</v>
      </c>
      <c r="BL17" s="20">
        <v>588</v>
      </c>
      <c r="BM17" s="20">
        <v>7685</v>
      </c>
      <c r="BN17" s="20">
        <v>2110</v>
      </c>
      <c r="BO17" s="20">
        <v>5575</v>
      </c>
      <c r="BP17" s="20">
        <v>418</v>
      </c>
      <c r="BQ17" s="20" t="s">
        <v>262</v>
      </c>
      <c r="BR17" s="20">
        <v>418</v>
      </c>
      <c r="BS17" s="20">
        <v>4040</v>
      </c>
      <c r="BT17" s="20">
        <v>1930</v>
      </c>
      <c r="BU17" s="20">
        <v>2110</v>
      </c>
      <c r="BV17" s="20">
        <v>3227</v>
      </c>
      <c r="BW17" s="20">
        <v>180</v>
      </c>
      <c r="BX17" s="20">
        <v>3047</v>
      </c>
    </row>
    <row r="18" spans="1:76" ht="15.6" customHeight="1">
      <c r="A18" s="50" t="s">
        <v>156</v>
      </c>
      <c r="B18" s="94" t="s">
        <v>11</v>
      </c>
      <c r="C18" s="20" t="s">
        <v>261</v>
      </c>
      <c r="D18" s="20">
        <v>13</v>
      </c>
      <c r="E18" s="20">
        <v>5</v>
      </c>
      <c r="F18" s="20">
        <v>8</v>
      </c>
      <c r="G18" s="20">
        <v>1</v>
      </c>
      <c r="H18" s="20" t="s">
        <v>261</v>
      </c>
      <c r="I18" s="20">
        <v>1</v>
      </c>
      <c r="J18" s="20" t="s">
        <v>261</v>
      </c>
      <c r="K18" s="20" t="s">
        <v>261</v>
      </c>
      <c r="L18" s="20" t="s">
        <v>261</v>
      </c>
      <c r="M18" s="20">
        <v>12</v>
      </c>
      <c r="N18" s="20">
        <v>5</v>
      </c>
      <c r="O18" s="20">
        <v>7</v>
      </c>
      <c r="P18" s="20">
        <v>665</v>
      </c>
      <c r="Q18" s="20">
        <v>216</v>
      </c>
      <c r="R18" s="20">
        <v>449</v>
      </c>
      <c r="S18" s="20">
        <v>57</v>
      </c>
      <c r="T18" s="20" t="s">
        <v>261</v>
      </c>
      <c r="U18" s="20">
        <v>57</v>
      </c>
      <c r="V18" s="20" t="s">
        <v>261</v>
      </c>
      <c r="W18" s="20" t="s">
        <v>261</v>
      </c>
      <c r="X18" s="20" t="s">
        <v>261</v>
      </c>
      <c r="Y18" s="20">
        <v>608</v>
      </c>
      <c r="Z18" s="20">
        <v>216</v>
      </c>
      <c r="AA18" s="20">
        <v>392</v>
      </c>
      <c r="AB18" s="20">
        <v>5320</v>
      </c>
      <c r="AC18" s="20">
        <v>1728</v>
      </c>
      <c r="AD18" s="20">
        <v>3592</v>
      </c>
      <c r="AE18" s="20">
        <v>456</v>
      </c>
      <c r="AF18" s="20" t="s">
        <v>262</v>
      </c>
      <c r="AG18" s="20">
        <v>456</v>
      </c>
      <c r="AH18" s="20" t="s">
        <v>262</v>
      </c>
      <c r="AI18" s="20" t="s">
        <v>262</v>
      </c>
      <c r="AJ18" s="20" t="s">
        <v>262</v>
      </c>
      <c r="AK18" s="20">
        <v>4864</v>
      </c>
      <c r="AL18" s="20">
        <v>1728</v>
      </c>
      <c r="AM18" s="20">
        <v>3136</v>
      </c>
      <c r="AN18" s="20" t="s">
        <v>261</v>
      </c>
      <c r="AO18" s="20">
        <v>41</v>
      </c>
      <c r="AP18" s="20">
        <v>9</v>
      </c>
      <c r="AQ18" s="20">
        <v>32</v>
      </c>
      <c r="AR18" s="20">
        <v>3</v>
      </c>
      <c r="AS18" s="20" t="s">
        <v>261</v>
      </c>
      <c r="AT18" s="20">
        <v>3</v>
      </c>
      <c r="AU18" s="20">
        <v>3</v>
      </c>
      <c r="AV18" s="20">
        <v>1</v>
      </c>
      <c r="AW18" s="20">
        <v>2</v>
      </c>
      <c r="AX18" s="20">
        <v>35</v>
      </c>
      <c r="AY18" s="20">
        <v>8</v>
      </c>
      <c r="AZ18" s="20">
        <v>27</v>
      </c>
      <c r="BA18" s="20">
        <v>7350</v>
      </c>
      <c r="BB18" s="20">
        <v>1700</v>
      </c>
      <c r="BC18" s="20">
        <v>5650</v>
      </c>
      <c r="BD18" s="20">
        <v>624</v>
      </c>
      <c r="BE18" s="20" t="s">
        <v>261</v>
      </c>
      <c r="BF18" s="20">
        <v>624</v>
      </c>
      <c r="BG18" s="20">
        <v>466</v>
      </c>
      <c r="BH18" s="20">
        <v>22</v>
      </c>
      <c r="BI18" s="20">
        <v>444</v>
      </c>
      <c r="BJ18" s="20">
        <v>6260</v>
      </c>
      <c r="BK18" s="20">
        <v>1678</v>
      </c>
      <c r="BL18" s="20">
        <v>4582</v>
      </c>
      <c r="BM18" s="20">
        <v>37313</v>
      </c>
      <c r="BN18" s="20">
        <v>9451</v>
      </c>
      <c r="BO18" s="20">
        <v>27862</v>
      </c>
      <c r="BP18" s="20">
        <v>2989</v>
      </c>
      <c r="BQ18" s="20" t="s">
        <v>262</v>
      </c>
      <c r="BR18" s="20">
        <v>2989</v>
      </c>
      <c r="BS18" s="20">
        <v>2591</v>
      </c>
      <c r="BT18" s="20">
        <v>25</v>
      </c>
      <c r="BU18" s="20">
        <v>2566</v>
      </c>
      <c r="BV18" s="20">
        <v>31733</v>
      </c>
      <c r="BW18" s="20">
        <v>9426</v>
      </c>
      <c r="BX18" s="20">
        <v>22307</v>
      </c>
    </row>
    <row r="19" spans="1:76" ht="15.6" customHeight="1">
      <c r="A19" s="50" t="s">
        <v>157</v>
      </c>
      <c r="B19" s="94" t="s">
        <v>12</v>
      </c>
      <c r="C19" s="20">
        <v>3</v>
      </c>
      <c r="D19" s="20">
        <v>32</v>
      </c>
      <c r="E19" s="20">
        <v>7</v>
      </c>
      <c r="F19" s="20">
        <v>25</v>
      </c>
      <c r="G19" s="20">
        <v>1</v>
      </c>
      <c r="H19" s="20" t="s">
        <v>261</v>
      </c>
      <c r="I19" s="20">
        <v>1</v>
      </c>
      <c r="J19" s="20">
        <v>4</v>
      </c>
      <c r="K19" s="20">
        <v>1</v>
      </c>
      <c r="L19" s="20">
        <v>3</v>
      </c>
      <c r="M19" s="20">
        <v>27</v>
      </c>
      <c r="N19" s="20">
        <v>6</v>
      </c>
      <c r="O19" s="20">
        <v>21</v>
      </c>
      <c r="P19" s="20">
        <v>5565</v>
      </c>
      <c r="Q19" s="20">
        <v>1230</v>
      </c>
      <c r="R19" s="20">
        <v>4335</v>
      </c>
      <c r="S19" s="20">
        <v>44</v>
      </c>
      <c r="T19" s="20" t="s">
        <v>261</v>
      </c>
      <c r="U19" s="20">
        <v>44</v>
      </c>
      <c r="V19" s="20">
        <v>563</v>
      </c>
      <c r="W19" s="20">
        <v>36</v>
      </c>
      <c r="X19" s="20">
        <v>527</v>
      </c>
      <c r="Y19" s="20">
        <v>4958</v>
      </c>
      <c r="Z19" s="20">
        <v>1194</v>
      </c>
      <c r="AA19" s="20">
        <v>3764</v>
      </c>
      <c r="AB19" s="20">
        <v>34967</v>
      </c>
      <c r="AC19" s="20">
        <v>6053</v>
      </c>
      <c r="AD19" s="20">
        <v>28914</v>
      </c>
      <c r="AE19" s="20">
        <v>180</v>
      </c>
      <c r="AF19" s="20" t="s">
        <v>262</v>
      </c>
      <c r="AG19" s="20">
        <v>180</v>
      </c>
      <c r="AH19" s="20">
        <v>4354</v>
      </c>
      <c r="AI19" s="20">
        <v>216</v>
      </c>
      <c r="AJ19" s="20">
        <v>4138</v>
      </c>
      <c r="AK19" s="20">
        <v>30433</v>
      </c>
      <c r="AL19" s="20">
        <v>5837</v>
      </c>
      <c r="AM19" s="20">
        <v>24596</v>
      </c>
      <c r="AN19" s="20">
        <v>5</v>
      </c>
      <c r="AO19" s="20">
        <v>63</v>
      </c>
      <c r="AP19" s="20">
        <v>22</v>
      </c>
      <c r="AQ19" s="20">
        <v>41</v>
      </c>
      <c r="AR19" s="20">
        <v>3</v>
      </c>
      <c r="AS19" s="20" t="s">
        <v>261</v>
      </c>
      <c r="AT19" s="20">
        <v>3</v>
      </c>
      <c r="AU19" s="20">
        <v>10</v>
      </c>
      <c r="AV19" s="20">
        <v>4</v>
      </c>
      <c r="AW19" s="20">
        <v>6</v>
      </c>
      <c r="AX19" s="20">
        <v>50</v>
      </c>
      <c r="AY19" s="20">
        <v>18</v>
      </c>
      <c r="AZ19" s="20">
        <v>32</v>
      </c>
      <c r="BA19" s="20">
        <v>11275</v>
      </c>
      <c r="BB19" s="20">
        <v>3523</v>
      </c>
      <c r="BC19" s="20">
        <v>7752</v>
      </c>
      <c r="BD19" s="20">
        <v>358</v>
      </c>
      <c r="BE19" s="20" t="s">
        <v>261</v>
      </c>
      <c r="BF19" s="20">
        <v>358</v>
      </c>
      <c r="BG19" s="20">
        <v>1816</v>
      </c>
      <c r="BH19" s="20">
        <v>563</v>
      </c>
      <c r="BI19" s="20">
        <v>1253</v>
      </c>
      <c r="BJ19" s="20">
        <v>9101</v>
      </c>
      <c r="BK19" s="20">
        <v>2960</v>
      </c>
      <c r="BL19" s="20">
        <v>6141</v>
      </c>
      <c r="BM19" s="20">
        <v>73094</v>
      </c>
      <c r="BN19" s="20">
        <v>22810</v>
      </c>
      <c r="BO19" s="20">
        <v>50284</v>
      </c>
      <c r="BP19" s="20">
        <v>2864</v>
      </c>
      <c r="BQ19" s="20" t="s">
        <v>262</v>
      </c>
      <c r="BR19" s="20">
        <v>2864</v>
      </c>
      <c r="BS19" s="20">
        <v>13826</v>
      </c>
      <c r="BT19" s="20">
        <v>4436</v>
      </c>
      <c r="BU19" s="20">
        <v>9390</v>
      </c>
      <c r="BV19" s="20">
        <v>56404</v>
      </c>
      <c r="BW19" s="20">
        <v>18374</v>
      </c>
      <c r="BX19" s="20">
        <v>38030</v>
      </c>
    </row>
    <row r="20" spans="1:76" ht="15.6" customHeight="1">
      <c r="A20" s="50" t="s">
        <v>158</v>
      </c>
      <c r="B20" s="94" t="s">
        <v>13</v>
      </c>
      <c r="C20" s="20">
        <v>2</v>
      </c>
      <c r="D20" s="20">
        <v>8</v>
      </c>
      <c r="E20" s="20">
        <v>5</v>
      </c>
      <c r="F20" s="20">
        <v>3</v>
      </c>
      <c r="G20" s="20" t="s">
        <v>261</v>
      </c>
      <c r="H20" s="20" t="s">
        <v>261</v>
      </c>
      <c r="I20" s="20" t="s">
        <v>261</v>
      </c>
      <c r="J20" s="20" t="s">
        <v>261</v>
      </c>
      <c r="K20" s="20" t="s">
        <v>261</v>
      </c>
      <c r="L20" s="20" t="s">
        <v>261</v>
      </c>
      <c r="M20" s="20">
        <v>8</v>
      </c>
      <c r="N20" s="20">
        <v>5</v>
      </c>
      <c r="O20" s="20">
        <v>3</v>
      </c>
      <c r="P20" s="20">
        <v>719</v>
      </c>
      <c r="Q20" s="20">
        <v>405</v>
      </c>
      <c r="R20" s="20">
        <v>314</v>
      </c>
      <c r="S20" s="20" t="s">
        <v>261</v>
      </c>
      <c r="T20" s="20" t="s">
        <v>261</v>
      </c>
      <c r="U20" s="20" t="s">
        <v>261</v>
      </c>
      <c r="V20" s="20" t="s">
        <v>261</v>
      </c>
      <c r="W20" s="20" t="s">
        <v>261</v>
      </c>
      <c r="X20" s="20" t="s">
        <v>261</v>
      </c>
      <c r="Y20" s="20">
        <v>719</v>
      </c>
      <c r="Z20" s="20">
        <v>405</v>
      </c>
      <c r="AA20" s="20">
        <v>314</v>
      </c>
      <c r="AB20" s="20">
        <v>4930.5</v>
      </c>
      <c r="AC20" s="20">
        <v>2649</v>
      </c>
      <c r="AD20" s="20">
        <v>2281.5</v>
      </c>
      <c r="AE20" s="20" t="s">
        <v>262</v>
      </c>
      <c r="AF20" s="20" t="s">
        <v>262</v>
      </c>
      <c r="AG20" s="20" t="s">
        <v>262</v>
      </c>
      <c r="AH20" s="20" t="s">
        <v>262</v>
      </c>
      <c r="AI20" s="20" t="s">
        <v>262</v>
      </c>
      <c r="AJ20" s="20" t="s">
        <v>262</v>
      </c>
      <c r="AK20" s="20">
        <v>4930.5</v>
      </c>
      <c r="AL20" s="20">
        <v>2649</v>
      </c>
      <c r="AM20" s="20">
        <v>2281.5</v>
      </c>
      <c r="AN20" s="20">
        <v>9</v>
      </c>
      <c r="AO20" s="20">
        <v>152</v>
      </c>
      <c r="AP20" s="20">
        <v>61</v>
      </c>
      <c r="AQ20" s="20">
        <v>91</v>
      </c>
      <c r="AR20" s="20">
        <v>25</v>
      </c>
      <c r="AS20" s="20">
        <v>17</v>
      </c>
      <c r="AT20" s="20">
        <v>8</v>
      </c>
      <c r="AU20" s="20">
        <v>5</v>
      </c>
      <c r="AV20" s="20">
        <v>3</v>
      </c>
      <c r="AW20" s="20">
        <v>2</v>
      </c>
      <c r="AX20" s="20">
        <v>122</v>
      </c>
      <c r="AY20" s="20">
        <v>41</v>
      </c>
      <c r="AZ20" s="20">
        <v>81</v>
      </c>
      <c r="BA20" s="20">
        <v>27999</v>
      </c>
      <c r="BB20" s="20">
        <v>11554</v>
      </c>
      <c r="BC20" s="20">
        <v>16445</v>
      </c>
      <c r="BD20" s="20">
        <v>2883</v>
      </c>
      <c r="BE20" s="20">
        <v>1954</v>
      </c>
      <c r="BF20" s="20">
        <v>929</v>
      </c>
      <c r="BG20" s="20">
        <v>2375</v>
      </c>
      <c r="BH20" s="20">
        <v>1515</v>
      </c>
      <c r="BI20" s="20">
        <v>860</v>
      </c>
      <c r="BJ20" s="20">
        <v>22741</v>
      </c>
      <c r="BK20" s="20">
        <v>8085</v>
      </c>
      <c r="BL20" s="20">
        <v>14656</v>
      </c>
      <c r="BM20" s="20">
        <v>199568.5</v>
      </c>
      <c r="BN20" s="20">
        <v>83022</v>
      </c>
      <c r="BO20" s="20">
        <v>116546.5</v>
      </c>
      <c r="BP20" s="20">
        <v>21046</v>
      </c>
      <c r="BQ20" s="20">
        <v>14172</v>
      </c>
      <c r="BR20" s="20">
        <v>6874</v>
      </c>
      <c r="BS20" s="20">
        <v>18416.5</v>
      </c>
      <c r="BT20" s="20">
        <v>11528.5</v>
      </c>
      <c r="BU20" s="20">
        <v>6888</v>
      </c>
      <c r="BV20" s="20">
        <v>160106</v>
      </c>
      <c r="BW20" s="20">
        <v>57321.5</v>
      </c>
      <c r="BX20" s="20">
        <v>102784.5</v>
      </c>
    </row>
    <row r="21" spans="1:76" ht="15.6" customHeight="1">
      <c r="A21" s="50" t="s">
        <v>159</v>
      </c>
      <c r="B21" s="94" t="s">
        <v>14</v>
      </c>
      <c r="C21" s="20" t="s">
        <v>261</v>
      </c>
      <c r="D21" s="20" t="s">
        <v>261</v>
      </c>
      <c r="E21" s="20" t="s">
        <v>261</v>
      </c>
      <c r="F21" s="20" t="s">
        <v>261</v>
      </c>
      <c r="G21" s="20" t="s">
        <v>261</v>
      </c>
      <c r="H21" s="20" t="s">
        <v>261</v>
      </c>
      <c r="I21" s="20" t="s">
        <v>261</v>
      </c>
      <c r="J21" s="20" t="s">
        <v>261</v>
      </c>
      <c r="K21" s="20" t="s">
        <v>261</v>
      </c>
      <c r="L21" s="20" t="s">
        <v>261</v>
      </c>
      <c r="M21" s="20" t="s">
        <v>261</v>
      </c>
      <c r="N21" s="20" t="s">
        <v>261</v>
      </c>
      <c r="O21" s="20" t="s">
        <v>261</v>
      </c>
      <c r="P21" s="20" t="s">
        <v>261</v>
      </c>
      <c r="Q21" s="20" t="s">
        <v>261</v>
      </c>
      <c r="R21" s="20" t="s">
        <v>261</v>
      </c>
      <c r="S21" s="20" t="s">
        <v>261</v>
      </c>
      <c r="T21" s="20" t="s">
        <v>261</v>
      </c>
      <c r="U21" s="20" t="s">
        <v>261</v>
      </c>
      <c r="V21" s="20" t="s">
        <v>261</v>
      </c>
      <c r="W21" s="20" t="s">
        <v>261</v>
      </c>
      <c r="X21" s="20" t="s">
        <v>261</v>
      </c>
      <c r="Y21" s="20" t="s">
        <v>261</v>
      </c>
      <c r="Z21" s="20" t="s">
        <v>261</v>
      </c>
      <c r="AA21" s="20" t="s">
        <v>261</v>
      </c>
      <c r="AB21" s="20" t="s">
        <v>262</v>
      </c>
      <c r="AC21" s="20" t="s">
        <v>262</v>
      </c>
      <c r="AD21" s="20" t="s">
        <v>262</v>
      </c>
      <c r="AE21" s="20" t="s">
        <v>262</v>
      </c>
      <c r="AF21" s="20" t="s">
        <v>262</v>
      </c>
      <c r="AG21" s="20" t="s">
        <v>262</v>
      </c>
      <c r="AH21" s="20" t="s">
        <v>262</v>
      </c>
      <c r="AI21" s="20" t="s">
        <v>262</v>
      </c>
      <c r="AJ21" s="20" t="s">
        <v>262</v>
      </c>
      <c r="AK21" s="20" t="s">
        <v>262</v>
      </c>
      <c r="AL21" s="20" t="s">
        <v>262</v>
      </c>
      <c r="AM21" s="20" t="s">
        <v>262</v>
      </c>
      <c r="AN21" s="20">
        <v>3</v>
      </c>
      <c r="AO21" s="20">
        <v>42</v>
      </c>
      <c r="AP21" s="20">
        <v>15</v>
      </c>
      <c r="AQ21" s="20">
        <v>27</v>
      </c>
      <c r="AR21" s="20">
        <v>5</v>
      </c>
      <c r="AS21" s="20">
        <v>1</v>
      </c>
      <c r="AT21" s="20">
        <v>4</v>
      </c>
      <c r="AU21" s="20">
        <v>3</v>
      </c>
      <c r="AV21" s="20">
        <v>1</v>
      </c>
      <c r="AW21" s="20">
        <v>2</v>
      </c>
      <c r="AX21" s="20">
        <v>34</v>
      </c>
      <c r="AY21" s="20">
        <v>13</v>
      </c>
      <c r="AZ21" s="20">
        <v>21</v>
      </c>
      <c r="BA21" s="20">
        <v>8310</v>
      </c>
      <c r="BB21" s="20">
        <v>3137</v>
      </c>
      <c r="BC21" s="20">
        <v>5173</v>
      </c>
      <c r="BD21" s="20">
        <v>1029</v>
      </c>
      <c r="BE21" s="20">
        <v>665</v>
      </c>
      <c r="BF21" s="20">
        <v>364</v>
      </c>
      <c r="BG21" s="20">
        <v>508</v>
      </c>
      <c r="BH21" s="20">
        <v>37</v>
      </c>
      <c r="BI21" s="20">
        <v>471</v>
      </c>
      <c r="BJ21" s="20">
        <v>6773</v>
      </c>
      <c r="BK21" s="20">
        <v>2435</v>
      </c>
      <c r="BL21" s="20">
        <v>4338</v>
      </c>
      <c r="BM21" s="20">
        <v>38533</v>
      </c>
      <c r="BN21" s="20">
        <v>14323</v>
      </c>
      <c r="BO21" s="20">
        <v>24210</v>
      </c>
      <c r="BP21" s="20">
        <v>6651</v>
      </c>
      <c r="BQ21" s="20">
        <v>3689</v>
      </c>
      <c r="BR21" s="20">
        <v>2962</v>
      </c>
      <c r="BS21" s="20">
        <v>3952</v>
      </c>
      <c r="BT21" s="20">
        <v>184</v>
      </c>
      <c r="BU21" s="20">
        <v>3768</v>
      </c>
      <c r="BV21" s="20">
        <v>27930</v>
      </c>
      <c r="BW21" s="20">
        <v>10450</v>
      </c>
      <c r="BX21" s="20">
        <v>17480</v>
      </c>
    </row>
    <row r="22" spans="1:76" ht="15.6" customHeight="1">
      <c r="A22" s="50" t="s">
        <v>160</v>
      </c>
      <c r="B22" s="94" t="s">
        <v>15</v>
      </c>
      <c r="C22" s="20" t="s">
        <v>261</v>
      </c>
      <c r="D22" s="20">
        <v>20</v>
      </c>
      <c r="E22" s="20">
        <v>4</v>
      </c>
      <c r="F22" s="20">
        <v>16</v>
      </c>
      <c r="G22" s="20" t="s">
        <v>261</v>
      </c>
      <c r="H22" s="20" t="s">
        <v>261</v>
      </c>
      <c r="I22" s="20" t="s">
        <v>261</v>
      </c>
      <c r="J22" s="20">
        <v>3</v>
      </c>
      <c r="K22" s="20" t="s">
        <v>261</v>
      </c>
      <c r="L22" s="20">
        <v>3</v>
      </c>
      <c r="M22" s="20">
        <v>17</v>
      </c>
      <c r="N22" s="20">
        <v>4</v>
      </c>
      <c r="O22" s="20">
        <v>13</v>
      </c>
      <c r="P22" s="20">
        <v>4583</v>
      </c>
      <c r="Q22" s="20">
        <v>690</v>
      </c>
      <c r="R22" s="20">
        <v>3893</v>
      </c>
      <c r="S22" s="20" t="s">
        <v>261</v>
      </c>
      <c r="T22" s="20" t="s">
        <v>261</v>
      </c>
      <c r="U22" s="20" t="s">
        <v>261</v>
      </c>
      <c r="V22" s="20">
        <v>468</v>
      </c>
      <c r="W22" s="20" t="s">
        <v>261</v>
      </c>
      <c r="X22" s="20">
        <v>468</v>
      </c>
      <c r="Y22" s="20">
        <v>4115</v>
      </c>
      <c r="Z22" s="20">
        <v>690</v>
      </c>
      <c r="AA22" s="20">
        <v>3425</v>
      </c>
      <c r="AB22" s="20">
        <v>17817</v>
      </c>
      <c r="AC22" s="20">
        <v>2858</v>
      </c>
      <c r="AD22" s="20">
        <v>14959</v>
      </c>
      <c r="AE22" s="20" t="s">
        <v>262</v>
      </c>
      <c r="AF22" s="20" t="s">
        <v>262</v>
      </c>
      <c r="AG22" s="20" t="s">
        <v>262</v>
      </c>
      <c r="AH22" s="20">
        <v>1630</v>
      </c>
      <c r="AI22" s="20" t="s">
        <v>262</v>
      </c>
      <c r="AJ22" s="20">
        <v>1630</v>
      </c>
      <c r="AK22" s="20">
        <v>16187</v>
      </c>
      <c r="AL22" s="20">
        <v>2858</v>
      </c>
      <c r="AM22" s="20">
        <v>13329</v>
      </c>
      <c r="AN22" s="20" t="s">
        <v>261</v>
      </c>
      <c r="AO22" s="20">
        <v>33</v>
      </c>
      <c r="AP22" s="20">
        <v>10</v>
      </c>
      <c r="AQ22" s="20">
        <v>23</v>
      </c>
      <c r="AR22" s="20">
        <v>4</v>
      </c>
      <c r="AS22" s="20" t="s">
        <v>261</v>
      </c>
      <c r="AT22" s="20">
        <v>4</v>
      </c>
      <c r="AU22" s="20">
        <v>4</v>
      </c>
      <c r="AV22" s="20">
        <v>3</v>
      </c>
      <c r="AW22" s="20">
        <v>1</v>
      </c>
      <c r="AX22" s="20">
        <v>25</v>
      </c>
      <c r="AY22" s="20">
        <v>7</v>
      </c>
      <c r="AZ22" s="20">
        <v>18</v>
      </c>
      <c r="BA22" s="20">
        <v>6436</v>
      </c>
      <c r="BB22" s="20">
        <v>1999</v>
      </c>
      <c r="BC22" s="20">
        <v>4437</v>
      </c>
      <c r="BD22" s="20">
        <v>894</v>
      </c>
      <c r="BE22" s="20" t="s">
        <v>261</v>
      </c>
      <c r="BF22" s="20">
        <v>894</v>
      </c>
      <c r="BG22" s="20">
        <v>757</v>
      </c>
      <c r="BH22" s="20">
        <v>456</v>
      </c>
      <c r="BI22" s="20">
        <v>301</v>
      </c>
      <c r="BJ22" s="20">
        <v>4785</v>
      </c>
      <c r="BK22" s="20">
        <v>1543</v>
      </c>
      <c r="BL22" s="20">
        <v>3242</v>
      </c>
      <c r="BM22" s="20">
        <v>21187</v>
      </c>
      <c r="BN22" s="20">
        <v>7064</v>
      </c>
      <c r="BO22" s="20">
        <v>14123</v>
      </c>
      <c r="BP22" s="20">
        <v>2300</v>
      </c>
      <c r="BQ22" s="20" t="s">
        <v>262</v>
      </c>
      <c r="BR22" s="20">
        <v>2300</v>
      </c>
      <c r="BS22" s="20">
        <v>2576</v>
      </c>
      <c r="BT22" s="20">
        <v>1700</v>
      </c>
      <c r="BU22" s="20">
        <v>876</v>
      </c>
      <c r="BV22" s="20">
        <v>16311</v>
      </c>
      <c r="BW22" s="20">
        <v>5364</v>
      </c>
      <c r="BX22" s="20">
        <v>10947</v>
      </c>
    </row>
    <row r="23" spans="1:76" ht="15.6" customHeight="1">
      <c r="A23" s="50" t="s">
        <v>161</v>
      </c>
      <c r="B23" s="94" t="s">
        <v>16</v>
      </c>
      <c r="C23" s="20" t="s">
        <v>261</v>
      </c>
      <c r="D23" s="20" t="s">
        <v>261</v>
      </c>
      <c r="E23" s="20" t="s">
        <v>261</v>
      </c>
      <c r="F23" s="20" t="s">
        <v>261</v>
      </c>
      <c r="G23" s="20" t="s">
        <v>261</v>
      </c>
      <c r="H23" s="20" t="s">
        <v>261</v>
      </c>
      <c r="I23" s="20" t="s">
        <v>261</v>
      </c>
      <c r="J23" s="20" t="s">
        <v>261</v>
      </c>
      <c r="K23" s="20" t="s">
        <v>261</v>
      </c>
      <c r="L23" s="20" t="s">
        <v>261</v>
      </c>
      <c r="M23" s="20" t="s">
        <v>261</v>
      </c>
      <c r="N23" s="20" t="s">
        <v>261</v>
      </c>
      <c r="O23" s="20" t="s">
        <v>261</v>
      </c>
      <c r="P23" s="20" t="s">
        <v>261</v>
      </c>
      <c r="Q23" s="20" t="s">
        <v>261</v>
      </c>
      <c r="R23" s="20" t="s">
        <v>261</v>
      </c>
      <c r="S23" s="20" t="s">
        <v>261</v>
      </c>
      <c r="T23" s="20" t="s">
        <v>261</v>
      </c>
      <c r="U23" s="20" t="s">
        <v>261</v>
      </c>
      <c r="V23" s="20" t="s">
        <v>261</v>
      </c>
      <c r="W23" s="20" t="s">
        <v>261</v>
      </c>
      <c r="X23" s="20" t="s">
        <v>261</v>
      </c>
      <c r="Y23" s="20" t="s">
        <v>261</v>
      </c>
      <c r="Z23" s="20" t="s">
        <v>261</v>
      </c>
      <c r="AA23" s="20" t="s">
        <v>261</v>
      </c>
      <c r="AB23" s="20" t="s">
        <v>262</v>
      </c>
      <c r="AC23" s="20" t="s">
        <v>262</v>
      </c>
      <c r="AD23" s="20" t="s">
        <v>262</v>
      </c>
      <c r="AE23" s="20" t="s">
        <v>262</v>
      </c>
      <c r="AF23" s="20" t="s">
        <v>262</v>
      </c>
      <c r="AG23" s="20" t="s">
        <v>262</v>
      </c>
      <c r="AH23" s="20" t="s">
        <v>262</v>
      </c>
      <c r="AI23" s="20" t="s">
        <v>262</v>
      </c>
      <c r="AJ23" s="20" t="s">
        <v>262</v>
      </c>
      <c r="AK23" s="20" t="s">
        <v>262</v>
      </c>
      <c r="AL23" s="20" t="s">
        <v>262</v>
      </c>
      <c r="AM23" s="20" t="s">
        <v>262</v>
      </c>
      <c r="AN23" s="20" t="s">
        <v>261</v>
      </c>
      <c r="AO23" s="20">
        <v>43</v>
      </c>
      <c r="AP23" s="20">
        <v>12</v>
      </c>
      <c r="AQ23" s="20">
        <v>31</v>
      </c>
      <c r="AR23" s="20">
        <v>7</v>
      </c>
      <c r="AS23" s="20">
        <v>3</v>
      </c>
      <c r="AT23" s="20">
        <v>4</v>
      </c>
      <c r="AU23" s="20">
        <v>1</v>
      </c>
      <c r="AV23" s="20" t="s">
        <v>261</v>
      </c>
      <c r="AW23" s="20">
        <v>1</v>
      </c>
      <c r="AX23" s="20">
        <v>35</v>
      </c>
      <c r="AY23" s="20">
        <v>9</v>
      </c>
      <c r="AZ23" s="20">
        <v>26</v>
      </c>
      <c r="BA23" s="20">
        <v>7484</v>
      </c>
      <c r="BB23" s="20">
        <v>2154</v>
      </c>
      <c r="BC23" s="20">
        <v>5330</v>
      </c>
      <c r="BD23" s="20">
        <v>959</v>
      </c>
      <c r="BE23" s="20">
        <v>322</v>
      </c>
      <c r="BF23" s="20">
        <v>637</v>
      </c>
      <c r="BG23" s="20">
        <v>547</v>
      </c>
      <c r="BH23" s="20">
        <v>180</v>
      </c>
      <c r="BI23" s="20">
        <v>367</v>
      </c>
      <c r="BJ23" s="20">
        <v>5978</v>
      </c>
      <c r="BK23" s="20">
        <v>1652</v>
      </c>
      <c r="BL23" s="20">
        <v>4326</v>
      </c>
      <c r="BM23" s="20">
        <v>60200</v>
      </c>
      <c r="BN23" s="20">
        <v>17416</v>
      </c>
      <c r="BO23" s="20">
        <v>42784</v>
      </c>
      <c r="BP23" s="20">
        <v>7730</v>
      </c>
      <c r="BQ23" s="20">
        <v>2640</v>
      </c>
      <c r="BR23" s="20">
        <v>5090</v>
      </c>
      <c r="BS23" s="20">
        <v>4397</v>
      </c>
      <c r="BT23" s="20">
        <v>1461</v>
      </c>
      <c r="BU23" s="20">
        <v>2936</v>
      </c>
      <c r="BV23" s="20">
        <v>48073</v>
      </c>
      <c r="BW23" s="20">
        <v>13315</v>
      </c>
      <c r="BX23" s="20">
        <v>34758</v>
      </c>
    </row>
    <row r="24" spans="1:76" ht="15.6" customHeight="1">
      <c r="A24" s="50" t="s">
        <v>162</v>
      </c>
      <c r="B24" s="94" t="s">
        <v>17</v>
      </c>
      <c r="C24" s="20" t="s">
        <v>261</v>
      </c>
      <c r="D24" s="20" t="s">
        <v>261</v>
      </c>
      <c r="E24" s="20" t="s">
        <v>261</v>
      </c>
      <c r="F24" s="20" t="s">
        <v>261</v>
      </c>
      <c r="G24" s="20" t="s">
        <v>261</v>
      </c>
      <c r="H24" s="20" t="s">
        <v>261</v>
      </c>
      <c r="I24" s="20" t="s">
        <v>261</v>
      </c>
      <c r="J24" s="20" t="s">
        <v>261</v>
      </c>
      <c r="K24" s="20" t="s">
        <v>261</v>
      </c>
      <c r="L24" s="20" t="s">
        <v>261</v>
      </c>
      <c r="M24" s="20" t="s">
        <v>261</v>
      </c>
      <c r="N24" s="20" t="s">
        <v>261</v>
      </c>
      <c r="O24" s="20" t="s">
        <v>261</v>
      </c>
      <c r="P24" s="20" t="s">
        <v>261</v>
      </c>
      <c r="Q24" s="20" t="s">
        <v>261</v>
      </c>
      <c r="R24" s="20" t="s">
        <v>261</v>
      </c>
      <c r="S24" s="20" t="s">
        <v>261</v>
      </c>
      <c r="T24" s="20" t="s">
        <v>261</v>
      </c>
      <c r="U24" s="20" t="s">
        <v>261</v>
      </c>
      <c r="V24" s="20" t="s">
        <v>261</v>
      </c>
      <c r="W24" s="20" t="s">
        <v>261</v>
      </c>
      <c r="X24" s="20" t="s">
        <v>261</v>
      </c>
      <c r="Y24" s="20" t="s">
        <v>261</v>
      </c>
      <c r="Z24" s="20" t="s">
        <v>261</v>
      </c>
      <c r="AA24" s="20" t="s">
        <v>261</v>
      </c>
      <c r="AB24" s="20" t="s">
        <v>262</v>
      </c>
      <c r="AC24" s="20" t="s">
        <v>262</v>
      </c>
      <c r="AD24" s="20" t="s">
        <v>262</v>
      </c>
      <c r="AE24" s="20" t="s">
        <v>262</v>
      </c>
      <c r="AF24" s="20" t="s">
        <v>262</v>
      </c>
      <c r="AG24" s="20" t="s">
        <v>262</v>
      </c>
      <c r="AH24" s="20" t="s">
        <v>262</v>
      </c>
      <c r="AI24" s="20" t="s">
        <v>262</v>
      </c>
      <c r="AJ24" s="20" t="s">
        <v>262</v>
      </c>
      <c r="AK24" s="20" t="s">
        <v>262</v>
      </c>
      <c r="AL24" s="20" t="s">
        <v>262</v>
      </c>
      <c r="AM24" s="20" t="s">
        <v>262</v>
      </c>
      <c r="AN24" s="20" t="s">
        <v>261</v>
      </c>
      <c r="AO24" s="20" t="s">
        <v>261</v>
      </c>
      <c r="AP24" s="20" t="s">
        <v>261</v>
      </c>
      <c r="AQ24" s="20" t="s">
        <v>261</v>
      </c>
      <c r="AR24" s="20" t="s">
        <v>261</v>
      </c>
      <c r="AS24" s="20" t="s">
        <v>261</v>
      </c>
      <c r="AT24" s="20" t="s">
        <v>261</v>
      </c>
      <c r="AU24" s="20" t="s">
        <v>261</v>
      </c>
      <c r="AV24" s="20" t="s">
        <v>261</v>
      </c>
      <c r="AW24" s="20" t="s">
        <v>261</v>
      </c>
      <c r="AX24" s="20" t="s">
        <v>261</v>
      </c>
      <c r="AY24" s="20" t="s">
        <v>261</v>
      </c>
      <c r="AZ24" s="20" t="s">
        <v>261</v>
      </c>
      <c r="BA24" s="20" t="s">
        <v>261</v>
      </c>
      <c r="BB24" s="20" t="s">
        <v>261</v>
      </c>
      <c r="BC24" s="20" t="s">
        <v>261</v>
      </c>
      <c r="BD24" s="20" t="s">
        <v>261</v>
      </c>
      <c r="BE24" s="20" t="s">
        <v>261</v>
      </c>
      <c r="BF24" s="20" t="s">
        <v>261</v>
      </c>
      <c r="BG24" s="20" t="s">
        <v>261</v>
      </c>
      <c r="BH24" s="20" t="s">
        <v>261</v>
      </c>
      <c r="BI24" s="20" t="s">
        <v>261</v>
      </c>
      <c r="BJ24" s="20" t="s">
        <v>261</v>
      </c>
      <c r="BK24" s="20" t="s">
        <v>261</v>
      </c>
      <c r="BL24" s="20" t="s">
        <v>261</v>
      </c>
      <c r="BM24" s="20" t="s">
        <v>262</v>
      </c>
      <c r="BN24" s="20" t="s">
        <v>262</v>
      </c>
      <c r="BO24" s="20" t="s">
        <v>262</v>
      </c>
      <c r="BP24" s="20" t="s">
        <v>262</v>
      </c>
      <c r="BQ24" s="20" t="s">
        <v>262</v>
      </c>
      <c r="BR24" s="20" t="s">
        <v>262</v>
      </c>
      <c r="BS24" s="20" t="s">
        <v>262</v>
      </c>
      <c r="BT24" s="20" t="s">
        <v>262</v>
      </c>
      <c r="BU24" s="20" t="s">
        <v>262</v>
      </c>
      <c r="BV24" s="20" t="s">
        <v>262</v>
      </c>
      <c r="BW24" s="20" t="s">
        <v>262</v>
      </c>
      <c r="BX24" s="20" t="s">
        <v>262</v>
      </c>
    </row>
    <row r="25" spans="1:76" ht="15.6" customHeight="1">
      <c r="A25" s="50" t="s">
        <v>163</v>
      </c>
      <c r="B25" s="94" t="s">
        <v>18</v>
      </c>
      <c r="C25" s="20" t="s">
        <v>261</v>
      </c>
      <c r="D25" s="20" t="s">
        <v>261</v>
      </c>
      <c r="E25" s="20" t="s">
        <v>261</v>
      </c>
      <c r="F25" s="20" t="s">
        <v>261</v>
      </c>
      <c r="G25" s="20" t="s">
        <v>261</v>
      </c>
      <c r="H25" s="20" t="s">
        <v>261</v>
      </c>
      <c r="I25" s="20" t="s">
        <v>261</v>
      </c>
      <c r="J25" s="20" t="s">
        <v>261</v>
      </c>
      <c r="K25" s="20" t="s">
        <v>261</v>
      </c>
      <c r="L25" s="20" t="s">
        <v>261</v>
      </c>
      <c r="M25" s="20" t="s">
        <v>261</v>
      </c>
      <c r="N25" s="20" t="s">
        <v>261</v>
      </c>
      <c r="O25" s="20" t="s">
        <v>261</v>
      </c>
      <c r="P25" s="20" t="s">
        <v>261</v>
      </c>
      <c r="Q25" s="20" t="s">
        <v>261</v>
      </c>
      <c r="R25" s="20" t="s">
        <v>261</v>
      </c>
      <c r="S25" s="20" t="s">
        <v>261</v>
      </c>
      <c r="T25" s="20" t="s">
        <v>261</v>
      </c>
      <c r="U25" s="20" t="s">
        <v>261</v>
      </c>
      <c r="V25" s="20" t="s">
        <v>261</v>
      </c>
      <c r="W25" s="20" t="s">
        <v>261</v>
      </c>
      <c r="X25" s="20" t="s">
        <v>261</v>
      </c>
      <c r="Y25" s="20" t="s">
        <v>261</v>
      </c>
      <c r="Z25" s="20" t="s">
        <v>261</v>
      </c>
      <c r="AA25" s="20" t="s">
        <v>261</v>
      </c>
      <c r="AB25" s="20" t="s">
        <v>262</v>
      </c>
      <c r="AC25" s="20" t="s">
        <v>262</v>
      </c>
      <c r="AD25" s="20" t="s">
        <v>262</v>
      </c>
      <c r="AE25" s="20" t="s">
        <v>262</v>
      </c>
      <c r="AF25" s="20" t="s">
        <v>262</v>
      </c>
      <c r="AG25" s="20" t="s">
        <v>262</v>
      </c>
      <c r="AH25" s="20" t="s">
        <v>262</v>
      </c>
      <c r="AI25" s="20" t="s">
        <v>262</v>
      </c>
      <c r="AJ25" s="20" t="s">
        <v>262</v>
      </c>
      <c r="AK25" s="20" t="s">
        <v>262</v>
      </c>
      <c r="AL25" s="20" t="s">
        <v>262</v>
      </c>
      <c r="AM25" s="20" t="s">
        <v>262</v>
      </c>
      <c r="AN25" s="20">
        <v>2</v>
      </c>
      <c r="AO25" s="20">
        <v>32</v>
      </c>
      <c r="AP25" s="20">
        <v>24</v>
      </c>
      <c r="AQ25" s="20">
        <v>8</v>
      </c>
      <c r="AR25" s="20">
        <v>5</v>
      </c>
      <c r="AS25" s="20">
        <v>4</v>
      </c>
      <c r="AT25" s="20">
        <v>1</v>
      </c>
      <c r="AU25" s="20">
        <v>10</v>
      </c>
      <c r="AV25" s="20">
        <v>8</v>
      </c>
      <c r="AW25" s="20">
        <v>2</v>
      </c>
      <c r="AX25" s="20">
        <v>17</v>
      </c>
      <c r="AY25" s="20">
        <v>12</v>
      </c>
      <c r="AZ25" s="20">
        <v>5</v>
      </c>
      <c r="BA25" s="20">
        <v>4680</v>
      </c>
      <c r="BB25" s="20">
        <v>3122</v>
      </c>
      <c r="BC25" s="20">
        <v>1558</v>
      </c>
      <c r="BD25" s="20">
        <v>842</v>
      </c>
      <c r="BE25" s="20">
        <v>504</v>
      </c>
      <c r="BF25" s="20">
        <v>338</v>
      </c>
      <c r="BG25" s="20">
        <v>1270</v>
      </c>
      <c r="BH25" s="20">
        <v>984</v>
      </c>
      <c r="BI25" s="20">
        <v>286</v>
      </c>
      <c r="BJ25" s="20">
        <v>2568</v>
      </c>
      <c r="BK25" s="20">
        <v>1634</v>
      </c>
      <c r="BL25" s="20">
        <v>934</v>
      </c>
      <c r="BM25" s="20">
        <v>12192</v>
      </c>
      <c r="BN25" s="20">
        <v>7878</v>
      </c>
      <c r="BO25" s="20">
        <v>4314</v>
      </c>
      <c r="BP25" s="20">
        <v>2358</v>
      </c>
      <c r="BQ25" s="20">
        <v>1302</v>
      </c>
      <c r="BR25" s="20">
        <v>1056</v>
      </c>
      <c r="BS25" s="20">
        <v>3812</v>
      </c>
      <c r="BT25" s="20">
        <v>3050</v>
      </c>
      <c r="BU25" s="20">
        <v>762</v>
      </c>
      <c r="BV25" s="20">
        <v>6022</v>
      </c>
      <c r="BW25" s="20">
        <v>3526</v>
      </c>
      <c r="BX25" s="20">
        <v>2496</v>
      </c>
    </row>
    <row r="26" spans="1:76" ht="15.6" customHeight="1">
      <c r="A26" s="50" t="s">
        <v>164</v>
      </c>
      <c r="B26" s="94" t="s">
        <v>19</v>
      </c>
      <c r="C26" s="20" t="s">
        <v>261</v>
      </c>
      <c r="D26" s="20">
        <v>1</v>
      </c>
      <c r="E26" s="20" t="s">
        <v>261</v>
      </c>
      <c r="F26" s="20">
        <v>1</v>
      </c>
      <c r="G26" s="20" t="s">
        <v>261</v>
      </c>
      <c r="H26" s="20" t="s">
        <v>261</v>
      </c>
      <c r="I26" s="20" t="s">
        <v>261</v>
      </c>
      <c r="J26" s="20" t="s">
        <v>261</v>
      </c>
      <c r="K26" s="20" t="s">
        <v>261</v>
      </c>
      <c r="L26" s="20" t="s">
        <v>261</v>
      </c>
      <c r="M26" s="20">
        <v>1</v>
      </c>
      <c r="N26" s="20" t="s">
        <v>261</v>
      </c>
      <c r="O26" s="20">
        <v>1</v>
      </c>
      <c r="P26" s="20">
        <v>1</v>
      </c>
      <c r="Q26" s="20" t="s">
        <v>261</v>
      </c>
      <c r="R26" s="20">
        <v>1</v>
      </c>
      <c r="S26" s="20" t="s">
        <v>261</v>
      </c>
      <c r="T26" s="20" t="s">
        <v>261</v>
      </c>
      <c r="U26" s="20" t="s">
        <v>261</v>
      </c>
      <c r="V26" s="20" t="s">
        <v>261</v>
      </c>
      <c r="W26" s="20" t="s">
        <v>261</v>
      </c>
      <c r="X26" s="20" t="s">
        <v>261</v>
      </c>
      <c r="Y26" s="20">
        <v>1</v>
      </c>
      <c r="Z26" s="20" t="s">
        <v>261</v>
      </c>
      <c r="AA26" s="20">
        <v>1</v>
      </c>
      <c r="AB26" s="20">
        <v>8</v>
      </c>
      <c r="AC26" s="20" t="s">
        <v>262</v>
      </c>
      <c r="AD26" s="20">
        <v>8</v>
      </c>
      <c r="AE26" s="20" t="s">
        <v>262</v>
      </c>
      <c r="AF26" s="20" t="s">
        <v>262</v>
      </c>
      <c r="AG26" s="20" t="s">
        <v>262</v>
      </c>
      <c r="AH26" s="20" t="s">
        <v>262</v>
      </c>
      <c r="AI26" s="20" t="s">
        <v>262</v>
      </c>
      <c r="AJ26" s="20" t="s">
        <v>262</v>
      </c>
      <c r="AK26" s="20">
        <v>8</v>
      </c>
      <c r="AL26" s="20" t="s">
        <v>262</v>
      </c>
      <c r="AM26" s="20">
        <v>8</v>
      </c>
      <c r="AN26" s="20" t="s">
        <v>261</v>
      </c>
      <c r="AO26" s="20">
        <v>15</v>
      </c>
      <c r="AP26" s="20">
        <v>7</v>
      </c>
      <c r="AQ26" s="20">
        <v>8</v>
      </c>
      <c r="AR26" s="20">
        <v>4</v>
      </c>
      <c r="AS26" s="20">
        <v>2</v>
      </c>
      <c r="AT26" s="20">
        <v>2</v>
      </c>
      <c r="AU26" s="20">
        <v>1</v>
      </c>
      <c r="AV26" s="20" t="s">
        <v>261</v>
      </c>
      <c r="AW26" s="20">
        <v>1</v>
      </c>
      <c r="AX26" s="20">
        <v>10</v>
      </c>
      <c r="AY26" s="20">
        <v>5</v>
      </c>
      <c r="AZ26" s="20">
        <v>5</v>
      </c>
      <c r="BA26" s="20">
        <v>640</v>
      </c>
      <c r="BB26" s="20">
        <v>215</v>
      </c>
      <c r="BC26" s="20">
        <v>425</v>
      </c>
      <c r="BD26" s="20">
        <v>279</v>
      </c>
      <c r="BE26" s="20">
        <v>39</v>
      </c>
      <c r="BF26" s="20">
        <v>240</v>
      </c>
      <c r="BG26" s="20">
        <v>47</v>
      </c>
      <c r="BH26" s="20">
        <v>12</v>
      </c>
      <c r="BI26" s="20">
        <v>35</v>
      </c>
      <c r="BJ26" s="20">
        <v>314</v>
      </c>
      <c r="BK26" s="20">
        <v>164</v>
      </c>
      <c r="BL26" s="20">
        <v>150</v>
      </c>
      <c r="BM26" s="20">
        <v>3861</v>
      </c>
      <c r="BN26" s="20">
        <v>1308</v>
      </c>
      <c r="BO26" s="20">
        <v>2553</v>
      </c>
      <c r="BP26" s="20">
        <v>1568</v>
      </c>
      <c r="BQ26" s="20">
        <v>294</v>
      </c>
      <c r="BR26" s="20">
        <v>1274</v>
      </c>
      <c r="BS26" s="20">
        <v>326</v>
      </c>
      <c r="BT26" s="20">
        <v>84</v>
      </c>
      <c r="BU26" s="20">
        <v>242</v>
      </c>
      <c r="BV26" s="20">
        <v>1967</v>
      </c>
      <c r="BW26" s="20">
        <v>930</v>
      </c>
      <c r="BX26" s="20">
        <v>1037</v>
      </c>
    </row>
    <row r="27" spans="1:76" ht="15.6" customHeight="1">
      <c r="A27" s="50" t="s">
        <v>165</v>
      </c>
      <c r="B27" s="94" t="s">
        <v>20</v>
      </c>
      <c r="C27" s="20" t="s">
        <v>261</v>
      </c>
      <c r="D27" s="20">
        <v>32</v>
      </c>
      <c r="E27" s="20">
        <v>10</v>
      </c>
      <c r="F27" s="20">
        <v>22</v>
      </c>
      <c r="G27" s="20">
        <v>2</v>
      </c>
      <c r="H27" s="20">
        <v>2</v>
      </c>
      <c r="I27" s="20" t="s">
        <v>261</v>
      </c>
      <c r="J27" s="20" t="s">
        <v>261</v>
      </c>
      <c r="K27" s="20" t="s">
        <v>261</v>
      </c>
      <c r="L27" s="20" t="s">
        <v>261</v>
      </c>
      <c r="M27" s="20">
        <v>30</v>
      </c>
      <c r="N27" s="20">
        <v>8</v>
      </c>
      <c r="O27" s="20">
        <v>22</v>
      </c>
      <c r="P27" s="20">
        <v>4854</v>
      </c>
      <c r="Q27" s="20">
        <v>1523</v>
      </c>
      <c r="R27" s="20">
        <v>3331</v>
      </c>
      <c r="S27" s="20">
        <v>405</v>
      </c>
      <c r="T27" s="20">
        <v>365</v>
      </c>
      <c r="U27" s="20">
        <v>40</v>
      </c>
      <c r="V27" s="20" t="s">
        <v>261</v>
      </c>
      <c r="W27" s="20" t="s">
        <v>261</v>
      </c>
      <c r="X27" s="20" t="s">
        <v>261</v>
      </c>
      <c r="Y27" s="20">
        <v>4449</v>
      </c>
      <c r="Z27" s="20">
        <v>1158</v>
      </c>
      <c r="AA27" s="20">
        <v>3291</v>
      </c>
      <c r="AB27" s="20">
        <v>38748</v>
      </c>
      <c r="AC27" s="20">
        <v>12164</v>
      </c>
      <c r="AD27" s="20">
        <v>26584</v>
      </c>
      <c r="AE27" s="20">
        <v>3240</v>
      </c>
      <c r="AF27" s="20">
        <v>2920</v>
      </c>
      <c r="AG27" s="20">
        <v>320</v>
      </c>
      <c r="AH27" s="20" t="s">
        <v>262</v>
      </c>
      <c r="AI27" s="20" t="s">
        <v>262</v>
      </c>
      <c r="AJ27" s="20" t="s">
        <v>262</v>
      </c>
      <c r="AK27" s="20">
        <v>35508</v>
      </c>
      <c r="AL27" s="20">
        <v>9244</v>
      </c>
      <c r="AM27" s="20">
        <v>26264</v>
      </c>
      <c r="AN27" s="20" t="s">
        <v>261</v>
      </c>
      <c r="AO27" s="20">
        <v>60</v>
      </c>
      <c r="AP27" s="20">
        <v>20</v>
      </c>
      <c r="AQ27" s="20">
        <v>40</v>
      </c>
      <c r="AR27" s="20" t="s">
        <v>261</v>
      </c>
      <c r="AS27" s="20" t="s">
        <v>261</v>
      </c>
      <c r="AT27" s="20" t="s">
        <v>261</v>
      </c>
      <c r="AU27" s="20" t="s">
        <v>261</v>
      </c>
      <c r="AV27" s="20" t="s">
        <v>261</v>
      </c>
      <c r="AW27" s="20" t="s">
        <v>261</v>
      </c>
      <c r="AX27" s="20">
        <v>60</v>
      </c>
      <c r="AY27" s="20">
        <v>20</v>
      </c>
      <c r="AZ27" s="20">
        <v>40</v>
      </c>
      <c r="BA27" s="20">
        <v>10956</v>
      </c>
      <c r="BB27" s="20">
        <v>3459</v>
      </c>
      <c r="BC27" s="20">
        <v>7497</v>
      </c>
      <c r="BD27" s="20">
        <v>80</v>
      </c>
      <c r="BE27" s="20">
        <v>30</v>
      </c>
      <c r="BF27" s="20">
        <v>50</v>
      </c>
      <c r="BG27" s="20" t="s">
        <v>261</v>
      </c>
      <c r="BH27" s="20" t="s">
        <v>261</v>
      </c>
      <c r="BI27" s="20" t="s">
        <v>261</v>
      </c>
      <c r="BJ27" s="20">
        <v>10876</v>
      </c>
      <c r="BK27" s="20">
        <v>3429</v>
      </c>
      <c r="BL27" s="20">
        <v>7447</v>
      </c>
      <c r="BM27" s="20">
        <v>86436</v>
      </c>
      <c r="BN27" s="20">
        <v>27654</v>
      </c>
      <c r="BO27" s="20">
        <v>58782</v>
      </c>
      <c r="BP27" s="20">
        <v>496</v>
      </c>
      <c r="BQ27" s="20">
        <v>240</v>
      </c>
      <c r="BR27" s="20">
        <v>256</v>
      </c>
      <c r="BS27" s="20" t="s">
        <v>262</v>
      </c>
      <c r="BT27" s="20" t="s">
        <v>262</v>
      </c>
      <c r="BU27" s="20" t="s">
        <v>262</v>
      </c>
      <c r="BV27" s="20">
        <v>85940</v>
      </c>
      <c r="BW27" s="20">
        <v>27414</v>
      </c>
      <c r="BX27" s="20">
        <v>58526</v>
      </c>
    </row>
    <row r="28" spans="1:76" ht="15.6" customHeight="1">
      <c r="A28" s="50" t="s">
        <v>166</v>
      </c>
      <c r="B28" s="94" t="s">
        <v>21</v>
      </c>
      <c r="C28" s="20">
        <v>2</v>
      </c>
      <c r="D28" s="20">
        <v>17</v>
      </c>
      <c r="E28" s="20">
        <v>7</v>
      </c>
      <c r="F28" s="20">
        <v>10</v>
      </c>
      <c r="G28" s="20" t="s">
        <v>261</v>
      </c>
      <c r="H28" s="20" t="s">
        <v>261</v>
      </c>
      <c r="I28" s="20" t="s">
        <v>261</v>
      </c>
      <c r="J28" s="20" t="s">
        <v>261</v>
      </c>
      <c r="K28" s="20" t="s">
        <v>261</v>
      </c>
      <c r="L28" s="20" t="s">
        <v>261</v>
      </c>
      <c r="M28" s="20">
        <v>17</v>
      </c>
      <c r="N28" s="20">
        <v>7</v>
      </c>
      <c r="O28" s="20">
        <v>10</v>
      </c>
      <c r="P28" s="20">
        <v>3500</v>
      </c>
      <c r="Q28" s="20">
        <v>1622</v>
      </c>
      <c r="R28" s="20">
        <v>1878</v>
      </c>
      <c r="S28" s="20" t="s">
        <v>261</v>
      </c>
      <c r="T28" s="20" t="s">
        <v>261</v>
      </c>
      <c r="U28" s="20" t="s">
        <v>261</v>
      </c>
      <c r="V28" s="20">
        <v>299</v>
      </c>
      <c r="W28" s="20">
        <v>299</v>
      </c>
      <c r="X28" s="20" t="s">
        <v>261</v>
      </c>
      <c r="Y28" s="20">
        <v>3201</v>
      </c>
      <c r="Z28" s="20">
        <v>1323</v>
      </c>
      <c r="AA28" s="20">
        <v>1878</v>
      </c>
      <c r="AB28" s="20">
        <v>27670</v>
      </c>
      <c r="AC28" s="20">
        <v>12926</v>
      </c>
      <c r="AD28" s="20">
        <v>14744</v>
      </c>
      <c r="AE28" s="20" t="s">
        <v>262</v>
      </c>
      <c r="AF28" s="20" t="s">
        <v>262</v>
      </c>
      <c r="AG28" s="20" t="s">
        <v>262</v>
      </c>
      <c r="AH28" s="20">
        <v>2442</v>
      </c>
      <c r="AI28" s="20">
        <v>2442</v>
      </c>
      <c r="AJ28" s="20" t="s">
        <v>262</v>
      </c>
      <c r="AK28" s="20">
        <v>25228</v>
      </c>
      <c r="AL28" s="20">
        <v>10484</v>
      </c>
      <c r="AM28" s="20">
        <v>14744</v>
      </c>
      <c r="AN28" s="20">
        <v>3</v>
      </c>
      <c r="AO28" s="20">
        <v>38</v>
      </c>
      <c r="AP28" s="20">
        <v>11</v>
      </c>
      <c r="AQ28" s="20">
        <v>27</v>
      </c>
      <c r="AR28" s="20">
        <v>1</v>
      </c>
      <c r="AS28" s="20" t="s">
        <v>261</v>
      </c>
      <c r="AT28" s="20">
        <v>1</v>
      </c>
      <c r="AU28" s="20">
        <v>2</v>
      </c>
      <c r="AV28" s="20">
        <v>1</v>
      </c>
      <c r="AW28" s="20">
        <v>1</v>
      </c>
      <c r="AX28" s="20">
        <v>35</v>
      </c>
      <c r="AY28" s="20">
        <v>10</v>
      </c>
      <c r="AZ28" s="20">
        <v>25</v>
      </c>
      <c r="BA28" s="20">
        <v>6973</v>
      </c>
      <c r="BB28" s="20">
        <v>2140</v>
      </c>
      <c r="BC28" s="20">
        <v>4833</v>
      </c>
      <c r="BD28" s="20">
        <v>321</v>
      </c>
      <c r="BE28" s="20" t="s">
        <v>261</v>
      </c>
      <c r="BF28" s="20">
        <v>321</v>
      </c>
      <c r="BG28" s="20">
        <v>580</v>
      </c>
      <c r="BH28" s="20">
        <v>113</v>
      </c>
      <c r="BI28" s="20">
        <v>467</v>
      </c>
      <c r="BJ28" s="20">
        <v>6072</v>
      </c>
      <c r="BK28" s="20">
        <v>2027</v>
      </c>
      <c r="BL28" s="20">
        <v>4045</v>
      </c>
      <c r="BM28" s="20">
        <v>18894.900000000001</v>
      </c>
      <c r="BN28" s="20">
        <v>6805.7</v>
      </c>
      <c r="BO28" s="20">
        <v>12089.2</v>
      </c>
      <c r="BP28" s="20">
        <v>1402.2</v>
      </c>
      <c r="BQ28" s="20" t="s">
        <v>262</v>
      </c>
      <c r="BR28" s="20">
        <v>1402.2</v>
      </c>
      <c r="BS28" s="20">
        <v>2038.7</v>
      </c>
      <c r="BT28" s="20">
        <v>270</v>
      </c>
      <c r="BU28" s="20">
        <v>1768.7</v>
      </c>
      <c r="BV28" s="20">
        <v>15454</v>
      </c>
      <c r="BW28" s="20">
        <v>6535.7</v>
      </c>
      <c r="BX28" s="20">
        <v>8918.2999999999993</v>
      </c>
    </row>
    <row r="29" spans="1:76" ht="15.6" customHeight="1">
      <c r="A29" s="50" t="s">
        <v>167</v>
      </c>
      <c r="B29" s="94" t="s">
        <v>22</v>
      </c>
      <c r="C29" s="20" t="s">
        <v>261</v>
      </c>
      <c r="D29" s="20" t="s">
        <v>261</v>
      </c>
      <c r="E29" s="20" t="s">
        <v>261</v>
      </c>
      <c r="F29" s="20" t="s">
        <v>261</v>
      </c>
      <c r="G29" s="20" t="s">
        <v>261</v>
      </c>
      <c r="H29" s="20" t="s">
        <v>261</v>
      </c>
      <c r="I29" s="20" t="s">
        <v>261</v>
      </c>
      <c r="J29" s="20" t="s">
        <v>261</v>
      </c>
      <c r="K29" s="20" t="s">
        <v>261</v>
      </c>
      <c r="L29" s="20" t="s">
        <v>261</v>
      </c>
      <c r="M29" s="20" t="s">
        <v>261</v>
      </c>
      <c r="N29" s="20" t="s">
        <v>261</v>
      </c>
      <c r="O29" s="20" t="s">
        <v>261</v>
      </c>
      <c r="P29" s="20" t="s">
        <v>261</v>
      </c>
      <c r="Q29" s="20" t="s">
        <v>261</v>
      </c>
      <c r="R29" s="20" t="s">
        <v>261</v>
      </c>
      <c r="S29" s="20" t="s">
        <v>261</v>
      </c>
      <c r="T29" s="20" t="s">
        <v>261</v>
      </c>
      <c r="U29" s="20" t="s">
        <v>261</v>
      </c>
      <c r="V29" s="20" t="s">
        <v>261</v>
      </c>
      <c r="W29" s="20" t="s">
        <v>261</v>
      </c>
      <c r="X29" s="20" t="s">
        <v>261</v>
      </c>
      <c r="Y29" s="20" t="s">
        <v>261</v>
      </c>
      <c r="Z29" s="20" t="s">
        <v>261</v>
      </c>
      <c r="AA29" s="20" t="s">
        <v>261</v>
      </c>
      <c r="AB29" s="20" t="s">
        <v>262</v>
      </c>
      <c r="AC29" s="20" t="s">
        <v>262</v>
      </c>
      <c r="AD29" s="20" t="s">
        <v>262</v>
      </c>
      <c r="AE29" s="20" t="s">
        <v>262</v>
      </c>
      <c r="AF29" s="20" t="s">
        <v>262</v>
      </c>
      <c r="AG29" s="20" t="s">
        <v>262</v>
      </c>
      <c r="AH29" s="20" t="s">
        <v>262</v>
      </c>
      <c r="AI29" s="20" t="s">
        <v>262</v>
      </c>
      <c r="AJ29" s="20" t="s">
        <v>262</v>
      </c>
      <c r="AK29" s="20" t="s">
        <v>262</v>
      </c>
      <c r="AL29" s="20" t="s">
        <v>262</v>
      </c>
      <c r="AM29" s="20" t="s">
        <v>262</v>
      </c>
      <c r="AN29" s="20" t="s">
        <v>261</v>
      </c>
      <c r="AO29" s="20">
        <v>36</v>
      </c>
      <c r="AP29" s="20">
        <v>9</v>
      </c>
      <c r="AQ29" s="20">
        <v>27</v>
      </c>
      <c r="AR29" s="20" t="s">
        <v>261</v>
      </c>
      <c r="AS29" s="20" t="s">
        <v>261</v>
      </c>
      <c r="AT29" s="20" t="s">
        <v>261</v>
      </c>
      <c r="AU29" s="20" t="s">
        <v>261</v>
      </c>
      <c r="AV29" s="20" t="s">
        <v>261</v>
      </c>
      <c r="AW29" s="20" t="s">
        <v>261</v>
      </c>
      <c r="AX29" s="20">
        <v>36</v>
      </c>
      <c r="AY29" s="20">
        <v>9</v>
      </c>
      <c r="AZ29" s="20">
        <v>27</v>
      </c>
      <c r="BA29" s="20">
        <v>5178</v>
      </c>
      <c r="BB29" s="20">
        <v>1865</v>
      </c>
      <c r="BC29" s="20">
        <v>3313</v>
      </c>
      <c r="BD29" s="20" t="s">
        <v>261</v>
      </c>
      <c r="BE29" s="20" t="s">
        <v>261</v>
      </c>
      <c r="BF29" s="20" t="s">
        <v>261</v>
      </c>
      <c r="BG29" s="20" t="s">
        <v>261</v>
      </c>
      <c r="BH29" s="20" t="s">
        <v>261</v>
      </c>
      <c r="BI29" s="20" t="s">
        <v>261</v>
      </c>
      <c r="BJ29" s="20">
        <v>5178</v>
      </c>
      <c r="BK29" s="20">
        <v>1865</v>
      </c>
      <c r="BL29" s="20">
        <v>3313</v>
      </c>
      <c r="BM29" s="20">
        <v>8080</v>
      </c>
      <c r="BN29" s="20">
        <v>2341.5</v>
      </c>
      <c r="BO29" s="20">
        <v>5738.5</v>
      </c>
      <c r="BP29" s="20" t="s">
        <v>262</v>
      </c>
      <c r="BQ29" s="20" t="s">
        <v>262</v>
      </c>
      <c r="BR29" s="20" t="s">
        <v>262</v>
      </c>
      <c r="BS29" s="20" t="s">
        <v>262</v>
      </c>
      <c r="BT29" s="20" t="s">
        <v>262</v>
      </c>
      <c r="BU29" s="20" t="s">
        <v>262</v>
      </c>
      <c r="BV29" s="20">
        <v>8080</v>
      </c>
      <c r="BW29" s="20">
        <v>2341.5</v>
      </c>
      <c r="BX29" s="20">
        <v>5738.5</v>
      </c>
    </row>
    <row r="30" spans="1:76" ht="15.6" customHeight="1">
      <c r="A30" s="51" t="s">
        <v>168</v>
      </c>
      <c r="B30" s="95" t="s">
        <v>23</v>
      </c>
      <c r="C30" s="22" t="s">
        <v>261</v>
      </c>
      <c r="D30" s="22" t="s">
        <v>261</v>
      </c>
      <c r="E30" s="22" t="s">
        <v>261</v>
      </c>
      <c r="F30" s="22" t="s">
        <v>261</v>
      </c>
      <c r="G30" s="22" t="s">
        <v>261</v>
      </c>
      <c r="H30" s="22" t="s">
        <v>261</v>
      </c>
      <c r="I30" s="22" t="s">
        <v>261</v>
      </c>
      <c r="J30" s="22" t="s">
        <v>261</v>
      </c>
      <c r="K30" s="22" t="s">
        <v>261</v>
      </c>
      <c r="L30" s="22" t="s">
        <v>261</v>
      </c>
      <c r="M30" s="22" t="s">
        <v>261</v>
      </c>
      <c r="N30" s="22" t="s">
        <v>261</v>
      </c>
      <c r="O30" s="22" t="s">
        <v>261</v>
      </c>
      <c r="P30" s="22" t="s">
        <v>261</v>
      </c>
      <c r="Q30" s="22" t="s">
        <v>261</v>
      </c>
      <c r="R30" s="22" t="s">
        <v>261</v>
      </c>
      <c r="S30" s="22" t="s">
        <v>261</v>
      </c>
      <c r="T30" s="22" t="s">
        <v>261</v>
      </c>
      <c r="U30" s="22" t="s">
        <v>261</v>
      </c>
      <c r="V30" s="22" t="s">
        <v>261</v>
      </c>
      <c r="W30" s="22" t="s">
        <v>261</v>
      </c>
      <c r="X30" s="22" t="s">
        <v>261</v>
      </c>
      <c r="Y30" s="22" t="s">
        <v>261</v>
      </c>
      <c r="Z30" s="22" t="s">
        <v>261</v>
      </c>
      <c r="AA30" s="22" t="s">
        <v>261</v>
      </c>
      <c r="AB30" s="22" t="s">
        <v>262</v>
      </c>
      <c r="AC30" s="22" t="s">
        <v>262</v>
      </c>
      <c r="AD30" s="22" t="s">
        <v>262</v>
      </c>
      <c r="AE30" s="22" t="s">
        <v>262</v>
      </c>
      <c r="AF30" s="22" t="s">
        <v>262</v>
      </c>
      <c r="AG30" s="22" t="s">
        <v>262</v>
      </c>
      <c r="AH30" s="22" t="s">
        <v>262</v>
      </c>
      <c r="AI30" s="22" t="s">
        <v>262</v>
      </c>
      <c r="AJ30" s="22" t="s">
        <v>262</v>
      </c>
      <c r="AK30" s="22" t="s">
        <v>262</v>
      </c>
      <c r="AL30" s="22" t="s">
        <v>262</v>
      </c>
      <c r="AM30" s="22" t="s">
        <v>262</v>
      </c>
      <c r="AN30" s="22" t="s">
        <v>261</v>
      </c>
      <c r="AO30" s="22" t="s">
        <v>261</v>
      </c>
      <c r="AP30" s="22" t="s">
        <v>261</v>
      </c>
      <c r="AQ30" s="22" t="s">
        <v>261</v>
      </c>
      <c r="AR30" s="22" t="s">
        <v>261</v>
      </c>
      <c r="AS30" s="22" t="s">
        <v>261</v>
      </c>
      <c r="AT30" s="22" t="s">
        <v>261</v>
      </c>
      <c r="AU30" s="22" t="s">
        <v>261</v>
      </c>
      <c r="AV30" s="22" t="s">
        <v>261</v>
      </c>
      <c r="AW30" s="22" t="s">
        <v>261</v>
      </c>
      <c r="AX30" s="22" t="s">
        <v>261</v>
      </c>
      <c r="AY30" s="22" t="s">
        <v>261</v>
      </c>
      <c r="AZ30" s="22" t="s">
        <v>261</v>
      </c>
      <c r="BA30" s="22" t="s">
        <v>261</v>
      </c>
      <c r="BB30" s="22" t="s">
        <v>261</v>
      </c>
      <c r="BC30" s="22" t="s">
        <v>261</v>
      </c>
      <c r="BD30" s="22" t="s">
        <v>261</v>
      </c>
      <c r="BE30" s="22" t="s">
        <v>261</v>
      </c>
      <c r="BF30" s="22" t="s">
        <v>261</v>
      </c>
      <c r="BG30" s="22" t="s">
        <v>261</v>
      </c>
      <c r="BH30" s="22" t="s">
        <v>261</v>
      </c>
      <c r="BI30" s="22" t="s">
        <v>261</v>
      </c>
      <c r="BJ30" s="22" t="s">
        <v>261</v>
      </c>
      <c r="BK30" s="22" t="s">
        <v>261</v>
      </c>
      <c r="BL30" s="22" t="s">
        <v>261</v>
      </c>
      <c r="BM30" s="22" t="s">
        <v>262</v>
      </c>
      <c r="BN30" s="22" t="s">
        <v>262</v>
      </c>
      <c r="BO30" s="22" t="s">
        <v>262</v>
      </c>
      <c r="BP30" s="22" t="s">
        <v>262</v>
      </c>
      <c r="BQ30" s="22" t="s">
        <v>262</v>
      </c>
      <c r="BR30" s="22" t="s">
        <v>262</v>
      </c>
      <c r="BS30" s="22" t="s">
        <v>262</v>
      </c>
      <c r="BT30" s="22" t="s">
        <v>262</v>
      </c>
      <c r="BU30" s="22" t="s">
        <v>262</v>
      </c>
      <c r="BV30" s="22" t="s">
        <v>262</v>
      </c>
      <c r="BW30" s="22" t="s">
        <v>262</v>
      </c>
      <c r="BX30" s="22" t="s">
        <v>262</v>
      </c>
    </row>
    <row r="31" spans="1:76" ht="15.6" customHeight="1">
      <c r="A31" s="127" t="s">
        <v>256</v>
      </c>
      <c r="B31" s="128"/>
    </row>
    <row r="32" spans="1:76" ht="15.6" customHeight="1">
      <c r="A32" s="84" t="s">
        <v>257</v>
      </c>
    </row>
    <row r="33" spans="1:1" ht="19.5" customHeight="1"/>
    <row r="34" spans="1:1" ht="19.5" customHeight="1">
      <c r="A34" s="31"/>
    </row>
  </sheetData>
  <mergeCells count="101">
    <mergeCell ref="BT6:BT7"/>
    <mergeCell ref="BU6:BU7"/>
    <mergeCell ref="BV6:BV7"/>
    <mergeCell ref="BW6:BW7"/>
    <mergeCell ref="BX6:BX7"/>
    <mergeCell ref="BN6:BN7"/>
    <mergeCell ref="BO6:BO7"/>
    <mergeCell ref="BP6:BP7"/>
    <mergeCell ref="BQ6:BQ7"/>
    <mergeCell ref="BR6:BR7"/>
    <mergeCell ref="BS6:BS7"/>
    <mergeCell ref="BH6:BH7"/>
    <mergeCell ref="BI6:BI7"/>
    <mergeCell ref="BJ6:BJ7"/>
    <mergeCell ref="BK6:BK7"/>
    <mergeCell ref="BL6:BL7"/>
    <mergeCell ref="BM6:BM7"/>
    <mergeCell ref="BB6:BB7"/>
    <mergeCell ref="BC6:BC7"/>
    <mergeCell ref="BD6:BD7"/>
    <mergeCell ref="BE6:BE7"/>
    <mergeCell ref="BF6:BF7"/>
    <mergeCell ref="BG6:BG7"/>
    <mergeCell ref="AX6:AX7"/>
    <mergeCell ref="AY6:AY7"/>
    <mergeCell ref="AZ6:AZ7"/>
    <mergeCell ref="BA6:BA7"/>
    <mergeCell ref="AP6:AP7"/>
    <mergeCell ref="AQ6:AQ7"/>
    <mergeCell ref="AR6:AR7"/>
    <mergeCell ref="AS6:AS7"/>
    <mergeCell ref="AT6:AT7"/>
    <mergeCell ref="AU6:AU7"/>
    <mergeCell ref="BP5:BR5"/>
    <mergeCell ref="BS5:BU5"/>
    <mergeCell ref="BV5:BX5"/>
    <mergeCell ref="AX5:AZ5"/>
    <mergeCell ref="BD5:BF5"/>
    <mergeCell ref="BG5:BI5"/>
    <mergeCell ref="BJ5:BL5"/>
    <mergeCell ref="W6:W7"/>
    <mergeCell ref="X6:X7"/>
    <mergeCell ref="Y6:Y7"/>
    <mergeCell ref="Z6:Z7"/>
    <mergeCell ref="AA6:AA7"/>
    <mergeCell ref="AB6:AB7"/>
    <mergeCell ref="AI6:AI7"/>
    <mergeCell ref="AJ6:AJ7"/>
    <mergeCell ref="AK6:AK7"/>
    <mergeCell ref="AL6:AL7"/>
    <mergeCell ref="AM6:AM7"/>
    <mergeCell ref="AO6:AO7"/>
    <mergeCell ref="AC6:AC7"/>
    <mergeCell ref="AD6:AD7"/>
    <mergeCell ref="AE6:AE7"/>
    <mergeCell ref="AF6:AF7"/>
    <mergeCell ref="AG6:AG7"/>
    <mergeCell ref="H6:H7"/>
    <mergeCell ref="I6:I7"/>
    <mergeCell ref="J6:J7"/>
    <mergeCell ref="AR5:AT5"/>
    <mergeCell ref="AU5:AW5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AH6:AH7"/>
    <mergeCell ref="AV6:AV7"/>
    <mergeCell ref="AW6:AW7"/>
    <mergeCell ref="A3:B7"/>
    <mergeCell ref="C3:AM3"/>
    <mergeCell ref="AN3:BX3"/>
    <mergeCell ref="C4:C7"/>
    <mergeCell ref="D4:O4"/>
    <mergeCell ref="P4:AA4"/>
    <mergeCell ref="AB4:AM4"/>
    <mergeCell ref="AN4:AN7"/>
    <mergeCell ref="AO4:AZ4"/>
    <mergeCell ref="BA4:BL4"/>
    <mergeCell ref="BM4:BX4"/>
    <mergeCell ref="G5:I5"/>
    <mergeCell ref="J5:L5"/>
    <mergeCell ref="M5:O5"/>
    <mergeCell ref="S5:U5"/>
    <mergeCell ref="V5:X5"/>
    <mergeCell ref="Y5:AA5"/>
    <mergeCell ref="AE5:AG5"/>
    <mergeCell ref="AH5:AJ5"/>
    <mergeCell ref="AK5:AM5"/>
    <mergeCell ref="D6:D7"/>
    <mergeCell ref="E6:E7"/>
    <mergeCell ref="F6:F7"/>
    <mergeCell ref="G6:G7"/>
  </mergeCells>
  <phoneticPr fontId="6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93" fitToWidth="10" orientation="landscape" useFirstPageNumber="1" horizontalDpi="4294967292" verticalDpi="3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BX34"/>
  <sheetViews>
    <sheetView view="pageBreakPreview" zoomScaleNormal="90" zoomScaleSheetLayoutView="100" workbookViewId="0">
      <selection activeCell="E19" sqref="E19"/>
    </sheetView>
  </sheetViews>
  <sheetFormatPr defaultColWidth="12" defaultRowHeight="12.75"/>
  <cols>
    <col min="1" max="1" width="10.1640625" style="84" customWidth="1"/>
    <col min="2" max="2" width="20.1640625" style="84" customWidth="1"/>
    <col min="3" max="15" width="11.5" style="84" customWidth="1"/>
    <col min="16" max="39" width="12.1640625" style="84" customWidth="1"/>
    <col min="40" max="52" width="11.5" style="84" customWidth="1"/>
    <col min="53" max="64" width="12" style="84" customWidth="1"/>
    <col min="65" max="76" width="12.1640625" style="84" customWidth="1"/>
    <col min="77" max="16384" width="12" style="84"/>
  </cols>
  <sheetData>
    <row r="1" spans="1:76" ht="19.5" customHeight="1">
      <c r="A1" s="115" t="s">
        <v>293</v>
      </c>
      <c r="B1" s="117"/>
    </row>
    <row r="2" spans="1:76" ht="19.5" customHeight="1">
      <c r="A2" s="26" t="s">
        <v>323</v>
      </c>
      <c r="B2" s="129"/>
    </row>
    <row r="3" spans="1:76" ht="19.5" customHeight="1">
      <c r="A3" s="410" t="s">
        <v>316</v>
      </c>
      <c r="B3" s="411"/>
      <c r="C3" s="405" t="s">
        <v>294</v>
      </c>
      <c r="D3" s="406"/>
      <c r="E3" s="406"/>
      <c r="F3" s="406"/>
      <c r="G3" s="406"/>
      <c r="H3" s="406"/>
      <c r="I3" s="406"/>
      <c r="J3" s="406"/>
      <c r="K3" s="406"/>
      <c r="L3" s="406"/>
      <c r="M3" s="406"/>
      <c r="N3" s="406"/>
      <c r="O3" s="406"/>
      <c r="P3" s="406"/>
      <c r="Q3" s="406"/>
      <c r="R3" s="406"/>
      <c r="S3" s="406"/>
      <c r="T3" s="406"/>
      <c r="U3" s="406"/>
      <c r="V3" s="406"/>
      <c r="W3" s="406"/>
      <c r="X3" s="406"/>
      <c r="Y3" s="406"/>
      <c r="Z3" s="406"/>
      <c r="AA3" s="406"/>
      <c r="AB3" s="406"/>
      <c r="AC3" s="406"/>
      <c r="AD3" s="406"/>
      <c r="AE3" s="406"/>
      <c r="AF3" s="406"/>
      <c r="AG3" s="406"/>
      <c r="AH3" s="406"/>
      <c r="AI3" s="406"/>
      <c r="AJ3" s="406"/>
      <c r="AK3" s="406"/>
      <c r="AL3" s="406"/>
      <c r="AM3" s="407"/>
      <c r="AN3" s="405" t="s">
        <v>295</v>
      </c>
      <c r="AO3" s="406"/>
      <c r="AP3" s="406"/>
      <c r="AQ3" s="406"/>
      <c r="AR3" s="406"/>
      <c r="AS3" s="406"/>
      <c r="AT3" s="406"/>
      <c r="AU3" s="406"/>
      <c r="AV3" s="406"/>
      <c r="AW3" s="406"/>
      <c r="AX3" s="406"/>
      <c r="AY3" s="406"/>
      <c r="AZ3" s="406"/>
      <c r="BA3" s="406"/>
      <c r="BB3" s="406"/>
      <c r="BC3" s="406"/>
      <c r="BD3" s="406"/>
      <c r="BE3" s="406"/>
      <c r="BF3" s="406"/>
      <c r="BG3" s="406"/>
      <c r="BH3" s="406"/>
      <c r="BI3" s="406"/>
      <c r="BJ3" s="406"/>
      <c r="BK3" s="406"/>
      <c r="BL3" s="406"/>
      <c r="BM3" s="406"/>
      <c r="BN3" s="406"/>
      <c r="BO3" s="406"/>
      <c r="BP3" s="406"/>
      <c r="BQ3" s="406"/>
      <c r="BR3" s="406"/>
      <c r="BS3" s="406"/>
      <c r="BT3" s="406"/>
      <c r="BU3" s="406"/>
      <c r="BV3" s="406"/>
      <c r="BW3" s="406"/>
      <c r="BX3" s="406"/>
    </row>
    <row r="4" spans="1:76" s="82" customFormat="1" ht="19.5" customHeight="1">
      <c r="A4" s="412"/>
      <c r="B4" s="413"/>
      <c r="C4" s="416" t="s">
        <v>296</v>
      </c>
      <c r="D4" s="405" t="s">
        <v>297</v>
      </c>
      <c r="E4" s="406"/>
      <c r="F4" s="406"/>
      <c r="G4" s="406"/>
      <c r="H4" s="406"/>
      <c r="I4" s="406"/>
      <c r="J4" s="406"/>
      <c r="K4" s="406"/>
      <c r="L4" s="406"/>
      <c r="M4" s="406"/>
      <c r="N4" s="406"/>
      <c r="O4" s="407"/>
      <c r="P4" s="419" t="s">
        <v>298</v>
      </c>
      <c r="Q4" s="419"/>
      <c r="R4" s="419"/>
      <c r="S4" s="419"/>
      <c r="T4" s="419"/>
      <c r="U4" s="419"/>
      <c r="V4" s="419"/>
      <c r="W4" s="419"/>
      <c r="X4" s="419"/>
      <c r="Y4" s="419"/>
      <c r="Z4" s="419"/>
      <c r="AA4" s="419"/>
      <c r="AB4" s="419" t="s">
        <v>299</v>
      </c>
      <c r="AC4" s="419"/>
      <c r="AD4" s="419"/>
      <c r="AE4" s="419"/>
      <c r="AF4" s="419"/>
      <c r="AG4" s="419"/>
      <c r="AH4" s="419"/>
      <c r="AI4" s="419"/>
      <c r="AJ4" s="419"/>
      <c r="AK4" s="419"/>
      <c r="AL4" s="419"/>
      <c r="AM4" s="419"/>
      <c r="AN4" s="417" t="s">
        <v>300</v>
      </c>
      <c r="AO4" s="405" t="s">
        <v>297</v>
      </c>
      <c r="AP4" s="406"/>
      <c r="AQ4" s="406"/>
      <c r="AR4" s="406"/>
      <c r="AS4" s="406"/>
      <c r="AT4" s="406"/>
      <c r="AU4" s="406"/>
      <c r="AV4" s="406"/>
      <c r="AW4" s="406"/>
      <c r="AX4" s="406"/>
      <c r="AY4" s="406"/>
      <c r="AZ4" s="407"/>
      <c r="BA4" s="405" t="s">
        <v>301</v>
      </c>
      <c r="BB4" s="406"/>
      <c r="BC4" s="406"/>
      <c r="BD4" s="406"/>
      <c r="BE4" s="406"/>
      <c r="BF4" s="406"/>
      <c r="BG4" s="406"/>
      <c r="BH4" s="406"/>
      <c r="BI4" s="406"/>
      <c r="BJ4" s="406"/>
      <c r="BK4" s="406"/>
      <c r="BL4" s="407"/>
      <c r="BM4" s="405" t="s">
        <v>302</v>
      </c>
      <c r="BN4" s="406"/>
      <c r="BO4" s="406"/>
      <c r="BP4" s="406"/>
      <c r="BQ4" s="406"/>
      <c r="BR4" s="406"/>
      <c r="BS4" s="406"/>
      <c r="BT4" s="406"/>
      <c r="BU4" s="406"/>
      <c r="BV4" s="406"/>
      <c r="BW4" s="406"/>
      <c r="BX4" s="406"/>
    </row>
    <row r="5" spans="1:76" s="83" customFormat="1" ht="27" customHeight="1">
      <c r="A5" s="412"/>
      <c r="B5" s="413"/>
      <c r="C5" s="417"/>
      <c r="D5" s="130" t="s">
        <v>303</v>
      </c>
      <c r="E5" s="131"/>
      <c r="F5" s="132"/>
      <c r="G5" s="420" t="s">
        <v>304</v>
      </c>
      <c r="H5" s="420"/>
      <c r="I5" s="420"/>
      <c r="J5" s="420" t="s">
        <v>305</v>
      </c>
      <c r="K5" s="420"/>
      <c r="L5" s="420"/>
      <c r="M5" s="420" t="s">
        <v>306</v>
      </c>
      <c r="N5" s="420"/>
      <c r="O5" s="420"/>
      <c r="P5" s="130" t="s">
        <v>303</v>
      </c>
      <c r="Q5" s="131"/>
      <c r="R5" s="132"/>
      <c r="S5" s="420" t="s">
        <v>304</v>
      </c>
      <c r="T5" s="420"/>
      <c r="U5" s="420"/>
      <c r="V5" s="420" t="s">
        <v>305</v>
      </c>
      <c r="W5" s="420"/>
      <c r="X5" s="420"/>
      <c r="Y5" s="420" t="s">
        <v>306</v>
      </c>
      <c r="Z5" s="420"/>
      <c r="AA5" s="420"/>
      <c r="AB5" s="130" t="s">
        <v>303</v>
      </c>
      <c r="AC5" s="131"/>
      <c r="AD5" s="132"/>
      <c r="AE5" s="420" t="s">
        <v>304</v>
      </c>
      <c r="AF5" s="420"/>
      <c r="AG5" s="420"/>
      <c r="AH5" s="420" t="s">
        <v>305</v>
      </c>
      <c r="AI5" s="420"/>
      <c r="AJ5" s="420"/>
      <c r="AK5" s="420" t="s">
        <v>306</v>
      </c>
      <c r="AL5" s="420"/>
      <c r="AM5" s="420"/>
      <c r="AN5" s="417"/>
      <c r="AO5" s="130" t="s">
        <v>303</v>
      </c>
      <c r="AP5" s="131"/>
      <c r="AQ5" s="132"/>
      <c r="AR5" s="420" t="s">
        <v>304</v>
      </c>
      <c r="AS5" s="420"/>
      <c r="AT5" s="420"/>
      <c r="AU5" s="420" t="s">
        <v>305</v>
      </c>
      <c r="AV5" s="420"/>
      <c r="AW5" s="420"/>
      <c r="AX5" s="420" t="s">
        <v>306</v>
      </c>
      <c r="AY5" s="420"/>
      <c r="AZ5" s="420"/>
      <c r="BA5" s="130" t="s">
        <v>303</v>
      </c>
      <c r="BB5" s="133"/>
      <c r="BC5" s="132"/>
      <c r="BD5" s="420" t="s">
        <v>304</v>
      </c>
      <c r="BE5" s="420"/>
      <c r="BF5" s="420"/>
      <c r="BG5" s="420" t="s">
        <v>305</v>
      </c>
      <c r="BH5" s="420"/>
      <c r="BI5" s="420"/>
      <c r="BJ5" s="420" t="s">
        <v>306</v>
      </c>
      <c r="BK5" s="420"/>
      <c r="BL5" s="420"/>
      <c r="BM5" s="130" t="s">
        <v>303</v>
      </c>
      <c r="BN5" s="133"/>
      <c r="BO5" s="132"/>
      <c r="BP5" s="420" t="s">
        <v>304</v>
      </c>
      <c r="BQ5" s="420"/>
      <c r="BR5" s="420"/>
      <c r="BS5" s="420" t="s">
        <v>305</v>
      </c>
      <c r="BT5" s="420"/>
      <c r="BU5" s="420"/>
      <c r="BV5" s="420" t="s">
        <v>306</v>
      </c>
      <c r="BW5" s="420"/>
      <c r="BX5" s="422"/>
    </row>
    <row r="6" spans="1:76" ht="19.5" customHeight="1">
      <c r="A6" s="412"/>
      <c r="B6" s="413"/>
      <c r="C6" s="417"/>
      <c r="D6" s="416" t="s">
        <v>307</v>
      </c>
      <c r="E6" s="416" t="s">
        <v>308</v>
      </c>
      <c r="F6" s="416" t="s">
        <v>309</v>
      </c>
      <c r="G6" s="416" t="s">
        <v>307</v>
      </c>
      <c r="H6" s="416" t="s">
        <v>308</v>
      </c>
      <c r="I6" s="416" t="s">
        <v>309</v>
      </c>
      <c r="J6" s="416" t="s">
        <v>307</v>
      </c>
      <c r="K6" s="416" t="s">
        <v>308</v>
      </c>
      <c r="L6" s="416" t="s">
        <v>309</v>
      </c>
      <c r="M6" s="416" t="s">
        <v>307</v>
      </c>
      <c r="N6" s="416" t="s">
        <v>308</v>
      </c>
      <c r="O6" s="416" t="s">
        <v>309</v>
      </c>
      <c r="P6" s="416" t="s">
        <v>307</v>
      </c>
      <c r="Q6" s="416" t="s">
        <v>308</v>
      </c>
      <c r="R6" s="416" t="s">
        <v>309</v>
      </c>
      <c r="S6" s="416" t="s">
        <v>307</v>
      </c>
      <c r="T6" s="416" t="s">
        <v>308</v>
      </c>
      <c r="U6" s="416" t="s">
        <v>309</v>
      </c>
      <c r="V6" s="416" t="s">
        <v>307</v>
      </c>
      <c r="W6" s="416" t="s">
        <v>308</v>
      </c>
      <c r="X6" s="416" t="s">
        <v>309</v>
      </c>
      <c r="Y6" s="416" t="s">
        <v>307</v>
      </c>
      <c r="Z6" s="416" t="s">
        <v>308</v>
      </c>
      <c r="AA6" s="416" t="s">
        <v>309</v>
      </c>
      <c r="AB6" s="416" t="s">
        <v>307</v>
      </c>
      <c r="AC6" s="416" t="s">
        <v>308</v>
      </c>
      <c r="AD6" s="416" t="s">
        <v>309</v>
      </c>
      <c r="AE6" s="416" t="s">
        <v>307</v>
      </c>
      <c r="AF6" s="416" t="s">
        <v>308</v>
      </c>
      <c r="AG6" s="416" t="s">
        <v>309</v>
      </c>
      <c r="AH6" s="416" t="s">
        <v>307</v>
      </c>
      <c r="AI6" s="416" t="s">
        <v>308</v>
      </c>
      <c r="AJ6" s="416" t="s">
        <v>309</v>
      </c>
      <c r="AK6" s="416" t="s">
        <v>307</v>
      </c>
      <c r="AL6" s="416" t="s">
        <v>308</v>
      </c>
      <c r="AM6" s="416" t="s">
        <v>309</v>
      </c>
      <c r="AN6" s="417"/>
      <c r="AO6" s="416" t="s">
        <v>307</v>
      </c>
      <c r="AP6" s="416" t="s">
        <v>308</v>
      </c>
      <c r="AQ6" s="416" t="s">
        <v>309</v>
      </c>
      <c r="AR6" s="416" t="s">
        <v>307</v>
      </c>
      <c r="AS6" s="416" t="s">
        <v>308</v>
      </c>
      <c r="AT6" s="416" t="s">
        <v>309</v>
      </c>
      <c r="AU6" s="416" t="s">
        <v>307</v>
      </c>
      <c r="AV6" s="416" t="s">
        <v>308</v>
      </c>
      <c r="AW6" s="416" t="s">
        <v>309</v>
      </c>
      <c r="AX6" s="416" t="s">
        <v>307</v>
      </c>
      <c r="AY6" s="416" t="s">
        <v>308</v>
      </c>
      <c r="AZ6" s="416" t="s">
        <v>309</v>
      </c>
      <c r="BA6" s="416" t="s">
        <v>307</v>
      </c>
      <c r="BB6" s="416" t="s">
        <v>308</v>
      </c>
      <c r="BC6" s="416" t="s">
        <v>309</v>
      </c>
      <c r="BD6" s="416" t="s">
        <v>307</v>
      </c>
      <c r="BE6" s="416" t="s">
        <v>308</v>
      </c>
      <c r="BF6" s="416" t="s">
        <v>309</v>
      </c>
      <c r="BG6" s="416" t="s">
        <v>307</v>
      </c>
      <c r="BH6" s="416" t="s">
        <v>308</v>
      </c>
      <c r="BI6" s="416" t="s">
        <v>309</v>
      </c>
      <c r="BJ6" s="416" t="s">
        <v>307</v>
      </c>
      <c r="BK6" s="416" t="s">
        <v>308</v>
      </c>
      <c r="BL6" s="416" t="s">
        <v>309</v>
      </c>
      <c r="BM6" s="416" t="s">
        <v>307</v>
      </c>
      <c r="BN6" s="416" t="s">
        <v>308</v>
      </c>
      <c r="BO6" s="416" t="s">
        <v>309</v>
      </c>
      <c r="BP6" s="416" t="s">
        <v>307</v>
      </c>
      <c r="BQ6" s="416" t="s">
        <v>308</v>
      </c>
      <c r="BR6" s="416" t="s">
        <v>309</v>
      </c>
      <c r="BS6" s="416" t="s">
        <v>307</v>
      </c>
      <c r="BT6" s="416" t="s">
        <v>308</v>
      </c>
      <c r="BU6" s="416" t="s">
        <v>309</v>
      </c>
      <c r="BV6" s="416" t="s">
        <v>307</v>
      </c>
      <c r="BW6" s="416" t="s">
        <v>308</v>
      </c>
      <c r="BX6" s="423" t="s">
        <v>309</v>
      </c>
    </row>
    <row r="7" spans="1:76" ht="19.5" customHeight="1">
      <c r="A7" s="414"/>
      <c r="B7" s="415"/>
      <c r="C7" s="418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421"/>
      <c r="S7" s="421"/>
      <c r="T7" s="421"/>
      <c r="U7" s="421"/>
      <c r="V7" s="421"/>
      <c r="W7" s="421"/>
      <c r="X7" s="421"/>
      <c r="Y7" s="421"/>
      <c r="Z7" s="421"/>
      <c r="AA7" s="421"/>
      <c r="AB7" s="421"/>
      <c r="AC7" s="421"/>
      <c r="AD7" s="421"/>
      <c r="AE7" s="421"/>
      <c r="AF7" s="421"/>
      <c r="AG7" s="421"/>
      <c r="AH7" s="421"/>
      <c r="AI7" s="421"/>
      <c r="AJ7" s="421"/>
      <c r="AK7" s="421"/>
      <c r="AL7" s="421"/>
      <c r="AM7" s="421"/>
      <c r="AN7" s="418"/>
      <c r="AO7" s="421"/>
      <c r="AP7" s="421"/>
      <c r="AQ7" s="421"/>
      <c r="AR7" s="421"/>
      <c r="AS7" s="421"/>
      <c r="AT7" s="421"/>
      <c r="AU7" s="421"/>
      <c r="AV7" s="421"/>
      <c r="AW7" s="421"/>
      <c r="AX7" s="421"/>
      <c r="AY7" s="421"/>
      <c r="AZ7" s="421"/>
      <c r="BA7" s="421"/>
      <c r="BB7" s="421"/>
      <c r="BC7" s="421"/>
      <c r="BD7" s="421"/>
      <c r="BE7" s="421"/>
      <c r="BF7" s="421"/>
      <c r="BG7" s="421"/>
      <c r="BH7" s="421"/>
      <c r="BI7" s="421"/>
      <c r="BJ7" s="421"/>
      <c r="BK7" s="421"/>
      <c r="BL7" s="421"/>
      <c r="BM7" s="421"/>
      <c r="BN7" s="421"/>
      <c r="BO7" s="421"/>
      <c r="BP7" s="421"/>
      <c r="BQ7" s="421"/>
      <c r="BR7" s="421"/>
      <c r="BS7" s="421"/>
      <c r="BT7" s="421"/>
      <c r="BU7" s="421"/>
      <c r="BV7" s="421"/>
      <c r="BW7" s="421"/>
      <c r="BX7" s="424"/>
    </row>
    <row r="8" spans="1:76" s="123" customFormat="1" ht="15.6" customHeight="1">
      <c r="A8" s="134" t="s">
        <v>292</v>
      </c>
      <c r="B8" s="121" t="s">
        <v>199</v>
      </c>
      <c r="C8" s="41">
        <v>17</v>
      </c>
      <c r="D8" s="41">
        <v>202</v>
      </c>
      <c r="E8" s="41">
        <v>66</v>
      </c>
      <c r="F8" s="41">
        <v>136</v>
      </c>
      <c r="G8" s="41">
        <v>8</v>
      </c>
      <c r="H8" s="41">
        <v>4</v>
      </c>
      <c r="I8" s="41">
        <v>4</v>
      </c>
      <c r="J8" s="41">
        <v>11</v>
      </c>
      <c r="K8" s="41">
        <v>2</v>
      </c>
      <c r="L8" s="41">
        <v>9</v>
      </c>
      <c r="M8" s="41">
        <v>183</v>
      </c>
      <c r="N8" s="41">
        <v>60</v>
      </c>
      <c r="O8" s="41">
        <v>123</v>
      </c>
      <c r="P8" s="41">
        <v>39296</v>
      </c>
      <c r="Q8" s="41">
        <v>13454</v>
      </c>
      <c r="R8" s="41">
        <v>25842</v>
      </c>
      <c r="S8" s="41">
        <v>1763</v>
      </c>
      <c r="T8" s="41">
        <v>754</v>
      </c>
      <c r="U8" s="41">
        <v>1009</v>
      </c>
      <c r="V8" s="41">
        <v>1796</v>
      </c>
      <c r="W8" s="41">
        <v>230</v>
      </c>
      <c r="X8" s="41">
        <v>1566</v>
      </c>
      <c r="Y8" s="41">
        <v>35737</v>
      </c>
      <c r="Z8" s="41">
        <v>12470</v>
      </c>
      <c r="AA8" s="41">
        <v>23267</v>
      </c>
      <c r="AB8" s="41">
        <v>296711</v>
      </c>
      <c r="AC8" s="41">
        <v>103134</v>
      </c>
      <c r="AD8" s="41">
        <v>193577</v>
      </c>
      <c r="AE8" s="41">
        <v>13940</v>
      </c>
      <c r="AF8" s="41">
        <v>5962</v>
      </c>
      <c r="AG8" s="41">
        <v>7978</v>
      </c>
      <c r="AH8" s="41">
        <v>11842</v>
      </c>
      <c r="AI8" s="41">
        <v>1390</v>
      </c>
      <c r="AJ8" s="41">
        <v>10452</v>
      </c>
      <c r="AK8" s="41">
        <v>270929</v>
      </c>
      <c r="AL8" s="41">
        <v>95782</v>
      </c>
      <c r="AM8" s="41">
        <v>175147</v>
      </c>
      <c r="AN8" s="41">
        <v>66</v>
      </c>
      <c r="AO8" s="41">
        <v>1578</v>
      </c>
      <c r="AP8" s="41">
        <v>572</v>
      </c>
      <c r="AQ8" s="41">
        <v>1006</v>
      </c>
      <c r="AR8" s="41">
        <v>106</v>
      </c>
      <c r="AS8" s="41">
        <v>42</v>
      </c>
      <c r="AT8" s="41">
        <v>64</v>
      </c>
      <c r="AU8" s="41">
        <v>105</v>
      </c>
      <c r="AV8" s="41">
        <v>45</v>
      </c>
      <c r="AW8" s="41">
        <v>60</v>
      </c>
      <c r="AX8" s="41">
        <v>1367</v>
      </c>
      <c r="AY8" s="41">
        <v>485</v>
      </c>
      <c r="AZ8" s="41">
        <v>882</v>
      </c>
      <c r="BA8" s="41">
        <v>260561</v>
      </c>
      <c r="BB8" s="41">
        <v>91944</v>
      </c>
      <c r="BC8" s="41">
        <v>168617</v>
      </c>
      <c r="BD8" s="41">
        <v>17769</v>
      </c>
      <c r="BE8" s="41">
        <v>6585</v>
      </c>
      <c r="BF8" s="41">
        <v>11184</v>
      </c>
      <c r="BG8" s="41">
        <v>20833</v>
      </c>
      <c r="BH8" s="41">
        <v>9427</v>
      </c>
      <c r="BI8" s="41">
        <v>11406</v>
      </c>
      <c r="BJ8" s="41">
        <v>221959</v>
      </c>
      <c r="BK8" s="41">
        <v>75932</v>
      </c>
      <c r="BL8" s="41">
        <v>146027</v>
      </c>
      <c r="BM8" s="41">
        <v>1930350.1</v>
      </c>
      <c r="BN8" s="41">
        <v>679816.8</v>
      </c>
      <c r="BO8" s="41">
        <v>1250533.3</v>
      </c>
      <c r="BP8" s="41">
        <v>123252.6</v>
      </c>
      <c r="BQ8" s="41">
        <v>43177.5</v>
      </c>
      <c r="BR8" s="41">
        <v>80075.100000000006</v>
      </c>
      <c r="BS8" s="41">
        <v>153848.20000000001</v>
      </c>
      <c r="BT8" s="41">
        <v>70672.7</v>
      </c>
      <c r="BU8" s="41">
        <v>83175.5</v>
      </c>
      <c r="BV8" s="41">
        <v>1653249.3</v>
      </c>
      <c r="BW8" s="41">
        <v>565966.6</v>
      </c>
      <c r="BX8" s="41">
        <v>1087282.7</v>
      </c>
    </row>
    <row r="9" spans="1:76" s="126" customFormat="1" ht="15.6" customHeight="1">
      <c r="A9" s="49" t="s">
        <v>147</v>
      </c>
      <c r="B9" s="124" t="s">
        <v>318</v>
      </c>
      <c r="C9" s="41">
        <v>2</v>
      </c>
      <c r="D9" s="41">
        <v>40</v>
      </c>
      <c r="E9" s="41">
        <v>13</v>
      </c>
      <c r="F9" s="41">
        <v>27</v>
      </c>
      <c r="G9" s="41" t="s">
        <v>261</v>
      </c>
      <c r="H9" s="41" t="s">
        <v>261</v>
      </c>
      <c r="I9" s="41" t="s">
        <v>261</v>
      </c>
      <c r="J9" s="41" t="s">
        <v>261</v>
      </c>
      <c r="K9" s="41" t="s">
        <v>261</v>
      </c>
      <c r="L9" s="41" t="s">
        <v>261</v>
      </c>
      <c r="M9" s="41">
        <v>40</v>
      </c>
      <c r="N9" s="41">
        <v>13</v>
      </c>
      <c r="O9" s="41">
        <v>27</v>
      </c>
      <c r="P9" s="41">
        <v>10868</v>
      </c>
      <c r="Q9" s="41">
        <v>3740</v>
      </c>
      <c r="R9" s="41">
        <v>7128</v>
      </c>
      <c r="S9" s="41">
        <v>308</v>
      </c>
      <c r="T9" s="41">
        <v>110</v>
      </c>
      <c r="U9" s="41">
        <v>198</v>
      </c>
      <c r="V9" s="41" t="s">
        <v>261</v>
      </c>
      <c r="W9" s="41" t="s">
        <v>261</v>
      </c>
      <c r="X9" s="41" t="s">
        <v>261</v>
      </c>
      <c r="Y9" s="41">
        <v>10560</v>
      </c>
      <c r="Z9" s="41">
        <v>3630</v>
      </c>
      <c r="AA9" s="41">
        <v>6930</v>
      </c>
      <c r="AB9" s="41">
        <v>86944</v>
      </c>
      <c r="AC9" s="41">
        <v>29920</v>
      </c>
      <c r="AD9" s="41">
        <v>57024</v>
      </c>
      <c r="AE9" s="41">
        <v>2464</v>
      </c>
      <c r="AF9" s="41">
        <v>880</v>
      </c>
      <c r="AG9" s="41">
        <v>1584</v>
      </c>
      <c r="AH9" s="41" t="s">
        <v>262</v>
      </c>
      <c r="AI9" s="41" t="s">
        <v>262</v>
      </c>
      <c r="AJ9" s="41" t="s">
        <v>262</v>
      </c>
      <c r="AK9" s="41">
        <v>84480</v>
      </c>
      <c r="AL9" s="41">
        <v>29040</v>
      </c>
      <c r="AM9" s="41">
        <v>55440</v>
      </c>
      <c r="AN9" s="41">
        <v>4</v>
      </c>
      <c r="AO9" s="41">
        <v>57</v>
      </c>
      <c r="AP9" s="41">
        <v>24</v>
      </c>
      <c r="AQ9" s="41">
        <v>33</v>
      </c>
      <c r="AR9" s="41">
        <v>1</v>
      </c>
      <c r="AS9" s="41" t="s">
        <v>261</v>
      </c>
      <c r="AT9" s="41">
        <v>1</v>
      </c>
      <c r="AU9" s="41">
        <v>1</v>
      </c>
      <c r="AV9" s="41">
        <v>1</v>
      </c>
      <c r="AW9" s="41" t="s">
        <v>261</v>
      </c>
      <c r="AX9" s="41">
        <v>55</v>
      </c>
      <c r="AY9" s="41">
        <v>23</v>
      </c>
      <c r="AZ9" s="41">
        <v>32</v>
      </c>
      <c r="BA9" s="41">
        <v>13134</v>
      </c>
      <c r="BB9" s="41">
        <v>5478</v>
      </c>
      <c r="BC9" s="41">
        <v>7656</v>
      </c>
      <c r="BD9" s="41">
        <v>418</v>
      </c>
      <c r="BE9" s="41">
        <v>176</v>
      </c>
      <c r="BF9" s="41">
        <v>242</v>
      </c>
      <c r="BG9" s="41">
        <v>550</v>
      </c>
      <c r="BH9" s="41">
        <v>330</v>
      </c>
      <c r="BI9" s="41">
        <v>220</v>
      </c>
      <c r="BJ9" s="41">
        <v>12166</v>
      </c>
      <c r="BK9" s="41">
        <v>4972</v>
      </c>
      <c r="BL9" s="41">
        <v>7194</v>
      </c>
      <c r="BM9" s="41">
        <v>105072</v>
      </c>
      <c r="BN9" s="41">
        <v>43824</v>
      </c>
      <c r="BO9" s="41">
        <v>61248</v>
      </c>
      <c r="BP9" s="41">
        <v>3344</v>
      </c>
      <c r="BQ9" s="41">
        <v>1408</v>
      </c>
      <c r="BR9" s="41">
        <v>1936</v>
      </c>
      <c r="BS9" s="41">
        <v>4400</v>
      </c>
      <c r="BT9" s="41">
        <v>2640</v>
      </c>
      <c r="BU9" s="41">
        <v>1760</v>
      </c>
      <c r="BV9" s="41">
        <v>97328</v>
      </c>
      <c r="BW9" s="41">
        <v>39776</v>
      </c>
      <c r="BX9" s="41">
        <v>57552</v>
      </c>
    </row>
    <row r="10" spans="1:76" s="126" customFormat="1" ht="15.6" customHeight="1">
      <c r="A10" s="49" t="s">
        <v>148</v>
      </c>
      <c r="B10" s="124" t="s">
        <v>3</v>
      </c>
      <c r="C10" s="41">
        <v>1</v>
      </c>
      <c r="D10" s="41">
        <v>34</v>
      </c>
      <c r="E10" s="41">
        <v>9</v>
      </c>
      <c r="F10" s="41">
        <v>25</v>
      </c>
      <c r="G10" s="41" t="s">
        <v>261</v>
      </c>
      <c r="H10" s="41" t="s">
        <v>261</v>
      </c>
      <c r="I10" s="41" t="s">
        <v>261</v>
      </c>
      <c r="J10" s="41" t="s">
        <v>261</v>
      </c>
      <c r="K10" s="41" t="s">
        <v>261</v>
      </c>
      <c r="L10" s="41" t="s">
        <v>261</v>
      </c>
      <c r="M10" s="41">
        <v>34</v>
      </c>
      <c r="N10" s="41">
        <v>9</v>
      </c>
      <c r="O10" s="41">
        <v>25</v>
      </c>
      <c r="P10" s="41">
        <v>4634</v>
      </c>
      <c r="Q10" s="41">
        <v>1681</v>
      </c>
      <c r="R10" s="41">
        <v>2953</v>
      </c>
      <c r="S10" s="41" t="s">
        <v>261</v>
      </c>
      <c r="T10" s="41" t="s">
        <v>261</v>
      </c>
      <c r="U10" s="41" t="s">
        <v>261</v>
      </c>
      <c r="V10" s="41" t="s">
        <v>261</v>
      </c>
      <c r="W10" s="41" t="s">
        <v>261</v>
      </c>
      <c r="X10" s="41" t="s">
        <v>261</v>
      </c>
      <c r="Y10" s="41">
        <v>4634</v>
      </c>
      <c r="Z10" s="41">
        <v>1681</v>
      </c>
      <c r="AA10" s="41">
        <v>2953</v>
      </c>
      <c r="AB10" s="41">
        <v>37232</v>
      </c>
      <c r="AC10" s="41">
        <v>13469</v>
      </c>
      <c r="AD10" s="41">
        <v>23763</v>
      </c>
      <c r="AE10" s="41" t="s">
        <v>262</v>
      </c>
      <c r="AF10" s="41" t="s">
        <v>262</v>
      </c>
      <c r="AG10" s="41" t="s">
        <v>262</v>
      </c>
      <c r="AH10" s="41" t="s">
        <v>262</v>
      </c>
      <c r="AI10" s="41" t="s">
        <v>262</v>
      </c>
      <c r="AJ10" s="41" t="s">
        <v>262</v>
      </c>
      <c r="AK10" s="41">
        <v>37232</v>
      </c>
      <c r="AL10" s="41">
        <v>13469</v>
      </c>
      <c r="AM10" s="41">
        <v>23763</v>
      </c>
      <c r="AN10" s="41">
        <v>12</v>
      </c>
      <c r="AO10" s="41">
        <v>263</v>
      </c>
      <c r="AP10" s="41">
        <v>81</v>
      </c>
      <c r="AQ10" s="41">
        <v>182</v>
      </c>
      <c r="AR10" s="41">
        <v>4</v>
      </c>
      <c r="AS10" s="41">
        <v>2</v>
      </c>
      <c r="AT10" s="41">
        <v>2</v>
      </c>
      <c r="AU10" s="41">
        <v>24</v>
      </c>
      <c r="AV10" s="41">
        <v>7</v>
      </c>
      <c r="AW10" s="41">
        <v>17</v>
      </c>
      <c r="AX10" s="41">
        <v>235</v>
      </c>
      <c r="AY10" s="41">
        <v>72</v>
      </c>
      <c r="AZ10" s="41">
        <v>163</v>
      </c>
      <c r="BA10" s="41">
        <v>53528</v>
      </c>
      <c r="BB10" s="41">
        <v>16824</v>
      </c>
      <c r="BC10" s="41">
        <v>36704</v>
      </c>
      <c r="BD10" s="41">
        <v>909</v>
      </c>
      <c r="BE10" s="41">
        <v>530</v>
      </c>
      <c r="BF10" s="41">
        <v>379</v>
      </c>
      <c r="BG10" s="41">
        <v>4579</v>
      </c>
      <c r="BH10" s="41">
        <v>1216</v>
      </c>
      <c r="BI10" s="41">
        <v>3363</v>
      </c>
      <c r="BJ10" s="41">
        <v>48040</v>
      </c>
      <c r="BK10" s="41">
        <v>15078</v>
      </c>
      <c r="BL10" s="41">
        <v>32962</v>
      </c>
      <c r="BM10" s="41">
        <v>430068</v>
      </c>
      <c r="BN10" s="41">
        <v>134976</v>
      </c>
      <c r="BO10" s="41">
        <v>295092</v>
      </c>
      <c r="BP10" s="41">
        <v>7280</v>
      </c>
      <c r="BQ10" s="41">
        <v>4240</v>
      </c>
      <c r="BR10" s="41">
        <v>3040</v>
      </c>
      <c r="BS10" s="41">
        <v>36545</v>
      </c>
      <c r="BT10" s="41">
        <v>9680</v>
      </c>
      <c r="BU10" s="41">
        <v>26865</v>
      </c>
      <c r="BV10" s="41">
        <v>386243</v>
      </c>
      <c r="BW10" s="41">
        <v>121056</v>
      </c>
      <c r="BX10" s="41">
        <v>265187</v>
      </c>
    </row>
    <row r="11" spans="1:76" s="126" customFormat="1" ht="15.6" customHeight="1">
      <c r="A11" s="49" t="s">
        <v>149</v>
      </c>
      <c r="B11" s="124" t="s">
        <v>4</v>
      </c>
      <c r="C11" s="41">
        <v>3</v>
      </c>
      <c r="D11" s="41">
        <v>35</v>
      </c>
      <c r="E11" s="41">
        <v>10</v>
      </c>
      <c r="F11" s="41">
        <v>25</v>
      </c>
      <c r="G11" s="41">
        <v>5</v>
      </c>
      <c r="H11" s="41">
        <v>1</v>
      </c>
      <c r="I11" s="41">
        <v>4</v>
      </c>
      <c r="J11" s="41">
        <v>1</v>
      </c>
      <c r="K11" s="41" t="s">
        <v>261</v>
      </c>
      <c r="L11" s="41">
        <v>1</v>
      </c>
      <c r="M11" s="41">
        <v>29</v>
      </c>
      <c r="N11" s="41">
        <v>9</v>
      </c>
      <c r="O11" s="41">
        <v>20</v>
      </c>
      <c r="P11" s="41">
        <v>6811</v>
      </c>
      <c r="Q11" s="41">
        <v>1755</v>
      </c>
      <c r="R11" s="41">
        <v>5056</v>
      </c>
      <c r="S11" s="41">
        <v>952</v>
      </c>
      <c r="T11" s="41">
        <v>159</v>
      </c>
      <c r="U11" s="41">
        <v>793</v>
      </c>
      <c r="V11" s="41">
        <v>101</v>
      </c>
      <c r="W11" s="41" t="s">
        <v>261</v>
      </c>
      <c r="X11" s="41">
        <v>101</v>
      </c>
      <c r="Y11" s="41">
        <v>5758</v>
      </c>
      <c r="Z11" s="41">
        <v>1596</v>
      </c>
      <c r="AA11" s="41">
        <v>4162</v>
      </c>
      <c r="AB11" s="41">
        <v>54642</v>
      </c>
      <c r="AC11" s="41">
        <v>14180</v>
      </c>
      <c r="AD11" s="41">
        <v>40462</v>
      </c>
      <c r="AE11" s="41">
        <v>7616</v>
      </c>
      <c r="AF11" s="41">
        <v>1272</v>
      </c>
      <c r="AG11" s="41">
        <v>6344</v>
      </c>
      <c r="AH11" s="41">
        <v>808</v>
      </c>
      <c r="AI11" s="41" t="s">
        <v>262</v>
      </c>
      <c r="AJ11" s="41">
        <v>808</v>
      </c>
      <c r="AK11" s="41">
        <v>46218</v>
      </c>
      <c r="AL11" s="41">
        <v>12908</v>
      </c>
      <c r="AM11" s="41">
        <v>33310</v>
      </c>
      <c r="AN11" s="41">
        <v>10</v>
      </c>
      <c r="AO11" s="41">
        <v>209</v>
      </c>
      <c r="AP11" s="41">
        <v>66</v>
      </c>
      <c r="AQ11" s="41">
        <v>143</v>
      </c>
      <c r="AR11" s="41">
        <v>12</v>
      </c>
      <c r="AS11" s="41">
        <v>4</v>
      </c>
      <c r="AT11" s="41">
        <v>8</v>
      </c>
      <c r="AU11" s="41">
        <v>6</v>
      </c>
      <c r="AV11" s="41">
        <v>1</v>
      </c>
      <c r="AW11" s="41">
        <v>5</v>
      </c>
      <c r="AX11" s="41">
        <v>191</v>
      </c>
      <c r="AY11" s="41">
        <v>61</v>
      </c>
      <c r="AZ11" s="41">
        <v>130</v>
      </c>
      <c r="BA11" s="41">
        <v>46172</v>
      </c>
      <c r="BB11" s="41">
        <v>15810</v>
      </c>
      <c r="BC11" s="41">
        <v>30362</v>
      </c>
      <c r="BD11" s="41">
        <v>3331</v>
      </c>
      <c r="BE11" s="41">
        <v>1507</v>
      </c>
      <c r="BF11" s="41">
        <v>1824</v>
      </c>
      <c r="BG11" s="41">
        <v>2596</v>
      </c>
      <c r="BH11" s="41">
        <v>1289</v>
      </c>
      <c r="BI11" s="41">
        <v>1307</v>
      </c>
      <c r="BJ11" s="41">
        <v>40245</v>
      </c>
      <c r="BK11" s="41">
        <v>13014</v>
      </c>
      <c r="BL11" s="41">
        <v>27231</v>
      </c>
      <c r="BM11" s="41">
        <v>337896</v>
      </c>
      <c r="BN11" s="41">
        <v>117214</v>
      </c>
      <c r="BO11" s="41">
        <v>220682</v>
      </c>
      <c r="BP11" s="41">
        <v>24337</v>
      </c>
      <c r="BQ11" s="41">
        <v>10072</v>
      </c>
      <c r="BR11" s="41">
        <v>14265</v>
      </c>
      <c r="BS11" s="41">
        <v>19789</v>
      </c>
      <c r="BT11" s="41">
        <v>9605</v>
      </c>
      <c r="BU11" s="41">
        <v>10184</v>
      </c>
      <c r="BV11" s="41">
        <v>293770</v>
      </c>
      <c r="BW11" s="41">
        <v>97537</v>
      </c>
      <c r="BX11" s="41">
        <v>196233</v>
      </c>
    </row>
    <row r="12" spans="1:76" s="126" customFormat="1" ht="15.6" customHeight="1">
      <c r="A12" s="49" t="s">
        <v>150</v>
      </c>
      <c r="B12" s="124" t="s">
        <v>5</v>
      </c>
      <c r="C12" s="41" t="s">
        <v>261</v>
      </c>
      <c r="D12" s="41">
        <v>19</v>
      </c>
      <c r="E12" s="41">
        <v>10</v>
      </c>
      <c r="F12" s="41">
        <v>9</v>
      </c>
      <c r="G12" s="41">
        <v>1</v>
      </c>
      <c r="H12" s="41">
        <v>1</v>
      </c>
      <c r="I12" s="41" t="s">
        <v>261</v>
      </c>
      <c r="J12" s="41">
        <v>3</v>
      </c>
      <c r="K12" s="41">
        <v>1</v>
      </c>
      <c r="L12" s="41">
        <v>2</v>
      </c>
      <c r="M12" s="41">
        <v>15</v>
      </c>
      <c r="N12" s="41">
        <v>8</v>
      </c>
      <c r="O12" s="41">
        <v>7</v>
      </c>
      <c r="P12" s="41">
        <v>4565</v>
      </c>
      <c r="Q12" s="41">
        <v>2433</v>
      </c>
      <c r="R12" s="41">
        <v>2132</v>
      </c>
      <c r="S12" s="41">
        <v>219</v>
      </c>
      <c r="T12" s="41">
        <v>219</v>
      </c>
      <c r="U12" s="41" t="s">
        <v>261</v>
      </c>
      <c r="V12" s="41">
        <v>596</v>
      </c>
      <c r="W12" s="41">
        <v>112</v>
      </c>
      <c r="X12" s="41">
        <v>484</v>
      </c>
      <c r="Y12" s="41">
        <v>3750</v>
      </c>
      <c r="Z12" s="41">
        <v>2102</v>
      </c>
      <c r="AA12" s="41">
        <v>1648</v>
      </c>
      <c r="AB12" s="41">
        <v>36520</v>
      </c>
      <c r="AC12" s="41">
        <v>19555</v>
      </c>
      <c r="AD12" s="41">
        <v>16965</v>
      </c>
      <c r="AE12" s="41">
        <v>1752</v>
      </c>
      <c r="AF12" s="41">
        <v>1752</v>
      </c>
      <c r="AG12" s="41" t="s">
        <v>262</v>
      </c>
      <c r="AH12" s="41">
        <v>4768</v>
      </c>
      <c r="AI12" s="41">
        <v>896</v>
      </c>
      <c r="AJ12" s="41">
        <v>3872</v>
      </c>
      <c r="AK12" s="41">
        <v>30000</v>
      </c>
      <c r="AL12" s="41">
        <v>16907</v>
      </c>
      <c r="AM12" s="41">
        <v>13093</v>
      </c>
      <c r="AN12" s="41">
        <v>5</v>
      </c>
      <c r="AO12" s="41">
        <v>100</v>
      </c>
      <c r="AP12" s="41">
        <v>38</v>
      </c>
      <c r="AQ12" s="41">
        <v>62</v>
      </c>
      <c r="AR12" s="41">
        <v>12</v>
      </c>
      <c r="AS12" s="41">
        <v>2</v>
      </c>
      <c r="AT12" s="41">
        <v>10</v>
      </c>
      <c r="AU12" s="41">
        <v>11</v>
      </c>
      <c r="AV12" s="41">
        <v>5</v>
      </c>
      <c r="AW12" s="41">
        <v>6</v>
      </c>
      <c r="AX12" s="41">
        <v>77</v>
      </c>
      <c r="AY12" s="41">
        <v>31</v>
      </c>
      <c r="AZ12" s="41">
        <v>46</v>
      </c>
      <c r="BA12" s="41">
        <v>21384</v>
      </c>
      <c r="BB12" s="41">
        <v>7377</v>
      </c>
      <c r="BC12" s="41">
        <v>14007</v>
      </c>
      <c r="BD12" s="41">
        <v>2705</v>
      </c>
      <c r="BE12" s="41">
        <v>286</v>
      </c>
      <c r="BF12" s="41">
        <v>2419</v>
      </c>
      <c r="BG12" s="41">
        <v>2427</v>
      </c>
      <c r="BH12" s="41">
        <v>982</v>
      </c>
      <c r="BI12" s="41">
        <v>1445</v>
      </c>
      <c r="BJ12" s="41">
        <v>16252</v>
      </c>
      <c r="BK12" s="41">
        <v>6109</v>
      </c>
      <c r="BL12" s="41">
        <v>10143</v>
      </c>
      <c r="BM12" s="41">
        <v>166728</v>
      </c>
      <c r="BN12" s="41">
        <v>58514</v>
      </c>
      <c r="BO12" s="41">
        <v>108214</v>
      </c>
      <c r="BP12" s="41">
        <v>20437</v>
      </c>
      <c r="BQ12" s="41">
        <v>2284</v>
      </c>
      <c r="BR12" s="41">
        <v>18153</v>
      </c>
      <c r="BS12" s="41">
        <v>19780</v>
      </c>
      <c r="BT12" s="41">
        <v>8130</v>
      </c>
      <c r="BU12" s="41">
        <v>11650</v>
      </c>
      <c r="BV12" s="41">
        <v>126511</v>
      </c>
      <c r="BW12" s="41">
        <v>48100</v>
      </c>
      <c r="BX12" s="41">
        <v>78411</v>
      </c>
    </row>
    <row r="13" spans="1:76" s="126" customFormat="1" ht="15.6" customHeight="1">
      <c r="A13" s="49" t="s">
        <v>151</v>
      </c>
      <c r="B13" s="124" t="s">
        <v>6</v>
      </c>
      <c r="C13" s="41">
        <v>2</v>
      </c>
      <c r="D13" s="41" t="s">
        <v>261</v>
      </c>
      <c r="E13" s="41" t="s">
        <v>261</v>
      </c>
      <c r="F13" s="41" t="s">
        <v>261</v>
      </c>
      <c r="G13" s="41" t="s">
        <v>261</v>
      </c>
      <c r="H13" s="41" t="s">
        <v>261</v>
      </c>
      <c r="I13" s="41" t="s">
        <v>261</v>
      </c>
      <c r="J13" s="41" t="s">
        <v>261</v>
      </c>
      <c r="K13" s="41" t="s">
        <v>261</v>
      </c>
      <c r="L13" s="41" t="s">
        <v>261</v>
      </c>
      <c r="M13" s="41" t="s">
        <v>261</v>
      </c>
      <c r="N13" s="41" t="s">
        <v>261</v>
      </c>
      <c r="O13" s="41" t="s">
        <v>261</v>
      </c>
      <c r="P13" s="41" t="s">
        <v>261</v>
      </c>
      <c r="Q13" s="41" t="s">
        <v>261</v>
      </c>
      <c r="R13" s="41" t="s">
        <v>261</v>
      </c>
      <c r="S13" s="41" t="s">
        <v>261</v>
      </c>
      <c r="T13" s="41" t="s">
        <v>261</v>
      </c>
      <c r="U13" s="41" t="s">
        <v>261</v>
      </c>
      <c r="V13" s="41" t="s">
        <v>261</v>
      </c>
      <c r="W13" s="41" t="s">
        <v>261</v>
      </c>
      <c r="X13" s="41" t="s">
        <v>261</v>
      </c>
      <c r="Y13" s="41" t="s">
        <v>261</v>
      </c>
      <c r="Z13" s="41" t="s">
        <v>261</v>
      </c>
      <c r="AA13" s="41" t="s">
        <v>261</v>
      </c>
      <c r="AB13" s="41" t="s">
        <v>262</v>
      </c>
      <c r="AC13" s="41" t="s">
        <v>262</v>
      </c>
      <c r="AD13" s="41" t="s">
        <v>262</v>
      </c>
      <c r="AE13" s="41" t="s">
        <v>262</v>
      </c>
      <c r="AF13" s="41" t="s">
        <v>262</v>
      </c>
      <c r="AG13" s="41" t="s">
        <v>262</v>
      </c>
      <c r="AH13" s="41" t="s">
        <v>262</v>
      </c>
      <c r="AI13" s="41" t="s">
        <v>262</v>
      </c>
      <c r="AJ13" s="41" t="s">
        <v>262</v>
      </c>
      <c r="AK13" s="41" t="s">
        <v>262</v>
      </c>
      <c r="AL13" s="41" t="s">
        <v>262</v>
      </c>
      <c r="AM13" s="41" t="s">
        <v>262</v>
      </c>
      <c r="AN13" s="41">
        <v>6</v>
      </c>
      <c r="AO13" s="41">
        <v>129</v>
      </c>
      <c r="AP13" s="41">
        <v>48</v>
      </c>
      <c r="AQ13" s="41">
        <v>81</v>
      </c>
      <c r="AR13" s="41">
        <v>14</v>
      </c>
      <c r="AS13" s="41">
        <v>6</v>
      </c>
      <c r="AT13" s="41">
        <v>8</v>
      </c>
      <c r="AU13" s="41">
        <v>9</v>
      </c>
      <c r="AV13" s="41">
        <v>7</v>
      </c>
      <c r="AW13" s="41">
        <v>2</v>
      </c>
      <c r="AX13" s="41">
        <v>106</v>
      </c>
      <c r="AY13" s="41">
        <v>35</v>
      </c>
      <c r="AZ13" s="41">
        <v>71</v>
      </c>
      <c r="BA13" s="41">
        <v>28724</v>
      </c>
      <c r="BB13" s="41">
        <v>10507</v>
      </c>
      <c r="BC13" s="41">
        <v>18217</v>
      </c>
      <c r="BD13" s="41">
        <v>2301</v>
      </c>
      <c r="BE13" s="41">
        <v>561</v>
      </c>
      <c r="BF13" s="41">
        <v>1740</v>
      </c>
      <c r="BG13" s="41">
        <v>1862</v>
      </c>
      <c r="BH13" s="41">
        <v>1658</v>
      </c>
      <c r="BI13" s="41">
        <v>204</v>
      </c>
      <c r="BJ13" s="41">
        <v>24561</v>
      </c>
      <c r="BK13" s="41">
        <v>8288</v>
      </c>
      <c r="BL13" s="41">
        <v>16273</v>
      </c>
      <c r="BM13" s="41">
        <v>250208.5</v>
      </c>
      <c r="BN13" s="41">
        <v>90954.5</v>
      </c>
      <c r="BO13" s="41">
        <v>159254</v>
      </c>
      <c r="BP13" s="41">
        <v>19153</v>
      </c>
      <c r="BQ13" s="41">
        <v>4615</v>
      </c>
      <c r="BR13" s="41">
        <v>14538</v>
      </c>
      <c r="BS13" s="41">
        <v>15319.5</v>
      </c>
      <c r="BT13" s="41">
        <v>13579.5</v>
      </c>
      <c r="BU13" s="41">
        <v>1740</v>
      </c>
      <c r="BV13" s="41">
        <v>215736</v>
      </c>
      <c r="BW13" s="41">
        <v>72760</v>
      </c>
      <c r="BX13" s="41">
        <v>142976</v>
      </c>
    </row>
    <row r="14" spans="1:76" s="126" customFormat="1" ht="15.6" customHeight="1">
      <c r="A14" s="50" t="s">
        <v>152</v>
      </c>
      <c r="B14" s="124" t="s">
        <v>7</v>
      </c>
      <c r="C14" s="20">
        <v>1</v>
      </c>
      <c r="D14" s="20">
        <v>1</v>
      </c>
      <c r="E14" s="20" t="s">
        <v>261</v>
      </c>
      <c r="F14" s="20">
        <v>1</v>
      </c>
      <c r="G14" s="20" t="s">
        <v>261</v>
      </c>
      <c r="H14" s="20" t="s">
        <v>261</v>
      </c>
      <c r="I14" s="20" t="s">
        <v>261</v>
      </c>
      <c r="J14" s="20" t="s">
        <v>261</v>
      </c>
      <c r="K14" s="20" t="s">
        <v>261</v>
      </c>
      <c r="L14" s="20" t="s">
        <v>261</v>
      </c>
      <c r="M14" s="20">
        <v>1</v>
      </c>
      <c r="N14" s="20" t="s">
        <v>261</v>
      </c>
      <c r="O14" s="20">
        <v>1</v>
      </c>
      <c r="P14" s="20">
        <v>22</v>
      </c>
      <c r="Q14" s="20" t="s">
        <v>261</v>
      </c>
      <c r="R14" s="20">
        <v>22</v>
      </c>
      <c r="S14" s="20" t="s">
        <v>261</v>
      </c>
      <c r="T14" s="20" t="s">
        <v>261</v>
      </c>
      <c r="U14" s="20" t="s">
        <v>261</v>
      </c>
      <c r="V14" s="20" t="s">
        <v>261</v>
      </c>
      <c r="W14" s="20" t="s">
        <v>261</v>
      </c>
      <c r="X14" s="20" t="s">
        <v>261</v>
      </c>
      <c r="Y14" s="20">
        <v>22</v>
      </c>
      <c r="Z14" s="20" t="s">
        <v>261</v>
      </c>
      <c r="AA14" s="20">
        <v>22</v>
      </c>
      <c r="AB14" s="20">
        <v>176</v>
      </c>
      <c r="AC14" s="20" t="s">
        <v>262</v>
      </c>
      <c r="AD14" s="20">
        <v>176</v>
      </c>
      <c r="AE14" s="20" t="s">
        <v>262</v>
      </c>
      <c r="AF14" s="20" t="s">
        <v>262</v>
      </c>
      <c r="AG14" s="20" t="s">
        <v>262</v>
      </c>
      <c r="AH14" s="20" t="s">
        <v>262</v>
      </c>
      <c r="AI14" s="20" t="s">
        <v>262</v>
      </c>
      <c r="AJ14" s="20" t="s">
        <v>262</v>
      </c>
      <c r="AK14" s="20">
        <v>176</v>
      </c>
      <c r="AL14" s="20" t="s">
        <v>262</v>
      </c>
      <c r="AM14" s="20">
        <v>176</v>
      </c>
      <c r="AN14" s="20">
        <v>4</v>
      </c>
      <c r="AO14" s="20">
        <v>356</v>
      </c>
      <c r="AP14" s="20">
        <v>142</v>
      </c>
      <c r="AQ14" s="20">
        <v>214</v>
      </c>
      <c r="AR14" s="20">
        <v>18</v>
      </c>
      <c r="AS14" s="20">
        <v>6</v>
      </c>
      <c r="AT14" s="20">
        <v>12</v>
      </c>
      <c r="AU14" s="20">
        <v>4</v>
      </c>
      <c r="AV14" s="20">
        <v>3</v>
      </c>
      <c r="AW14" s="20">
        <v>1</v>
      </c>
      <c r="AX14" s="20">
        <v>334</v>
      </c>
      <c r="AY14" s="20">
        <v>133</v>
      </c>
      <c r="AZ14" s="20">
        <v>201</v>
      </c>
      <c r="BA14" s="20">
        <v>13276</v>
      </c>
      <c r="BB14" s="20">
        <v>5035</v>
      </c>
      <c r="BC14" s="20">
        <v>8241</v>
      </c>
      <c r="BD14" s="20">
        <v>1160</v>
      </c>
      <c r="BE14" s="20">
        <v>510</v>
      </c>
      <c r="BF14" s="20">
        <v>650</v>
      </c>
      <c r="BG14" s="20">
        <v>75</v>
      </c>
      <c r="BH14" s="20">
        <v>44</v>
      </c>
      <c r="BI14" s="20">
        <v>31</v>
      </c>
      <c r="BJ14" s="20">
        <v>12041</v>
      </c>
      <c r="BK14" s="20">
        <v>4481</v>
      </c>
      <c r="BL14" s="20">
        <v>7560</v>
      </c>
      <c r="BM14" s="20">
        <v>109951.8</v>
      </c>
      <c r="BN14" s="20">
        <v>42080.800000000003</v>
      </c>
      <c r="BO14" s="20">
        <v>67871</v>
      </c>
      <c r="BP14" s="20">
        <v>8656</v>
      </c>
      <c r="BQ14" s="20">
        <v>3848</v>
      </c>
      <c r="BR14" s="20">
        <v>4808</v>
      </c>
      <c r="BS14" s="20">
        <v>599.20000000000005</v>
      </c>
      <c r="BT14" s="20">
        <v>351.2</v>
      </c>
      <c r="BU14" s="20">
        <v>248</v>
      </c>
      <c r="BV14" s="20">
        <v>100696.6</v>
      </c>
      <c r="BW14" s="20">
        <v>37881.599999999999</v>
      </c>
      <c r="BX14" s="20">
        <v>62815</v>
      </c>
    </row>
    <row r="15" spans="1:76" ht="15.6" customHeight="1">
      <c r="A15" s="50" t="s">
        <v>153</v>
      </c>
      <c r="B15" s="94" t="s">
        <v>8</v>
      </c>
      <c r="C15" s="20" t="s">
        <v>261</v>
      </c>
      <c r="D15" s="20" t="s">
        <v>261</v>
      </c>
      <c r="E15" s="20" t="s">
        <v>261</v>
      </c>
      <c r="F15" s="20" t="s">
        <v>261</v>
      </c>
      <c r="G15" s="20" t="s">
        <v>261</v>
      </c>
      <c r="H15" s="20" t="s">
        <v>261</v>
      </c>
      <c r="I15" s="20" t="s">
        <v>261</v>
      </c>
      <c r="J15" s="20" t="s">
        <v>261</v>
      </c>
      <c r="K15" s="20" t="s">
        <v>261</v>
      </c>
      <c r="L15" s="20" t="s">
        <v>261</v>
      </c>
      <c r="M15" s="20" t="s">
        <v>261</v>
      </c>
      <c r="N15" s="20" t="s">
        <v>261</v>
      </c>
      <c r="O15" s="20" t="s">
        <v>261</v>
      </c>
      <c r="P15" s="20" t="s">
        <v>261</v>
      </c>
      <c r="Q15" s="20" t="s">
        <v>261</v>
      </c>
      <c r="R15" s="20" t="s">
        <v>261</v>
      </c>
      <c r="S15" s="20" t="s">
        <v>261</v>
      </c>
      <c r="T15" s="20" t="s">
        <v>261</v>
      </c>
      <c r="U15" s="20" t="s">
        <v>261</v>
      </c>
      <c r="V15" s="20" t="s">
        <v>261</v>
      </c>
      <c r="W15" s="20" t="s">
        <v>261</v>
      </c>
      <c r="X15" s="20" t="s">
        <v>261</v>
      </c>
      <c r="Y15" s="20" t="s">
        <v>261</v>
      </c>
      <c r="Z15" s="20" t="s">
        <v>261</v>
      </c>
      <c r="AA15" s="20" t="s">
        <v>261</v>
      </c>
      <c r="AB15" s="20" t="s">
        <v>262</v>
      </c>
      <c r="AC15" s="20" t="s">
        <v>262</v>
      </c>
      <c r="AD15" s="20" t="s">
        <v>262</v>
      </c>
      <c r="AE15" s="20" t="s">
        <v>262</v>
      </c>
      <c r="AF15" s="20" t="s">
        <v>262</v>
      </c>
      <c r="AG15" s="20" t="s">
        <v>262</v>
      </c>
      <c r="AH15" s="20" t="s">
        <v>262</v>
      </c>
      <c r="AI15" s="20" t="s">
        <v>262</v>
      </c>
      <c r="AJ15" s="20" t="s">
        <v>262</v>
      </c>
      <c r="AK15" s="20" t="s">
        <v>262</v>
      </c>
      <c r="AL15" s="20" t="s">
        <v>262</v>
      </c>
      <c r="AM15" s="20" t="s">
        <v>262</v>
      </c>
      <c r="AN15" s="20">
        <v>2</v>
      </c>
      <c r="AO15" s="20">
        <v>40</v>
      </c>
      <c r="AP15" s="20">
        <v>19</v>
      </c>
      <c r="AQ15" s="20">
        <v>21</v>
      </c>
      <c r="AR15" s="20">
        <v>2</v>
      </c>
      <c r="AS15" s="20">
        <v>1</v>
      </c>
      <c r="AT15" s="20">
        <v>1</v>
      </c>
      <c r="AU15" s="20" t="s">
        <v>261</v>
      </c>
      <c r="AV15" s="20" t="s">
        <v>261</v>
      </c>
      <c r="AW15" s="20" t="s">
        <v>261</v>
      </c>
      <c r="AX15" s="20">
        <v>38</v>
      </c>
      <c r="AY15" s="20">
        <v>18</v>
      </c>
      <c r="AZ15" s="20">
        <v>20</v>
      </c>
      <c r="BA15" s="20">
        <v>7712</v>
      </c>
      <c r="BB15" s="20">
        <v>3759</v>
      </c>
      <c r="BC15" s="20">
        <v>3953</v>
      </c>
      <c r="BD15" s="20">
        <v>442</v>
      </c>
      <c r="BE15" s="20">
        <v>210</v>
      </c>
      <c r="BF15" s="20">
        <v>232</v>
      </c>
      <c r="BG15" s="20" t="s">
        <v>261</v>
      </c>
      <c r="BH15" s="20" t="s">
        <v>261</v>
      </c>
      <c r="BI15" s="20" t="s">
        <v>261</v>
      </c>
      <c r="BJ15" s="20">
        <v>7270</v>
      </c>
      <c r="BK15" s="20">
        <v>3549</v>
      </c>
      <c r="BL15" s="20">
        <v>3721</v>
      </c>
      <c r="BM15" s="20">
        <v>61831</v>
      </c>
      <c r="BN15" s="20">
        <v>29492</v>
      </c>
      <c r="BO15" s="20">
        <v>32339</v>
      </c>
      <c r="BP15" s="20">
        <v>3652</v>
      </c>
      <c r="BQ15" s="20">
        <v>1582</v>
      </c>
      <c r="BR15" s="20">
        <v>2070</v>
      </c>
      <c r="BS15" s="20" t="s">
        <v>262</v>
      </c>
      <c r="BT15" s="20" t="s">
        <v>262</v>
      </c>
      <c r="BU15" s="20" t="s">
        <v>262</v>
      </c>
      <c r="BV15" s="20">
        <v>58179</v>
      </c>
      <c r="BW15" s="20">
        <v>27910</v>
      </c>
      <c r="BX15" s="20">
        <v>30269</v>
      </c>
    </row>
    <row r="16" spans="1:76" ht="15.6" customHeight="1">
      <c r="A16" s="50" t="s">
        <v>154</v>
      </c>
      <c r="B16" s="94" t="s">
        <v>9</v>
      </c>
      <c r="C16" s="20" t="s">
        <v>261</v>
      </c>
      <c r="D16" s="20" t="s">
        <v>261</v>
      </c>
      <c r="E16" s="20" t="s">
        <v>261</v>
      </c>
      <c r="F16" s="20" t="s">
        <v>261</v>
      </c>
      <c r="G16" s="20" t="s">
        <v>261</v>
      </c>
      <c r="H16" s="20" t="s">
        <v>261</v>
      </c>
      <c r="I16" s="20" t="s">
        <v>261</v>
      </c>
      <c r="J16" s="20" t="s">
        <v>261</v>
      </c>
      <c r="K16" s="20" t="s">
        <v>261</v>
      </c>
      <c r="L16" s="20" t="s">
        <v>261</v>
      </c>
      <c r="M16" s="20" t="s">
        <v>261</v>
      </c>
      <c r="N16" s="20" t="s">
        <v>261</v>
      </c>
      <c r="O16" s="20" t="s">
        <v>261</v>
      </c>
      <c r="P16" s="20" t="s">
        <v>261</v>
      </c>
      <c r="Q16" s="20" t="s">
        <v>261</v>
      </c>
      <c r="R16" s="20" t="s">
        <v>261</v>
      </c>
      <c r="S16" s="20" t="s">
        <v>261</v>
      </c>
      <c r="T16" s="20" t="s">
        <v>261</v>
      </c>
      <c r="U16" s="20" t="s">
        <v>261</v>
      </c>
      <c r="V16" s="20" t="s">
        <v>261</v>
      </c>
      <c r="W16" s="20" t="s">
        <v>261</v>
      </c>
      <c r="X16" s="20" t="s">
        <v>261</v>
      </c>
      <c r="Y16" s="20" t="s">
        <v>261</v>
      </c>
      <c r="Z16" s="20" t="s">
        <v>261</v>
      </c>
      <c r="AA16" s="20" t="s">
        <v>261</v>
      </c>
      <c r="AB16" s="20" t="s">
        <v>262</v>
      </c>
      <c r="AC16" s="20" t="s">
        <v>262</v>
      </c>
      <c r="AD16" s="20" t="s">
        <v>262</v>
      </c>
      <c r="AE16" s="20" t="s">
        <v>262</v>
      </c>
      <c r="AF16" s="20" t="s">
        <v>262</v>
      </c>
      <c r="AG16" s="20" t="s">
        <v>262</v>
      </c>
      <c r="AH16" s="20" t="s">
        <v>262</v>
      </c>
      <c r="AI16" s="20" t="s">
        <v>262</v>
      </c>
      <c r="AJ16" s="20" t="s">
        <v>262</v>
      </c>
      <c r="AK16" s="20" t="s">
        <v>262</v>
      </c>
      <c r="AL16" s="20" t="s">
        <v>262</v>
      </c>
      <c r="AM16" s="20" t="s">
        <v>262</v>
      </c>
      <c r="AN16" s="20" t="s">
        <v>261</v>
      </c>
      <c r="AO16" s="20">
        <v>23</v>
      </c>
      <c r="AP16" s="20">
        <v>10</v>
      </c>
      <c r="AQ16" s="20">
        <v>13</v>
      </c>
      <c r="AR16" s="20">
        <v>3</v>
      </c>
      <c r="AS16" s="20">
        <v>3</v>
      </c>
      <c r="AT16" s="20" t="s">
        <v>261</v>
      </c>
      <c r="AU16" s="20" t="s">
        <v>261</v>
      </c>
      <c r="AV16" s="20" t="s">
        <v>261</v>
      </c>
      <c r="AW16" s="20" t="s">
        <v>261</v>
      </c>
      <c r="AX16" s="20">
        <v>20</v>
      </c>
      <c r="AY16" s="20">
        <v>7</v>
      </c>
      <c r="AZ16" s="20">
        <v>13</v>
      </c>
      <c r="BA16" s="20">
        <v>2426</v>
      </c>
      <c r="BB16" s="20">
        <v>1137</v>
      </c>
      <c r="BC16" s="20">
        <v>1289</v>
      </c>
      <c r="BD16" s="20">
        <v>305</v>
      </c>
      <c r="BE16" s="20">
        <v>302</v>
      </c>
      <c r="BF16" s="20">
        <v>3</v>
      </c>
      <c r="BG16" s="20" t="s">
        <v>261</v>
      </c>
      <c r="BH16" s="20" t="s">
        <v>261</v>
      </c>
      <c r="BI16" s="20" t="s">
        <v>261</v>
      </c>
      <c r="BJ16" s="20">
        <v>2121</v>
      </c>
      <c r="BK16" s="20">
        <v>835</v>
      </c>
      <c r="BL16" s="20">
        <v>1286</v>
      </c>
      <c r="BM16" s="20">
        <v>15872.5</v>
      </c>
      <c r="BN16" s="20">
        <v>7370</v>
      </c>
      <c r="BO16" s="20">
        <v>8502.5</v>
      </c>
      <c r="BP16" s="20">
        <v>1390.5</v>
      </c>
      <c r="BQ16" s="20">
        <v>1383</v>
      </c>
      <c r="BR16" s="20">
        <v>7.5</v>
      </c>
      <c r="BS16" s="20" t="s">
        <v>262</v>
      </c>
      <c r="BT16" s="20" t="s">
        <v>262</v>
      </c>
      <c r="BU16" s="20" t="s">
        <v>262</v>
      </c>
      <c r="BV16" s="20">
        <v>14482</v>
      </c>
      <c r="BW16" s="20">
        <v>5987</v>
      </c>
      <c r="BX16" s="20">
        <v>8495</v>
      </c>
    </row>
    <row r="17" spans="1:76" ht="15.6" customHeight="1">
      <c r="A17" s="50" t="s">
        <v>155</v>
      </c>
      <c r="B17" s="94" t="s">
        <v>10</v>
      </c>
      <c r="C17" s="20">
        <v>1</v>
      </c>
      <c r="D17" s="20">
        <v>4</v>
      </c>
      <c r="E17" s="20">
        <v>4</v>
      </c>
      <c r="F17" s="20" t="s">
        <v>261</v>
      </c>
      <c r="G17" s="20">
        <v>1</v>
      </c>
      <c r="H17" s="20">
        <v>1</v>
      </c>
      <c r="I17" s="20" t="s">
        <v>261</v>
      </c>
      <c r="J17" s="20">
        <v>1</v>
      </c>
      <c r="K17" s="20">
        <v>1</v>
      </c>
      <c r="L17" s="20" t="s">
        <v>261</v>
      </c>
      <c r="M17" s="20">
        <v>2</v>
      </c>
      <c r="N17" s="20">
        <v>2</v>
      </c>
      <c r="O17" s="20" t="s">
        <v>261</v>
      </c>
      <c r="P17" s="20">
        <v>172</v>
      </c>
      <c r="Q17" s="20">
        <v>172</v>
      </c>
      <c r="R17" s="20" t="s">
        <v>261</v>
      </c>
      <c r="S17" s="20">
        <v>20</v>
      </c>
      <c r="T17" s="20">
        <v>20</v>
      </c>
      <c r="U17" s="20" t="s">
        <v>261</v>
      </c>
      <c r="V17" s="20">
        <v>61</v>
      </c>
      <c r="W17" s="20">
        <v>61</v>
      </c>
      <c r="X17" s="20" t="s">
        <v>261</v>
      </c>
      <c r="Y17" s="20">
        <v>91</v>
      </c>
      <c r="Z17" s="20">
        <v>91</v>
      </c>
      <c r="AA17" s="20" t="s">
        <v>261</v>
      </c>
      <c r="AB17" s="20">
        <v>792</v>
      </c>
      <c r="AC17" s="20">
        <v>792</v>
      </c>
      <c r="AD17" s="20" t="s">
        <v>262</v>
      </c>
      <c r="AE17" s="20">
        <v>90</v>
      </c>
      <c r="AF17" s="20">
        <v>90</v>
      </c>
      <c r="AG17" s="20" t="s">
        <v>262</v>
      </c>
      <c r="AH17" s="20">
        <v>270</v>
      </c>
      <c r="AI17" s="20">
        <v>270</v>
      </c>
      <c r="AJ17" s="20" t="s">
        <v>262</v>
      </c>
      <c r="AK17" s="20">
        <v>432</v>
      </c>
      <c r="AL17" s="20">
        <v>432</v>
      </c>
      <c r="AM17" s="20" t="s">
        <v>262</v>
      </c>
      <c r="AN17" s="20">
        <v>1</v>
      </c>
      <c r="AO17" s="20">
        <v>9</v>
      </c>
      <c r="AP17" s="20">
        <v>2</v>
      </c>
      <c r="AQ17" s="20">
        <v>7</v>
      </c>
      <c r="AR17" s="20">
        <v>1</v>
      </c>
      <c r="AS17" s="20" t="s">
        <v>261</v>
      </c>
      <c r="AT17" s="20">
        <v>1</v>
      </c>
      <c r="AU17" s="20">
        <v>4</v>
      </c>
      <c r="AV17" s="20">
        <v>1</v>
      </c>
      <c r="AW17" s="20">
        <v>3</v>
      </c>
      <c r="AX17" s="20">
        <v>4</v>
      </c>
      <c r="AY17" s="20">
        <v>1</v>
      </c>
      <c r="AZ17" s="20">
        <v>3</v>
      </c>
      <c r="BA17" s="20">
        <v>1232</v>
      </c>
      <c r="BB17" s="20">
        <v>171</v>
      </c>
      <c r="BC17" s="20">
        <v>1061</v>
      </c>
      <c r="BD17" s="20">
        <v>90</v>
      </c>
      <c r="BE17" s="20" t="s">
        <v>261</v>
      </c>
      <c r="BF17" s="20">
        <v>90</v>
      </c>
      <c r="BG17" s="20">
        <v>510</v>
      </c>
      <c r="BH17" s="20">
        <v>20</v>
      </c>
      <c r="BI17" s="20">
        <v>490</v>
      </c>
      <c r="BJ17" s="20">
        <v>632</v>
      </c>
      <c r="BK17" s="20">
        <v>151</v>
      </c>
      <c r="BL17" s="20">
        <v>481</v>
      </c>
      <c r="BM17" s="20">
        <v>5640</v>
      </c>
      <c r="BN17" s="20">
        <v>888</v>
      </c>
      <c r="BO17" s="20">
        <v>4752</v>
      </c>
      <c r="BP17" s="20">
        <v>490</v>
      </c>
      <c r="BQ17" s="20" t="s">
        <v>262</v>
      </c>
      <c r="BR17" s="20">
        <v>490</v>
      </c>
      <c r="BS17" s="20">
        <v>2216</v>
      </c>
      <c r="BT17" s="20">
        <v>90</v>
      </c>
      <c r="BU17" s="20">
        <v>2126</v>
      </c>
      <c r="BV17" s="20">
        <v>2934</v>
      </c>
      <c r="BW17" s="20">
        <v>798</v>
      </c>
      <c r="BX17" s="20">
        <v>2136</v>
      </c>
    </row>
    <row r="18" spans="1:76" ht="15.6" customHeight="1">
      <c r="A18" s="50" t="s">
        <v>156</v>
      </c>
      <c r="B18" s="94" t="s">
        <v>11</v>
      </c>
      <c r="C18" s="20" t="s">
        <v>261</v>
      </c>
      <c r="D18" s="20" t="s">
        <v>261</v>
      </c>
      <c r="E18" s="20" t="s">
        <v>261</v>
      </c>
      <c r="F18" s="20" t="s">
        <v>261</v>
      </c>
      <c r="G18" s="20" t="s">
        <v>261</v>
      </c>
      <c r="H18" s="20" t="s">
        <v>261</v>
      </c>
      <c r="I18" s="20" t="s">
        <v>261</v>
      </c>
      <c r="J18" s="20" t="s">
        <v>261</v>
      </c>
      <c r="K18" s="20" t="s">
        <v>261</v>
      </c>
      <c r="L18" s="20" t="s">
        <v>261</v>
      </c>
      <c r="M18" s="20" t="s">
        <v>261</v>
      </c>
      <c r="N18" s="20" t="s">
        <v>261</v>
      </c>
      <c r="O18" s="20" t="s">
        <v>261</v>
      </c>
      <c r="P18" s="20" t="s">
        <v>261</v>
      </c>
      <c r="Q18" s="20" t="s">
        <v>261</v>
      </c>
      <c r="R18" s="20" t="s">
        <v>261</v>
      </c>
      <c r="S18" s="20" t="s">
        <v>261</v>
      </c>
      <c r="T18" s="20" t="s">
        <v>261</v>
      </c>
      <c r="U18" s="20" t="s">
        <v>261</v>
      </c>
      <c r="V18" s="20" t="s">
        <v>261</v>
      </c>
      <c r="W18" s="20" t="s">
        <v>261</v>
      </c>
      <c r="X18" s="20" t="s">
        <v>261</v>
      </c>
      <c r="Y18" s="20" t="s">
        <v>261</v>
      </c>
      <c r="Z18" s="20" t="s">
        <v>261</v>
      </c>
      <c r="AA18" s="20" t="s">
        <v>261</v>
      </c>
      <c r="AB18" s="20" t="s">
        <v>262</v>
      </c>
      <c r="AC18" s="20" t="s">
        <v>262</v>
      </c>
      <c r="AD18" s="20" t="s">
        <v>262</v>
      </c>
      <c r="AE18" s="20" t="s">
        <v>262</v>
      </c>
      <c r="AF18" s="20" t="s">
        <v>262</v>
      </c>
      <c r="AG18" s="20" t="s">
        <v>262</v>
      </c>
      <c r="AH18" s="20" t="s">
        <v>262</v>
      </c>
      <c r="AI18" s="20" t="s">
        <v>262</v>
      </c>
      <c r="AJ18" s="20" t="s">
        <v>262</v>
      </c>
      <c r="AK18" s="20" t="s">
        <v>262</v>
      </c>
      <c r="AL18" s="20" t="s">
        <v>262</v>
      </c>
      <c r="AM18" s="20" t="s">
        <v>262</v>
      </c>
      <c r="AN18" s="20" t="s">
        <v>261</v>
      </c>
      <c r="AO18" s="20">
        <v>22</v>
      </c>
      <c r="AP18" s="20">
        <v>8</v>
      </c>
      <c r="AQ18" s="20">
        <v>14</v>
      </c>
      <c r="AR18" s="20">
        <v>1</v>
      </c>
      <c r="AS18" s="20" t="s">
        <v>261</v>
      </c>
      <c r="AT18" s="20">
        <v>1</v>
      </c>
      <c r="AU18" s="20">
        <v>1</v>
      </c>
      <c r="AV18" s="20" t="s">
        <v>261</v>
      </c>
      <c r="AW18" s="20">
        <v>1</v>
      </c>
      <c r="AX18" s="20">
        <v>20</v>
      </c>
      <c r="AY18" s="20">
        <v>8</v>
      </c>
      <c r="AZ18" s="20">
        <v>12</v>
      </c>
      <c r="BA18" s="20">
        <v>5045</v>
      </c>
      <c r="BB18" s="20">
        <v>910</v>
      </c>
      <c r="BC18" s="20">
        <v>4135</v>
      </c>
      <c r="BD18" s="20">
        <v>399</v>
      </c>
      <c r="BE18" s="20">
        <v>20</v>
      </c>
      <c r="BF18" s="20">
        <v>379</v>
      </c>
      <c r="BG18" s="20">
        <v>313</v>
      </c>
      <c r="BH18" s="20">
        <v>63</v>
      </c>
      <c r="BI18" s="20">
        <v>250</v>
      </c>
      <c r="BJ18" s="20">
        <v>4333</v>
      </c>
      <c r="BK18" s="20">
        <v>827</v>
      </c>
      <c r="BL18" s="20">
        <v>3506</v>
      </c>
      <c r="BM18" s="20">
        <v>40360</v>
      </c>
      <c r="BN18" s="20">
        <v>7280</v>
      </c>
      <c r="BO18" s="20">
        <v>33080</v>
      </c>
      <c r="BP18" s="20">
        <v>3192</v>
      </c>
      <c r="BQ18" s="20">
        <v>160</v>
      </c>
      <c r="BR18" s="20">
        <v>3032</v>
      </c>
      <c r="BS18" s="20">
        <v>2504</v>
      </c>
      <c r="BT18" s="20">
        <v>504</v>
      </c>
      <c r="BU18" s="20">
        <v>2000</v>
      </c>
      <c r="BV18" s="20">
        <v>34664</v>
      </c>
      <c r="BW18" s="20">
        <v>6616</v>
      </c>
      <c r="BX18" s="20">
        <v>28048</v>
      </c>
    </row>
    <row r="19" spans="1:76" ht="15.6" customHeight="1">
      <c r="A19" s="50" t="s">
        <v>157</v>
      </c>
      <c r="B19" s="94" t="s">
        <v>12</v>
      </c>
      <c r="C19" s="20">
        <v>3</v>
      </c>
      <c r="D19" s="20">
        <v>20</v>
      </c>
      <c r="E19" s="20">
        <v>5</v>
      </c>
      <c r="F19" s="20">
        <v>15</v>
      </c>
      <c r="G19" s="20" t="s">
        <v>261</v>
      </c>
      <c r="H19" s="20" t="s">
        <v>261</v>
      </c>
      <c r="I19" s="20" t="s">
        <v>261</v>
      </c>
      <c r="J19" s="20">
        <v>3</v>
      </c>
      <c r="K19" s="20" t="s">
        <v>261</v>
      </c>
      <c r="L19" s="20">
        <v>3</v>
      </c>
      <c r="M19" s="20">
        <v>17</v>
      </c>
      <c r="N19" s="20">
        <v>5</v>
      </c>
      <c r="O19" s="20">
        <v>12</v>
      </c>
      <c r="P19" s="20">
        <v>2917</v>
      </c>
      <c r="Q19" s="20">
        <v>704</v>
      </c>
      <c r="R19" s="20">
        <v>2213</v>
      </c>
      <c r="S19" s="20" t="s">
        <v>261</v>
      </c>
      <c r="T19" s="20" t="s">
        <v>261</v>
      </c>
      <c r="U19" s="20" t="s">
        <v>261</v>
      </c>
      <c r="V19" s="20">
        <v>425</v>
      </c>
      <c r="W19" s="20" t="s">
        <v>261</v>
      </c>
      <c r="X19" s="20">
        <v>425</v>
      </c>
      <c r="Y19" s="20">
        <v>2492</v>
      </c>
      <c r="Z19" s="20">
        <v>704</v>
      </c>
      <c r="AA19" s="20">
        <v>1788</v>
      </c>
      <c r="AB19" s="20">
        <v>20670</v>
      </c>
      <c r="AC19" s="20">
        <v>4330</v>
      </c>
      <c r="AD19" s="20">
        <v>16340</v>
      </c>
      <c r="AE19" s="20" t="s">
        <v>262</v>
      </c>
      <c r="AF19" s="20" t="s">
        <v>262</v>
      </c>
      <c r="AG19" s="20" t="s">
        <v>262</v>
      </c>
      <c r="AH19" s="20">
        <v>3422</v>
      </c>
      <c r="AI19" s="20" t="s">
        <v>262</v>
      </c>
      <c r="AJ19" s="20">
        <v>3422</v>
      </c>
      <c r="AK19" s="20">
        <v>17248</v>
      </c>
      <c r="AL19" s="20">
        <v>4330</v>
      </c>
      <c r="AM19" s="20">
        <v>12918</v>
      </c>
      <c r="AN19" s="20">
        <v>5</v>
      </c>
      <c r="AO19" s="20">
        <v>42</v>
      </c>
      <c r="AP19" s="20">
        <v>11</v>
      </c>
      <c r="AQ19" s="20">
        <v>31</v>
      </c>
      <c r="AR19" s="20">
        <v>2</v>
      </c>
      <c r="AS19" s="20" t="s">
        <v>261</v>
      </c>
      <c r="AT19" s="20">
        <v>2</v>
      </c>
      <c r="AU19" s="20">
        <v>9</v>
      </c>
      <c r="AV19" s="20">
        <v>3</v>
      </c>
      <c r="AW19" s="20">
        <v>6</v>
      </c>
      <c r="AX19" s="20">
        <v>31</v>
      </c>
      <c r="AY19" s="20">
        <v>8</v>
      </c>
      <c r="AZ19" s="20">
        <v>23</v>
      </c>
      <c r="BA19" s="20">
        <v>9369</v>
      </c>
      <c r="BB19" s="20">
        <v>2624</v>
      </c>
      <c r="BC19" s="20">
        <v>6745</v>
      </c>
      <c r="BD19" s="20">
        <v>470</v>
      </c>
      <c r="BE19" s="20" t="s">
        <v>261</v>
      </c>
      <c r="BF19" s="20">
        <v>470</v>
      </c>
      <c r="BG19" s="20">
        <v>1843</v>
      </c>
      <c r="BH19" s="20">
        <v>588</v>
      </c>
      <c r="BI19" s="20">
        <v>1255</v>
      </c>
      <c r="BJ19" s="20">
        <v>7056</v>
      </c>
      <c r="BK19" s="20">
        <v>2036</v>
      </c>
      <c r="BL19" s="20">
        <v>5020</v>
      </c>
      <c r="BM19" s="20">
        <v>63274</v>
      </c>
      <c r="BN19" s="20">
        <v>17144</v>
      </c>
      <c r="BO19" s="20">
        <v>46130</v>
      </c>
      <c r="BP19" s="20">
        <v>3672</v>
      </c>
      <c r="BQ19" s="20" t="s">
        <v>262</v>
      </c>
      <c r="BR19" s="20">
        <v>3672</v>
      </c>
      <c r="BS19" s="20">
        <v>14647</v>
      </c>
      <c r="BT19" s="20">
        <v>4704</v>
      </c>
      <c r="BU19" s="20">
        <v>9943</v>
      </c>
      <c r="BV19" s="20">
        <v>44955</v>
      </c>
      <c r="BW19" s="20">
        <v>12440</v>
      </c>
      <c r="BX19" s="20">
        <v>32515</v>
      </c>
    </row>
    <row r="20" spans="1:76" ht="15.6" customHeight="1">
      <c r="A20" s="50" t="s">
        <v>158</v>
      </c>
      <c r="B20" s="94" t="s">
        <v>13</v>
      </c>
      <c r="C20" s="20">
        <v>1</v>
      </c>
      <c r="D20" s="20">
        <v>1</v>
      </c>
      <c r="E20" s="20" t="s">
        <v>261</v>
      </c>
      <c r="F20" s="20">
        <v>1</v>
      </c>
      <c r="G20" s="20" t="s">
        <v>261</v>
      </c>
      <c r="H20" s="20" t="s">
        <v>261</v>
      </c>
      <c r="I20" s="20" t="s">
        <v>261</v>
      </c>
      <c r="J20" s="20" t="s">
        <v>261</v>
      </c>
      <c r="K20" s="20" t="s">
        <v>261</v>
      </c>
      <c r="L20" s="20" t="s">
        <v>261</v>
      </c>
      <c r="M20" s="20">
        <v>1</v>
      </c>
      <c r="N20" s="20" t="s">
        <v>261</v>
      </c>
      <c r="O20" s="20">
        <v>1</v>
      </c>
      <c r="P20" s="20">
        <v>2</v>
      </c>
      <c r="Q20" s="20" t="s">
        <v>261</v>
      </c>
      <c r="R20" s="20">
        <v>2</v>
      </c>
      <c r="S20" s="20" t="s">
        <v>261</v>
      </c>
      <c r="T20" s="20" t="s">
        <v>261</v>
      </c>
      <c r="U20" s="20" t="s">
        <v>261</v>
      </c>
      <c r="V20" s="20" t="s">
        <v>261</v>
      </c>
      <c r="W20" s="20" t="s">
        <v>261</v>
      </c>
      <c r="X20" s="20" t="s">
        <v>261</v>
      </c>
      <c r="Y20" s="20">
        <v>2</v>
      </c>
      <c r="Z20" s="20" t="s">
        <v>261</v>
      </c>
      <c r="AA20" s="20">
        <v>2</v>
      </c>
      <c r="AB20" s="20">
        <v>16</v>
      </c>
      <c r="AC20" s="20" t="s">
        <v>262</v>
      </c>
      <c r="AD20" s="20">
        <v>16</v>
      </c>
      <c r="AE20" s="20" t="s">
        <v>262</v>
      </c>
      <c r="AF20" s="20" t="s">
        <v>262</v>
      </c>
      <c r="AG20" s="20" t="s">
        <v>262</v>
      </c>
      <c r="AH20" s="20" t="s">
        <v>262</v>
      </c>
      <c r="AI20" s="20" t="s">
        <v>262</v>
      </c>
      <c r="AJ20" s="20" t="s">
        <v>262</v>
      </c>
      <c r="AK20" s="20">
        <v>16</v>
      </c>
      <c r="AL20" s="20" t="s">
        <v>262</v>
      </c>
      <c r="AM20" s="20">
        <v>16</v>
      </c>
      <c r="AN20" s="20">
        <v>7</v>
      </c>
      <c r="AO20" s="20">
        <v>122</v>
      </c>
      <c r="AP20" s="20">
        <v>51</v>
      </c>
      <c r="AQ20" s="20">
        <v>71</v>
      </c>
      <c r="AR20" s="20">
        <v>7</v>
      </c>
      <c r="AS20" s="20">
        <v>5</v>
      </c>
      <c r="AT20" s="20">
        <v>2</v>
      </c>
      <c r="AU20" s="20">
        <v>21</v>
      </c>
      <c r="AV20" s="20">
        <v>12</v>
      </c>
      <c r="AW20" s="20">
        <v>9</v>
      </c>
      <c r="AX20" s="20">
        <v>94</v>
      </c>
      <c r="AY20" s="20">
        <v>34</v>
      </c>
      <c r="AZ20" s="20">
        <v>60</v>
      </c>
      <c r="BA20" s="20">
        <v>21715</v>
      </c>
      <c r="BB20" s="20">
        <v>9014</v>
      </c>
      <c r="BC20" s="20">
        <v>12701</v>
      </c>
      <c r="BD20" s="20">
        <v>1389</v>
      </c>
      <c r="BE20" s="20">
        <v>867</v>
      </c>
      <c r="BF20" s="20">
        <v>522</v>
      </c>
      <c r="BG20" s="20">
        <v>3578</v>
      </c>
      <c r="BH20" s="20">
        <v>2180</v>
      </c>
      <c r="BI20" s="20">
        <v>1398</v>
      </c>
      <c r="BJ20" s="20">
        <v>16748</v>
      </c>
      <c r="BK20" s="20">
        <v>5967</v>
      </c>
      <c r="BL20" s="20">
        <v>10781</v>
      </c>
      <c r="BM20" s="20">
        <v>158112</v>
      </c>
      <c r="BN20" s="20">
        <v>64756</v>
      </c>
      <c r="BO20" s="20">
        <v>93356</v>
      </c>
      <c r="BP20" s="20">
        <v>9679</v>
      </c>
      <c r="BQ20" s="20">
        <v>5749</v>
      </c>
      <c r="BR20" s="20">
        <v>3930</v>
      </c>
      <c r="BS20" s="20">
        <v>25449</v>
      </c>
      <c r="BT20" s="20">
        <v>15638.5</v>
      </c>
      <c r="BU20" s="20">
        <v>9810.5</v>
      </c>
      <c r="BV20" s="20">
        <v>122984</v>
      </c>
      <c r="BW20" s="20">
        <v>43368.5</v>
      </c>
      <c r="BX20" s="20">
        <v>79615.5</v>
      </c>
    </row>
    <row r="21" spans="1:76" ht="15.6" customHeight="1">
      <c r="A21" s="50" t="s">
        <v>159</v>
      </c>
      <c r="B21" s="94" t="s">
        <v>14</v>
      </c>
      <c r="C21" s="20" t="s">
        <v>261</v>
      </c>
      <c r="D21" s="20" t="s">
        <v>261</v>
      </c>
      <c r="E21" s="20" t="s">
        <v>261</v>
      </c>
      <c r="F21" s="20" t="s">
        <v>261</v>
      </c>
      <c r="G21" s="20" t="s">
        <v>261</v>
      </c>
      <c r="H21" s="20" t="s">
        <v>261</v>
      </c>
      <c r="I21" s="20" t="s">
        <v>261</v>
      </c>
      <c r="J21" s="20" t="s">
        <v>261</v>
      </c>
      <c r="K21" s="20" t="s">
        <v>261</v>
      </c>
      <c r="L21" s="20" t="s">
        <v>261</v>
      </c>
      <c r="M21" s="20" t="s">
        <v>261</v>
      </c>
      <c r="N21" s="20" t="s">
        <v>261</v>
      </c>
      <c r="O21" s="20" t="s">
        <v>261</v>
      </c>
      <c r="P21" s="20" t="s">
        <v>261</v>
      </c>
      <c r="Q21" s="20" t="s">
        <v>261</v>
      </c>
      <c r="R21" s="20" t="s">
        <v>261</v>
      </c>
      <c r="S21" s="20" t="s">
        <v>261</v>
      </c>
      <c r="T21" s="20" t="s">
        <v>261</v>
      </c>
      <c r="U21" s="20" t="s">
        <v>261</v>
      </c>
      <c r="V21" s="20" t="s">
        <v>261</v>
      </c>
      <c r="W21" s="20" t="s">
        <v>261</v>
      </c>
      <c r="X21" s="20" t="s">
        <v>261</v>
      </c>
      <c r="Y21" s="20" t="s">
        <v>261</v>
      </c>
      <c r="Z21" s="20" t="s">
        <v>261</v>
      </c>
      <c r="AA21" s="20" t="s">
        <v>261</v>
      </c>
      <c r="AB21" s="20" t="s">
        <v>262</v>
      </c>
      <c r="AC21" s="20" t="s">
        <v>262</v>
      </c>
      <c r="AD21" s="20" t="s">
        <v>262</v>
      </c>
      <c r="AE21" s="20" t="s">
        <v>262</v>
      </c>
      <c r="AF21" s="20" t="s">
        <v>262</v>
      </c>
      <c r="AG21" s="20" t="s">
        <v>262</v>
      </c>
      <c r="AH21" s="20" t="s">
        <v>262</v>
      </c>
      <c r="AI21" s="20" t="s">
        <v>262</v>
      </c>
      <c r="AJ21" s="20" t="s">
        <v>262</v>
      </c>
      <c r="AK21" s="20" t="s">
        <v>262</v>
      </c>
      <c r="AL21" s="20" t="s">
        <v>262</v>
      </c>
      <c r="AM21" s="20" t="s">
        <v>262</v>
      </c>
      <c r="AN21" s="20">
        <v>2</v>
      </c>
      <c r="AO21" s="20">
        <v>34</v>
      </c>
      <c r="AP21" s="20">
        <v>11</v>
      </c>
      <c r="AQ21" s="20">
        <v>23</v>
      </c>
      <c r="AR21" s="20">
        <v>5</v>
      </c>
      <c r="AS21" s="20">
        <v>3</v>
      </c>
      <c r="AT21" s="20">
        <v>2</v>
      </c>
      <c r="AU21" s="20">
        <v>1</v>
      </c>
      <c r="AV21" s="20" t="s">
        <v>261</v>
      </c>
      <c r="AW21" s="20">
        <v>1</v>
      </c>
      <c r="AX21" s="20">
        <v>28</v>
      </c>
      <c r="AY21" s="20">
        <v>8</v>
      </c>
      <c r="AZ21" s="20">
        <v>20</v>
      </c>
      <c r="BA21" s="20">
        <v>5404</v>
      </c>
      <c r="BB21" s="20">
        <v>1776</v>
      </c>
      <c r="BC21" s="20">
        <v>3628</v>
      </c>
      <c r="BD21" s="20">
        <v>590</v>
      </c>
      <c r="BE21" s="20">
        <v>271</v>
      </c>
      <c r="BF21" s="20">
        <v>319</v>
      </c>
      <c r="BG21" s="20">
        <v>403</v>
      </c>
      <c r="BH21" s="20">
        <v>57</v>
      </c>
      <c r="BI21" s="20">
        <v>346</v>
      </c>
      <c r="BJ21" s="20">
        <v>4411</v>
      </c>
      <c r="BK21" s="20">
        <v>1448</v>
      </c>
      <c r="BL21" s="20">
        <v>2963</v>
      </c>
      <c r="BM21" s="20">
        <v>24559</v>
      </c>
      <c r="BN21" s="20">
        <v>8460</v>
      </c>
      <c r="BO21" s="20">
        <v>16099</v>
      </c>
      <c r="BP21" s="20">
        <v>4640</v>
      </c>
      <c r="BQ21" s="20">
        <v>2091</v>
      </c>
      <c r="BR21" s="20">
        <v>2549</v>
      </c>
      <c r="BS21" s="20">
        <v>2258</v>
      </c>
      <c r="BT21" s="20">
        <v>57</v>
      </c>
      <c r="BU21" s="20">
        <v>2201</v>
      </c>
      <c r="BV21" s="20">
        <v>17661</v>
      </c>
      <c r="BW21" s="20">
        <v>6312</v>
      </c>
      <c r="BX21" s="20">
        <v>11349</v>
      </c>
    </row>
    <row r="22" spans="1:76" ht="15.6" customHeight="1">
      <c r="A22" s="50" t="s">
        <v>160</v>
      </c>
      <c r="B22" s="94" t="s">
        <v>15</v>
      </c>
      <c r="C22" s="20">
        <v>1</v>
      </c>
      <c r="D22" s="20">
        <v>19</v>
      </c>
      <c r="E22" s="20">
        <v>3</v>
      </c>
      <c r="F22" s="20">
        <v>16</v>
      </c>
      <c r="G22" s="20" t="s">
        <v>261</v>
      </c>
      <c r="H22" s="20" t="s">
        <v>261</v>
      </c>
      <c r="I22" s="20" t="s">
        <v>261</v>
      </c>
      <c r="J22" s="20">
        <v>3</v>
      </c>
      <c r="K22" s="20" t="s">
        <v>261</v>
      </c>
      <c r="L22" s="20">
        <v>3</v>
      </c>
      <c r="M22" s="20">
        <v>16</v>
      </c>
      <c r="N22" s="20">
        <v>3</v>
      </c>
      <c r="O22" s="20">
        <v>13</v>
      </c>
      <c r="P22" s="20">
        <v>3948</v>
      </c>
      <c r="Q22" s="20">
        <v>1112</v>
      </c>
      <c r="R22" s="20">
        <v>2836</v>
      </c>
      <c r="S22" s="20">
        <v>18</v>
      </c>
      <c r="T22" s="20" t="s">
        <v>261</v>
      </c>
      <c r="U22" s="20">
        <v>18</v>
      </c>
      <c r="V22" s="20">
        <v>613</v>
      </c>
      <c r="W22" s="20">
        <v>57</v>
      </c>
      <c r="X22" s="20">
        <v>556</v>
      </c>
      <c r="Y22" s="20">
        <v>3317</v>
      </c>
      <c r="Z22" s="20">
        <v>1055</v>
      </c>
      <c r="AA22" s="20">
        <v>2262</v>
      </c>
      <c r="AB22" s="20">
        <v>17203</v>
      </c>
      <c r="AC22" s="20">
        <v>5881</v>
      </c>
      <c r="AD22" s="20">
        <v>11322</v>
      </c>
      <c r="AE22" s="20">
        <v>50</v>
      </c>
      <c r="AF22" s="20" t="s">
        <v>262</v>
      </c>
      <c r="AG22" s="20">
        <v>50</v>
      </c>
      <c r="AH22" s="20">
        <v>2574</v>
      </c>
      <c r="AI22" s="20">
        <v>224</v>
      </c>
      <c r="AJ22" s="20">
        <v>2350</v>
      </c>
      <c r="AK22" s="20">
        <v>14579</v>
      </c>
      <c r="AL22" s="20">
        <v>5657</v>
      </c>
      <c r="AM22" s="20">
        <v>8922</v>
      </c>
      <c r="AN22" s="20">
        <v>2</v>
      </c>
      <c r="AO22" s="20">
        <v>25</v>
      </c>
      <c r="AP22" s="20">
        <v>7</v>
      </c>
      <c r="AQ22" s="20">
        <v>18</v>
      </c>
      <c r="AR22" s="20">
        <v>4</v>
      </c>
      <c r="AS22" s="20" t="s">
        <v>261</v>
      </c>
      <c r="AT22" s="20">
        <v>4</v>
      </c>
      <c r="AU22" s="20">
        <v>6</v>
      </c>
      <c r="AV22" s="20">
        <v>2</v>
      </c>
      <c r="AW22" s="20">
        <v>4</v>
      </c>
      <c r="AX22" s="20">
        <v>15</v>
      </c>
      <c r="AY22" s="20">
        <v>5</v>
      </c>
      <c r="AZ22" s="20">
        <v>10</v>
      </c>
      <c r="BA22" s="20">
        <v>5046</v>
      </c>
      <c r="BB22" s="20">
        <v>2061</v>
      </c>
      <c r="BC22" s="20">
        <v>2985</v>
      </c>
      <c r="BD22" s="20">
        <v>724</v>
      </c>
      <c r="BE22" s="20" t="s">
        <v>261</v>
      </c>
      <c r="BF22" s="20">
        <v>724</v>
      </c>
      <c r="BG22" s="20">
        <v>769</v>
      </c>
      <c r="BH22" s="20">
        <v>450</v>
      </c>
      <c r="BI22" s="20">
        <v>319</v>
      </c>
      <c r="BJ22" s="20">
        <v>3553</v>
      </c>
      <c r="BK22" s="20">
        <v>1611</v>
      </c>
      <c r="BL22" s="20">
        <v>1942</v>
      </c>
      <c r="BM22" s="20">
        <v>17064</v>
      </c>
      <c r="BN22" s="20">
        <v>7429</v>
      </c>
      <c r="BO22" s="20">
        <v>9635</v>
      </c>
      <c r="BP22" s="20">
        <v>1802</v>
      </c>
      <c r="BQ22" s="20" t="s">
        <v>262</v>
      </c>
      <c r="BR22" s="20">
        <v>1802</v>
      </c>
      <c r="BS22" s="20">
        <v>2475</v>
      </c>
      <c r="BT22" s="20">
        <v>1575</v>
      </c>
      <c r="BU22" s="20">
        <v>900</v>
      </c>
      <c r="BV22" s="20">
        <v>12787</v>
      </c>
      <c r="BW22" s="20">
        <v>5854</v>
      </c>
      <c r="BX22" s="20">
        <v>6933</v>
      </c>
    </row>
    <row r="23" spans="1:76" ht="15.6" customHeight="1">
      <c r="A23" s="50" t="s">
        <v>161</v>
      </c>
      <c r="B23" s="94" t="s">
        <v>16</v>
      </c>
      <c r="C23" s="20" t="s">
        <v>261</v>
      </c>
      <c r="D23" s="20" t="s">
        <v>261</v>
      </c>
      <c r="E23" s="20" t="s">
        <v>261</v>
      </c>
      <c r="F23" s="20" t="s">
        <v>261</v>
      </c>
      <c r="G23" s="20" t="s">
        <v>261</v>
      </c>
      <c r="H23" s="20" t="s">
        <v>261</v>
      </c>
      <c r="I23" s="20" t="s">
        <v>261</v>
      </c>
      <c r="J23" s="20" t="s">
        <v>261</v>
      </c>
      <c r="K23" s="20" t="s">
        <v>261</v>
      </c>
      <c r="L23" s="20" t="s">
        <v>261</v>
      </c>
      <c r="M23" s="20" t="s">
        <v>261</v>
      </c>
      <c r="N23" s="20" t="s">
        <v>261</v>
      </c>
      <c r="O23" s="20" t="s">
        <v>261</v>
      </c>
      <c r="P23" s="20" t="s">
        <v>261</v>
      </c>
      <c r="Q23" s="20" t="s">
        <v>261</v>
      </c>
      <c r="R23" s="20" t="s">
        <v>261</v>
      </c>
      <c r="S23" s="20" t="s">
        <v>261</v>
      </c>
      <c r="T23" s="20" t="s">
        <v>261</v>
      </c>
      <c r="U23" s="20" t="s">
        <v>261</v>
      </c>
      <c r="V23" s="20" t="s">
        <v>261</v>
      </c>
      <c r="W23" s="20" t="s">
        <v>261</v>
      </c>
      <c r="X23" s="20" t="s">
        <v>261</v>
      </c>
      <c r="Y23" s="20" t="s">
        <v>261</v>
      </c>
      <c r="Z23" s="20" t="s">
        <v>261</v>
      </c>
      <c r="AA23" s="20" t="s">
        <v>261</v>
      </c>
      <c r="AB23" s="20" t="s">
        <v>262</v>
      </c>
      <c r="AC23" s="20" t="s">
        <v>262</v>
      </c>
      <c r="AD23" s="20" t="s">
        <v>262</v>
      </c>
      <c r="AE23" s="20" t="s">
        <v>262</v>
      </c>
      <c r="AF23" s="20" t="s">
        <v>262</v>
      </c>
      <c r="AG23" s="20" t="s">
        <v>262</v>
      </c>
      <c r="AH23" s="20" t="s">
        <v>262</v>
      </c>
      <c r="AI23" s="20" t="s">
        <v>262</v>
      </c>
      <c r="AJ23" s="20" t="s">
        <v>262</v>
      </c>
      <c r="AK23" s="20" t="s">
        <v>262</v>
      </c>
      <c r="AL23" s="20" t="s">
        <v>262</v>
      </c>
      <c r="AM23" s="20" t="s">
        <v>262</v>
      </c>
      <c r="AN23" s="20" t="s">
        <v>261</v>
      </c>
      <c r="AO23" s="20">
        <v>29</v>
      </c>
      <c r="AP23" s="20">
        <v>7</v>
      </c>
      <c r="AQ23" s="20">
        <v>22</v>
      </c>
      <c r="AR23" s="20">
        <v>3</v>
      </c>
      <c r="AS23" s="20" t="s">
        <v>261</v>
      </c>
      <c r="AT23" s="20">
        <v>3</v>
      </c>
      <c r="AU23" s="20">
        <v>3</v>
      </c>
      <c r="AV23" s="20">
        <v>2</v>
      </c>
      <c r="AW23" s="20">
        <v>1</v>
      </c>
      <c r="AX23" s="20">
        <v>23</v>
      </c>
      <c r="AY23" s="20">
        <v>5</v>
      </c>
      <c r="AZ23" s="20">
        <v>18</v>
      </c>
      <c r="BA23" s="20">
        <v>5883</v>
      </c>
      <c r="BB23" s="20">
        <v>1520</v>
      </c>
      <c r="BC23" s="20">
        <v>4363</v>
      </c>
      <c r="BD23" s="20">
        <v>293</v>
      </c>
      <c r="BE23" s="20">
        <v>15</v>
      </c>
      <c r="BF23" s="20">
        <v>278</v>
      </c>
      <c r="BG23" s="20">
        <v>813</v>
      </c>
      <c r="BH23" s="20">
        <v>501</v>
      </c>
      <c r="BI23" s="20">
        <v>312</v>
      </c>
      <c r="BJ23" s="20">
        <v>4777</v>
      </c>
      <c r="BK23" s="20">
        <v>1004</v>
      </c>
      <c r="BL23" s="20">
        <v>3773</v>
      </c>
      <c r="BM23" s="20">
        <v>46738</v>
      </c>
      <c r="BN23" s="20">
        <v>11880</v>
      </c>
      <c r="BO23" s="20">
        <v>34858</v>
      </c>
      <c r="BP23" s="20">
        <v>2344</v>
      </c>
      <c r="BQ23" s="20">
        <v>120</v>
      </c>
      <c r="BR23" s="20">
        <v>2224</v>
      </c>
      <c r="BS23" s="20">
        <v>6432</v>
      </c>
      <c r="BT23" s="20">
        <v>3936</v>
      </c>
      <c r="BU23" s="20">
        <v>2496</v>
      </c>
      <c r="BV23" s="20">
        <v>37962</v>
      </c>
      <c r="BW23" s="20">
        <v>7824</v>
      </c>
      <c r="BX23" s="20">
        <v>30138</v>
      </c>
    </row>
    <row r="24" spans="1:76" ht="15.6" customHeight="1">
      <c r="A24" s="50" t="s">
        <v>162</v>
      </c>
      <c r="B24" s="94" t="s">
        <v>17</v>
      </c>
      <c r="C24" s="20" t="s">
        <v>261</v>
      </c>
      <c r="D24" s="20" t="s">
        <v>261</v>
      </c>
      <c r="E24" s="20" t="s">
        <v>261</v>
      </c>
      <c r="F24" s="20" t="s">
        <v>261</v>
      </c>
      <c r="G24" s="20" t="s">
        <v>261</v>
      </c>
      <c r="H24" s="20" t="s">
        <v>261</v>
      </c>
      <c r="I24" s="20" t="s">
        <v>261</v>
      </c>
      <c r="J24" s="20" t="s">
        <v>261</v>
      </c>
      <c r="K24" s="20" t="s">
        <v>261</v>
      </c>
      <c r="L24" s="20" t="s">
        <v>261</v>
      </c>
      <c r="M24" s="20" t="s">
        <v>261</v>
      </c>
      <c r="N24" s="20" t="s">
        <v>261</v>
      </c>
      <c r="O24" s="20" t="s">
        <v>261</v>
      </c>
      <c r="P24" s="20" t="s">
        <v>261</v>
      </c>
      <c r="Q24" s="20" t="s">
        <v>261</v>
      </c>
      <c r="R24" s="20" t="s">
        <v>261</v>
      </c>
      <c r="S24" s="20" t="s">
        <v>261</v>
      </c>
      <c r="T24" s="20" t="s">
        <v>261</v>
      </c>
      <c r="U24" s="20" t="s">
        <v>261</v>
      </c>
      <c r="V24" s="20" t="s">
        <v>261</v>
      </c>
      <c r="W24" s="20" t="s">
        <v>261</v>
      </c>
      <c r="X24" s="20" t="s">
        <v>261</v>
      </c>
      <c r="Y24" s="20" t="s">
        <v>261</v>
      </c>
      <c r="Z24" s="20" t="s">
        <v>261</v>
      </c>
      <c r="AA24" s="20" t="s">
        <v>261</v>
      </c>
      <c r="AB24" s="20" t="s">
        <v>262</v>
      </c>
      <c r="AC24" s="20" t="s">
        <v>262</v>
      </c>
      <c r="AD24" s="20" t="s">
        <v>262</v>
      </c>
      <c r="AE24" s="20" t="s">
        <v>262</v>
      </c>
      <c r="AF24" s="20" t="s">
        <v>262</v>
      </c>
      <c r="AG24" s="20" t="s">
        <v>262</v>
      </c>
      <c r="AH24" s="20" t="s">
        <v>262</v>
      </c>
      <c r="AI24" s="20" t="s">
        <v>262</v>
      </c>
      <c r="AJ24" s="20" t="s">
        <v>262</v>
      </c>
      <c r="AK24" s="20" t="s">
        <v>262</v>
      </c>
      <c r="AL24" s="20" t="s">
        <v>262</v>
      </c>
      <c r="AM24" s="20" t="s">
        <v>262</v>
      </c>
      <c r="AN24" s="20" t="s">
        <v>261</v>
      </c>
      <c r="AO24" s="20" t="s">
        <v>261</v>
      </c>
      <c r="AP24" s="20" t="s">
        <v>261</v>
      </c>
      <c r="AQ24" s="20" t="s">
        <v>261</v>
      </c>
      <c r="AR24" s="20" t="s">
        <v>261</v>
      </c>
      <c r="AS24" s="20" t="s">
        <v>261</v>
      </c>
      <c r="AT24" s="20" t="s">
        <v>261</v>
      </c>
      <c r="AU24" s="20" t="s">
        <v>261</v>
      </c>
      <c r="AV24" s="20" t="s">
        <v>261</v>
      </c>
      <c r="AW24" s="20" t="s">
        <v>261</v>
      </c>
      <c r="AX24" s="20" t="s">
        <v>261</v>
      </c>
      <c r="AY24" s="20" t="s">
        <v>261</v>
      </c>
      <c r="AZ24" s="20" t="s">
        <v>261</v>
      </c>
      <c r="BA24" s="20" t="s">
        <v>261</v>
      </c>
      <c r="BB24" s="20" t="s">
        <v>261</v>
      </c>
      <c r="BC24" s="20" t="s">
        <v>261</v>
      </c>
      <c r="BD24" s="20" t="s">
        <v>261</v>
      </c>
      <c r="BE24" s="20" t="s">
        <v>261</v>
      </c>
      <c r="BF24" s="20" t="s">
        <v>261</v>
      </c>
      <c r="BG24" s="20" t="s">
        <v>261</v>
      </c>
      <c r="BH24" s="20" t="s">
        <v>261</v>
      </c>
      <c r="BI24" s="20" t="s">
        <v>261</v>
      </c>
      <c r="BJ24" s="20" t="s">
        <v>261</v>
      </c>
      <c r="BK24" s="20" t="s">
        <v>261</v>
      </c>
      <c r="BL24" s="20" t="s">
        <v>261</v>
      </c>
      <c r="BM24" s="20" t="s">
        <v>262</v>
      </c>
      <c r="BN24" s="20" t="s">
        <v>262</v>
      </c>
      <c r="BO24" s="20" t="s">
        <v>262</v>
      </c>
      <c r="BP24" s="20" t="s">
        <v>262</v>
      </c>
      <c r="BQ24" s="20" t="s">
        <v>262</v>
      </c>
      <c r="BR24" s="20" t="s">
        <v>262</v>
      </c>
      <c r="BS24" s="20" t="s">
        <v>262</v>
      </c>
      <c r="BT24" s="20" t="s">
        <v>262</v>
      </c>
      <c r="BU24" s="20" t="s">
        <v>262</v>
      </c>
      <c r="BV24" s="20" t="s">
        <v>262</v>
      </c>
      <c r="BW24" s="20" t="s">
        <v>262</v>
      </c>
      <c r="BX24" s="20" t="s">
        <v>262</v>
      </c>
    </row>
    <row r="25" spans="1:76" ht="15.6" customHeight="1">
      <c r="A25" s="50" t="s">
        <v>163</v>
      </c>
      <c r="B25" s="94" t="s">
        <v>18</v>
      </c>
      <c r="C25" s="20" t="s">
        <v>261</v>
      </c>
      <c r="D25" s="20" t="s">
        <v>261</v>
      </c>
      <c r="E25" s="20" t="s">
        <v>261</v>
      </c>
      <c r="F25" s="20" t="s">
        <v>261</v>
      </c>
      <c r="G25" s="20" t="s">
        <v>261</v>
      </c>
      <c r="H25" s="20" t="s">
        <v>261</v>
      </c>
      <c r="I25" s="20" t="s">
        <v>261</v>
      </c>
      <c r="J25" s="20" t="s">
        <v>261</v>
      </c>
      <c r="K25" s="20" t="s">
        <v>261</v>
      </c>
      <c r="L25" s="20" t="s">
        <v>261</v>
      </c>
      <c r="M25" s="20" t="s">
        <v>261</v>
      </c>
      <c r="N25" s="20" t="s">
        <v>261</v>
      </c>
      <c r="O25" s="20" t="s">
        <v>261</v>
      </c>
      <c r="P25" s="20" t="s">
        <v>261</v>
      </c>
      <c r="Q25" s="20" t="s">
        <v>261</v>
      </c>
      <c r="R25" s="20" t="s">
        <v>261</v>
      </c>
      <c r="S25" s="20" t="s">
        <v>261</v>
      </c>
      <c r="T25" s="20" t="s">
        <v>261</v>
      </c>
      <c r="U25" s="20" t="s">
        <v>261</v>
      </c>
      <c r="V25" s="20" t="s">
        <v>261</v>
      </c>
      <c r="W25" s="20" t="s">
        <v>261</v>
      </c>
      <c r="X25" s="20" t="s">
        <v>261</v>
      </c>
      <c r="Y25" s="20" t="s">
        <v>261</v>
      </c>
      <c r="Z25" s="20" t="s">
        <v>261</v>
      </c>
      <c r="AA25" s="20" t="s">
        <v>261</v>
      </c>
      <c r="AB25" s="20" t="s">
        <v>262</v>
      </c>
      <c r="AC25" s="20" t="s">
        <v>262</v>
      </c>
      <c r="AD25" s="20" t="s">
        <v>262</v>
      </c>
      <c r="AE25" s="20" t="s">
        <v>262</v>
      </c>
      <c r="AF25" s="20" t="s">
        <v>262</v>
      </c>
      <c r="AG25" s="20" t="s">
        <v>262</v>
      </c>
      <c r="AH25" s="20" t="s">
        <v>262</v>
      </c>
      <c r="AI25" s="20" t="s">
        <v>262</v>
      </c>
      <c r="AJ25" s="20" t="s">
        <v>262</v>
      </c>
      <c r="AK25" s="20" t="s">
        <v>262</v>
      </c>
      <c r="AL25" s="20" t="s">
        <v>262</v>
      </c>
      <c r="AM25" s="20" t="s">
        <v>262</v>
      </c>
      <c r="AN25" s="20">
        <v>2</v>
      </c>
      <c r="AO25" s="20">
        <v>23</v>
      </c>
      <c r="AP25" s="20">
        <v>12</v>
      </c>
      <c r="AQ25" s="20">
        <v>11</v>
      </c>
      <c r="AR25" s="20">
        <v>10</v>
      </c>
      <c r="AS25" s="20">
        <v>6</v>
      </c>
      <c r="AT25" s="20">
        <v>4</v>
      </c>
      <c r="AU25" s="20">
        <v>1</v>
      </c>
      <c r="AV25" s="20" t="s">
        <v>261</v>
      </c>
      <c r="AW25" s="20">
        <v>1</v>
      </c>
      <c r="AX25" s="20">
        <v>12</v>
      </c>
      <c r="AY25" s="20">
        <v>6</v>
      </c>
      <c r="AZ25" s="20">
        <v>6</v>
      </c>
      <c r="BA25" s="20">
        <v>3754</v>
      </c>
      <c r="BB25" s="20">
        <v>2036</v>
      </c>
      <c r="BC25" s="20">
        <v>1718</v>
      </c>
      <c r="BD25" s="20">
        <v>1524</v>
      </c>
      <c r="BE25" s="20">
        <v>970</v>
      </c>
      <c r="BF25" s="20">
        <v>554</v>
      </c>
      <c r="BG25" s="20">
        <v>30</v>
      </c>
      <c r="BH25" s="20" t="s">
        <v>261</v>
      </c>
      <c r="BI25" s="20">
        <v>30</v>
      </c>
      <c r="BJ25" s="20">
        <v>2200</v>
      </c>
      <c r="BK25" s="20">
        <v>1066</v>
      </c>
      <c r="BL25" s="20">
        <v>1134</v>
      </c>
      <c r="BM25" s="20">
        <v>10225.5</v>
      </c>
      <c r="BN25" s="20">
        <v>5666.5</v>
      </c>
      <c r="BO25" s="20">
        <v>4559</v>
      </c>
      <c r="BP25" s="20">
        <v>4460.5</v>
      </c>
      <c r="BQ25" s="20">
        <v>2971.5</v>
      </c>
      <c r="BR25" s="20">
        <v>1489</v>
      </c>
      <c r="BS25" s="20">
        <v>50</v>
      </c>
      <c r="BT25" s="20" t="s">
        <v>262</v>
      </c>
      <c r="BU25" s="20">
        <v>50</v>
      </c>
      <c r="BV25" s="20">
        <v>5715</v>
      </c>
      <c r="BW25" s="20">
        <v>2695</v>
      </c>
      <c r="BX25" s="20">
        <v>3020</v>
      </c>
    </row>
    <row r="26" spans="1:76" ht="15.6" customHeight="1">
      <c r="A26" s="50" t="s">
        <v>164</v>
      </c>
      <c r="B26" s="94" t="s">
        <v>19</v>
      </c>
      <c r="C26" s="20" t="s">
        <v>261</v>
      </c>
      <c r="D26" s="20" t="s">
        <v>261</v>
      </c>
      <c r="E26" s="20" t="s">
        <v>261</v>
      </c>
      <c r="F26" s="20" t="s">
        <v>261</v>
      </c>
      <c r="G26" s="20" t="s">
        <v>261</v>
      </c>
      <c r="H26" s="20" t="s">
        <v>261</v>
      </c>
      <c r="I26" s="20" t="s">
        <v>261</v>
      </c>
      <c r="J26" s="20" t="s">
        <v>261</v>
      </c>
      <c r="K26" s="20" t="s">
        <v>261</v>
      </c>
      <c r="L26" s="20" t="s">
        <v>261</v>
      </c>
      <c r="M26" s="20" t="s">
        <v>261</v>
      </c>
      <c r="N26" s="20" t="s">
        <v>261</v>
      </c>
      <c r="O26" s="20" t="s">
        <v>261</v>
      </c>
      <c r="P26" s="20" t="s">
        <v>261</v>
      </c>
      <c r="Q26" s="20" t="s">
        <v>261</v>
      </c>
      <c r="R26" s="20" t="s">
        <v>261</v>
      </c>
      <c r="S26" s="20" t="s">
        <v>261</v>
      </c>
      <c r="T26" s="20" t="s">
        <v>261</v>
      </c>
      <c r="U26" s="20" t="s">
        <v>261</v>
      </c>
      <c r="V26" s="20" t="s">
        <v>261</v>
      </c>
      <c r="W26" s="20" t="s">
        <v>261</v>
      </c>
      <c r="X26" s="20" t="s">
        <v>261</v>
      </c>
      <c r="Y26" s="20" t="s">
        <v>261</v>
      </c>
      <c r="Z26" s="20" t="s">
        <v>261</v>
      </c>
      <c r="AA26" s="20" t="s">
        <v>261</v>
      </c>
      <c r="AB26" s="20" t="s">
        <v>262</v>
      </c>
      <c r="AC26" s="20" t="s">
        <v>262</v>
      </c>
      <c r="AD26" s="20" t="s">
        <v>262</v>
      </c>
      <c r="AE26" s="20" t="s">
        <v>262</v>
      </c>
      <c r="AF26" s="20" t="s">
        <v>262</v>
      </c>
      <c r="AG26" s="20" t="s">
        <v>262</v>
      </c>
      <c r="AH26" s="20" t="s">
        <v>262</v>
      </c>
      <c r="AI26" s="20" t="s">
        <v>262</v>
      </c>
      <c r="AJ26" s="20" t="s">
        <v>262</v>
      </c>
      <c r="AK26" s="20" t="s">
        <v>262</v>
      </c>
      <c r="AL26" s="20" t="s">
        <v>262</v>
      </c>
      <c r="AM26" s="20" t="s">
        <v>262</v>
      </c>
      <c r="AN26" s="20" t="s">
        <v>261</v>
      </c>
      <c r="AO26" s="20">
        <v>7</v>
      </c>
      <c r="AP26" s="20">
        <v>4</v>
      </c>
      <c r="AQ26" s="20">
        <v>3</v>
      </c>
      <c r="AR26" s="20">
        <v>3</v>
      </c>
      <c r="AS26" s="20">
        <v>2</v>
      </c>
      <c r="AT26" s="20">
        <v>1</v>
      </c>
      <c r="AU26" s="20" t="s">
        <v>261</v>
      </c>
      <c r="AV26" s="20" t="s">
        <v>261</v>
      </c>
      <c r="AW26" s="20" t="s">
        <v>261</v>
      </c>
      <c r="AX26" s="20">
        <v>4</v>
      </c>
      <c r="AY26" s="20">
        <v>2</v>
      </c>
      <c r="AZ26" s="20">
        <v>2</v>
      </c>
      <c r="BA26" s="20">
        <v>461</v>
      </c>
      <c r="BB26" s="20">
        <v>227</v>
      </c>
      <c r="BC26" s="20">
        <v>234</v>
      </c>
      <c r="BD26" s="20">
        <v>250</v>
      </c>
      <c r="BE26" s="20">
        <v>68</v>
      </c>
      <c r="BF26" s="20">
        <v>182</v>
      </c>
      <c r="BG26" s="20">
        <v>11</v>
      </c>
      <c r="BH26" s="20">
        <v>6</v>
      </c>
      <c r="BI26" s="20">
        <v>5</v>
      </c>
      <c r="BJ26" s="20">
        <v>200</v>
      </c>
      <c r="BK26" s="20">
        <v>153</v>
      </c>
      <c r="BL26" s="20">
        <v>47</v>
      </c>
      <c r="BM26" s="20">
        <v>2874</v>
      </c>
      <c r="BN26" s="20">
        <v>1305</v>
      </c>
      <c r="BO26" s="20">
        <v>1569</v>
      </c>
      <c r="BP26" s="20">
        <v>1719</v>
      </c>
      <c r="BQ26" s="20">
        <v>520</v>
      </c>
      <c r="BR26" s="20">
        <v>1199</v>
      </c>
      <c r="BS26" s="20">
        <v>82</v>
      </c>
      <c r="BT26" s="20">
        <v>44</v>
      </c>
      <c r="BU26" s="20">
        <v>38</v>
      </c>
      <c r="BV26" s="20">
        <v>1073</v>
      </c>
      <c r="BW26" s="20">
        <v>741</v>
      </c>
      <c r="BX26" s="20">
        <v>332</v>
      </c>
    </row>
    <row r="27" spans="1:76" ht="15.6" customHeight="1">
      <c r="A27" s="50" t="s">
        <v>165</v>
      </c>
      <c r="B27" s="94" t="s">
        <v>20</v>
      </c>
      <c r="C27" s="20">
        <v>1</v>
      </c>
      <c r="D27" s="20">
        <v>14</v>
      </c>
      <c r="E27" s="20">
        <v>5</v>
      </c>
      <c r="F27" s="20">
        <v>9</v>
      </c>
      <c r="G27" s="20">
        <v>1</v>
      </c>
      <c r="H27" s="20">
        <v>1</v>
      </c>
      <c r="I27" s="20" t="s">
        <v>261</v>
      </c>
      <c r="J27" s="20" t="s">
        <v>261</v>
      </c>
      <c r="K27" s="20" t="s">
        <v>261</v>
      </c>
      <c r="L27" s="20" t="s">
        <v>261</v>
      </c>
      <c r="M27" s="20">
        <v>13</v>
      </c>
      <c r="N27" s="20">
        <v>4</v>
      </c>
      <c r="O27" s="20">
        <v>9</v>
      </c>
      <c r="P27" s="20">
        <v>3264</v>
      </c>
      <c r="Q27" s="20">
        <v>1030</v>
      </c>
      <c r="R27" s="20">
        <v>2234</v>
      </c>
      <c r="S27" s="20">
        <v>246</v>
      </c>
      <c r="T27" s="20">
        <v>246</v>
      </c>
      <c r="U27" s="20" t="s">
        <v>261</v>
      </c>
      <c r="V27" s="20" t="s">
        <v>261</v>
      </c>
      <c r="W27" s="20" t="s">
        <v>261</v>
      </c>
      <c r="X27" s="20" t="s">
        <v>261</v>
      </c>
      <c r="Y27" s="20">
        <v>3018</v>
      </c>
      <c r="Z27" s="20">
        <v>784</v>
      </c>
      <c r="AA27" s="20">
        <v>2234</v>
      </c>
      <c r="AB27" s="20">
        <v>25772</v>
      </c>
      <c r="AC27" s="20">
        <v>8391</v>
      </c>
      <c r="AD27" s="20">
        <v>17381</v>
      </c>
      <c r="AE27" s="20">
        <v>1968</v>
      </c>
      <c r="AF27" s="20">
        <v>1968</v>
      </c>
      <c r="AG27" s="20" t="s">
        <v>262</v>
      </c>
      <c r="AH27" s="20" t="s">
        <v>262</v>
      </c>
      <c r="AI27" s="20" t="s">
        <v>262</v>
      </c>
      <c r="AJ27" s="20" t="s">
        <v>262</v>
      </c>
      <c r="AK27" s="20">
        <v>23804</v>
      </c>
      <c r="AL27" s="20">
        <v>6423</v>
      </c>
      <c r="AM27" s="20">
        <v>17381</v>
      </c>
      <c r="AN27" s="20">
        <v>1</v>
      </c>
      <c r="AO27" s="20">
        <v>42</v>
      </c>
      <c r="AP27" s="20">
        <v>15</v>
      </c>
      <c r="AQ27" s="20">
        <v>27</v>
      </c>
      <c r="AR27" s="20">
        <v>2</v>
      </c>
      <c r="AS27" s="20">
        <v>1</v>
      </c>
      <c r="AT27" s="20">
        <v>1</v>
      </c>
      <c r="AU27" s="20" t="s">
        <v>261</v>
      </c>
      <c r="AV27" s="20" t="s">
        <v>261</v>
      </c>
      <c r="AW27" s="20" t="s">
        <v>261</v>
      </c>
      <c r="AX27" s="20">
        <v>40</v>
      </c>
      <c r="AY27" s="20">
        <v>14</v>
      </c>
      <c r="AZ27" s="20">
        <v>26</v>
      </c>
      <c r="BA27" s="20">
        <v>8154</v>
      </c>
      <c r="BB27" s="20">
        <v>2825</v>
      </c>
      <c r="BC27" s="20">
        <v>5329</v>
      </c>
      <c r="BD27" s="20">
        <v>272</v>
      </c>
      <c r="BE27" s="20">
        <v>240</v>
      </c>
      <c r="BF27" s="20">
        <v>32</v>
      </c>
      <c r="BG27" s="20" t="s">
        <v>261</v>
      </c>
      <c r="BH27" s="20" t="s">
        <v>261</v>
      </c>
      <c r="BI27" s="20" t="s">
        <v>261</v>
      </c>
      <c r="BJ27" s="20">
        <v>7882</v>
      </c>
      <c r="BK27" s="20">
        <v>2585</v>
      </c>
      <c r="BL27" s="20">
        <v>5297</v>
      </c>
      <c r="BM27" s="20">
        <v>63949</v>
      </c>
      <c r="BN27" s="20">
        <v>22316</v>
      </c>
      <c r="BO27" s="20">
        <v>41633</v>
      </c>
      <c r="BP27" s="20">
        <v>2176</v>
      </c>
      <c r="BQ27" s="20">
        <v>1920</v>
      </c>
      <c r="BR27" s="20">
        <v>256</v>
      </c>
      <c r="BS27" s="20" t="s">
        <v>262</v>
      </c>
      <c r="BT27" s="20" t="s">
        <v>262</v>
      </c>
      <c r="BU27" s="20" t="s">
        <v>262</v>
      </c>
      <c r="BV27" s="20">
        <v>61773</v>
      </c>
      <c r="BW27" s="20">
        <v>20396</v>
      </c>
      <c r="BX27" s="20">
        <v>41377</v>
      </c>
    </row>
    <row r="28" spans="1:76" ht="15.6" customHeight="1">
      <c r="A28" s="50" t="s">
        <v>166</v>
      </c>
      <c r="B28" s="94" t="s">
        <v>21</v>
      </c>
      <c r="C28" s="20">
        <v>1</v>
      </c>
      <c r="D28" s="20">
        <v>15</v>
      </c>
      <c r="E28" s="20">
        <v>7</v>
      </c>
      <c r="F28" s="20">
        <v>8</v>
      </c>
      <c r="G28" s="20" t="s">
        <v>261</v>
      </c>
      <c r="H28" s="20" t="s">
        <v>261</v>
      </c>
      <c r="I28" s="20" t="s">
        <v>261</v>
      </c>
      <c r="J28" s="20" t="s">
        <v>261</v>
      </c>
      <c r="K28" s="20" t="s">
        <v>261</v>
      </c>
      <c r="L28" s="20" t="s">
        <v>261</v>
      </c>
      <c r="M28" s="20">
        <v>15</v>
      </c>
      <c r="N28" s="20">
        <v>7</v>
      </c>
      <c r="O28" s="20">
        <v>8</v>
      </c>
      <c r="P28" s="20">
        <v>2093</v>
      </c>
      <c r="Q28" s="20">
        <v>827</v>
      </c>
      <c r="R28" s="20">
        <v>1266</v>
      </c>
      <c r="S28" s="20" t="s">
        <v>261</v>
      </c>
      <c r="T28" s="20" t="s">
        <v>261</v>
      </c>
      <c r="U28" s="20" t="s">
        <v>261</v>
      </c>
      <c r="V28" s="20" t="s">
        <v>261</v>
      </c>
      <c r="W28" s="20" t="s">
        <v>261</v>
      </c>
      <c r="X28" s="20" t="s">
        <v>261</v>
      </c>
      <c r="Y28" s="20">
        <v>2093</v>
      </c>
      <c r="Z28" s="20">
        <v>827</v>
      </c>
      <c r="AA28" s="20">
        <v>1266</v>
      </c>
      <c r="AB28" s="20">
        <v>16744</v>
      </c>
      <c r="AC28" s="20">
        <v>6616</v>
      </c>
      <c r="AD28" s="20">
        <v>10128</v>
      </c>
      <c r="AE28" s="20" t="s">
        <v>262</v>
      </c>
      <c r="AF28" s="20" t="s">
        <v>262</v>
      </c>
      <c r="AG28" s="20" t="s">
        <v>262</v>
      </c>
      <c r="AH28" s="20" t="s">
        <v>262</v>
      </c>
      <c r="AI28" s="20" t="s">
        <v>262</v>
      </c>
      <c r="AJ28" s="20" t="s">
        <v>262</v>
      </c>
      <c r="AK28" s="20">
        <v>16744</v>
      </c>
      <c r="AL28" s="20">
        <v>6616</v>
      </c>
      <c r="AM28" s="20">
        <v>10128</v>
      </c>
      <c r="AN28" s="20">
        <v>3</v>
      </c>
      <c r="AO28" s="20">
        <v>27</v>
      </c>
      <c r="AP28" s="20">
        <v>8</v>
      </c>
      <c r="AQ28" s="20">
        <v>19</v>
      </c>
      <c r="AR28" s="20">
        <v>1</v>
      </c>
      <c r="AS28" s="20" t="s">
        <v>261</v>
      </c>
      <c r="AT28" s="20">
        <v>1</v>
      </c>
      <c r="AU28" s="20">
        <v>3</v>
      </c>
      <c r="AV28" s="20" t="s">
        <v>261</v>
      </c>
      <c r="AW28" s="20">
        <v>3</v>
      </c>
      <c r="AX28" s="20">
        <v>23</v>
      </c>
      <c r="AY28" s="20">
        <v>8</v>
      </c>
      <c r="AZ28" s="20">
        <v>15</v>
      </c>
      <c r="BA28" s="20">
        <v>5209</v>
      </c>
      <c r="BB28" s="20">
        <v>1814</v>
      </c>
      <c r="BC28" s="20">
        <v>3395</v>
      </c>
      <c r="BD28" s="20">
        <v>145</v>
      </c>
      <c r="BE28" s="20" t="s">
        <v>261</v>
      </c>
      <c r="BF28" s="20">
        <v>145</v>
      </c>
      <c r="BG28" s="20">
        <v>452</v>
      </c>
      <c r="BH28" s="20">
        <v>21</v>
      </c>
      <c r="BI28" s="20">
        <v>431</v>
      </c>
      <c r="BJ28" s="20">
        <v>4612</v>
      </c>
      <c r="BK28" s="20">
        <v>1793</v>
      </c>
      <c r="BL28" s="20">
        <v>2819</v>
      </c>
      <c r="BM28" s="20">
        <v>14560.3</v>
      </c>
      <c r="BN28" s="20">
        <v>6242</v>
      </c>
      <c r="BO28" s="20">
        <v>8318.2999999999993</v>
      </c>
      <c r="BP28" s="20">
        <v>614.6</v>
      </c>
      <c r="BQ28" s="20" t="s">
        <v>262</v>
      </c>
      <c r="BR28" s="20">
        <v>614.6</v>
      </c>
      <c r="BS28" s="20">
        <v>1212.5</v>
      </c>
      <c r="BT28" s="20">
        <v>48.5</v>
      </c>
      <c r="BU28" s="20">
        <v>1164</v>
      </c>
      <c r="BV28" s="20">
        <v>12733.2</v>
      </c>
      <c r="BW28" s="20">
        <v>6193.5</v>
      </c>
      <c r="BX28" s="20">
        <v>6539.7</v>
      </c>
    </row>
    <row r="29" spans="1:76" ht="15.6" customHeight="1">
      <c r="A29" s="50" t="s">
        <v>167</v>
      </c>
      <c r="B29" s="94" t="s">
        <v>22</v>
      </c>
      <c r="C29" s="20" t="s">
        <v>261</v>
      </c>
      <c r="D29" s="20" t="s">
        <v>261</v>
      </c>
      <c r="E29" s="20" t="s">
        <v>261</v>
      </c>
      <c r="F29" s="20" t="s">
        <v>261</v>
      </c>
      <c r="G29" s="20" t="s">
        <v>261</v>
      </c>
      <c r="H29" s="20" t="s">
        <v>261</v>
      </c>
      <c r="I29" s="20" t="s">
        <v>261</v>
      </c>
      <c r="J29" s="20" t="s">
        <v>261</v>
      </c>
      <c r="K29" s="20" t="s">
        <v>261</v>
      </c>
      <c r="L29" s="20" t="s">
        <v>261</v>
      </c>
      <c r="M29" s="20" t="s">
        <v>261</v>
      </c>
      <c r="N29" s="20" t="s">
        <v>261</v>
      </c>
      <c r="O29" s="20" t="s">
        <v>261</v>
      </c>
      <c r="P29" s="20" t="s">
        <v>261</v>
      </c>
      <c r="Q29" s="20" t="s">
        <v>261</v>
      </c>
      <c r="R29" s="20" t="s">
        <v>261</v>
      </c>
      <c r="S29" s="20" t="s">
        <v>261</v>
      </c>
      <c r="T29" s="20" t="s">
        <v>261</v>
      </c>
      <c r="U29" s="20" t="s">
        <v>261</v>
      </c>
      <c r="V29" s="20" t="s">
        <v>261</v>
      </c>
      <c r="W29" s="20" t="s">
        <v>261</v>
      </c>
      <c r="X29" s="20" t="s">
        <v>261</v>
      </c>
      <c r="Y29" s="20" t="s">
        <v>261</v>
      </c>
      <c r="Z29" s="20" t="s">
        <v>261</v>
      </c>
      <c r="AA29" s="20" t="s">
        <v>261</v>
      </c>
      <c r="AB29" s="20" t="s">
        <v>262</v>
      </c>
      <c r="AC29" s="20" t="s">
        <v>262</v>
      </c>
      <c r="AD29" s="20" t="s">
        <v>262</v>
      </c>
      <c r="AE29" s="20" t="s">
        <v>262</v>
      </c>
      <c r="AF29" s="20" t="s">
        <v>262</v>
      </c>
      <c r="AG29" s="20" t="s">
        <v>262</v>
      </c>
      <c r="AH29" s="20" t="s">
        <v>262</v>
      </c>
      <c r="AI29" s="20" t="s">
        <v>262</v>
      </c>
      <c r="AJ29" s="20" t="s">
        <v>262</v>
      </c>
      <c r="AK29" s="20" t="s">
        <v>262</v>
      </c>
      <c r="AL29" s="20" t="s">
        <v>262</v>
      </c>
      <c r="AM29" s="20" t="s">
        <v>262</v>
      </c>
      <c r="AN29" s="20" t="s">
        <v>261</v>
      </c>
      <c r="AO29" s="20">
        <v>19</v>
      </c>
      <c r="AP29" s="20">
        <v>8</v>
      </c>
      <c r="AQ29" s="20">
        <v>11</v>
      </c>
      <c r="AR29" s="20">
        <v>1</v>
      </c>
      <c r="AS29" s="20">
        <v>1</v>
      </c>
      <c r="AT29" s="20" t="s">
        <v>261</v>
      </c>
      <c r="AU29" s="20">
        <v>1</v>
      </c>
      <c r="AV29" s="20">
        <v>1</v>
      </c>
      <c r="AW29" s="20" t="s">
        <v>261</v>
      </c>
      <c r="AX29" s="20">
        <v>17</v>
      </c>
      <c r="AY29" s="20">
        <v>6</v>
      </c>
      <c r="AZ29" s="20">
        <v>11</v>
      </c>
      <c r="BA29" s="20">
        <v>2933</v>
      </c>
      <c r="BB29" s="20">
        <v>1039</v>
      </c>
      <c r="BC29" s="20">
        <v>1894</v>
      </c>
      <c r="BD29" s="20">
        <v>52</v>
      </c>
      <c r="BE29" s="20">
        <v>52</v>
      </c>
      <c r="BF29" s="20" t="s">
        <v>261</v>
      </c>
      <c r="BG29" s="20">
        <v>22</v>
      </c>
      <c r="BH29" s="20">
        <v>22</v>
      </c>
      <c r="BI29" s="20" t="s">
        <v>261</v>
      </c>
      <c r="BJ29" s="20">
        <v>2859</v>
      </c>
      <c r="BK29" s="20">
        <v>965</v>
      </c>
      <c r="BL29" s="20">
        <v>1894</v>
      </c>
      <c r="BM29" s="20">
        <v>5366.5</v>
      </c>
      <c r="BN29" s="20">
        <v>2025</v>
      </c>
      <c r="BO29" s="20">
        <v>3341.5</v>
      </c>
      <c r="BP29" s="20">
        <v>214</v>
      </c>
      <c r="BQ29" s="20">
        <v>214</v>
      </c>
      <c r="BR29" s="20" t="s">
        <v>262</v>
      </c>
      <c r="BS29" s="20">
        <v>90</v>
      </c>
      <c r="BT29" s="20">
        <v>90</v>
      </c>
      <c r="BU29" s="20" t="s">
        <v>262</v>
      </c>
      <c r="BV29" s="20">
        <v>5062.5</v>
      </c>
      <c r="BW29" s="20">
        <v>1721</v>
      </c>
      <c r="BX29" s="20">
        <v>3341.5</v>
      </c>
    </row>
    <row r="30" spans="1:76" ht="15.6" customHeight="1">
      <c r="A30" s="51" t="s">
        <v>168</v>
      </c>
      <c r="B30" s="95" t="s">
        <v>23</v>
      </c>
      <c r="C30" s="22" t="s">
        <v>261</v>
      </c>
      <c r="D30" s="22" t="s">
        <v>261</v>
      </c>
      <c r="E30" s="22" t="s">
        <v>261</v>
      </c>
      <c r="F30" s="22" t="s">
        <v>261</v>
      </c>
      <c r="G30" s="22" t="s">
        <v>261</v>
      </c>
      <c r="H30" s="22" t="s">
        <v>261</v>
      </c>
      <c r="I30" s="22" t="s">
        <v>261</v>
      </c>
      <c r="J30" s="22" t="s">
        <v>261</v>
      </c>
      <c r="K30" s="22" t="s">
        <v>261</v>
      </c>
      <c r="L30" s="22" t="s">
        <v>261</v>
      </c>
      <c r="M30" s="22" t="s">
        <v>261</v>
      </c>
      <c r="N30" s="22" t="s">
        <v>261</v>
      </c>
      <c r="O30" s="22" t="s">
        <v>261</v>
      </c>
      <c r="P30" s="22" t="s">
        <v>261</v>
      </c>
      <c r="Q30" s="22" t="s">
        <v>261</v>
      </c>
      <c r="R30" s="22" t="s">
        <v>261</v>
      </c>
      <c r="S30" s="22" t="s">
        <v>261</v>
      </c>
      <c r="T30" s="22" t="s">
        <v>261</v>
      </c>
      <c r="U30" s="22" t="s">
        <v>261</v>
      </c>
      <c r="V30" s="22" t="s">
        <v>261</v>
      </c>
      <c r="W30" s="22" t="s">
        <v>261</v>
      </c>
      <c r="X30" s="22" t="s">
        <v>261</v>
      </c>
      <c r="Y30" s="22" t="s">
        <v>261</v>
      </c>
      <c r="Z30" s="22" t="s">
        <v>261</v>
      </c>
      <c r="AA30" s="22" t="s">
        <v>261</v>
      </c>
      <c r="AB30" s="22" t="s">
        <v>262</v>
      </c>
      <c r="AC30" s="22" t="s">
        <v>262</v>
      </c>
      <c r="AD30" s="22" t="s">
        <v>262</v>
      </c>
      <c r="AE30" s="22" t="s">
        <v>262</v>
      </c>
      <c r="AF30" s="22" t="s">
        <v>262</v>
      </c>
      <c r="AG30" s="22" t="s">
        <v>262</v>
      </c>
      <c r="AH30" s="22" t="s">
        <v>262</v>
      </c>
      <c r="AI30" s="22" t="s">
        <v>262</v>
      </c>
      <c r="AJ30" s="22" t="s">
        <v>262</v>
      </c>
      <c r="AK30" s="22" t="s">
        <v>262</v>
      </c>
      <c r="AL30" s="22" t="s">
        <v>262</v>
      </c>
      <c r="AM30" s="22" t="s">
        <v>262</v>
      </c>
      <c r="AN30" s="22" t="s">
        <v>261</v>
      </c>
      <c r="AO30" s="22" t="s">
        <v>261</v>
      </c>
      <c r="AP30" s="22" t="s">
        <v>261</v>
      </c>
      <c r="AQ30" s="22" t="s">
        <v>261</v>
      </c>
      <c r="AR30" s="22" t="s">
        <v>261</v>
      </c>
      <c r="AS30" s="22" t="s">
        <v>261</v>
      </c>
      <c r="AT30" s="22" t="s">
        <v>261</v>
      </c>
      <c r="AU30" s="22" t="s">
        <v>261</v>
      </c>
      <c r="AV30" s="22" t="s">
        <v>261</v>
      </c>
      <c r="AW30" s="22" t="s">
        <v>261</v>
      </c>
      <c r="AX30" s="22" t="s">
        <v>261</v>
      </c>
      <c r="AY30" s="22" t="s">
        <v>261</v>
      </c>
      <c r="AZ30" s="22" t="s">
        <v>261</v>
      </c>
      <c r="BA30" s="22" t="s">
        <v>261</v>
      </c>
      <c r="BB30" s="22" t="s">
        <v>261</v>
      </c>
      <c r="BC30" s="22" t="s">
        <v>261</v>
      </c>
      <c r="BD30" s="22" t="s">
        <v>261</v>
      </c>
      <c r="BE30" s="22" t="s">
        <v>261</v>
      </c>
      <c r="BF30" s="22" t="s">
        <v>261</v>
      </c>
      <c r="BG30" s="22" t="s">
        <v>261</v>
      </c>
      <c r="BH30" s="22" t="s">
        <v>261</v>
      </c>
      <c r="BI30" s="22" t="s">
        <v>261</v>
      </c>
      <c r="BJ30" s="22" t="s">
        <v>261</v>
      </c>
      <c r="BK30" s="22" t="s">
        <v>261</v>
      </c>
      <c r="BL30" s="22" t="s">
        <v>261</v>
      </c>
      <c r="BM30" s="22" t="s">
        <v>262</v>
      </c>
      <c r="BN30" s="22" t="s">
        <v>262</v>
      </c>
      <c r="BO30" s="22" t="s">
        <v>262</v>
      </c>
      <c r="BP30" s="22" t="s">
        <v>262</v>
      </c>
      <c r="BQ30" s="22" t="s">
        <v>262</v>
      </c>
      <c r="BR30" s="22" t="s">
        <v>262</v>
      </c>
      <c r="BS30" s="22" t="s">
        <v>262</v>
      </c>
      <c r="BT30" s="22" t="s">
        <v>262</v>
      </c>
      <c r="BU30" s="22" t="s">
        <v>262</v>
      </c>
      <c r="BV30" s="22" t="s">
        <v>262</v>
      </c>
      <c r="BW30" s="22" t="s">
        <v>262</v>
      </c>
      <c r="BX30" s="22" t="s">
        <v>262</v>
      </c>
    </row>
    <row r="31" spans="1:76" ht="15.6" customHeight="1">
      <c r="A31" s="127" t="s">
        <v>256</v>
      </c>
      <c r="B31" s="128"/>
    </row>
    <row r="32" spans="1:76" ht="15.6" customHeight="1">
      <c r="A32" s="84" t="s">
        <v>257</v>
      </c>
    </row>
    <row r="33" spans="1:1" ht="19.5" customHeight="1"/>
    <row r="34" spans="1:1" ht="19.5" customHeight="1">
      <c r="A34" s="31"/>
    </row>
  </sheetData>
  <mergeCells count="101">
    <mergeCell ref="BT6:BT7"/>
    <mergeCell ref="BU6:BU7"/>
    <mergeCell ref="BV6:BV7"/>
    <mergeCell ref="BW6:BW7"/>
    <mergeCell ref="BX6:BX7"/>
    <mergeCell ref="BN6:BN7"/>
    <mergeCell ref="BO6:BO7"/>
    <mergeCell ref="BP6:BP7"/>
    <mergeCell ref="BQ6:BQ7"/>
    <mergeCell ref="BR6:BR7"/>
    <mergeCell ref="BS6:BS7"/>
    <mergeCell ref="BH6:BH7"/>
    <mergeCell ref="BI6:BI7"/>
    <mergeCell ref="BJ6:BJ7"/>
    <mergeCell ref="BK6:BK7"/>
    <mergeCell ref="BL6:BL7"/>
    <mergeCell ref="BM6:BM7"/>
    <mergeCell ref="BB6:BB7"/>
    <mergeCell ref="BC6:BC7"/>
    <mergeCell ref="BD6:BD7"/>
    <mergeCell ref="BE6:BE7"/>
    <mergeCell ref="BF6:BF7"/>
    <mergeCell ref="BG6:BG7"/>
    <mergeCell ref="AX6:AX7"/>
    <mergeCell ref="AY6:AY7"/>
    <mergeCell ref="AZ6:AZ7"/>
    <mergeCell ref="BA6:BA7"/>
    <mergeCell ref="AP6:AP7"/>
    <mergeCell ref="AQ6:AQ7"/>
    <mergeCell ref="AR6:AR7"/>
    <mergeCell ref="AS6:AS7"/>
    <mergeCell ref="AT6:AT7"/>
    <mergeCell ref="AU6:AU7"/>
    <mergeCell ref="BP5:BR5"/>
    <mergeCell ref="BS5:BU5"/>
    <mergeCell ref="BV5:BX5"/>
    <mergeCell ref="AX5:AZ5"/>
    <mergeCell ref="BD5:BF5"/>
    <mergeCell ref="BG5:BI5"/>
    <mergeCell ref="BJ5:BL5"/>
    <mergeCell ref="W6:W7"/>
    <mergeCell ref="X6:X7"/>
    <mergeCell ref="Y6:Y7"/>
    <mergeCell ref="Z6:Z7"/>
    <mergeCell ref="AA6:AA7"/>
    <mergeCell ref="AB6:AB7"/>
    <mergeCell ref="AI6:AI7"/>
    <mergeCell ref="AJ6:AJ7"/>
    <mergeCell ref="AK6:AK7"/>
    <mergeCell ref="AL6:AL7"/>
    <mergeCell ref="AM6:AM7"/>
    <mergeCell ref="AO6:AO7"/>
    <mergeCell ref="AC6:AC7"/>
    <mergeCell ref="AD6:AD7"/>
    <mergeCell ref="AE6:AE7"/>
    <mergeCell ref="AF6:AF7"/>
    <mergeCell ref="AG6:AG7"/>
    <mergeCell ref="H6:H7"/>
    <mergeCell ref="I6:I7"/>
    <mergeCell ref="J6:J7"/>
    <mergeCell ref="AR5:AT5"/>
    <mergeCell ref="AU5:AW5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AH6:AH7"/>
    <mergeCell ref="AV6:AV7"/>
    <mergeCell ref="AW6:AW7"/>
    <mergeCell ref="A3:B7"/>
    <mergeCell ref="C3:AM3"/>
    <mergeCell ref="AN3:BX3"/>
    <mergeCell ref="C4:C7"/>
    <mergeCell ref="D4:O4"/>
    <mergeCell ref="P4:AA4"/>
    <mergeCell ref="AB4:AM4"/>
    <mergeCell ref="AN4:AN7"/>
    <mergeCell ref="AO4:AZ4"/>
    <mergeCell ref="BA4:BL4"/>
    <mergeCell ref="BM4:BX4"/>
    <mergeCell ref="G5:I5"/>
    <mergeCell ref="J5:L5"/>
    <mergeCell ref="M5:O5"/>
    <mergeCell ref="S5:U5"/>
    <mergeCell ref="V5:X5"/>
    <mergeCell ref="Y5:AA5"/>
    <mergeCell ref="AE5:AG5"/>
    <mergeCell ref="AH5:AJ5"/>
    <mergeCell ref="AK5:AM5"/>
    <mergeCell ref="D6:D7"/>
    <mergeCell ref="E6:E7"/>
    <mergeCell ref="F6:F7"/>
    <mergeCell ref="G6:G7"/>
  </mergeCells>
  <phoneticPr fontId="6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93" fitToWidth="10" orientation="landscape" useFirstPageNumber="1" horizontalDpi="4294967292" verticalDpi="3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BX34"/>
  <sheetViews>
    <sheetView view="pageBreakPreview" zoomScaleNormal="90" zoomScaleSheetLayoutView="100" workbookViewId="0">
      <selection activeCell="E19" sqref="E19"/>
    </sheetView>
  </sheetViews>
  <sheetFormatPr defaultColWidth="12" defaultRowHeight="12.75"/>
  <cols>
    <col min="1" max="1" width="10.1640625" style="84" customWidth="1"/>
    <col min="2" max="2" width="20.1640625" style="84" customWidth="1"/>
    <col min="3" max="15" width="11.5" style="84" customWidth="1"/>
    <col min="16" max="39" width="12.1640625" style="84" customWidth="1"/>
    <col min="40" max="52" width="11.5" style="84" customWidth="1"/>
    <col min="53" max="64" width="12" style="84" customWidth="1"/>
    <col min="65" max="76" width="12.1640625" style="84" customWidth="1"/>
    <col min="77" max="16384" width="12" style="84"/>
  </cols>
  <sheetData>
    <row r="1" spans="1:76" ht="19.5" customHeight="1">
      <c r="A1" s="115" t="s">
        <v>293</v>
      </c>
      <c r="B1" s="117"/>
    </row>
    <row r="2" spans="1:76" ht="19.5" customHeight="1">
      <c r="A2" s="26" t="s">
        <v>324</v>
      </c>
      <c r="B2" s="129"/>
    </row>
    <row r="3" spans="1:76" ht="19.5" customHeight="1">
      <c r="A3" s="410" t="s">
        <v>316</v>
      </c>
      <c r="B3" s="411"/>
      <c r="C3" s="405" t="s">
        <v>294</v>
      </c>
      <c r="D3" s="406"/>
      <c r="E3" s="406"/>
      <c r="F3" s="406"/>
      <c r="G3" s="406"/>
      <c r="H3" s="406"/>
      <c r="I3" s="406"/>
      <c r="J3" s="406"/>
      <c r="K3" s="406"/>
      <c r="L3" s="406"/>
      <c r="M3" s="406"/>
      <c r="N3" s="406"/>
      <c r="O3" s="406"/>
      <c r="P3" s="406"/>
      <c r="Q3" s="406"/>
      <c r="R3" s="406"/>
      <c r="S3" s="406"/>
      <c r="T3" s="406"/>
      <c r="U3" s="406"/>
      <c r="V3" s="406"/>
      <c r="W3" s="406"/>
      <c r="X3" s="406"/>
      <c r="Y3" s="406"/>
      <c r="Z3" s="406"/>
      <c r="AA3" s="406"/>
      <c r="AB3" s="406"/>
      <c r="AC3" s="406"/>
      <c r="AD3" s="406"/>
      <c r="AE3" s="406"/>
      <c r="AF3" s="406"/>
      <c r="AG3" s="406"/>
      <c r="AH3" s="406"/>
      <c r="AI3" s="406"/>
      <c r="AJ3" s="406"/>
      <c r="AK3" s="406"/>
      <c r="AL3" s="406"/>
      <c r="AM3" s="407"/>
      <c r="AN3" s="405" t="s">
        <v>295</v>
      </c>
      <c r="AO3" s="406"/>
      <c r="AP3" s="406"/>
      <c r="AQ3" s="406"/>
      <c r="AR3" s="406"/>
      <c r="AS3" s="406"/>
      <c r="AT3" s="406"/>
      <c r="AU3" s="406"/>
      <c r="AV3" s="406"/>
      <c r="AW3" s="406"/>
      <c r="AX3" s="406"/>
      <c r="AY3" s="406"/>
      <c r="AZ3" s="406"/>
      <c r="BA3" s="406"/>
      <c r="BB3" s="406"/>
      <c r="BC3" s="406"/>
      <c r="BD3" s="406"/>
      <c r="BE3" s="406"/>
      <c r="BF3" s="406"/>
      <c r="BG3" s="406"/>
      <c r="BH3" s="406"/>
      <c r="BI3" s="406"/>
      <c r="BJ3" s="406"/>
      <c r="BK3" s="406"/>
      <c r="BL3" s="406"/>
      <c r="BM3" s="406"/>
      <c r="BN3" s="406"/>
      <c r="BO3" s="406"/>
      <c r="BP3" s="406"/>
      <c r="BQ3" s="406"/>
      <c r="BR3" s="406"/>
      <c r="BS3" s="406"/>
      <c r="BT3" s="406"/>
      <c r="BU3" s="406"/>
      <c r="BV3" s="406"/>
      <c r="BW3" s="406"/>
      <c r="BX3" s="406"/>
    </row>
    <row r="4" spans="1:76" s="82" customFormat="1" ht="19.5" customHeight="1">
      <c r="A4" s="412"/>
      <c r="B4" s="413"/>
      <c r="C4" s="416" t="s">
        <v>296</v>
      </c>
      <c r="D4" s="405" t="s">
        <v>297</v>
      </c>
      <c r="E4" s="406"/>
      <c r="F4" s="406"/>
      <c r="G4" s="406"/>
      <c r="H4" s="406"/>
      <c r="I4" s="406"/>
      <c r="J4" s="406"/>
      <c r="K4" s="406"/>
      <c r="L4" s="406"/>
      <c r="M4" s="406"/>
      <c r="N4" s="406"/>
      <c r="O4" s="407"/>
      <c r="P4" s="419" t="s">
        <v>298</v>
      </c>
      <c r="Q4" s="419"/>
      <c r="R4" s="419"/>
      <c r="S4" s="419"/>
      <c r="T4" s="419"/>
      <c r="U4" s="419"/>
      <c r="V4" s="419"/>
      <c r="W4" s="419"/>
      <c r="X4" s="419"/>
      <c r="Y4" s="419"/>
      <c r="Z4" s="419"/>
      <c r="AA4" s="419"/>
      <c r="AB4" s="419" t="s">
        <v>299</v>
      </c>
      <c r="AC4" s="419"/>
      <c r="AD4" s="419"/>
      <c r="AE4" s="419"/>
      <c r="AF4" s="419"/>
      <c r="AG4" s="419"/>
      <c r="AH4" s="419"/>
      <c r="AI4" s="419"/>
      <c r="AJ4" s="419"/>
      <c r="AK4" s="419"/>
      <c r="AL4" s="419"/>
      <c r="AM4" s="419"/>
      <c r="AN4" s="417" t="s">
        <v>300</v>
      </c>
      <c r="AO4" s="405" t="s">
        <v>297</v>
      </c>
      <c r="AP4" s="406"/>
      <c r="AQ4" s="406"/>
      <c r="AR4" s="406"/>
      <c r="AS4" s="406"/>
      <c r="AT4" s="406"/>
      <c r="AU4" s="406"/>
      <c r="AV4" s="406"/>
      <c r="AW4" s="406"/>
      <c r="AX4" s="406"/>
      <c r="AY4" s="406"/>
      <c r="AZ4" s="407"/>
      <c r="BA4" s="405" t="s">
        <v>301</v>
      </c>
      <c r="BB4" s="406"/>
      <c r="BC4" s="406"/>
      <c r="BD4" s="406"/>
      <c r="BE4" s="406"/>
      <c r="BF4" s="406"/>
      <c r="BG4" s="406"/>
      <c r="BH4" s="406"/>
      <c r="BI4" s="406"/>
      <c r="BJ4" s="406"/>
      <c r="BK4" s="406"/>
      <c r="BL4" s="407"/>
      <c r="BM4" s="405" t="s">
        <v>302</v>
      </c>
      <c r="BN4" s="406"/>
      <c r="BO4" s="406"/>
      <c r="BP4" s="406"/>
      <c r="BQ4" s="406"/>
      <c r="BR4" s="406"/>
      <c r="BS4" s="406"/>
      <c r="BT4" s="406"/>
      <c r="BU4" s="406"/>
      <c r="BV4" s="406"/>
      <c r="BW4" s="406"/>
      <c r="BX4" s="406"/>
    </row>
    <row r="5" spans="1:76" s="83" customFormat="1" ht="27" customHeight="1">
      <c r="A5" s="412"/>
      <c r="B5" s="413"/>
      <c r="C5" s="417"/>
      <c r="D5" s="130" t="s">
        <v>303</v>
      </c>
      <c r="E5" s="131"/>
      <c r="F5" s="132"/>
      <c r="G5" s="420" t="s">
        <v>304</v>
      </c>
      <c r="H5" s="420"/>
      <c r="I5" s="420"/>
      <c r="J5" s="420" t="s">
        <v>305</v>
      </c>
      <c r="K5" s="420"/>
      <c r="L5" s="420"/>
      <c r="M5" s="420" t="s">
        <v>306</v>
      </c>
      <c r="N5" s="420"/>
      <c r="O5" s="420"/>
      <c r="P5" s="130" t="s">
        <v>303</v>
      </c>
      <c r="Q5" s="131"/>
      <c r="R5" s="132"/>
      <c r="S5" s="420" t="s">
        <v>304</v>
      </c>
      <c r="T5" s="420"/>
      <c r="U5" s="420"/>
      <c r="V5" s="420" t="s">
        <v>305</v>
      </c>
      <c r="W5" s="420"/>
      <c r="X5" s="420"/>
      <c r="Y5" s="420" t="s">
        <v>306</v>
      </c>
      <c r="Z5" s="420"/>
      <c r="AA5" s="420"/>
      <c r="AB5" s="130" t="s">
        <v>303</v>
      </c>
      <c r="AC5" s="131"/>
      <c r="AD5" s="132"/>
      <c r="AE5" s="420" t="s">
        <v>304</v>
      </c>
      <c r="AF5" s="420"/>
      <c r="AG5" s="420"/>
      <c r="AH5" s="420" t="s">
        <v>305</v>
      </c>
      <c r="AI5" s="420"/>
      <c r="AJ5" s="420"/>
      <c r="AK5" s="420" t="s">
        <v>306</v>
      </c>
      <c r="AL5" s="420"/>
      <c r="AM5" s="420"/>
      <c r="AN5" s="417"/>
      <c r="AO5" s="130" t="s">
        <v>303</v>
      </c>
      <c r="AP5" s="131"/>
      <c r="AQ5" s="132"/>
      <c r="AR5" s="420" t="s">
        <v>304</v>
      </c>
      <c r="AS5" s="420"/>
      <c r="AT5" s="420"/>
      <c r="AU5" s="420" t="s">
        <v>305</v>
      </c>
      <c r="AV5" s="420"/>
      <c r="AW5" s="420"/>
      <c r="AX5" s="420" t="s">
        <v>306</v>
      </c>
      <c r="AY5" s="420"/>
      <c r="AZ5" s="420"/>
      <c r="BA5" s="130" t="s">
        <v>303</v>
      </c>
      <c r="BB5" s="133"/>
      <c r="BC5" s="132"/>
      <c r="BD5" s="420" t="s">
        <v>304</v>
      </c>
      <c r="BE5" s="420"/>
      <c r="BF5" s="420"/>
      <c r="BG5" s="420" t="s">
        <v>305</v>
      </c>
      <c r="BH5" s="420"/>
      <c r="BI5" s="420"/>
      <c r="BJ5" s="420" t="s">
        <v>306</v>
      </c>
      <c r="BK5" s="420"/>
      <c r="BL5" s="420"/>
      <c r="BM5" s="130" t="s">
        <v>303</v>
      </c>
      <c r="BN5" s="133"/>
      <c r="BO5" s="132"/>
      <c r="BP5" s="420" t="s">
        <v>304</v>
      </c>
      <c r="BQ5" s="420"/>
      <c r="BR5" s="420"/>
      <c r="BS5" s="420" t="s">
        <v>305</v>
      </c>
      <c r="BT5" s="420"/>
      <c r="BU5" s="420"/>
      <c r="BV5" s="420" t="s">
        <v>306</v>
      </c>
      <c r="BW5" s="420"/>
      <c r="BX5" s="422"/>
    </row>
    <row r="6" spans="1:76" ht="19.5" customHeight="1">
      <c r="A6" s="412"/>
      <c r="B6" s="413"/>
      <c r="C6" s="417"/>
      <c r="D6" s="416" t="s">
        <v>307</v>
      </c>
      <c r="E6" s="416" t="s">
        <v>308</v>
      </c>
      <c r="F6" s="416" t="s">
        <v>309</v>
      </c>
      <c r="G6" s="416" t="s">
        <v>307</v>
      </c>
      <c r="H6" s="416" t="s">
        <v>308</v>
      </c>
      <c r="I6" s="416" t="s">
        <v>309</v>
      </c>
      <c r="J6" s="416" t="s">
        <v>307</v>
      </c>
      <c r="K6" s="416" t="s">
        <v>308</v>
      </c>
      <c r="L6" s="416" t="s">
        <v>309</v>
      </c>
      <c r="M6" s="416" t="s">
        <v>307</v>
      </c>
      <c r="N6" s="416" t="s">
        <v>308</v>
      </c>
      <c r="O6" s="416" t="s">
        <v>309</v>
      </c>
      <c r="P6" s="416" t="s">
        <v>307</v>
      </c>
      <c r="Q6" s="416" t="s">
        <v>308</v>
      </c>
      <c r="R6" s="416" t="s">
        <v>309</v>
      </c>
      <c r="S6" s="416" t="s">
        <v>307</v>
      </c>
      <c r="T6" s="416" t="s">
        <v>308</v>
      </c>
      <c r="U6" s="416" t="s">
        <v>309</v>
      </c>
      <c r="V6" s="416" t="s">
        <v>307</v>
      </c>
      <c r="W6" s="416" t="s">
        <v>308</v>
      </c>
      <c r="X6" s="416" t="s">
        <v>309</v>
      </c>
      <c r="Y6" s="416" t="s">
        <v>307</v>
      </c>
      <c r="Z6" s="416" t="s">
        <v>308</v>
      </c>
      <c r="AA6" s="416" t="s">
        <v>309</v>
      </c>
      <c r="AB6" s="416" t="s">
        <v>307</v>
      </c>
      <c r="AC6" s="416" t="s">
        <v>308</v>
      </c>
      <c r="AD6" s="416" t="s">
        <v>309</v>
      </c>
      <c r="AE6" s="416" t="s">
        <v>307</v>
      </c>
      <c r="AF6" s="416" t="s">
        <v>308</v>
      </c>
      <c r="AG6" s="416" t="s">
        <v>309</v>
      </c>
      <c r="AH6" s="416" t="s">
        <v>307</v>
      </c>
      <c r="AI6" s="416" t="s">
        <v>308</v>
      </c>
      <c r="AJ6" s="416" t="s">
        <v>309</v>
      </c>
      <c r="AK6" s="416" t="s">
        <v>307</v>
      </c>
      <c r="AL6" s="416" t="s">
        <v>308</v>
      </c>
      <c r="AM6" s="416" t="s">
        <v>309</v>
      </c>
      <c r="AN6" s="417"/>
      <c r="AO6" s="416" t="s">
        <v>307</v>
      </c>
      <c r="AP6" s="416" t="s">
        <v>308</v>
      </c>
      <c r="AQ6" s="416" t="s">
        <v>309</v>
      </c>
      <c r="AR6" s="416" t="s">
        <v>307</v>
      </c>
      <c r="AS6" s="416" t="s">
        <v>308</v>
      </c>
      <c r="AT6" s="416" t="s">
        <v>309</v>
      </c>
      <c r="AU6" s="416" t="s">
        <v>307</v>
      </c>
      <c r="AV6" s="416" t="s">
        <v>308</v>
      </c>
      <c r="AW6" s="416" t="s">
        <v>309</v>
      </c>
      <c r="AX6" s="416" t="s">
        <v>307</v>
      </c>
      <c r="AY6" s="416" t="s">
        <v>308</v>
      </c>
      <c r="AZ6" s="416" t="s">
        <v>309</v>
      </c>
      <c r="BA6" s="416" t="s">
        <v>307</v>
      </c>
      <c r="BB6" s="416" t="s">
        <v>308</v>
      </c>
      <c r="BC6" s="416" t="s">
        <v>309</v>
      </c>
      <c r="BD6" s="416" t="s">
        <v>307</v>
      </c>
      <c r="BE6" s="416" t="s">
        <v>308</v>
      </c>
      <c r="BF6" s="416" t="s">
        <v>309</v>
      </c>
      <c r="BG6" s="416" t="s">
        <v>307</v>
      </c>
      <c r="BH6" s="416" t="s">
        <v>308</v>
      </c>
      <c r="BI6" s="416" t="s">
        <v>309</v>
      </c>
      <c r="BJ6" s="416" t="s">
        <v>307</v>
      </c>
      <c r="BK6" s="416" t="s">
        <v>308</v>
      </c>
      <c r="BL6" s="416" t="s">
        <v>309</v>
      </c>
      <c r="BM6" s="416" t="s">
        <v>307</v>
      </c>
      <c r="BN6" s="416" t="s">
        <v>308</v>
      </c>
      <c r="BO6" s="416" t="s">
        <v>309</v>
      </c>
      <c r="BP6" s="416" t="s">
        <v>307</v>
      </c>
      <c r="BQ6" s="416" t="s">
        <v>308</v>
      </c>
      <c r="BR6" s="416" t="s">
        <v>309</v>
      </c>
      <c r="BS6" s="416" t="s">
        <v>307</v>
      </c>
      <c r="BT6" s="416" t="s">
        <v>308</v>
      </c>
      <c r="BU6" s="416" t="s">
        <v>309</v>
      </c>
      <c r="BV6" s="416" t="s">
        <v>307</v>
      </c>
      <c r="BW6" s="416" t="s">
        <v>308</v>
      </c>
      <c r="BX6" s="423" t="s">
        <v>309</v>
      </c>
    </row>
    <row r="7" spans="1:76" ht="19.5" customHeight="1">
      <c r="A7" s="414"/>
      <c r="B7" s="415"/>
      <c r="C7" s="418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421"/>
      <c r="S7" s="421"/>
      <c r="T7" s="421"/>
      <c r="U7" s="421"/>
      <c r="V7" s="421"/>
      <c r="W7" s="421"/>
      <c r="X7" s="421"/>
      <c r="Y7" s="421"/>
      <c r="Z7" s="421"/>
      <c r="AA7" s="421"/>
      <c r="AB7" s="421"/>
      <c r="AC7" s="421"/>
      <c r="AD7" s="421"/>
      <c r="AE7" s="421"/>
      <c r="AF7" s="421"/>
      <c r="AG7" s="421"/>
      <c r="AH7" s="421"/>
      <c r="AI7" s="421"/>
      <c r="AJ7" s="421"/>
      <c r="AK7" s="421"/>
      <c r="AL7" s="421"/>
      <c r="AM7" s="421"/>
      <c r="AN7" s="418"/>
      <c r="AO7" s="421"/>
      <c r="AP7" s="421"/>
      <c r="AQ7" s="421"/>
      <c r="AR7" s="421"/>
      <c r="AS7" s="421"/>
      <c r="AT7" s="421"/>
      <c r="AU7" s="421"/>
      <c r="AV7" s="421"/>
      <c r="AW7" s="421"/>
      <c r="AX7" s="421"/>
      <c r="AY7" s="421"/>
      <c r="AZ7" s="421"/>
      <c r="BA7" s="421"/>
      <c r="BB7" s="421"/>
      <c r="BC7" s="421"/>
      <c r="BD7" s="421"/>
      <c r="BE7" s="421"/>
      <c r="BF7" s="421"/>
      <c r="BG7" s="421"/>
      <c r="BH7" s="421"/>
      <c r="BI7" s="421"/>
      <c r="BJ7" s="421"/>
      <c r="BK7" s="421"/>
      <c r="BL7" s="421"/>
      <c r="BM7" s="421"/>
      <c r="BN7" s="421"/>
      <c r="BO7" s="421"/>
      <c r="BP7" s="421"/>
      <c r="BQ7" s="421"/>
      <c r="BR7" s="421"/>
      <c r="BS7" s="421"/>
      <c r="BT7" s="421"/>
      <c r="BU7" s="421"/>
      <c r="BV7" s="421"/>
      <c r="BW7" s="421"/>
      <c r="BX7" s="424"/>
    </row>
    <row r="8" spans="1:76" s="123" customFormat="1" ht="15.6" customHeight="1">
      <c r="A8" s="134" t="s">
        <v>325</v>
      </c>
      <c r="B8" s="121" t="s">
        <v>199</v>
      </c>
      <c r="C8" s="41">
        <v>15</v>
      </c>
      <c r="D8" s="41">
        <v>145</v>
      </c>
      <c r="E8" s="41">
        <v>51</v>
      </c>
      <c r="F8" s="41">
        <v>94</v>
      </c>
      <c r="G8" s="41">
        <v>5</v>
      </c>
      <c r="H8" s="41">
        <v>2</v>
      </c>
      <c r="I8" s="41">
        <v>3</v>
      </c>
      <c r="J8" s="41">
        <v>6</v>
      </c>
      <c r="K8" s="41">
        <v>1</v>
      </c>
      <c r="L8" s="41">
        <v>5</v>
      </c>
      <c r="M8" s="41">
        <v>134</v>
      </c>
      <c r="N8" s="41">
        <v>48</v>
      </c>
      <c r="O8" s="41">
        <v>86</v>
      </c>
      <c r="P8" s="41">
        <v>30134</v>
      </c>
      <c r="Q8" s="41">
        <v>11102</v>
      </c>
      <c r="R8" s="41">
        <v>19032</v>
      </c>
      <c r="S8" s="41">
        <v>1113</v>
      </c>
      <c r="T8" s="41">
        <v>427</v>
      </c>
      <c r="U8" s="41">
        <v>686</v>
      </c>
      <c r="V8" s="41">
        <v>1003</v>
      </c>
      <c r="W8" s="41">
        <v>317</v>
      </c>
      <c r="X8" s="41">
        <v>686</v>
      </c>
      <c r="Y8" s="41">
        <v>28018</v>
      </c>
      <c r="Z8" s="41">
        <v>10358</v>
      </c>
      <c r="AA8" s="41">
        <v>17660</v>
      </c>
      <c r="AB8" s="41">
        <v>228855</v>
      </c>
      <c r="AC8" s="41">
        <v>83670</v>
      </c>
      <c r="AD8" s="41">
        <v>145185</v>
      </c>
      <c r="AE8" s="41">
        <v>9160</v>
      </c>
      <c r="AF8" s="41">
        <v>3416</v>
      </c>
      <c r="AG8" s="41">
        <v>5744</v>
      </c>
      <c r="AH8" s="41">
        <v>6550</v>
      </c>
      <c r="AI8" s="41">
        <v>2074</v>
      </c>
      <c r="AJ8" s="41">
        <v>4476</v>
      </c>
      <c r="AK8" s="41">
        <v>213145</v>
      </c>
      <c r="AL8" s="41">
        <v>78180</v>
      </c>
      <c r="AM8" s="41">
        <v>134965</v>
      </c>
      <c r="AN8" s="41">
        <v>58</v>
      </c>
      <c r="AO8" s="41">
        <v>1061</v>
      </c>
      <c r="AP8" s="41">
        <v>382</v>
      </c>
      <c r="AQ8" s="41">
        <v>679</v>
      </c>
      <c r="AR8" s="41">
        <v>72</v>
      </c>
      <c r="AS8" s="41">
        <v>27</v>
      </c>
      <c r="AT8" s="41">
        <v>45</v>
      </c>
      <c r="AU8" s="41">
        <v>101</v>
      </c>
      <c r="AV8" s="41">
        <v>48</v>
      </c>
      <c r="AW8" s="41">
        <v>53</v>
      </c>
      <c r="AX8" s="41">
        <v>888</v>
      </c>
      <c r="AY8" s="41">
        <v>307</v>
      </c>
      <c r="AZ8" s="41">
        <v>581</v>
      </c>
      <c r="BA8" s="41">
        <v>197258</v>
      </c>
      <c r="BB8" s="41">
        <v>74025</v>
      </c>
      <c r="BC8" s="41">
        <v>123233</v>
      </c>
      <c r="BD8" s="41">
        <v>15434</v>
      </c>
      <c r="BE8" s="41">
        <v>6383</v>
      </c>
      <c r="BF8" s="41">
        <v>9051</v>
      </c>
      <c r="BG8" s="41">
        <v>15664</v>
      </c>
      <c r="BH8" s="41">
        <v>7493</v>
      </c>
      <c r="BI8" s="41">
        <v>8171</v>
      </c>
      <c r="BJ8" s="41">
        <v>166160</v>
      </c>
      <c r="BK8" s="41">
        <v>60149</v>
      </c>
      <c r="BL8" s="41">
        <v>106011</v>
      </c>
      <c r="BM8" s="41">
        <v>1379916.8</v>
      </c>
      <c r="BN8" s="41">
        <v>513381.5</v>
      </c>
      <c r="BO8" s="41">
        <v>866535.3</v>
      </c>
      <c r="BP8" s="41">
        <v>95172</v>
      </c>
      <c r="BQ8" s="41">
        <v>36632.5</v>
      </c>
      <c r="BR8" s="41">
        <v>58539.5</v>
      </c>
      <c r="BS8" s="41">
        <v>105923.5</v>
      </c>
      <c r="BT8" s="41">
        <v>49596.5</v>
      </c>
      <c r="BU8" s="41">
        <v>56327</v>
      </c>
      <c r="BV8" s="41">
        <v>1178821.3</v>
      </c>
      <c r="BW8" s="41">
        <v>427152.5</v>
      </c>
      <c r="BX8" s="41">
        <v>751668.8</v>
      </c>
    </row>
    <row r="9" spans="1:76" s="126" customFormat="1" ht="15.6" customHeight="1">
      <c r="A9" s="49" t="s">
        <v>147</v>
      </c>
      <c r="B9" s="124" t="s">
        <v>318</v>
      </c>
      <c r="C9" s="41">
        <v>2</v>
      </c>
      <c r="D9" s="41">
        <v>41</v>
      </c>
      <c r="E9" s="41">
        <v>16</v>
      </c>
      <c r="F9" s="41">
        <v>25</v>
      </c>
      <c r="G9" s="41">
        <v>1</v>
      </c>
      <c r="H9" s="41" t="s">
        <v>261</v>
      </c>
      <c r="I9" s="41">
        <v>1</v>
      </c>
      <c r="J9" s="41" t="s">
        <v>261</v>
      </c>
      <c r="K9" s="41" t="s">
        <v>261</v>
      </c>
      <c r="L9" s="41" t="s">
        <v>261</v>
      </c>
      <c r="M9" s="41">
        <v>40</v>
      </c>
      <c r="N9" s="41">
        <v>16</v>
      </c>
      <c r="O9" s="41">
        <v>24</v>
      </c>
      <c r="P9" s="41">
        <v>10230</v>
      </c>
      <c r="Q9" s="41">
        <v>4224</v>
      </c>
      <c r="R9" s="41">
        <v>6006</v>
      </c>
      <c r="S9" s="41">
        <v>154</v>
      </c>
      <c r="T9" s="41" t="s">
        <v>261</v>
      </c>
      <c r="U9" s="41">
        <v>154</v>
      </c>
      <c r="V9" s="41" t="s">
        <v>261</v>
      </c>
      <c r="W9" s="41" t="s">
        <v>261</v>
      </c>
      <c r="X9" s="41" t="s">
        <v>261</v>
      </c>
      <c r="Y9" s="41">
        <v>10076</v>
      </c>
      <c r="Z9" s="41">
        <v>4224</v>
      </c>
      <c r="AA9" s="41">
        <v>5852</v>
      </c>
      <c r="AB9" s="41">
        <v>81840</v>
      </c>
      <c r="AC9" s="41">
        <v>33792</v>
      </c>
      <c r="AD9" s="41">
        <v>48048</v>
      </c>
      <c r="AE9" s="41">
        <v>1232</v>
      </c>
      <c r="AF9" s="41" t="s">
        <v>262</v>
      </c>
      <c r="AG9" s="41">
        <v>1232</v>
      </c>
      <c r="AH9" s="41" t="s">
        <v>262</v>
      </c>
      <c r="AI9" s="41" t="s">
        <v>262</v>
      </c>
      <c r="AJ9" s="41" t="s">
        <v>262</v>
      </c>
      <c r="AK9" s="41">
        <v>80608</v>
      </c>
      <c r="AL9" s="41">
        <v>33792</v>
      </c>
      <c r="AM9" s="41">
        <v>46816</v>
      </c>
      <c r="AN9" s="41">
        <v>3</v>
      </c>
      <c r="AO9" s="41">
        <v>40</v>
      </c>
      <c r="AP9" s="41">
        <v>14</v>
      </c>
      <c r="AQ9" s="41">
        <v>26</v>
      </c>
      <c r="AR9" s="41">
        <v>2</v>
      </c>
      <c r="AS9" s="41">
        <v>1</v>
      </c>
      <c r="AT9" s="41">
        <v>1</v>
      </c>
      <c r="AU9" s="41">
        <v>2</v>
      </c>
      <c r="AV9" s="41">
        <v>1</v>
      </c>
      <c r="AW9" s="41">
        <v>1</v>
      </c>
      <c r="AX9" s="41">
        <v>36</v>
      </c>
      <c r="AY9" s="41">
        <v>12</v>
      </c>
      <c r="AZ9" s="41">
        <v>24</v>
      </c>
      <c r="BA9" s="41">
        <v>8294</v>
      </c>
      <c r="BB9" s="41">
        <v>3542</v>
      </c>
      <c r="BC9" s="41">
        <v>4752</v>
      </c>
      <c r="BD9" s="41">
        <v>198</v>
      </c>
      <c r="BE9" s="41">
        <v>66</v>
      </c>
      <c r="BF9" s="41">
        <v>132</v>
      </c>
      <c r="BG9" s="41">
        <v>704</v>
      </c>
      <c r="BH9" s="41">
        <v>594</v>
      </c>
      <c r="BI9" s="41">
        <v>110</v>
      </c>
      <c r="BJ9" s="41">
        <v>7392</v>
      </c>
      <c r="BK9" s="41">
        <v>2882</v>
      </c>
      <c r="BL9" s="41">
        <v>4510</v>
      </c>
      <c r="BM9" s="41">
        <v>66352</v>
      </c>
      <c r="BN9" s="41">
        <v>28336</v>
      </c>
      <c r="BO9" s="41">
        <v>38016</v>
      </c>
      <c r="BP9" s="41">
        <v>1584</v>
      </c>
      <c r="BQ9" s="41">
        <v>528</v>
      </c>
      <c r="BR9" s="41">
        <v>1056</v>
      </c>
      <c r="BS9" s="41">
        <v>5632</v>
      </c>
      <c r="BT9" s="41">
        <v>4752</v>
      </c>
      <c r="BU9" s="41">
        <v>880</v>
      </c>
      <c r="BV9" s="41">
        <v>59136</v>
      </c>
      <c r="BW9" s="41">
        <v>23056</v>
      </c>
      <c r="BX9" s="41">
        <v>36080</v>
      </c>
    </row>
    <row r="10" spans="1:76" s="126" customFormat="1" ht="15.6" customHeight="1">
      <c r="A10" s="49" t="s">
        <v>148</v>
      </c>
      <c r="B10" s="124" t="s">
        <v>3</v>
      </c>
      <c r="C10" s="41">
        <v>1</v>
      </c>
      <c r="D10" s="41">
        <v>10</v>
      </c>
      <c r="E10" s="41">
        <v>4</v>
      </c>
      <c r="F10" s="41">
        <v>6</v>
      </c>
      <c r="G10" s="41" t="s">
        <v>261</v>
      </c>
      <c r="H10" s="41" t="s">
        <v>261</v>
      </c>
      <c r="I10" s="41" t="s">
        <v>261</v>
      </c>
      <c r="J10" s="41" t="s">
        <v>261</v>
      </c>
      <c r="K10" s="41" t="s">
        <v>261</v>
      </c>
      <c r="L10" s="41" t="s">
        <v>261</v>
      </c>
      <c r="M10" s="41">
        <v>10</v>
      </c>
      <c r="N10" s="41">
        <v>4</v>
      </c>
      <c r="O10" s="41">
        <v>6</v>
      </c>
      <c r="P10" s="41">
        <v>2346</v>
      </c>
      <c r="Q10" s="41">
        <v>813</v>
      </c>
      <c r="R10" s="41">
        <v>1533</v>
      </c>
      <c r="S10" s="41">
        <v>130</v>
      </c>
      <c r="T10" s="41">
        <v>23</v>
      </c>
      <c r="U10" s="41">
        <v>107</v>
      </c>
      <c r="V10" s="41" t="s">
        <v>261</v>
      </c>
      <c r="W10" s="41" t="s">
        <v>261</v>
      </c>
      <c r="X10" s="41" t="s">
        <v>261</v>
      </c>
      <c r="Y10" s="41">
        <v>2216</v>
      </c>
      <c r="Z10" s="41">
        <v>790</v>
      </c>
      <c r="AA10" s="41">
        <v>1426</v>
      </c>
      <c r="AB10" s="41">
        <v>21935</v>
      </c>
      <c r="AC10" s="41">
        <v>7637</v>
      </c>
      <c r="AD10" s="41">
        <v>14298</v>
      </c>
      <c r="AE10" s="41">
        <v>1312</v>
      </c>
      <c r="AF10" s="41">
        <v>184</v>
      </c>
      <c r="AG10" s="41">
        <v>1128</v>
      </c>
      <c r="AH10" s="41" t="s">
        <v>262</v>
      </c>
      <c r="AI10" s="41" t="s">
        <v>262</v>
      </c>
      <c r="AJ10" s="41" t="s">
        <v>262</v>
      </c>
      <c r="AK10" s="41">
        <v>20623</v>
      </c>
      <c r="AL10" s="41">
        <v>7453</v>
      </c>
      <c r="AM10" s="41">
        <v>13170</v>
      </c>
      <c r="AN10" s="41">
        <v>11</v>
      </c>
      <c r="AO10" s="41">
        <v>239</v>
      </c>
      <c r="AP10" s="41">
        <v>82</v>
      </c>
      <c r="AQ10" s="41">
        <v>157</v>
      </c>
      <c r="AR10" s="41">
        <v>4</v>
      </c>
      <c r="AS10" s="41">
        <v>2</v>
      </c>
      <c r="AT10" s="41">
        <v>2</v>
      </c>
      <c r="AU10" s="41">
        <v>16</v>
      </c>
      <c r="AV10" s="41">
        <v>6</v>
      </c>
      <c r="AW10" s="41">
        <v>10</v>
      </c>
      <c r="AX10" s="41">
        <v>219</v>
      </c>
      <c r="AY10" s="41">
        <v>74</v>
      </c>
      <c r="AZ10" s="41">
        <v>145</v>
      </c>
      <c r="BA10" s="41">
        <v>38615</v>
      </c>
      <c r="BB10" s="41">
        <v>14252</v>
      </c>
      <c r="BC10" s="41">
        <v>24363</v>
      </c>
      <c r="BD10" s="41">
        <v>996</v>
      </c>
      <c r="BE10" s="41">
        <v>415</v>
      </c>
      <c r="BF10" s="41">
        <v>581</v>
      </c>
      <c r="BG10" s="41">
        <v>2251</v>
      </c>
      <c r="BH10" s="41">
        <v>989</v>
      </c>
      <c r="BI10" s="41">
        <v>1262</v>
      </c>
      <c r="BJ10" s="41">
        <v>35368</v>
      </c>
      <c r="BK10" s="41">
        <v>12848</v>
      </c>
      <c r="BL10" s="41">
        <v>22520</v>
      </c>
      <c r="BM10" s="41">
        <v>325669</v>
      </c>
      <c r="BN10" s="41">
        <v>121295</v>
      </c>
      <c r="BO10" s="41">
        <v>204374</v>
      </c>
      <c r="BP10" s="41">
        <v>8137</v>
      </c>
      <c r="BQ10" s="41">
        <v>3369</v>
      </c>
      <c r="BR10" s="41">
        <v>4768</v>
      </c>
      <c r="BS10" s="41">
        <v>18852</v>
      </c>
      <c r="BT10" s="41">
        <v>8087</v>
      </c>
      <c r="BU10" s="41">
        <v>10765</v>
      </c>
      <c r="BV10" s="41">
        <v>298680</v>
      </c>
      <c r="BW10" s="41">
        <v>109839</v>
      </c>
      <c r="BX10" s="41">
        <v>188841</v>
      </c>
    </row>
    <row r="11" spans="1:76" s="126" customFormat="1" ht="15.6" customHeight="1">
      <c r="A11" s="49" t="s">
        <v>149</v>
      </c>
      <c r="B11" s="124" t="s">
        <v>4</v>
      </c>
      <c r="C11" s="41">
        <v>2</v>
      </c>
      <c r="D11" s="41">
        <v>22</v>
      </c>
      <c r="E11" s="41">
        <v>5</v>
      </c>
      <c r="F11" s="41">
        <v>17</v>
      </c>
      <c r="G11" s="41">
        <v>3</v>
      </c>
      <c r="H11" s="41">
        <v>1</v>
      </c>
      <c r="I11" s="41">
        <v>2</v>
      </c>
      <c r="J11" s="41" t="s">
        <v>261</v>
      </c>
      <c r="K11" s="41" t="s">
        <v>261</v>
      </c>
      <c r="L11" s="41" t="s">
        <v>261</v>
      </c>
      <c r="M11" s="41">
        <v>19</v>
      </c>
      <c r="N11" s="41">
        <v>4</v>
      </c>
      <c r="O11" s="41">
        <v>15</v>
      </c>
      <c r="P11" s="41">
        <v>4938</v>
      </c>
      <c r="Q11" s="41">
        <v>934</v>
      </c>
      <c r="R11" s="41">
        <v>4004</v>
      </c>
      <c r="S11" s="41">
        <v>513</v>
      </c>
      <c r="T11" s="41">
        <v>198</v>
      </c>
      <c r="U11" s="41">
        <v>315</v>
      </c>
      <c r="V11" s="41">
        <v>219</v>
      </c>
      <c r="W11" s="41">
        <v>219</v>
      </c>
      <c r="X11" s="41" t="s">
        <v>261</v>
      </c>
      <c r="Y11" s="41">
        <v>4206</v>
      </c>
      <c r="Z11" s="41">
        <v>517</v>
      </c>
      <c r="AA11" s="41">
        <v>3689</v>
      </c>
      <c r="AB11" s="41">
        <v>38650</v>
      </c>
      <c r="AC11" s="41">
        <v>7378</v>
      </c>
      <c r="AD11" s="41">
        <v>31272</v>
      </c>
      <c r="AE11" s="41">
        <v>4088</v>
      </c>
      <c r="AF11" s="41">
        <v>1584</v>
      </c>
      <c r="AG11" s="41">
        <v>2504</v>
      </c>
      <c r="AH11" s="41">
        <v>1752</v>
      </c>
      <c r="AI11" s="41">
        <v>1752</v>
      </c>
      <c r="AJ11" s="41" t="s">
        <v>262</v>
      </c>
      <c r="AK11" s="41">
        <v>32810</v>
      </c>
      <c r="AL11" s="41">
        <v>4042</v>
      </c>
      <c r="AM11" s="41">
        <v>28768</v>
      </c>
      <c r="AN11" s="41">
        <v>8</v>
      </c>
      <c r="AO11" s="41">
        <v>191</v>
      </c>
      <c r="AP11" s="41">
        <v>68</v>
      </c>
      <c r="AQ11" s="41">
        <v>123</v>
      </c>
      <c r="AR11" s="41">
        <v>16</v>
      </c>
      <c r="AS11" s="41">
        <v>7</v>
      </c>
      <c r="AT11" s="41">
        <v>9</v>
      </c>
      <c r="AU11" s="41">
        <v>18</v>
      </c>
      <c r="AV11" s="41">
        <v>6</v>
      </c>
      <c r="AW11" s="41">
        <v>12</v>
      </c>
      <c r="AX11" s="41">
        <v>157</v>
      </c>
      <c r="AY11" s="41">
        <v>55</v>
      </c>
      <c r="AZ11" s="41">
        <v>102</v>
      </c>
      <c r="BA11" s="41">
        <v>35564</v>
      </c>
      <c r="BB11" s="41">
        <v>13375</v>
      </c>
      <c r="BC11" s="41">
        <v>22189</v>
      </c>
      <c r="BD11" s="41">
        <v>3310</v>
      </c>
      <c r="BE11" s="41">
        <v>1390</v>
      </c>
      <c r="BF11" s="41">
        <v>1920</v>
      </c>
      <c r="BG11" s="41">
        <v>2655</v>
      </c>
      <c r="BH11" s="41">
        <v>1104</v>
      </c>
      <c r="BI11" s="41">
        <v>1551</v>
      </c>
      <c r="BJ11" s="41">
        <v>29599</v>
      </c>
      <c r="BK11" s="41">
        <v>10881</v>
      </c>
      <c r="BL11" s="41">
        <v>18718</v>
      </c>
      <c r="BM11" s="41">
        <v>245071</v>
      </c>
      <c r="BN11" s="41">
        <v>96034</v>
      </c>
      <c r="BO11" s="41">
        <v>149037</v>
      </c>
      <c r="BP11" s="41">
        <v>20686</v>
      </c>
      <c r="BQ11" s="41">
        <v>8437</v>
      </c>
      <c r="BR11" s="41">
        <v>12249</v>
      </c>
      <c r="BS11" s="41">
        <v>18153</v>
      </c>
      <c r="BT11" s="41">
        <v>7168</v>
      </c>
      <c r="BU11" s="41">
        <v>10985</v>
      </c>
      <c r="BV11" s="41">
        <v>206232</v>
      </c>
      <c r="BW11" s="41">
        <v>80429</v>
      </c>
      <c r="BX11" s="41">
        <v>125803</v>
      </c>
    </row>
    <row r="12" spans="1:76" s="126" customFormat="1" ht="15.6" customHeight="1">
      <c r="A12" s="49" t="s">
        <v>150</v>
      </c>
      <c r="B12" s="124" t="s">
        <v>5</v>
      </c>
      <c r="C12" s="41">
        <v>1</v>
      </c>
      <c r="D12" s="41">
        <v>24</v>
      </c>
      <c r="E12" s="41">
        <v>9</v>
      </c>
      <c r="F12" s="41">
        <v>15</v>
      </c>
      <c r="G12" s="41" t="s">
        <v>261</v>
      </c>
      <c r="H12" s="41" t="s">
        <v>261</v>
      </c>
      <c r="I12" s="41" t="s">
        <v>261</v>
      </c>
      <c r="J12" s="41">
        <v>2</v>
      </c>
      <c r="K12" s="41" t="s">
        <v>261</v>
      </c>
      <c r="L12" s="41">
        <v>2</v>
      </c>
      <c r="M12" s="41">
        <v>22</v>
      </c>
      <c r="N12" s="41">
        <v>9</v>
      </c>
      <c r="O12" s="41">
        <v>13</v>
      </c>
      <c r="P12" s="41">
        <v>3841</v>
      </c>
      <c r="Q12" s="41">
        <v>1820</v>
      </c>
      <c r="R12" s="41">
        <v>2021</v>
      </c>
      <c r="S12" s="41">
        <v>3</v>
      </c>
      <c r="T12" s="41">
        <v>3</v>
      </c>
      <c r="U12" s="41" t="s">
        <v>261</v>
      </c>
      <c r="V12" s="41">
        <v>318</v>
      </c>
      <c r="W12" s="41" t="s">
        <v>261</v>
      </c>
      <c r="X12" s="41">
        <v>318</v>
      </c>
      <c r="Y12" s="41">
        <v>3520</v>
      </c>
      <c r="Z12" s="41">
        <v>1817</v>
      </c>
      <c r="AA12" s="41">
        <v>1703</v>
      </c>
      <c r="AB12" s="41">
        <v>31250</v>
      </c>
      <c r="AC12" s="41">
        <v>14816</v>
      </c>
      <c r="AD12" s="41">
        <v>16434</v>
      </c>
      <c r="AE12" s="41">
        <v>24</v>
      </c>
      <c r="AF12" s="41">
        <v>24</v>
      </c>
      <c r="AG12" s="41" t="s">
        <v>262</v>
      </c>
      <c r="AH12" s="41">
        <v>2544</v>
      </c>
      <c r="AI12" s="41" t="s">
        <v>262</v>
      </c>
      <c r="AJ12" s="41">
        <v>2544</v>
      </c>
      <c r="AK12" s="41">
        <v>28682</v>
      </c>
      <c r="AL12" s="41">
        <v>14792</v>
      </c>
      <c r="AM12" s="41">
        <v>13890</v>
      </c>
      <c r="AN12" s="41">
        <v>5</v>
      </c>
      <c r="AO12" s="41">
        <v>76</v>
      </c>
      <c r="AP12" s="41">
        <v>27</v>
      </c>
      <c r="AQ12" s="41">
        <v>49</v>
      </c>
      <c r="AR12" s="41">
        <v>5</v>
      </c>
      <c r="AS12" s="41" t="s">
        <v>261</v>
      </c>
      <c r="AT12" s="41">
        <v>5</v>
      </c>
      <c r="AU12" s="41">
        <v>15</v>
      </c>
      <c r="AV12" s="41">
        <v>6</v>
      </c>
      <c r="AW12" s="41">
        <v>9</v>
      </c>
      <c r="AX12" s="41">
        <v>56</v>
      </c>
      <c r="AY12" s="41">
        <v>21</v>
      </c>
      <c r="AZ12" s="41">
        <v>35</v>
      </c>
      <c r="BA12" s="41">
        <v>13617</v>
      </c>
      <c r="BB12" s="41">
        <v>5252</v>
      </c>
      <c r="BC12" s="41">
        <v>8365</v>
      </c>
      <c r="BD12" s="41">
        <v>1504</v>
      </c>
      <c r="BE12" s="41">
        <v>512</v>
      </c>
      <c r="BF12" s="41">
        <v>992</v>
      </c>
      <c r="BG12" s="41">
        <v>2056</v>
      </c>
      <c r="BH12" s="41">
        <v>528</v>
      </c>
      <c r="BI12" s="41">
        <v>1528</v>
      </c>
      <c r="BJ12" s="41">
        <v>10057</v>
      </c>
      <c r="BK12" s="41">
        <v>4212</v>
      </c>
      <c r="BL12" s="41">
        <v>5845</v>
      </c>
      <c r="BM12" s="41">
        <v>107839</v>
      </c>
      <c r="BN12" s="41">
        <v>40816</v>
      </c>
      <c r="BO12" s="41">
        <v>67023</v>
      </c>
      <c r="BP12" s="41">
        <v>11944</v>
      </c>
      <c r="BQ12" s="41">
        <v>4079</v>
      </c>
      <c r="BR12" s="41">
        <v>7865</v>
      </c>
      <c r="BS12" s="41">
        <v>16535</v>
      </c>
      <c r="BT12" s="41">
        <v>4282</v>
      </c>
      <c r="BU12" s="41">
        <v>12253</v>
      </c>
      <c r="BV12" s="41">
        <v>79360</v>
      </c>
      <c r="BW12" s="41">
        <v>32455</v>
      </c>
      <c r="BX12" s="41">
        <v>46905</v>
      </c>
    </row>
    <row r="13" spans="1:76" s="126" customFormat="1" ht="15.6" customHeight="1">
      <c r="A13" s="49" t="s">
        <v>151</v>
      </c>
      <c r="B13" s="124" t="s">
        <v>6</v>
      </c>
      <c r="C13" s="41">
        <v>2</v>
      </c>
      <c r="D13" s="41" t="s">
        <v>261</v>
      </c>
      <c r="E13" s="41" t="s">
        <v>261</v>
      </c>
      <c r="F13" s="41" t="s">
        <v>261</v>
      </c>
      <c r="G13" s="41" t="s">
        <v>261</v>
      </c>
      <c r="H13" s="41" t="s">
        <v>261</v>
      </c>
      <c r="I13" s="41" t="s">
        <v>261</v>
      </c>
      <c r="J13" s="41" t="s">
        <v>261</v>
      </c>
      <c r="K13" s="41" t="s">
        <v>261</v>
      </c>
      <c r="L13" s="41" t="s">
        <v>261</v>
      </c>
      <c r="M13" s="41" t="s">
        <v>261</v>
      </c>
      <c r="N13" s="41" t="s">
        <v>261</v>
      </c>
      <c r="O13" s="41" t="s">
        <v>261</v>
      </c>
      <c r="P13" s="41">
        <v>252</v>
      </c>
      <c r="Q13" s="41">
        <v>110</v>
      </c>
      <c r="R13" s="41">
        <v>142</v>
      </c>
      <c r="S13" s="41" t="s">
        <v>261</v>
      </c>
      <c r="T13" s="41" t="s">
        <v>261</v>
      </c>
      <c r="U13" s="41" t="s">
        <v>261</v>
      </c>
      <c r="V13" s="41" t="s">
        <v>261</v>
      </c>
      <c r="W13" s="41" t="s">
        <v>261</v>
      </c>
      <c r="X13" s="41" t="s">
        <v>261</v>
      </c>
      <c r="Y13" s="41">
        <v>252</v>
      </c>
      <c r="Z13" s="41">
        <v>110</v>
      </c>
      <c r="AA13" s="41">
        <v>142</v>
      </c>
      <c r="AB13" s="41">
        <v>2016</v>
      </c>
      <c r="AC13" s="41">
        <v>906</v>
      </c>
      <c r="AD13" s="41">
        <v>1110</v>
      </c>
      <c r="AE13" s="41" t="s">
        <v>262</v>
      </c>
      <c r="AF13" s="41" t="s">
        <v>262</v>
      </c>
      <c r="AG13" s="41" t="s">
        <v>262</v>
      </c>
      <c r="AH13" s="41" t="s">
        <v>262</v>
      </c>
      <c r="AI13" s="41" t="s">
        <v>262</v>
      </c>
      <c r="AJ13" s="41" t="s">
        <v>262</v>
      </c>
      <c r="AK13" s="41">
        <v>2016</v>
      </c>
      <c r="AL13" s="41">
        <v>906</v>
      </c>
      <c r="AM13" s="41">
        <v>1110</v>
      </c>
      <c r="AN13" s="41">
        <v>5</v>
      </c>
      <c r="AO13" s="41">
        <v>115</v>
      </c>
      <c r="AP13" s="41">
        <v>40</v>
      </c>
      <c r="AQ13" s="41">
        <v>75</v>
      </c>
      <c r="AR13" s="41">
        <v>7</v>
      </c>
      <c r="AS13" s="41">
        <v>1</v>
      </c>
      <c r="AT13" s="41">
        <v>6</v>
      </c>
      <c r="AU13" s="41">
        <v>5</v>
      </c>
      <c r="AV13" s="41">
        <v>5</v>
      </c>
      <c r="AW13" s="41" t="s">
        <v>261</v>
      </c>
      <c r="AX13" s="41">
        <v>103</v>
      </c>
      <c r="AY13" s="41">
        <v>34</v>
      </c>
      <c r="AZ13" s="41">
        <v>69</v>
      </c>
      <c r="BA13" s="41">
        <v>25997</v>
      </c>
      <c r="BB13" s="41">
        <v>8735</v>
      </c>
      <c r="BC13" s="41">
        <v>17262</v>
      </c>
      <c r="BD13" s="41">
        <v>2428</v>
      </c>
      <c r="BE13" s="41">
        <v>480</v>
      </c>
      <c r="BF13" s="41">
        <v>1948</v>
      </c>
      <c r="BG13" s="41">
        <v>903</v>
      </c>
      <c r="BH13" s="41">
        <v>903</v>
      </c>
      <c r="BI13" s="41" t="s">
        <v>261</v>
      </c>
      <c r="BJ13" s="41">
        <v>22666</v>
      </c>
      <c r="BK13" s="41">
        <v>7352</v>
      </c>
      <c r="BL13" s="41">
        <v>15314</v>
      </c>
      <c r="BM13" s="41">
        <v>213120</v>
      </c>
      <c r="BN13" s="41">
        <v>71765.5</v>
      </c>
      <c r="BO13" s="41">
        <v>141354.5</v>
      </c>
      <c r="BP13" s="41">
        <v>15643</v>
      </c>
      <c r="BQ13" s="41">
        <v>2804</v>
      </c>
      <c r="BR13" s="41">
        <v>12839</v>
      </c>
      <c r="BS13" s="41">
        <v>7395.5</v>
      </c>
      <c r="BT13" s="41">
        <v>7395.5</v>
      </c>
      <c r="BU13" s="41" t="s">
        <v>262</v>
      </c>
      <c r="BV13" s="41">
        <v>190081.5</v>
      </c>
      <c r="BW13" s="41">
        <v>61566</v>
      </c>
      <c r="BX13" s="41">
        <v>128515.5</v>
      </c>
    </row>
    <row r="14" spans="1:76" s="126" customFormat="1" ht="15.6" customHeight="1">
      <c r="A14" s="50" t="s">
        <v>152</v>
      </c>
      <c r="B14" s="124" t="s">
        <v>7</v>
      </c>
      <c r="C14" s="20" t="s">
        <v>261</v>
      </c>
      <c r="D14" s="20" t="s">
        <v>261</v>
      </c>
      <c r="E14" s="20" t="s">
        <v>261</v>
      </c>
      <c r="F14" s="20" t="s">
        <v>261</v>
      </c>
      <c r="G14" s="20" t="s">
        <v>261</v>
      </c>
      <c r="H14" s="20" t="s">
        <v>261</v>
      </c>
      <c r="I14" s="20" t="s">
        <v>261</v>
      </c>
      <c r="J14" s="20" t="s">
        <v>261</v>
      </c>
      <c r="K14" s="20" t="s">
        <v>261</v>
      </c>
      <c r="L14" s="20" t="s">
        <v>261</v>
      </c>
      <c r="M14" s="20" t="s">
        <v>261</v>
      </c>
      <c r="N14" s="20" t="s">
        <v>261</v>
      </c>
      <c r="O14" s="20" t="s">
        <v>261</v>
      </c>
      <c r="P14" s="20" t="s">
        <v>261</v>
      </c>
      <c r="Q14" s="20" t="s">
        <v>261</v>
      </c>
      <c r="R14" s="20" t="s">
        <v>261</v>
      </c>
      <c r="S14" s="20" t="s">
        <v>261</v>
      </c>
      <c r="T14" s="20" t="s">
        <v>261</v>
      </c>
      <c r="U14" s="20" t="s">
        <v>261</v>
      </c>
      <c r="V14" s="20" t="s">
        <v>261</v>
      </c>
      <c r="W14" s="20" t="s">
        <v>261</v>
      </c>
      <c r="X14" s="20" t="s">
        <v>261</v>
      </c>
      <c r="Y14" s="20" t="s">
        <v>261</v>
      </c>
      <c r="Z14" s="20" t="s">
        <v>261</v>
      </c>
      <c r="AA14" s="20" t="s">
        <v>261</v>
      </c>
      <c r="AB14" s="20" t="s">
        <v>262</v>
      </c>
      <c r="AC14" s="20" t="s">
        <v>262</v>
      </c>
      <c r="AD14" s="20" t="s">
        <v>262</v>
      </c>
      <c r="AE14" s="20" t="s">
        <v>262</v>
      </c>
      <c r="AF14" s="20" t="s">
        <v>262</v>
      </c>
      <c r="AG14" s="20" t="s">
        <v>262</v>
      </c>
      <c r="AH14" s="20" t="s">
        <v>262</v>
      </c>
      <c r="AI14" s="20" t="s">
        <v>262</v>
      </c>
      <c r="AJ14" s="20" t="s">
        <v>262</v>
      </c>
      <c r="AK14" s="20" t="s">
        <v>262</v>
      </c>
      <c r="AL14" s="20" t="s">
        <v>262</v>
      </c>
      <c r="AM14" s="20" t="s">
        <v>262</v>
      </c>
      <c r="AN14" s="20">
        <v>3</v>
      </c>
      <c r="AO14" s="20">
        <v>52</v>
      </c>
      <c r="AP14" s="20">
        <v>16</v>
      </c>
      <c r="AQ14" s="20">
        <v>36</v>
      </c>
      <c r="AR14" s="20">
        <v>6</v>
      </c>
      <c r="AS14" s="20">
        <v>3</v>
      </c>
      <c r="AT14" s="20">
        <v>3</v>
      </c>
      <c r="AU14" s="20">
        <v>1</v>
      </c>
      <c r="AV14" s="20">
        <v>1</v>
      </c>
      <c r="AW14" s="20" t="s">
        <v>261</v>
      </c>
      <c r="AX14" s="20">
        <v>45</v>
      </c>
      <c r="AY14" s="20">
        <v>12</v>
      </c>
      <c r="AZ14" s="20">
        <v>33</v>
      </c>
      <c r="BA14" s="20">
        <v>11873</v>
      </c>
      <c r="BB14" s="20">
        <v>3667</v>
      </c>
      <c r="BC14" s="20">
        <v>8206</v>
      </c>
      <c r="BD14" s="20">
        <v>1521</v>
      </c>
      <c r="BE14" s="20">
        <v>821</v>
      </c>
      <c r="BF14" s="20">
        <v>700</v>
      </c>
      <c r="BG14" s="20">
        <v>232</v>
      </c>
      <c r="BH14" s="20">
        <v>110</v>
      </c>
      <c r="BI14" s="20">
        <v>122</v>
      </c>
      <c r="BJ14" s="20">
        <v>10120</v>
      </c>
      <c r="BK14" s="20">
        <v>2736</v>
      </c>
      <c r="BL14" s="20">
        <v>7384</v>
      </c>
      <c r="BM14" s="20">
        <v>81225</v>
      </c>
      <c r="BN14" s="20">
        <v>27281</v>
      </c>
      <c r="BO14" s="20">
        <v>53944</v>
      </c>
      <c r="BP14" s="20">
        <v>11366</v>
      </c>
      <c r="BQ14" s="20">
        <v>6066</v>
      </c>
      <c r="BR14" s="20">
        <v>5300</v>
      </c>
      <c r="BS14" s="20">
        <v>1856</v>
      </c>
      <c r="BT14" s="20">
        <v>880</v>
      </c>
      <c r="BU14" s="20">
        <v>976</v>
      </c>
      <c r="BV14" s="20">
        <v>68003</v>
      </c>
      <c r="BW14" s="20">
        <v>20335</v>
      </c>
      <c r="BX14" s="20">
        <v>47668</v>
      </c>
    </row>
    <row r="15" spans="1:76" ht="15.6" customHeight="1">
      <c r="A15" s="50" t="s">
        <v>153</v>
      </c>
      <c r="B15" s="94" t="s">
        <v>8</v>
      </c>
      <c r="C15" s="20" t="s">
        <v>261</v>
      </c>
      <c r="D15" s="20" t="s">
        <v>261</v>
      </c>
      <c r="E15" s="20" t="s">
        <v>261</v>
      </c>
      <c r="F15" s="20" t="s">
        <v>261</v>
      </c>
      <c r="G15" s="20" t="s">
        <v>261</v>
      </c>
      <c r="H15" s="20" t="s">
        <v>261</v>
      </c>
      <c r="I15" s="20" t="s">
        <v>261</v>
      </c>
      <c r="J15" s="20" t="s">
        <v>261</v>
      </c>
      <c r="K15" s="20" t="s">
        <v>261</v>
      </c>
      <c r="L15" s="20" t="s">
        <v>261</v>
      </c>
      <c r="M15" s="20" t="s">
        <v>261</v>
      </c>
      <c r="N15" s="20" t="s">
        <v>261</v>
      </c>
      <c r="O15" s="20" t="s">
        <v>261</v>
      </c>
      <c r="P15" s="20" t="s">
        <v>261</v>
      </c>
      <c r="Q15" s="20" t="s">
        <v>261</v>
      </c>
      <c r="R15" s="20" t="s">
        <v>261</v>
      </c>
      <c r="S15" s="20" t="s">
        <v>261</v>
      </c>
      <c r="T15" s="20" t="s">
        <v>261</v>
      </c>
      <c r="U15" s="20" t="s">
        <v>261</v>
      </c>
      <c r="V15" s="20" t="s">
        <v>261</v>
      </c>
      <c r="W15" s="20" t="s">
        <v>261</v>
      </c>
      <c r="X15" s="20" t="s">
        <v>261</v>
      </c>
      <c r="Y15" s="20" t="s">
        <v>261</v>
      </c>
      <c r="Z15" s="20" t="s">
        <v>261</v>
      </c>
      <c r="AA15" s="20" t="s">
        <v>261</v>
      </c>
      <c r="AB15" s="20" t="s">
        <v>262</v>
      </c>
      <c r="AC15" s="20" t="s">
        <v>262</v>
      </c>
      <c r="AD15" s="20" t="s">
        <v>262</v>
      </c>
      <c r="AE15" s="20" t="s">
        <v>262</v>
      </c>
      <c r="AF15" s="20" t="s">
        <v>262</v>
      </c>
      <c r="AG15" s="20" t="s">
        <v>262</v>
      </c>
      <c r="AH15" s="20" t="s">
        <v>262</v>
      </c>
      <c r="AI15" s="20" t="s">
        <v>262</v>
      </c>
      <c r="AJ15" s="20" t="s">
        <v>262</v>
      </c>
      <c r="AK15" s="20" t="s">
        <v>262</v>
      </c>
      <c r="AL15" s="20" t="s">
        <v>262</v>
      </c>
      <c r="AM15" s="20" t="s">
        <v>262</v>
      </c>
      <c r="AN15" s="20" t="s">
        <v>261</v>
      </c>
      <c r="AO15" s="20">
        <v>26</v>
      </c>
      <c r="AP15" s="20">
        <v>12</v>
      </c>
      <c r="AQ15" s="20">
        <v>14</v>
      </c>
      <c r="AR15" s="20">
        <v>1</v>
      </c>
      <c r="AS15" s="20" t="s">
        <v>261</v>
      </c>
      <c r="AT15" s="20">
        <v>1</v>
      </c>
      <c r="AU15" s="20" t="s">
        <v>261</v>
      </c>
      <c r="AV15" s="20" t="s">
        <v>261</v>
      </c>
      <c r="AW15" s="20" t="s">
        <v>261</v>
      </c>
      <c r="AX15" s="20">
        <v>25</v>
      </c>
      <c r="AY15" s="20">
        <v>12</v>
      </c>
      <c r="AZ15" s="20">
        <v>13</v>
      </c>
      <c r="BA15" s="20">
        <v>4020</v>
      </c>
      <c r="BB15" s="20">
        <v>1788</v>
      </c>
      <c r="BC15" s="20">
        <v>2232</v>
      </c>
      <c r="BD15" s="20">
        <v>218</v>
      </c>
      <c r="BE15" s="20">
        <v>144</v>
      </c>
      <c r="BF15" s="20">
        <v>74</v>
      </c>
      <c r="BG15" s="20">
        <v>38</v>
      </c>
      <c r="BH15" s="20">
        <v>38</v>
      </c>
      <c r="BI15" s="20" t="s">
        <v>261</v>
      </c>
      <c r="BJ15" s="20">
        <v>3764</v>
      </c>
      <c r="BK15" s="20">
        <v>1606</v>
      </c>
      <c r="BL15" s="20">
        <v>2158</v>
      </c>
      <c r="BM15" s="20">
        <v>34082</v>
      </c>
      <c r="BN15" s="20">
        <v>15248</v>
      </c>
      <c r="BO15" s="20">
        <v>18834</v>
      </c>
      <c r="BP15" s="20">
        <v>1618</v>
      </c>
      <c r="BQ15" s="20">
        <v>1149</v>
      </c>
      <c r="BR15" s="20">
        <v>469</v>
      </c>
      <c r="BS15" s="20">
        <v>300</v>
      </c>
      <c r="BT15" s="20">
        <v>300</v>
      </c>
      <c r="BU15" s="20" t="s">
        <v>262</v>
      </c>
      <c r="BV15" s="20">
        <v>32164</v>
      </c>
      <c r="BW15" s="20">
        <v>13799</v>
      </c>
      <c r="BX15" s="20">
        <v>18365</v>
      </c>
    </row>
    <row r="16" spans="1:76" ht="15.6" customHeight="1">
      <c r="A16" s="50" t="s">
        <v>154</v>
      </c>
      <c r="B16" s="94" t="s">
        <v>9</v>
      </c>
      <c r="C16" s="20" t="s">
        <v>261</v>
      </c>
      <c r="D16" s="20" t="s">
        <v>261</v>
      </c>
      <c r="E16" s="20" t="s">
        <v>261</v>
      </c>
      <c r="F16" s="20" t="s">
        <v>261</v>
      </c>
      <c r="G16" s="20" t="s">
        <v>261</v>
      </c>
      <c r="H16" s="20" t="s">
        <v>261</v>
      </c>
      <c r="I16" s="20" t="s">
        <v>261</v>
      </c>
      <c r="J16" s="20" t="s">
        <v>261</v>
      </c>
      <c r="K16" s="20" t="s">
        <v>261</v>
      </c>
      <c r="L16" s="20" t="s">
        <v>261</v>
      </c>
      <c r="M16" s="20" t="s">
        <v>261</v>
      </c>
      <c r="N16" s="20" t="s">
        <v>261</v>
      </c>
      <c r="O16" s="20" t="s">
        <v>261</v>
      </c>
      <c r="P16" s="20" t="s">
        <v>261</v>
      </c>
      <c r="Q16" s="20" t="s">
        <v>261</v>
      </c>
      <c r="R16" s="20" t="s">
        <v>261</v>
      </c>
      <c r="S16" s="20" t="s">
        <v>261</v>
      </c>
      <c r="T16" s="20" t="s">
        <v>261</v>
      </c>
      <c r="U16" s="20" t="s">
        <v>261</v>
      </c>
      <c r="V16" s="20" t="s">
        <v>261</v>
      </c>
      <c r="W16" s="20" t="s">
        <v>261</v>
      </c>
      <c r="X16" s="20" t="s">
        <v>261</v>
      </c>
      <c r="Y16" s="20" t="s">
        <v>261</v>
      </c>
      <c r="Z16" s="20" t="s">
        <v>261</v>
      </c>
      <c r="AA16" s="20" t="s">
        <v>261</v>
      </c>
      <c r="AB16" s="20" t="s">
        <v>262</v>
      </c>
      <c r="AC16" s="20" t="s">
        <v>262</v>
      </c>
      <c r="AD16" s="20" t="s">
        <v>262</v>
      </c>
      <c r="AE16" s="20" t="s">
        <v>262</v>
      </c>
      <c r="AF16" s="20" t="s">
        <v>262</v>
      </c>
      <c r="AG16" s="20" t="s">
        <v>262</v>
      </c>
      <c r="AH16" s="20" t="s">
        <v>262</v>
      </c>
      <c r="AI16" s="20" t="s">
        <v>262</v>
      </c>
      <c r="AJ16" s="20" t="s">
        <v>262</v>
      </c>
      <c r="AK16" s="20" t="s">
        <v>262</v>
      </c>
      <c r="AL16" s="20" t="s">
        <v>262</v>
      </c>
      <c r="AM16" s="20" t="s">
        <v>262</v>
      </c>
      <c r="AN16" s="20" t="s">
        <v>261</v>
      </c>
      <c r="AO16" s="20">
        <v>3</v>
      </c>
      <c r="AP16" s="20">
        <v>2</v>
      </c>
      <c r="AQ16" s="20">
        <v>1</v>
      </c>
      <c r="AR16" s="20" t="s">
        <v>261</v>
      </c>
      <c r="AS16" s="20" t="s">
        <v>261</v>
      </c>
      <c r="AT16" s="20" t="s">
        <v>261</v>
      </c>
      <c r="AU16" s="20" t="s">
        <v>261</v>
      </c>
      <c r="AV16" s="20" t="s">
        <v>261</v>
      </c>
      <c r="AW16" s="20" t="s">
        <v>261</v>
      </c>
      <c r="AX16" s="20">
        <v>3</v>
      </c>
      <c r="AY16" s="20">
        <v>2</v>
      </c>
      <c r="AZ16" s="20">
        <v>1</v>
      </c>
      <c r="BA16" s="20">
        <v>403</v>
      </c>
      <c r="BB16" s="20">
        <v>238</v>
      </c>
      <c r="BC16" s="20">
        <v>165</v>
      </c>
      <c r="BD16" s="20">
        <v>3</v>
      </c>
      <c r="BE16" s="20">
        <v>3</v>
      </c>
      <c r="BF16" s="20" t="s">
        <v>261</v>
      </c>
      <c r="BG16" s="20">
        <v>116</v>
      </c>
      <c r="BH16" s="20">
        <v>116</v>
      </c>
      <c r="BI16" s="20" t="s">
        <v>261</v>
      </c>
      <c r="BJ16" s="20">
        <v>284</v>
      </c>
      <c r="BK16" s="20">
        <v>119</v>
      </c>
      <c r="BL16" s="20">
        <v>165</v>
      </c>
      <c r="BM16" s="20">
        <v>3136</v>
      </c>
      <c r="BN16" s="20">
        <v>1824</v>
      </c>
      <c r="BO16" s="20">
        <v>1312</v>
      </c>
      <c r="BP16" s="20">
        <v>20</v>
      </c>
      <c r="BQ16" s="20">
        <v>20</v>
      </c>
      <c r="BR16" s="20" t="s">
        <v>262</v>
      </c>
      <c r="BS16" s="20">
        <v>860</v>
      </c>
      <c r="BT16" s="20">
        <v>860</v>
      </c>
      <c r="BU16" s="20" t="s">
        <v>262</v>
      </c>
      <c r="BV16" s="20">
        <v>2256</v>
      </c>
      <c r="BW16" s="20">
        <v>944</v>
      </c>
      <c r="BX16" s="20">
        <v>1312</v>
      </c>
    </row>
    <row r="17" spans="1:76" ht="15.6" customHeight="1">
      <c r="A17" s="50" t="s">
        <v>155</v>
      </c>
      <c r="B17" s="94" t="s">
        <v>10</v>
      </c>
      <c r="C17" s="20" t="s">
        <v>261</v>
      </c>
      <c r="D17" s="20" t="s">
        <v>261</v>
      </c>
      <c r="E17" s="20" t="s">
        <v>261</v>
      </c>
      <c r="F17" s="20" t="s">
        <v>261</v>
      </c>
      <c r="G17" s="20" t="s">
        <v>261</v>
      </c>
      <c r="H17" s="20" t="s">
        <v>261</v>
      </c>
      <c r="I17" s="20" t="s">
        <v>261</v>
      </c>
      <c r="J17" s="20" t="s">
        <v>261</v>
      </c>
      <c r="K17" s="20" t="s">
        <v>261</v>
      </c>
      <c r="L17" s="20" t="s">
        <v>261</v>
      </c>
      <c r="M17" s="20" t="s">
        <v>261</v>
      </c>
      <c r="N17" s="20" t="s">
        <v>261</v>
      </c>
      <c r="O17" s="20" t="s">
        <v>261</v>
      </c>
      <c r="P17" s="20" t="s">
        <v>261</v>
      </c>
      <c r="Q17" s="20" t="s">
        <v>261</v>
      </c>
      <c r="R17" s="20" t="s">
        <v>261</v>
      </c>
      <c r="S17" s="20" t="s">
        <v>261</v>
      </c>
      <c r="T17" s="20" t="s">
        <v>261</v>
      </c>
      <c r="U17" s="20" t="s">
        <v>261</v>
      </c>
      <c r="V17" s="20" t="s">
        <v>261</v>
      </c>
      <c r="W17" s="20" t="s">
        <v>261</v>
      </c>
      <c r="X17" s="20" t="s">
        <v>261</v>
      </c>
      <c r="Y17" s="20" t="s">
        <v>261</v>
      </c>
      <c r="Z17" s="20" t="s">
        <v>261</v>
      </c>
      <c r="AA17" s="20" t="s">
        <v>261</v>
      </c>
      <c r="AB17" s="20" t="s">
        <v>262</v>
      </c>
      <c r="AC17" s="20" t="s">
        <v>262</v>
      </c>
      <c r="AD17" s="20" t="s">
        <v>262</v>
      </c>
      <c r="AE17" s="20" t="s">
        <v>262</v>
      </c>
      <c r="AF17" s="20" t="s">
        <v>262</v>
      </c>
      <c r="AG17" s="20" t="s">
        <v>262</v>
      </c>
      <c r="AH17" s="20" t="s">
        <v>262</v>
      </c>
      <c r="AI17" s="20" t="s">
        <v>262</v>
      </c>
      <c r="AJ17" s="20" t="s">
        <v>262</v>
      </c>
      <c r="AK17" s="20" t="s">
        <v>262</v>
      </c>
      <c r="AL17" s="20" t="s">
        <v>262</v>
      </c>
      <c r="AM17" s="20" t="s">
        <v>262</v>
      </c>
      <c r="AN17" s="20">
        <v>1</v>
      </c>
      <c r="AO17" s="20">
        <v>6</v>
      </c>
      <c r="AP17" s="20">
        <v>1</v>
      </c>
      <c r="AQ17" s="20">
        <v>5</v>
      </c>
      <c r="AR17" s="20">
        <v>2</v>
      </c>
      <c r="AS17" s="20" t="s">
        <v>261</v>
      </c>
      <c r="AT17" s="20">
        <v>2</v>
      </c>
      <c r="AU17" s="20">
        <v>2</v>
      </c>
      <c r="AV17" s="20" t="s">
        <v>261</v>
      </c>
      <c r="AW17" s="20">
        <v>2</v>
      </c>
      <c r="AX17" s="20">
        <v>2</v>
      </c>
      <c r="AY17" s="20">
        <v>1</v>
      </c>
      <c r="AZ17" s="20">
        <v>1</v>
      </c>
      <c r="BA17" s="20">
        <v>637</v>
      </c>
      <c r="BB17" s="20">
        <v>94</v>
      </c>
      <c r="BC17" s="20">
        <v>543</v>
      </c>
      <c r="BD17" s="20">
        <v>192</v>
      </c>
      <c r="BE17" s="20">
        <v>4</v>
      </c>
      <c r="BF17" s="20">
        <v>188</v>
      </c>
      <c r="BG17" s="20">
        <v>210</v>
      </c>
      <c r="BH17" s="20" t="s">
        <v>261</v>
      </c>
      <c r="BI17" s="20">
        <v>210</v>
      </c>
      <c r="BJ17" s="20">
        <v>235</v>
      </c>
      <c r="BK17" s="20">
        <v>90</v>
      </c>
      <c r="BL17" s="20">
        <v>145</v>
      </c>
      <c r="BM17" s="20">
        <v>3035</v>
      </c>
      <c r="BN17" s="20">
        <v>532</v>
      </c>
      <c r="BO17" s="20">
        <v>2503</v>
      </c>
      <c r="BP17" s="20">
        <v>890</v>
      </c>
      <c r="BQ17" s="20">
        <v>32</v>
      </c>
      <c r="BR17" s="20">
        <v>858</v>
      </c>
      <c r="BS17" s="20">
        <v>960</v>
      </c>
      <c r="BT17" s="20" t="s">
        <v>262</v>
      </c>
      <c r="BU17" s="20">
        <v>960</v>
      </c>
      <c r="BV17" s="20">
        <v>1185</v>
      </c>
      <c r="BW17" s="20">
        <v>500</v>
      </c>
      <c r="BX17" s="20">
        <v>685</v>
      </c>
    </row>
    <row r="18" spans="1:76" ht="15.6" customHeight="1">
      <c r="A18" s="50" t="s">
        <v>156</v>
      </c>
      <c r="B18" s="94" t="s">
        <v>11</v>
      </c>
      <c r="C18" s="20" t="s">
        <v>261</v>
      </c>
      <c r="D18" s="20" t="s">
        <v>261</v>
      </c>
      <c r="E18" s="20" t="s">
        <v>261</v>
      </c>
      <c r="F18" s="20" t="s">
        <v>261</v>
      </c>
      <c r="G18" s="20" t="s">
        <v>261</v>
      </c>
      <c r="H18" s="20" t="s">
        <v>261</v>
      </c>
      <c r="I18" s="20" t="s">
        <v>261</v>
      </c>
      <c r="J18" s="20" t="s">
        <v>261</v>
      </c>
      <c r="K18" s="20" t="s">
        <v>261</v>
      </c>
      <c r="L18" s="20" t="s">
        <v>261</v>
      </c>
      <c r="M18" s="20" t="s">
        <v>261</v>
      </c>
      <c r="N18" s="20" t="s">
        <v>261</v>
      </c>
      <c r="O18" s="20" t="s">
        <v>261</v>
      </c>
      <c r="P18" s="20" t="s">
        <v>261</v>
      </c>
      <c r="Q18" s="20" t="s">
        <v>261</v>
      </c>
      <c r="R18" s="20" t="s">
        <v>261</v>
      </c>
      <c r="S18" s="20" t="s">
        <v>261</v>
      </c>
      <c r="T18" s="20" t="s">
        <v>261</v>
      </c>
      <c r="U18" s="20" t="s">
        <v>261</v>
      </c>
      <c r="V18" s="20" t="s">
        <v>261</v>
      </c>
      <c r="W18" s="20" t="s">
        <v>261</v>
      </c>
      <c r="X18" s="20" t="s">
        <v>261</v>
      </c>
      <c r="Y18" s="20" t="s">
        <v>261</v>
      </c>
      <c r="Z18" s="20" t="s">
        <v>261</v>
      </c>
      <c r="AA18" s="20" t="s">
        <v>261</v>
      </c>
      <c r="AB18" s="20" t="s">
        <v>262</v>
      </c>
      <c r="AC18" s="20" t="s">
        <v>262</v>
      </c>
      <c r="AD18" s="20" t="s">
        <v>262</v>
      </c>
      <c r="AE18" s="20" t="s">
        <v>262</v>
      </c>
      <c r="AF18" s="20" t="s">
        <v>262</v>
      </c>
      <c r="AG18" s="20" t="s">
        <v>262</v>
      </c>
      <c r="AH18" s="20" t="s">
        <v>262</v>
      </c>
      <c r="AI18" s="20" t="s">
        <v>262</v>
      </c>
      <c r="AJ18" s="20" t="s">
        <v>262</v>
      </c>
      <c r="AK18" s="20" t="s">
        <v>262</v>
      </c>
      <c r="AL18" s="20" t="s">
        <v>262</v>
      </c>
      <c r="AM18" s="20" t="s">
        <v>262</v>
      </c>
      <c r="AN18" s="20">
        <v>1</v>
      </c>
      <c r="AO18" s="20">
        <v>17</v>
      </c>
      <c r="AP18" s="20">
        <v>1</v>
      </c>
      <c r="AQ18" s="20">
        <v>16</v>
      </c>
      <c r="AR18" s="20">
        <v>2</v>
      </c>
      <c r="AS18" s="20" t="s">
        <v>261</v>
      </c>
      <c r="AT18" s="20">
        <v>2</v>
      </c>
      <c r="AU18" s="20">
        <v>1</v>
      </c>
      <c r="AV18" s="20" t="s">
        <v>261</v>
      </c>
      <c r="AW18" s="20">
        <v>1</v>
      </c>
      <c r="AX18" s="20">
        <v>14</v>
      </c>
      <c r="AY18" s="20">
        <v>1</v>
      </c>
      <c r="AZ18" s="20">
        <v>13</v>
      </c>
      <c r="BA18" s="20">
        <v>4439</v>
      </c>
      <c r="BB18" s="20">
        <v>644</v>
      </c>
      <c r="BC18" s="20">
        <v>3795</v>
      </c>
      <c r="BD18" s="20">
        <v>327</v>
      </c>
      <c r="BE18" s="20">
        <v>36</v>
      </c>
      <c r="BF18" s="20">
        <v>291</v>
      </c>
      <c r="BG18" s="20">
        <v>436</v>
      </c>
      <c r="BH18" s="20" t="s">
        <v>261</v>
      </c>
      <c r="BI18" s="20">
        <v>436</v>
      </c>
      <c r="BJ18" s="20">
        <v>3676</v>
      </c>
      <c r="BK18" s="20">
        <v>608</v>
      </c>
      <c r="BL18" s="20">
        <v>3068</v>
      </c>
      <c r="BM18" s="20">
        <v>37515</v>
      </c>
      <c r="BN18" s="20">
        <v>5060</v>
      </c>
      <c r="BO18" s="20">
        <v>32455</v>
      </c>
      <c r="BP18" s="20">
        <v>2223</v>
      </c>
      <c r="BQ18" s="20">
        <v>193</v>
      </c>
      <c r="BR18" s="20">
        <v>2030</v>
      </c>
      <c r="BS18" s="20">
        <v>3479</v>
      </c>
      <c r="BT18" s="20" t="s">
        <v>262</v>
      </c>
      <c r="BU18" s="20">
        <v>3479</v>
      </c>
      <c r="BV18" s="20">
        <v>31813</v>
      </c>
      <c r="BW18" s="20">
        <v>4867</v>
      </c>
      <c r="BX18" s="20">
        <v>26946</v>
      </c>
    </row>
    <row r="19" spans="1:76" ht="15.6" customHeight="1">
      <c r="A19" s="50" t="s">
        <v>157</v>
      </c>
      <c r="B19" s="94" t="s">
        <v>12</v>
      </c>
      <c r="C19" s="20">
        <v>3</v>
      </c>
      <c r="D19" s="20">
        <v>12</v>
      </c>
      <c r="E19" s="20">
        <v>1</v>
      </c>
      <c r="F19" s="20">
        <v>11</v>
      </c>
      <c r="G19" s="20" t="s">
        <v>261</v>
      </c>
      <c r="H19" s="20" t="s">
        <v>261</v>
      </c>
      <c r="I19" s="20" t="s">
        <v>261</v>
      </c>
      <c r="J19" s="20">
        <v>1</v>
      </c>
      <c r="K19" s="20" t="s">
        <v>261</v>
      </c>
      <c r="L19" s="20">
        <v>1</v>
      </c>
      <c r="M19" s="20">
        <v>11</v>
      </c>
      <c r="N19" s="20">
        <v>1</v>
      </c>
      <c r="O19" s="20">
        <v>10</v>
      </c>
      <c r="P19" s="20">
        <v>1456</v>
      </c>
      <c r="Q19" s="20">
        <v>64</v>
      </c>
      <c r="R19" s="20">
        <v>1392</v>
      </c>
      <c r="S19" s="20">
        <v>23</v>
      </c>
      <c r="T19" s="20" t="s">
        <v>261</v>
      </c>
      <c r="U19" s="20">
        <v>23</v>
      </c>
      <c r="V19" s="20">
        <v>31</v>
      </c>
      <c r="W19" s="20" t="s">
        <v>261</v>
      </c>
      <c r="X19" s="20">
        <v>31</v>
      </c>
      <c r="Y19" s="20">
        <v>1402</v>
      </c>
      <c r="Z19" s="20">
        <v>64</v>
      </c>
      <c r="AA19" s="20">
        <v>1338</v>
      </c>
      <c r="AB19" s="20">
        <v>11277</v>
      </c>
      <c r="AC19" s="20">
        <v>512</v>
      </c>
      <c r="AD19" s="20">
        <v>10765</v>
      </c>
      <c r="AE19" s="20">
        <v>184</v>
      </c>
      <c r="AF19" s="20" t="s">
        <v>262</v>
      </c>
      <c r="AG19" s="20">
        <v>184</v>
      </c>
      <c r="AH19" s="20">
        <v>248</v>
      </c>
      <c r="AI19" s="20" t="s">
        <v>262</v>
      </c>
      <c r="AJ19" s="20">
        <v>248</v>
      </c>
      <c r="AK19" s="20">
        <v>10845</v>
      </c>
      <c r="AL19" s="20">
        <v>512</v>
      </c>
      <c r="AM19" s="20">
        <v>10333</v>
      </c>
      <c r="AN19" s="20">
        <v>5</v>
      </c>
      <c r="AO19" s="20">
        <v>48</v>
      </c>
      <c r="AP19" s="20">
        <v>18</v>
      </c>
      <c r="AQ19" s="20">
        <v>30</v>
      </c>
      <c r="AR19" s="20">
        <v>2</v>
      </c>
      <c r="AS19" s="20" t="s">
        <v>261</v>
      </c>
      <c r="AT19" s="20">
        <v>2</v>
      </c>
      <c r="AU19" s="20">
        <v>11</v>
      </c>
      <c r="AV19" s="20">
        <v>7</v>
      </c>
      <c r="AW19" s="20">
        <v>4</v>
      </c>
      <c r="AX19" s="20">
        <v>35</v>
      </c>
      <c r="AY19" s="20">
        <v>11</v>
      </c>
      <c r="AZ19" s="20">
        <v>24</v>
      </c>
      <c r="BA19" s="20">
        <v>8500</v>
      </c>
      <c r="BB19" s="20">
        <v>3661</v>
      </c>
      <c r="BC19" s="20">
        <v>4839</v>
      </c>
      <c r="BD19" s="20">
        <v>527</v>
      </c>
      <c r="BE19" s="20">
        <v>123</v>
      </c>
      <c r="BF19" s="20">
        <v>404</v>
      </c>
      <c r="BG19" s="20">
        <v>1871</v>
      </c>
      <c r="BH19" s="20">
        <v>929</v>
      </c>
      <c r="BI19" s="20">
        <v>942</v>
      </c>
      <c r="BJ19" s="20">
        <v>6102</v>
      </c>
      <c r="BK19" s="20">
        <v>2609</v>
      </c>
      <c r="BL19" s="20">
        <v>3493</v>
      </c>
      <c r="BM19" s="20">
        <v>56475</v>
      </c>
      <c r="BN19" s="20">
        <v>28849</v>
      </c>
      <c r="BO19" s="20">
        <v>27626</v>
      </c>
      <c r="BP19" s="20">
        <v>2878</v>
      </c>
      <c r="BQ19" s="20">
        <v>565</v>
      </c>
      <c r="BR19" s="20">
        <v>2313</v>
      </c>
      <c r="BS19" s="20">
        <v>14492</v>
      </c>
      <c r="BT19" s="20">
        <v>7697</v>
      </c>
      <c r="BU19" s="20">
        <v>6795</v>
      </c>
      <c r="BV19" s="20">
        <v>39105</v>
      </c>
      <c r="BW19" s="20">
        <v>20587</v>
      </c>
      <c r="BX19" s="20">
        <v>18518</v>
      </c>
    </row>
    <row r="20" spans="1:76" ht="15.6" customHeight="1">
      <c r="A20" s="50" t="s">
        <v>158</v>
      </c>
      <c r="B20" s="94" t="s">
        <v>13</v>
      </c>
      <c r="C20" s="20">
        <v>1</v>
      </c>
      <c r="D20" s="20" t="s">
        <v>261</v>
      </c>
      <c r="E20" s="20" t="s">
        <v>261</v>
      </c>
      <c r="F20" s="20" t="s">
        <v>261</v>
      </c>
      <c r="G20" s="20" t="s">
        <v>261</v>
      </c>
      <c r="H20" s="20" t="s">
        <v>261</v>
      </c>
      <c r="I20" s="20" t="s">
        <v>261</v>
      </c>
      <c r="J20" s="20" t="s">
        <v>261</v>
      </c>
      <c r="K20" s="20" t="s">
        <v>261</v>
      </c>
      <c r="L20" s="20" t="s">
        <v>261</v>
      </c>
      <c r="M20" s="20" t="s">
        <v>261</v>
      </c>
      <c r="N20" s="20" t="s">
        <v>261</v>
      </c>
      <c r="O20" s="20" t="s">
        <v>261</v>
      </c>
      <c r="P20" s="20" t="s">
        <v>261</v>
      </c>
      <c r="Q20" s="20" t="s">
        <v>261</v>
      </c>
      <c r="R20" s="20" t="s">
        <v>261</v>
      </c>
      <c r="S20" s="20" t="s">
        <v>261</v>
      </c>
      <c r="T20" s="20" t="s">
        <v>261</v>
      </c>
      <c r="U20" s="20" t="s">
        <v>261</v>
      </c>
      <c r="V20" s="20" t="s">
        <v>261</v>
      </c>
      <c r="W20" s="20" t="s">
        <v>261</v>
      </c>
      <c r="X20" s="20" t="s">
        <v>261</v>
      </c>
      <c r="Y20" s="20" t="s">
        <v>261</v>
      </c>
      <c r="Z20" s="20" t="s">
        <v>261</v>
      </c>
      <c r="AA20" s="20" t="s">
        <v>261</v>
      </c>
      <c r="AB20" s="20" t="s">
        <v>262</v>
      </c>
      <c r="AC20" s="20" t="s">
        <v>262</v>
      </c>
      <c r="AD20" s="20" t="s">
        <v>262</v>
      </c>
      <c r="AE20" s="20" t="s">
        <v>262</v>
      </c>
      <c r="AF20" s="20" t="s">
        <v>262</v>
      </c>
      <c r="AG20" s="20" t="s">
        <v>262</v>
      </c>
      <c r="AH20" s="20" t="s">
        <v>262</v>
      </c>
      <c r="AI20" s="20" t="s">
        <v>262</v>
      </c>
      <c r="AJ20" s="20" t="s">
        <v>262</v>
      </c>
      <c r="AK20" s="20" t="s">
        <v>262</v>
      </c>
      <c r="AL20" s="20" t="s">
        <v>262</v>
      </c>
      <c r="AM20" s="20" t="s">
        <v>262</v>
      </c>
      <c r="AN20" s="20">
        <v>7</v>
      </c>
      <c r="AO20" s="20">
        <v>106</v>
      </c>
      <c r="AP20" s="20">
        <v>46</v>
      </c>
      <c r="AQ20" s="20">
        <v>60</v>
      </c>
      <c r="AR20" s="20">
        <v>9</v>
      </c>
      <c r="AS20" s="20">
        <v>6</v>
      </c>
      <c r="AT20" s="20">
        <v>3</v>
      </c>
      <c r="AU20" s="20">
        <v>19</v>
      </c>
      <c r="AV20" s="20">
        <v>10</v>
      </c>
      <c r="AW20" s="20">
        <v>9</v>
      </c>
      <c r="AX20" s="20">
        <v>78</v>
      </c>
      <c r="AY20" s="20">
        <v>30</v>
      </c>
      <c r="AZ20" s="20">
        <v>48</v>
      </c>
      <c r="BA20" s="20">
        <v>19057</v>
      </c>
      <c r="BB20" s="20">
        <v>8342</v>
      </c>
      <c r="BC20" s="20">
        <v>10715</v>
      </c>
      <c r="BD20" s="20">
        <v>1748</v>
      </c>
      <c r="BE20" s="20">
        <v>1235</v>
      </c>
      <c r="BF20" s="20">
        <v>513</v>
      </c>
      <c r="BG20" s="20">
        <v>2657</v>
      </c>
      <c r="BH20" s="20">
        <v>1436</v>
      </c>
      <c r="BI20" s="20">
        <v>1221</v>
      </c>
      <c r="BJ20" s="20">
        <v>14652</v>
      </c>
      <c r="BK20" s="20">
        <v>5671</v>
      </c>
      <c r="BL20" s="20">
        <v>8981</v>
      </c>
      <c r="BM20" s="20">
        <v>63264.800000000003</v>
      </c>
      <c r="BN20" s="20">
        <v>26571.5</v>
      </c>
      <c r="BO20" s="20">
        <v>36693.300000000003</v>
      </c>
      <c r="BP20" s="20">
        <v>5791.5</v>
      </c>
      <c r="BQ20" s="20">
        <v>3607.5</v>
      </c>
      <c r="BR20" s="20">
        <v>2184</v>
      </c>
      <c r="BS20" s="20">
        <v>8301</v>
      </c>
      <c r="BT20" s="20">
        <v>3515</v>
      </c>
      <c r="BU20" s="20">
        <v>4786</v>
      </c>
      <c r="BV20" s="20">
        <v>49172.3</v>
      </c>
      <c r="BW20" s="20">
        <v>19449</v>
      </c>
      <c r="BX20" s="20">
        <v>29723.3</v>
      </c>
    </row>
    <row r="21" spans="1:76" ht="15.6" customHeight="1">
      <c r="A21" s="50" t="s">
        <v>159</v>
      </c>
      <c r="B21" s="94" t="s">
        <v>14</v>
      </c>
      <c r="C21" s="20" t="s">
        <v>261</v>
      </c>
      <c r="D21" s="20" t="s">
        <v>261</v>
      </c>
      <c r="E21" s="20" t="s">
        <v>261</v>
      </c>
      <c r="F21" s="20" t="s">
        <v>261</v>
      </c>
      <c r="G21" s="20" t="s">
        <v>261</v>
      </c>
      <c r="H21" s="20" t="s">
        <v>261</v>
      </c>
      <c r="I21" s="20" t="s">
        <v>261</v>
      </c>
      <c r="J21" s="20" t="s">
        <v>261</v>
      </c>
      <c r="K21" s="20" t="s">
        <v>261</v>
      </c>
      <c r="L21" s="20" t="s">
        <v>261</v>
      </c>
      <c r="M21" s="20" t="s">
        <v>261</v>
      </c>
      <c r="N21" s="20" t="s">
        <v>261</v>
      </c>
      <c r="O21" s="20" t="s">
        <v>261</v>
      </c>
      <c r="P21" s="20" t="s">
        <v>261</v>
      </c>
      <c r="Q21" s="20" t="s">
        <v>261</v>
      </c>
      <c r="R21" s="20" t="s">
        <v>261</v>
      </c>
      <c r="S21" s="20" t="s">
        <v>261</v>
      </c>
      <c r="T21" s="20" t="s">
        <v>261</v>
      </c>
      <c r="U21" s="20" t="s">
        <v>261</v>
      </c>
      <c r="V21" s="20" t="s">
        <v>261</v>
      </c>
      <c r="W21" s="20" t="s">
        <v>261</v>
      </c>
      <c r="X21" s="20" t="s">
        <v>261</v>
      </c>
      <c r="Y21" s="20" t="s">
        <v>261</v>
      </c>
      <c r="Z21" s="20" t="s">
        <v>261</v>
      </c>
      <c r="AA21" s="20" t="s">
        <v>261</v>
      </c>
      <c r="AB21" s="20" t="s">
        <v>262</v>
      </c>
      <c r="AC21" s="20" t="s">
        <v>262</v>
      </c>
      <c r="AD21" s="20" t="s">
        <v>262</v>
      </c>
      <c r="AE21" s="20" t="s">
        <v>262</v>
      </c>
      <c r="AF21" s="20" t="s">
        <v>262</v>
      </c>
      <c r="AG21" s="20" t="s">
        <v>262</v>
      </c>
      <c r="AH21" s="20" t="s">
        <v>262</v>
      </c>
      <c r="AI21" s="20" t="s">
        <v>262</v>
      </c>
      <c r="AJ21" s="20" t="s">
        <v>262</v>
      </c>
      <c r="AK21" s="20" t="s">
        <v>262</v>
      </c>
      <c r="AL21" s="20" t="s">
        <v>262</v>
      </c>
      <c r="AM21" s="20" t="s">
        <v>262</v>
      </c>
      <c r="AN21" s="20">
        <v>2</v>
      </c>
      <c r="AO21" s="20">
        <v>9</v>
      </c>
      <c r="AP21" s="20">
        <v>2</v>
      </c>
      <c r="AQ21" s="20">
        <v>7</v>
      </c>
      <c r="AR21" s="20">
        <v>2</v>
      </c>
      <c r="AS21" s="20">
        <v>1</v>
      </c>
      <c r="AT21" s="20">
        <v>1</v>
      </c>
      <c r="AU21" s="20">
        <v>1</v>
      </c>
      <c r="AV21" s="20" t="s">
        <v>261</v>
      </c>
      <c r="AW21" s="20">
        <v>1</v>
      </c>
      <c r="AX21" s="20">
        <v>6</v>
      </c>
      <c r="AY21" s="20">
        <v>1</v>
      </c>
      <c r="AZ21" s="20">
        <v>5</v>
      </c>
      <c r="BA21" s="20">
        <v>1118</v>
      </c>
      <c r="BB21" s="20">
        <v>296</v>
      </c>
      <c r="BC21" s="20">
        <v>822</v>
      </c>
      <c r="BD21" s="20">
        <v>280</v>
      </c>
      <c r="BE21" s="20">
        <v>134</v>
      </c>
      <c r="BF21" s="20">
        <v>146</v>
      </c>
      <c r="BG21" s="20">
        <v>163</v>
      </c>
      <c r="BH21" s="20" t="s">
        <v>261</v>
      </c>
      <c r="BI21" s="20">
        <v>163</v>
      </c>
      <c r="BJ21" s="20">
        <v>675</v>
      </c>
      <c r="BK21" s="20">
        <v>162</v>
      </c>
      <c r="BL21" s="20">
        <v>513</v>
      </c>
      <c r="BM21" s="20">
        <v>8710</v>
      </c>
      <c r="BN21" s="20">
        <v>2368</v>
      </c>
      <c r="BO21" s="20">
        <v>6342</v>
      </c>
      <c r="BP21" s="20">
        <v>2240</v>
      </c>
      <c r="BQ21" s="20">
        <v>1072</v>
      </c>
      <c r="BR21" s="20">
        <v>1168</v>
      </c>
      <c r="BS21" s="20">
        <v>1320</v>
      </c>
      <c r="BT21" s="20" t="s">
        <v>262</v>
      </c>
      <c r="BU21" s="20">
        <v>1320</v>
      </c>
      <c r="BV21" s="20">
        <v>5150</v>
      </c>
      <c r="BW21" s="20">
        <v>1296</v>
      </c>
      <c r="BX21" s="20">
        <v>3854</v>
      </c>
    </row>
    <row r="22" spans="1:76" ht="15.6" customHeight="1">
      <c r="A22" s="50" t="s">
        <v>160</v>
      </c>
      <c r="B22" s="94" t="s">
        <v>15</v>
      </c>
      <c r="C22" s="20">
        <v>1</v>
      </c>
      <c r="D22" s="20">
        <v>23</v>
      </c>
      <c r="E22" s="20">
        <v>11</v>
      </c>
      <c r="F22" s="20">
        <v>12</v>
      </c>
      <c r="G22" s="20" t="s">
        <v>261</v>
      </c>
      <c r="H22" s="20" t="s">
        <v>261</v>
      </c>
      <c r="I22" s="20" t="s">
        <v>261</v>
      </c>
      <c r="J22" s="20">
        <v>3</v>
      </c>
      <c r="K22" s="20">
        <v>1</v>
      </c>
      <c r="L22" s="20">
        <v>2</v>
      </c>
      <c r="M22" s="20">
        <v>20</v>
      </c>
      <c r="N22" s="20">
        <v>10</v>
      </c>
      <c r="O22" s="20">
        <v>10</v>
      </c>
      <c r="P22" s="20">
        <v>3751</v>
      </c>
      <c r="Q22" s="20">
        <v>1731</v>
      </c>
      <c r="R22" s="20">
        <v>2020</v>
      </c>
      <c r="S22" s="20" t="s">
        <v>261</v>
      </c>
      <c r="T22" s="20" t="s">
        <v>261</v>
      </c>
      <c r="U22" s="20" t="s">
        <v>261</v>
      </c>
      <c r="V22" s="20">
        <v>357</v>
      </c>
      <c r="W22" s="20">
        <v>98</v>
      </c>
      <c r="X22" s="20">
        <v>259</v>
      </c>
      <c r="Y22" s="20">
        <v>3394</v>
      </c>
      <c r="Z22" s="20">
        <v>1633</v>
      </c>
      <c r="AA22" s="20">
        <v>1761</v>
      </c>
      <c r="AB22" s="20">
        <v>15351</v>
      </c>
      <c r="AC22" s="20">
        <v>7381</v>
      </c>
      <c r="AD22" s="20">
        <v>7970</v>
      </c>
      <c r="AE22" s="20" t="s">
        <v>262</v>
      </c>
      <c r="AF22" s="20" t="s">
        <v>262</v>
      </c>
      <c r="AG22" s="20" t="s">
        <v>262</v>
      </c>
      <c r="AH22" s="20">
        <v>1382</v>
      </c>
      <c r="AI22" s="20">
        <v>322</v>
      </c>
      <c r="AJ22" s="20">
        <v>1060</v>
      </c>
      <c r="AK22" s="20">
        <v>13969</v>
      </c>
      <c r="AL22" s="20">
        <v>7059</v>
      </c>
      <c r="AM22" s="20">
        <v>6910</v>
      </c>
      <c r="AN22" s="20">
        <v>1</v>
      </c>
      <c r="AO22" s="20">
        <v>25</v>
      </c>
      <c r="AP22" s="20">
        <v>13</v>
      </c>
      <c r="AQ22" s="20">
        <v>12</v>
      </c>
      <c r="AR22" s="20">
        <v>1</v>
      </c>
      <c r="AS22" s="20" t="s">
        <v>261</v>
      </c>
      <c r="AT22" s="20">
        <v>1</v>
      </c>
      <c r="AU22" s="20">
        <v>5</v>
      </c>
      <c r="AV22" s="20">
        <v>3</v>
      </c>
      <c r="AW22" s="20">
        <v>2</v>
      </c>
      <c r="AX22" s="20">
        <v>19</v>
      </c>
      <c r="AY22" s="20">
        <v>10</v>
      </c>
      <c r="AZ22" s="20">
        <v>9</v>
      </c>
      <c r="BA22" s="20">
        <v>4798</v>
      </c>
      <c r="BB22" s="20">
        <v>2456</v>
      </c>
      <c r="BC22" s="20">
        <v>2342</v>
      </c>
      <c r="BD22" s="20">
        <v>497</v>
      </c>
      <c r="BE22" s="20">
        <v>135</v>
      </c>
      <c r="BF22" s="20">
        <v>362</v>
      </c>
      <c r="BG22" s="20">
        <v>461</v>
      </c>
      <c r="BH22" s="20">
        <v>305</v>
      </c>
      <c r="BI22" s="20">
        <v>156</v>
      </c>
      <c r="BJ22" s="20">
        <v>3840</v>
      </c>
      <c r="BK22" s="20">
        <v>2016</v>
      </c>
      <c r="BL22" s="20">
        <v>1824</v>
      </c>
      <c r="BM22" s="20">
        <v>15915</v>
      </c>
      <c r="BN22" s="20">
        <v>8041</v>
      </c>
      <c r="BO22" s="20">
        <v>7874</v>
      </c>
      <c r="BP22" s="20">
        <v>1586</v>
      </c>
      <c r="BQ22" s="20">
        <v>492</v>
      </c>
      <c r="BR22" s="20">
        <v>1094</v>
      </c>
      <c r="BS22" s="20">
        <v>1557</v>
      </c>
      <c r="BT22" s="20">
        <v>1021</v>
      </c>
      <c r="BU22" s="20">
        <v>536</v>
      </c>
      <c r="BV22" s="20">
        <v>12772</v>
      </c>
      <c r="BW22" s="20">
        <v>6528</v>
      </c>
      <c r="BX22" s="20">
        <v>6244</v>
      </c>
    </row>
    <row r="23" spans="1:76" ht="15.6" customHeight="1">
      <c r="A23" s="50" t="s">
        <v>161</v>
      </c>
      <c r="B23" s="94" t="s">
        <v>16</v>
      </c>
      <c r="C23" s="20" t="s">
        <v>261</v>
      </c>
      <c r="D23" s="20" t="s">
        <v>261</v>
      </c>
      <c r="E23" s="20" t="s">
        <v>261</v>
      </c>
      <c r="F23" s="20" t="s">
        <v>261</v>
      </c>
      <c r="G23" s="20" t="s">
        <v>261</v>
      </c>
      <c r="H23" s="20" t="s">
        <v>261</v>
      </c>
      <c r="I23" s="20" t="s">
        <v>261</v>
      </c>
      <c r="J23" s="20" t="s">
        <v>261</v>
      </c>
      <c r="K23" s="20" t="s">
        <v>261</v>
      </c>
      <c r="L23" s="20" t="s">
        <v>261</v>
      </c>
      <c r="M23" s="20" t="s">
        <v>261</v>
      </c>
      <c r="N23" s="20" t="s">
        <v>261</v>
      </c>
      <c r="O23" s="20" t="s">
        <v>261</v>
      </c>
      <c r="P23" s="20" t="s">
        <v>261</v>
      </c>
      <c r="Q23" s="20" t="s">
        <v>261</v>
      </c>
      <c r="R23" s="20" t="s">
        <v>261</v>
      </c>
      <c r="S23" s="20" t="s">
        <v>261</v>
      </c>
      <c r="T23" s="20" t="s">
        <v>261</v>
      </c>
      <c r="U23" s="20" t="s">
        <v>261</v>
      </c>
      <c r="V23" s="20" t="s">
        <v>261</v>
      </c>
      <c r="W23" s="20" t="s">
        <v>261</v>
      </c>
      <c r="X23" s="20" t="s">
        <v>261</v>
      </c>
      <c r="Y23" s="20" t="s">
        <v>261</v>
      </c>
      <c r="Z23" s="20" t="s">
        <v>261</v>
      </c>
      <c r="AA23" s="20" t="s">
        <v>261</v>
      </c>
      <c r="AB23" s="20" t="s">
        <v>262</v>
      </c>
      <c r="AC23" s="20" t="s">
        <v>262</v>
      </c>
      <c r="AD23" s="20" t="s">
        <v>262</v>
      </c>
      <c r="AE23" s="20" t="s">
        <v>262</v>
      </c>
      <c r="AF23" s="20" t="s">
        <v>262</v>
      </c>
      <c r="AG23" s="20" t="s">
        <v>262</v>
      </c>
      <c r="AH23" s="20" t="s">
        <v>262</v>
      </c>
      <c r="AI23" s="20" t="s">
        <v>262</v>
      </c>
      <c r="AJ23" s="20" t="s">
        <v>262</v>
      </c>
      <c r="AK23" s="20" t="s">
        <v>262</v>
      </c>
      <c r="AL23" s="20" t="s">
        <v>262</v>
      </c>
      <c r="AM23" s="20" t="s">
        <v>262</v>
      </c>
      <c r="AN23" s="20" t="s">
        <v>261</v>
      </c>
      <c r="AO23" s="20">
        <v>25</v>
      </c>
      <c r="AP23" s="20">
        <v>6</v>
      </c>
      <c r="AQ23" s="20">
        <v>19</v>
      </c>
      <c r="AR23" s="20">
        <v>2</v>
      </c>
      <c r="AS23" s="20">
        <v>1</v>
      </c>
      <c r="AT23" s="20">
        <v>1</v>
      </c>
      <c r="AU23" s="20">
        <v>3</v>
      </c>
      <c r="AV23" s="20">
        <v>2</v>
      </c>
      <c r="AW23" s="20">
        <v>1</v>
      </c>
      <c r="AX23" s="20">
        <v>20</v>
      </c>
      <c r="AY23" s="20">
        <v>3</v>
      </c>
      <c r="AZ23" s="20">
        <v>17</v>
      </c>
      <c r="BA23" s="20">
        <v>5936</v>
      </c>
      <c r="BB23" s="20">
        <v>1865</v>
      </c>
      <c r="BC23" s="20">
        <v>4071</v>
      </c>
      <c r="BD23" s="20">
        <v>334</v>
      </c>
      <c r="BE23" s="20">
        <v>211</v>
      </c>
      <c r="BF23" s="20">
        <v>123</v>
      </c>
      <c r="BG23" s="20">
        <v>667</v>
      </c>
      <c r="BH23" s="20">
        <v>380</v>
      </c>
      <c r="BI23" s="20">
        <v>287</v>
      </c>
      <c r="BJ23" s="20">
        <v>4935</v>
      </c>
      <c r="BK23" s="20">
        <v>1274</v>
      </c>
      <c r="BL23" s="20">
        <v>3661</v>
      </c>
      <c r="BM23" s="20">
        <v>41644</v>
      </c>
      <c r="BN23" s="20">
        <v>12951</v>
      </c>
      <c r="BO23" s="20">
        <v>28693</v>
      </c>
      <c r="BP23" s="20">
        <v>2404</v>
      </c>
      <c r="BQ23" s="20">
        <v>1337</v>
      </c>
      <c r="BR23" s="20">
        <v>1067</v>
      </c>
      <c r="BS23" s="20">
        <v>4976</v>
      </c>
      <c r="BT23" s="20">
        <v>3263</v>
      </c>
      <c r="BU23" s="20">
        <v>1713</v>
      </c>
      <c r="BV23" s="20">
        <v>34264</v>
      </c>
      <c r="BW23" s="20">
        <v>8351</v>
      </c>
      <c r="BX23" s="20">
        <v>25913</v>
      </c>
    </row>
    <row r="24" spans="1:76" ht="15.6" customHeight="1">
      <c r="A24" s="50" t="s">
        <v>162</v>
      </c>
      <c r="B24" s="94" t="s">
        <v>17</v>
      </c>
      <c r="C24" s="20" t="s">
        <v>261</v>
      </c>
      <c r="D24" s="20" t="s">
        <v>261</v>
      </c>
      <c r="E24" s="20" t="s">
        <v>261</v>
      </c>
      <c r="F24" s="20" t="s">
        <v>261</v>
      </c>
      <c r="G24" s="20" t="s">
        <v>261</v>
      </c>
      <c r="H24" s="20" t="s">
        <v>261</v>
      </c>
      <c r="I24" s="20" t="s">
        <v>261</v>
      </c>
      <c r="J24" s="20" t="s">
        <v>261</v>
      </c>
      <c r="K24" s="20" t="s">
        <v>261</v>
      </c>
      <c r="L24" s="20" t="s">
        <v>261</v>
      </c>
      <c r="M24" s="20" t="s">
        <v>261</v>
      </c>
      <c r="N24" s="20" t="s">
        <v>261</v>
      </c>
      <c r="O24" s="20" t="s">
        <v>261</v>
      </c>
      <c r="P24" s="20" t="s">
        <v>261</v>
      </c>
      <c r="Q24" s="20" t="s">
        <v>261</v>
      </c>
      <c r="R24" s="20" t="s">
        <v>261</v>
      </c>
      <c r="S24" s="20" t="s">
        <v>261</v>
      </c>
      <c r="T24" s="20" t="s">
        <v>261</v>
      </c>
      <c r="U24" s="20" t="s">
        <v>261</v>
      </c>
      <c r="V24" s="20" t="s">
        <v>261</v>
      </c>
      <c r="W24" s="20" t="s">
        <v>261</v>
      </c>
      <c r="X24" s="20" t="s">
        <v>261</v>
      </c>
      <c r="Y24" s="20" t="s">
        <v>261</v>
      </c>
      <c r="Z24" s="20" t="s">
        <v>261</v>
      </c>
      <c r="AA24" s="20" t="s">
        <v>261</v>
      </c>
      <c r="AB24" s="20" t="s">
        <v>262</v>
      </c>
      <c r="AC24" s="20" t="s">
        <v>262</v>
      </c>
      <c r="AD24" s="20" t="s">
        <v>262</v>
      </c>
      <c r="AE24" s="20" t="s">
        <v>262</v>
      </c>
      <c r="AF24" s="20" t="s">
        <v>262</v>
      </c>
      <c r="AG24" s="20" t="s">
        <v>262</v>
      </c>
      <c r="AH24" s="20" t="s">
        <v>262</v>
      </c>
      <c r="AI24" s="20" t="s">
        <v>262</v>
      </c>
      <c r="AJ24" s="20" t="s">
        <v>262</v>
      </c>
      <c r="AK24" s="20" t="s">
        <v>262</v>
      </c>
      <c r="AL24" s="20" t="s">
        <v>262</v>
      </c>
      <c r="AM24" s="20" t="s">
        <v>262</v>
      </c>
      <c r="AN24" s="20" t="s">
        <v>261</v>
      </c>
      <c r="AO24" s="20" t="s">
        <v>261</v>
      </c>
      <c r="AP24" s="20" t="s">
        <v>261</v>
      </c>
      <c r="AQ24" s="20" t="s">
        <v>261</v>
      </c>
      <c r="AR24" s="20" t="s">
        <v>261</v>
      </c>
      <c r="AS24" s="20" t="s">
        <v>261</v>
      </c>
      <c r="AT24" s="20" t="s">
        <v>261</v>
      </c>
      <c r="AU24" s="20" t="s">
        <v>261</v>
      </c>
      <c r="AV24" s="20" t="s">
        <v>261</v>
      </c>
      <c r="AW24" s="20" t="s">
        <v>261</v>
      </c>
      <c r="AX24" s="20" t="s">
        <v>261</v>
      </c>
      <c r="AY24" s="20" t="s">
        <v>261</v>
      </c>
      <c r="AZ24" s="20" t="s">
        <v>261</v>
      </c>
      <c r="BA24" s="20" t="s">
        <v>261</v>
      </c>
      <c r="BB24" s="20" t="s">
        <v>261</v>
      </c>
      <c r="BC24" s="20" t="s">
        <v>261</v>
      </c>
      <c r="BD24" s="20" t="s">
        <v>261</v>
      </c>
      <c r="BE24" s="20" t="s">
        <v>261</v>
      </c>
      <c r="BF24" s="20" t="s">
        <v>261</v>
      </c>
      <c r="BG24" s="20" t="s">
        <v>261</v>
      </c>
      <c r="BH24" s="20" t="s">
        <v>261</v>
      </c>
      <c r="BI24" s="20" t="s">
        <v>261</v>
      </c>
      <c r="BJ24" s="20" t="s">
        <v>261</v>
      </c>
      <c r="BK24" s="20" t="s">
        <v>261</v>
      </c>
      <c r="BL24" s="20" t="s">
        <v>261</v>
      </c>
      <c r="BM24" s="20" t="s">
        <v>262</v>
      </c>
      <c r="BN24" s="20" t="s">
        <v>262</v>
      </c>
      <c r="BO24" s="20" t="s">
        <v>262</v>
      </c>
      <c r="BP24" s="20" t="s">
        <v>262</v>
      </c>
      <c r="BQ24" s="20" t="s">
        <v>262</v>
      </c>
      <c r="BR24" s="20" t="s">
        <v>262</v>
      </c>
      <c r="BS24" s="20" t="s">
        <v>262</v>
      </c>
      <c r="BT24" s="20" t="s">
        <v>262</v>
      </c>
      <c r="BU24" s="20" t="s">
        <v>262</v>
      </c>
      <c r="BV24" s="20" t="s">
        <v>262</v>
      </c>
      <c r="BW24" s="20" t="s">
        <v>262</v>
      </c>
      <c r="BX24" s="20" t="s">
        <v>262</v>
      </c>
    </row>
    <row r="25" spans="1:76" ht="15.6" customHeight="1">
      <c r="A25" s="50" t="s">
        <v>163</v>
      </c>
      <c r="B25" s="94" t="s">
        <v>18</v>
      </c>
      <c r="C25" s="20" t="s">
        <v>261</v>
      </c>
      <c r="D25" s="20" t="s">
        <v>261</v>
      </c>
      <c r="E25" s="20" t="s">
        <v>261</v>
      </c>
      <c r="F25" s="20" t="s">
        <v>261</v>
      </c>
      <c r="G25" s="20" t="s">
        <v>261</v>
      </c>
      <c r="H25" s="20" t="s">
        <v>261</v>
      </c>
      <c r="I25" s="20" t="s">
        <v>261</v>
      </c>
      <c r="J25" s="20" t="s">
        <v>261</v>
      </c>
      <c r="K25" s="20" t="s">
        <v>261</v>
      </c>
      <c r="L25" s="20" t="s">
        <v>261</v>
      </c>
      <c r="M25" s="20" t="s">
        <v>261</v>
      </c>
      <c r="N25" s="20" t="s">
        <v>261</v>
      </c>
      <c r="O25" s="20" t="s">
        <v>261</v>
      </c>
      <c r="P25" s="20" t="s">
        <v>261</v>
      </c>
      <c r="Q25" s="20" t="s">
        <v>261</v>
      </c>
      <c r="R25" s="20" t="s">
        <v>261</v>
      </c>
      <c r="S25" s="20" t="s">
        <v>261</v>
      </c>
      <c r="T25" s="20" t="s">
        <v>261</v>
      </c>
      <c r="U25" s="20" t="s">
        <v>261</v>
      </c>
      <c r="V25" s="20" t="s">
        <v>261</v>
      </c>
      <c r="W25" s="20" t="s">
        <v>261</v>
      </c>
      <c r="X25" s="20" t="s">
        <v>261</v>
      </c>
      <c r="Y25" s="20" t="s">
        <v>261</v>
      </c>
      <c r="Z25" s="20" t="s">
        <v>261</v>
      </c>
      <c r="AA25" s="20" t="s">
        <v>261</v>
      </c>
      <c r="AB25" s="20" t="s">
        <v>262</v>
      </c>
      <c r="AC25" s="20" t="s">
        <v>262</v>
      </c>
      <c r="AD25" s="20" t="s">
        <v>262</v>
      </c>
      <c r="AE25" s="20" t="s">
        <v>262</v>
      </c>
      <c r="AF25" s="20" t="s">
        <v>262</v>
      </c>
      <c r="AG25" s="20" t="s">
        <v>262</v>
      </c>
      <c r="AH25" s="20" t="s">
        <v>262</v>
      </c>
      <c r="AI25" s="20" t="s">
        <v>262</v>
      </c>
      <c r="AJ25" s="20" t="s">
        <v>262</v>
      </c>
      <c r="AK25" s="20" t="s">
        <v>262</v>
      </c>
      <c r="AL25" s="20" t="s">
        <v>262</v>
      </c>
      <c r="AM25" s="20" t="s">
        <v>262</v>
      </c>
      <c r="AN25" s="20">
        <v>2</v>
      </c>
      <c r="AO25" s="20">
        <v>17</v>
      </c>
      <c r="AP25" s="20">
        <v>11</v>
      </c>
      <c r="AQ25" s="20">
        <v>6</v>
      </c>
      <c r="AR25" s="20">
        <v>5</v>
      </c>
      <c r="AS25" s="20">
        <v>3</v>
      </c>
      <c r="AT25" s="20">
        <v>2</v>
      </c>
      <c r="AU25" s="20" t="s">
        <v>261</v>
      </c>
      <c r="AV25" s="20" t="s">
        <v>261</v>
      </c>
      <c r="AW25" s="20" t="s">
        <v>261</v>
      </c>
      <c r="AX25" s="20">
        <v>12</v>
      </c>
      <c r="AY25" s="20">
        <v>8</v>
      </c>
      <c r="AZ25" s="20">
        <v>4</v>
      </c>
      <c r="BA25" s="20">
        <v>3193</v>
      </c>
      <c r="BB25" s="20">
        <v>1950</v>
      </c>
      <c r="BC25" s="20">
        <v>1243</v>
      </c>
      <c r="BD25" s="20">
        <v>814</v>
      </c>
      <c r="BE25" s="20">
        <v>489</v>
      </c>
      <c r="BF25" s="20">
        <v>325</v>
      </c>
      <c r="BG25" s="20">
        <v>19</v>
      </c>
      <c r="BH25" s="20" t="s">
        <v>261</v>
      </c>
      <c r="BI25" s="20">
        <v>19</v>
      </c>
      <c r="BJ25" s="20">
        <v>2360</v>
      </c>
      <c r="BK25" s="20">
        <v>1461</v>
      </c>
      <c r="BL25" s="20">
        <v>899</v>
      </c>
      <c r="BM25" s="20">
        <v>9029</v>
      </c>
      <c r="BN25" s="20">
        <v>5548</v>
      </c>
      <c r="BO25" s="20">
        <v>3481</v>
      </c>
      <c r="BP25" s="20">
        <v>2646</v>
      </c>
      <c r="BQ25" s="20">
        <v>1469</v>
      </c>
      <c r="BR25" s="20">
        <v>1177</v>
      </c>
      <c r="BS25" s="20">
        <v>105</v>
      </c>
      <c r="BT25" s="20" t="s">
        <v>262</v>
      </c>
      <c r="BU25" s="20">
        <v>105</v>
      </c>
      <c r="BV25" s="20">
        <v>6278</v>
      </c>
      <c r="BW25" s="20">
        <v>4079</v>
      </c>
      <c r="BX25" s="20">
        <v>2199</v>
      </c>
    </row>
    <row r="26" spans="1:76" ht="15.6" customHeight="1">
      <c r="A26" s="50" t="s">
        <v>164</v>
      </c>
      <c r="B26" s="94" t="s">
        <v>19</v>
      </c>
      <c r="C26" s="20" t="s">
        <v>261</v>
      </c>
      <c r="D26" s="20" t="s">
        <v>261</v>
      </c>
      <c r="E26" s="20" t="s">
        <v>261</v>
      </c>
      <c r="F26" s="20" t="s">
        <v>261</v>
      </c>
      <c r="G26" s="20" t="s">
        <v>261</v>
      </c>
      <c r="H26" s="20" t="s">
        <v>261</v>
      </c>
      <c r="I26" s="20" t="s">
        <v>261</v>
      </c>
      <c r="J26" s="20" t="s">
        <v>261</v>
      </c>
      <c r="K26" s="20" t="s">
        <v>261</v>
      </c>
      <c r="L26" s="20" t="s">
        <v>261</v>
      </c>
      <c r="M26" s="20" t="s">
        <v>261</v>
      </c>
      <c r="N26" s="20" t="s">
        <v>261</v>
      </c>
      <c r="O26" s="20" t="s">
        <v>261</v>
      </c>
      <c r="P26" s="20" t="s">
        <v>261</v>
      </c>
      <c r="Q26" s="20" t="s">
        <v>261</v>
      </c>
      <c r="R26" s="20" t="s">
        <v>261</v>
      </c>
      <c r="S26" s="20" t="s">
        <v>261</v>
      </c>
      <c r="T26" s="20" t="s">
        <v>261</v>
      </c>
      <c r="U26" s="20" t="s">
        <v>261</v>
      </c>
      <c r="V26" s="20" t="s">
        <v>261</v>
      </c>
      <c r="W26" s="20" t="s">
        <v>261</v>
      </c>
      <c r="X26" s="20" t="s">
        <v>261</v>
      </c>
      <c r="Y26" s="20" t="s">
        <v>261</v>
      </c>
      <c r="Z26" s="20" t="s">
        <v>261</v>
      </c>
      <c r="AA26" s="20" t="s">
        <v>261</v>
      </c>
      <c r="AB26" s="20" t="s">
        <v>262</v>
      </c>
      <c r="AC26" s="20" t="s">
        <v>262</v>
      </c>
      <c r="AD26" s="20" t="s">
        <v>262</v>
      </c>
      <c r="AE26" s="20" t="s">
        <v>262</v>
      </c>
      <c r="AF26" s="20" t="s">
        <v>262</v>
      </c>
      <c r="AG26" s="20" t="s">
        <v>262</v>
      </c>
      <c r="AH26" s="20" t="s">
        <v>262</v>
      </c>
      <c r="AI26" s="20" t="s">
        <v>262</v>
      </c>
      <c r="AJ26" s="20" t="s">
        <v>262</v>
      </c>
      <c r="AK26" s="20" t="s">
        <v>262</v>
      </c>
      <c r="AL26" s="20" t="s">
        <v>262</v>
      </c>
      <c r="AM26" s="20" t="s">
        <v>262</v>
      </c>
      <c r="AN26" s="20" t="s">
        <v>261</v>
      </c>
      <c r="AO26" s="20">
        <v>6</v>
      </c>
      <c r="AP26" s="20">
        <v>2</v>
      </c>
      <c r="AQ26" s="20">
        <v>4</v>
      </c>
      <c r="AR26" s="20">
        <v>4</v>
      </c>
      <c r="AS26" s="20">
        <v>1</v>
      </c>
      <c r="AT26" s="20">
        <v>3</v>
      </c>
      <c r="AU26" s="20">
        <v>2</v>
      </c>
      <c r="AV26" s="20">
        <v>1</v>
      </c>
      <c r="AW26" s="20">
        <v>1</v>
      </c>
      <c r="AX26" s="20" t="s">
        <v>261</v>
      </c>
      <c r="AY26" s="20" t="s">
        <v>261</v>
      </c>
      <c r="AZ26" s="20" t="s">
        <v>261</v>
      </c>
      <c r="BA26" s="20">
        <v>270</v>
      </c>
      <c r="BB26" s="20">
        <v>94</v>
      </c>
      <c r="BC26" s="20">
        <v>176</v>
      </c>
      <c r="BD26" s="20">
        <v>176</v>
      </c>
      <c r="BE26" s="20">
        <v>38</v>
      </c>
      <c r="BF26" s="20">
        <v>138</v>
      </c>
      <c r="BG26" s="20">
        <v>79</v>
      </c>
      <c r="BH26" s="20">
        <v>42</v>
      </c>
      <c r="BI26" s="20">
        <v>37</v>
      </c>
      <c r="BJ26" s="20">
        <v>15</v>
      </c>
      <c r="BK26" s="20">
        <v>14</v>
      </c>
      <c r="BL26" s="20">
        <v>1</v>
      </c>
      <c r="BM26" s="20">
        <v>2008</v>
      </c>
      <c r="BN26" s="20">
        <v>688</v>
      </c>
      <c r="BO26" s="20">
        <v>1320</v>
      </c>
      <c r="BP26" s="20">
        <v>1276</v>
      </c>
      <c r="BQ26" s="20">
        <v>253</v>
      </c>
      <c r="BR26" s="20">
        <v>1023</v>
      </c>
      <c r="BS26" s="20">
        <v>620</v>
      </c>
      <c r="BT26" s="20">
        <v>327</v>
      </c>
      <c r="BU26" s="20">
        <v>293</v>
      </c>
      <c r="BV26" s="20">
        <v>112</v>
      </c>
      <c r="BW26" s="20">
        <v>108</v>
      </c>
      <c r="BX26" s="20">
        <v>4</v>
      </c>
    </row>
    <row r="27" spans="1:76" ht="15.6" customHeight="1">
      <c r="A27" s="50" t="s">
        <v>165</v>
      </c>
      <c r="B27" s="94" t="s">
        <v>20</v>
      </c>
      <c r="C27" s="20">
        <v>1</v>
      </c>
      <c r="D27" s="20">
        <v>9</v>
      </c>
      <c r="E27" s="20">
        <v>3</v>
      </c>
      <c r="F27" s="20">
        <v>6</v>
      </c>
      <c r="G27" s="20">
        <v>1</v>
      </c>
      <c r="H27" s="20">
        <v>1</v>
      </c>
      <c r="I27" s="20" t="s">
        <v>261</v>
      </c>
      <c r="J27" s="20" t="s">
        <v>261</v>
      </c>
      <c r="K27" s="20" t="s">
        <v>261</v>
      </c>
      <c r="L27" s="20" t="s">
        <v>261</v>
      </c>
      <c r="M27" s="20">
        <v>8</v>
      </c>
      <c r="N27" s="20">
        <v>2</v>
      </c>
      <c r="O27" s="20">
        <v>6</v>
      </c>
      <c r="P27" s="20">
        <v>2097</v>
      </c>
      <c r="Q27" s="20">
        <v>663</v>
      </c>
      <c r="R27" s="20">
        <v>1434</v>
      </c>
      <c r="S27" s="20">
        <v>203</v>
      </c>
      <c r="T27" s="20">
        <v>203</v>
      </c>
      <c r="U27" s="20" t="s">
        <v>261</v>
      </c>
      <c r="V27" s="20">
        <v>39</v>
      </c>
      <c r="W27" s="20" t="s">
        <v>261</v>
      </c>
      <c r="X27" s="20">
        <v>39</v>
      </c>
      <c r="Y27" s="20">
        <v>1855</v>
      </c>
      <c r="Z27" s="20">
        <v>460</v>
      </c>
      <c r="AA27" s="20">
        <v>1395</v>
      </c>
      <c r="AB27" s="20">
        <v>16752</v>
      </c>
      <c r="AC27" s="20">
        <v>5304</v>
      </c>
      <c r="AD27" s="20">
        <v>11448</v>
      </c>
      <c r="AE27" s="20">
        <v>1624</v>
      </c>
      <c r="AF27" s="20">
        <v>1624</v>
      </c>
      <c r="AG27" s="20" t="s">
        <v>262</v>
      </c>
      <c r="AH27" s="20">
        <v>312</v>
      </c>
      <c r="AI27" s="20" t="s">
        <v>262</v>
      </c>
      <c r="AJ27" s="20">
        <v>312</v>
      </c>
      <c r="AK27" s="20">
        <v>14816</v>
      </c>
      <c r="AL27" s="20">
        <v>3680</v>
      </c>
      <c r="AM27" s="20">
        <v>11136</v>
      </c>
      <c r="AN27" s="20">
        <v>1</v>
      </c>
      <c r="AO27" s="20">
        <v>30</v>
      </c>
      <c r="AP27" s="20">
        <v>8</v>
      </c>
      <c r="AQ27" s="20">
        <v>22</v>
      </c>
      <c r="AR27" s="20">
        <v>1</v>
      </c>
      <c r="AS27" s="20">
        <v>1</v>
      </c>
      <c r="AT27" s="20" t="s">
        <v>261</v>
      </c>
      <c r="AU27" s="20" t="s">
        <v>261</v>
      </c>
      <c r="AV27" s="20" t="s">
        <v>261</v>
      </c>
      <c r="AW27" s="20" t="s">
        <v>261</v>
      </c>
      <c r="AX27" s="20">
        <v>29</v>
      </c>
      <c r="AY27" s="20">
        <v>7</v>
      </c>
      <c r="AZ27" s="20">
        <v>22</v>
      </c>
      <c r="BA27" s="20">
        <v>6428</v>
      </c>
      <c r="BB27" s="20">
        <v>1615</v>
      </c>
      <c r="BC27" s="20">
        <v>4813</v>
      </c>
      <c r="BD27" s="20">
        <v>143</v>
      </c>
      <c r="BE27" s="20">
        <v>143</v>
      </c>
      <c r="BF27" s="20" t="s">
        <v>261</v>
      </c>
      <c r="BG27" s="20" t="s">
        <v>261</v>
      </c>
      <c r="BH27" s="20" t="s">
        <v>261</v>
      </c>
      <c r="BI27" s="20" t="s">
        <v>261</v>
      </c>
      <c r="BJ27" s="20">
        <v>6285</v>
      </c>
      <c r="BK27" s="20">
        <v>1472</v>
      </c>
      <c r="BL27" s="20">
        <v>4813</v>
      </c>
      <c r="BM27" s="20">
        <v>50433</v>
      </c>
      <c r="BN27" s="20">
        <v>12812</v>
      </c>
      <c r="BO27" s="20">
        <v>37621</v>
      </c>
      <c r="BP27" s="20">
        <v>1144</v>
      </c>
      <c r="BQ27" s="20">
        <v>1144</v>
      </c>
      <c r="BR27" s="20" t="s">
        <v>262</v>
      </c>
      <c r="BS27" s="20" t="s">
        <v>262</v>
      </c>
      <c r="BT27" s="20" t="s">
        <v>262</v>
      </c>
      <c r="BU27" s="20" t="s">
        <v>262</v>
      </c>
      <c r="BV27" s="20">
        <v>49289</v>
      </c>
      <c r="BW27" s="20">
        <v>11668</v>
      </c>
      <c r="BX27" s="20">
        <v>37621</v>
      </c>
    </row>
    <row r="28" spans="1:76" ht="15.6" customHeight="1">
      <c r="A28" s="50" t="s">
        <v>166</v>
      </c>
      <c r="B28" s="94" t="s">
        <v>21</v>
      </c>
      <c r="C28" s="20">
        <v>1</v>
      </c>
      <c r="D28" s="20">
        <v>4</v>
      </c>
      <c r="E28" s="20">
        <v>2</v>
      </c>
      <c r="F28" s="20">
        <v>2</v>
      </c>
      <c r="G28" s="20" t="s">
        <v>261</v>
      </c>
      <c r="H28" s="20" t="s">
        <v>261</v>
      </c>
      <c r="I28" s="20" t="s">
        <v>261</v>
      </c>
      <c r="J28" s="20" t="s">
        <v>261</v>
      </c>
      <c r="K28" s="20" t="s">
        <v>261</v>
      </c>
      <c r="L28" s="20" t="s">
        <v>261</v>
      </c>
      <c r="M28" s="20">
        <v>4</v>
      </c>
      <c r="N28" s="20">
        <v>2</v>
      </c>
      <c r="O28" s="20">
        <v>2</v>
      </c>
      <c r="P28" s="20">
        <v>1223</v>
      </c>
      <c r="Q28" s="20">
        <v>743</v>
      </c>
      <c r="R28" s="20">
        <v>480</v>
      </c>
      <c r="S28" s="20">
        <v>87</v>
      </c>
      <c r="T28" s="20" t="s">
        <v>261</v>
      </c>
      <c r="U28" s="20">
        <v>87</v>
      </c>
      <c r="V28" s="20">
        <v>39</v>
      </c>
      <c r="W28" s="20" t="s">
        <v>261</v>
      </c>
      <c r="X28" s="20">
        <v>39</v>
      </c>
      <c r="Y28" s="20">
        <v>1097</v>
      </c>
      <c r="Z28" s="20">
        <v>743</v>
      </c>
      <c r="AA28" s="20">
        <v>354</v>
      </c>
      <c r="AB28" s="20">
        <v>9784</v>
      </c>
      <c r="AC28" s="20">
        <v>5944</v>
      </c>
      <c r="AD28" s="20">
        <v>3840</v>
      </c>
      <c r="AE28" s="20">
        <v>696</v>
      </c>
      <c r="AF28" s="20" t="s">
        <v>262</v>
      </c>
      <c r="AG28" s="20">
        <v>696</v>
      </c>
      <c r="AH28" s="20">
        <v>312</v>
      </c>
      <c r="AI28" s="20" t="s">
        <v>262</v>
      </c>
      <c r="AJ28" s="20">
        <v>312</v>
      </c>
      <c r="AK28" s="20">
        <v>8776</v>
      </c>
      <c r="AL28" s="20">
        <v>5944</v>
      </c>
      <c r="AM28" s="20">
        <v>2832</v>
      </c>
      <c r="AN28" s="20">
        <v>3</v>
      </c>
      <c r="AO28" s="20">
        <v>17</v>
      </c>
      <c r="AP28" s="20">
        <v>8</v>
      </c>
      <c r="AQ28" s="20">
        <v>9</v>
      </c>
      <c r="AR28" s="20">
        <v>1</v>
      </c>
      <c r="AS28" s="20" t="s">
        <v>261</v>
      </c>
      <c r="AT28" s="20">
        <v>1</v>
      </c>
      <c r="AU28" s="20" t="s">
        <v>261</v>
      </c>
      <c r="AV28" s="20" t="s">
        <v>261</v>
      </c>
      <c r="AW28" s="20" t="s">
        <v>261</v>
      </c>
      <c r="AX28" s="20">
        <v>16</v>
      </c>
      <c r="AY28" s="20">
        <v>8</v>
      </c>
      <c r="AZ28" s="20">
        <v>8</v>
      </c>
      <c r="BA28" s="20">
        <v>3691</v>
      </c>
      <c r="BB28" s="20">
        <v>1775</v>
      </c>
      <c r="BC28" s="20">
        <v>1916</v>
      </c>
      <c r="BD28" s="20">
        <v>218</v>
      </c>
      <c r="BE28" s="20">
        <v>4</v>
      </c>
      <c r="BF28" s="20">
        <v>214</v>
      </c>
      <c r="BG28" s="20">
        <v>146</v>
      </c>
      <c r="BH28" s="20">
        <v>19</v>
      </c>
      <c r="BI28" s="20">
        <v>127</v>
      </c>
      <c r="BJ28" s="20">
        <v>3327</v>
      </c>
      <c r="BK28" s="20">
        <v>1752</v>
      </c>
      <c r="BL28" s="20">
        <v>1575</v>
      </c>
      <c r="BM28" s="20">
        <v>13014</v>
      </c>
      <c r="BN28" s="20">
        <v>6240.5</v>
      </c>
      <c r="BO28" s="20">
        <v>6773.5</v>
      </c>
      <c r="BP28" s="20">
        <v>1095.5</v>
      </c>
      <c r="BQ28" s="20">
        <v>16</v>
      </c>
      <c r="BR28" s="20">
        <v>1079.5</v>
      </c>
      <c r="BS28" s="20">
        <v>530</v>
      </c>
      <c r="BT28" s="20">
        <v>49</v>
      </c>
      <c r="BU28" s="20">
        <v>481</v>
      </c>
      <c r="BV28" s="20">
        <v>11388.5</v>
      </c>
      <c r="BW28" s="20">
        <v>6175.5</v>
      </c>
      <c r="BX28" s="20">
        <v>5213</v>
      </c>
    </row>
    <row r="29" spans="1:76" ht="15.6" customHeight="1">
      <c r="A29" s="50" t="s">
        <v>167</v>
      </c>
      <c r="B29" s="94" t="s">
        <v>22</v>
      </c>
      <c r="C29" s="20" t="s">
        <v>261</v>
      </c>
      <c r="D29" s="20" t="s">
        <v>261</v>
      </c>
      <c r="E29" s="20" t="s">
        <v>261</v>
      </c>
      <c r="F29" s="20" t="s">
        <v>261</v>
      </c>
      <c r="G29" s="20" t="s">
        <v>261</v>
      </c>
      <c r="H29" s="20" t="s">
        <v>261</v>
      </c>
      <c r="I29" s="20" t="s">
        <v>261</v>
      </c>
      <c r="J29" s="20" t="s">
        <v>261</v>
      </c>
      <c r="K29" s="20" t="s">
        <v>261</v>
      </c>
      <c r="L29" s="20" t="s">
        <v>261</v>
      </c>
      <c r="M29" s="20" t="s">
        <v>261</v>
      </c>
      <c r="N29" s="20" t="s">
        <v>261</v>
      </c>
      <c r="O29" s="20" t="s">
        <v>261</v>
      </c>
      <c r="P29" s="20" t="s">
        <v>261</v>
      </c>
      <c r="Q29" s="20" t="s">
        <v>261</v>
      </c>
      <c r="R29" s="20" t="s">
        <v>261</v>
      </c>
      <c r="S29" s="20" t="s">
        <v>261</v>
      </c>
      <c r="T29" s="20" t="s">
        <v>261</v>
      </c>
      <c r="U29" s="20" t="s">
        <v>261</v>
      </c>
      <c r="V29" s="20" t="s">
        <v>261</v>
      </c>
      <c r="W29" s="20" t="s">
        <v>261</v>
      </c>
      <c r="X29" s="20" t="s">
        <v>261</v>
      </c>
      <c r="Y29" s="20" t="s">
        <v>261</v>
      </c>
      <c r="Z29" s="20" t="s">
        <v>261</v>
      </c>
      <c r="AA29" s="20" t="s">
        <v>261</v>
      </c>
      <c r="AB29" s="20" t="s">
        <v>262</v>
      </c>
      <c r="AC29" s="20" t="s">
        <v>262</v>
      </c>
      <c r="AD29" s="20" t="s">
        <v>262</v>
      </c>
      <c r="AE29" s="20" t="s">
        <v>262</v>
      </c>
      <c r="AF29" s="20" t="s">
        <v>262</v>
      </c>
      <c r="AG29" s="20" t="s">
        <v>262</v>
      </c>
      <c r="AH29" s="20" t="s">
        <v>262</v>
      </c>
      <c r="AI29" s="20" t="s">
        <v>262</v>
      </c>
      <c r="AJ29" s="20" t="s">
        <v>262</v>
      </c>
      <c r="AK29" s="20" t="s">
        <v>262</v>
      </c>
      <c r="AL29" s="20" t="s">
        <v>262</v>
      </c>
      <c r="AM29" s="20" t="s">
        <v>262</v>
      </c>
      <c r="AN29" s="20" t="s">
        <v>261</v>
      </c>
      <c r="AO29" s="20">
        <v>13</v>
      </c>
      <c r="AP29" s="20">
        <v>5</v>
      </c>
      <c r="AQ29" s="20">
        <v>8</v>
      </c>
      <c r="AR29" s="20" t="s">
        <v>261</v>
      </c>
      <c r="AS29" s="20" t="s">
        <v>261</v>
      </c>
      <c r="AT29" s="20" t="s">
        <v>261</v>
      </c>
      <c r="AU29" s="20" t="s">
        <v>261</v>
      </c>
      <c r="AV29" s="20" t="s">
        <v>261</v>
      </c>
      <c r="AW29" s="20" t="s">
        <v>261</v>
      </c>
      <c r="AX29" s="20">
        <v>13</v>
      </c>
      <c r="AY29" s="20">
        <v>5</v>
      </c>
      <c r="AZ29" s="20">
        <v>8</v>
      </c>
      <c r="BA29" s="20">
        <v>808</v>
      </c>
      <c r="BB29" s="20">
        <v>384</v>
      </c>
      <c r="BC29" s="20">
        <v>424</v>
      </c>
      <c r="BD29" s="20" t="s">
        <v>261</v>
      </c>
      <c r="BE29" s="20" t="s">
        <v>261</v>
      </c>
      <c r="BF29" s="20" t="s">
        <v>261</v>
      </c>
      <c r="BG29" s="20" t="s">
        <v>261</v>
      </c>
      <c r="BH29" s="20" t="s">
        <v>261</v>
      </c>
      <c r="BI29" s="20" t="s">
        <v>261</v>
      </c>
      <c r="BJ29" s="20">
        <v>808</v>
      </c>
      <c r="BK29" s="20">
        <v>384</v>
      </c>
      <c r="BL29" s="20">
        <v>424</v>
      </c>
      <c r="BM29" s="20">
        <v>2380</v>
      </c>
      <c r="BN29" s="20">
        <v>1121</v>
      </c>
      <c r="BO29" s="20">
        <v>1259</v>
      </c>
      <c r="BP29" s="20" t="s">
        <v>262</v>
      </c>
      <c r="BQ29" s="20" t="s">
        <v>262</v>
      </c>
      <c r="BR29" s="20" t="s">
        <v>262</v>
      </c>
      <c r="BS29" s="20" t="s">
        <v>262</v>
      </c>
      <c r="BT29" s="20" t="s">
        <v>262</v>
      </c>
      <c r="BU29" s="20" t="s">
        <v>262</v>
      </c>
      <c r="BV29" s="20">
        <v>2380</v>
      </c>
      <c r="BW29" s="20">
        <v>1121</v>
      </c>
      <c r="BX29" s="20">
        <v>1259</v>
      </c>
    </row>
    <row r="30" spans="1:76" ht="15.6" customHeight="1">
      <c r="A30" s="51" t="s">
        <v>168</v>
      </c>
      <c r="B30" s="95" t="s">
        <v>23</v>
      </c>
      <c r="C30" s="22" t="s">
        <v>261</v>
      </c>
      <c r="D30" s="22" t="s">
        <v>261</v>
      </c>
      <c r="E30" s="22" t="s">
        <v>261</v>
      </c>
      <c r="F30" s="22" t="s">
        <v>261</v>
      </c>
      <c r="G30" s="22" t="s">
        <v>261</v>
      </c>
      <c r="H30" s="22" t="s">
        <v>261</v>
      </c>
      <c r="I30" s="22" t="s">
        <v>261</v>
      </c>
      <c r="J30" s="22" t="s">
        <v>261</v>
      </c>
      <c r="K30" s="22" t="s">
        <v>261</v>
      </c>
      <c r="L30" s="22" t="s">
        <v>261</v>
      </c>
      <c r="M30" s="22" t="s">
        <v>261</v>
      </c>
      <c r="N30" s="22" t="s">
        <v>261</v>
      </c>
      <c r="O30" s="22" t="s">
        <v>261</v>
      </c>
      <c r="P30" s="22" t="s">
        <v>261</v>
      </c>
      <c r="Q30" s="22" t="s">
        <v>261</v>
      </c>
      <c r="R30" s="22" t="s">
        <v>261</v>
      </c>
      <c r="S30" s="22" t="s">
        <v>261</v>
      </c>
      <c r="T30" s="22" t="s">
        <v>261</v>
      </c>
      <c r="U30" s="22" t="s">
        <v>261</v>
      </c>
      <c r="V30" s="22" t="s">
        <v>261</v>
      </c>
      <c r="W30" s="22" t="s">
        <v>261</v>
      </c>
      <c r="X30" s="22" t="s">
        <v>261</v>
      </c>
      <c r="Y30" s="22" t="s">
        <v>261</v>
      </c>
      <c r="Z30" s="22" t="s">
        <v>261</v>
      </c>
      <c r="AA30" s="22" t="s">
        <v>261</v>
      </c>
      <c r="AB30" s="22" t="s">
        <v>262</v>
      </c>
      <c r="AC30" s="22" t="s">
        <v>262</v>
      </c>
      <c r="AD30" s="22" t="s">
        <v>262</v>
      </c>
      <c r="AE30" s="22" t="s">
        <v>262</v>
      </c>
      <c r="AF30" s="22" t="s">
        <v>262</v>
      </c>
      <c r="AG30" s="22" t="s">
        <v>262</v>
      </c>
      <c r="AH30" s="22" t="s">
        <v>262</v>
      </c>
      <c r="AI30" s="22" t="s">
        <v>262</v>
      </c>
      <c r="AJ30" s="22" t="s">
        <v>262</v>
      </c>
      <c r="AK30" s="22" t="s">
        <v>262</v>
      </c>
      <c r="AL30" s="22" t="s">
        <v>262</v>
      </c>
      <c r="AM30" s="22" t="s">
        <v>262</v>
      </c>
      <c r="AN30" s="22" t="s">
        <v>261</v>
      </c>
      <c r="AO30" s="22" t="s">
        <v>261</v>
      </c>
      <c r="AP30" s="22" t="s">
        <v>261</v>
      </c>
      <c r="AQ30" s="22" t="s">
        <v>261</v>
      </c>
      <c r="AR30" s="22" t="s">
        <v>261</v>
      </c>
      <c r="AS30" s="22" t="s">
        <v>261</v>
      </c>
      <c r="AT30" s="22" t="s">
        <v>261</v>
      </c>
      <c r="AU30" s="22" t="s">
        <v>261</v>
      </c>
      <c r="AV30" s="22" t="s">
        <v>261</v>
      </c>
      <c r="AW30" s="22" t="s">
        <v>261</v>
      </c>
      <c r="AX30" s="22" t="s">
        <v>261</v>
      </c>
      <c r="AY30" s="22" t="s">
        <v>261</v>
      </c>
      <c r="AZ30" s="22" t="s">
        <v>261</v>
      </c>
      <c r="BA30" s="22" t="s">
        <v>261</v>
      </c>
      <c r="BB30" s="22" t="s">
        <v>261</v>
      </c>
      <c r="BC30" s="22" t="s">
        <v>261</v>
      </c>
      <c r="BD30" s="22" t="s">
        <v>261</v>
      </c>
      <c r="BE30" s="22" t="s">
        <v>261</v>
      </c>
      <c r="BF30" s="22" t="s">
        <v>261</v>
      </c>
      <c r="BG30" s="22" t="s">
        <v>261</v>
      </c>
      <c r="BH30" s="22" t="s">
        <v>261</v>
      </c>
      <c r="BI30" s="22" t="s">
        <v>261</v>
      </c>
      <c r="BJ30" s="22" t="s">
        <v>261</v>
      </c>
      <c r="BK30" s="22" t="s">
        <v>261</v>
      </c>
      <c r="BL30" s="22" t="s">
        <v>261</v>
      </c>
      <c r="BM30" s="22" t="s">
        <v>262</v>
      </c>
      <c r="BN30" s="22" t="s">
        <v>262</v>
      </c>
      <c r="BO30" s="22" t="s">
        <v>262</v>
      </c>
      <c r="BP30" s="22" t="s">
        <v>262</v>
      </c>
      <c r="BQ30" s="22" t="s">
        <v>262</v>
      </c>
      <c r="BR30" s="22" t="s">
        <v>262</v>
      </c>
      <c r="BS30" s="22" t="s">
        <v>262</v>
      </c>
      <c r="BT30" s="22" t="s">
        <v>262</v>
      </c>
      <c r="BU30" s="22" t="s">
        <v>262</v>
      </c>
      <c r="BV30" s="22" t="s">
        <v>262</v>
      </c>
      <c r="BW30" s="22" t="s">
        <v>262</v>
      </c>
      <c r="BX30" s="22" t="s">
        <v>262</v>
      </c>
    </row>
    <row r="31" spans="1:76" ht="15.6" customHeight="1">
      <c r="A31" s="127" t="s">
        <v>256</v>
      </c>
      <c r="B31" s="128"/>
    </row>
    <row r="32" spans="1:76" ht="15.6" customHeight="1">
      <c r="A32" s="84" t="s">
        <v>257</v>
      </c>
    </row>
    <row r="33" spans="1:1" ht="19.5" customHeight="1"/>
    <row r="34" spans="1:1" ht="19.5" customHeight="1">
      <c r="A34" s="31"/>
    </row>
  </sheetData>
  <mergeCells count="101">
    <mergeCell ref="BT6:BT7"/>
    <mergeCell ref="BU6:BU7"/>
    <mergeCell ref="BV6:BV7"/>
    <mergeCell ref="BW6:BW7"/>
    <mergeCell ref="BX6:BX7"/>
    <mergeCell ref="BN6:BN7"/>
    <mergeCell ref="BO6:BO7"/>
    <mergeCell ref="BP6:BP7"/>
    <mergeCell ref="BQ6:BQ7"/>
    <mergeCell ref="BR6:BR7"/>
    <mergeCell ref="BS6:BS7"/>
    <mergeCell ref="BH6:BH7"/>
    <mergeCell ref="BI6:BI7"/>
    <mergeCell ref="BJ6:BJ7"/>
    <mergeCell ref="BK6:BK7"/>
    <mergeCell ref="BL6:BL7"/>
    <mergeCell ref="BM6:BM7"/>
    <mergeCell ref="BB6:BB7"/>
    <mergeCell ref="BC6:BC7"/>
    <mergeCell ref="BD6:BD7"/>
    <mergeCell ref="BE6:BE7"/>
    <mergeCell ref="BF6:BF7"/>
    <mergeCell ref="BG6:BG7"/>
    <mergeCell ref="AX6:AX7"/>
    <mergeCell ref="AY6:AY7"/>
    <mergeCell ref="AZ6:AZ7"/>
    <mergeCell ref="BA6:BA7"/>
    <mergeCell ref="AP6:AP7"/>
    <mergeCell ref="AQ6:AQ7"/>
    <mergeCell ref="AR6:AR7"/>
    <mergeCell ref="AS6:AS7"/>
    <mergeCell ref="AT6:AT7"/>
    <mergeCell ref="AU6:AU7"/>
    <mergeCell ref="BP5:BR5"/>
    <mergeCell ref="BS5:BU5"/>
    <mergeCell ref="BV5:BX5"/>
    <mergeCell ref="AX5:AZ5"/>
    <mergeCell ref="BD5:BF5"/>
    <mergeCell ref="BG5:BI5"/>
    <mergeCell ref="BJ5:BL5"/>
    <mergeCell ref="W6:W7"/>
    <mergeCell ref="X6:X7"/>
    <mergeCell ref="Y6:Y7"/>
    <mergeCell ref="Z6:Z7"/>
    <mergeCell ref="AA6:AA7"/>
    <mergeCell ref="AB6:AB7"/>
    <mergeCell ref="AI6:AI7"/>
    <mergeCell ref="AJ6:AJ7"/>
    <mergeCell ref="AK6:AK7"/>
    <mergeCell ref="AL6:AL7"/>
    <mergeCell ref="AM6:AM7"/>
    <mergeCell ref="AO6:AO7"/>
    <mergeCell ref="AC6:AC7"/>
    <mergeCell ref="AD6:AD7"/>
    <mergeCell ref="AE6:AE7"/>
    <mergeCell ref="AF6:AF7"/>
    <mergeCell ref="AG6:AG7"/>
    <mergeCell ref="H6:H7"/>
    <mergeCell ref="I6:I7"/>
    <mergeCell ref="J6:J7"/>
    <mergeCell ref="AR5:AT5"/>
    <mergeCell ref="AU5:AW5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AH6:AH7"/>
    <mergeCell ref="AV6:AV7"/>
    <mergeCell ref="AW6:AW7"/>
    <mergeCell ref="A3:B7"/>
    <mergeCell ref="C3:AM3"/>
    <mergeCell ref="AN3:BX3"/>
    <mergeCell ref="C4:C7"/>
    <mergeCell ref="D4:O4"/>
    <mergeCell ref="P4:AA4"/>
    <mergeCell ref="AB4:AM4"/>
    <mergeCell ref="AN4:AN7"/>
    <mergeCell ref="AO4:AZ4"/>
    <mergeCell ref="BA4:BL4"/>
    <mergeCell ref="BM4:BX4"/>
    <mergeCell ref="G5:I5"/>
    <mergeCell ref="J5:L5"/>
    <mergeCell ref="M5:O5"/>
    <mergeCell ref="S5:U5"/>
    <mergeCell ref="V5:X5"/>
    <mergeCell ref="Y5:AA5"/>
    <mergeCell ref="AE5:AG5"/>
    <mergeCell ref="AH5:AJ5"/>
    <mergeCell ref="AK5:AM5"/>
    <mergeCell ref="D6:D7"/>
    <mergeCell ref="E6:E7"/>
    <mergeCell ref="F6:F7"/>
    <mergeCell ref="G6:G7"/>
  </mergeCells>
  <phoneticPr fontId="6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93" fitToWidth="10" orientation="landscape" useFirstPageNumber="1" horizontalDpi="4294967292" verticalDpi="3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DJ35"/>
  <sheetViews>
    <sheetView view="pageBreakPreview" zoomScaleNormal="90" zoomScaleSheetLayoutView="100" workbookViewId="0">
      <selection activeCell="E19" sqref="E19"/>
    </sheetView>
  </sheetViews>
  <sheetFormatPr defaultColWidth="15.83203125" defaultRowHeight="15.75"/>
  <cols>
    <col min="1" max="1" width="10.1640625" style="2" customWidth="1"/>
    <col min="2" max="2" width="20.1640625" style="2" customWidth="1"/>
    <col min="3" max="3" width="11.5" style="2" hidden="1" customWidth="1"/>
    <col min="4" max="15" width="13.5" style="2" customWidth="1"/>
    <col min="16" max="27" width="13.6640625" style="2" customWidth="1"/>
    <col min="28" max="39" width="13.83203125" style="2" customWidth="1"/>
    <col min="40" max="40" width="14.6640625" style="2" hidden="1" customWidth="1"/>
    <col min="41" max="52" width="12.83203125" style="2" customWidth="1"/>
    <col min="53" max="64" width="13" style="2" customWidth="1"/>
    <col min="65" max="76" width="13.83203125" style="2" customWidth="1"/>
    <col min="77" max="16384" width="15.83203125" style="2"/>
  </cols>
  <sheetData>
    <row r="1" spans="1:114" ht="21">
      <c r="A1" s="115" t="s">
        <v>293</v>
      </c>
      <c r="B1" s="135"/>
    </row>
    <row r="2" spans="1:114" ht="26.25" customHeight="1">
      <c r="A2" s="404" t="s">
        <v>326</v>
      </c>
      <c r="B2" s="404"/>
      <c r="C2" s="404"/>
    </row>
    <row r="3" spans="1:114" s="3" customFormat="1" ht="16.5" customHeight="1">
      <c r="A3" s="329" t="s">
        <v>316</v>
      </c>
      <c r="B3" s="301"/>
      <c r="C3" s="332" t="s">
        <v>294</v>
      </c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  <c r="X3" s="304"/>
      <c r="Y3" s="304"/>
      <c r="Z3" s="304"/>
      <c r="AA3" s="304"/>
      <c r="AB3" s="304"/>
      <c r="AC3" s="304"/>
      <c r="AD3" s="304"/>
      <c r="AE3" s="304"/>
      <c r="AF3" s="304"/>
      <c r="AG3" s="304"/>
      <c r="AH3" s="304"/>
      <c r="AI3" s="304"/>
      <c r="AJ3" s="304"/>
      <c r="AK3" s="304"/>
      <c r="AL3" s="304"/>
      <c r="AM3" s="340"/>
      <c r="AN3" s="332" t="s">
        <v>295</v>
      </c>
      <c r="AO3" s="304"/>
      <c r="AP3" s="304"/>
      <c r="AQ3" s="304"/>
      <c r="AR3" s="304"/>
      <c r="AS3" s="304"/>
      <c r="AT3" s="304"/>
      <c r="AU3" s="304"/>
      <c r="AV3" s="304"/>
      <c r="AW3" s="304"/>
      <c r="AX3" s="304"/>
      <c r="AY3" s="304"/>
      <c r="AZ3" s="304"/>
      <c r="BA3" s="304"/>
      <c r="BB3" s="304"/>
      <c r="BC3" s="304"/>
      <c r="BD3" s="304"/>
      <c r="BE3" s="304"/>
      <c r="BF3" s="304"/>
      <c r="BG3" s="304"/>
      <c r="BH3" s="304"/>
      <c r="BI3" s="304"/>
      <c r="BJ3" s="304"/>
      <c r="BK3" s="304"/>
      <c r="BL3" s="304"/>
      <c r="BM3" s="304"/>
      <c r="BN3" s="304"/>
      <c r="BO3" s="304"/>
      <c r="BP3" s="304"/>
      <c r="BQ3" s="304"/>
      <c r="BR3" s="304"/>
      <c r="BS3" s="304"/>
      <c r="BT3" s="304"/>
      <c r="BU3" s="304"/>
      <c r="BV3" s="304"/>
      <c r="BW3" s="304"/>
      <c r="BX3" s="304"/>
    </row>
    <row r="4" spans="1:114" s="4" customFormat="1" ht="16.5" customHeight="1">
      <c r="A4" s="364"/>
      <c r="B4" s="302"/>
      <c r="C4" s="322" t="s">
        <v>296</v>
      </c>
      <c r="D4" s="332" t="s">
        <v>297</v>
      </c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40"/>
      <c r="P4" s="344" t="s">
        <v>298</v>
      </c>
      <c r="Q4" s="344"/>
      <c r="R4" s="344"/>
      <c r="S4" s="344"/>
      <c r="T4" s="344"/>
      <c r="U4" s="344"/>
      <c r="V4" s="344"/>
      <c r="W4" s="344"/>
      <c r="X4" s="344"/>
      <c r="Y4" s="344"/>
      <c r="Z4" s="344"/>
      <c r="AA4" s="344"/>
      <c r="AB4" s="344" t="s">
        <v>299</v>
      </c>
      <c r="AC4" s="344"/>
      <c r="AD4" s="344"/>
      <c r="AE4" s="344"/>
      <c r="AF4" s="344"/>
      <c r="AG4" s="344"/>
      <c r="AH4" s="344"/>
      <c r="AI4" s="344"/>
      <c r="AJ4" s="344"/>
      <c r="AK4" s="344"/>
      <c r="AL4" s="344"/>
      <c r="AM4" s="344"/>
      <c r="AN4" s="368" t="s">
        <v>300</v>
      </c>
      <c r="AO4" s="332" t="s">
        <v>297</v>
      </c>
      <c r="AP4" s="304"/>
      <c r="AQ4" s="304"/>
      <c r="AR4" s="304"/>
      <c r="AS4" s="304"/>
      <c r="AT4" s="304"/>
      <c r="AU4" s="304"/>
      <c r="AV4" s="304"/>
      <c r="AW4" s="304"/>
      <c r="AX4" s="304"/>
      <c r="AY4" s="304"/>
      <c r="AZ4" s="340"/>
      <c r="BA4" s="332" t="s">
        <v>301</v>
      </c>
      <c r="BB4" s="304"/>
      <c r="BC4" s="304"/>
      <c r="BD4" s="304"/>
      <c r="BE4" s="304"/>
      <c r="BF4" s="304"/>
      <c r="BG4" s="304"/>
      <c r="BH4" s="304"/>
      <c r="BI4" s="304"/>
      <c r="BJ4" s="304"/>
      <c r="BK4" s="304"/>
      <c r="BL4" s="340"/>
      <c r="BM4" s="332" t="s">
        <v>302</v>
      </c>
      <c r="BN4" s="304"/>
      <c r="BO4" s="304"/>
      <c r="BP4" s="304"/>
      <c r="BQ4" s="304"/>
      <c r="BR4" s="304"/>
      <c r="BS4" s="304"/>
      <c r="BT4" s="304"/>
      <c r="BU4" s="304"/>
      <c r="BV4" s="304"/>
      <c r="BW4" s="304"/>
      <c r="BX4" s="304"/>
    </row>
    <row r="5" spans="1:114" s="9" customFormat="1" ht="30" customHeight="1">
      <c r="A5" s="364"/>
      <c r="B5" s="302"/>
      <c r="C5" s="368"/>
      <c r="D5" s="5" t="s">
        <v>303</v>
      </c>
      <c r="E5" s="6"/>
      <c r="F5" s="7"/>
      <c r="G5" s="339" t="s">
        <v>304</v>
      </c>
      <c r="H5" s="339"/>
      <c r="I5" s="339"/>
      <c r="J5" s="339" t="s">
        <v>305</v>
      </c>
      <c r="K5" s="339"/>
      <c r="L5" s="339"/>
      <c r="M5" s="339" t="s">
        <v>306</v>
      </c>
      <c r="N5" s="339"/>
      <c r="O5" s="339"/>
      <c r="P5" s="5" t="s">
        <v>303</v>
      </c>
      <c r="Q5" s="6"/>
      <c r="R5" s="7"/>
      <c r="S5" s="339" t="s">
        <v>304</v>
      </c>
      <c r="T5" s="339"/>
      <c r="U5" s="339"/>
      <c r="V5" s="339" t="s">
        <v>305</v>
      </c>
      <c r="W5" s="339"/>
      <c r="X5" s="339"/>
      <c r="Y5" s="339" t="s">
        <v>306</v>
      </c>
      <c r="Z5" s="339"/>
      <c r="AA5" s="339"/>
      <c r="AB5" s="5" t="s">
        <v>303</v>
      </c>
      <c r="AC5" s="6"/>
      <c r="AD5" s="7"/>
      <c r="AE5" s="339" t="s">
        <v>304</v>
      </c>
      <c r="AF5" s="339"/>
      <c r="AG5" s="339"/>
      <c r="AH5" s="339" t="s">
        <v>305</v>
      </c>
      <c r="AI5" s="339"/>
      <c r="AJ5" s="339"/>
      <c r="AK5" s="339" t="s">
        <v>306</v>
      </c>
      <c r="AL5" s="339"/>
      <c r="AM5" s="339"/>
      <c r="AN5" s="368"/>
      <c r="AO5" s="5" t="s">
        <v>303</v>
      </c>
      <c r="AP5" s="6"/>
      <c r="AQ5" s="7"/>
      <c r="AR5" s="339" t="s">
        <v>304</v>
      </c>
      <c r="AS5" s="339"/>
      <c r="AT5" s="339"/>
      <c r="AU5" s="339" t="s">
        <v>305</v>
      </c>
      <c r="AV5" s="339"/>
      <c r="AW5" s="339"/>
      <c r="AX5" s="339" t="s">
        <v>306</v>
      </c>
      <c r="AY5" s="339"/>
      <c r="AZ5" s="339"/>
      <c r="BA5" s="5" t="s">
        <v>303</v>
      </c>
      <c r="BB5" s="116"/>
      <c r="BC5" s="7"/>
      <c r="BD5" s="339" t="s">
        <v>304</v>
      </c>
      <c r="BE5" s="339"/>
      <c r="BF5" s="339"/>
      <c r="BG5" s="339" t="s">
        <v>305</v>
      </c>
      <c r="BH5" s="339"/>
      <c r="BI5" s="339"/>
      <c r="BJ5" s="339" t="s">
        <v>306</v>
      </c>
      <c r="BK5" s="339"/>
      <c r="BL5" s="339"/>
      <c r="BM5" s="5" t="s">
        <v>303</v>
      </c>
      <c r="BN5" s="116"/>
      <c r="BO5" s="7"/>
      <c r="BP5" s="339" t="s">
        <v>304</v>
      </c>
      <c r="BQ5" s="339"/>
      <c r="BR5" s="339"/>
      <c r="BS5" s="339" t="s">
        <v>305</v>
      </c>
      <c r="BT5" s="339"/>
      <c r="BU5" s="339"/>
      <c r="BV5" s="339" t="s">
        <v>306</v>
      </c>
      <c r="BW5" s="339"/>
      <c r="BX5" s="311"/>
    </row>
    <row r="6" spans="1:114" s="3" customFormat="1" ht="16.5" customHeight="1">
      <c r="A6" s="364"/>
      <c r="B6" s="302"/>
      <c r="C6" s="368"/>
      <c r="D6" s="322" t="s">
        <v>307</v>
      </c>
      <c r="E6" s="322" t="s">
        <v>308</v>
      </c>
      <c r="F6" s="322" t="s">
        <v>309</v>
      </c>
      <c r="G6" s="322" t="s">
        <v>307</v>
      </c>
      <c r="H6" s="322" t="s">
        <v>308</v>
      </c>
      <c r="I6" s="322" t="s">
        <v>309</v>
      </c>
      <c r="J6" s="322" t="s">
        <v>307</v>
      </c>
      <c r="K6" s="322" t="s">
        <v>308</v>
      </c>
      <c r="L6" s="322" t="s">
        <v>309</v>
      </c>
      <c r="M6" s="322" t="s">
        <v>307</v>
      </c>
      <c r="N6" s="322" t="s">
        <v>308</v>
      </c>
      <c r="O6" s="322" t="s">
        <v>309</v>
      </c>
      <c r="P6" s="322" t="s">
        <v>307</v>
      </c>
      <c r="Q6" s="322" t="s">
        <v>308</v>
      </c>
      <c r="R6" s="322" t="s">
        <v>309</v>
      </c>
      <c r="S6" s="322" t="s">
        <v>307</v>
      </c>
      <c r="T6" s="322" t="s">
        <v>308</v>
      </c>
      <c r="U6" s="322" t="s">
        <v>309</v>
      </c>
      <c r="V6" s="322" t="s">
        <v>307</v>
      </c>
      <c r="W6" s="322" t="s">
        <v>308</v>
      </c>
      <c r="X6" s="322" t="s">
        <v>309</v>
      </c>
      <c r="Y6" s="322" t="s">
        <v>307</v>
      </c>
      <c r="Z6" s="322" t="s">
        <v>308</v>
      </c>
      <c r="AA6" s="322" t="s">
        <v>309</v>
      </c>
      <c r="AB6" s="322" t="s">
        <v>307</v>
      </c>
      <c r="AC6" s="322" t="s">
        <v>308</v>
      </c>
      <c r="AD6" s="322" t="s">
        <v>309</v>
      </c>
      <c r="AE6" s="322" t="s">
        <v>307</v>
      </c>
      <c r="AF6" s="322" t="s">
        <v>308</v>
      </c>
      <c r="AG6" s="322" t="s">
        <v>309</v>
      </c>
      <c r="AH6" s="322" t="s">
        <v>307</v>
      </c>
      <c r="AI6" s="322" t="s">
        <v>308</v>
      </c>
      <c r="AJ6" s="322" t="s">
        <v>309</v>
      </c>
      <c r="AK6" s="322" t="s">
        <v>307</v>
      </c>
      <c r="AL6" s="322" t="s">
        <v>308</v>
      </c>
      <c r="AM6" s="322" t="s">
        <v>309</v>
      </c>
      <c r="AN6" s="368"/>
      <c r="AO6" s="322" t="s">
        <v>307</v>
      </c>
      <c r="AP6" s="322" t="s">
        <v>308</v>
      </c>
      <c r="AQ6" s="322" t="s">
        <v>309</v>
      </c>
      <c r="AR6" s="322" t="s">
        <v>307</v>
      </c>
      <c r="AS6" s="322" t="s">
        <v>308</v>
      </c>
      <c r="AT6" s="322" t="s">
        <v>309</v>
      </c>
      <c r="AU6" s="322" t="s">
        <v>307</v>
      </c>
      <c r="AV6" s="322" t="s">
        <v>308</v>
      </c>
      <c r="AW6" s="322" t="s">
        <v>309</v>
      </c>
      <c r="AX6" s="322" t="s">
        <v>307</v>
      </c>
      <c r="AY6" s="322" t="s">
        <v>308</v>
      </c>
      <c r="AZ6" s="322" t="s">
        <v>309</v>
      </c>
      <c r="BA6" s="322" t="s">
        <v>307</v>
      </c>
      <c r="BB6" s="322" t="s">
        <v>308</v>
      </c>
      <c r="BC6" s="322" t="s">
        <v>309</v>
      </c>
      <c r="BD6" s="322" t="s">
        <v>307</v>
      </c>
      <c r="BE6" s="322" t="s">
        <v>308</v>
      </c>
      <c r="BF6" s="322" t="s">
        <v>309</v>
      </c>
      <c r="BG6" s="322" t="s">
        <v>307</v>
      </c>
      <c r="BH6" s="322" t="s">
        <v>308</v>
      </c>
      <c r="BI6" s="322" t="s">
        <v>309</v>
      </c>
      <c r="BJ6" s="322" t="s">
        <v>307</v>
      </c>
      <c r="BK6" s="322" t="s">
        <v>308</v>
      </c>
      <c r="BL6" s="322" t="s">
        <v>309</v>
      </c>
      <c r="BM6" s="322" t="s">
        <v>307</v>
      </c>
      <c r="BN6" s="322" t="s">
        <v>308</v>
      </c>
      <c r="BO6" s="322" t="s">
        <v>309</v>
      </c>
      <c r="BP6" s="322" t="s">
        <v>307</v>
      </c>
      <c r="BQ6" s="322" t="s">
        <v>308</v>
      </c>
      <c r="BR6" s="322" t="s">
        <v>309</v>
      </c>
      <c r="BS6" s="322" t="s">
        <v>307</v>
      </c>
      <c r="BT6" s="322" t="s">
        <v>308</v>
      </c>
      <c r="BU6" s="322" t="s">
        <v>309</v>
      </c>
      <c r="BV6" s="322" t="s">
        <v>307</v>
      </c>
      <c r="BW6" s="322" t="s">
        <v>308</v>
      </c>
      <c r="BX6" s="314" t="s">
        <v>309</v>
      </c>
    </row>
    <row r="7" spans="1:114" s="3" customFormat="1" ht="12.75">
      <c r="A7" s="331"/>
      <c r="B7" s="303"/>
      <c r="C7" s="337"/>
      <c r="D7" s="323"/>
      <c r="E7" s="323"/>
      <c r="F7" s="323"/>
      <c r="G7" s="323"/>
      <c r="H7" s="323"/>
      <c r="I7" s="323"/>
      <c r="J7" s="323"/>
      <c r="K7" s="323"/>
      <c r="L7" s="323"/>
      <c r="M7" s="323"/>
      <c r="N7" s="323"/>
      <c r="O7" s="323"/>
      <c r="P7" s="323"/>
      <c r="Q7" s="323"/>
      <c r="R7" s="323"/>
      <c r="S7" s="323"/>
      <c r="T7" s="323"/>
      <c r="U7" s="323"/>
      <c r="V7" s="323"/>
      <c r="W7" s="323"/>
      <c r="X7" s="323"/>
      <c r="Y7" s="323"/>
      <c r="Z7" s="323"/>
      <c r="AA7" s="323"/>
      <c r="AB7" s="323"/>
      <c r="AC7" s="323"/>
      <c r="AD7" s="323"/>
      <c r="AE7" s="323"/>
      <c r="AF7" s="323"/>
      <c r="AG7" s="323"/>
      <c r="AH7" s="323"/>
      <c r="AI7" s="323"/>
      <c r="AJ7" s="323"/>
      <c r="AK7" s="323"/>
      <c r="AL7" s="323"/>
      <c r="AM7" s="323"/>
      <c r="AN7" s="337"/>
      <c r="AO7" s="323"/>
      <c r="AP7" s="323"/>
      <c r="AQ7" s="323"/>
      <c r="AR7" s="323"/>
      <c r="AS7" s="323"/>
      <c r="AT7" s="323"/>
      <c r="AU7" s="323"/>
      <c r="AV7" s="323"/>
      <c r="AW7" s="323"/>
      <c r="AX7" s="323"/>
      <c r="AY7" s="323"/>
      <c r="AZ7" s="323"/>
      <c r="BA7" s="323"/>
      <c r="BB7" s="323"/>
      <c r="BC7" s="323"/>
      <c r="BD7" s="323"/>
      <c r="BE7" s="323"/>
      <c r="BF7" s="323"/>
      <c r="BG7" s="323"/>
      <c r="BH7" s="323"/>
      <c r="BI7" s="323"/>
      <c r="BJ7" s="323"/>
      <c r="BK7" s="323"/>
      <c r="BL7" s="323"/>
      <c r="BM7" s="323"/>
      <c r="BN7" s="323"/>
      <c r="BO7" s="323"/>
      <c r="BP7" s="323"/>
      <c r="BQ7" s="323"/>
      <c r="BR7" s="323"/>
      <c r="BS7" s="323"/>
      <c r="BT7" s="323"/>
      <c r="BU7" s="323"/>
      <c r="BV7" s="323"/>
      <c r="BW7" s="323"/>
      <c r="BX7" s="326"/>
    </row>
    <row r="8" spans="1:114" s="18" customFormat="1" ht="15.6" customHeight="1">
      <c r="A8" s="106" t="s">
        <v>327</v>
      </c>
      <c r="B8" s="36" t="s">
        <v>199</v>
      </c>
      <c r="C8" s="41"/>
      <c r="D8" s="41">
        <v>154</v>
      </c>
      <c r="E8" s="41">
        <v>57</v>
      </c>
      <c r="F8" s="41">
        <v>97</v>
      </c>
      <c r="G8" s="41">
        <v>4</v>
      </c>
      <c r="H8" s="41">
        <v>1</v>
      </c>
      <c r="I8" s="41">
        <v>3</v>
      </c>
      <c r="J8" s="41">
        <v>12</v>
      </c>
      <c r="K8" s="41">
        <v>3</v>
      </c>
      <c r="L8" s="41">
        <v>9</v>
      </c>
      <c r="M8" s="41">
        <v>138</v>
      </c>
      <c r="N8" s="41">
        <v>53</v>
      </c>
      <c r="O8" s="41">
        <v>85</v>
      </c>
      <c r="P8" s="41">
        <v>33179</v>
      </c>
      <c r="Q8" s="41">
        <v>11378</v>
      </c>
      <c r="R8" s="41">
        <v>21801</v>
      </c>
      <c r="S8" s="41">
        <v>856</v>
      </c>
      <c r="T8" s="41">
        <v>200</v>
      </c>
      <c r="U8" s="41">
        <v>656</v>
      </c>
      <c r="V8" s="41">
        <v>1967</v>
      </c>
      <c r="W8" s="41">
        <v>543</v>
      </c>
      <c r="X8" s="41">
        <v>1424</v>
      </c>
      <c r="Y8" s="41">
        <v>30356</v>
      </c>
      <c r="Z8" s="41">
        <v>10635</v>
      </c>
      <c r="AA8" s="41">
        <v>19721</v>
      </c>
      <c r="AB8" s="41">
        <v>191378</v>
      </c>
      <c r="AC8" s="41">
        <v>61965</v>
      </c>
      <c r="AD8" s="41">
        <v>129413</v>
      </c>
      <c r="AE8" s="41">
        <v>6058</v>
      </c>
      <c r="AF8" s="41">
        <v>810</v>
      </c>
      <c r="AG8" s="41">
        <v>5248</v>
      </c>
      <c r="AH8" s="41">
        <v>6687</v>
      </c>
      <c r="AI8" s="41">
        <v>3384</v>
      </c>
      <c r="AJ8" s="41">
        <v>3303</v>
      </c>
      <c r="AK8" s="41">
        <v>178633</v>
      </c>
      <c r="AL8" s="41">
        <v>57771</v>
      </c>
      <c r="AM8" s="41">
        <v>120862</v>
      </c>
      <c r="AN8" s="41"/>
      <c r="AO8" s="41">
        <v>744</v>
      </c>
      <c r="AP8" s="41">
        <v>300</v>
      </c>
      <c r="AQ8" s="41">
        <v>444</v>
      </c>
      <c r="AR8" s="41">
        <v>64</v>
      </c>
      <c r="AS8" s="41">
        <v>33</v>
      </c>
      <c r="AT8" s="41">
        <v>31</v>
      </c>
      <c r="AU8" s="41">
        <v>53</v>
      </c>
      <c r="AV8" s="41">
        <v>25</v>
      </c>
      <c r="AW8" s="41">
        <v>28</v>
      </c>
      <c r="AX8" s="41">
        <v>627</v>
      </c>
      <c r="AY8" s="41">
        <v>242</v>
      </c>
      <c r="AZ8" s="41">
        <v>385</v>
      </c>
      <c r="BA8" s="41">
        <v>124572</v>
      </c>
      <c r="BB8" s="41">
        <v>44550</v>
      </c>
      <c r="BC8" s="41">
        <v>80022</v>
      </c>
      <c r="BD8" s="41">
        <v>8530</v>
      </c>
      <c r="BE8" s="41">
        <v>3645</v>
      </c>
      <c r="BF8" s="41">
        <v>4885</v>
      </c>
      <c r="BG8" s="41">
        <v>9442</v>
      </c>
      <c r="BH8" s="41">
        <v>3556</v>
      </c>
      <c r="BI8" s="41">
        <v>5886</v>
      </c>
      <c r="BJ8" s="41">
        <v>106600</v>
      </c>
      <c r="BK8" s="41">
        <v>37349</v>
      </c>
      <c r="BL8" s="41">
        <v>69251</v>
      </c>
      <c r="BM8" s="41">
        <v>803261.6</v>
      </c>
      <c r="BN8" s="41">
        <v>273739.5</v>
      </c>
      <c r="BO8" s="41">
        <v>529522.1</v>
      </c>
      <c r="BP8" s="41">
        <v>57086</v>
      </c>
      <c r="BQ8" s="41">
        <v>23694.5</v>
      </c>
      <c r="BR8" s="41">
        <v>33391.5</v>
      </c>
      <c r="BS8" s="41">
        <v>60238.5</v>
      </c>
      <c r="BT8" s="41">
        <v>20911</v>
      </c>
      <c r="BU8" s="41">
        <v>39327.5</v>
      </c>
      <c r="BV8" s="41">
        <v>685937.1</v>
      </c>
      <c r="BW8" s="41">
        <v>229134</v>
      </c>
      <c r="BX8" s="41">
        <v>456803.1</v>
      </c>
      <c r="BY8" s="93"/>
      <c r="BZ8" s="93"/>
      <c r="CA8" s="93"/>
      <c r="CB8" s="93"/>
      <c r="CC8" s="93"/>
      <c r="CD8" s="93"/>
      <c r="CE8" s="93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</row>
    <row r="9" spans="1:114" s="3" customFormat="1" ht="15.6" customHeight="1">
      <c r="A9" s="53" t="s">
        <v>169</v>
      </c>
      <c r="B9" s="94" t="s">
        <v>41</v>
      </c>
      <c r="C9" s="20"/>
      <c r="D9" s="20">
        <v>38</v>
      </c>
      <c r="E9" s="20">
        <v>13</v>
      </c>
      <c r="F9" s="20">
        <v>25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38</v>
      </c>
      <c r="N9" s="20">
        <v>13</v>
      </c>
      <c r="O9" s="20">
        <v>25</v>
      </c>
      <c r="P9" s="20">
        <v>13230</v>
      </c>
      <c r="Q9" s="20">
        <v>4380</v>
      </c>
      <c r="R9" s="20">
        <v>8850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0">
        <v>13230</v>
      </c>
      <c r="Z9" s="20">
        <v>4380</v>
      </c>
      <c r="AA9" s="20">
        <v>8850</v>
      </c>
      <c r="AB9" s="20">
        <v>105840</v>
      </c>
      <c r="AC9" s="20">
        <v>35040</v>
      </c>
      <c r="AD9" s="20">
        <v>70800</v>
      </c>
      <c r="AE9" s="20">
        <v>0</v>
      </c>
      <c r="AF9" s="20">
        <v>0</v>
      </c>
      <c r="AG9" s="20">
        <v>0</v>
      </c>
      <c r="AH9" s="20">
        <v>0</v>
      </c>
      <c r="AI9" s="20">
        <v>0</v>
      </c>
      <c r="AJ9" s="20">
        <v>0</v>
      </c>
      <c r="AK9" s="20">
        <v>105840</v>
      </c>
      <c r="AL9" s="20">
        <v>35040</v>
      </c>
      <c r="AM9" s="20">
        <v>70800</v>
      </c>
      <c r="AN9" s="20"/>
      <c r="AO9" s="20">
        <v>13</v>
      </c>
      <c r="AP9" s="20">
        <v>4</v>
      </c>
      <c r="AQ9" s="20">
        <v>9</v>
      </c>
      <c r="AR9" s="20">
        <v>1</v>
      </c>
      <c r="AS9" s="20">
        <v>0</v>
      </c>
      <c r="AT9" s="20">
        <v>1</v>
      </c>
      <c r="AU9" s="20">
        <v>0</v>
      </c>
      <c r="AV9" s="20">
        <v>0</v>
      </c>
      <c r="AW9" s="20">
        <v>0</v>
      </c>
      <c r="AX9" s="20">
        <v>12</v>
      </c>
      <c r="AY9" s="20">
        <v>4</v>
      </c>
      <c r="AZ9" s="20">
        <v>8</v>
      </c>
      <c r="BA9" s="20">
        <v>3814</v>
      </c>
      <c r="BB9" s="20">
        <v>1290</v>
      </c>
      <c r="BC9" s="20">
        <v>2524</v>
      </c>
      <c r="BD9" s="20">
        <v>30</v>
      </c>
      <c r="BE9" s="20">
        <v>0</v>
      </c>
      <c r="BF9" s="20">
        <v>30</v>
      </c>
      <c r="BG9" s="20">
        <v>0</v>
      </c>
      <c r="BH9" s="20">
        <v>0</v>
      </c>
      <c r="BI9" s="20">
        <v>0</v>
      </c>
      <c r="BJ9" s="20">
        <v>3784</v>
      </c>
      <c r="BK9" s="20">
        <v>1290</v>
      </c>
      <c r="BL9" s="20">
        <v>2494</v>
      </c>
      <c r="BM9" s="20">
        <v>30386</v>
      </c>
      <c r="BN9" s="20">
        <v>10320</v>
      </c>
      <c r="BO9" s="20">
        <v>20066</v>
      </c>
      <c r="BP9" s="20">
        <v>114</v>
      </c>
      <c r="BQ9" s="20">
        <v>0</v>
      </c>
      <c r="BR9" s="20">
        <v>114</v>
      </c>
      <c r="BS9" s="20">
        <v>0</v>
      </c>
      <c r="BT9" s="20">
        <v>0</v>
      </c>
      <c r="BU9" s="20">
        <v>0</v>
      </c>
      <c r="BV9" s="20">
        <v>30272</v>
      </c>
      <c r="BW9" s="20">
        <v>10320</v>
      </c>
      <c r="BX9" s="20">
        <v>19952</v>
      </c>
      <c r="BY9" s="20"/>
      <c r="BZ9" s="20"/>
      <c r="CA9" s="20"/>
      <c r="CB9" s="20"/>
      <c r="CC9" s="20"/>
      <c r="CD9" s="20"/>
      <c r="CE9" s="20"/>
    </row>
    <row r="10" spans="1:114" s="3" customFormat="1" ht="15.6" customHeight="1">
      <c r="A10" s="53" t="s">
        <v>152</v>
      </c>
      <c r="B10" s="94" t="s">
        <v>7</v>
      </c>
      <c r="C10" s="20"/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/>
      <c r="AO10" s="20">
        <v>12</v>
      </c>
      <c r="AP10" s="20">
        <v>6</v>
      </c>
      <c r="AQ10" s="20">
        <v>6</v>
      </c>
      <c r="AR10" s="20">
        <v>3</v>
      </c>
      <c r="AS10" s="20">
        <v>2</v>
      </c>
      <c r="AT10" s="20">
        <v>1</v>
      </c>
      <c r="AU10" s="20">
        <v>0</v>
      </c>
      <c r="AV10" s="20">
        <v>0</v>
      </c>
      <c r="AW10" s="20">
        <v>0</v>
      </c>
      <c r="AX10" s="20">
        <v>9</v>
      </c>
      <c r="AY10" s="20">
        <v>4</v>
      </c>
      <c r="AZ10" s="20">
        <v>5</v>
      </c>
      <c r="BA10" s="20">
        <v>984</v>
      </c>
      <c r="BB10" s="20">
        <v>500</v>
      </c>
      <c r="BC10" s="20">
        <v>484</v>
      </c>
      <c r="BD10" s="20">
        <v>264</v>
      </c>
      <c r="BE10" s="20">
        <v>198</v>
      </c>
      <c r="BF10" s="20">
        <v>66</v>
      </c>
      <c r="BG10" s="20">
        <v>66</v>
      </c>
      <c r="BH10" s="20">
        <v>0</v>
      </c>
      <c r="BI10" s="20">
        <v>66</v>
      </c>
      <c r="BJ10" s="20">
        <v>654</v>
      </c>
      <c r="BK10" s="20">
        <v>302</v>
      </c>
      <c r="BL10" s="20">
        <v>352</v>
      </c>
      <c r="BM10" s="20">
        <v>8577</v>
      </c>
      <c r="BN10" s="20">
        <v>4453</v>
      </c>
      <c r="BO10" s="20">
        <v>4124</v>
      </c>
      <c r="BP10" s="20">
        <v>1936</v>
      </c>
      <c r="BQ10" s="20">
        <v>1408</v>
      </c>
      <c r="BR10" s="20">
        <v>528</v>
      </c>
      <c r="BS10" s="20">
        <v>528</v>
      </c>
      <c r="BT10" s="20">
        <v>0</v>
      </c>
      <c r="BU10" s="20">
        <v>528</v>
      </c>
      <c r="BV10" s="20">
        <v>6113</v>
      </c>
      <c r="BW10" s="20">
        <v>3045</v>
      </c>
      <c r="BX10" s="20">
        <v>3068</v>
      </c>
      <c r="BY10" s="20"/>
      <c r="BZ10" s="20"/>
      <c r="CA10" s="20"/>
      <c r="CB10" s="20"/>
      <c r="CC10" s="20"/>
      <c r="CD10" s="20"/>
      <c r="CE10" s="20"/>
    </row>
    <row r="11" spans="1:114" s="3" customFormat="1" ht="15.6" customHeight="1">
      <c r="A11" s="53" t="s">
        <v>153</v>
      </c>
      <c r="B11" s="94" t="s">
        <v>8</v>
      </c>
      <c r="C11" s="20"/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  <c r="AC11" s="20">
        <v>0</v>
      </c>
      <c r="AD11" s="20">
        <v>0</v>
      </c>
      <c r="AE11" s="20">
        <v>0</v>
      </c>
      <c r="AF11" s="20">
        <v>0</v>
      </c>
      <c r="AG11" s="20">
        <v>0</v>
      </c>
      <c r="AH11" s="20">
        <v>0</v>
      </c>
      <c r="AI11" s="20">
        <v>0</v>
      </c>
      <c r="AJ11" s="20">
        <v>0</v>
      </c>
      <c r="AK11" s="20">
        <v>0</v>
      </c>
      <c r="AL11" s="20">
        <v>0</v>
      </c>
      <c r="AM11" s="20">
        <v>0</v>
      </c>
      <c r="AN11" s="20"/>
      <c r="AO11" s="20">
        <v>10</v>
      </c>
      <c r="AP11" s="20">
        <v>4</v>
      </c>
      <c r="AQ11" s="20">
        <v>6</v>
      </c>
      <c r="AR11" s="20">
        <v>0</v>
      </c>
      <c r="AS11" s="20">
        <v>0</v>
      </c>
      <c r="AT11" s="20">
        <v>0</v>
      </c>
      <c r="AU11" s="20">
        <v>0</v>
      </c>
      <c r="AV11" s="20">
        <v>0</v>
      </c>
      <c r="AW11" s="20">
        <v>0</v>
      </c>
      <c r="AX11" s="20">
        <v>10</v>
      </c>
      <c r="AY11" s="20">
        <v>4</v>
      </c>
      <c r="AZ11" s="20">
        <v>6</v>
      </c>
      <c r="BA11" s="20">
        <v>691</v>
      </c>
      <c r="BB11" s="20">
        <v>176</v>
      </c>
      <c r="BC11" s="20">
        <v>515</v>
      </c>
      <c r="BD11" s="20">
        <v>0</v>
      </c>
      <c r="BE11" s="20">
        <v>0</v>
      </c>
      <c r="BF11" s="20">
        <v>0</v>
      </c>
      <c r="BG11" s="20">
        <v>210</v>
      </c>
      <c r="BH11" s="20">
        <v>0</v>
      </c>
      <c r="BI11" s="20">
        <v>210</v>
      </c>
      <c r="BJ11" s="20">
        <v>481</v>
      </c>
      <c r="BK11" s="20">
        <v>176</v>
      </c>
      <c r="BL11" s="20">
        <v>305</v>
      </c>
      <c r="BM11" s="20">
        <v>5987</v>
      </c>
      <c r="BN11" s="20">
        <v>1548</v>
      </c>
      <c r="BO11" s="20">
        <v>4439</v>
      </c>
      <c r="BP11" s="20">
        <v>0</v>
      </c>
      <c r="BQ11" s="20">
        <v>0</v>
      </c>
      <c r="BR11" s="20">
        <v>0</v>
      </c>
      <c r="BS11" s="20">
        <v>1680</v>
      </c>
      <c r="BT11" s="20">
        <v>0</v>
      </c>
      <c r="BU11" s="20">
        <v>1680</v>
      </c>
      <c r="BV11" s="20">
        <v>4307</v>
      </c>
      <c r="BW11" s="20">
        <v>1548</v>
      </c>
      <c r="BX11" s="20">
        <v>2759</v>
      </c>
      <c r="BY11" s="20"/>
      <c r="BZ11" s="20"/>
      <c r="CA11" s="20"/>
      <c r="CB11" s="20"/>
      <c r="CC11" s="20"/>
      <c r="CD11" s="20"/>
      <c r="CE11" s="20"/>
    </row>
    <row r="12" spans="1:114" s="3" customFormat="1" ht="15.6" customHeight="1">
      <c r="A12" s="53" t="s">
        <v>154</v>
      </c>
      <c r="B12" s="94" t="s">
        <v>9</v>
      </c>
      <c r="C12" s="20"/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/>
      <c r="AO12" s="20">
        <v>1</v>
      </c>
      <c r="AP12" s="20">
        <v>0</v>
      </c>
      <c r="AQ12" s="20">
        <v>1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1</v>
      </c>
      <c r="AY12" s="20">
        <v>0</v>
      </c>
      <c r="AZ12" s="20">
        <v>1</v>
      </c>
      <c r="BA12" s="20">
        <v>57</v>
      </c>
      <c r="BB12" s="20">
        <v>0</v>
      </c>
      <c r="BC12" s="20">
        <v>57</v>
      </c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0">
        <v>0</v>
      </c>
      <c r="BJ12" s="20">
        <v>57</v>
      </c>
      <c r="BK12" s="20">
        <v>0</v>
      </c>
      <c r="BL12" s="20">
        <v>57</v>
      </c>
      <c r="BM12" s="20">
        <v>409</v>
      </c>
      <c r="BN12" s="20">
        <v>0</v>
      </c>
      <c r="BO12" s="20">
        <v>409</v>
      </c>
      <c r="BP12" s="20">
        <v>0</v>
      </c>
      <c r="BQ12" s="20">
        <v>0</v>
      </c>
      <c r="BR12" s="20">
        <v>0</v>
      </c>
      <c r="BS12" s="20">
        <v>0</v>
      </c>
      <c r="BT12" s="20">
        <v>0</v>
      </c>
      <c r="BU12" s="20">
        <v>0</v>
      </c>
      <c r="BV12" s="20">
        <v>409</v>
      </c>
      <c r="BW12" s="20">
        <v>0</v>
      </c>
      <c r="BX12" s="20">
        <v>409</v>
      </c>
      <c r="BY12" s="20"/>
      <c r="BZ12" s="20"/>
      <c r="CA12" s="20"/>
      <c r="CB12" s="20"/>
      <c r="CC12" s="20"/>
      <c r="CD12" s="20"/>
      <c r="CE12" s="20"/>
    </row>
    <row r="13" spans="1:114" s="3" customFormat="1" ht="15.6" customHeight="1">
      <c r="A13" s="53" t="s">
        <v>155</v>
      </c>
      <c r="B13" s="94" t="s">
        <v>10</v>
      </c>
      <c r="C13" s="20"/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20"/>
      <c r="AO13" s="20">
        <v>1</v>
      </c>
      <c r="AP13" s="20">
        <v>0</v>
      </c>
      <c r="AQ13" s="20">
        <v>1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1</v>
      </c>
      <c r="AY13" s="20">
        <v>0</v>
      </c>
      <c r="AZ13" s="20">
        <v>1</v>
      </c>
      <c r="BA13" s="20">
        <v>8</v>
      </c>
      <c r="BB13" s="20">
        <v>0</v>
      </c>
      <c r="BC13" s="20">
        <v>8</v>
      </c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0">
        <v>8</v>
      </c>
      <c r="BK13" s="20">
        <v>0</v>
      </c>
      <c r="BL13" s="20">
        <v>8</v>
      </c>
      <c r="BM13" s="20">
        <v>105</v>
      </c>
      <c r="BN13" s="20">
        <v>0</v>
      </c>
      <c r="BO13" s="20">
        <v>105</v>
      </c>
      <c r="BP13" s="20">
        <v>0</v>
      </c>
      <c r="BQ13" s="20">
        <v>0</v>
      </c>
      <c r="BR13" s="20">
        <v>0</v>
      </c>
      <c r="BS13" s="20">
        <v>0</v>
      </c>
      <c r="BT13" s="20">
        <v>0</v>
      </c>
      <c r="BU13" s="20">
        <v>0</v>
      </c>
      <c r="BV13" s="20">
        <v>105</v>
      </c>
      <c r="BW13" s="20">
        <v>0</v>
      </c>
      <c r="BX13" s="20">
        <v>105</v>
      </c>
      <c r="BY13" s="20"/>
      <c r="BZ13" s="20"/>
      <c r="CA13" s="20"/>
      <c r="CB13" s="20"/>
      <c r="CC13" s="20"/>
      <c r="CD13" s="20"/>
      <c r="CE13" s="20"/>
    </row>
    <row r="14" spans="1:114" s="3" customFormat="1" ht="15.6" customHeight="1">
      <c r="A14" s="53" t="s">
        <v>170</v>
      </c>
      <c r="B14" s="94" t="s">
        <v>42</v>
      </c>
      <c r="C14" s="20"/>
      <c r="D14" s="20">
        <v>13</v>
      </c>
      <c r="E14" s="20">
        <v>7</v>
      </c>
      <c r="F14" s="20">
        <v>6</v>
      </c>
      <c r="G14" s="20">
        <v>1</v>
      </c>
      <c r="H14" s="20">
        <v>1</v>
      </c>
      <c r="I14" s="20">
        <v>0</v>
      </c>
      <c r="J14" s="20">
        <v>5</v>
      </c>
      <c r="K14" s="20">
        <v>3</v>
      </c>
      <c r="L14" s="20">
        <v>2</v>
      </c>
      <c r="M14" s="20">
        <v>7</v>
      </c>
      <c r="N14" s="20">
        <v>3</v>
      </c>
      <c r="O14" s="20">
        <v>4</v>
      </c>
      <c r="P14" s="20">
        <v>2140</v>
      </c>
      <c r="Q14" s="20">
        <v>1309</v>
      </c>
      <c r="R14" s="20">
        <v>831</v>
      </c>
      <c r="S14" s="20">
        <v>200</v>
      </c>
      <c r="T14" s="20">
        <v>200</v>
      </c>
      <c r="U14" s="20">
        <v>0</v>
      </c>
      <c r="V14" s="20">
        <v>922</v>
      </c>
      <c r="W14" s="20">
        <v>543</v>
      </c>
      <c r="X14" s="20">
        <v>379</v>
      </c>
      <c r="Y14" s="20">
        <v>1018</v>
      </c>
      <c r="Z14" s="20">
        <v>566</v>
      </c>
      <c r="AA14" s="20">
        <v>452</v>
      </c>
      <c r="AB14" s="20">
        <v>13841</v>
      </c>
      <c r="AC14" s="20">
        <v>7977</v>
      </c>
      <c r="AD14" s="20">
        <v>5864</v>
      </c>
      <c r="AE14" s="20">
        <v>810</v>
      </c>
      <c r="AF14" s="20">
        <v>810</v>
      </c>
      <c r="AG14" s="20">
        <v>0</v>
      </c>
      <c r="AH14" s="20">
        <v>5348</v>
      </c>
      <c r="AI14" s="20">
        <v>3384</v>
      </c>
      <c r="AJ14" s="20">
        <v>1964</v>
      </c>
      <c r="AK14" s="20">
        <v>7683</v>
      </c>
      <c r="AL14" s="20">
        <v>3783</v>
      </c>
      <c r="AM14" s="20">
        <v>3900</v>
      </c>
      <c r="AN14" s="20"/>
      <c r="AO14" s="20">
        <v>78</v>
      </c>
      <c r="AP14" s="20">
        <v>32</v>
      </c>
      <c r="AQ14" s="20">
        <v>46</v>
      </c>
      <c r="AR14" s="20">
        <v>4</v>
      </c>
      <c r="AS14" s="20">
        <v>4</v>
      </c>
      <c r="AT14" s="20">
        <v>0</v>
      </c>
      <c r="AU14" s="20">
        <v>9</v>
      </c>
      <c r="AV14" s="20">
        <v>3</v>
      </c>
      <c r="AW14" s="20">
        <v>6</v>
      </c>
      <c r="AX14" s="20">
        <v>65</v>
      </c>
      <c r="AY14" s="20">
        <v>25</v>
      </c>
      <c r="AZ14" s="20">
        <v>40</v>
      </c>
      <c r="BA14" s="20">
        <v>15714</v>
      </c>
      <c r="BB14" s="20">
        <v>6354</v>
      </c>
      <c r="BC14" s="20">
        <v>9360</v>
      </c>
      <c r="BD14" s="20">
        <v>633</v>
      </c>
      <c r="BE14" s="20">
        <v>633</v>
      </c>
      <c r="BF14" s="20">
        <v>0</v>
      </c>
      <c r="BG14" s="20">
        <v>1655</v>
      </c>
      <c r="BH14" s="20">
        <v>482</v>
      </c>
      <c r="BI14" s="20">
        <v>1173</v>
      </c>
      <c r="BJ14" s="20">
        <v>13426</v>
      </c>
      <c r="BK14" s="20">
        <v>5239</v>
      </c>
      <c r="BL14" s="20">
        <v>8187</v>
      </c>
      <c r="BM14" s="20">
        <v>106803</v>
      </c>
      <c r="BN14" s="20">
        <v>43949</v>
      </c>
      <c r="BO14" s="20">
        <v>62854</v>
      </c>
      <c r="BP14" s="20">
        <v>4374</v>
      </c>
      <c r="BQ14" s="20">
        <v>4374</v>
      </c>
      <c r="BR14" s="20">
        <v>0</v>
      </c>
      <c r="BS14" s="20">
        <v>10826</v>
      </c>
      <c r="BT14" s="20">
        <v>3348</v>
      </c>
      <c r="BU14" s="20">
        <v>7478</v>
      </c>
      <c r="BV14" s="20">
        <v>91603</v>
      </c>
      <c r="BW14" s="20">
        <v>36227</v>
      </c>
      <c r="BX14" s="20">
        <v>55376</v>
      </c>
      <c r="BY14" s="20"/>
      <c r="BZ14" s="20"/>
      <c r="CA14" s="20"/>
      <c r="CB14" s="20"/>
      <c r="CC14" s="20"/>
      <c r="CD14" s="20"/>
      <c r="CE14" s="20"/>
    </row>
    <row r="15" spans="1:114" s="3" customFormat="1" ht="15.6" customHeight="1">
      <c r="A15" s="53" t="s">
        <v>156</v>
      </c>
      <c r="B15" s="94" t="s">
        <v>11</v>
      </c>
      <c r="C15" s="20"/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/>
      <c r="AO15" s="20">
        <v>19</v>
      </c>
      <c r="AP15" s="20">
        <v>5</v>
      </c>
      <c r="AQ15" s="20">
        <v>14</v>
      </c>
      <c r="AR15" s="20">
        <v>3</v>
      </c>
      <c r="AS15" s="20">
        <v>1</v>
      </c>
      <c r="AT15" s="20">
        <v>2</v>
      </c>
      <c r="AU15" s="20">
        <v>2</v>
      </c>
      <c r="AV15" s="20">
        <v>0</v>
      </c>
      <c r="AW15" s="20">
        <v>2</v>
      </c>
      <c r="AX15" s="20">
        <v>14</v>
      </c>
      <c r="AY15" s="20">
        <v>4</v>
      </c>
      <c r="AZ15" s="20">
        <v>10</v>
      </c>
      <c r="BA15" s="20">
        <v>5166</v>
      </c>
      <c r="BB15" s="20">
        <v>1709</v>
      </c>
      <c r="BC15" s="20">
        <v>3457</v>
      </c>
      <c r="BD15" s="20">
        <v>549</v>
      </c>
      <c r="BE15" s="20">
        <v>252</v>
      </c>
      <c r="BF15" s="20">
        <v>297</v>
      </c>
      <c r="BG15" s="20">
        <v>111</v>
      </c>
      <c r="BH15" s="20">
        <v>0</v>
      </c>
      <c r="BI15" s="20">
        <v>111</v>
      </c>
      <c r="BJ15" s="20">
        <v>4506</v>
      </c>
      <c r="BK15" s="20">
        <v>1457</v>
      </c>
      <c r="BL15" s="20">
        <v>3049</v>
      </c>
      <c r="BM15" s="20">
        <v>35194</v>
      </c>
      <c r="BN15" s="20">
        <v>10281</v>
      </c>
      <c r="BO15" s="20">
        <v>24913</v>
      </c>
      <c r="BP15" s="20">
        <v>2318</v>
      </c>
      <c r="BQ15" s="20">
        <v>1054</v>
      </c>
      <c r="BR15" s="20">
        <v>1264</v>
      </c>
      <c r="BS15" s="20">
        <v>888</v>
      </c>
      <c r="BT15" s="20">
        <v>0</v>
      </c>
      <c r="BU15" s="20">
        <v>888</v>
      </c>
      <c r="BV15" s="20">
        <v>31988</v>
      </c>
      <c r="BW15" s="20">
        <v>9227</v>
      </c>
      <c r="BX15" s="20">
        <v>22761</v>
      </c>
      <c r="BY15" s="20"/>
      <c r="BZ15" s="20"/>
      <c r="CA15" s="20"/>
      <c r="CB15" s="20"/>
      <c r="CC15" s="20"/>
      <c r="CD15" s="20"/>
      <c r="CE15" s="20"/>
    </row>
    <row r="16" spans="1:114" s="3" customFormat="1" ht="15.6" customHeight="1">
      <c r="A16" s="53" t="s">
        <v>157</v>
      </c>
      <c r="B16" s="94" t="s">
        <v>12</v>
      </c>
      <c r="C16" s="20"/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/>
      <c r="AO16" s="20">
        <v>34</v>
      </c>
      <c r="AP16" s="20">
        <v>10</v>
      </c>
      <c r="AQ16" s="20">
        <v>24</v>
      </c>
      <c r="AR16" s="20">
        <v>1</v>
      </c>
      <c r="AS16" s="20">
        <v>0</v>
      </c>
      <c r="AT16" s="20">
        <v>1</v>
      </c>
      <c r="AU16" s="20">
        <v>7</v>
      </c>
      <c r="AV16" s="20">
        <v>3</v>
      </c>
      <c r="AW16" s="20">
        <v>4</v>
      </c>
      <c r="AX16" s="20">
        <v>26</v>
      </c>
      <c r="AY16" s="20">
        <v>7</v>
      </c>
      <c r="AZ16" s="20">
        <v>19</v>
      </c>
      <c r="BA16" s="20">
        <v>1378</v>
      </c>
      <c r="BB16" s="20">
        <v>403</v>
      </c>
      <c r="BC16" s="20">
        <v>975</v>
      </c>
      <c r="BD16" s="20">
        <v>42</v>
      </c>
      <c r="BE16" s="20">
        <v>2</v>
      </c>
      <c r="BF16" s="20">
        <v>40</v>
      </c>
      <c r="BG16" s="20">
        <v>296</v>
      </c>
      <c r="BH16" s="20">
        <v>123</v>
      </c>
      <c r="BI16" s="20">
        <v>173</v>
      </c>
      <c r="BJ16" s="20">
        <v>1040</v>
      </c>
      <c r="BK16" s="20">
        <v>278</v>
      </c>
      <c r="BL16" s="20">
        <v>762</v>
      </c>
      <c r="BM16" s="20">
        <v>3138</v>
      </c>
      <c r="BN16" s="20">
        <v>1032</v>
      </c>
      <c r="BO16" s="20">
        <v>2106</v>
      </c>
      <c r="BP16" s="20">
        <v>82</v>
      </c>
      <c r="BQ16" s="20">
        <v>16</v>
      </c>
      <c r="BR16" s="20">
        <v>66</v>
      </c>
      <c r="BS16" s="20">
        <v>726</v>
      </c>
      <c r="BT16" s="20">
        <v>306</v>
      </c>
      <c r="BU16" s="20">
        <v>420</v>
      </c>
      <c r="BV16" s="20">
        <v>2330</v>
      </c>
      <c r="BW16" s="20">
        <v>710</v>
      </c>
      <c r="BX16" s="20">
        <v>1620</v>
      </c>
      <c r="BY16" s="20"/>
      <c r="BZ16" s="20"/>
      <c r="CA16" s="20"/>
      <c r="CB16" s="20"/>
      <c r="CC16" s="20"/>
      <c r="CD16" s="20"/>
      <c r="CE16" s="20"/>
    </row>
    <row r="17" spans="1:114" s="3" customFormat="1" ht="15.6" customHeight="1">
      <c r="A17" s="53" t="s">
        <v>158</v>
      </c>
      <c r="B17" s="94" t="s">
        <v>13</v>
      </c>
      <c r="C17" s="20"/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/>
      <c r="AO17" s="20">
        <v>92</v>
      </c>
      <c r="AP17" s="20">
        <v>38</v>
      </c>
      <c r="AQ17" s="20">
        <v>54</v>
      </c>
      <c r="AR17" s="20">
        <v>7</v>
      </c>
      <c r="AS17" s="20">
        <v>5</v>
      </c>
      <c r="AT17" s="20">
        <v>2</v>
      </c>
      <c r="AU17" s="20">
        <v>12</v>
      </c>
      <c r="AV17" s="20">
        <v>7</v>
      </c>
      <c r="AW17" s="20">
        <v>5</v>
      </c>
      <c r="AX17" s="20">
        <v>73</v>
      </c>
      <c r="AY17" s="20">
        <v>26</v>
      </c>
      <c r="AZ17" s="20">
        <v>47</v>
      </c>
      <c r="BA17" s="20">
        <v>14177</v>
      </c>
      <c r="BB17" s="20">
        <v>5984</v>
      </c>
      <c r="BC17" s="20">
        <v>8193</v>
      </c>
      <c r="BD17" s="20">
        <v>1030</v>
      </c>
      <c r="BE17" s="20">
        <v>733</v>
      </c>
      <c r="BF17" s="20">
        <v>297</v>
      </c>
      <c r="BG17" s="20">
        <v>2380</v>
      </c>
      <c r="BH17" s="20">
        <v>1282</v>
      </c>
      <c r="BI17" s="20">
        <v>1098</v>
      </c>
      <c r="BJ17" s="20">
        <v>10767</v>
      </c>
      <c r="BK17" s="20">
        <v>3969</v>
      </c>
      <c r="BL17" s="20">
        <v>6798</v>
      </c>
      <c r="BM17" s="20">
        <v>44202.6</v>
      </c>
      <c r="BN17" s="20">
        <v>18838</v>
      </c>
      <c r="BO17" s="20">
        <v>25364.6</v>
      </c>
      <c r="BP17" s="20">
        <v>3975</v>
      </c>
      <c r="BQ17" s="20">
        <v>2600</v>
      </c>
      <c r="BR17" s="20">
        <v>1375</v>
      </c>
      <c r="BS17" s="20">
        <v>7889</v>
      </c>
      <c r="BT17" s="20">
        <v>4309.5</v>
      </c>
      <c r="BU17" s="20">
        <v>3579.5</v>
      </c>
      <c r="BV17" s="20">
        <v>32338.6</v>
      </c>
      <c r="BW17" s="20">
        <v>11928.5</v>
      </c>
      <c r="BX17" s="20">
        <v>20410.099999999999</v>
      </c>
      <c r="BY17" s="20"/>
      <c r="BZ17" s="20"/>
      <c r="CA17" s="20"/>
      <c r="CB17" s="20"/>
      <c r="CC17" s="20"/>
      <c r="CD17" s="20"/>
      <c r="CE17" s="20"/>
    </row>
    <row r="18" spans="1:114" s="3" customFormat="1" ht="15.6" customHeight="1">
      <c r="A18" s="53" t="s">
        <v>159</v>
      </c>
      <c r="B18" s="94" t="s">
        <v>14</v>
      </c>
      <c r="C18" s="20"/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/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0</v>
      </c>
      <c r="BM18" s="20">
        <v>0</v>
      </c>
      <c r="BN18" s="20">
        <v>0</v>
      </c>
      <c r="BO18" s="20">
        <v>0</v>
      </c>
      <c r="BP18" s="20">
        <v>0</v>
      </c>
      <c r="BQ18" s="20">
        <v>0</v>
      </c>
      <c r="BR18" s="20">
        <v>0</v>
      </c>
      <c r="BS18" s="20">
        <v>0</v>
      </c>
      <c r="BT18" s="20">
        <v>0</v>
      </c>
      <c r="BU18" s="20">
        <v>0</v>
      </c>
      <c r="BV18" s="20">
        <v>0</v>
      </c>
      <c r="BW18" s="20">
        <v>0</v>
      </c>
      <c r="BX18" s="20">
        <v>0</v>
      </c>
      <c r="BY18" s="20"/>
      <c r="BZ18" s="20"/>
      <c r="CA18" s="20"/>
      <c r="CB18" s="20"/>
      <c r="CC18" s="20"/>
      <c r="CD18" s="20"/>
      <c r="CE18" s="20"/>
    </row>
    <row r="19" spans="1:114" s="3" customFormat="1" ht="15.6" customHeight="1">
      <c r="A19" s="53" t="s">
        <v>171</v>
      </c>
      <c r="B19" s="94" t="s">
        <v>43</v>
      </c>
      <c r="C19" s="20"/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20">
        <v>0</v>
      </c>
      <c r="AM19" s="20">
        <v>0</v>
      </c>
      <c r="AN19" s="20"/>
      <c r="AO19" s="20">
        <v>2</v>
      </c>
      <c r="AP19" s="20">
        <v>1</v>
      </c>
      <c r="AQ19" s="20">
        <v>1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2</v>
      </c>
      <c r="AY19" s="20">
        <v>1</v>
      </c>
      <c r="AZ19" s="20">
        <v>1</v>
      </c>
      <c r="BA19" s="20">
        <v>27</v>
      </c>
      <c r="BB19" s="20">
        <v>17</v>
      </c>
      <c r="BC19" s="20">
        <v>10</v>
      </c>
      <c r="BD19" s="20">
        <v>0</v>
      </c>
      <c r="BE19" s="20">
        <v>0</v>
      </c>
      <c r="BF19" s="20">
        <v>0</v>
      </c>
      <c r="BG19" s="20">
        <v>0</v>
      </c>
      <c r="BH19" s="20">
        <v>0</v>
      </c>
      <c r="BI19" s="20">
        <v>0</v>
      </c>
      <c r="BJ19" s="20">
        <v>27</v>
      </c>
      <c r="BK19" s="20">
        <v>17</v>
      </c>
      <c r="BL19" s="20">
        <v>10</v>
      </c>
      <c r="BM19" s="20">
        <v>216</v>
      </c>
      <c r="BN19" s="20">
        <v>136</v>
      </c>
      <c r="BO19" s="20">
        <v>80</v>
      </c>
      <c r="BP19" s="20">
        <v>0</v>
      </c>
      <c r="BQ19" s="20">
        <v>0</v>
      </c>
      <c r="BR19" s="20">
        <v>0</v>
      </c>
      <c r="BS19" s="20">
        <v>0</v>
      </c>
      <c r="BT19" s="20">
        <v>0</v>
      </c>
      <c r="BU19" s="20">
        <v>0</v>
      </c>
      <c r="BV19" s="20">
        <v>216</v>
      </c>
      <c r="BW19" s="20">
        <v>136</v>
      </c>
      <c r="BX19" s="20">
        <v>80</v>
      </c>
      <c r="BY19" s="20"/>
      <c r="BZ19" s="20"/>
      <c r="CA19" s="20"/>
      <c r="CB19" s="20"/>
      <c r="CC19" s="20"/>
      <c r="CD19" s="20"/>
      <c r="CE19" s="20"/>
    </row>
    <row r="20" spans="1:114" s="3" customFormat="1" ht="15.6" customHeight="1">
      <c r="A20" s="53" t="s">
        <v>172</v>
      </c>
      <c r="B20" s="94" t="s">
        <v>44</v>
      </c>
      <c r="C20" s="20"/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/>
      <c r="AO20" s="20">
        <v>10</v>
      </c>
      <c r="AP20" s="20">
        <v>4</v>
      </c>
      <c r="AQ20" s="20">
        <v>6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  <c r="AX20" s="20">
        <v>10</v>
      </c>
      <c r="AY20" s="20">
        <v>4</v>
      </c>
      <c r="AZ20" s="20">
        <v>6</v>
      </c>
      <c r="BA20" s="20">
        <v>305</v>
      </c>
      <c r="BB20" s="20">
        <v>79</v>
      </c>
      <c r="BC20" s="20">
        <v>226</v>
      </c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0">
        <v>0</v>
      </c>
      <c r="BJ20" s="20">
        <v>305</v>
      </c>
      <c r="BK20" s="20">
        <v>79</v>
      </c>
      <c r="BL20" s="20">
        <v>226</v>
      </c>
      <c r="BM20" s="20">
        <v>450</v>
      </c>
      <c r="BN20" s="20">
        <v>200</v>
      </c>
      <c r="BO20" s="20">
        <v>250</v>
      </c>
      <c r="BP20" s="20">
        <v>0</v>
      </c>
      <c r="BQ20" s="20">
        <v>0</v>
      </c>
      <c r="BR20" s="20">
        <v>0</v>
      </c>
      <c r="BS20" s="20">
        <v>0</v>
      </c>
      <c r="BT20" s="20">
        <v>0</v>
      </c>
      <c r="BU20" s="20">
        <v>0</v>
      </c>
      <c r="BV20" s="20">
        <v>450</v>
      </c>
      <c r="BW20" s="20">
        <v>200</v>
      </c>
      <c r="BX20" s="20">
        <v>250</v>
      </c>
      <c r="BY20" s="20"/>
      <c r="BZ20" s="20"/>
      <c r="CA20" s="20"/>
      <c r="CB20" s="20"/>
      <c r="CC20" s="20"/>
      <c r="CD20" s="20"/>
      <c r="CE20" s="20"/>
    </row>
    <row r="21" spans="1:114" s="3" customFormat="1" ht="15.6" customHeight="1">
      <c r="A21" s="53" t="s">
        <v>160</v>
      </c>
      <c r="B21" s="94" t="s">
        <v>15</v>
      </c>
      <c r="C21" s="20"/>
      <c r="D21" s="20">
        <v>58</v>
      </c>
      <c r="E21" s="20">
        <v>23</v>
      </c>
      <c r="F21" s="20">
        <v>35</v>
      </c>
      <c r="G21" s="20">
        <v>0</v>
      </c>
      <c r="H21" s="20">
        <v>0</v>
      </c>
      <c r="I21" s="20">
        <v>0</v>
      </c>
      <c r="J21" s="20">
        <v>6</v>
      </c>
      <c r="K21" s="20">
        <v>0</v>
      </c>
      <c r="L21" s="20">
        <v>6</v>
      </c>
      <c r="M21" s="20">
        <v>52</v>
      </c>
      <c r="N21" s="20">
        <v>23</v>
      </c>
      <c r="O21" s="20">
        <v>29</v>
      </c>
      <c r="P21" s="20">
        <v>10487</v>
      </c>
      <c r="Q21" s="20">
        <v>3920</v>
      </c>
      <c r="R21" s="20">
        <v>6567</v>
      </c>
      <c r="S21" s="20">
        <v>0</v>
      </c>
      <c r="T21" s="20">
        <v>0</v>
      </c>
      <c r="U21" s="20">
        <v>0</v>
      </c>
      <c r="V21" s="20">
        <v>1003</v>
      </c>
      <c r="W21" s="20">
        <v>0</v>
      </c>
      <c r="X21" s="20">
        <v>1003</v>
      </c>
      <c r="Y21" s="20">
        <v>9484</v>
      </c>
      <c r="Z21" s="20">
        <v>3920</v>
      </c>
      <c r="AA21" s="20">
        <v>5564</v>
      </c>
      <c r="AB21" s="20">
        <v>12807</v>
      </c>
      <c r="AC21" s="20">
        <v>4728</v>
      </c>
      <c r="AD21" s="20">
        <v>8079</v>
      </c>
      <c r="AE21" s="20">
        <v>0</v>
      </c>
      <c r="AF21" s="20">
        <v>0</v>
      </c>
      <c r="AG21" s="20">
        <v>0</v>
      </c>
      <c r="AH21" s="20">
        <v>1003</v>
      </c>
      <c r="AI21" s="20">
        <v>0</v>
      </c>
      <c r="AJ21" s="20">
        <v>1003</v>
      </c>
      <c r="AK21" s="20">
        <v>11804</v>
      </c>
      <c r="AL21" s="20">
        <v>4728</v>
      </c>
      <c r="AM21" s="20">
        <v>7076</v>
      </c>
      <c r="AN21" s="20"/>
      <c r="AO21" s="20">
        <v>54</v>
      </c>
      <c r="AP21" s="20">
        <v>31</v>
      </c>
      <c r="AQ21" s="20">
        <v>23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54</v>
      </c>
      <c r="AY21" s="20">
        <v>31</v>
      </c>
      <c r="AZ21" s="20">
        <v>23</v>
      </c>
      <c r="BA21" s="20">
        <v>7756</v>
      </c>
      <c r="BB21" s="20">
        <v>4645</v>
      </c>
      <c r="BC21" s="20">
        <v>3111</v>
      </c>
      <c r="BD21" s="20">
        <v>0</v>
      </c>
      <c r="BE21" s="20">
        <v>0</v>
      </c>
      <c r="BF21" s="20">
        <v>0</v>
      </c>
      <c r="BG21" s="20">
        <v>0</v>
      </c>
      <c r="BH21" s="20">
        <v>0</v>
      </c>
      <c r="BI21" s="20">
        <v>0</v>
      </c>
      <c r="BJ21" s="20">
        <v>7756</v>
      </c>
      <c r="BK21" s="20">
        <v>4645</v>
      </c>
      <c r="BL21" s="20">
        <v>3111</v>
      </c>
      <c r="BM21" s="20">
        <v>7756</v>
      </c>
      <c r="BN21" s="20">
        <v>4645</v>
      </c>
      <c r="BO21" s="20">
        <v>3111</v>
      </c>
      <c r="BP21" s="20">
        <v>0</v>
      </c>
      <c r="BQ21" s="20">
        <v>0</v>
      </c>
      <c r="BR21" s="20">
        <v>0</v>
      </c>
      <c r="BS21" s="20">
        <v>0</v>
      </c>
      <c r="BT21" s="20">
        <v>0</v>
      </c>
      <c r="BU21" s="20">
        <v>0</v>
      </c>
      <c r="BV21" s="20">
        <v>7756</v>
      </c>
      <c r="BW21" s="20">
        <v>4645</v>
      </c>
      <c r="BX21" s="20">
        <v>3111</v>
      </c>
      <c r="BY21" s="20"/>
      <c r="BZ21" s="20"/>
      <c r="CA21" s="20"/>
      <c r="CB21" s="20"/>
      <c r="CC21" s="20"/>
      <c r="CD21" s="20"/>
      <c r="CE21" s="20"/>
    </row>
    <row r="22" spans="1:114" s="3" customFormat="1" ht="15.6" customHeight="1">
      <c r="A22" s="53" t="s">
        <v>161</v>
      </c>
      <c r="B22" s="94" t="s">
        <v>16</v>
      </c>
      <c r="C22" s="20"/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/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0">
        <v>0</v>
      </c>
      <c r="BJ22" s="20">
        <v>0</v>
      </c>
      <c r="BK22" s="20">
        <v>0</v>
      </c>
      <c r="BL22" s="20">
        <v>0</v>
      </c>
      <c r="BM22" s="20">
        <v>0</v>
      </c>
      <c r="BN22" s="20">
        <v>0</v>
      </c>
      <c r="BO22" s="20">
        <v>0</v>
      </c>
      <c r="BP22" s="20">
        <v>0</v>
      </c>
      <c r="BQ22" s="20">
        <v>0</v>
      </c>
      <c r="BR22" s="20">
        <v>0</v>
      </c>
      <c r="BS22" s="20">
        <v>0</v>
      </c>
      <c r="BT22" s="20">
        <v>0</v>
      </c>
      <c r="BU22" s="20">
        <v>0</v>
      </c>
      <c r="BV22" s="20">
        <v>0</v>
      </c>
      <c r="BW22" s="20">
        <v>0</v>
      </c>
      <c r="BX22" s="20">
        <v>0</v>
      </c>
      <c r="BY22" s="20"/>
      <c r="BZ22" s="20"/>
      <c r="CA22" s="20"/>
      <c r="CB22" s="20"/>
      <c r="CC22" s="20"/>
      <c r="CD22" s="20"/>
      <c r="CE22" s="20"/>
    </row>
    <row r="23" spans="1:114" s="3" customFormat="1" ht="15.6" customHeight="1">
      <c r="A23" s="53" t="s">
        <v>162</v>
      </c>
      <c r="B23" s="94" t="s">
        <v>17</v>
      </c>
      <c r="C23" s="20"/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/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0</v>
      </c>
      <c r="AV23" s="20">
        <v>0</v>
      </c>
      <c r="AW23" s="20">
        <v>0</v>
      </c>
      <c r="AX23" s="20">
        <v>0</v>
      </c>
      <c r="AY23" s="20">
        <v>0</v>
      </c>
      <c r="AZ23" s="20">
        <v>0</v>
      </c>
      <c r="BA23" s="20">
        <v>0</v>
      </c>
      <c r="BB23" s="20">
        <v>0</v>
      </c>
      <c r="BC23" s="20">
        <v>0</v>
      </c>
      <c r="BD23" s="20">
        <v>0</v>
      </c>
      <c r="BE23" s="20">
        <v>0</v>
      </c>
      <c r="BF23" s="20">
        <v>0</v>
      </c>
      <c r="BG23" s="20">
        <v>0</v>
      </c>
      <c r="BH23" s="20">
        <v>0</v>
      </c>
      <c r="BI23" s="20">
        <v>0</v>
      </c>
      <c r="BJ23" s="20">
        <v>0</v>
      </c>
      <c r="BK23" s="20">
        <v>0</v>
      </c>
      <c r="BL23" s="20">
        <v>0</v>
      </c>
      <c r="BM23" s="20">
        <v>0</v>
      </c>
      <c r="BN23" s="20">
        <v>0</v>
      </c>
      <c r="BO23" s="20">
        <v>0</v>
      </c>
      <c r="BP23" s="20">
        <v>0</v>
      </c>
      <c r="BQ23" s="20">
        <v>0</v>
      </c>
      <c r="BR23" s="20">
        <v>0</v>
      </c>
      <c r="BS23" s="20">
        <v>0</v>
      </c>
      <c r="BT23" s="20">
        <v>0</v>
      </c>
      <c r="BU23" s="20">
        <v>0</v>
      </c>
      <c r="BV23" s="20">
        <v>0</v>
      </c>
      <c r="BW23" s="20">
        <v>0</v>
      </c>
      <c r="BX23" s="20">
        <v>0</v>
      </c>
      <c r="BY23" s="20"/>
      <c r="BZ23" s="20"/>
      <c r="CA23" s="20"/>
      <c r="CB23" s="20"/>
      <c r="CC23" s="20"/>
      <c r="CD23" s="20"/>
      <c r="CE23" s="20"/>
    </row>
    <row r="24" spans="1:114" s="3" customFormat="1" ht="15.6" customHeight="1">
      <c r="A24" s="53" t="s">
        <v>163</v>
      </c>
      <c r="B24" s="94" t="s">
        <v>18</v>
      </c>
      <c r="C24" s="20"/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/>
      <c r="AO24" s="20">
        <v>16</v>
      </c>
      <c r="AP24" s="20">
        <v>10</v>
      </c>
      <c r="AQ24" s="20">
        <v>6</v>
      </c>
      <c r="AR24" s="20">
        <v>5</v>
      </c>
      <c r="AS24" s="20">
        <v>3</v>
      </c>
      <c r="AT24" s="20">
        <v>2</v>
      </c>
      <c r="AU24" s="20">
        <v>0</v>
      </c>
      <c r="AV24" s="20">
        <v>0</v>
      </c>
      <c r="AW24" s="20">
        <v>0</v>
      </c>
      <c r="AX24" s="20">
        <v>11</v>
      </c>
      <c r="AY24" s="20">
        <v>7</v>
      </c>
      <c r="AZ24" s="20">
        <v>4</v>
      </c>
      <c r="BA24" s="20">
        <v>782</v>
      </c>
      <c r="BB24" s="20">
        <v>462</v>
      </c>
      <c r="BC24" s="20">
        <v>320</v>
      </c>
      <c r="BD24" s="20">
        <v>186</v>
      </c>
      <c r="BE24" s="20">
        <v>80</v>
      </c>
      <c r="BF24" s="20">
        <v>106</v>
      </c>
      <c r="BG24" s="20">
        <v>0</v>
      </c>
      <c r="BH24" s="20">
        <v>0</v>
      </c>
      <c r="BI24" s="20">
        <v>0</v>
      </c>
      <c r="BJ24" s="20">
        <v>596</v>
      </c>
      <c r="BK24" s="20">
        <v>382</v>
      </c>
      <c r="BL24" s="20">
        <v>214</v>
      </c>
      <c r="BM24" s="20">
        <v>2488</v>
      </c>
      <c r="BN24" s="20">
        <v>1235</v>
      </c>
      <c r="BO24" s="20">
        <v>1253</v>
      </c>
      <c r="BP24" s="20">
        <v>478</v>
      </c>
      <c r="BQ24" s="20">
        <v>235</v>
      </c>
      <c r="BR24" s="20">
        <v>243</v>
      </c>
      <c r="BS24" s="20">
        <v>0</v>
      </c>
      <c r="BT24" s="20">
        <v>0</v>
      </c>
      <c r="BU24" s="20">
        <v>0</v>
      </c>
      <c r="BV24" s="20">
        <v>2010</v>
      </c>
      <c r="BW24" s="20">
        <v>1000</v>
      </c>
      <c r="BX24" s="20">
        <v>1010</v>
      </c>
      <c r="BY24" s="20"/>
      <c r="BZ24" s="20"/>
      <c r="CA24" s="20"/>
      <c r="CB24" s="20"/>
      <c r="CC24" s="20"/>
      <c r="CD24" s="20"/>
      <c r="CE24" s="20"/>
    </row>
    <row r="25" spans="1:114" s="3" customFormat="1" ht="15.6" customHeight="1">
      <c r="A25" s="53" t="s">
        <v>164</v>
      </c>
      <c r="B25" s="94" t="s">
        <v>19</v>
      </c>
      <c r="C25" s="20"/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/>
      <c r="AO25" s="20">
        <v>18</v>
      </c>
      <c r="AP25" s="20">
        <v>14</v>
      </c>
      <c r="AQ25" s="20">
        <v>4</v>
      </c>
      <c r="AR25" s="20">
        <v>11</v>
      </c>
      <c r="AS25" s="20">
        <v>10</v>
      </c>
      <c r="AT25" s="20">
        <v>1</v>
      </c>
      <c r="AU25" s="20">
        <v>5</v>
      </c>
      <c r="AV25" s="20">
        <v>4</v>
      </c>
      <c r="AW25" s="20">
        <v>1</v>
      </c>
      <c r="AX25" s="20">
        <v>2</v>
      </c>
      <c r="AY25" s="20">
        <v>0</v>
      </c>
      <c r="AZ25" s="20">
        <v>2</v>
      </c>
      <c r="BA25" s="20">
        <v>176</v>
      </c>
      <c r="BB25" s="20">
        <v>121</v>
      </c>
      <c r="BC25" s="20">
        <v>55</v>
      </c>
      <c r="BD25" s="20">
        <v>99</v>
      </c>
      <c r="BE25" s="20">
        <v>79</v>
      </c>
      <c r="BF25" s="20">
        <v>20</v>
      </c>
      <c r="BG25" s="20">
        <v>47</v>
      </c>
      <c r="BH25" s="20">
        <v>29</v>
      </c>
      <c r="BI25" s="20">
        <v>18</v>
      </c>
      <c r="BJ25" s="20">
        <v>30</v>
      </c>
      <c r="BK25" s="20">
        <v>13</v>
      </c>
      <c r="BL25" s="20">
        <v>17</v>
      </c>
      <c r="BM25" s="20">
        <v>1087</v>
      </c>
      <c r="BN25" s="20">
        <v>765</v>
      </c>
      <c r="BO25" s="20">
        <v>322</v>
      </c>
      <c r="BP25" s="20">
        <v>601</v>
      </c>
      <c r="BQ25" s="20">
        <v>507</v>
      </c>
      <c r="BR25" s="20">
        <v>94</v>
      </c>
      <c r="BS25" s="20">
        <v>310</v>
      </c>
      <c r="BT25" s="20">
        <v>198</v>
      </c>
      <c r="BU25" s="20">
        <v>112</v>
      </c>
      <c r="BV25" s="20">
        <v>176</v>
      </c>
      <c r="BW25" s="20">
        <v>60</v>
      </c>
      <c r="BX25" s="20">
        <v>116</v>
      </c>
      <c r="BY25" s="20"/>
      <c r="BZ25" s="20"/>
      <c r="CA25" s="20"/>
      <c r="CB25" s="20"/>
      <c r="CC25" s="20"/>
      <c r="CD25" s="20"/>
      <c r="CE25" s="20"/>
    </row>
    <row r="26" spans="1:114" s="3" customFormat="1" ht="15.6" customHeight="1">
      <c r="A26" s="53" t="s">
        <v>165</v>
      </c>
      <c r="B26" s="94" t="s">
        <v>20</v>
      </c>
      <c r="C26" s="20"/>
      <c r="D26" s="20">
        <v>9</v>
      </c>
      <c r="E26" s="20">
        <v>3</v>
      </c>
      <c r="F26" s="20">
        <v>6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9</v>
      </c>
      <c r="N26" s="20">
        <v>3</v>
      </c>
      <c r="O26" s="20">
        <v>6</v>
      </c>
      <c r="P26" s="20">
        <v>1289</v>
      </c>
      <c r="Q26" s="20">
        <v>362</v>
      </c>
      <c r="R26" s="20">
        <v>927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1289</v>
      </c>
      <c r="Z26" s="20">
        <v>362</v>
      </c>
      <c r="AA26" s="20">
        <v>927</v>
      </c>
      <c r="AB26" s="20">
        <v>10359</v>
      </c>
      <c r="AC26" s="20">
        <v>2892</v>
      </c>
      <c r="AD26" s="20">
        <v>7467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10359</v>
      </c>
      <c r="AL26" s="20">
        <v>2892</v>
      </c>
      <c r="AM26" s="20">
        <v>7467</v>
      </c>
      <c r="AN26" s="20"/>
      <c r="AO26" s="20">
        <v>30</v>
      </c>
      <c r="AP26" s="20">
        <v>10</v>
      </c>
      <c r="AQ26" s="20">
        <v>20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30</v>
      </c>
      <c r="AY26" s="20">
        <v>10</v>
      </c>
      <c r="AZ26" s="20">
        <v>20</v>
      </c>
      <c r="BA26" s="20">
        <v>5695</v>
      </c>
      <c r="BB26" s="20">
        <v>1382</v>
      </c>
      <c r="BC26" s="20">
        <v>4313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5695</v>
      </c>
      <c r="BK26" s="20">
        <v>1382</v>
      </c>
      <c r="BL26" s="20">
        <v>4313</v>
      </c>
      <c r="BM26" s="20">
        <v>44098</v>
      </c>
      <c r="BN26" s="20">
        <v>10528</v>
      </c>
      <c r="BO26" s="20">
        <v>33570</v>
      </c>
      <c r="BP26" s="20">
        <v>0</v>
      </c>
      <c r="BQ26" s="20">
        <v>0</v>
      </c>
      <c r="BR26" s="20">
        <v>0</v>
      </c>
      <c r="BS26" s="20">
        <v>0</v>
      </c>
      <c r="BT26" s="20">
        <v>0</v>
      </c>
      <c r="BU26" s="20">
        <v>0</v>
      </c>
      <c r="BV26" s="20">
        <v>44098</v>
      </c>
      <c r="BW26" s="20">
        <v>10528</v>
      </c>
      <c r="BX26" s="20">
        <v>33570</v>
      </c>
      <c r="BY26" s="20"/>
      <c r="BZ26" s="20"/>
      <c r="CA26" s="20"/>
      <c r="CB26" s="20"/>
      <c r="CC26" s="20"/>
      <c r="CD26" s="20"/>
      <c r="CE26" s="20"/>
    </row>
    <row r="27" spans="1:114" s="3" customFormat="1" ht="15.6" customHeight="1">
      <c r="A27" s="53" t="s">
        <v>173</v>
      </c>
      <c r="B27" s="94" t="s">
        <v>4</v>
      </c>
      <c r="C27" s="20"/>
      <c r="D27" s="20">
        <v>14</v>
      </c>
      <c r="E27" s="20">
        <v>1</v>
      </c>
      <c r="F27" s="20">
        <v>13</v>
      </c>
      <c r="G27" s="20">
        <v>1</v>
      </c>
      <c r="H27" s="20">
        <v>0</v>
      </c>
      <c r="I27" s="20">
        <v>1</v>
      </c>
      <c r="J27" s="20">
        <v>0</v>
      </c>
      <c r="K27" s="20">
        <v>0</v>
      </c>
      <c r="L27" s="20">
        <v>0</v>
      </c>
      <c r="M27" s="20">
        <v>13</v>
      </c>
      <c r="N27" s="20">
        <v>1</v>
      </c>
      <c r="O27" s="20">
        <v>12</v>
      </c>
      <c r="P27" s="20">
        <v>3069</v>
      </c>
      <c r="Q27" s="20">
        <v>246</v>
      </c>
      <c r="R27" s="20">
        <v>2823</v>
      </c>
      <c r="S27" s="20">
        <v>378</v>
      </c>
      <c r="T27" s="20">
        <v>0</v>
      </c>
      <c r="U27" s="20">
        <v>378</v>
      </c>
      <c r="V27" s="20">
        <v>0</v>
      </c>
      <c r="W27" s="20">
        <v>0</v>
      </c>
      <c r="X27" s="20">
        <v>0</v>
      </c>
      <c r="Y27" s="20">
        <v>2691</v>
      </c>
      <c r="Z27" s="20">
        <v>246</v>
      </c>
      <c r="AA27" s="20">
        <v>2445</v>
      </c>
      <c r="AB27" s="20">
        <v>24552</v>
      </c>
      <c r="AC27" s="20">
        <v>1968</v>
      </c>
      <c r="AD27" s="20">
        <v>22584</v>
      </c>
      <c r="AE27" s="20">
        <v>3024</v>
      </c>
      <c r="AF27" s="20">
        <v>0</v>
      </c>
      <c r="AG27" s="20">
        <v>3024</v>
      </c>
      <c r="AH27" s="20">
        <v>0</v>
      </c>
      <c r="AI27" s="20">
        <v>0</v>
      </c>
      <c r="AJ27" s="20">
        <v>0</v>
      </c>
      <c r="AK27" s="20">
        <v>21528</v>
      </c>
      <c r="AL27" s="20">
        <v>1968</v>
      </c>
      <c r="AM27" s="20">
        <v>19560</v>
      </c>
      <c r="AN27" s="20"/>
      <c r="AO27" s="20">
        <v>69</v>
      </c>
      <c r="AP27" s="20">
        <v>26</v>
      </c>
      <c r="AQ27" s="20">
        <v>43</v>
      </c>
      <c r="AR27" s="20">
        <v>7</v>
      </c>
      <c r="AS27" s="20">
        <v>2</v>
      </c>
      <c r="AT27" s="20">
        <v>5</v>
      </c>
      <c r="AU27" s="20">
        <v>3</v>
      </c>
      <c r="AV27" s="20">
        <v>2</v>
      </c>
      <c r="AW27" s="20">
        <v>1</v>
      </c>
      <c r="AX27" s="20">
        <v>59</v>
      </c>
      <c r="AY27" s="20">
        <v>22</v>
      </c>
      <c r="AZ27" s="20">
        <v>37</v>
      </c>
      <c r="BA27" s="20">
        <v>12547</v>
      </c>
      <c r="BB27" s="20">
        <v>4119</v>
      </c>
      <c r="BC27" s="20">
        <v>8428</v>
      </c>
      <c r="BD27" s="20">
        <v>1533</v>
      </c>
      <c r="BE27" s="20">
        <v>424</v>
      </c>
      <c r="BF27" s="20">
        <v>1109</v>
      </c>
      <c r="BG27" s="20">
        <v>189</v>
      </c>
      <c r="BH27" s="20">
        <v>123</v>
      </c>
      <c r="BI27" s="20">
        <v>66</v>
      </c>
      <c r="BJ27" s="20">
        <v>10825</v>
      </c>
      <c r="BK27" s="20">
        <v>3572</v>
      </c>
      <c r="BL27" s="20">
        <v>7253</v>
      </c>
      <c r="BM27" s="20">
        <v>79520</v>
      </c>
      <c r="BN27" s="20">
        <v>28538</v>
      </c>
      <c r="BO27" s="20">
        <v>50982</v>
      </c>
      <c r="BP27" s="20">
        <v>8954</v>
      </c>
      <c r="BQ27" s="20">
        <v>3264</v>
      </c>
      <c r="BR27" s="20">
        <v>5690</v>
      </c>
      <c r="BS27" s="20">
        <v>1522</v>
      </c>
      <c r="BT27" s="20">
        <v>994</v>
      </c>
      <c r="BU27" s="20">
        <v>528</v>
      </c>
      <c r="BV27" s="20">
        <v>69044</v>
      </c>
      <c r="BW27" s="20">
        <v>24280</v>
      </c>
      <c r="BX27" s="20">
        <v>44764</v>
      </c>
      <c r="BY27" s="20"/>
      <c r="BZ27" s="20"/>
      <c r="CA27" s="20"/>
      <c r="CB27" s="20"/>
      <c r="CC27" s="20"/>
      <c r="CD27" s="20"/>
      <c r="CE27" s="20"/>
    </row>
    <row r="28" spans="1:114" s="3" customFormat="1" ht="15.6" customHeight="1">
      <c r="A28" s="53" t="s">
        <v>166</v>
      </c>
      <c r="B28" s="94" t="s">
        <v>21</v>
      </c>
      <c r="C28" s="20"/>
      <c r="D28" s="20">
        <v>4</v>
      </c>
      <c r="E28" s="20">
        <v>2</v>
      </c>
      <c r="F28" s="20">
        <v>2</v>
      </c>
      <c r="G28" s="20">
        <v>1</v>
      </c>
      <c r="H28" s="20">
        <v>0</v>
      </c>
      <c r="I28" s="20">
        <v>1</v>
      </c>
      <c r="J28" s="20">
        <v>0</v>
      </c>
      <c r="K28" s="20">
        <v>0</v>
      </c>
      <c r="L28" s="20">
        <v>0</v>
      </c>
      <c r="M28" s="20">
        <v>3</v>
      </c>
      <c r="N28" s="20">
        <v>2</v>
      </c>
      <c r="O28" s="20">
        <v>1</v>
      </c>
      <c r="P28" s="20">
        <v>1040</v>
      </c>
      <c r="Q28" s="20">
        <v>483</v>
      </c>
      <c r="R28" s="20">
        <v>557</v>
      </c>
      <c r="S28" s="20">
        <v>217</v>
      </c>
      <c r="T28" s="20">
        <v>0</v>
      </c>
      <c r="U28" s="20">
        <v>217</v>
      </c>
      <c r="V28" s="20">
        <v>0</v>
      </c>
      <c r="W28" s="20">
        <v>0</v>
      </c>
      <c r="X28" s="20">
        <v>0</v>
      </c>
      <c r="Y28" s="20">
        <v>823</v>
      </c>
      <c r="Z28" s="20">
        <v>483</v>
      </c>
      <c r="AA28" s="20">
        <v>340</v>
      </c>
      <c r="AB28" s="20">
        <v>8332</v>
      </c>
      <c r="AC28" s="20">
        <v>3864</v>
      </c>
      <c r="AD28" s="20">
        <v>4468</v>
      </c>
      <c r="AE28" s="20">
        <v>1736</v>
      </c>
      <c r="AF28" s="20">
        <v>0</v>
      </c>
      <c r="AG28" s="20">
        <v>1736</v>
      </c>
      <c r="AH28" s="20">
        <v>0</v>
      </c>
      <c r="AI28" s="20">
        <v>0</v>
      </c>
      <c r="AJ28" s="20">
        <v>0</v>
      </c>
      <c r="AK28" s="20">
        <v>6596</v>
      </c>
      <c r="AL28" s="20">
        <v>3864</v>
      </c>
      <c r="AM28" s="20">
        <v>2732</v>
      </c>
      <c r="AN28" s="20"/>
      <c r="AO28" s="20">
        <v>18</v>
      </c>
      <c r="AP28" s="20">
        <v>9</v>
      </c>
      <c r="AQ28" s="20">
        <v>9</v>
      </c>
      <c r="AR28" s="20">
        <v>1</v>
      </c>
      <c r="AS28" s="20">
        <v>0</v>
      </c>
      <c r="AT28" s="20">
        <v>1</v>
      </c>
      <c r="AU28" s="20">
        <v>2</v>
      </c>
      <c r="AV28" s="20">
        <v>1</v>
      </c>
      <c r="AW28" s="20">
        <v>1</v>
      </c>
      <c r="AX28" s="20">
        <v>15</v>
      </c>
      <c r="AY28" s="20">
        <v>8</v>
      </c>
      <c r="AZ28" s="20">
        <v>7</v>
      </c>
      <c r="BA28" s="20">
        <v>2171</v>
      </c>
      <c r="BB28" s="20">
        <v>840</v>
      </c>
      <c r="BC28" s="20">
        <v>1331</v>
      </c>
      <c r="BD28" s="20">
        <v>154</v>
      </c>
      <c r="BE28" s="20">
        <v>22</v>
      </c>
      <c r="BF28" s="20">
        <v>132</v>
      </c>
      <c r="BG28" s="20">
        <v>139</v>
      </c>
      <c r="BH28" s="20">
        <v>85</v>
      </c>
      <c r="BI28" s="20">
        <v>54</v>
      </c>
      <c r="BJ28" s="20">
        <v>1878</v>
      </c>
      <c r="BK28" s="20">
        <v>733</v>
      </c>
      <c r="BL28" s="20">
        <v>1145</v>
      </c>
      <c r="BM28" s="20">
        <v>7136</v>
      </c>
      <c r="BN28" s="20">
        <v>2643</v>
      </c>
      <c r="BO28" s="20">
        <v>4493</v>
      </c>
      <c r="BP28" s="20">
        <v>820</v>
      </c>
      <c r="BQ28" s="20">
        <v>124</v>
      </c>
      <c r="BR28" s="20">
        <v>696</v>
      </c>
      <c r="BS28" s="20">
        <v>559</v>
      </c>
      <c r="BT28" s="20">
        <v>307</v>
      </c>
      <c r="BU28" s="20">
        <v>252</v>
      </c>
      <c r="BV28" s="20">
        <v>5757</v>
      </c>
      <c r="BW28" s="20">
        <v>2212</v>
      </c>
      <c r="BX28" s="20">
        <v>3545</v>
      </c>
      <c r="BY28" s="20"/>
      <c r="BZ28" s="20"/>
      <c r="CA28" s="20"/>
      <c r="CB28" s="20"/>
      <c r="CC28" s="20"/>
      <c r="CD28" s="20"/>
      <c r="CE28" s="20"/>
    </row>
    <row r="29" spans="1:114" s="3" customFormat="1" ht="15.6" customHeight="1">
      <c r="A29" s="53" t="s">
        <v>174</v>
      </c>
      <c r="B29" s="94" t="s">
        <v>5</v>
      </c>
      <c r="C29" s="20"/>
      <c r="D29" s="20">
        <v>6</v>
      </c>
      <c r="E29" s="20">
        <v>3</v>
      </c>
      <c r="F29" s="20">
        <v>3</v>
      </c>
      <c r="G29" s="20">
        <v>0</v>
      </c>
      <c r="H29" s="20">
        <v>0</v>
      </c>
      <c r="I29" s="20">
        <v>0</v>
      </c>
      <c r="J29" s="20">
        <v>1</v>
      </c>
      <c r="K29" s="20">
        <v>0</v>
      </c>
      <c r="L29" s="20">
        <v>1</v>
      </c>
      <c r="M29" s="20">
        <v>5</v>
      </c>
      <c r="N29" s="20">
        <v>3</v>
      </c>
      <c r="O29" s="20">
        <v>2</v>
      </c>
      <c r="P29" s="20">
        <v>188</v>
      </c>
      <c r="Q29" s="20">
        <v>53</v>
      </c>
      <c r="R29" s="20">
        <v>135</v>
      </c>
      <c r="S29" s="20">
        <v>0</v>
      </c>
      <c r="T29" s="20">
        <v>0</v>
      </c>
      <c r="U29" s="20">
        <v>0</v>
      </c>
      <c r="V29" s="20">
        <v>42</v>
      </c>
      <c r="W29" s="20">
        <v>0</v>
      </c>
      <c r="X29" s="20">
        <v>42</v>
      </c>
      <c r="Y29" s="20">
        <v>146</v>
      </c>
      <c r="Z29" s="20">
        <v>53</v>
      </c>
      <c r="AA29" s="20">
        <v>93</v>
      </c>
      <c r="AB29" s="20">
        <v>1504</v>
      </c>
      <c r="AC29" s="20">
        <v>424</v>
      </c>
      <c r="AD29" s="20">
        <v>1080</v>
      </c>
      <c r="AE29" s="20">
        <v>0</v>
      </c>
      <c r="AF29" s="20">
        <v>0</v>
      </c>
      <c r="AG29" s="20">
        <v>0</v>
      </c>
      <c r="AH29" s="20">
        <v>336</v>
      </c>
      <c r="AI29" s="20">
        <v>0</v>
      </c>
      <c r="AJ29" s="20">
        <v>336</v>
      </c>
      <c r="AK29" s="20">
        <v>1168</v>
      </c>
      <c r="AL29" s="20">
        <v>424</v>
      </c>
      <c r="AM29" s="20">
        <v>744</v>
      </c>
      <c r="AN29" s="20"/>
      <c r="AO29" s="20">
        <v>38</v>
      </c>
      <c r="AP29" s="20">
        <v>11</v>
      </c>
      <c r="AQ29" s="20">
        <v>27</v>
      </c>
      <c r="AR29" s="20">
        <v>6</v>
      </c>
      <c r="AS29" s="20">
        <v>2</v>
      </c>
      <c r="AT29" s="20">
        <v>4</v>
      </c>
      <c r="AU29" s="20">
        <v>4</v>
      </c>
      <c r="AV29" s="20">
        <v>1</v>
      </c>
      <c r="AW29" s="20">
        <v>3</v>
      </c>
      <c r="AX29" s="20">
        <v>28</v>
      </c>
      <c r="AY29" s="20">
        <v>8</v>
      </c>
      <c r="AZ29" s="20">
        <v>20</v>
      </c>
      <c r="BA29" s="20">
        <v>8295</v>
      </c>
      <c r="BB29" s="20">
        <v>1855</v>
      </c>
      <c r="BC29" s="20">
        <v>6440</v>
      </c>
      <c r="BD29" s="20">
        <v>1253</v>
      </c>
      <c r="BE29" s="20">
        <v>357</v>
      </c>
      <c r="BF29" s="20">
        <v>896</v>
      </c>
      <c r="BG29" s="20">
        <v>1494</v>
      </c>
      <c r="BH29" s="20">
        <v>239</v>
      </c>
      <c r="BI29" s="20">
        <v>1255</v>
      </c>
      <c r="BJ29" s="20">
        <v>5548</v>
      </c>
      <c r="BK29" s="20">
        <v>1259</v>
      </c>
      <c r="BL29" s="20">
        <v>4289</v>
      </c>
      <c r="BM29" s="20">
        <v>66195</v>
      </c>
      <c r="BN29" s="20">
        <v>14960</v>
      </c>
      <c r="BO29" s="20">
        <v>51235</v>
      </c>
      <c r="BP29" s="20">
        <v>10438</v>
      </c>
      <c r="BQ29" s="20">
        <v>2856</v>
      </c>
      <c r="BR29" s="20">
        <v>7582</v>
      </c>
      <c r="BS29" s="20">
        <v>11950</v>
      </c>
      <c r="BT29" s="20">
        <v>1912</v>
      </c>
      <c r="BU29" s="20">
        <v>10038</v>
      </c>
      <c r="BV29" s="20">
        <v>43807</v>
      </c>
      <c r="BW29" s="20">
        <v>10192</v>
      </c>
      <c r="BX29" s="20">
        <v>33615</v>
      </c>
      <c r="BY29" s="20"/>
      <c r="BZ29" s="20"/>
      <c r="CA29" s="20"/>
      <c r="CB29" s="20"/>
      <c r="CC29" s="20"/>
      <c r="CD29" s="20"/>
      <c r="CE29" s="20"/>
    </row>
    <row r="30" spans="1:114" s="18" customFormat="1" ht="15.6" customHeight="1">
      <c r="A30" s="52" t="s">
        <v>148</v>
      </c>
      <c r="B30" s="108" t="s">
        <v>3</v>
      </c>
      <c r="C30" s="41"/>
      <c r="D30" s="41">
        <v>11</v>
      </c>
      <c r="E30" s="41">
        <v>4</v>
      </c>
      <c r="F30" s="41">
        <v>7</v>
      </c>
      <c r="G30" s="41">
        <v>1</v>
      </c>
      <c r="H30" s="41">
        <v>0</v>
      </c>
      <c r="I30" s="41">
        <v>1</v>
      </c>
      <c r="J30" s="41">
        <v>0</v>
      </c>
      <c r="K30" s="41">
        <v>0</v>
      </c>
      <c r="L30" s="41">
        <v>0</v>
      </c>
      <c r="M30" s="41">
        <v>10</v>
      </c>
      <c r="N30" s="41">
        <v>4</v>
      </c>
      <c r="O30" s="41">
        <v>6</v>
      </c>
      <c r="P30" s="41">
        <v>1606</v>
      </c>
      <c r="Q30" s="41">
        <v>495</v>
      </c>
      <c r="R30" s="41">
        <v>1111</v>
      </c>
      <c r="S30" s="41">
        <v>61</v>
      </c>
      <c r="T30" s="41">
        <v>0</v>
      </c>
      <c r="U30" s="41">
        <v>61</v>
      </c>
      <c r="V30" s="41">
        <v>0</v>
      </c>
      <c r="W30" s="41">
        <v>0</v>
      </c>
      <c r="X30" s="41">
        <v>0</v>
      </c>
      <c r="Y30" s="41">
        <v>1545</v>
      </c>
      <c r="Z30" s="41">
        <v>495</v>
      </c>
      <c r="AA30" s="41">
        <v>1050</v>
      </c>
      <c r="AB30" s="41">
        <v>13103</v>
      </c>
      <c r="AC30" s="41">
        <v>4032</v>
      </c>
      <c r="AD30" s="41">
        <v>9071</v>
      </c>
      <c r="AE30" s="41">
        <v>488</v>
      </c>
      <c r="AF30" s="41">
        <v>0</v>
      </c>
      <c r="AG30" s="41">
        <v>488</v>
      </c>
      <c r="AH30" s="41">
        <v>0</v>
      </c>
      <c r="AI30" s="41">
        <v>0</v>
      </c>
      <c r="AJ30" s="41">
        <v>0</v>
      </c>
      <c r="AK30" s="41">
        <v>12615</v>
      </c>
      <c r="AL30" s="41">
        <v>4032</v>
      </c>
      <c r="AM30" s="41">
        <v>8583</v>
      </c>
      <c r="AN30" s="41"/>
      <c r="AO30" s="41">
        <v>138</v>
      </c>
      <c r="AP30" s="41">
        <v>56</v>
      </c>
      <c r="AQ30" s="41">
        <v>82</v>
      </c>
      <c r="AR30" s="41">
        <v>4</v>
      </c>
      <c r="AS30" s="41">
        <v>1</v>
      </c>
      <c r="AT30" s="41">
        <v>3</v>
      </c>
      <c r="AU30" s="41">
        <v>7</v>
      </c>
      <c r="AV30" s="41">
        <v>2</v>
      </c>
      <c r="AW30" s="41">
        <v>5</v>
      </c>
      <c r="AX30" s="41">
        <v>127</v>
      </c>
      <c r="AY30" s="41">
        <v>53</v>
      </c>
      <c r="AZ30" s="41">
        <v>74</v>
      </c>
      <c r="BA30" s="41">
        <v>26178</v>
      </c>
      <c r="BB30" s="41">
        <v>8930</v>
      </c>
      <c r="BC30" s="41">
        <v>17248</v>
      </c>
      <c r="BD30" s="41">
        <v>740</v>
      </c>
      <c r="BE30" s="41">
        <v>271</v>
      </c>
      <c r="BF30" s="41">
        <v>469</v>
      </c>
      <c r="BG30" s="41">
        <v>2314</v>
      </c>
      <c r="BH30" s="41">
        <v>714</v>
      </c>
      <c r="BI30" s="41">
        <v>1600</v>
      </c>
      <c r="BJ30" s="41">
        <v>23124</v>
      </c>
      <c r="BK30" s="41">
        <v>7945</v>
      </c>
      <c r="BL30" s="41">
        <v>15179</v>
      </c>
      <c r="BM30" s="41">
        <v>203737</v>
      </c>
      <c r="BN30" s="41">
        <v>71931</v>
      </c>
      <c r="BO30" s="41">
        <v>131806</v>
      </c>
      <c r="BP30" s="41">
        <v>5882</v>
      </c>
      <c r="BQ30" s="41">
        <v>2050</v>
      </c>
      <c r="BR30" s="41">
        <v>3832</v>
      </c>
      <c r="BS30" s="41">
        <v>19328</v>
      </c>
      <c r="BT30" s="41">
        <v>5752</v>
      </c>
      <c r="BU30" s="41">
        <v>13576</v>
      </c>
      <c r="BV30" s="41">
        <v>178527</v>
      </c>
      <c r="BW30" s="41">
        <v>64129</v>
      </c>
      <c r="BX30" s="41">
        <v>114398</v>
      </c>
      <c r="BY30" s="93"/>
      <c r="BZ30" s="93"/>
      <c r="CA30" s="93"/>
      <c r="CB30" s="93"/>
      <c r="CC30" s="93"/>
      <c r="CD30" s="93"/>
      <c r="CE30" s="93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</row>
    <row r="31" spans="1:114" s="18" customFormat="1" ht="15.6" customHeight="1">
      <c r="A31" s="52" t="s">
        <v>151</v>
      </c>
      <c r="B31" s="108" t="s">
        <v>6</v>
      </c>
      <c r="C31" s="41"/>
      <c r="D31" s="41">
        <v>1</v>
      </c>
      <c r="E31" s="41">
        <v>1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1</v>
      </c>
      <c r="N31" s="41">
        <v>1</v>
      </c>
      <c r="O31" s="41">
        <v>0</v>
      </c>
      <c r="P31" s="41">
        <v>130</v>
      </c>
      <c r="Q31" s="41">
        <v>130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  <c r="X31" s="41">
        <v>0</v>
      </c>
      <c r="Y31" s="41">
        <v>130</v>
      </c>
      <c r="Z31" s="41">
        <v>130</v>
      </c>
      <c r="AA31" s="41">
        <v>0</v>
      </c>
      <c r="AB31" s="41">
        <v>1040</v>
      </c>
      <c r="AC31" s="41">
        <v>1040</v>
      </c>
      <c r="AD31" s="41">
        <v>0</v>
      </c>
      <c r="AE31" s="41">
        <v>0</v>
      </c>
      <c r="AF31" s="41">
        <v>0</v>
      </c>
      <c r="AG31" s="41">
        <v>0</v>
      </c>
      <c r="AH31" s="41">
        <v>0</v>
      </c>
      <c r="AI31" s="41">
        <v>0</v>
      </c>
      <c r="AJ31" s="41">
        <v>0</v>
      </c>
      <c r="AK31" s="41">
        <v>1040</v>
      </c>
      <c r="AL31" s="41">
        <v>1040</v>
      </c>
      <c r="AM31" s="41">
        <v>0</v>
      </c>
      <c r="AN31" s="41"/>
      <c r="AO31" s="41">
        <v>91</v>
      </c>
      <c r="AP31" s="41">
        <v>29</v>
      </c>
      <c r="AQ31" s="41">
        <v>62</v>
      </c>
      <c r="AR31" s="41">
        <v>11</v>
      </c>
      <c r="AS31" s="41">
        <v>3</v>
      </c>
      <c r="AT31" s="41">
        <v>8</v>
      </c>
      <c r="AU31" s="41">
        <v>2</v>
      </c>
      <c r="AV31" s="41">
        <v>2</v>
      </c>
      <c r="AW31" s="41">
        <v>0</v>
      </c>
      <c r="AX31" s="41">
        <v>78</v>
      </c>
      <c r="AY31" s="41">
        <v>24</v>
      </c>
      <c r="AZ31" s="41">
        <v>54</v>
      </c>
      <c r="BA31" s="41">
        <v>18651</v>
      </c>
      <c r="BB31" s="41">
        <v>5684</v>
      </c>
      <c r="BC31" s="41">
        <v>12967</v>
      </c>
      <c r="BD31" s="41">
        <v>2017</v>
      </c>
      <c r="BE31" s="41">
        <v>594</v>
      </c>
      <c r="BF31" s="41">
        <v>1423</v>
      </c>
      <c r="BG31" s="41">
        <v>541</v>
      </c>
      <c r="BH31" s="41">
        <v>479</v>
      </c>
      <c r="BI31" s="41">
        <v>62</v>
      </c>
      <c r="BJ31" s="41">
        <v>16093</v>
      </c>
      <c r="BK31" s="41">
        <v>4611</v>
      </c>
      <c r="BL31" s="41">
        <v>11482</v>
      </c>
      <c r="BM31" s="41">
        <v>155777</v>
      </c>
      <c r="BN31" s="41">
        <v>47737.5</v>
      </c>
      <c r="BO31" s="41">
        <v>108039.5</v>
      </c>
      <c r="BP31" s="41">
        <v>17114</v>
      </c>
      <c r="BQ31" s="41">
        <v>5206.5</v>
      </c>
      <c r="BR31" s="41">
        <v>11907.5</v>
      </c>
      <c r="BS31" s="41">
        <v>4032.5</v>
      </c>
      <c r="BT31" s="41">
        <v>3784.5</v>
      </c>
      <c r="BU31" s="41">
        <v>248</v>
      </c>
      <c r="BV31" s="41">
        <v>134630.5</v>
      </c>
      <c r="BW31" s="41">
        <v>38746.5</v>
      </c>
      <c r="BX31" s="41">
        <v>95884</v>
      </c>
      <c r="BY31" s="93"/>
      <c r="BZ31" s="93"/>
      <c r="CA31" s="93"/>
      <c r="CB31" s="93"/>
      <c r="CC31" s="93"/>
      <c r="CD31" s="93"/>
      <c r="CE31" s="93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30"/>
      <c r="DJ31" s="30"/>
    </row>
    <row r="32" spans="1:114" s="3" customFormat="1" ht="15.6" customHeight="1">
      <c r="A32" s="53" t="s">
        <v>167</v>
      </c>
      <c r="B32" s="94" t="s">
        <v>22</v>
      </c>
      <c r="C32" s="20"/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/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0</v>
      </c>
      <c r="AY32" s="20">
        <v>0</v>
      </c>
      <c r="AZ32" s="20">
        <v>0</v>
      </c>
      <c r="BA32" s="20">
        <v>0</v>
      </c>
      <c r="BB32" s="20">
        <v>0</v>
      </c>
      <c r="BC32" s="20">
        <v>0</v>
      </c>
      <c r="BD32" s="20">
        <v>0</v>
      </c>
      <c r="BE32" s="20">
        <v>0</v>
      </c>
      <c r="BF32" s="20">
        <v>0</v>
      </c>
      <c r="BG32" s="20">
        <v>0</v>
      </c>
      <c r="BH32" s="20">
        <v>0</v>
      </c>
      <c r="BI32" s="20">
        <v>0</v>
      </c>
      <c r="BJ32" s="20">
        <v>0</v>
      </c>
      <c r="BK32" s="20">
        <v>0</v>
      </c>
      <c r="BL32" s="20">
        <v>0</v>
      </c>
      <c r="BM32" s="20">
        <v>0</v>
      </c>
      <c r="BN32" s="20">
        <v>0</v>
      </c>
      <c r="BO32" s="20">
        <v>0</v>
      </c>
      <c r="BP32" s="20">
        <v>0</v>
      </c>
      <c r="BQ32" s="20">
        <v>0</v>
      </c>
      <c r="BR32" s="20">
        <v>0</v>
      </c>
      <c r="BS32" s="20">
        <v>0</v>
      </c>
      <c r="BT32" s="20">
        <v>0</v>
      </c>
      <c r="BU32" s="20">
        <v>0</v>
      </c>
      <c r="BV32" s="20">
        <v>0</v>
      </c>
      <c r="BW32" s="20">
        <v>0</v>
      </c>
      <c r="BX32" s="20">
        <v>0</v>
      </c>
      <c r="BY32" s="20"/>
      <c r="BZ32" s="20"/>
      <c r="CA32" s="20"/>
      <c r="CB32" s="20"/>
      <c r="CC32" s="20"/>
      <c r="CD32" s="20"/>
      <c r="CE32" s="20"/>
    </row>
    <row r="33" spans="1:83" s="3" customFormat="1" ht="21" customHeight="1">
      <c r="A33" s="54" t="s">
        <v>168</v>
      </c>
      <c r="B33" s="95" t="s">
        <v>23</v>
      </c>
      <c r="C33" s="22"/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/>
      <c r="AO33" s="22">
        <v>0</v>
      </c>
      <c r="AP33" s="22">
        <v>0</v>
      </c>
      <c r="AQ33" s="22">
        <v>0</v>
      </c>
      <c r="AR33" s="22">
        <v>0</v>
      </c>
      <c r="AS33" s="22">
        <v>0</v>
      </c>
      <c r="AT33" s="22">
        <v>0</v>
      </c>
      <c r="AU33" s="22">
        <v>0</v>
      </c>
      <c r="AV33" s="22">
        <v>0</v>
      </c>
      <c r="AW33" s="22">
        <v>0</v>
      </c>
      <c r="AX33" s="22">
        <v>0</v>
      </c>
      <c r="AY33" s="22">
        <v>0</v>
      </c>
      <c r="AZ33" s="22">
        <v>0</v>
      </c>
      <c r="BA33" s="22">
        <v>0</v>
      </c>
      <c r="BB33" s="22">
        <v>0</v>
      </c>
      <c r="BC33" s="22">
        <v>0</v>
      </c>
      <c r="BD33" s="22">
        <v>0</v>
      </c>
      <c r="BE33" s="22">
        <v>0</v>
      </c>
      <c r="BF33" s="22">
        <v>0</v>
      </c>
      <c r="BG33" s="22">
        <v>0</v>
      </c>
      <c r="BH33" s="22">
        <v>0</v>
      </c>
      <c r="BI33" s="22">
        <v>0</v>
      </c>
      <c r="BJ33" s="22">
        <v>0</v>
      </c>
      <c r="BK33" s="22">
        <v>0</v>
      </c>
      <c r="BL33" s="22">
        <v>0</v>
      </c>
      <c r="BM33" s="22">
        <v>0</v>
      </c>
      <c r="BN33" s="22">
        <v>0</v>
      </c>
      <c r="BO33" s="22">
        <v>0</v>
      </c>
      <c r="BP33" s="22">
        <v>0</v>
      </c>
      <c r="BQ33" s="22">
        <v>0</v>
      </c>
      <c r="BR33" s="22">
        <v>0</v>
      </c>
      <c r="BS33" s="22">
        <v>0</v>
      </c>
      <c r="BT33" s="22">
        <v>0</v>
      </c>
      <c r="BU33" s="22">
        <v>0</v>
      </c>
      <c r="BV33" s="22">
        <v>0</v>
      </c>
      <c r="BW33" s="22">
        <v>0</v>
      </c>
      <c r="BX33" s="22">
        <v>0</v>
      </c>
      <c r="BY33" s="22"/>
      <c r="BZ33" s="22"/>
      <c r="CA33" s="22"/>
      <c r="CB33" s="22"/>
      <c r="CC33" s="22"/>
      <c r="CD33" s="22"/>
      <c r="CE33" s="22"/>
    </row>
    <row r="34" spans="1:83">
      <c r="A34" s="96" t="s">
        <v>256</v>
      </c>
      <c r="B34" s="61"/>
    </row>
    <row r="35" spans="1:83">
      <c r="A35" s="3" t="s">
        <v>257</v>
      </c>
    </row>
  </sheetData>
  <mergeCells count="102">
    <mergeCell ref="BS6:BS7"/>
    <mergeCell ref="BT6:BT7"/>
    <mergeCell ref="BU6:BU7"/>
    <mergeCell ref="BV6:BV7"/>
    <mergeCell ref="BW6:BW7"/>
    <mergeCell ref="BX6:BX7"/>
    <mergeCell ref="BM6:BM7"/>
    <mergeCell ref="BN6:BN7"/>
    <mergeCell ref="BO6:BO7"/>
    <mergeCell ref="BP6:BP7"/>
    <mergeCell ref="BQ6:BQ7"/>
    <mergeCell ref="BR6:BR7"/>
    <mergeCell ref="BJ6:BJ7"/>
    <mergeCell ref="BK6:BK7"/>
    <mergeCell ref="BL6:BL7"/>
    <mergeCell ref="BA6:BA7"/>
    <mergeCell ref="BB6:BB7"/>
    <mergeCell ref="BC6:BC7"/>
    <mergeCell ref="BD6:BD7"/>
    <mergeCell ref="BE6:BE7"/>
    <mergeCell ref="BF6:BF7"/>
    <mergeCell ref="AO6:AO7"/>
    <mergeCell ref="AP6:AP7"/>
    <mergeCell ref="AQ6:AQ7"/>
    <mergeCell ref="AR6:AR7"/>
    <mergeCell ref="AS6:AS7"/>
    <mergeCell ref="AT6:AT7"/>
    <mergeCell ref="BG6:BG7"/>
    <mergeCell ref="BH6:BH7"/>
    <mergeCell ref="BI6:BI7"/>
    <mergeCell ref="BJ5:BL5"/>
    <mergeCell ref="BP5:BR5"/>
    <mergeCell ref="BS5:BU5"/>
    <mergeCell ref="V6:V7"/>
    <mergeCell ref="W6:W7"/>
    <mergeCell ref="X6:X7"/>
    <mergeCell ref="Y6:Y7"/>
    <mergeCell ref="Z6:Z7"/>
    <mergeCell ref="AA6:AA7"/>
    <mergeCell ref="AH6:AH7"/>
    <mergeCell ref="AI6:AI7"/>
    <mergeCell ref="AJ6:AJ7"/>
    <mergeCell ref="AK6:AK7"/>
    <mergeCell ref="AL6:AL7"/>
    <mergeCell ref="AM6:AM7"/>
    <mergeCell ref="AB6:AB7"/>
    <mergeCell ref="AC6:AC7"/>
    <mergeCell ref="AD6:AD7"/>
    <mergeCell ref="AE6:AE7"/>
    <mergeCell ref="AF6:AF7"/>
    <mergeCell ref="AG6:AG7"/>
    <mergeCell ref="AU6:AU7"/>
    <mergeCell ref="AV6:AV7"/>
    <mergeCell ref="AW6:AW7"/>
    <mergeCell ref="G6:G7"/>
    <mergeCell ref="H6:H7"/>
    <mergeCell ref="I6:I7"/>
    <mergeCell ref="AK5:AM5"/>
    <mergeCell ref="AR5:AT5"/>
    <mergeCell ref="AU5:AW5"/>
    <mergeCell ref="AX5:AZ5"/>
    <mergeCell ref="BD5:BF5"/>
    <mergeCell ref="BG5:BI5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AX6:AX7"/>
    <mergeCell ref="AY6:AY7"/>
    <mergeCell ref="AZ6:AZ7"/>
    <mergeCell ref="A2:C2"/>
    <mergeCell ref="A3:B7"/>
    <mergeCell ref="C3:AM3"/>
    <mergeCell ref="AN3:BX3"/>
    <mergeCell ref="C4:C7"/>
    <mergeCell ref="D4:O4"/>
    <mergeCell ref="P4:AA4"/>
    <mergeCell ref="AB4:AM4"/>
    <mergeCell ref="AN4:AN7"/>
    <mergeCell ref="AO4:AZ4"/>
    <mergeCell ref="BA4:BL4"/>
    <mergeCell ref="BM4:BX4"/>
    <mergeCell ref="G5:I5"/>
    <mergeCell ref="J5:L5"/>
    <mergeCell ref="M5:O5"/>
    <mergeCell ref="S5:U5"/>
    <mergeCell ref="V5:X5"/>
    <mergeCell ref="Y5:AA5"/>
    <mergeCell ref="AE5:AG5"/>
    <mergeCell ref="AH5:AJ5"/>
    <mergeCell ref="BV5:BX5"/>
    <mergeCell ref="D6:D7"/>
    <mergeCell ref="E6:E7"/>
    <mergeCell ref="F6:F7"/>
  </mergeCells>
  <phoneticPr fontId="6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86" fitToWidth="10" orientation="landscape" useFirstPageNumber="1" horizontalDpi="4294967292" verticalDpi="3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DJ35"/>
  <sheetViews>
    <sheetView view="pageBreakPreview" zoomScaleNormal="100" zoomScaleSheetLayoutView="100" workbookViewId="0">
      <selection activeCell="E19" sqref="E19"/>
    </sheetView>
  </sheetViews>
  <sheetFormatPr defaultColWidth="15.83203125" defaultRowHeight="15.75"/>
  <cols>
    <col min="1" max="1" width="10.1640625" style="2" customWidth="1"/>
    <col min="2" max="2" width="20.1640625" style="2" customWidth="1"/>
    <col min="3" max="3" width="11.5" style="2" hidden="1" customWidth="1"/>
    <col min="4" max="15" width="13.5" style="2" customWidth="1"/>
    <col min="16" max="27" width="13.6640625" style="2" customWidth="1"/>
    <col min="28" max="39" width="13.83203125" style="2" customWidth="1"/>
    <col min="40" max="40" width="14.6640625" style="2" hidden="1" customWidth="1"/>
    <col min="41" max="52" width="12.83203125" style="2" customWidth="1"/>
    <col min="53" max="64" width="13" style="2" customWidth="1"/>
    <col min="65" max="76" width="13.83203125" style="2" customWidth="1"/>
    <col min="77" max="16384" width="15.83203125" style="2"/>
  </cols>
  <sheetData>
    <row r="1" spans="1:114" ht="21">
      <c r="A1" s="115" t="s">
        <v>293</v>
      </c>
      <c r="B1" s="135"/>
    </row>
    <row r="2" spans="1:114" ht="26.25" customHeight="1">
      <c r="A2" s="404" t="s">
        <v>328</v>
      </c>
      <c r="B2" s="404"/>
      <c r="C2" s="404"/>
    </row>
    <row r="3" spans="1:114" s="3" customFormat="1" ht="16.5" customHeight="1">
      <c r="A3" s="329" t="s">
        <v>316</v>
      </c>
      <c r="B3" s="301"/>
      <c r="C3" s="332" t="s">
        <v>294</v>
      </c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  <c r="X3" s="304"/>
      <c r="Y3" s="304"/>
      <c r="Z3" s="304"/>
      <c r="AA3" s="304"/>
      <c r="AB3" s="304"/>
      <c r="AC3" s="304"/>
      <c r="AD3" s="304"/>
      <c r="AE3" s="304"/>
      <c r="AF3" s="304"/>
      <c r="AG3" s="304"/>
      <c r="AH3" s="304"/>
      <c r="AI3" s="304"/>
      <c r="AJ3" s="304"/>
      <c r="AK3" s="304"/>
      <c r="AL3" s="304"/>
      <c r="AM3" s="340"/>
      <c r="AN3" s="332" t="s">
        <v>295</v>
      </c>
      <c r="AO3" s="304"/>
      <c r="AP3" s="304"/>
      <c r="AQ3" s="304"/>
      <c r="AR3" s="304"/>
      <c r="AS3" s="304"/>
      <c r="AT3" s="304"/>
      <c r="AU3" s="304"/>
      <c r="AV3" s="304"/>
      <c r="AW3" s="304"/>
      <c r="AX3" s="304"/>
      <c r="AY3" s="304"/>
      <c r="AZ3" s="304"/>
      <c r="BA3" s="304"/>
      <c r="BB3" s="304"/>
      <c r="BC3" s="304"/>
      <c r="BD3" s="304"/>
      <c r="BE3" s="304"/>
      <c r="BF3" s="304"/>
      <c r="BG3" s="304"/>
      <c r="BH3" s="304"/>
      <c r="BI3" s="304"/>
      <c r="BJ3" s="304"/>
      <c r="BK3" s="304"/>
      <c r="BL3" s="304"/>
      <c r="BM3" s="304"/>
      <c r="BN3" s="304"/>
      <c r="BO3" s="304"/>
      <c r="BP3" s="304"/>
      <c r="BQ3" s="304"/>
      <c r="BR3" s="304"/>
      <c r="BS3" s="304"/>
      <c r="BT3" s="304"/>
      <c r="BU3" s="304"/>
      <c r="BV3" s="304"/>
      <c r="BW3" s="304"/>
      <c r="BX3" s="304"/>
    </row>
    <row r="4" spans="1:114" s="4" customFormat="1" ht="16.5" customHeight="1">
      <c r="A4" s="364"/>
      <c r="B4" s="302"/>
      <c r="C4" s="322" t="s">
        <v>296</v>
      </c>
      <c r="D4" s="332" t="s">
        <v>297</v>
      </c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40"/>
      <c r="P4" s="344" t="s">
        <v>298</v>
      </c>
      <c r="Q4" s="344"/>
      <c r="R4" s="344"/>
      <c r="S4" s="344"/>
      <c r="T4" s="344"/>
      <c r="U4" s="344"/>
      <c r="V4" s="344"/>
      <c r="W4" s="344"/>
      <c r="X4" s="344"/>
      <c r="Y4" s="344"/>
      <c r="Z4" s="344"/>
      <c r="AA4" s="344"/>
      <c r="AB4" s="344" t="s">
        <v>299</v>
      </c>
      <c r="AC4" s="344"/>
      <c r="AD4" s="344"/>
      <c r="AE4" s="344"/>
      <c r="AF4" s="344"/>
      <c r="AG4" s="344"/>
      <c r="AH4" s="344"/>
      <c r="AI4" s="344"/>
      <c r="AJ4" s="344"/>
      <c r="AK4" s="344"/>
      <c r="AL4" s="344"/>
      <c r="AM4" s="344"/>
      <c r="AN4" s="368" t="s">
        <v>300</v>
      </c>
      <c r="AO4" s="332" t="s">
        <v>297</v>
      </c>
      <c r="AP4" s="304"/>
      <c r="AQ4" s="304"/>
      <c r="AR4" s="304"/>
      <c r="AS4" s="304"/>
      <c r="AT4" s="304"/>
      <c r="AU4" s="304"/>
      <c r="AV4" s="304"/>
      <c r="AW4" s="304"/>
      <c r="AX4" s="304"/>
      <c r="AY4" s="304"/>
      <c r="AZ4" s="340"/>
      <c r="BA4" s="332" t="s">
        <v>301</v>
      </c>
      <c r="BB4" s="304"/>
      <c r="BC4" s="304"/>
      <c r="BD4" s="304"/>
      <c r="BE4" s="304"/>
      <c r="BF4" s="304"/>
      <c r="BG4" s="304"/>
      <c r="BH4" s="304"/>
      <c r="BI4" s="304"/>
      <c r="BJ4" s="304"/>
      <c r="BK4" s="304"/>
      <c r="BL4" s="340"/>
      <c r="BM4" s="332" t="s">
        <v>302</v>
      </c>
      <c r="BN4" s="304"/>
      <c r="BO4" s="304"/>
      <c r="BP4" s="304"/>
      <c r="BQ4" s="304"/>
      <c r="BR4" s="304"/>
      <c r="BS4" s="304"/>
      <c r="BT4" s="304"/>
      <c r="BU4" s="304"/>
      <c r="BV4" s="304"/>
      <c r="BW4" s="304"/>
      <c r="BX4" s="304"/>
    </row>
    <row r="5" spans="1:114" s="9" customFormat="1" ht="30" customHeight="1">
      <c r="A5" s="364"/>
      <c r="B5" s="302"/>
      <c r="C5" s="368"/>
      <c r="D5" s="5" t="s">
        <v>303</v>
      </c>
      <c r="E5" s="6"/>
      <c r="F5" s="7"/>
      <c r="G5" s="339" t="s">
        <v>304</v>
      </c>
      <c r="H5" s="339"/>
      <c r="I5" s="339"/>
      <c r="J5" s="339" t="s">
        <v>305</v>
      </c>
      <c r="K5" s="339"/>
      <c r="L5" s="339"/>
      <c r="M5" s="339" t="s">
        <v>306</v>
      </c>
      <c r="N5" s="339"/>
      <c r="O5" s="339"/>
      <c r="P5" s="5" t="s">
        <v>303</v>
      </c>
      <c r="Q5" s="6"/>
      <c r="R5" s="7"/>
      <c r="S5" s="339" t="s">
        <v>304</v>
      </c>
      <c r="T5" s="339"/>
      <c r="U5" s="339"/>
      <c r="V5" s="339" t="s">
        <v>305</v>
      </c>
      <c r="W5" s="339"/>
      <c r="X5" s="339"/>
      <c r="Y5" s="339" t="s">
        <v>306</v>
      </c>
      <c r="Z5" s="339"/>
      <c r="AA5" s="339"/>
      <c r="AB5" s="5" t="s">
        <v>303</v>
      </c>
      <c r="AC5" s="6"/>
      <c r="AD5" s="7"/>
      <c r="AE5" s="339" t="s">
        <v>304</v>
      </c>
      <c r="AF5" s="339"/>
      <c r="AG5" s="339"/>
      <c r="AH5" s="339" t="s">
        <v>305</v>
      </c>
      <c r="AI5" s="339"/>
      <c r="AJ5" s="339"/>
      <c r="AK5" s="339" t="s">
        <v>306</v>
      </c>
      <c r="AL5" s="339"/>
      <c r="AM5" s="339"/>
      <c r="AN5" s="368"/>
      <c r="AO5" s="5" t="s">
        <v>303</v>
      </c>
      <c r="AP5" s="6"/>
      <c r="AQ5" s="7"/>
      <c r="AR5" s="339" t="s">
        <v>304</v>
      </c>
      <c r="AS5" s="339"/>
      <c r="AT5" s="339"/>
      <c r="AU5" s="339" t="s">
        <v>305</v>
      </c>
      <c r="AV5" s="339"/>
      <c r="AW5" s="339"/>
      <c r="AX5" s="339" t="s">
        <v>306</v>
      </c>
      <c r="AY5" s="339"/>
      <c r="AZ5" s="339"/>
      <c r="BA5" s="5" t="s">
        <v>303</v>
      </c>
      <c r="BB5" s="116"/>
      <c r="BC5" s="7"/>
      <c r="BD5" s="339" t="s">
        <v>304</v>
      </c>
      <c r="BE5" s="339"/>
      <c r="BF5" s="339"/>
      <c r="BG5" s="339" t="s">
        <v>305</v>
      </c>
      <c r="BH5" s="339"/>
      <c r="BI5" s="339"/>
      <c r="BJ5" s="339" t="s">
        <v>306</v>
      </c>
      <c r="BK5" s="339"/>
      <c r="BL5" s="339"/>
      <c r="BM5" s="5" t="s">
        <v>303</v>
      </c>
      <c r="BN5" s="116"/>
      <c r="BO5" s="7"/>
      <c r="BP5" s="339" t="s">
        <v>304</v>
      </c>
      <c r="BQ5" s="339"/>
      <c r="BR5" s="339"/>
      <c r="BS5" s="339" t="s">
        <v>305</v>
      </c>
      <c r="BT5" s="339"/>
      <c r="BU5" s="339"/>
      <c r="BV5" s="339" t="s">
        <v>306</v>
      </c>
      <c r="BW5" s="339"/>
      <c r="BX5" s="311"/>
    </row>
    <row r="6" spans="1:114" s="3" customFormat="1" ht="16.5" customHeight="1">
      <c r="A6" s="364"/>
      <c r="B6" s="302"/>
      <c r="C6" s="368"/>
      <c r="D6" s="322" t="s">
        <v>307</v>
      </c>
      <c r="E6" s="322" t="s">
        <v>308</v>
      </c>
      <c r="F6" s="322" t="s">
        <v>309</v>
      </c>
      <c r="G6" s="322" t="s">
        <v>307</v>
      </c>
      <c r="H6" s="322" t="s">
        <v>308</v>
      </c>
      <c r="I6" s="322" t="s">
        <v>309</v>
      </c>
      <c r="J6" s="322" t="s">
        <v>307</v>
      </c>
      <c r="K6" s="322" t="s">
        <v>308</v>
      </c>
      <c r="L6" s="322" t="s">
        <v>309</v>
      </c>
      <c r="M6" s="322" t="s">
        <v>307</v>
      </c>
      <c r="N6" s="322" t="s">
        <v>308</v>
      </c>
      <c r="O6" s="322" t="s">
        <v>309</v>
      </c>
      <c r="P6" s="322" t="s">
        <v>307</v>
      </c>
      <c r="Q6" s="322" t="s">
        <v>308</v>
      </c>
      <c r="R6" s="322" t="s">
        <v>309</v>
      </c>
      <c r="S6" s="322" t="s">
        <v>307</v>
      </c>
      <c r="T6" s="322" t="s">
        <v>308</v>
      </c>
      <c r="U6" s="322" t="s">
        <v>309</v>
      </c>
      <c r="V6" s="322" t="s">
        <v>307</v>
      </c>
      <c r="W6" s="322" t="s">
        <v>308</v>
      </c>
      <c r="X6" s="322" t="s">
        <v>309</v>
      </c>
      <c r="Y6" s="322" t="s">
        <v>307</v>
      </c>
      <c r="Z6" s="322" t="s">
        <v>308</v>
      </c>
      <c r="AA6" s="322" t="s">
        <v>309</v>
      </c>
      <c r="AB6" s="322" t="s">
        <v>307</v>
      </c>
      <c r="AC6" s="322" t="s">
        <v>308</v>
      </c>
      <c r="AD6" s="322" t="s">
        <v>309</v>
      </c>
      <c r="AE6" s="322" t="s">
        <v>307</v>
      </c>
      <c r="AF6" s="322" t="s">
        <v>308</v>
      </c>
      <c r="AG6" s="322" t="s">
        <v>309</v>
      </c>
      <c r="AH6" s="322" t="s">
        <v>307</v>
      </c>
      <c r="AI6" s="322" t="s">
        <v>308</v>
      </c>
      <c r="AJ6" s="322" t="s">
        <v>309</v>
      </c>
      <c r="AK6" s="322" t="s">
        <v>307</v>
      </c>
      <c r="AL6" s="322" t="s">
        <v>308</v>
      </c>
      <c r="AM6" s="322" t="s">
        <v>309</v>
      </c>
      <c r="AN6" s="368"/>
      <c r="AO6" s="322" t="s">
        <v>307</v>
      </c>
      <c r="AP6" s="322" t="s">
        <v>308</v>
      </c>
      <c r="AQ6" s="322" t="s">
        <v>309</v>
      </c>
      <c r="AR6" s="322" t="s">
        <v>307</v>
      </c>
      <c r="AS6" s="322" t="s">
        <v>308</v>
      </c>
      <c r="AT6" s="322" t="s">
        <v>309</v>
      </c>
      <c r="AU6" s="322" t="s">
        <v>307</v>
      </c>
      <c r="AV6" s="322" t="s">
        <v>308</v>
      </c>
      <c r="AW6" s="322" t="s">
        <v>309</v>
      </c>
      <c r="AX6" s="322" t="s">
        <v>307</v>
      </c>
      <c r="AY6" s="322" t="s">
        <v>308</v>
      </c>
      <c r="AZ6" s="322" t="s">
        <v>309</v>
      </c>
      <c r="BA6" s="322" t="s">
        <v>307</v>
      </c>
      <c r="BB6" s="322" t="s">
        <v>308</v>
      </c>
      <c r="BC6" s="322" t="s">
        <v>309</v>
      </c>
      <c r="BD6" s="322" t="s">
        <v>307</v>
      </c>
      <c r="BE6" s="322" t="s">
        <v>308</v>
      </c>
      <c r="BF6" s="322" t="s">
        <v>309</v>
      </c>
      <c r="BG6" s="322" t="s">
        <v>307</v>
      </c>
      <c r="BH6" s="322" t="s">
        <v>308</v>
      </c>
      <c r="BI6" s="322" t="s">
        <v>309</v>
      </c>
      <c r="BJ6" s="322" t="s">
        <v>307</v>
      </c>
      <c r="BK6" s="322" t="s">
        <v>308</v>
      </c>
      <c r="BL6" s="322" t="s">
        <v>309</v>
      </c>
      <c r="BM6" s="322" t="s">
        <v>307</v>
      </c>
      <c r="BN6" s="322" t="s">
        <v>308</v>
      </c>
      <c r="BO6" s="322" t="s">
        <v>309</v>
      </c>
      <c r="BP6" s="322" t="s">
        <v>307</v>
      </c>
      <c r="BQ6" s="322" t="s">
        <v>308</v>
      </c>
      <c r="BR6" s="322" t="s">
        <v>309</v>
      </c>
      <c r="BS6" s="322" t="s">
        <v>307</v>
      </c>
      <c r="BT6" s="322" t="s">
        <v>308</v>
      </c>
      <c r="BU6" s="322" t="s">
        <v>309</v>
      </c>
      <c r="BV6" s="322" t="s">
        <v>307</v>
      </c>
      <c r="BW6" s="322" t="s">
        <v>308</v>
      </c>
      <c r="BX6" s="314" t="s">
        <v>309</v>
      </c>
    </row>
    <row r="7" spans="1:114" s="3" customFormat="1" ht="12.75">
      <c r="A7" s="331"/>
      <c r="B7" s="303"/>
      <c r="C7" s="337"/>
      <c r="D7" s="323"/>
      <c r="E7" s="323"/>
      <c r="F7" s="323"/>
      <c r="G7" s="323"/>
      <c r="H7" s="323"/>
      <c r="I7" s="323"/>
      <c r="J7" s="323"/>
      <c r="K7" s="323"/>
      <c r="L7" s="323"/>
      <c r="M7" s="323"/>
      <c r="N7" s="323"/>
      <c r="O7" s="323"/>
      <c r="P7" s="323"/>
      <c r="Q7" s="323"/>
      <c r="R7" s="323"/>
      <c r="S7" s="323"/>
      <c r="T7" s="323"/>
      <c r="U7" s="323"/>
      <c r="V7" s="323"/>
      <c r="W7" s="323"/>
      <c r="X7" s="323"/>
      <c r="Y7" s="323"/>
      <c r="Z7" s="323"/>
      <c r="AA7" s="323"/>
      <c r="AB7" s="323"/>
      <c r="AC7" s="323"/>
      <c r="AD7" s="323"/>
      <c r="AE7" s="323"/>
      <c r="AF7" s="323"/>
      <c r="AG7" s="323"/>
      <c r="AH7" s="323"/>
      <c r="AI7" s="323"/>
      <c r="AJ7" s="323"/>
      <c r="AK7" s="323"/>
      <c r="AL7" s="323"/>
      <c r="AM7" s="323"/>
      <c r="AN7" s="337"/>
      <c r="AO7" s="323"/>
      <c r="AP7" s="323"/>
      <c r="AQ7" s="323"/>
      <c r="AR7" s="323"/>
      <c r="AS7" s="323"/>
      <c r="AT7" s="323"/>
      <c r="AU7" s="323"/>
      <c r="AV7" s="323"/>
      <c r="AW7" s="323"/>
      <c r="AX7" s="323"/>
      <c r="AY7" s="323"/>
      <c r="AZ7" s="323"/>
      <c r="BA7" s="323"/>
      <c r="BB7" s="323"/>
      <c r="BC7" s="323"/>
      <c r="BD7" s="323"/>
      <c r="BE7" s="323"/>
      <c r="BF7" s="323"/>
      <c r="BG7" s="323"/>
      <c r="BH7" s="323"/>
      <c r="BI7" s="323"/>
      <c r="BJ7" s="323"/>
      <c r="BK7" s="323"/>
      <c r="BL7" s="323"/>
      <c r="BM7" s="323"/>
      <c r="BN7" s="323"/>
      <c r="BO7" s="323"/>
      <c r="BP7" s="323"/>
      <c r="BQ7" s="323"/>
      <c r="BR7" s="323"/>
      <c r="BS7" s="323"/>
      <c r="BT7" s="323"/>
      <c r="BU7" s="323"/>
      <c r="BV7" s="323"/>
      <c r="BW7" s="323"/>
      <c r="BX7" s="326"/>
    </row>
    <row r="8" spans="1:114" s="18" customFormat="1" ht="15.6" customHeight="1">
      <c r="A8" s="106" t="s">
        <v>327</v>
      </c>
      <c r="B8" s="36" t="s">
        <v>199</v>
      </c>
      <c r="C8" s="41"/>
      <c r="D8" s="41">
        <v>58</v>
      </c>
      <c r="E8" s="41">
        <v>28</v>
      </c>
      <c r="F8" s="41">
        <v>30</v>
      </c>
      <c r="G8" s="41">
        <v>5</v>
      </c>
      <c r="H8" s="41">
        <v>5</v>
      </c>
      <c r="I8" s="41">
        <v>0</v>
      </c>
      <c r="J8" s="41">
        <v>6</v>
      </c>
      <c r="K8" s="41">
        <v>5</v>
      </c>
      <c r="L8" s="41">
        <v>1</v>
      </c>
      <c r="M8" s="41">
        <v>47</v>
      </c>
      <c r="N8" s="41">
        <v>18</v>
      </c>
      <c r="O8" s="41">
        <v>29</v>
      </c>
      <c r="P8" s="41">
        <v>11151</v>
      </c>
      <c r="Q8" s="41">
        <v>4402</v>
      </c>
      <c r="R8" s="41">
        <v>6749</v>
      </c>
      <c r="S8" s="41">
        <v>115</v>
      </c>
      <c r="T8" s="41">
        <v>67</v>
      </c>
      <c r="U8" s="41">
        <v>48</v>
      </c>
      <c r="V8" s="41">
        <v>231</v>
      </c>
      <c r="W8" s="41">
        <v>227</v>
      </c>
      <c r="X8" s="41">
        <v>4</v>
      </c>
      <c r="Y8" s="41">
        <v>10805</v>
      </c>
      <c r="Z8" s="41">
        <v>4108</v>
      </c>
      <c r="AA8" s="41">
        <v>6697</v>
      </c>
      <c r="AB8" s="41">
        <v>89230</v>
      </c>
      <c r="AC8" s="41">
        <v>34602</v>
      </c>
      <c r="AD8" s="41">
        <v>54628</v>
      </c>
      <c r="AE8" s="41">
        <v>760</v>
      </c>
      <c r="AF8" s="41">
        <v>384</v>
      </c>
      <c r="AG8" s="41">
        <v>376</v>
      </c>
      <c r="AH8" s="41">
        <v>1360</v>
      </c>
      <c r="AI8" s="41">
        <v>1328</v>
      </c>
      <c r="AJ8" s="41">
        <v>32</v>
      </c>
      <c r="AK8" s="41">
        <v>87110</v>
      </c>
      <c r="AL8" s="41">
        <v>32890</v>
      </c>
      <c r="AM8" s="41">
        <v>54220</v>
      </c>
      <c r="AN8" s="41"/>
      <c r="AO8" s="41">
        <v>557</v>
      </c>
      <c r="AP8" s="41">
        <v>180</v>
      </c>
      <c r="AQ8" s="41">
        <v>377</v>
      </c>
      <c r="AR8" s="41">
        <v>45</v>
      </c>
      <c r="AS8" s="41">
        <v>17</v>
      </c>
      <c r="AT8" s="41">
        <v>28</v>
      </c>
      <c r="AU8" s="41">
        <v>67</v>
      </c>
      <c r="AV8" s="41">
        <v>25</v>
      </c>
      <c r="AW8" s="41">
        <v>42</v>
      </c>
      <c r="AX8" s="41">
        <v>445</v>
      </c>
      <c r="AY8" s="41">
        <v>138</v>
      </c>
      <c r="AZ8" s="41">
        <v>307</v>
      </c>
      <c r="BA8" s="41">
        <v>91473</v>
      </c>
      <c r="BB8" s="41">
        <v>30075</v>
      </c>
      <c r="BC8" s="41">
        <v>61398</v>
      </c>
      <c r="BD8" s="41">
        <v>5396</v>
      </c>
      <c r="BE8" s="41">
        <v>1700</v>
      </c>
      <c r="BF8" s="41">
        <v>3696</v>
      </c>
      <c r="BG8" s="41">
        <v>11017</v>
      </c>
      <c r="BH8" s="41">
        <v>4032</v>
      </c>
      <c r="BI8" s="41">
        <v>6985</v>
      </c>
      <c r="BJ8" s="41">
        <v>75060</v>
      </c>
      <c r="BK8" s="41">
        <v>24343</v>
      </c>
      <c r="BL8" s="41">
        <v>50717</v>
      </c>
      <c r="BM8" s="41">
        <v>615097</v>
      </c>
      <c r="BN8" s="41">
        <v>193965</v>
      </c>
      <c r="BO8" s="41">
        <v>421132</v>
      </c>
      <c r="BP8" s="41">
        <v>37055</v>
      </c>
      <c r="BQ8" s="41">
        <v>10925</v>
      </c>
      <c r="BR8" s="41">
        <v>26130</v>
      </c>
      <c r="BS8" s="41">
        <v>64536</v>
      </c>
      <c r="BT8" s="41">
        <v>20117</v>
      </c>
      <c r="BU8" s="41">
        <v>44419</v>
      </c>
      <c r="BV8" s="41">
        <v>513506</v>
      </c>
      <c r="BW8" s="41">
        <v>162923</v>
      </c>
      <c r="BX8" s="41">
        <v>350583</v>
      </c>
      <c r="BY8" s="93"/>
      <c r="BZ8" s="93"/>
      <c r="CA8" s="93"/>
      <c r="CB8" s="93"/>
      <c r="CC8" s="93"/>
      <c r="CD8" s="93"/>
      <c r="CE8" s="93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</row>
    <row r="9" spans="1:114" s="3" customFormat="1" ht="15.6" customHeight="1">
      <c r="A9" s="53" t="s">
        <v>169</v>
      </c>
      <c r="B9" s="94" t="s">
        <v>41</v>
      </c>
      <c r="C9" s="20"/>
      <c r="D9" s="20">
        <v>25</v>
      </c>
      <c r="E9" s="20">
        <v>8</v>
      </c>
      <c r="F9" s="20">
        <v>17</v>
      </c>
      <c r="G9" s="20">
        <v>0</v>
      </c>
      <c r="H9" s="20">
        <v>0</v>
      </c>
      <c r="I9" s="20">
        <v>0</v>
      </c>
      <c r="J9" s="20">
        <v>1</v>
      </c>
      <c r="K9" s="20">
        <v>1</v>
      </c>
      <c r="L9" s="20">
        <v>0</v>
      </c>
      <c r="M9" s="20">
        <v>24</v>
      </c>
      <c r="N9" s="20">
        <v>7</v>
      </c>
      <c r="O9" s="20">
        <v>17</v>
      </c>
      <c r="P9" s="20">
        <v>8850</v>
      </c>
      <c r="Q9" s="20">
        <v>3180</v>
      </c>
      <c r="R9" s="20">
        <v>5670</v>
      </c>
      <c r="S9" s="20">
        <v>0</v>
      </c>
      <c r="T9" s="20">
        <v>0</v>
      </c>
      <c r="U9" s="20">
        <v>0</v>
      </c>
      <c r="V9" s="20">
        <v>120</v>
      </c>
      <c r="W9" s="20">
        <v>120</v>
      </c>
      <c r="X9" s="20">
        <v>0</v>
      </c>
      <c r="Y9" s="20">
        <v>8730</v>
      </c>
      <c r="Z9" s="20">
        <v>3060</v>
      </c>
      <c r="AA9" s="20">
        <v>5670</v>
      </c>
      <c r="AB9" s="20">
        <v>70808</v>
      </c>
      <c r="AC9" s="20">
        <v>25448</v>
      </c>
      <c r="AD9" s="20">
        <v>45360</v>
      </c>
      <c r="AE9" s="20">
        <v>0</v>
      </c>
      <c r="AF9" s="20">
        <v>0</v>
      </c>
      <c r="AG9" s="20">
        <v>0</v>
      </c>
      <c r="AH9" s="20">
        <v>968</v>
      </c>
      <c r="AI9" s="20">
        <v>968</v>
      </c>
      <c r="AJ9" s="20">
        <v>0</v>
      </c>
      <c r="AK9" s="20">
        <v>69840</v>
      </c>
      <c r="AL9" s="20">
        <v>24480</v>
      </c>
      <c r="AM9" s="20">
        <v>45360</v>
      </c>
      <c r="AN9" s="20"/>
      <c r="AO9" s="20">
        <v>10</v>
      </c>
      <c r="AP9" s="20">
        <v>3</v>
      </c>
      <c r="AQ9" s="20">
        <v>7</v>
      </c>
      <c r="AR9" s="20">
        <v>0</v>
      </c>
      <c r="AS9" s="20">
        <v>0</v>
      </c>
      <c r="AT9" s="20">
        <v>0</v>
      </c>
      <c r="AU9" s="20">
        <v>0</v>
      </c>
      <c r="AV9" s="20">
        <v>0</v>
      </c>
      <c r="AW9" s="20">
        <v>0</v>
      </c>
      <c r="AX9" s="20">
        <v>10</v>
      </c>
      <c r="AY9" s="20">
        <v>3</v>
      </c>
      <c r="AZ9" s="20">
        <v>7</v>
      </c>
      <c r="BA9" s="20">
        <v>3180</v>
      </c>
      <c r="BB9" s="20">
        <v>1140</v>
      </c>
      <c r="BC9" s="20">
        <v>2040</v>
      </c>
      <c r="BD9" s="20">
        <v>0</v>
      </c>
      <c r="BE9" s="20">
        <v>0</v>
      </c>
      <c r="BF9" s="20">
        <v>0</v>
      </c>
      <c r="BG9" s="20">
        <v>0</v>
      </c>
      <c r="BH9" s="20">
        <v>0</v>
      </c>
      <c r="BI9" s="20">
        <v>0</v>
      </c>
      <c r="BJ9" s="20">
        <v>3180</v>
      </c>
      <c r="BK9" s="20">
        <v>1140</v>
      </c>
      <c r="BL9" s="20">
        <v>2040</v>
      </c>
      <c r="BM9" s="20">
        <v>25440</v>
      </c>
      <c r="BN9" s="20">
        <v>9120</v>
      </c>
      <c r="BO9" s="20">
        <v>16320</v>
      </c>
      <c r="BP9" s="20">
        <v>0</v>
      </c>
      <c r="BQ9" s="20">
        <v>0</v>
      </c>
      <c r="BR9" s="20">
        <v>0</v>
      </c>
      <c r="BS9" s="20">
        <v>0</v>
      </c>
      <c r="BT9" s="20">
        <v>0</v>
      </c>
      <c r="BU9" s="20">
        <v>0</v>
      </c>
      <c r="BV9" s="20">
        <v>25440</v>
      </c>
      <c r="BW9" s="20">
        <v>9120</v>
      </c>
      <c r="BX9" s="20">
        <v>16320</v>
      </c>
      <c r="BY9" s="20"/>
      <c r="BZ9" s="20"/>
      <c r="CA9" s="20"/>
      <c r="CB9" s="20"/>
      <c r="CC9" s="20"/>
      <c r="CD9" s="20"/>
      <c r="CE9" s="20"/>
    </row>
    <row r="10" spans="1:114" s="3" customFormat="1" ht="15.6" customHeight="1">
      <c r="A10" s="53" t="s">
        <v>152</v>
      </c>
      <c r="B10" s="94" t="s">
        <v>7</v>
      </c>
      <c r="C10" s="20"/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/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>
        <v>0</v>
      </c>
      <c r="AY10" s="20">
        <v>0</v>
      </c>
      <c r="AZ10" s="20">
        <v>0</v>
      </c>
      <c r="BA10" s="20">
        <v>0</v>
      </c>
      <c r="BB10" s="20">
        <v>0</v>
      </c>
      <c r="BC10" s="20">
        <v>0</v>
      </c>
      <c r="BD10" s="20">
        <v>0</v>
      </c>
      <c r="BE10" s="20">
        <v>0</v>
      </c>
      <c r="BF10" s="20">
        <v>0</v>
      </c>
      <c r="BG10" s="20">
        <v>0</v>
      </c>
      <c r="BH10" s="20">
        <v>0</v>
      </c>
      <c r="BI10" s="20">
        <v>0</v>
      </c>
      <c r="BJ10" s="20">
        <v>0</v>
      </c>
      <c r="BK10" s="20">
        <v>0</v>
      </c>
      <c r="BL10" s="20">
        <v>0</v>
      </c>
      <c r="BM10" s="20">
        <v>0</v>
      </c>
      <c r="BN10" s="20">
        <v>0</v>
      </c>
      <c r="BO10" s="20">
        <v>0</v>
      </c>
      <c r="BP10" s="20">
        <v>0</v>
      </c>
      <c r="BQ10" s="20">
        <v>0</v>
      </c>
      <c r="BR10" s="20">
        <v>0</v>
      </c>
      <c r="BS10" s="20">
        <v>0</v>
      </c>
      <c r="BT10" s="20">
        <v>0</v>
      </c>
      <c r="BU10" s="20">
        <v>0</v>
      </c>
      <c r="BV10" s="20">
        <v>0</v>
      </c>
      <c r="BW10" s="20">
        <v>0</v>
      </c>
      <c r="BX10" s="20">
        <v>0</v>
      </c>
      <c r="BY10" s="20"/>
      <c r="BZ10" s="20"/>
      <c r="CA10" s="20"/>
      <c r="CB10" s="20"/>
      <c r="CC10" s="20"/>
      <c r="CD10" s="20"/>
      <c r="CE10" s="20"/>
    </row>
    <row r="11" spans="1:114" s="3" customFormat="1" ht="15.6" customHeight="1">
      <c r="A11" s="53" t="s">
        <v>153</v>
      </c>
      <c r="B11" s="94" t="s">
        <v>8</v>
      </c>
      <c r="C11" s="20"/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  <c r="AC11" s="20">
        <v>0</v>
      </c>
      <c r="AD11" s="20">
        <v>0</v>
      </c>
      <c r="AE11" s="20">
        <v>0</v>
      </c>
      <c r="AF11" s="20">
        <v>0</v>
      </c>
      <c r="AG11" s="20">
        <v>0</v>
      </c>
      <c r="AH11" s="20">
        <v>0</v>
      </c>
      <c r="AI11" s="20">
        <v>0</v>
      </c>
      <c r="AJ11" s="20">
        <v>0</v>
      </c>
      <c r="AK11" s="20">
        <v>0</v>
      </c>
      <c r="AL11" s="20">
        <v>0</v>
      </c>
      <c r="AM11" s="20">
        <v>0</v>
      </c>
      <c r="AN11" s="20"/>
      <c r="AO11" s="20">
        <v>2</v>
      </c>
      <c r="AP11" s="20">
        <v>0</v>
      </c>
      <c r="AQ11" s="20">
        <v>2</v>
      </c>
      <c r="AR11" s="20">
        <v>2</v>
      </c>
      <c r="AS11" s="20">
        <v>0</v>
      </c>
      <c r="AT11" s="20">
        <v>2</v>
      </c>
      <c r="AU11" s="20">
        <v>0</v>
      </c>
      <c r="AV11" s="20">
        <v>0</v>
      </c>
      <c r="AW11" s="20">
        <v>0</v>
      </c>
      <c r="AX11" s="20">
        <v>0</v>
      </c>
      <c r="AY11" s="20">
        <v>0</v>
      </c>
      <c r="AZ11" s="20">
        <v>0</v>
      </c>
      <c r="BA11" s="20">
        <v>914</v>
      </c>
      <c r="BB11" s="20">
        <v>543</v>
      </c>
      <c r="BC11" s="20">
        <v>371</v>
      </c>
      <c r="BD11" s="20">
        <v>371</v>
      </c>
      <c r="BE11" s="20">
        <v>0</v>
      </c>
      <c r="BF11" s="20">
        <v>371</v>
      </c>
      <c r="BG11" s="20">
        <v>543</v>
      </c>
      <c r="BH11" s="20">
        <v>543</v>
      </c>
      <c r="BI11" s="20">
        <v>0</v>
      </c>
      <c r="BJ11" s="20">
        <v>0</v>
      </c>
      <c r="BK11" s="20">
        <v>0</v>
      </c>
      <c r="BL11" s="20">
        <v>0</v>
      </c>
      <c r="BM11" s="20">
        <v>4416</v>
      </c>
      <c r="BN11" s="20">
        <v>1448</v>
      </c>
      <c r="BO11" s="20">
        <v>2968</v>
      </c>
      <c r="BP11" s="20">
        <v>2968</v>
      </c>
      <c r="BQ11" s="20">
        <v>0</v>
      </c>
      <c r="BR11" s="20">
        <v>2968</v>
      </c>
      <c r="BS11" s="20">
        <v>1448</v>
      </c>
      <c r="BT11" s="20">
        <v>1448</v>
      </c>
      <c r="BU11" s="20">
        <v>0</v>
      </c>
      <c r="BV11" s="20">
        <v>0</v>
      </c>
      <c r="BW11" s="20">
        <v>0</v>
      </c>
      <c r="BX11" s="20">
        <v>0</v>
      </c>
      <c r="BY11" s="20"/>
      <c r="BZ11" s="20"/>
      <c r="CA11" s="20"/>
      <c r="CB11" s="20"/>
      <c r="CC11" s="20"/>
      <c r="CD11" s="20"/>
      <c r="CE11" s="20"/>
    </row>
    <row r="12" spans="1:114" s="3" customFormat="1" ht="15.6" customHeight="1">
      <c r="A12" s="53" t="s">
        <v>154</v>
      </c>
      <c r="B12" s="94" t="s">
        <v>9</v>
      </c>
      <c r="C12" s="20"/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/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0">
        <v>0</v>
      </c>
      <c r="BJ12" s="20">
        <v>0</v>
      </c>
      <c r="BK12" s="20">
        <v>0</v>
      </c>
      <c r="BL12" s="20">
        <v>0</v>
      </c>
      <c r="BM12" s="20">
        <v>0</v>
      </c>
      <c r="BN12" s="20">
        <v>0</v>
      </c>
      <c r="BO12" s="20">
        <v>0</v>
      </c>
      <c r="BP12" s="20">
        <v>0</v>
      </c>
      <c r="BQ12" s="20">
        <v>0</v>
      </c>
      <c r="BR12" s="20">
        <v>0</v>
      </c>
      <c r="BS12" s="20">
        <v>0</v>
      </c>
      <c r="BT12" s="20">
        <v>0</v>
      </c>
      <c r="BU12" s="20">
        <v>0</v>
      </c>
      <c r="BV12" s="20">
        <v>0</v>
      </c>
      <c r="BW12" s="20">
        <v>0</v>
      </c>
      <c r="BX12" s="20">
        <v>0</v>
      </c>
      <c r="BY12" s="20"/>
      <c r="BZ12" s="20"/>
      <c r="CA12" s="20"/>
      <c r="CB12" s="20"/>
      <c r="CC12" s="20"/>
      <c r="CD12" s="20"/>
      <c r="CE12" s="20"/>
    </row>
    <row r="13" spans="1:114" s="3" customFormat="1" ht="15.6" customHeight="1">
      <c r="A13" s="53" t="s">
        <v>155</v>
      </c>
      <c r="B13" s="94" t="s">
        <v>10</v>
      </c>
      <c r="C13" s="20"/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20"/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0</v>
      </c>
      <c r="AY13" s="20">
        <v>0</v>
      </c>
      <c r="AZ13" s="20">
        <v>0</v>
      </c>
      <c r="BA13" s="20">
        <v>0</v>
      </c>
      <c r="BB13" s="20">
        <v>0</v>
      </c>
      <c r="BC13" s="20">
        <v>0</v>
      </c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0">
        <v>0</v>
      </c>
      <c r="BK13" s="20">
        <v>0</v>
      </c>
      <c r="BL13" s="20">
        <v>0</v>
      </c>
      <c r="BM13" s="20">
        <v>0</v>
      </c>
      <c r="BN13" s="20">
        <v>0</v>
      </c>
      <c r="BO13" s="20">
        <v>0</v>
      </c>
      <c r="BP13" s="20">
        <v>0</v>
      </c>
      <c r="BQ13" s="20">
        <v>0</v>
      </c>
      <c r="BR13" s="20">
        <v>0</v>
      </c>
      <c r="BS13" s="20">
        <v>0</v>
      </c>
      <c r="BT13" s="20">
        <v>0</v>
      </c>
      <c r="BU13" s="20">
        <v>0</v>
      </c>
      <c r="BV13" s="20">
        <v>0</v>
      </c>
      <c r="BW13" s="20">
        <v>0</v>
      </c>
      <c r="BX13" s="20">
        <v>0</v>
      </c>
      <c r="BY13" s="20"/>
      <c r="BZ13" s="20"/>
      <c r="CA13" s="20"/>
      <c r="CB13" s="20"/>
      <c r="CC13" s="20"/>
      <c r="CD13" s="20"/>
      <c r="CE13" s="20"/>
    </row>
    <row r="14" spans="1:114" s="3" customFormat="1" ht="15.6" customHeight="1">
      <c r="A14" s="53" t="s">
        <v>170</v>
      </c>
      <c r="B14" s="94" t="s">
        <v>42</v>
      </c>
      <c r="C14" s="20"/>
      <c r="D14" s="20">
        <v>15</v>
      </c>
      <c r="E14" s="20">
        <v>13</v>
      </c>
      <c r="F14" s="20">
        <v>2</v>
      </c>
      <c r="G14" s="20">
        <v>5</v>
      </c>
      <c r="H14" s="20">
        <v>5</v>
      </c>
      <c r="I14" s="20">
        <v>0</v>
      </c>
      <c r="J14" s="20">
        <v>5</v>
      </c>
      <c r="K14" s="20">
        <v>4</v>
      </c>
      <c r="L14" s="20">
        <v>1</v>
      </c>
      <c r="M14" s="20">
        <v>5</v>
      </c>
      <c r="N14" s="20">
        <v>4</v>
      </c>
      <c r="O14" s="20">
        <v>1</v>
      </c>
      <c r="P14" s="20">
        <v>280</v>
      </c>
      <c r="Q14" s="20">
        <v>257</v>
      </c>
      <c r="R14" s="20">
        <v>23</v>
      </c>
      <c r="S14" s="20">
        <v>67</v>
      </c>
      <c r="T14" s="20">
        <v>67</v>
      </c>
      <c r="U14" s="20">
        <v>0</v>
      </c>
      <c r="V14" s="20">
        <v>111</v>
      </c>
      <c r="W14" s="20">
        <v>107</v>
      </c>
      <c r="X14" s="20">
        <v>4</v>
      </c>
      <c r="Y14" s="20">
        <v>102</v>
      </c>
      <c r="Z14" s="20">
        <v>83</v>
      </c>
      <c r="AA14" s="20">
        <v>19</v>
      </c>
      <c r="AB14" s="20">
        <v>1190</v>
      </c>
      <c r="AC14" s="20">
        <v>1068</v>
      </c>
      <c r="AD14" s="20">
        <v>122</v>
      </c>
      <c r="AE14" s="20">
        <v>384</v>
      </c>
      <c r="AF14" s="20">
        <v>384</v>
      </c>
      <c r="AG14" s="20">
        <v>0</v>
      </c>
      <c r="AH14" s="20">
        <v>392</v>
      </c>
      <c r="AI14" s="20">
        <v>360</v>
      </c>
      <c r="AJ14" s="20">
        <v>32</v>
      </c>
      <c r="AK14" s="20">
        <v>414</v>
      </c>
      <c r="AL14" s="20">
        <v>324</v>
      </c>
      <c r="AM14" s="20">
        <v>90</v>
      </c>
      <c r="AN14" s="20"/>
      <c r="AO14" s="20">
        <v>59</v>
      </c>
      <c r="AP14" s="20">
        <v>24</v>
      </c>
      <c r="AQ14" s="20">
        <v>35</v>
      </c>
      <c r="AR14" s="20">
        <v>0</v>
      </c>
      <c r="AS14" s="20">
        <v>0</v>
      </c>
      <c r="AT14" s="20">
        <v>0</v>
      </c>
      <c r="AU14" s="20">
        <v>11</v>
      </c>
      <c r="AV14" s="20">
        <v>4</v>
      </c>
      <c r="AW14" s="20">
        <v>7</v>
      </c>
      <c r="AX14" s="20">
        <v>48</v>
      </c>
      <c r="AY14" s="20">
        <v>20</v>
      </c>
      <c r="AZ14" s="20">
        <v>28</v>
      </c>
      <c r="BA14" s="20">
        <v>12041</v>
      </c>
      <c r="BB14" s="20">
        <v>5601</v>
      </c>
      <c r="BC14" s="20">
        <v>6440</v>
      </c>
      <c r="BD14" s="20">
        <v>76</v>
      </c>
      <c r="BE14" s="20">
        <v>76</v>
      </c>
      <c r="BF14" s="20">
        <v>0</v>
      </c>
      <c r="BG14" s="20">
        <v>2000</v>
      </c>
      <c r="BH14" s="20">
        <v>702</v>
      </c>
      <c r="BI14" s="20">
        <v>1298</v>
      </c>
      <c r="BJ14" s="20">
        <v>9965</v>
      </c>
      <c r="BK14" s="20">
        <v>4823</v>
      </c>
      <c r="BL14" s="20">
        <v>5142</v>
      </c>
      <c r="BM14" s="20">
        <v>67994</v>
      </c>
      <c r="BN14" s="20">
        <v>31314</v>
      </c>
      <c r="BO14" s="20">
        <v>36680</v>
      </c>
      <c r="BP14" s="20">
        <v>71</v>
      </c>
      <c r="BQ14" s="20">
        <v>71</v>
      </c>
      <c r="BR14" s="20">
        <v>0</v>
      </c>
      <c r="BS14" s="20">
        <v>11064</v>
      </c>
      <c r="BT14" s="20">
        <v>3751</v>
      </c>
      <c r="BU14" s="20">
        <v>7313</v>
      </c>
      <c r="BV14" s="20">
        <v>56859</v>
      </c>
      <c r="BW14" s="20">
        <v>27492</v>
      </c>
      <c r="BX14" s="20">
        <v>29367</v>
      </c>
      <c r="BY14" s="20"/>
      <c r="BZ14" s="20"/>
      <c r="CA14" s="20"/>
      <c r="CB14" s="20"/>
      <c r="CC14" s="20"/>
      <c r="CD14" s="20"/>
      <c r="CE14" s="20"/>
    </row>
    <row r="15" spans="1:114" s="3" customFormat="1" ht="15.6" customHeight="1">
      <c r="A15" s="53" t="s">
        <v>156</v>
      </c>
      <c r="B15" s="94" t="s">
        <v>11</v>
      </c>
      <c r="C15" s="20"/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/>
      <c r="AO15" s="20">
        <v>34</v>
      </c>
      <c r="AP15" s="20">
        <v>12</v>
      </c>
      <c r="AQ15" s="20">
        <v>22</v>
      </c>
      <c r="AR15" s="20">
        <v>1</v>
      </c>
      <c r="AS15" s="20">
        <v>0</v>
      </c>
      <c r="AT15" s="20">
        <v>1</v>
      </c>
      <c r="AU15" s="20">
        <v>1</v>
      </c>
      <c r="AV15" s="20">
        <v>0</v>
      </c>
      <c r="AW15" s="20">
        <v>1</v>
      </c>
      <c r="AX15" s="20">
        <v>32</v>
      </c>
      <c r="AY15" s="20">
        <v>12</v>
      </c>
      <c r="AZ15" s="20">
        <v>20</v>
      </c>
      <c r="BA15" s="20">
        <v>6014</v>
      </c>
      <c r="BB15" s="20">
        <v>2137</v>
      </c>
      <c r="BC15" s="20">
        <v>3877</v>
      </c>
      <c r="BD15" s="20">
        <v>307</v>
      </c>
      <c r="BE15" s="20">
        <v>37</v>
      </c>
      <c r="BF15" s="20">
        <v>270</v>
      </c>
      <c r="BG15" s="20">
        <v>23</v>
      </c>
      <c r="BH15" s="20">
        <v>0</v>
      </c>
      <c r="BI15" s="20">
        <v>23</v>
      </c>
      <c r="BJ15" s="20">
        <v>5684</v>
      </c>
      <c r="BK15" s="20">
        <v>2100</v>
      </c>
      <c r="BL15" s="20">
        <v>3584</v>
      </c>
      <c r="BM15" s="20">
        <v>36049</v>
      </c>
      <c r="BN15" s="20">
        <v>11228</v>
      </c>
      <c r="BO15" s="20">
        <v>24821</v>
      </c>
      <c r="BP15" s="20">
        <v>526</v>
      </c>
      <c r="BQ15" s="20">
        <v>50</v>
      </c>
      <c r="BR15" s="20">
        <v>476</v>
      </c>
      <c r="BS15" s="20">
        <v>234</v>
      </c>
      <c r="BT15" s="20">
        <v>0</v>
      </c>
      <c r="BU15" s="20">
        <v>234</v>
      </c>
      <c r="BV15" s="20">
        <v>35289</v>
      </c>
      <c r="BW15" s="20">
        <v>11178</v>
      </c>
      <c r="BX15" s="20">
        <v>24111</v>
      </c>
      <c r="BY15" s="20"/>
      <c r="BZ15" s="20"/>
      <c r="CA15" s="20"/>
      <c r="CB15" s="20"/>
      <c r="CC15" s="20"/>
      <c r="CD15" s="20"/>
      <c r="CE15" s="20"/>
    </row>
    <row r="16" spans="1:114" s="3" customFormat="1" ht="15.6" customHeight="1">
      <c r="A16" s="53" t="s">
        <v>157</v>
      </c>
      <c r="B16" s="94" t="s">
        <v>12</v>
      </c>
      <c r="C16" s="20"/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/>
      <c r="AO16" s="20">
        <v>35</v>
      </c>
      <c r="AP16" s="20">
        <v>10</v>
      </c>
      <c r="AQ16" s="20">
        <v>25</v>
      </c>
      <c r="AR16" s="20">
        <v>2</v>
      </c>
      <c r="AS16" s="20">
        <v>1</v>
      </c>
      <c r="AT16" s="20">
        <v>1</v>
      </c>
      <c r="AU16" s="20">
        <v>10</v>
      </c>
      <c r="AV16" s="20">
        <v>4</v>
      </c>
      <c r="AW16" s="20">
        <v>6</v>
      </c>
      <c r="AX16" s="20">
        <v>23</v>
      </c>
      <c r="AY16" s="20">
        <v>5</v>
      </c>
      <c r="AZ16" s="20">
        <v>18</v>
      </c>
      <c r="BA16" s="20">
        <v>2989</v>
      </c>
      <c r="BB16" s="20">
        <v>929</v>
      </c>
      <c r="BC16" s="20">
        <v>2060</v>
      </c>
      <c r="BD16" s="20">
        <v>277</v>
      </c>
      <c r="BE16" s="20">
        <v>134</v>
      </c>
      <c r="BF16" s="20">
        <v>143</v>
      </c>
      <c r="BG16" s="20">
        <v>1177</v>
      </c>
      <c r="BH16" s="20">
        <v>545</v>
      </c>
      <c r="BI16" s="20">
        <v>632</v>
      </c>
      <c r="BJ16" s="20">
        <v>1535</v>
      </c>
      <c r="BK16" s="20">
        <v>250</v>
      </c>
      <c r="BL16" s="20">
        <v>1285</v>
      </c>
      <c r="BM16" s="20">
        <v>6075</v>
      </c>
      <c r="BN16" s="20">
        <v>1603</v>
      </c>
      <c r="BO16" s="20">
        <v>4472</v>
      </c>
      <c r="BP16" s="20">
        <v>375</v>
      </c>
      <c r="BQ16" s="20">
        <v>200</v>
      </c>
      <c r="BR16" s="20">
        <v>175</v>
      </c>
      <c r="BS16" s="20">
        <v>2181</v>
      </c>
      <c r="BT16" s="20">
        <v>700</v>
      </c>
      <c r="BU16" s="20">
        <v>1481</v>
      </c>
      <c r="BV16" s="20">
        <v>3519</v>
      </c>
      <c r="BW16" s="20">
        <v>703</v>
      </c>
      <c r="BX16" s="20">
        <v>2816</v>
      </c>
      <c r="BY16" s="20"/>
      <c r="BZ16" s="20"/>
      <c r="CA16" s="20"/>
      <c r="CB16" s="20"/>
      <c r="CC16" s="20"/>
      <c r="CD16" s="20"/>
      <c r="CE16" s="20"/>
    </row>
    <row r="17" spans="1:114" s="3" customFormat="1" ht="15.6" customHeight="1">
      <c r="A17" s="53" t="s">
        <v>158</v>
      </c>
      <c r="B17" s="94" t="s">
        <v>13</v>
      </c>
      <c r="C17" s="20"/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/>
      <c r="AO17" s="20">
        <v>82</v>
      </c>
      <c r="AP17" s="20">
        <v>33</v>
      </c>
      <c r="AQ17" s="20">
        <v>49</v>
      </c>
      <c r="AR17" s="20">
        <v>4</v>
      </c>
      <c r="AS17" s="20">
        <v>4</v>
      </c>
      <c r="AT17" s="20">
        <v>0</v>
      </c>
      <c r="AU17" s="20">
        <v>17</v>
      </c>
      <c r="AV17" s="20">
        <v>6</v>
      </c>
      <c r="AW17" s="20">
        <v>11</v>
      </c>
      <c r="AX17" s="20">
        <v>61</v>
      </c>
      <c r="AY17" s="20">
        <v>23</v>
      </c>
      <c r="AZ17" s="20">
        <v>38</v>
      </c>
      <c r="BA17" s="20">
        <v>9838</v>
      </c>
      <c r="BB17" s="20">
        <v>3669</v>
      </c>
      <c r="BC17" s="20">
        <v>6169</v>
      </c>
      <c r="BD17" s="20">
        <v>629</v>
      </c>
      <c r="BE17" s="20">
        <v>461</v>
      </c>
      <c r="BF17" s="20">
        <v>168</v>
      </c>
      <c r="BG17" s="20">
        <v>1963</v>
      </c>
      <c r="BH17" s="20">
        <v>600</v>
      </c>
      <c r="BI17" s="20">
        <v>1363</v>
      </c>
      <c r="BJ17" s="20">
        <v>7246</v>
      </c>
      <c r="BK17" s="20">
        <v>2608</v>
      </c>
      <c r="BL17" s="20">
        <v>4638</v>
      </c>
      <c r="BM17" s="20">
        <v>29501</v>
      </c>
      <c r="BN17" s="20">
        <v>11865</v>
      </c>
      <c r="BO17" s="20">
        <v>17636</v>
      </c>
      <c r="BP17" s="20">
        <v>2768</v>
      </c>
      <c r="BQ17" s="20">
        <v>2237</v>
      </c>
      <c r="BR17" s="20">
        <v>531</v>
      </c>
      <c r="BS17" s="20">
        <v>6959</v>
      </c>
      <c r="BT17" s="20">
        <v>2048</v>
      </c>
      <c r="BU17" s="20">
        <v>4911</v>
      </c>
      <c r="BV17" s="20">
        <v>19774</v>
      </c>
      <c r="BW17" s="20">
        <v>7580</v>
      </c>
      <c r="BX17" s="20">
        <v>12194</v>
      </c>
      <c r="BY17" s="20"/>
      <c r="BZ17" s="20"/>
      <c r="CA17" s="20"/>
      <c r="CB17" s="20"/>
      <c r="CC17" s="20"/>
      <c r="CD17" s="20"/>
      <c r="CE17" s="20"/>
    </row>
    <row r="18" spans="1:114" s="3" customFormat="1" ht="15.6" customHeight="1">
      <c r="A18" s="53" t="s">
        <v>159</v>
      </c>
      <c r="B18" s="94" t="s">
        <v>14</v>
      </c>
      <c r="C18" s="20"/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/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0</v>
      </c>
      <c r="BM18" s="20">
        <v>0</v>
      </c>
      <c r="BN18" s="20">
        <v>0</v>
      </c>
      <c r="BO18" s="20">
        <v>0</v>
      </c>
      <c r="BP18" s="20">
        <v>0</v>
      </c>
      <c r="BQ18" s="20">
        <v>0</v>
      </c>
      <c r="BR18" s="20">
        <v>0</v>
      </c>
      <c r="BS18" s="20">
        <v>0</v>
      </c>
      <c r="BT18" s="20">
        <v>0</v>
      </c>
      <c r="BU18" s="20">
        <v>0</v>
      </c>
      <c r="BV18" s="20">
        <v>0</v>
      </c>
      <c r="BW18" s="20">
        <v>0</v>
      </c>
      <c r="BX18" s="20">
        <v>0</v>
      </c>
      <c r="BY18" s="20"/>
      <c r="BZ18" s="20"/>
      <c r="CA18" s="20"/>
      <c r="CB18" s="20"/>
      <c r="CC18" s="20"/>
      <c r="CD18" s="20"/>
      <c r="CE18" s="20"/>
    </row>
    <row r="19" spans="1:114" s="3" customFormat="1" ht="15.6" customHeight="1">
      <c r="A19" s="53" t="s">
        <v>171</v>
      </c>
      <c r="B19" s="94" t="s">
        <v>43</v>
      </c>
      <c r="C19" s="20"/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20">
        <v>0</v>
      </c>
      <c r="AM19" s="20">
        <v>0</v>
      </c>
      <c r="AN19" s="20"/>
      <c r="AO19" s="20">
        <v>0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0</v>
      </c>
      <c r="AY19" s="20">
        <v>0</v>
      </c>
      <c r="AZ19" s="20">
        <v>0</v>
      </c>
      <c r="BA19" s="20">
        <v>0</v>
      </c>
      <c r="BB19" s="20">
        <v>0</v>
      </c>
      <c r="BC19" s="20">
        <v>0</v>
      </c>
      <c r="BD19" s="20">
        <v>0</v>
      </c>
      <c r="BE19" s="20">
        <v>0</v>
      </c>
      <c r="BF19" s="20">
        <v>0</v>
      </c>
      <c r="BG19" s="20">
        <v>0</v>
      </c>
      <c r="BH19" s="20">
        <v>0</v>
      </c>
      <c r="BI19" s="20">
        <v>0</v>
      </c>
      <c r="BJ19" s="20">
        <v>0</v>
      </c>
      <c r="BK19" s="20">
        <v>0</v>
      </c>
      <c r="BL19" s="20">
        <v>0</v>
      </c>
      <c r="BM19" s="20">
        <v>0</v>
      </c>
      <c r="BN19" s="20">
        <v>0</v>
      </c>
      <c r="BO19" s="20">
        <v>0</v>
      </c>
      <c r="BP19" s="20">
        <v>0</v>
      </c>
      <c r="BQ19" s="20">
        <v>0</v>
      </c>
      <c r="BR19" s="20">
        <v>0</v>
      </c>
      <c r="BS19" s="20">
        <v>0</v>
      </c>
      <c r="BT19" s="20">
        <v>0</v>
      </c>
      <c r="BU19" s="20">
        <v>0</v>
      </c>
      <c r="BV19" s="20">
        <v>0</v>
      </c>
      <c r="BW19" s="20">
        <v>0</v>
      </c>
      <c r="BX19" s="20">
        <v>0</v>
      </c>
      <c r="BY19" s="20"/>
      <c r="BZ19" s="20"/>
      <c r="CA19" s="20"/>
      <c r="CB19" s="20"/>
      <c r="CC19" s="20"/>
      <c r="CD19" s="20"/>
      <c r="CE19" s="20"/>
    </row>
    <row r="20" spans="1:114" s="3" customFormat="1" ht="15.6" customHeight="1">
      <c r="A20" s="53" t="s">
        <v>172</v>
      </c>
      <c r="B20" s="94" t="s">
        <v>44</v>
      </c>
      <c r="C20" s="20"/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/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  <c r="AX20" s="20">
        <v>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0">
        <v>0</v>
      </c>
      <c r="BJ20" s="20">
        <v>0</v>
      </c>
      <c r="BK20" s="20">
        <v>0</v>
      </c>
      <c r="BL20" s="20">
        <v>0</v>
      </c>
      <c r="BM20" s="20">
        <v>0</v>
      </c>
      <c r="BN20" s="20">
        <v>0</v>
      </c>
      <c r="BO20" s="20">
        <v>0</v>
      </c>
      <c r="BP20" s="20">
        <v>0</v>
      </c>
      <c r="BQ20" s="20">
        <v>0</v>
      </c>
      <c r="BR20" s="20">
        <v>0</v>
      </c>
      <c r="BS20" s="20">
        <v>0</v>
      </c>
      <c r="BT20" s="20">
        <v>0</v>
      </c>
      <c r="BU20" s="20">
        <v>0</v>
      </c>
      <c r="BV20" s="20">
        <v>0</v>
      </c>
      <c r="BW20" s="20">
        <v>0</v>
      </c>
      <c r="BX20" s="20">
        <v>0</v>
      </c>
      <c r="BY20" s="20"/>
      <c r="BZ20" s="20"/>
      <c r="CA20" s="20"/>
      <c r="CB20" s="20"/>
      <c r="CC20" s="20"/>
      <c r="CD20" s="20"/>
      <c r="CE20" s="20"/>
    </row>
    <row r="21" spans="1:114" s="3" customFormat="1" ht="15.6" customHeight="1">
      <c r="A21" s="53" t="s">
        <v>160</v>
      </c>
      <c r="B21" s="94" t="s">
        <v>15</v>
      </c>
      <c r="C21" s="20"/>
      <c r="D21" s="20">
        <v>3</v>
      </c>
      <c r="E21" s="20">
        <v>2</v>
      </c>
      <c r="F21" s="20">
        <v>1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3</v>
      </c>
      <c r="N21" s="20">
        <v>2</v>
      </c>
      <c r="O21" s="20">
        <v>1</v>
      </c>
      <c r="P21" s="20">
        <v>90</v>
      </c>
      <c r="Q21" s="20">
        <v>67</v>
      </c>
      <c r="R21" s="20">
        <v>23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90</v>
      </c>
      <c r="Z21" s="20">
        <v>67</v>
      </c>
      <c r="AA21" s="20">
        <v>23</v>
      </c>
      <c r="AB21" s="20">
        <v>720</v>
      </c>
      <c r="AC21" s="20">
        <v>536</v>
      </c>
      <c r="AD21" s="20">
        <v>184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720</v>
      </c>
      <c r="AL21" s="20">
        <v>536</v>
      </c>
      <c r="AM21" s="20">
        <v>184</v>
      </c>
      <c r="AN21" s="20"/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0</v>
      </c>
      <c r="AY21" s="20">
        <v>0</v>
      </c>
      <c r="AZ21" s="20">
        <v>0</v>
      </c>
      <c r="BA21" s="20">
        <v>0</v>
      </c>
      <c r="BB21" s="20">
        <v>0</v>
      </c>
      <c r="BC21" s="20">
        <v>0</v>
      </c>
      <c r="BD21" s="20">
        <v>0</v>
      </c>
      <c r="BE21" s="20">
        <v>0</v>
      </c>
      <c r="BF21" s="20">
        <v>0</v>
      </c>
      <c r="BG21" s="20">
        <v>0</v>
      </c>
      <c r="BH21" s="20">
        <v>0</v>
      </c>
      <c r="BI21" s="20">
        <v>0</v>
      </c>
      <c r="BJ21" s="20">
        <v>0</v>
      </c>
      <c r="BK21" s="20">
        <v>0</v>
      </c>
      <c r="BL21" s="20">
        <v>0</v>
      </c>
      <c r="BM21" s="20">
        <v>0</v>
      </c>
      <c r="BN21" s="20">
        <v>0</v>
      </c>
      <c r="BO21" s="20">
        <v>0</v>
      </c>
      <c r="BP21" s="20">
        <v>0</v>
      </c>
      <c r="BQ21" s="20">
        <v>0</v>
      </c>
      <c r="BR21" s="20">
        <v>0</v>
      </c>
      <c r="BS21" s="20">
        <v>0</v>
      </c>
      <c r="BT21" s="20">
        <v>0</v>
      </c>
      <c r="BU21" s="20">
        <v>0</v>
      </c>
      <c r="BV21" s="20">
        <v>0</v>
      </c>
      <c r="BW21" s="20">
        <v>0</v>
      </c>
      <c r="BX21" s="20">
        <v>0</v>
      </c>
      <c r="BY21" s="20"/>
      <c r="BZ21" s="20"/>
      <c r="CA21" s="20"/>
      <c r="CB21" s="20"/>
      <c r="CC21" s="20"/>
      <c r="CD21" s="20"/>
      <c r="CE21" s="20"/>
    </row>
    <row r="22" spans="1:114" s="3" customFormat="1" ht="15.6" customHeight="1">
      <c r="A22" s="53" t="s">
        <v>161</v>
      </c>
      <c r="B22" s="94" t="s">
        <v>16</v>
      </c>
      <c r="C22" s="20"/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/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0">
        <v>0</v>
      </c>
      <c r="BJ22" s="20">
        <v>0</v>
      </c>
      <c r="BK22" s="20">
        <v>0</v>
      </c>
      <c r="BL22" s="20">
        <v>0</v>
      </c>
      <c r="BM22" s="20">
        <v>0</v>
      </c>
      <c r="BN22" s="20">
        <v>0</v>
      </c>
      <c r="BO22" s="20">
        <v>0</v>
      </c>
      <c r="BP22" s="20">
        <v>0</v>
      </c>
      <c r="BQ22" s="20">
        <v>0</v>
      </c>
      <c r="BR22" s="20">
        <v>0</v>
      </c>
      <c r="BS22" s="20">
        <v>0</v>
      </c>
      <c r="BT22" s="20">
        <v>0</v>
      </c>
      <c r="BU22" s="20">
        <v>0</v>
      </c>
      <c r="BV22" s="20">
        <v>0</v>
      </c>
      <c r="BW22" s="20">
        <v>0</v>
      </c>
      <c r="BX22" s="20">
        <v>0</v>
      </c>
      <c r="BY22" s="20"/>
      <c r="BZ22" s="20"/>
      <c r="CA22" s="20"/>
      <c r="CB22" s="20"/>
      <c r="CC22" s="20"/>
      <c r="CD22" s="20"/>
      <c r="CE22" s="20"/>
    </row>
    <row r="23" spans="1:114" s="3" customFormat="1" ht="15.6" customHeight="1">
      <c r="A23" s="53" t="s">
        <v>162</v>
      </c>
      <c r="B23" s="94" t="s">
        <v>17</v>
      </c>
      <c r="C23" s="20"/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/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0</v>
      </c>
      <c r="AV23" s="20">
        <v>0</v>
      </c>
      <c r="AW23" s="20">
        <v>0</v>
      </c>
      <c r="AX23" s="20">
        <v>0</v>
      </c>
      <c r="AY23" s="20">
        <v>0</v>
      </c>
      <c r="AZ23" s="20">
        <v>0</v>
      </c>
      <c r="BA23" s="20">
        <v>0</v>
      </c>
      <c r="BB23" s="20">
        <v>0</v>
      </c>
      <c r="BC23" s="20">
        <v>0</v>
      </c>
      <c r="BD23" s="20">
        <v>0</v>
      </c>
      <c r="BE23" s="20">
        <v>0</v>
      </c>
      <c r="BF23" s="20">
        <v>0</v>
      </c>
      <c r="BG23" s="20">
        <v>0</v>
      </c>
      <c r="BH23" s="20">
        <v>0</v>
      </c>
      <c r="BI23" s="20">
        <v>0</v>
      </c>
      <c r="BJ23" s="20">
        <v>0</v>
      </c>
      <c r="BK23" s="20">
        <v>0</v>
      </c>
      <c r="BL23" s="20">
        <v>0</v>
      </c>
      <c r="BM23" s="20">
        <v>0</v>
      </c>
      <c r="BN23" s="20">
        <v>0</v>
      </c>
      <c r="BO23" s="20">
        <v>0</v>
      </c>
      <c r="BP23" s="20">
        <v>0</v>
      </c>
      <c r="BQ23" s="20">
        <v>0</v>
      </c>
      <c r="BR23" s="20">
        <v>0</v>
      </c>
      <c r="BS23" s="20">
        <v>0</v>
      </c>
      <c r="BT23" s="20">
        <v>0</v>
      </c>
      <c r="BU23" s="20">
        <v>0</v>
      </c>
      <c r="BV23" s="20">
        <v>0</v>
      </c>
      <c r="BW23" s="20">
        <v>0</v>
      </c>
      <c r="BX23" s="20">
        <v>0</v>
      </c>
      <c r="BY23" s="20"/>
      <c r="BZ23" s="20"/>
      <c r="CA23" s="20"/>
      <c r="CB23" s="20"/>
      <c r="CC23" s="20"/>
      <c r="CD23" s="20"/>
      <c r="CE23" s="20"/>
    </row>
    <row r="24" spans="1:114" s="3" customFormat="1" ht="15.6" customHeight="1">
      <c r="A24" s="53" t="s">
        <v>163</v>
      </c>
      <c r="B24" s="94" t="s">
        <v>18</v>
      </c>
      <c r="C24" s="20"/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/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0</v>
      </c>
      <c r="BB24" s="20">
        <v>0</v>
      </c>
      <c r="BC24" s="20">
        <v>0</v>
      </c>
      <c r="BD24" s="20">
        <v>0</v>
      </c>
      <c r="BE24" s="20">
        <v>0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  <c r="BK24" s="20">
        <v>0</v>
      </c>
      <c r="BL24" s="20">
        <v>0</v>
      </c>
      <c r="BM24" s="20">
        <v>0</v>
      </c>
      <c r="BN24" s="20">
        <v>0</v>
      </c>
      <c r="BO24" s="20">
        <v>0</v>
      </c>
      <c r="BP24" s="20">
        <v>0</v>
      </c>
      <c r="BQ24" s="20">
        <v>0</v>
      </c>
      <c r="BR24" s="20">
        <v>0</v>
      </c>
      <c r="BS24" s="20">
        <v>0</v>
      </c>
      <c r="BT24" s="20">
        <v>0</v>
      </c>
      <c r="BU24" s="20">
        <v>0</v>
      </c>
      <c r="BV24" s="20">
        <v>0</v>
      </c>
      <c r="BW24" s="20">
        <v>0</v>
      </c>
      <c r="BX24" s="20">
        <v>0</v>
      </c>
      <c r="BY24" s="20"/>
      <c r="BZ24" s="20"/>
      <c r="CA24" s="20"/>
      <c r="CB24" s="20"/>
      <c r="CC24" s="20"/>
      <c r="CD24" s="20"/>
      <c r="CE24" s="20"/>
    </row>
    <row r="25" spans="1:114" s="3" customFormat="1" ht="15.6" customHeight="1">
      <c r="A25" s="53" t="s">
        <v>164</v>
      </c>
      <c r="B25" s="94" t="s">
        <v>19</v>
      </c>
      <c r="C25" s="20"/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/>
      <c r="AO25" s="20">
        <v>17</v>
      </c>
      <c r="AP25" s="20">
        <v>12</v>
      </c>
      <c r="AQ25" s="20">
        <v>5</v>
      </c>
      <c r="AR25" s="20">
        <v>10</v>
      </c>
      <c r="AS25" s="20">
        <v>6</v>
      </c>
      <c r="AT25" s="20">
        <v>4</v>
      </c>
      <c r="AU25" s="20">
        <v>4</v>
      </c>
      <c r="AV25" s="20">
        <v>4</v>
      </c>
      <c r="AW25" s="20">
        <v>0</v>
      </c>
      <c r="AX25" s="20">
        <v>3</v>
      </c>
      <c r="AY25" s="20">
        <v>2</v>
      </c>
      <c r="AZ25" s="20">
        <v>1</v>
      </c>
      <c r="BA25" s="20">
        <v>198</v>
      </c>
      <c r="BB25" s="20">
        <v>161</v>
      </c>
      <c r="BC25" s="20">
        <v>37</v>
      </c>
      <c r="BD25" s="20">
        <v>79</v>
      </c>
      <c r="BE25" s="20">
        <v>52</v>
      </c>
      <c r="BF25" s="20">
        <v>27</v>
      </c>
      <c r="BG25" s="20">
        <v>77</v>
      </c>
      <c r="BH25" s="20">
        <v>77</v>
      </c>
      <c r="BI25" s="20">
        <v>0</v>
      </c>
      <c r="BJ25" s="20">
        <v>42</v>
      </c>
      <c r="BK25" s="20">
        <v>32</v>
      </c>
      <c r="BL25" s="20">
        <v>10</v>
      </c>
      <c r="BM25" s="20">
        <v>1434</v>
      </c>
      <c r="BN25" s="20">
        <v>1242</v>
      </c>
      <c r="BO25" s="20">
        <v>192</v>
      </c>
      <c r="BP25" s="20">
        <v>507</v>
      </c>
      <c r="BQ25" s="20">
        <v>394</v>
      </c>
      <c r="BR25" s="20">
        <v>113</v>
      </c>
      <c r="BS25" s="20">
        <v>611</v>
      </c>
      <c r="BT25" s="20">
        <v>611</v>
      </c>
      <c r="BU25" s="20">
        <v>0</v>
      </c>
      <c r="BV25" s="20">
        <v>316</v>
      </c>
      <c r="BW25" s="20">
        <v>237</v>
      </c>
      <c r="BX25" s="20">
        <v>79</v>
      </c>
      <c r="BY25" s="20"/>
      <c r="BZ25" s="20"/>
      <c r="CA25" s="20"/>
      <c r="CB25" s="20"/>
      <c r="CC25" s="20"/>
      <c r="CD25" s="20"/>
      <c r="CE25" s="20"/>
    </row>
    <row r="26" spans="1:114" s="3" customFormat="1" ht="15.6" customHeight="1">
      <c r="A26" s="53" t="s">
        <v>165</v>
      </c>
      <c r="B26" s="94" t="s">
        <v>20</v>
      </c>
      <c r="C26" s="20"/>
      <c r="D26" s="20">
        <v>4</v>
      </c>
      <c r="E26" s="20">
        <v>1</v>
      </c>
      <c r="F26" s="20">
        <v>3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4</v>
      </c>
      <c r="N26" s="20">
        <v>1</v>
      </c>
      <c r="O26" s="20">
        <v>3</v>
      </c>
      <c r="P26" s="20">
        <v>200</v>
      </c>
      <c r="Q26" s="20">
        <v>58</v>
      </c>
      <c r="R26" s="20">
        <v>142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200</v>
      </c>
      <c r="Z26" s="20">
        <v>58</v>
      </c>
      <c r="AA26" s="20">
        <v>142</v>
      </c>
      <c r="AB26" s="20">
        <v>1800</v>
      </c>
      <c r="AC26" s="20">
        <v>522</v>
      </c>
      <c r="AD26" s="20">
        <v>1278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1800</v>
      </c>
      <c r="AL26" s="20">
        <v>522</v>
      </c>
      <c r="AM26" s="20">
        <v>1278</v>
      </c>
      <c r="AN26" s="20"/>
      <c r="AO26" s="20">
        <v>23</v>
      </c>
      <c r="AP26" s="20">
        <v>4</v>
      </c>
      <c r="AQ26" s="20">
        <v>19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23</v>
      </c>
      <c r="AY26" s="20">
        <v>4</v>
      </c>
      <c r="AZ26" s="20">
        <v>19</v>
      </c>
      <c r="BA26" s="20">
        <v>5163</v>
      </c>
      <c r="BB26" s="20">
        <v>1027</v>
      </c>
      <c r="BC26" s="20">
        <v>4136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5163</v>
      </c>
      <c r="BK26" s="20">
        <v>1027</v>
      </c>
      <c r="BL26" s="20">
        <v>4136</v>
      </c>
      <c r="BM26" s="20">
        <v>40995</v>
      </c>
      <c r="BN26" s="20">
        <v>8191</v>
      </c>
      <c r="BO26" s="20">
        <v>32804</v>
      </c>
      <c r="BP26" s="20">
        <v>0</v>
      </c>
      <c r="BQ26" s="20">
        <v>0</v>
      </c>
      <c r="BR26" s="20">
        <v>0</v>
      </c>
      <c r="BS26" s="20">
        <v>0</v>
      </c>
      <c r="BT26" s="20">
        <v>0</v>
      </c>
      <c r="BU26" s="20">
        <v>0</v>
      </c>
      <c r="BV26" s="20">
        <v>40995</v>
      </c>
      <c r="BW26" s="20">
        <v>8191</v>
      </c>
      <c r="BX26" s="20">
        <v>32804</v>
      </c>
      <c r="BY26" s="20"/>
      <c r="BZ26" s="20"/>
      <c r="CA26" s="20"/>
      <c r="CB26" s="20"/>
      <c r="CC26" s="20"/>
      <c r="CD26" s="20"/>
      <c r="CE26" s="20"/>
    </row>
    <row r="27" spans="1:114" s="3" customFormat="1" ht="15.6" customHeight="1">
      <c r="A27" s="53" t="s">
        <v>173</v>
      </c>
      <c r="B27" s="94" t="s">
        <v>4</v>
      </c>
      <c r="C27" s="20"/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20">
        <v>0</v>
      </c>
      <c r="Z27" s="20">
        <v>0</v>
      </c>
      <c r="AA27" s="20">
        <v>0</v>
      </c>
      <c r="AB27" s="20">
        <v>0</v>
      </c>
      <c r="AC27" s="20">
        <v>0</v>
      </c>
      <c r="AD27" s="20">
        <v>0</v>
      </c>
      <c r="AE27" s="20">
        <v>0</v>
      </c>
      <c r="AF27" s="20">
        <v>0</v>
      </c>
      <c r="AG27" s="20">
        <v>0</v>
      </c>
      <c r="AH27" s="20">
        <v>0</v>
      </c>
      <c r="AI27" s="20">
        <v>0</v>
      </c>
      <c r="AJ27" s="20">
        <v>0</v>
      </c>
      <c r="AK27" s="20">
        <v>0</v>
      </c>
      <c r="AL27" s="20">
        <v>0</v>
      </c>
      <c r="AM27" s="20">
        <v>0</v>
      </c>
      <c r="AN27" s="20"/>
      <c r="AO27" s="20">
        <v>63</v>
      </c>
      <c r="AP27" s="20">
        <v>15</v>
      </c>
      <c r="AQ27" s="20">
        <v>48</v>
      </c>
      <c r="AR27" s="20">
        <v>10</v>
      </c>
      <c r="AS27" s="20">
        <v>1</v>
      </c>
      <c r="AT27" s="20">
        <v>9</v>
      </c>
      <c r="AU27" s="20">
        <v>0</v>
      </c>
      <c r="AV27" s="20">
        <v>0</v>
      </c>
      <c r="AW27" s="20">
        <v>0</v>
      </c>
      <c r="AX27" s="20">
        <v>53</v>
      </c>
      <c r="AY27" s="20">
        <v>14</v>
      </c>
      <c r="AZ27" s="20">
        <v>39</v>
      </c>
      <c r="BA27" s="20">
        <v>10064</v>
      </c>
      <c r="BB27" s="20">
        <v>2199</v>
      </c>
      <c r="BC27" s="20">
        <v>7865</v>
      </c>
      <c r="BD27" s="20">
        <v>916</v>
      </c>
      <c r="BE27" s="20">
        <v>155</v>
      </c>
      <c r="BF27" s="20">
        <v>761</v>
      </c>
      <c r="BG27" s="20">
        <v>1</v>
      </c>
      <c r="BH27" s="20">
        <v>0</v>
      </c>
      <c r="BI27" s="20">
        <v>1</v>
      </c>
      <c r="BJ27" s="20">
        <v>9147</v>
      </c>
      <c r="BK27" s="20">
        <v>2044</v>
      </c>
      <c r="BL27" s="20">
        <v>7103</v>
      </c>
      <c r="BM27" s="20">
        <v>67808</v>
      </c>
      <c r="BN27" s="20">
        <v>15196</v>
      </c>
      <c r="BO27" s="20">
        <v>52612</v>
      </c>
      <c r="BP27" s="20">
        <v>5928</v>
      </c>
      <c r="BQ27" s="20">
        <v>1240</v>
      </c>
      <c r="BR27" s="20">
        <v>4688</v>
      </c>
      <c r="BS27" s="20">
        <v>8</v>
      </c>
      <c r="BT27" s="20">
        <v>0</v>
      </c>
      <c r="BU27" s="20">
        <v>8</v>
      </c>
      <c r="BV27" s="20">
        <v>61872</v>
      </c>
      <c r="BW27" s="20">
        <v>13956</v>
      </c>
      <c r="BX27" s="20">
        <v>47916</v>
      </c>
      <c r="BY27" s="20"/>
      <c r="BZ27" s="20"/>
      <c r="CA27" s="20"/>
      <c r="CB27" s="20"/>
      <c r="CC27" s="20"/>
      <c r="CD27" s="20"/>
      <c r="CE27" s="20"/>
    </row>
    <row r="28" spans="1:114" s="3" customFormat="1" ht="15.6" customHeight="1">
      <c r="A28" s="53" t="s">
        <v>166</v>
      </c>
      <c r="B28" s="94" t="s">
        <v>21</v>
      </c>
      <c r="C28" s="20"/>
      <c r="D28" s="20">
        <v>5</v>
      </c>
      <c r="E28" s="20">
        <v>1</v>
      </c>
      <c r="F28" s="20">
        <v>4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5</v>
      </c>
      <c r="N28" s="20">
        <v>1</v>
      </c>
      <c r="O28" s="20">
        <v>4</v>
      </c>
      <c r="P28" s="20">
        <v>426</v>
      </c>
      <c r="Q28" s="20">
        <v>124</v>
      </c>
      <c r="R28" s="20">
        <v>302</v>
      </c>
      <c r="S28" s="20">
        <v>30</v>
      </c>
      <c r="T28" s="20">
        <v>0</v>
      </c>
      <c r="U28" s="20">
        <v>30</v>
      </c>
      <c r="V28" s="20">
        <v>0</v>
      </c>
      <c r="W28" s="20">
        <v>0</v>
      </c>
      <c r="X28" s="20">
        <v>0</v>
      </c>
      <c r="Y28" s="20">
        <v>396</v>
      </c>
      <c r="Z28" s="20">
        <v>124</v>
      </c>
      <c r="AA28" s="20">
        <v>272</v>
      </c>
      <c r="AB28" s="20">
        <v>3380</v>
      </c>
      <c r="AC28" s="20">
        <v>992</v>
      </c>
      <c r="AD28" s="20">
        <v>2388</v>
      </c>
      <c r="AE28" s="20">
        <v>240</v>
      </c>
      <c r="AF28" s="20">
        <v>0</v>
      </c>
      <c r="AG28" s="20">
        <v>240</v>
      </c>
      <c r="AH28" s="20">
        <v>0</v>
      </c>
      <c r="AI28" s="20">
        <v>0</v>
      </c>
      <c r="AJ28" s="20">
        <v>0</v>
      </c>
      <c r="AK28" s="20">
        <v>3140</v>
      </c>
      <c r="AL28" s="20">
        <v>992</v>
      </c>
      <c r="AM28" s="20">
        <v>2148</v>
      </c>
      <c r="AN28" s="20"/>
      <c r="AO28" s="20">
        <v>6</v>
      </c>
      <c r="AP28" s="20">
        <v>1</v>
      </c>
      <c r="AQ28" s="20">
        <v>5</v>
      </c>
      <c r="AR28" s="20">
        <v>1</v>
      </c>
      <c r="AS28" s="20">
        <v>0</v>
      </c>
      <c r="AT28" s="20">
        <v>1</v>
      </c>
      <c r="AU28" s="20">
        <v>0</v>
      </c>
      <c r="AV28" s="20">
        <v>0</v>
      </c>
      <c r="AW28" s="20">
        <v>0</v>
      </c>
      <c r="AX28" s="20">
        <v>5</v>
      </c>
      <c r="AY28" s="20">
        <v>1</v>
      </c>
      <c r="AZ28" s="20">
        <v>4</v>
      </c>
      <c r="BA28" s="20">
        <v>749</v>
      </c>
      <c r="BB28" s="20">
        <v>189</v>
      </c>
      <c r="BC28" s="20">
        <v>560</v>
      </c>
      <c r="BD28" s="20">
        <v>68</v>
      </c>
      <c r="BE28" s="20">
        <v>0</v>
      </c>
      <c r="BF28" s="20">
        <v>68</v>
      </c>
      <c r="BG28" s="20">
        <v>0</v>
      </c>
      <c r="BH28" s="20">
        <v>0</v>
      </c>
      <c r="BI28" s="20">
        <v>0</v>
      </c>
      <c r="BJ28" s="20">
        <v>681</v>
      </c>
      <c r="BK28" s="20">
        <v>189</v>
      </c>
      <c r="BL28" s="20">
        <v>492</v>
      </c>
      <c r="BM28" s="20">
        <v>2821</v>
      </c>
      <c r="BN28" s="20">
        <v>810</v>
      </c>
      <c r="BO28" s="20">
        <v>2011</v>
      </c>
      <c r="BP28" s="20">
        <v>408</v>
      </c>
      <c r="BQ28" s="20">
        <v>0</v>
      </c>
      <c r="BR28" s="20">
        <v>408</v>
      </c>
      <c r="BS28" s="20">
        <v>0</v>
      </c>
      <c r="BT28" s="20">
        <v>0</v>
      </c>
      <c r="BU28" s="20">
        <v>0</v>
      </c>
      <c r="BV28" s="20">
        <v>2413</v>
      </c>
      <c r="BW28" s="20">
        <v>810</v>
      </c>
      <c r="BX28" s="20">
        <v>1603</v>
      </c>
      <c r="BY28" s="20"/>
      <c r="BZ28" s="20"/>
      <c r="CA28" s="20"/>
      <c r="CB28" s="20"/>
      <c r="CC28" s="20"/>
      <c r="CD28" s="20"/>
      <c r="CE28" s="20"/>
    </row>
    <row r="29" spans="1:114" s="3" customFormat="1" ht="15.6" customHeight="1">
      <c r="A29" s="53" t="s">
        <v>174</v>
      </c>
      <c r="B29" s="94" t="s">
        <v>5</v>
      </c>
      <c r="C29" s="20"/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0"/>
      <c r="AO29" s="20">
        <v>48</v>
      </c>
      <c r="AP29" s="20">
        <v>14</v>
      </c>
      <c r="AQ29" s="20">
        <v>34</v>
      </c>
      <c r="AR29" s="20">
        <v>5</v>
      </c>
      <c r="AS29" s="20">
        <v>2</v>
      </c>
      <c r="AT29" s="20">
        <v>3</v>
      </c>
      <c r="AU29" s="20">
        <v>12</v>
      </c>
      <c r="AV29" s="20">
        <v>3</v>
      </c>
      <c r="AW29" s="20">
        <v>9</v>
      </c>
      <c r="AX29" s="20">
        <v>31</v>
      </c>
      <c r="AY29" s="20">
        <v>9</v>
      </c>
      <c r="AZ29" s="20">
        <v>22</v>
      </c>
      <c r="BA29" s="20">
        <v>9761</v>
      </c>
      <c r="BB29" s="20">
        <v>2915</v>
      </c>
      <c r="BC29" s="20">
        <v>6846</v>
      </c>
      <c r="BD29" s="20">
        <v>1211</v>
      </c>
      <c r="BE29" s="20">
        <v>311</v>
      </c>
      <c r="BF29" s="20">
        <v>900</v>
      </c>
      <c r="BG29" s="20">
        <v>2564</v>
      </c>
      <c r="BH29" s="20">
        <v>661</v>
      </c>
      <c r="BI29" s="20">
        <v>1903</v>
      </c>
      <c r="BJ29" s="20">
        <v>5986</v>
      </c>
      <c r="BK29" s="20">
        <v>1943</v>
      </c>
      <c r="BL29" s="20">
        <v>4043</v>
      </c>
      <c r="BM29" s="20">
        <v>81147</v>
      </c>
      <c r="BN29" s="20">
        <v>23677</v>
      </c>
      <c r="BO29" s="20">
        <v>57470</v>
      </c>
      <c r="BP29" s="20">
        <v>11348</v>
      </c>
      <c r="BQ29" s="20">
        <v>2880</v>
      </c>
      <c r="BR29" s="20">
        <v>8468</v>
      </c>
      <c r="BS29" s="20">
        <v>20714</v>
      </c>
      <c r="BT29" s="20">
        <v>4346</v>
      </c>
      <c r="BU29" s="20">
        <v>16368</v>
      </c>
      <c r="BV29" s="20">
        <v>49085</v>
      </c>
      <c r="BW29" s="20">
        <v>16451</v>
      </c>
      <c r="BX29" s="20">
        <v>32634</v>
      </c>
      <c r="BY29" s="20"/>
      <c r="BZ29" s="20"/>
      <c r="CA29" s="20"/>
      <c r="CB29" s="20"/>
      <c r="CC29" s="20"/>
      <c r="CD29" s="20"/>
      <c r="CE29" s="20"/>
    </row>
    <row r="30" spans="1:114" s="18" customFormat="1" ht="15.6" customHeight="1">
      <c r="A30" s="52" t="s">
        <v>148</v>
      </c>
      <c r="B30" s="108" t="s">
        <v>3</v>
      </c>
      <c r="C30" s="41"/>
      <c r="D30" s="41">
        <v>6</v>
      </c>
      <c r="E30" s="41">
        <v>3</v>
      </c>
      <c r="F30" s="41">
        <v>3</v>
      </c>
      <c r="G30" s="41">
        <v>0</v>
      </c>
      <c r="H30" s="41">
        <v>0</v>
      </c>
      <c r="I30" s="41">
        <v>0</v>
      </c>
      <c r="J30" s="41">
        <v>0</v>
      </c>
      <c r="K30" s="41">
        <v>0</v>
      </c>
      <c r="L30" s="41">
        <v>0</v>
      </c>
      <c r="M30" s="41">
        <v>6</v>
      </c>
      <c r="N30" s="41">
        <v>3</v>
      </c>
      <c r="O30" s="41">
        <v>3</v>
      </c>
      <c r="P30" s="41">
        <v>1276</v>
      </c>
      <c r="Q30" s="41">
        <v>687</v>
      </c>
      <c r="R30" s="41">
        <v>589</v>
      </c>
      <c r="S30" s="41">
        <v>18</v>
      </c>
      <c r="T30" s="41">
        <v>0</v>
      </c>
      <c r="U30" s="41">
        <v>18</v>
      </c>
      <c r="V30" s="41">
        <v>0</v>
      </c>
      <c r="W30" s="41">
        <v>0</v>
      </c>
      <c r="X30" s="41">
        <v>0</v>
      </c>
      <c r="Y30" s="41">
        <v>1258</v>
      </c>
      <c r="Z30" s="41">
        <v>687</v>
      </c>
      <c r="AA30" s="41">
        <v>571</v>
      </c>
      <c r="AB30" s="41">
        <v>11160</v>
      </c>
      <c r="AC30" s="41">
        <v>5864</v>
      </c>
      <c r="AD30" s="41">
        <v>5296</v>
      </c>
      <c r="AE30" s="41">
        <v>136</v>
      </c>
      <c r="AF30" s="41">
        <v>0</v>
      </c>
      <c r="AG30" s="41">
        <v>136</v>
      </c>
      <c r="AH30" s="41">
        <v>0</v>
      </c>
      <c r="AI30" s="41">
        <v>0</v>
      </c>
      <c r="AJ30" s="41">
        <v>0</v>
      </c>
      <c r="AK30" s="41">
        <v>11024</v>
      </c>
      <c r="AL30" s="41">
        <v>5864</v>
      </c>
      <c r="AM30" s="41">
        <v>5160</v>
      </c>
      <c r="AN30" s="41"/>
      <c r="AO30" s="41">
        <v>115</v>
      </c>
      <c r="AP30" s="41">
        <v>38</v>
      </c>
      <c r="AQ30" s="41">
        <v>77</v>
      </c>
      <c r="AR30" s="41">
        <v>4</v>
      </c>
      <c r="AS30" s="41">
        <v>1</v>
      </c>
      <c r="AT30" s="41">
        <v>3</v>
      </c>
      <c r="AU30" s="41">
        <v>11</v>
      </c>
      <c r="AV30" s="41">
        <v>3</v>
      </c>
      <c r="AW30" s="41">
        <v>8</v>
      </c>
      <c r="AX30" s="41">
        <v>100</v>
      </c>
      <c r="AY30" s="41">
        <v>34</v>
      </c>
      <c r="AZ30" s="41">
        <v>66</v>
      </c>
      <c r="BA30" s="41">
        <v>23144</v>
      </c>
      <c r="BB30" s="41">
        <v>7779</v>
      </c>
      <c r="BC30" s="41">
        <v>15365</v>
      </c>
      <c r="BD30" s="41">
        <v>711</v>
      </c>
      <c r="BE30" s="41">
        <v>224</v>
      </c>
      <c r="BF30" s="41">
        <v>487</v>
      </c>
      <c r="BG30" s="41">
        <v>2445</v>
      </c>
      <c r="BH30" s="41">
        <v>680</v>
      </c>
      <c r="BI30" s="41">
        <v>1765</v>
      </c>
      <c r="BJ30" s="41">
        <v>19988</v>
      </c>
      <c r="BK30" s="41">
        <v>6875</v>
      </c>
      <c r="BL30" s="41">
        <v>13113</v>
      </c>
      <c r="BM30" s="41">
        <v>189009</v>
      </c>
      <c r="BN30" s="41">
        <v>63977</v>
      </c>
      <c r="BO30" s="41">
        <v>125032</v>
      </c>
      <c r="BP30" s="41">
        <v>5768</v>
      </c>
      <c r="BQ30" s="41">
        <v>1816</v>
      </c>
      <c r="BR30" s="41">
        <v>3952</v>
      </c>
      <c r="BS30" s="41">
        <v>19544</v>
      </c>
      <c r="BT30" s="41">
        <v>5440</v>
      </c>
      <c r="BU30" s="41">
        <v>14104</v>
      </c>
      <c r="BV30" s="41">
        <v>163697</v>
      </c>
      <c r="BW30" s="41">
        <v>56721</v>
      </c>
      <c r="BX30" s="41">
        <v>106976</v>
      </c>
      <c r="BY30" s="93"/>
      <c r="BZ30" s="93"/>
      <c r="CA30" s="93"/>
      <c r="CB30" s="93"/>
      <c r="CC30" s="93"/>
      <c r="CD30" s="93"/>
      <c r="CE30" s="93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</row>
    <row r="31" spans="1:114" s="18" customFormat="1" ht="15.6" customHeight="1">
      <c r="A31" s="52" t="s">
        <v>151</v>
      </c>
      <c r="B31" s="108" t="s">
        <v>6</v>
      </c>
      <c r="C31" s="41"/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1">
        <v>29</v>
      </c>
      <c r="Q31" s="41">
        <v>29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  <c r="X31" s="41">
        <v>0</v>
      </c>
      <c r="Y31" s="41">
        <v>29</v>
      </c>
      <c r="Z31" s="41">
        <v>29</v>
      </c>
      <c r="AA31" s="41">
        <v>0</v>
      </c>
      <c r="AB31" s="41">
        <v>172</v>
      </c>
      <c r="AC31" s="41">
        <v>172</v>
      </c>
      <c r="AD31" s="41">
        <v>0</v>
      </c>
      <c r="AE31" s="41">
        <v>0</v>
      </c>
      <c r="AF31" s="41">
        <v>0</v>
      </c>
      <c r="AG31" s="41">
        <v>0</v>
      </c>
      <c r="AH31" s="41">
        <v>0</v>
      </c>
      <c r="AI31" s="41">
        <v>0</v>
      </c>
      <c r="AJ31" s="41">
        <v>0</v>
      </c>
      <c r="AK31" s="41">
        <v>172</v>
      </c>
      <c r="AL31" s="41">
        <v>172</v>
      </c>
      <c r="AM31" s="41">
        <v>0</v>
      </c>
      <c r="AN31" s="41"/>
      <c r="AO31" s="41">
        <v>63</v>
      </c>
      <c r="AP31" s="41">
        <v>14</v>
      </c>
      <c r="AQ31" s="41">
        <v>49</v>
      </c>
      <c r="AR31" s="41">
        <v>6</v>
      </c>
      <c r="AS31" s="41">
        <v>2</v>
      </c>
      <c r="AT31" s="41">
        <v>4</v>
      </c>
      <c r="AU31" s="41">
        <v>1</v>
      </c>
      <c r="AV31" s="41">
        <v>1</v>
      </c>
      <c r="AW31" s="41">
        <v>0</v>
      </c>
      <c r="AX31" s="41">
        <v>56</v>
      </c>
      <c r="AY31" s="41">
        <v>11</v>
      </c>
      <c r="AZ31" s="41">
        <v>45</v>
      </c>
      <c r="BA31" s="41">
        <v>7418</v>
      </c>
      <c r="BB31" s="41">
        <v>1786</v>
      </c>
      <c r="BC31" s="41">
        <v>5632</v>
      </c>
      <c r="BD31" s="41">
        <v>751</v>
      </c>
      <c r="BE31" s="41">
        <v>250</v>
      </c>
      <c r="BF31" s="41">
        <v>501</v>
      </c>
      <c r="BG31" s="41">
        <v>224</v>
      </c>
      <c r="BH31" s="41">
        <v>224</v>
      </c>
      <c r="BI31" s="41">
        <v>0</v>
      </c>
      <c r="BJ31" s="41">
        <v>6443</v>
      </c>
      <c r="BK31" s="41">
        <v>1312</v>
      </c>
      <c r="BL31" s="41">
        <v>5131</v>
      </c>
      <c r="BM31" s="41">
        <v>62408</v>
      </c>
      <c r="BN31" s="41">
        <v>14294</v>
      </c>
      <c r="BO31" s="41">
        <v>48114</v>
      </c>
      <c r="BP31" s="41">
        <v>6388</v>
      </c>
      <c r="BQ31" s="41">
        <v>2037</v>
      </c>
      <c r="BR31" s="41">
        <v>4351</v>
      </c>
      <c r="BS31" s="41">
        <v>1773</v>
      </c>
      <c r="BT31" s="41">
        <v>1773</v>
      </c>
      <c r="BU31" s="41">
        <v>0</v>
      </c>
      <c r="BV31" s="41">
        <v>54247</v>
      </c>
      <c r="BW31" s="41">
        <v>10484</v>
      </c>
      <c r="BX31" s="41">
        <v>43763</v>
      </c>
      <c r="BY31" s="93"/>
      <c r="BZ31" s="93"/>
      <c r="CA31" s="93"/>
      <c r="CB31" s="93"/>
      <c r="CC31" s="93"/>
      <c r="CD31" s="93"/>
      <c r="CE31" s="93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30"/>
      <c r="DJ31" s="30"/>
    </row>
    <row r="32" spans="1:114" s="3" customFormat="1" ht="15.6" customHeight="1">
      <c r="A32" s="53" t="s">
        <v>167</v>
      </c>
      <c r="B32" s="94" t="s">
        <v>22</v>
      </c>
      <c r="C32" s="20"/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/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0</v>
      </c>
      <c r="AY32" s="20">
        <v>0</v>
      </c>
      <c r="AZ32" s="20">
        <v>0</v>
      </c>
      <c r="BA32" s="20">
        <v>0</v>
      </c>
      <c r="BB32" s="20">
        <v>0</v>
      </c>
      <c r="BC32" s="20">
        <v>0</v>
      </c>
      <c r="BD32" s="20">
        <v>0</v>
      </c>
      <c r="BE32" s="20">
        <v>0</v>
      </c>
      <c r="BF32" s="20">
        <v>0</v>
      </c>
      <c r="BG32" s="20">
        <v>0</v>
      </c>
      <c r="BH32" s="20">
        <v>0</v>
      </c>
      <c r="BI32" s="20">
        <v>0</v>
      </c>
      <c r="BJ32" s="20">
        <v>0</v>
      </c>
      <c r="BK32" s="20">
        <v>0</v>
      </c>
      <c r="BL32" s="20">
        <v>0</v>
      </c>
      <c r="BM32" s="20">
        <v>0</v>
      </c>
      <c r="BN32" s="20">
        <v>0</v>
      </c>
      <c r="BO32" s="20">
        <v>0</v>
      </c>
      <c r="BP32" s="20">
        <v>0</v>
      </c>
      <c r="BQ32" s="20">
        <v>0</v>
      </c>
      <c r="BR32" s="20">
        <v>0</v>
      </c>
      <c r="BS32" s="20">
        <v>0</v>
      </c>
      <c r="BT32" s="20">
        <v>0</v>
      </c>
      <c r="BU32" s="20">
        <v>0</v>
      </c>
      <c r="BV32" s="20">
        <v>0</v>
      </c>
      <c r="BW32" s="20">
        <v>0</v>
      </c>
      <c r="BX32" s="20">
        <v>0</v>
      </c>
      <c r="BY32" s="20"/>
      <c r="BZ32" s="20"/>
      <c r="CA32" s="20"/>
      <c r="CB32" s="20"/>
      <c r="CC32" s="20"/>
      <c r="CD32" s="20"/>
      <c r="CE32" s="20"/>
    </row>
    <row r="33" spans="1:83" s="3" customFormat="1" ht="21" customHeight="1">
      <c r="A33" s="54" t="s">
        <v>168</v>
      </c>
      <c r="B33" s="95" t="s">
        <v>23</v>
      </c>
      <c r="C33" s="22"/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/>
      <c r="AO33" s="22">
        <v>0</v>
      </c>
      <c r="AP33" s="22">
        <v>0</v>
      </c>
      <c r="AQ33" s="22">
        <v>0</v>
      </c>
      <c r="AR33" s="22">
        <v>0</v>
      </c>
      <c r="AS33" s="22">
        <v>0</v>
      </c>
      <c r="AT33" s="22">
        <v>0</v>
      </c>
      <c r="AU33" s="22">
        <v>0</v>
      </c>
      <c r="AV33" s="22">
        <v>0</v>
      </c>
      <c r="AW33" s="22">
        <v>0</v>
      </c>
      <c r="AX33" s="22">
        <v>0</v>
      </c>
      <c r="AY33" s="22">
        <v>0</v>
      </c>
      <c r="AZ33" s="22">
        <v>0</v>
      </c>
      <c r="BA33" s="22">
        <v>0</v>
      </c>
      <c r="BB33" s="22">
        <v>0</v>
      </c>
      <c r="BC33" s="22">
        <v>0</v>
      </c>
      <c r="BD33" s="22">
        <v>0</v>
      </c>
      <c r="BE33" s="22">
        <v>0</v>
      </c>
      <c r="BF33" s="22">
        <v>0</v>
      </c>
      <c r="BG33" s="22">
        <v>0</v>
      </c>
      <c r="BH33" s="22">
        <v>0</v>
      </c>
      <c r="BI33" s="22">
        <v>0</v>
      </c>
      <c r="BJ33" s="22">
        <v>0</v>
      </c>
      <c r="BK33" s="22">
        <v>0</v>
      </c>
      <c r="BL33" s="22">
        <v>0</v>
      </c>
      <c r="BM33" s="22">
        <v>0</v>
      </c>
      <c r="BN33" s="22">
        <v>0</v>
      </c>
      <c r="BO33" s="22">
        <v>0</v>
      </c>
      <c r="BP33" s="22">
        <v>0</v>
      </c>
      <c r="BQ33" s="22">
        <v>0</v>
      </c>
      <c r="BR33" s="22">
        <v>0</v>
      </c>
      <c r="BS33" s="22">
        <v>0</v>
      </c>
      <c r="BT33" s="22">
        <v>0</v>
      </c>
      <c r="BU33" s="22">
        <v>0</v>
      </c>
      <c r="BV33" s="22">
        <v>0</v>
      </c>
      <c r="BW33" s="22">
        <v>0</v>
      </c>
      <c r="BX33" s="22">
        <v>0</v>
      </c>
      <c r="BY33" s="22"/>
      <c r="BZ33" s="22"/>
      <c r="CA33" s="22"/>
      <c r="CB33" s="22"/>
      <c r="CC33" s="22"/>
      <c r="CD33" s="22"/>
      <c r="CE33" s="22"/>
    </row>
    <row r="34" spans="1:83">
      <c r="A34" s="96" t="s">
        <v>256</v>
      </c>
      <c r="B34" s="61"/>
    </row>
    <row r="35" spans="1:83">
      <c r="A35" s="3" t="s">
        <v>257</v>
      </c>
    </row>
  </sheetData>
  <mergeCells count="102">
    <mergeCell ref="BS6:BS7"/>
    <mergeCell ref="BT6:BT7"/>
    <mergeCell ref="BU6:BU7"/>
    <mergeCell ref="BV6:BV7"/>
    <mergeCell ref="BW6:BW7"/>
    <mergeCell ref="BX6:BX7"/>
    <mergeCell ref="BM6:BM7"/>
    <mergeCell ref="BN6:BN7"/>
    <mergeCell ref="BO6:BO7"/>
    <mergeCell ref="BP6:BP7"/>
    <mergeCell ref="BQ6:BQ7"/>
    <mergeCell ref="BR6:BR7"/>
    <mergeCell ref="BJ6:BJ7"/>
    <mergeCell ref="BK6:BK7"/>
    <mergeCell ref="BL6:BL7"/>
    <mergeCell ref="BA6:BA7"/>
    <mergeCell ref="BB6:BB7"/>
    <mergeCell ref="BC6:BC7"/>
    <mergeCell ref="BD6:BD7"/>
    <mergeCell ref="BE6:BE7"/>
    <mergeCell ref="BF6:BF7"/>
    <mergeCell ref="AO6:AO7"/>
    <mergeCell ref="AP6:AP7"/>
    <mergeCell ref="AQ6:AQ7"/>
    <mergeCell ref="AR6:AR7"/>
    <mergeCell ref="AS6:AS7"/>
    <mergeCell ref="AT6:AT7"/>
    <mergeCell ref="BG6:BG7"/>
    <mergeCell ref="BH6:BH7"/>
    <mergeCell ref="BI6:BI7"/>
    <mergeCell ref="BJ5:BL5"/>
    <mergeCell ref="BP5:BR5"/>
    <mergeCell ref="BS5:BU5"/>
    <mergeCell ref="V6:V7"/>
    <mergeCell ref="W6:W7"/>
    <mergeCell ref="X6:X7"/>
    <mergeCell ref="Y6:Y7"/>
    <mergeCell ref="Z6:Z7"/>
    <mergeCell ref="AA6:AA7"/>
    <mergeCell ref="AH6:AH7"/>
    <mergeCell ref="AI6:AI7"/>
    <mergeCell ref="AJ6:AJ7"/>
    <mergeCell ref="AK6:AK7"/>
    <mergeCell ref="AL6:AL7"/>
    <mergeCell ref="AM6:AM7"/>
    <mergeCell ref="AB6:AB7"/>
    <mergeCell ref="AC6:AC7"/>
    <mergeCell ref="AD6:AD7"/>
    <mergeCell ref="AE6:AE7"/>
    <mergeCell ref="AF6:AF7"/>
    <mergeCell ref="AG6:AG7"/>
    <mergeCell ref="AU6:AU7"/>
    <mergeCell ref="AV6:AV7"/>
    <mergeCell ref="AW6:AW7"/>
    <mergeCell ref="G6:G7"/>
    <mergeCell ref="H6:H7"/>
    <mergeCell ref="I6:I7"/>
    <mergeCell ref="AK5:AM5"/>
    <mergeCell ref="AR5:AT5"/>
    <mergeCell ref="AU5:AW5"/>
    <mergeCell ref="AX5:AZ5"/>
    <mergeCell ref="BD5:BF5"/>
    <mergeCell ref="BG5:BI5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AX6:AX7"/>
    <mergeCell ref="AY6:AY7"/>
    <mergeCell ref="AZ6:AZ7"/>
    <mergeCell ref="A2:C2"/>
    <mergeCell ref="A3:B7"/>
    <mergeCell ref="C3:AM3"/>
    <mergeCell ref="AN3:BX3"/>
    <mergeCell ref="C4:C7"/>
    <mergeCell ref="D4:O4"/>
    <mergeCell ref="P4:AA4"/>
    <mergeCell ref="AB4:AM4"/>
    <mergeCell ref="AN4:AN7"/>
    <mergeCell ref="AO4:AZ4"/>
    <mergeCell ref="BA4:BL4"/>
    <mergeCell ref="BM4:BX4"/>
    <mergeCell ref="G5:I5"/>
    <mergeCell ref="J5:L5"/>
    <mergeCell ref="M5:O5"/>
    <mergeCell ref="S5:U5"/>
    <mergeCell ref="V5:X5"/>
    <mergeCell ref="Y5:AA5"/>
    <mergeCell ref="AE5:AG5"/>
    <mergeCell ref="AH5:AJ5"/>
    <mergeCell ref="BV5:BX5"/>
    <mergeCell ref="D6:D7"/>
    <mergeCell ref="E6:E7"/>
    <mergeCell ref="F6:F7"/>
  </mergeCells>
  <phoneticPr fontId="6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86" fitToWidth="10" orientation="landscape" useFirstPageNumber="1" horizontalDpi="4294967292" verticalDpi="3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BT33"/>
  <sheetViews>
    <sheetView topLeftCell="A23" zoomScaleNormal="100" workbookViewId="0">
      <selection activeCell="I41" sqref="I41"/>
    </sheetView>
  </sheetViews>
  <sheetFormatPr defaultColWidth="12" defaultRowHeight="12.75"/>
  <cols>
    <col min="1" max="1" width="21" style="3" customWidth="1"/>
    <col min="2" max="2" width="11.6640625" style="3" customWidth="1"/>
    <col min="3" max="38" width="11.33203125" style="3" customWidth="1"/>
    <col min="39" max="256" width="12" style="3"/>
    <col min="257" max="257" width="21" style="3" customWidth="1"/>
    <col min="258" max="258" width="11.6640625" style="3" customWidth="1"/>
    <col min="259" max="294" width="11.33203125" style="3" customWidth="1"/>
    <col min="295" max="512" width="12" style="3"/>
    <col min="513" max="513" width="21" style="3" customWidth="1"/>
    <col min="514" max="514" width="11.6640625" style="3" customWidth="1"/>
    <col min="515" max="550" width="11.33203125" style="3" customWidth="1"/>
    <col min="551" max="768" width="12" style="3"/>
    <col min="769" max="769" width="21" style="3" customWidth="1"/>
    <col min="770" max="770" width="11.6640625" style="3" customWidth="1"/>
    <col min="771" max="806" width="11.33203125" style="3" customWidth="1"/>
    <col min="807" max="1024" width="12" style="3"/>
    <col min="1025" max="1025" width="21" style="3" customWidth="1"/>
    <col min="1026" max="1026" width="11.6640625" style="3" customWidth="1"/>
    <col min="1027" max="1062" width="11.33203125" style="3" customWidth="1"/>
    <col min="1063" max="1280" width="12" style="3"/>
    <col min="1281" max="1281" width="21" style="3" customWidth="1"/>
    <col min="1282" max="1282" width="11.6640625" style="3" customWidth="1"/>
    <col min="1283" max="1318" width="11.33203125" style="3" customWidth="1"/>
    <col min="1319" max="1536" width="12" style="3"/>
    <col min="1537" max="1537" width="21" style="3" customWidth="1"/>
    <col min="1538" max="1538" width="11.6640625" style="3" customWidth="1"/>
    <col min="1539" max="1574" width="11.33203125" style="3" customWidth="1"/>
    <col min="1575" max="1792" width="12" style="3"/>
    <col min="1793" max="1793" width="21" style="3" customWidth="1"/>
    <col min="1794" max="1794" width="11.6640625" style="3" customWidth="1"/>
    <col min="1795" max="1830" width="11.33203125" style="3" customWidth="1"/>
    <col min="1831" max="2048" width="12" style="3"/>
    <col min="2049" max="2049" width="21" style="3" customWidth="1"/>
    <col min="2050" max="2050" width="11.6640625" style="3" customWidth="1"/>
    <col min="2051" max="2086" width="11.33203125" style="3" customWidth="1"/>
    <col min="2087" max="2304" width="12" style="3"/>
    <col min="2305" max="2305" width="21" style="3" customWidth="1"/>
    <col min="2306" max="2306" width="11.6640625" style="3" customWidth="1"/>
    <col min="2307" max="2342" width="11.33203125" style="3" customWidth="1"/>
    <col min="2343" max="2560" width="12" style="3"/>
    <col min="2561" max="2561" width="21" style="3" customWidth="1"/>
    <col min="2562" max="2562" width="11.6640625" style="3" customWidth="1"/>
    <col min="2563" max="2598" width="11.33203125" style="3" customWidth="1"/>
    <col min="2599" max="2816" width="12" style="3"/>
    <col min="2817" max="2817" width="21" style="3" customWidth="1"/>
    <col min="2818" max="2818" width="11.6640625" style="3" customWidth="1"/>
    <col min="2819" max="2854" width="11.33203125" style="3" customWidth="1"/>
    <col min="2855" max="3072" width="12" style="3"/>
    <col min="3073" max="3073" width="21" style="3" customWidth="1"/>
    <col min="3074" max="3074" width="11.6640625" style="3" customWidth="1"/>
    <col min="3075" max="3110" width="11.33203125" style="3" customWidth="1"/>
    <col min="3111" max="3328" width="12" style="3"/>
    <col min="3329" max="3329" width="21" style="3" customWidth="1"/>
    <col min="3330" max="3330" width="11.6640625" style="3" customWidth="1"/>
    <col min="3331" max="3366" width="11.33203125" style="3" customWidth="1"/>
    <col min="3367" max="3584" width="12" style="3"/>
    <col min="3585" max="3585" width="21" style="3" customWidth="1"/>
    <col min="3586" max="3586" width="11.6640625" style="3" customWidth="1"/>
    <col min="3587" max="3622" width="11.33203125" style="3" customWidth="1"/>
    <col min="3623" max="3840" width="12" style="3"/>
    <col min="3841" max="3841" width="21" style="3" customWidth="1"/>
    <col min="3842" max="3842" width="11.6640625" style="3" customWidth="1"/>
    <col min="3843" max="3878" width="11.33203125" style="3" customWidth="1"/>
    <col min="3879" max="4096" width="12" style="3"/>
    <col min="4097" max="4097" width="21" style="3" customWidth="1"/>
    <col min="4098" max="4098" width="11.6640625" style="3" customWidth="1"/>
    <col min="4099" max="4134" width="11.33203125" style="3" customWidth="1"/>
    <col min="4135" max="4352" width="12" style="3"/>
    <col min="4353" max="4353" width="21" style="3" customWidth="1"/>
    <col min="4354" max="4354" width="11.6640625" style="3" customWidth="1"/>
    <col min="4355" max="4390" width="11.33203125" style="3" customWidth="1"/>
    <col min="4391" max="4608" width="12" style="3"/>
    <col min="4609" max="4609" width="21" style="3" customWidth="1"/>
    <col min="4610" max="4610" width="11.6640625" style="3" customWidth="1"/>
    <col min="4611" max="4646" width="11.33203125" style="3" customWidth="1"/>
    <col min="4647" max="4864" width="12" style="3"/>
    <col min="4865" max="4865" width="21" style="3" customWidth="1"/>
    <col min="4866" max="4866" width="11.6640625" style="3" customWidth="1"/>
    <col min="4867" max="4902" width="11.33203125" style="3" customWidth="1"/>
    <col min="4903" max="5120" width="12" style="3"/>
    <col min="5121" max="5121" width="21" style="3" customWidth="1"/>
    <col min="5122" max="5122" width="11.6640625" style="3" customWidth="1"/>
    <col min="5123" max="5158" width="11.33203125" style="3" customWidth="1"/>
    <col min="5159" max="5376" width="12" style="3"/>
    <col min="5377" max="5377" width="21" style="3" customWidth="1"/>
    <col min="5378" max="5378" width="11.6640625" style="3" customWidth="1"/>
    <col min="5379" max="5414" width="11.33203125" style="3" customWidth="1"/>
    <col min="5415" max="5632" width="12" style="3"/>
    <col min="5633" max="5633" width="21" style="3" customWidth="1"/>
    <col min="5634" max="5634" width="11.6640625" style="3" customWidth="1"/>
    <col min="5635" max="5670" width="11.33203125" style="3" customWidth="1"/>
    <col min="5671" max="5888" width="12" style="3"/>
    <col min="5889" max="5889" width="21" style="3" customWidth="1"/>
    <col min="5890" max="5890" width="11.6640625" style="3" customWidth="1"/>
    <col min="5891" max="5926" width="11.33203125" style="3" customWidth="1"/>
    <col min="5927" max="6144" width="12" style="3"/>
    <col min="6145" max="6145" width="21" style="3" customWidth="1"/>
    <col min="6146" max="6146" width="11.6640625" style="3" customWidth="1"/>
    <col min="6147" max="6182" width="11.33203125" style="3" customWidth="1"/>
    <col min="6183" max="6400" width="12" style="3"/>
    <col min="6401" max="6401" width="21" style="3" customWidth="1"/>
    <col min="6402" max="6402" width="11.6640625" style="3" customWidth="1"/>
    <col min="6403" max="6438" width="11.33203125" style="3" customWidth="1"/>
    <col min="6439" max="6656" width="12" style="3"/>
    <col min="6657" max="6657" width="21" style="3" customWidth="1"/>
    <col min="6658" max="6658" width="11.6640625" style="3" customWidth="1"/>
    <col min="6659" max="6694" width="11.33203125" style="3" customWidth="1"/>
    <col min="6695" max="6912" width="12" style="3"/>
    <col min="6913" max="6913" width="21" style="3" customWidth="1"/>
    <col min="6914" max="6914" width="11.6640625" style="3" customWidth="1"/>
    <col min="6915" max="6950" width="11.33203125" style="3" customWidth="1"/>
    <col min="6951" max="7168" width="12" style="3"/>
    <col min="7169" max="7169" width="21" style="3" customWidth="1"/>
    <col min="7170" max="7170" width="11.6640625" style="3" customWidth="1"/>
    <col min="7171" max="7206" width="11.33203125" style="3" customWidth="1"/>
    <col min="7207" max="7424" width="12" style="3"/>
    <col min="7425" max="7425" width="21" style="3" customWidth="1"/>
    <col min="7426" max="7426" width="11.6640625" style="3" customWidth="1"/>
    <col min="7427" max="7462" width="11.33203125" style="3" customWidth="1"/>
    <col min="7463" max="7680" width="12" style="3"/>
    <col min="7681" max="7681" width="21" style="3" customWidth="1"/>
    <col min="7682" max="7682" width="11.6640625" style="3" customWidth="1"/>
    <col min="7683" max="7718" width="11.33203125" style="3" customWidth="1"/>
    <col min="7719" max="7936" width="12" style="3"/>
    <col min="7937" max="7937" width="21" style="3" customWidth="1"/>
    <col min="7938" max="7938" width="11.6640625" style="3" customWidth="1"/>
    <col min="7939" max="7974" width="11.33203125" style="3" customWidth="1"/>
    <col min="7975" max="8192" width="12" style="3"/>
    <col min="8193" max="8193" width="21" style="3" customWidth="1"/>
    <col min="8194" max="8194" width="11.6640625" style="3" customWidth="1"/>
    <col min="8195" max="8230" width="11.33203125" style="3" customWidth="1"/>
    <col min="8231" max="8448" width="12" style="3"/>
    <col min="8449" max="8449" width="21" style="3" customWidth="1"/>
    <col min="8450" max="8450" width="11.6640625" style="3" customWidth="1"/>
    <col min="8451" max="8486" width="11.33203125" style="3" customWidth="1"/>
    <col min="8487" max="8704" width="12" style="3"/>
    <col min="8705" max="8705" width="21" style="3" customWidth="1"/>
    <col min="8706" max="8706" width="11.6640625" style="3" customWidth="1"/>
    <col min="8707" max="8742" width="11.33203125" style="3" customWidth="1"/>
    <col min="8743" max="8960" width="12" style="3"/>
    <col min="8961" max="8961" width="21" style="3" customWidth="1"/>
    <col min="8962" max="8962" width="11.6640625" style="3" customWidth="1"/>
    <col min="8963" max="8998" width="11.33203125" style="3" customWidth="1"/>
    <col min="8999" max="9216" width="12" style="3"/>
    <col min="9217" max="9217" width="21" style="3" customWidth="1"/>
    <col min="9218" max="9218" width="11.6640625" style="3" customWidth="1"/>
    <col min="9219" max="9254" width="11.33203125" style="3" customWidth="1"/>
    <col min="9255" max="9472" width="12" style="3"/>
    <col min="9473" max="9473" width="21" style="3" customWidth="1"/>
    <col min="9474" max="9474" width="11.6640625" style="3" customWidth="1"/>
    <col min="9475" max="9510" width="11.33203125" style="3" customWidth="1"/>
    <col min="9511" max="9728" width="12" style="3"/>
    <col min="9729" max="9729" width="21" style="3" customWidth="1"/>
    <col min="9730" max="9730" width="11.6640625" style="3" customWidth="1"/>
    <col min="9731" max="9766" width="11.33203125" style="3" customWidth="1"/>
    <col min="9767" max="9984" width="12" style="3"/>
    <col min="9985" max="9985" width="21" style="3" customWidth="1"/>
    <col min="9986" max="9986" width="11.6640625" style="3" customWidth="1"/>
    <col min="9987" max="10022" width="11.33203125" style="3" customWidth="1"/>
    <col min="10023" max="10240" width="12" style="3"/>
    <col min="10241" max="10241" width="21" style="3" customWidth="1"/>
    <col min="10242" max="10242" width="11.6640625" style="3" customWidth="1"/>
    <col min="10243" max="10278" width="11.33203125" style="3" customWidth="1"/>
    <col min="10279" max="10496" width="12" style="3"/>
    <col min="10497" max="10497" width="21" style="3" customWidth="1"/>
    <col min="10498" max="10498" width="11.6640625" style="3" customWidth="1"/>
    <col min="10499" max="10534" width="11.33203125" style="3" customWidth="1"/>
    <col min="10535" max="10752" width="12" style="3"/>
    <col min="10753" max="10753" width="21" style="3" customWidth="1"/>
    <col min="10754" max="10754" width="11.6640625" style="3" customWidth="1"/>
    <col min="10755" max="10790" width="11.33203125" style="3" customWidth="1"/>
    <col min="10791" max="11008" width="12" style="3"/>
    <col min="11009" max="11009" width="21" style="3" customWidth="1"/>
    <col min="11010" max="11010" width="11.6640625" style="3" customWidth="1"/>
    <col min="11011" max="11046" width="11.33203125" style="3" customWidth="1"/>
    <col min="11047" max="11264" width="12" style="3"/>
    <col min="11265" max="11265" width="21" style="3" customWidth="1"/>
    <col min="11266" max="11266" width="11.6640625" style="3" customWidth="1"/>
    <col min="11267" max="11302" width="11.33203125" style="3" customWidth="1"/>
    <col min="11303" max="11520" width="12" style="3"/>
    <col min="11521" max="11521" width="21" style="3" customWidth="1"/>
    <col min="11522" max="11522" width="11.6640625" style="3" customWidth="1"/>
    <col min="11523" max="11558" width="11.33203125" style="3" customWidth="1"/>
    <col min="11559" max="11776" width="12" style="3"/>
    <col min="11777" max="11777" width="21" style="3" customWidth="1"/>
    <col min="11778" max="11778" width="11.6640625" style="3" customWidth="1"/>
    <col min="11779" max="11814" width="11.33203125" style="3" customWidth="1"/>
    <col min="11815" max="12032" width="12" style="3"/>
    <col min="12033" max="12033" width="21" style="3" customWidth="1"/>
    <col min="12034" max="12034" width="11.6640625" style="3" customWidth="1"/>
    <col min="12035" max="12070" width="11.33203125" style="3" customWidth="1"/>
    <col min="12071" max="12288" width="12" style="3"/>
    <col min="12289" max="12289" width="21" style="3" customWidth="1"/>
    <col min="12290" max="12290" width="11.6640625" style="3" customWidth="1"/>
    <col min="12291" max="12326" width="11.33203125" style="3" customWidth="1"/>
    <col min="12327" max="12544" width="12" style="3"/>
    <col min="12545" max="12545" width="21" style="3" customWidth="1"/>
    <col min="12546" max="12546" width="11.6640625" style="3" customWidth="1"/>
    <col min="12547" max="12582" width="11.33203125" style="3" customWidth="1"/>
    <col min="12583" max="12800" width="12" style="3"/>
    <col min="12801" max="12801" width="21" style="3" customWidth="1"/>
    <col min="12802" max="12802" width="11.6640625" style="3" customWidth="1"/>
    <col min="12803" max="12838" width="11.33203125" style="3" customWidth="1"/>
    <col min="12839" max="13056" width="12" style="3"/>
    <col min="13057" max="13057" width="21" style="3" customWidth="1"/>
    <col min="13058" max="13058" width="11.6640625" style="3" customWidth="1"/>
    <col min="13059" max="13094" width="11.33203125" style="3" customWidth="1"/>
    <col min="13095" max="13312" width="12" style="3"/>
    <col min="13313" max="13313" width="21" style="3" customWidth="1"/>
    <col min="13314" max="13314" width="11.6640625" style="3" customWidth="1"/>
    <col min="13315" max="13350" width="11.33203125" style="3" customWidth="1"/>
    <col min="13351" max="13568" width="12" style="3"/>
    <col min="13569" max="13569" width="21" style="3" customWidth="1"/>
    <col min="13570" max="13570" width="11.6640625" style="3" customWidth="1"/>
    <col min="13571" max="13606" width="11.33203125" style="3" customWidth="1"/>
    <col min="13607" max="13824" width="12" style="3"/>
    <col min="13825" max="13825" width="21" style="3" customWidth="1"/>
    <col min="13826" max="13826" width="11.6640625" style="3" customWidth="1"/>
    <col min="13827" max="13862" width="11.33203125" style="3" customWidth="1"/>
    <col min="13863" max="14080" width="12" style="3"/>
    <col min="14081" max="14081" width="21" style="3" customWidth="1"/>
    <col min="14082" max="14082" width="11.6640625" style="3" customWidth="1"/>
    <col min="14083" max="14118" width="11.33203125" style="3" customWidth="1"/>
    <col min="14119" max="14336" width="12" style="3"/>
    <col min="14337" max="14337" width="21" style="3" customWidth="1"/>
    <col min="14338" max="14338" width="11.6640625" style="3" customWidth="1"/>
    <col min="14339" max="14374" width="11.33203125" style="3" customWidth="1"/>
    <col min="14375" max="14592" width="12" style="3"/>
    <col min="14593" max="14593" width="21" style="3" customWidth="1"/>
    <col min="14594" max="14594" width="11.6640625" style="3" customWidth="1"/>
    <col min="14595" max="14630" width="11.33203125" style="3" customWidth="1"/>
    <col min="14631" max="14848" width="12" style="3"/>
    <col min="14849" max="14849" width="21" style="3" customWidth="1"/>
    <col min="14850" max="14850" width="11.6640625" style="3" customWidth="1"/>
    <col min="14851" max="14886" width="11.33203125" style="3" customWidth="1"/>
    <col min="14887" max="15104" width="12" style="3"/>
    <col min="15105" max="15105" width="21" style="3" customWidth="1"/>
    <col min="15106" max="15106" width="11.6640625" style="3" customWidth="1"/>
    <col min="15107" max="15142" width="11.33203125" style="3" customWidth="1"/>
    <col min="15143" max="15360" width="12" style="3"/>
    <col min="15361" max="15361" width="21" style="3" customWidth="1"/>
    <col min="15362" max="15362" width="11.6640625" style="3" customWidth="1"/>
    <col min="15363" max="15398" width="11.33203125" style="3" customWidth="1"/>
    <col min="15399" max="15616" width="12" style="3"/>
    <col min="15617" max="15617" width="21" style="3" customWidth="1"/>
    <col min="15618" max="15618" width="11.6640625" style="3" customWidth="1"/>
    <col min="15619" max="15654" width="11.33203125" style="3" customWidth="1"/>
    <col min="15655" max="15872" width="12" style="3"/>
    <col min="15873" max="15873" width="21" style="3" customWidth="1"/>
    <col min="15874" max="15874" width="11.6640625" style="3" customWidth="1"/>
    <col min="15875" max="15910" width="11.33203125" style="3" customWidth="1"/>
    <col min="15911" max="16128" width="12" style="3"/>
    <col min="16129" max="16129" width="21" style="3" customWidth="1"/>
    <col min="16130" max="16130" width="11.6640625" style="3" customWidth="1"/>
    <col min="16131" max="16166" width="11.33203125" style="3" customWidth="1"/>
    <col min="16167" max="16384" width="12" style="3"/>
  </cols>
  <sheetData>
    <row r="1" spans="1:57" ht="21">
      <c r="A1" s="80" t="s">
        <v>244</v>
      </c>
    </row>
    <row r="2" spans="1:57" ht="25.5" customHeight="1">
      <c r="A2" s="220"/>
    </row>
    <row r="3" spans="1:57" s="221" customFormat="1" ht="16.5" customHeight="1">
      <c r="A3" s="426" t="s">
        <v>418</v>
      </c>
      <c r="B3" s="436" t="s">
        <v>419</v>
      </c>
      <c r="C3" s="437" t="s">
        <v>420</v>
      </c>
      <c r="D3" s="438"/>
      <c r="E3" s="438"/>
      <c r="F3" s="438"/>
      <c r="G3" s="438"/>
      <c r="H3" s="438"/>
      <c r="I3" s="438"/>
      <c r="J3" s="438"/>
      <c r="K3" s="438"/>
      <c r="L3" s="438"/>
      <c r="M3" s="438"/>
      <c r="N3" s="439"/>
      <c r="O3" s="437" t="s">
        <v>421</v>
      </c>
      <c r="P3" s="438"/>
      <c r="Q3" s="438"/>
      <c r="R3" s="438"/>
      <c r="S3" s="438"/>
      <c r="T3" s="438"/>
      <c r="U3" s="438"/>
      <c r="V3" s="438"/>
      <c r="W3" s="438"/>
      <c r="X3" s="438"/>
      <c r="Y3" s="438"/>
      <c r="Z3" s="439"/>
      <c r="AA3" s="437" t="s">
        <v>422</v>
      </c>
      <c r="AB3" s="438"/>
      <c r="AC3" s="438"/>
      <c r="AD3" s="438"/>
      <c r="AE3" s="438"/>
      <c r="AF3" s="438"/>
      <c r="AG3" s="438"/>
      <c r="AH3" s="438"/>
      <c r="AI3" s="438"/>
      <c r="AJ3" s="438"/>
      <c r="AK3" s="438"/>
      <c r="AL3" s="438"/>
    </row>
    <row r="4" spans="1:57" s="225" customFormat="1" ht="29.25" customHeight="1">
      <c r="A4" s="427"/>
      <c r="B4" s="436"/>
      <c r="C4" s="81" t="s">
        <v>423</v>
      </c>
      <c r="D4" s="222"/>
      <c r="E4" s="223"/>
      <c r="F4" s="436" t="s">
        <v>424</v>
      </c>
      <c r="G4" s="436"/>
      <c r="H4" s="436"/>
      <c r="I4" s="436" t="s">
        <v>425</v>
      </c>
      <c r="J4" s="436"/>
      <c r="K4" s="436"/>
      <c r="L4" s="436" t="s">
        <v>426</v>
      </c>
      <c r="M4" s="436"/>
      <c r="N4" s="436"/>
      <c r="O4" s="81" t="s">
        <v>423</v>
      </c>
      <c r="P4" s="224"/>
      <c r="Q4" s="223"/>
      <c r="R4" s="436" t="s">
        <v>424</v>
      </c>
      <c r="S4" s="436"/>
      <c r="T4" s="436"/>
      <c r="U4" s="436" t="s">
        <v>425</v>
      </c>
      <c r="V4" s="436"/>
      <c r="W4" s="436"/>
      <c r="X4" s="436" t="s">
        <v>426</v>
      </c>
      <c r="Y4" s="436"/>
      <c r="Z4" s="436"/>
      <c r="AA4" s="81" t="s">
        <v>423</v>
      </c>
      <c r="AB4" s="224"/>
      <c r="AC4" s="223"/>
      <c r="AD4" s="436" t="s">
        <v>424</v>
      </c>
      <c r="AE4" s="436"/>
      <c r="AF4" s="436"/>
      <c r="AG4" s="436" t="s">
        <v>425</v>
      </c>
      <c r="AH4" s="436"/>
      <c r="AI4" s="436"/>
      <c r="AJ4" s="436" t="s">
        <v>426</v>
      </c>
      <c r="AK4" s="436"/>
      <c r="AL4" s="440"/>
    </row>
    <row r="5" spans="1:57" s="226" customFormat="1" ht="16.5" customHeight="1">
      <c r="A5" s="427"/>
      <c r="B5" s="436"/>
      <c r="C5" s="432" t="s">
        <v>427</v>
      </c>
      <c r="D5" s="432" t="s">
        <v>428</v>
      </c>
      <c r="E5" s="432" t="s">
        <v>429</v>
      </c>
      <c r="F5" s="432" t="s">
        <v>427</v>
      </c>
      <c r="G5" s="432" t="s">
        <v>428</v>
      </c>
      <c r="H5" s="432" t="s">
        <v>429</v>
      </c>
      <c r="I5" s="432" t="s">
        <v>427</v>
      </c>
      <c r="J5" s="432" t="s">
        <v>428</v>
      </c>
      <c r="K5" s="432" t="s">
        <v>429</v>
      </c>
      <c r="L5" s="432" t="s">
        <v>427</v>
      </c>
      <c r="M5" s="432" t="s">
        <v>428</v>
      </c>
      <c r="N5" s="432" t="s">
        <v>429</v>
      </c>
      <c r="O5" s="432" t="s">
        <v>427</v>
      </c>
      <c r="P5" s="432" t="s">
        <v>428</v>
      </c>
      <c r="Q5" s="432" t="s">
        <v>429</v>
      </c>
      <c r="R5" s="432" t="s">
        <v>427</v>
      </c>
      <c r="S5" s="432" t="s">
        <v>428</v>
      </c>
      <c r="T5" s="432" t="s">
        <v>429</v>
      </c>
      <c r="U5" s="432" t="s">
        <v>427</v>
      </c>
      <c r="V5" s="432" t="s">
        <v>428</v>
      </c>
      <c r="W5" s="432" t="s">
        <v>429</v>
      </c>
      <c r="X5" s="432" t="s">
        <v>427</v>
      </c>
      <c r="Y5" s="432" t="s">
        <v>428</v>
      </c>
      <c r="Z5" s="432" t="s">
        <v>429</v>
      </c>
      <c r="AA5" s="432" t="s">
        <v>427</v>
      </c>
      <c r="AB5" s="432" t="s">
        <v>428</v>
      </c>
      <c r="AC5" s="432" t="s">
        <v>429</v>
      </c>
      <c r="AD5" s="432" t="s">
        <v>427</v>
      </c>
      <c r="AE5" s="432" t="s">
        <v>428</v>
      </c>
      <c r="AF5" s="432" t="s">
        <v>429</v>
      </c>
      <c r="AG5" s="432" t="s">
        <v>427</v>
      </c>
      <c r="AH5" s="432" t="s">
        <v>428</v>
      </c>
      <c r="AI5" s="432" t="s">
        <v>429</v>
      </c>
      <c r="AJ5" s="432" t="s">
        <v>427</v>
      </c>
      <c r="AK5" s="432" t="s">
        <v>428</v>
      </c>
      <c r="AL5" s="434" t="s">
        <v>429</v>
      </c>
    </row>
    <row r="6" spans="1:57" s="221" customFormat="1" ht="12">
      <c r="A6" s="428"/>
      <c r="B6" s="436"/>
      <c r="C6" s="433"/>
      <c r="D6" s="433"/>
      <c r="E6" s="433"/>
      <c r="F6" s="433"/>
      <c r="G6" s="433"/>
      <c r="H6" s="433"/>
      <c r="I6" s="433"/>
      <c r="J6" s="433"/>
      <c r="K6" s="433"/>
      <c r="L6" s="433"/>
      <c r="M6" s="433"/>
      <c r="N6" s="433"/>
      <c r="O6" s="433"/>
      <c r="P6" s="433"/>
      <c r="Q6" s="433"/>
      <c r="R6" s="433"/>
      <c r="S6" s="433"/>
      <c r="T6" s="433"/>
      <c r="U6" s="433"/>
      <c r="V6" s="433"/>
      <c r="W6" s="433"/>
      <c r="X6" s="433"/>
      <c r="Y6" s="433"/>
      <c r="Z6" s="433"/>
      <c r="AA6" s="433"/>
      <c r="AB6" s="433"/>
      <c r="AC6" s="433"/>
      <c r="AD6" s="433"/>
      <c r="AE6" s="433"/>
      <c r="AF6" s="433"/>
      <c r="AG6" s="433"/>
      <c r="AH6" s="433"/>
      <c r="AI6" s="433"/>
      <c r="AJ6" s="433"/>
      <c r="AK6" s="433"/>
      <c r="AL6" s="435"/>
    </row>
    <row r="7" spans="1:57" s="227" customFormat="1" ht="16.5" customHeight="1">
      <c r="A7" s="190" t="s">
        <v>386</v>
      </c>
      <c r="B7" s="12" t="s">
        <v>430</v>
      </c>
      <c r="C7" s="12">
        <v>12</v>
      </c>
      <c r="D7" s="12">
        <v>4</v>
      </c>
      <c r="E7" s="12">
        <v>8</v>
      </c>
      <c r="F7" s="12">
        <v>2</v>
      </c>
      <c r="G7" s="12">
        <v>0</v>
      </c>
      <c r="H7" s="12">
        <v>2</v>
      </c>
      <c r="I7" s="12">
        <v>1</v>
      </c>
      <c r="J7" s="12">
        <v>1</v>
      </c>
      <c r="K7" s="12">
        <v>0</v>
      </c>
      <c r="L7" s="12">
        <v>9</v>
      </c>
      <c r="M7" s="12">
        <v>3</v>
      </c>
      <c r="N7" s="12">
        <v>6</v>
      </c>
      <c r="O7" s="12">
        <v>1248</v>
      </c>
      <c r="P7" s="12">
        <v>427</v>
      </c>
      <c r="Q7" s="12">
        <v>821</v>
      </c>
      <c r="R7" s="12">
        <v>263</v>
      </c>
      <c r="S7" s="12">
        <v>50</v>
      </c>
      <c r="T7" s="12">
        <v>213</v>
      </c>
      <c r="U7" s="12">
        <v>144</v>
      </c>
      <c r="V7" s="12">
        <v>108</v>
      </c>
      <c r="W7" s="12">
        <v>36</v>
      </c>
      <c r="X7" s="12">
        <v>841</v>
      </c>
      <c r="Y7" s="12">
        <v>269</v>
      </c>
      <c r="Z7" s="12">
        <v>572</v>
      </c>
      <c r="AA7" s="12">
        <v>10217</v>
      </c>
      <c r="AB7" s="12">
        <v>3646.5</v>
      </c>
      <c r="AC7" s="12">
        <v>6570.5</v>
      </c>
      <c r="AD7" s="12">
        <v>2118</v>
      </c>
      <c r="AE7" s="12">
        <v>333</v>
      </c>
      <c r="AF7" s="12">
        <v>1785</v>
      </c>
      <c r="AG7" s="12">
        <v>1262.5</v>
      </c>
      <c r="AH7" s="12">
        <v>972</v>
      </c>
      <c r="AI7" s="12">
        <v>290.5</v>
      </c>
      <c r="AJ7" s="12">
        <v>6836.5</v>
      </c>
      <c r="AK7" s="12">
        <v>2341.5</v>
      </c>
      <c r="AL7" s="12">
        <v>4495</v>
      </c>
    </row>
    <row r="8" spans="1:57" s="227" customFormat="1" ht="16.5" customHeight="1">
      <c r="A8" s="192" t="s">
        <v>387</v>
      </c>
      <c r="B8" s="12" t="s">
        <v>430</v>
      </c>
      <c r="C8" s="12">
        <v>37</v>
      </c>
      <c r="D8" s="12">
        <v>13</v>
      </c>
      <c r="E8" s="12">
        <v>24</v>
      </c>
      <c r="F8" s="12">
        <v>9</v>
      </c>
      <c r="G8" s="12">
        <v>4</v>
      </c>
      <c r="H8" s="12">
        <v>5</v>
      </c>
      <c r="I8" s="12">
        <v>8</v>
      </c>
      <c r="J8" s="12">
        <v>4</v>
      </c>
      <c r="K8" s="12">
        <v>4</v>
      </c>
      <c r="L8" s="12">
        <v>20</v>
      </c>
      <c r="M8" s="12">
        <v>5</v>
      </c>
      <c r="N8" s="12">
        <v>15</v>
      </c>
      <c r="O8" s="12">
        <v>5109</v>
      </c>
      <c r="P8" s="12">
        <v>2244</v>
      </c>
      <c r="Q8" s="12">
        <v>2865</v>
      </c>
      <c r="R8" s="12">
        <v>1248</v>
      </c>
      <c r="S8" s="12">
        <v>583</v>
      </c>
      <c r="T8" s="12">
        <v>665</v>
      </c>
      <c r="U8" s="12">
        <v>860</v>
      </c>
      <c r="V8" s="12">
        <v>515</v>
      </c>
      <c r="W8" s="12">
        <v>345</v>
      </c>
      <c r="X8" s="12">
        <v>3001</v>
      </c>
      <c r="Y8" s="12">
        <v>1146</v>
      </c>
      <c r="Z8" s="12">
        <v>1855</v>
      </c>
      <c r="AA8" s="12">
        <v>40944</v>
      </c>
      <c r="AB8" s="12">
        <v>18569</v>
      </c>
      <c r="AC8" s="12">
        <v>22375</v>
      </c>
      <c r="AD8" s="12">
        <v>10016</v>
      </c>
      <c r="AE8" s="12">
        <v>4623</v>
      </c>
      <c r="AF8" s="12">
        <v>5393</v>
      </c>
      <c r="AG8" s="12">
        <v>6385</v>
      </c>
      <c r="AH8" s="12">
        <v>3767</v>
      </c>
      <c r="AI8" s="12">
        <v>2618</v>
      </c>
      <c r="AJ8" s="12">
        <v>24543</v>
      </c>
      <c r="AK8" s="12">
        <v>10179</v>
      </c>
      <c r="AL8" s="12">
        <v>14364</v>
      </c>
    </row>
    <row r="9" spans="1:57" s="227" customFormat="1" ht="16.5" customHeight="1">
      <c r="A9" s="192" t="s">
        <v>388</v>
      </c>
      <c r="B9" s="12">
        <v>15</v>
      </c>
      <c r="C9" s="12">
        <v>62</v>
      </c>
      <c r="D9" s="12">
        <v>25</v>
      </c>
      <c r="E9" s="12">
        <v>37</v>
      </c>
      <c r="F9" s="12">
        <v>15</v>
      </c>
      <c r="G9" s="12">
        <v>6</v>
      </c>
      <c r="H9" s="12">
        <v>9</v>
      </c>
      <c r="I9" s="12">
        <v>10</v>
      </c>
      <c r="J9" s="12">
        <v>7</v>
      </c>
      <c r="K9" s="12">
        <v>3</v>
      </c>
      <c r="L9" s="12">
        <v>37</v>
      </c>
      <c r="M9" s="12">
        <v>12</v>
      </c>
      <c r="N9" s="12">
        <v>25</v>
      </c>
      <c r="O9" s="12">
        <v>7847</v>
      </c>
      <c r="P9" s="12">
        <v>3494</v>
      </c>
      <c r="Q9" s="12">
        <v>4353</v>
      </c>
      <c r="R9" s="12">
        <v>1920</v>
      </c>
      <c r="S9" s="12">
        <v>800</v>
      </c>
      <c r="T9" s="12">
        <v>1120</v>
      </c>
      <c r="U9" s="12">
        <v>825</v>
      </c>
      <c r="V9" s="12">
        <v>513</v>
      </c>
      <c r="W9" s="12">
        <v>312</v>
      </c>
      <c r="X9" s="12">
        <v>5102</v>
      </c>
      <c r="Y9" s="12">
        <v>2181</v>
      </c>
      <c r="Z9" s="12">
        <v>2921</v>
      </c>
      <c r="AA9" s="12">
        <v>54670.5</v>
      </c>
      <c r="AB9" s="12">
        <v>23030.5</v>
      </c>
      <c r="AC9" s="12">
        <v>31640</v>
      </c>
      <c r="AD9" s="12">
        <v>13548.5</v>
      </c>
      <c r="AE9" s="12">
        <v>5037</v>
      </c>
      <c r="AF9" s="12">
        <v>8511.5</v>
      </c>
      <c r="AG9" s="12">
        <v>4813</v>
      </c>
      <c r="AH9" s="12">
        <v>2940</v>
      </c>
      <c r="AI9" s="12">
        <v>1873</v>
      </c>
      <c r="AJ9" s="12">
        <v>36309</v>
      </c>
      <c r="AK9" s="12">
        <v>15053.5</v>
      </c>
      <c r="AL9" s="12">
        <v>21255.5</v>
      </c>
    </row>
    <row r="10" spans="1:57" s="227" customFormat="1" ht="16.5" customHeight="1">
      <c r="A10" s="192" t="s">
        <v>389</v>
      </c>
      <c r="B10" s="12">
        <v>20</v>
      </c>
      <c r="C10" s="12">
        <v>119</v>
      </c>
      <c r="D10" s="12">
        <v>53</v>
      </c>
      <c r="E10" s="12">
        <v>66</v>
      </c>
      <c r="F10" s="12">
        <v>40</v>
      </c>
      <c r="G10" s="12">
        <v>21</v>
      </c>
      <c r="H10" s="12">
        <v>19</v>
      </c>
      <c r="I10" s="12">
        <v>19</v>
      </c>
      <c r="J10" s="12">
        <v>9</v>
      </c>
      <c r="K10" s="12">
        <v>10</v>
      </c>
      <c r="L10" s="12">
        <v>60</v>
      </c>
      <c r="M10" s="12">
        <v>23</v>
      </c>
      <c r="N10" s="12">
        <v>37</v>
      </c>
      <c r="O10" s="12">
        <v>13491</v>
      </c>
      <c r="P10" s="12">
        <v>5145</v>
      </c>
      <c r="Q10" s="12">
        <v>8346</v>
      </c>
      <c r="R10" s="12">
        <v>4148</v>
      </c>
      <c r="S10" s="12">
        <v>1894</v>
      </c>
      <c r="T10" s="12">
        <v>2254</v>
      </c>
      <c r="U10" s="12">
        <v>1904</v>
      </c>
      <c r="V10" s="12">
        <v>943</v>
      </c>
      <c r="W10" s="12">
        <v>961</v>
      </c>
      <c r="X10" s="12">
        <v>7439</v>
      </c>
      <c r="Y10" s="12">
        <v>2308</v>
      </c>
      <c r="Z10" s="12">
        <v>5131</v>
      </c>
      <c r="AA10" s="12">
        <v>97032.9</v>
      </c>
      <c r="AB10" s="12">
        <v>33892.400000000001</v>
      </c>
      <c r="AC10" s="12">
        <v>63140.5</v>
      </c>
      <c r="AD10" s="12">
        <v>28117.8</v>
      </c>
      <c r="AE10" s="12">
        <v>10569.3</v>
      </c>
      <c r="AF10" s="12">
        <v>17548.5</v>
      </c>
      <c r="AG10" s="12">
        <v>13513.6</v>
      </c>
      <c r="AH10" s="12">
        <v>6729.6</v>
      </c>
      <c r="AI10" s="12">
        <v>6784</v>
      </c>
      <c r="AJ10" s="12">
        <v>55401.5</v>
      </c>
      <c r="AK10" s="12">
        <v>16593.5</v>
      </c>
      <c r="AL10" s="12">
        <v>38808</v>
      </c>
    </row>
    <row r="11" spans="1:57" s="227" customFormat="1" ht="16.5" customHeight="1">
      <c r="A11" s="192" t="s">
        <v>390</v>
      </c>
      <c r="B11" s="12">
        <v>21</v>
      </c>
      <c r="C11" s="12">
        <v>139</v>
      </c>
      <c r="D11" s="12">
        <v>60</v>
      </c>
      <c r="E11" s="12">
        <v>79</v>
      </c>
      <c r="F11" s="12">
        <v>43</v>
      </c>
      <c r="G11" s="12">
        <v>26</v>
      </c>
      <c r="H11" s="12">
        <v>17</v>
      </c>
      <c r="I11" s="12">
        <v>19</v>
      </c>
      <c r="J11" s="12">
        <v>9</v>
      </c>
      <c r="K11" s="12">
        <v>10</v>
      </c>
      <c r="L11" s="12">
        <v>77</v>
      </c>
      <c r="M11" s="12">
        <v>25</v>
      </c>
      <c r="N11" s="12">
        <v>52</v>
      </c>
      <c r="O11" s="12">
        <v>19507</v>
      </c>
      <c r="P11" s="12">
        <v>7837</v>
      </c>
      <c r="Q11" s="12">
        <v>11670</v>
      </c>
      <c r="R11" s="12">
        <v>5270</v>
      </c>
      <c r="S11" s="12">
        <v>2907</v>
      </c>
      <c r="T11" s="12">
        <v>2363</v>
      </c>
      <c r="U11" s="12">
        <v>2863</v>
      </c>
      <c r="V11" s="12">
        <v>1202</v>
      </c>
      <c r="W11" s="12">
        <v>1661</v>
      </c>
      <c r="X11" s="12">
        <v>11374</v>
      </c>
      <c r="Y11" s="12">
        <v>3728</v>
      </c>
      <c r="Z11" s="12">
        <v>7646</v>
      </c>
      <c r="AA11" s="12">
        <v>133910</v>
      </c>
      <c r="AB11" s="12">
        <v>52032.5</v>
      </c>
      <c r="AC11" s="12">
        <v>81877.5</v>
      </c>
      <c r="AD11" s="12">
        <v>32357</v>
      </c>
      <c r="AE11" s="12">
        <v>16455</v>
      </c>
      <c r="AF11" s="12">
        <v>15902</v>
      </c>
      <c r="AG11" s="12">
        <v>21437</v>
      </c>
      <c r="AH11" s="12">
        <v>9847</v>
      </c>
      <c r="AI11" s="12">
        <v>11590</v>
      </c>
      <c r="AJ11" s="12">
        <v>80116</v>
      </c>
      <c r="AK11" s="12">
        <v>25730.5</v>
      </c>
      <c r="AL11" s="12">
        <v>54385.5</v>
      </c>
    </row>
    <row r="12" spans="1:57" s="228" customFormat="1" ht="16.5" customHeight="1">
      <c r="A12" s="192" t="s">
        <v>391</v>
      </c>
      <c r="B12" s="217">
        <v>32</v>
      </c>
      <c r="C12" s="204">
        <v>147</v>
      </c>
      <c r="D12" s="204">
        <v>65</v>
      </c>
      <c r="E12" s="204">
        <v>82</v>
      </c>
      <c r="F12" s="204">
        <v>41</v>
      </c>
      <c r="G12" s="204">
        <v>27</v>
      </c>
      <c r="H12" s="204">
        <v>14</v>
      </c>
      <c r="I12" s="204">
        <v>16</v>
      </c>
      <c r="J12" s="204">
        <v>6</v>
      </c>
      <c r="K12" s="204">
        <v>10</v>
      </c>
      <c r="L12" s="204">
        <v>90</v>
      </c>
      <c r="M12" s="204">
        <v>32</v>
      </c>
      <c r="N12" s="204">
        <v>58</v>
      </c>
      <c r="O12" s="204">
        <v>24747</v>
      </c>
      <c r="P12" s="204">
        <v>10499</v>
      </c>
      <c r="Q12" s="204">
        <v>14248</v>
      </c>
      <c r="R12" s="204">
        <v>6422</v>
      </c>
      <c r="S12" s="204">
        <v>3213</v>
      </c>
      <c r="T12" s="204">
        <v>3209</v>
      </c>
      <c r="U12" s="204">
        <v>2642</v>
      </c>
      <c r="V12" s="204">
        <v>1373</v>
      </c>
      <c r="W12" s="204">
        <v>1269</v>
      </c>
      <c r="X12" s="204">
        <v>15683</v>
      </c>
      <c r="Y12" s="204">
        <v>5913</v>
      </c>
      <c r="Z12" s="204">
        <v>9770</v>
      </c>
      <c r="AA12" s="204">
        <v>180984.5</v>
      </c>
      <c r="AB12" s="204">
        <v>78285.5</v>
      </c>
      <c r="AC12" s="204">
        <v>102699</v>
      </c>
      <c r="AD12" s="204">
        <v>39815</v>
      </c>
      <c r="AE12" s="204">
        <v>20748.5</v>
      </c>
      <c r="AF12" s="204">
        <v>19066.5</v>
      </c>
      <c r="AG12" s="204">
        <v>22017</v>
      </c>
      <c r="AH12" s="204">
        <v>12180</v>
      </c>
      <c r="AI12" s="204">
        <v>9837</v>
      </c>
      <c r="AJ12" s="204">
        <v>119152.5</v>
      </c>
      <c r="AK12" s="204">
        <v>45357</v>
      </c>
      <c r="AL12" s="204">
        <v>73795.5</v>
      </c>
    </row>
    <row r="13" spans="1:57" s="228" customFormat="1" ht="16.5" customHeight="1">
      <c r="A13" s="191" t="s">
        <v>392</v>
      </c>
      <c r="B13" s="217">
        <v>22</v>
      </c>
      <c r="C13" s="204">
        <v>206</v>
      </c>
      <c r="D13" s="204">
        <v>87</v>
      </c>
      <c r="E13" s="204">
        <v>119</v>
      </c>
      <c r="F13" s="204">
        <v>56</v>
      </c>
      <c r="G13" s="204">
        <v>30</v>
      </c>
      <c r="H13" s="204">
        <v>26</v>
      </c>
      <c r="I13" s="204">
        <v>32</v>
      </c>
      <c r="J13" s="204">
        <v>11</v>
      </c>
      <c r="K13" s="204">
        <v>21</v>
      </c>
      <c r="L13" s="204">
        <v>118</v>
      </c>
      <c r="M13" s="204">
        <v>46</v>
      </c>
      <c r="N13" s="204">
        <v>72</v>
      </c>
      <c r="O13" s="204">
        <v>29344</v>
      </c>
      <c r="P13" s="204">
        <v>13301</v>
      </c>
      <c r="Q13" s="204">
        <v>16043</v>
      </c>
      <c r="R13" s="204">
        <v>6346</v>
      </c>
      <c r="S13" s="204">
        <v>3597</v>
      </c>
      <c r="T13" s="204">
        <v>2749</v>
      </c>
      <c r="U13" s="204">
        <v>4023</v>
      </c>
      <c r="V13" s="204">
        <v>1767</v>
      </c>
      <c r="W13" s="204">
        <v>2256</v>
      </c>
      <c r="X13" s="204">
        <v>18975</v>
      </c>
      <c r="Y13" s="204">
        <v>7937</v>
      </c>
      <c r="Z13" s="204">
        <v>11038</v>
      </c>
      <c r="AA13" s="204">
        <v>204502.5</v>
      </c>
      <c r="AB13" s="204">
        <v>95703.5</v>
      </c>
      <c r="AC13" s="204">
        <v>108799</v>
      </c>
      <c r="AD13" s="204">
        <v>41093.5</v>
      </c>
      <c r="AE13" s="204">
        <v>21896.5</v>
      </c>
      <c r="AF13" s="204">
        <v>19197</v>
      </c>
      <c r="AG13" s="204">
        <v>29477</v>
      </c>
      <c r="AH13" s="204">
        <v>14037</v>
      </c>
      <c r="AI13" s="204">
        <v>15440</v>
      </c>
      <c r="AJ13" s="204">
        <v>133932</v>
      </c>
      <c r="AK13" s="204">
        <v>59770</v>
      </c>
      <c r="AL13" s="204">
        <v>74162</v>
      </c>
    </row>
    <row r="14" spans="1:57" s="205" customFormat="1" ht="16.5" customHeight="1">
      <c r="A14" s="192" t="s">
        <v>393</v>
      </c>
      <c r="B14" s="204">
        <v>25</v>
      </c>
      <c r="C14" s="204">
        <v>222</v>
      </c>
      <c r="D14" s="204">
        <v>97</v>
      </c>
      <c r="E14" s="204">
        <v>125</v>
      </c>
      <c r="F14" s="204">
        <v>70</v>
      </c>
      <c r="G14" s="204">
        <v>35</v>
      </c>
      <c r="H14" s="204">
        <v>35</v>
      </c>
      <c r="I14" s="204">
        <v>29</v>
      </c>
      <c r="J14" s="204">
        <v>10</v>
      </c>
      <c r="K14" s="204">
        <v>19</v>
      </c>
      <c r="L14" s="204">
        <v>123</v>
      </c>
      <c r="M14" s="204">
        <v>52</v>
      </c>
      <c r="N14" s="204">
        <v>71</v>
      </c>
      <c r="O14" s="204">
        <v>31213</v>
      </c>
      <c r="P14" s="204">
        <v>13862</v>
      </c>
      <c r="Q14" s="204">
        <v>17351</v>
      </c>
      <c r="R14" s="204">
        <v>8750</v>
      </c>
      <c r="S14" s="204">
        <v>4655</v>
      </c>
      <c r="T14" s="204">
        <v>4095</v>
      </c>
      <c r="U14" s="204">
        <v>4063</v>
      </c>
      <c r="V14" s="204">
        <v>1394</v>
      </c>
      <c r="W14" s="204">
        <v>2669</v>
      </c>
      <c r="X14" s="204">
        <v>18400</v>
      </c>
      <c r="Y14" s="204">
        <v>7813</v>
      </c>
      <c r="Z14" s="204">
        <v>10587</v>
      </c>
      <c r="AA14" s="204">
        <v>235531.5</v>
      </c>
      <c r="AB14" s="204">
        <v>103219</v>
      </c>
      <c r="AC14" s="204">
        <v>132312.5</v>
      </c>
      <c r="AD14" s="204">
        <v>63861.5</v>
      </c>
      <c r="AE14" s="204">
        <v>32073</v>
      </c>
      <c r="AF14" s="204">
        <v>31788.5</v>
      </c>
      <c r="AG14" s="204">
        <v>31156.5</v>
      </c>
      <c r="AH14" s="204">
        <v>10332</v>
      </c>
      <c r="AI14" s="204">
        <v>20824.5</v>
      </c>
      <c r="AJ14" s="204">
        <v>140513.5</v>
      </c>
      <c r="AK14" s="204">
        <v>60814</v>
      </c>
      <c r="AL14" s="204">
        <v>79699.5</v>
      </c>
      <c r="AM14" s="204"/>
      <c r="AN14" s="204"/>
      <c r="AO14" s="204"/>
      <c r="AP14" s="204"/>
      <c r="AQ14" s="204"/>
      <c r="AR14" s="204"/>
      <c r="AS14" s="204"/>
      <c r="AT14" s="204"/>
      <c r="AU14" s="204"/>
      <c r="AV14" s="204"/>
      <c r="AW14" s="204"/>
      <c r="AX14" s="204"/>
      <c r="AY14" s="204"/>
      <c r="AZ14" s="204"/>
      <c r="BA14" s="204"/>
      <c r="BB14" s="204"/>
      <c r="BC14" s="204"/>
      <c r="BD14" s="204"/>
      <c r="BE14" s="204"/>
    </row>
    <row r="15" spans="1:57" s="205" customFormat="1" ht="16.5" customHeight="1">
      <c r="A15" s="193" t="s">
        <v>401</v>
      </c>
      <c r="B15" s="206">
        <v>31</v>
      </c>
      <c r="C15" s="206">
        <v>321</v>
      </c>
      <c r="D15" s="206">
        <v>134</v>
      </c>
      <c r="E15" s="206">
        <v>187</v>
      </c>
      <c r="F15" s="206">
        <v>84</v>
      </c>
      <c r="G15" s="206">
        <v>41</v>
      </c>
      <c r="H15" s="206">
        <v>43</v>
      </c>
      <c r="I15" s="206">
        <v>47</v>
      </c>
      <c r="J15" s="206">
        <v>20</v>
      </c>
      <c r="K15" s="206">
        <v>27</v>
      </c>
      <c r="L15" s="206">
        <v>190</v>
      </c>
      <c r="M15" s="206">
        <v>73</v>
      </c>
      <c r="N15" s="206">
        <v>117</v>
      </c>
      <c r="O15" s="206">
        <v>40746</v>
      </c>
      <c r="P15" s="206">
        <v>18574</v>
      </c>
      <c r="Q15" s="206">
        <v>22172</v>
      </c>
      <c r="R15" s="206">
        <v>10773</v>
      </c>
      <c r="S15" s="206">
        <v>5109</v>
      </c>
      <c r="T15" s="206">
        <v>5664</v>
      </c>
      <c r="U15" s="206">
        <v>5499</v>
      </c>
      <c r="V15" s="206">
        <v>2465</v>
      </c>
      <c r="W15" s="206">
        <v>3034</v>
      </c>
      <c r="X15" s="206">
        <v>24474</v>
      </c>
      <c r="Y15" s="206">
        <v>11000</v>
      </c>
      <c r="Z15" s="206">
        <v>13474</v>
      </c>
      <c r="AA15" s="206">
        <v>271643</v>
      </c>
      <c r="AB15" s="206">
        <v>122088</v>
      </c>
      <c r="AC15" s="206">
        <v>149555</v>
      </c>
      <c r="AD15" s="206">
        <v>71595.7</v>
      </c>
      <c r="AE15" s="206">
        <v>31327.7</v>
      </c>
      <c r="AF15" s="206">
        <v>40268</v>
      </c>
      <c r="AG15" s="206">
        <v>39198</v>
      </c>
      <c r="AH15" s="206">
        <v>16926</v>
      </c>
      <c r="AI15" s="206">
        <v>22272</v>
      </c>
      <c r="AJ15" s="206">
        <v>160849.29999999999</v>
      </c>
      <c r="AK15" s="206">
        <v>73834.3</v>
      </c>
      <c r="AL15" s="206">
        <v>87015</v>
      </c>
      <c r="AM15" s="204"/>
      <c r="AN15" s="204"/>
      <c r="AO15" s="204"/>
      <c r="AP15" s="204"/>
      <c r="AQ15" s="204"/>
      <c r="AR15" s="204"/>
      <c r="AS15" s="204"/>
      <c r="AT15" s="204"/>
      <c r="AU15" s="204"/>
      <c r="AV15" s="204"/>
      <c r="AW15" s="204"/>
      <c r="AX15" s="204"/>
      <c r="AY15" s="204"/>
      <c r="AZ15" s="204"/>
      <c r="BA15" s="204"/>
      <c r="BB15" s="204"/>
      <c r="BC15" s="204"/>
      <c r="BD15" s="204"/>
      <c r="BE15" s="204"/>
    </row>
    <row r="16" spans="1:57" s="205" customFormat="1" ht="16.5" customHeight="1">
      <c r="A16" s="201"/>
      <c r="B16" s="204"/>
      <c r="C16" s="204"/>
      <c r="D16" s="204"/>
      <c r="E16" s="204"/>
      <c r="F16" s="204"/>
      <c r="G16" s="204"/>
      <c r="H16" s="204"/>
      <c r="I16" s="204"/>
      <c r="J16" s="204"/>
      <c r="K16" s="204"/>
      <c r="L16" s="204"/>
      <c r="M16" s="204"/>
      <c r="N16" s="204"/>
      <c r="O16" s="204"/>
      <c r="P16" s="204"/>
      <c r="Q16" s="204"/>
      <c r="R16" s="204"/>
      <c r="S16" s="204"/>
      <c r="T16" s="204"/>
      <c r="U16" s="204"/>
      <c r="V16" s="204"/>
      <c r="W16" s="204"/>
      <c r="X16" s="204"/>
      <c r="Y16" s="204"/>
      <c r="Z16" s="204"/>
      <c r="AA16" s="204"/>
      <c r="AB16" s="204"/>
      <c r="AC16" s="204"/>
      <c r="AD16" s="204"/>
      <c r="AE16" s="204"/>
      <c r="AF16" s="204"/>
      <c r="AG16" s="204"/>
      <c r="AH16" s="204"/>
      <c r="AI16" s="204"/>
      <c r="AJ16" s="204"/>
      <c r="AK16" s="204"/>
      <c r="AL16" s="204"/>
      <c r="AM16" s="204"/>
      <c r="AN16" s="204"/>
      <c r="AO16" s="204"/>
      <c r="AP16" s="204"/>
      <c r="AQ16" s="204"/>
      <c r="AR16" s="204"/>
      <c r="AS16" s="204"/>
      <c r="AT16" s="204"/>
      <c r="AU16" s="204"/>
      <c r="AV16" s="204"/>
      <c r="AW16" s="204"/>
      <c r="AX16" s="204"/>
      <c r="AY16" s="204"/>
      <c r="AZ16" s="204"/>
      <c r="BA16" s="204"/>
      <c r="BB16" s="204"/>
      <c r="BC16" s="204"/>
      <c r="BD16" s="204"/>
    </row>
    <row r="17" spans="1:72" s="82" customFormat="1" ht="15.75" customHeight="1">
      <c r="A17" s="426" t="s">
        <v>418</v>
      </c>
      <c r="B17" s="332" t="s">
        <v>56</v>
      </c>
      <c r="C17" s="304"/>
      <c r="D17" s="304"/>
      <c r="E17" s="304"/>
      <c r="F17" s="304"/>
      <c r="G17" s="304"/>
      <c r="H17" s="304"/>
      <c r="I17" s="304"/>
      <c r="J17" s="304"/>
      <c r="K17" s="304"/>
      <c r="L17" s="304"/>
      <c r="M17" s="304"/>
      <c r="N17" s="304"/>
      <c r="O17" s="304"/>
      <c r="P17" s="304"/>
      <c r="Q17" s="304"/>
      <c r="R17" s="304"/>
      <c r="S17" s="304"/>
      <c r="T17" s="304"/>
      <c r="U17" s="304"/>
      <c r="V17" s="304"/>
      <c r="W17" s="304"/>
      <c r="X17" s="304"/>
      <c r="Y17" s="304"/>
      <c r="Z17" s="304"/>
      <c r="AA17" s="304"/>
      <c r="AB17" s="304"/>
      <c r="AC17" s="304"/>
      <c r="AD17" s="304"/>
      <c r="AE17" s="304"/>
      <c r="AF17" s="304"/>
      <c r="AG17" s="304"/>
      <c r="AH17" s="304"/>
      <c r="AI17" s="304"/>
      <c r="AJ17" s="304"/>
      <c r="AK17" s="304"/>
      <c r="AL17" s="304"/>
      <c r="AM17" s="304"/>
      <c r="AN17" s="304"/>
      <c r="AO17" s="304"/>
      <c r="AP17" s="304"/>
      <c r="AQ17" s="304"/>
      <c r="AR17" s="304"/>
      <c r="AS17" s="304"/>
      <c r="AT17" s="304"/>
      <c r="AU17" s="304"/>
      <c r="AV17" s="304"/>
      <c r="AW17" s="304"/>
      <c r="AX17" s="304"/>
      <c r="AY17" s="304"/>
      <c r="AZ17" s="304"/>
      <c r="BA17" s="304"/>
      <c r="BB17" s="304"/>
      <c r="BC17" s="304"/>
      <c r="BD17" s="304"/>
      <c r="BE17" s="304"/>
      <c r="BF17" s="304"/>
      <c r="BG17" s="304"/>
      <c r="BH17" s="304"/>
      <c r="BI17" s="304"/>
    </row>
    <row r="18" spans="1:72" s="83" customFormat="1" ht="15.75" customHeight="1">
      <c r="A18" s="427"/>
      <c r="B18" s="429" t="s">
        <v>182</v>
      </c>
      <c r="C18" s="430"/>
      <c r="D18" s="430"/>
      <c r="E18" s="430"/>
      <c r="F18" s="430"/>
      <c r="G18" s="430"/>
      <c r="H18" s="430"/>
      <c r="I18" s="430"/>
      <c r="J18" s="430"/>
      <c r="K18" s="430"/>
      <c r="L18" s="430"/>
      <c r="M18" s="431"/>
      <c r="N18" s="319" t="s">
        <v>183</v>
      </c>
      <c r="O18" s="320"/>
      <c r="P18" s="320"/>
      <c r="Q18" s="320"/>
      <c r="R18" s="320"/>
      <c r="S18" s="320"/>
      <c r="T18" s="320"/>
      <c r="U18" s="320"/>
      <c r="V18" s="320"/>
      <c r="W18" s="320"/>
      <c r="X18" s="320"/>
      <c r="Y18" s="321"/>
      <c r="Z18" s="319" t="s">
        <v>184</v>
      </c>
      <c r="AA18" s="320"/>
      <c r="AB18" s="320"/>
      <c r="AC18" s="320"/>
      <c r="AD18" s="320"/>
      <c r="AE18" s="320"/>
      <c r="AF18" s="320"/>
      <c r="AG18" s="320"/>
      <c r="AH18" s="320"/>
      <c r="AI18" s="320"/>
      <c r="AJ18" s="320"/>
      <c r="AK18" s="321"/>
      <c r="AL18" s="319" t="s">
        <v>185</v>
      </c>
      <c r="AM18" s="320"/>
      <c r="AN18" s="320"/>
      <c r="AO18" s="320"/>
      <c r="AP18" s="320"/>
      <c r="AQ18" s="320"/>
      <c r="AR18" s="320"/>
      <c r="AS18" s="320"/>
      <c r="AT18" s="320"/>
      <c r="AU18" s="320"/>
      <c r="AV18" s="320"/>
      <c r="AW18" s="321"/>
      <c r="AX18" s="319" t="s">
        <v>186</v>
      </c>
      <c r="AY18" s="320"/>
      <c r="AZ18" s="320"/>
      <c r="BA18" s="320"/>
      <c r="BB18" s="320"/>
      <c r="BC18" s="320"/>
      <c r="BD18" s="320"/>
      <c r="BE18" s="320"/>
      <c r="BF18" s="320"/>
      <c r="BG18" s="320"/>
      <c r="BH18" s="320"/>
      <c r="BI18" s="320"/>
    </row>
    <row r="19" spans="1:72" s="84" customFormat="1" ht="15.75" customHeight="1">
      <c r="A19" s="427"/>
      <c r="B19" s="316" t="s">
        <v>189</v>
      </c>
      <c r="C19" s="317"/>
      <c r="D19" s="318"/>
      <c r="E19" s="296" t="s">
        <v>178</v>
      </c>
      <c r="F19" s="297"/>
      <c r="G19" s="298"/>
      <c r="H19" s="296" t="s">
        <v>179</v>
      </c>
      <c r="I19" s="297"/>
      <c r="J19" s="298"/>
      <c r="K19" s="296" t="s">
        <v>180</v>
      </c>
      <c r="L19" s="297"/>
      <c r="M19" s="298"/>
      <c r="N19" s="316" t="s">
        <v>189</v>
      </c>
      <c r="O19" s="317"/>
      <c r="P19" s="318"/>
      <c r="Q19" s="296" t="s">
        <v>178</v>
      </c>
      <c r="R19" s="297"/>
      <c r="S19" s="298"/>
      <c r="T19" s="296" t="s">
        <v>179</v>
      </c>
      <c r="U19" s="297"/>
      <c r="V19" s="298"/>
      <c r="W19" s="296" t="s">
        <v>180</v>
      </c>
      <c r="X19" s="297"/>
      <c r="Y19" s="298"/>
      <c r="Z19" s="316" t="s">
        <v>189</v>
      </c>
      <c r="AA19" s="317"/>
      <c r="AB19" s="318"/>
      <c r="AC19" s="296" t="s">
        <v>178</v>
      </c>
      <c r="AD19" s="297"/>
      <c r="AE19" s="298"/>
      <c r="AF19" s="296" t="s">
        <v>179</v>
      </c>
      <c r="AG19" s="297"/>
      <c r="AH19" s="298"/>
      <c r="AI19" s="296" t="s">
        <v>180</v>
      </c>
      <c r="AJ19" s="297"/>
      <c r="AK19" s="298"/>
      <c r="AL19" s="316" t="s">
        <v>189</v>
      </c>
      <c r="AM19" s="317"/>
      <c r="AN19" s="318"/>
      <c r="AO19" s="296" t="s">
        <v>178</v>
      </c>
      <c r="AP19" s="297"/>
      <c r="AQ19" s="298"/>
      <c r="AR19" s="296" t="s">
        <v>179</v>
      </c>
      <c r="AS19" s="297"/>
      <c r="AT19" s="298"/>
      <c r="AU19" s="296" t="s">
        <v>180</v>
      </c>
      <c r="AV19" s="297"/>
      <c r="AW19" s="298"/>
      <c r="AX19" s="316" t="s">
        <v>189</v>
      </c>
      <c r="AY19" s="317"/>
      <c r="AZ19" s="318"/>
      <c r="BA19" s="296" t="s">
        <v>178</v>
      </c>
      <c r="BB19" s="297"/>
      <c r="BC19" s="298"/>
      <c r="BD19" s="296" t="s">
        <v>179</v>
      </c>
      <c r="BE19" s="297"/>
      <c r="BF19" s="298"/>
      <c r="BG19" s="296" t="s">
        <v>180</v>
      </c>
      <c r="BH19" s="297"/>
      <c r="BI19" s="297"/>
    </row>
    <row r="20" spans="1:72" s="84" customFormat="1" ht="36" customHeight="1">
      <c r="A20" s="428"/>
      <c r="B20" s="194" t="s">
        <v>72</v>
      </c>
      <c r="C20" s="194" t="s">
        <v>73</v>
      </c>
      <c r="D20" s="194" t="s">
        <v>74</v>
      </c>
      <c r="E20" s="193" t="s">
        <v>72</v>
      </c>
      <c r="F20" s="194" t="s">
        <v>73</v>
      </c>
      <c r="G20" s="194" t="s">
        <v>74</v>
      </c>
      <c r="H20" s="193" t="s">
        <v>72</v>
      </c>
      <c r="I20" s="194" t="s">
        <v>73</v>
      </c>
      <c r="J20" s="194" t="s">
        <v>74</v>
      </c>
      <c r="K20" s="193" t="s">
        <v>72</v>
      </c>
      <c r="L20" s="194" t="s">
        <v>73</v>
      </c>
      <c r="M20" s="194" t="s">
        <v>74</v>
      </c>
      <c r="N20" s="193" t="s">
        <v>72</v>
      </c>
      <c r="O20" s="194" t="s">
        <v>73</v>
      </c>
      <c r="P20" s="194" t="s">
        <v>74</v>
      </c>
      <c r="Q20" s="193" t="s">
        <v>72</v>
      </c>
      <c r="R20" s="194" t="s">
        <v>73</v>
      </c>
      <c r="S20" s="194" t="s">
        <v>74</v>
      </c>
      <c r="T20" s="193" t="s">
        <v>72</v>
      </c>
      <c r="U20" s="194" t="s">
        <v>73</v>
      </c>
      <c r="V20" s="194" t="s">
        <v>74</v>
      </c>
      <c r="W20" s="193" t="s">
        <v>72</v>
      </c>
      <c r="X20" s="194" t="s">
        <v>73</v>
      </c>
      <c r="Y20" s="194" t="s">
        <v>74</v>
      </c>
      <c r="Z20" s="193" t="s">
        <v>72</v>
      </c>
      <c r="AA20" s="194" t="s">
        <v>73</v>
      </c>
      <c r="AB20" s="194" t="s">
        <v>74</v>
      </c>
      <c r="AC20" s="193" t="s">
        <v>72</v>
      </c>
      <c r="AD20" s="194" t="s">
        <v>73</v>
      </c>
      <c r="AE20" s="194" t="s">
        <v>74</v>
      </c>
      <c r="AF20" s="193" t="s">
        <v>72</v>
      </c>
      <c r="AG20" s="194" t="s">
        <v>73</v>
      </c>
      <c r="AH20" s="194" t="s">
        <v>74</v>
      </c>
      <c r="AI20" s="193" t="s">
        <v>72</v>
      </c>
      <c r="AJ20" s="194" t="s">
        <v>73</v>
      </c>
      <c r="AK20" s="194" t="s">
        <v>74</v>
      </c>
      <c r="AL20" s="193" t="s">
        <v>72</v>
      </c>
      <c r="AM20" s="194" t="s">
        <v>73</v>
      </c>
      <c r="AN20" s="194" t="s">
        <v>74</v>
      </c>
      <c r="AO20" s="193" t="s">
        <v>72</v>
      </c>
      <c r="AP20" s="194" t="s">
        <v>73</v>
      </c>
      <c r="AQ20" s="194" t="s">
        <v>74</v>
      </c>
      <c r="AR20" s="193" t="s">
        <v>72</v>
      </c>
      <c r="AS20" s="194" t="s">
        <v>73</v>
      </c>
      <c r="AT20" s="194" t="s">
        <v>74</v>
      </c>
      <c r="AU20" s="193" t="s">
        <v>72</v>
      </c>
      <c r="AV20" s="194" t="s">
        <v>73</v>
      </c>
      <c r="AW20" s="194" t="s">
        <v>74</v>
      </c>
      <c r="AX20" s="193" t="s">
        <v>72</v>
      </c>
      <c r="AY20" s="194" t="s">
        <v>73</v>
      </c>
      <c r="AZ20" s="194" t="s">
        <v>74</v>
      </c>
      <c r="BA20" s="193" t="s">
        <v>72</v>
      </c>
      <c r="BB20" s="194" t="s">
        <v>73</v>
      </c>
      <c r="BC20" s="194" t="s">
        <v>74</v>
      </c>
      <c r="BD20" s="193" t="s">
        <v>72</v>
      </c>
      <c r="BE20" s="194" t="s">
        <v>73</v>
      </c>
      <c r="BF20" s="194" t="s">
        <v>74</v>
      </c>
      <c r="BG20" s="193" t="s">
        <v>72</v>
      </c>
      <c r="BH20" s="194" t="s">
        <v>73</v>
      </c>
      <c r="BI20" s="195" t="s">
        <v>74</v>
      </c>
    </row>
    <row r="21" spans="1:72" s="208" customFormat="1" ht="16.5" customHeight="1">
      <c r="A21" s="197" t="s">
        <v>434</v>
      </c>
      <c r="B21" s="207">
        <v>693</v>
      </c>
      <c r="C21" s="207">
        <v>258</v>
      </c>
      <c r="D21" s="207">
        <v>435</v>
      </c>
      <c r="E21" s="207">
        <v>155</v>
      </c>
      <c r="F21" s="207">
        <v>80</v>
      </c>
      <c r="G21" s="207">
        <v>75</v>
      </c>
      <c r="H21" s="207">
        <v>154</v>
      </c>
      <c r="I21" s="207">
        <v>51</v>
      </c>
      <c r="J21" s="207">
        <v>103</v>
      </c>
      <c r="K21" s="207">
        <v>384</v>
      </c>
      <c r="L21" s="207">
        <v>127</v>
      </c>
      <c r="M21" s="207">
        <v>257</v>
      </c>
      <c r="N21" s="207">
        <v>461</v>
      </c>
      <c r="O21" s="207">
        <v>145</v>
      </c>
      <c r="P21" s="207">
        <v>316</v>
      </c>
      <c r="Q21" s="207">
        <v>88</v>
      </c>
      <c r="R21" s="207">
        <v>34</v>
      </c>
      <c r="S21" s="207">
        <v>54</v>
      </c>
      <c r="T21" s="207">
        <v>89</v>
      </c>
      <c r="U21" s="207">
        <v>29</v>
      </c>
      <c r="V21" s="207">
        <v>60</v>
      </c>
      <c r="W21" s="207">
        <v>284</v>
      </c>
      <c r="X21" s="207">
        <v>82</v>
      </c>
      <c r="Y21" s="207">
        <v>202</v>
      </c>
      <c r="Z21" s="207">
        <v>41</v>
      </c>
      <c r="AA21" s="207">
        <v>24</v>
      </c>
      <c r="AB21" s="207">
        <v>17</v>
      </c>
      <c r="AC21" s="207">
        <v>18</v>
      </c>
      <c r="AD21" s="207">
        <v>11</v>
      </c>
      <c r="AE21" s="207">
        <v>7</v>
      </c>
      <c r="AF21" s="207">
        <v>10</v>
      </c>
      <c r="AG21" s="207">
        <v>5</v>
      </c>
      <c r="AH21" s="207">
        <v>5</v>
      </c>
      <c r="AI21" s="207">
        <v>13</v>
      </c>
      <c r="AJ21" s="207">
        <v>8</v>
      </c>
      <c r="AK21" s="207">
        <v>5</v>
      </c>
      <c r="AL21" s="207">
        <v>65</v>
      </c>
      <c r="AM21" s="207">
        <v>46</v>
      </c>
      <c r="AN21" s="207">
        <v>19</v>
      </c>
      <c r="AO21" s="207">
        <v>26</v>
      </c>
      <c r="AP21" s="207">
        <v>18</v>
      </c>
      <c r="AQ21" s="207">
        <v>8</v>
      </c>
      <c r="AR21" s="207">
        <v>22</v>
      </c>
      <c r="AS21" s="207">
        <v>13</v>
      </c>
      <c r="AT21" s="207">
        <v>9</v>
      </c>
      <c r="AU21" s="207">
        <v>17</v>
      </c>
      <c r="AV21" s="207">
        <v>15</v>
      </c>
      <c r="AW21" s="207">
        <v>2</v>
      </c>
      <c r="AX21" s="207">
        <v>126</v>
      </c>
      <c r="AY21" s="207">
        <v>43</v>
      </c>
      <c r="AZ21" s="207">
        <v>83</v>
      </c>
      <c r="BA21" s="207">
        <v>23</v>
      </c>
      <c r="BB21" s="207">
        <v>17</v>
      </c>
      <c r="BC21" s="207">
        <v>6</v>
      </c>
      <c r="BD21" s="207">
        <v>33</v>
      </c>
      <c r="BE21" s="207">
        <v>4</v>
      </c>
      <c r="BF21" s="207">
        <v>29</v>
      </c>
      <c r="BG21" s="207">
        <v>70</v>
      </c>
      <c r="BH21" s="207">
        <v>22</v>
      </c>
      <c r="BI21" s="207">
        <v>48</v>
      </c>
    </row>
    <row r="22" spans="1:72" s="205" customFormat="1" ht="15" customHeight="1">
      <c r="A22" s="201"/>
      <c r="B22" s="204"/>
      <c r="C22" s="204"/>
      <c r="D22" s="204"/>
      <c r="E22" s="204"/>
      <c r="F22" s="204"/>
      <c r="G22" s="204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4"/>
      <c r="W22" s="204"/>
      <c r="X22" s="204"/>
      <c r="Y22" s="204"/>
      <c r="Z22" s="204"/>
      <c r="AA22" s="204"/>
      <c r="AB22" s="204"/>
      <c r="AC22" s="204"/>
      <c r="AD22" s="204"/>
      <c r="AE22" s="204"/>
      <c r="AF22" s="204"/>
      <c r="AG22" s="204"/>
      <c r="AH22" s="204"/>
      <c r="AI22" s="204"/>
      <c r="AJ22" s="204"/>
      <c r="AK22" s="204"/>
      <c r="AL22" s="204"/>
      <c r="AM22" s="204"/>
      <c r="AN22" s="204"/>
      <c r="AO22" s="204"/>
      <c r="AP22" s="204"/>
      <c r="AQ22" s="204"/>
      <c r="AR22" s="204"/>
      <c r="AS22" s="204"/>
      <c r="AT22" s="204"/>
      <c r="AU22" s="204"/>
      <c r="AV22" s="204"/>
      <c r="AW22" s="204"/>
      <c r="AX22" s="204"/>
      <c r="AY22" s="204"/>
      <c r="AZ22" s="204"/>
      <c r="BA22" s="204"/>
      <c r="BB22" s="204"/>
      <c r="BC22" s="204"/>
      <c r="BD22" s="204"/>
      <c r="BE22" s="204"/>
      <c r="BF22" s="204"/>
      <c r="BG22" s="204"/>
      <c r="BH22" s="204"/>
      <c r="BI22" s="204"/>
      <c r="BJ22" s="204"/>
      <c r="BK22" s="204"/>
      <c r="BL22" s="204"/>
      <c r="BM22" s="204"/>
      <c r="BN22" s="204"/>
      <c r="BO22" s="204"/>
      <c r="BP22" s="204"/>
      <c r="BQ22" s="204"/>
      <c r="BR22" s="204"/>
      <c r="BS22" s="204"/>
      <c r="BT22" s="204"/>
    </row>
    <row r="23" spans="1:72" ht="12" customHeight="1">
      <c r="A23" s="391" t="s">
        <v>416</v>
      </c>
      <c r="B23" s="304" t="s">
        <v>56</v>
      </c>
      <c r="C23" s="304"/>
      <c r="D23" s="304"/>
      <c r="E23" s="304"/>
      <c r="F23" s="304"/>
      <c r="G23" s="304"/>
      <c r="H23" s="304"/>
      <c r="I23" s="304"/>
      <c r="J23" s="304"/>
      <c r="K23" s="304"/>
      <c r="L23" s="304"/>
      <c r="M23" s="304"/>
      <c r="N23" s="304"/>
      <c r="O23" s="304"/>
      <c r="P23" s="304"/>
      <c r="Q23" s="304"/>
      <c r="R23" s="304"/>
      <c r="S23" s="304"/>
      <c r="T23" s="304"/>
      <c r="U23" s="304"/>
      <c r="V23" s="304"/>
      <c r="W23" s="304"/>
      <c r="X23" s="304"/>
      <c r="Y23" s="305"/>
      <c r="Z23" s="304" t="s">
        <v>196</v>
      </c>
      <c r="AA23" s="304"/>
      <c r="AB23" s="304"/>
      <c r="AC23" s="304"/>
      <c r="AD23" s="304"/>
      <c r="AE23" s="304"/>
      <c r="AF23" s="304"/>
      <c r="AG23" s="304"/>
      <c r="AH23" s="304"/>
      <c r="AI23" s="304"/>
      <c r="AJ23" s="304"/>
      <c r="AK23" s="304"/>
      <c r="AL23" s="304"/>
      <c r="AM23" s="304"/>
      <c r="AN23" s="304"/>
      <c r="AO23" s="304"/>
      <c r="AP23" s="304"/>
      <c r="AQ23" s="304"/>
      <c r="AR23" s="304"/>
      <c r="AS23" s="304"/>
      <c r="AT23" s="304"/>
      <c r="AU23" s="304"/>
      <c r="AV23" s="304"/>
      <c r="AW23" s="304"/>
    </row>
    <row r="24" spans="1:72" ht="12" customHeight="1">
      <c r="A24" s="425"/>
      <c r="B24" s="306" t="s">
        <v>226</v>
      </c>
      <c r="C24" s="306"/>
      <c r="D24" s="306"/>
      <c r="E24" s="307"/>
      <c r="F24" s="296" t="s">
        <v>227</v>
      </c>
      <c r="G24" s="297"/>
      <c r="H24" s="297"/>
      <c r="I24" s="298"/>
      <c r="J24" s="296" t="s">
        <v>232</v>
      </c>
      <c r="K24" s="297"/>
      <c r="L24" s="297"/>
      <c r="M24" s="298"/>
      <c r="N24" s="296" t="s">
        <v>233</v>
      </c>
      <c r="O24" s="297"/>
      <c r="P24" s="297"/>
      <c r="Q24" s="298"/>
      <c r="R24" s="296" t="s">
        <v>228</v>
      </c>
      <c r="S24" s="297"/>
      <c r="T24" s="297"/>
      <c r="U24" s="298"/>
      <c r="V24" s="296" t="s">
        <v>229</v>
      </c>
      <c r="W24" s="297"/>
      <c r="X24" s="297"/>
      <c r="Y24" s="308"/>
      <c r="Z24" s="306" t="s">
        <v>226</v>
      </c>
      <c r="AA24" s="306"/>
      <c r="AB24" s="306"/>
      <c r="AC24" s="307"/>
      <c r="AD24" s="296" t="s">
        <v>227</v>
      </c>
      <c r="AE24" s="297"/>
      <c r="AF24" s="297"/>
      <c r="AG24" s="298"/>
      <c r="AH24" s="296" t="s">
        <v>232</v>
      </c>
      <c r="AI24" s="297"/>
      <c r="AJ24" s="297"/>
      <c r="AK24" s="298"/>
      <c r="AL24" s="296" t="s">
        <v>233</v>
      </c>
      <c r="AM24" s="297"/>
      <c r="AN24" s="297"/>
      <c r="AO24" s="298"/>
      <c r="AP24" s="296" t="s">
        <v>228</v>
      </c>
      <c r="AQ24" s="297"/>
      <c r="AR24" s="297"/>
      <c r="AS24" s="298"/>
      <c r="AT24" s="296" t="s">
        <v>229</v>
      </c>
      <c r="AU24" s="297"/>
      <c r="AV24" s="297"/>
      <c r="AW24" s="297"/>
    </row>
    <row r="25" spans="1:72" s="9" customFormat="1" ht="12" customHeight="1">
      <c r="A25" s="425"/>
      <c r="B25" s="289" t="s">
        <v>189</v>
      </c>
      <c r="C25" s="291" t="s">
        <v>178</v>
      </c>
      <c r="D25" s="291" t="s">
        <v>231</v>
      </c>
      <c r="E25" s="291" t="s">
        <v>180</v>
      </c>
      <c r="F25" s="289" t="s">
        <v>189</v>
      </c>
      <c r="G25" s="291" t="s">
        <v>178</v>
      </c>
      <c r="H25" s="291" t="s">
        <v>231</v>
      </c>
      <c r="I25" s="287" t="s">
        <v>180</v>
      </c>
      <c r="J25" s="289" t="s">
        <v>189</v>
      </c>
      <c r="K25" s="291" t="s">
        <v>178</v>
      </c>
      <c r="L25" s="291" t="s">
        <v>231</v>
      </c>
      <c r="M25" s="287" t="s">
        <v>180</v>
      </c>
      <c r="N25" s="289" t="s">
        <v>189</v>
      </c>
      <c r="O25" s="291" t="s">
        <v>178</v>
      </c>
      <c r="P25" s="291" t="s">
        <v>231</v>
      </c>
      <c r="Q25" s="287" t="s">
        <v>180</v>
      </c>
      <c r="R25" s="289" t="s">
        <v>189</v>
      </c>
      <c r="S25" s="291" t="s">
        <v>178</v>
      </c>
      <c r="T25" s="291" t="s">
        <v>231</v>
      </c>
      <c r="U25" s="287" t="s">
        <v>180</v>
      </c>
      <c r="V25" s="289" t="s">
        <v>189</v>
      </c>
      <c r="W25" s="291" t="s">
        <v>178</v>
      </c>
      <c r="X25" s="291" t="s">
        <v>231</v>
      </c>
      <c r="Y25" s="299" t="s">
        <v>180</v>
      </c>
      <c r="Z25" s="289" t="s">
        <v>189</v>
      </c>
      <c r="AA25" s="291" t="s">
        <v>178</v>
      </c>
      <c r="AB25" s="291" t="s">
        <v>231</v>
      </c>
      <c r="AC25" s="291" t="s">
        <v>180</v>
      </c>
      <c r="AD25" s="289" t="s">
        <v>189</v>
      </c>
      <c r="AE25" s="291" t="s">
        <v>178</v>
      </c>
      <c r="AF25" s="291" t="s">
        <v>231</v>
      </c>
      <c r="AG25" s="287" t="s">
        <v>180</v>
      </c>
      <c r="AH25" s="289" t="s">
        <v>189</v>
      </c>
      <c r="AI25" s="291" t="s">
        <v>178</v>
      </c>
      <c r="AJ25" s="291" t="s">
        <v>231</v>
      </c>
      <c r="AK25" s="287" t="s">
        <v>180</v>
      </c>
      <c r="AL25" s="289" t="s">
        <v>189</v>
      </c>
      <c r="AM25" s="291" t="s">
        <v>178</v>
      </c>
      <c r="AN25" s="291" t="s">
        <v>231</v>
      </c>
      <c r="AO25" s="287" t="s">
        <v>180</v>
      </c>
      <c r="AP25" s="289" t="s">
        <v>189</v>
      </c>
      <c r="AQ25" s="291" t="s">
        <v>178</v>
      </c>
      <c r="AR25" s="291" t="s">
        <v>231</v>
      </c>
      <c r="AS25" s="287" t="s">
        <v>180</v>
      </c>
      <c r="AT25" s="289" t="s">
        <v>189</v>
      </c>
      <c r="AU25" s="291" t="s">
        <v>178</v>
      </c>
      <c r="AV25" s="291" t="s">
        <v>231</v>
      </c>
      <c r="AW25" s="293" t="s">
        <v>180</v>
      </c>
    </row>
    <row r="26" spans="1:72" ht="20.25" customHeight="1">
      <c r="A26" s="394"/>
      <c r="B26" s="290"/>
      <c r="C26" s="292"/>
      <c r="D26" s="292"/>
      <c r="E26" s="292"/>
      <c r="F26" s="290"/>
      <c r="G26" s="292"/>
      <c r="H26" s="292"/>
      <c r="I26" s="288"/>
      <c r="J26" s="290"/>
      <c r="K26" s="292"/>
      <c r="L26" s="292"/>
      <c r="M26" s="288"/>
      <c r="N26" s="290"/>
      <c r="O26" s="292"/>
      <c r="P26" s="292"/>
      <c r="Q26" s="288"/>
      <c r="R26" s="290"/>
      <c r="S26" s="292"/>
      <c r="T26" s="292"/>
      <c r="U26" s="288"/>
      <c r="V26" s="290"/>
      <c r="W26" s="292"/>
      <c r="X26" s="292"/>
      <c r="Y26" s="300"/>
      <c r="Z26" s="290"/>
      <c r="AA26" s="292"/>
      <c r="AB26" s="292"/>
      <c r="AC26" s="292"/>
      <c r="AD26" s="290"/>
      <c r="AE26" s="292"/>
      <c r="AF26" s="292"/>
      <c r="AG26" s="288"/>
      <c r="AH26" s="290"/>
      <c r="AI26" s="292"/>
      <c r="AJ26" s="292"/>
      <c r="AK26" s="288"/>
      <c r="AL26" s="290"/>
      <c r="AM26" s="292"/>
      <c r="AN26" s="292"/>
      <c r="AO26" s="288"/>
      <c r="AP26" s="290"/>
      <c r="AQ26" s="292"/>
      <c r="AR26" s="292"/>
      <c r="AS26" s="288"/>
      <c r="AT26" s="290"/>
      <c r="AU26" s="292"/>
      <c r="AV26" s="292"/>
      <c r="AW26" s="294"/>
    </row>
    <row r="27" spans="1:72" ht="14.25">
      <c r="A27" s="190" t="s">
        <v>403</v>
      </c>
      <c r="B27" s="204">
        <v>586</v>
      </c>
      <c r="C27" s="204">
        <v>150</v>
      </c>
      <c r="D27" s="204">
        <v>93</v>
      </c>
      <c r="E27" s="204">
        <v>343</v>
      </c>
      <c r="F27" s="204">
        <v>200</v>
      </c>
      <c r="G27" s="204">
        <v>28</v>
      </c>
      <c r="H27" s="204">
        <v>9</v>
      </c>
      <c r="I27" s="204">
        <v>163</v>
      </c>
      <c r="J27" s="204">
        <v>113</v>
      </c>
      <c r="K27" s="204">
        <v>23</v>
      </c>
      <c r="L27" s="204">
        <v>20</v>
      </c>
      <c r="M27" s="204">
        <v>70</v>
      </c>
      <c r="N27" s="204">
        <v>100</v>
      </c>
      <c r="O27" s="204">
        <v>48</v>
      </c>
      <c r="P27" s="204">
        <v>33</v>
      </c>
      <c r="Q27" s="204">
        <v>19</v>
      </c>
      <c r="R27" s="204">
        <v>32</v>
      </c>
      <c r="S27" s="204">
        <v>13</v>
      </c>
      <c r="T27" s="204">
        <v>5</v>
      </c>
      <c r="U27" s="204">
        <v>14</v>
      </c>
      <c r="V27" s="204">
        <v>141</v>
      </c>
      <c r="W27" s="204">
        <v>38</v>
      </c>
      <c r="X27" s="204">
        <v>26</v>
      </c>
      <c r="Y27" s="204">
        <v>77</v>
      </c>
      <c r="Z27" s="204">
        <v>1545</v>
      </c>
      <c r="AA27" s="204">
        <v>312</v>
      </c>
      <c r="AB27" s="204">
        <v>200</v>
      </c>
      <c r="AC27" s="204">
        <v>1033</v>
      </c>
      <c r="AD27" s="204">
        <v>678</v>
      </c>
      <c r="AE27" s="204">
        <v>99</v>
      </c>
      <c r="AF27" s="204">
        <v>41</v>
      </c>
      <c r="AG27" s="204">
        <v>538</v>
      </c>
      <c r="AH27" s="204">
        <v>292</v>
      </c>
      <c r="AI27" s="204">
        <v>49</v>
      </c>
      <c r="AJ27" s="204">
        <v>39</v>
      </c>
      <c r="AK27" s="204">
        <v>204</v>
      </c>
      <c r="AL27" s="204">
        <v>166</v>
      </c>
      <c r="AM27" s="204">
        <v>74</v>
      </c>
      <c r="AN27" s="204">
        <v>50</v>
      </c>
      <c r="AO27" s="204">
        <v>42</v>
      </c>
      <c r="AP27" s="204">
        <v>45</v>
      </c>
      <c r="AQ27" s="204">
        <v>22</v>
      </c>
      <c r="AR27" s="204">
        <v>10</v>
      </c>
      <c r="AS27" s="204">
        <v>13</v>
      </c>
      <c r="AT27" s="204">
        <v>364</v>
      </c>
      <c r="AU27" s="204">
        <v>68</v>
      </c>
      <c r="AV27" s="204">
        <v>60</v>
      </c>
      <c r="AW27" s="204">
        <v>236</v>
      </c>
    </row>
    <row r="28" spans="1:72" ht="14.25">
      <c r="A28" s="192" t="s">
        <v>433</v>
      </c>
      <c r="B28" s="229">
        <v>826</v>
      </c>
      <c r="C28" s="206">
        <v>204</v>
      </c>
      <c r="D28" s="206">
        <v>136</v>
      </c>
      <c r="E28" s="206">
        <v>486</v>
      </c>
      <c r="F28" s="206">
        <v>319</v>
      </c>
      <c r="G28" s="206">
        <v>57</v>
      </c>
      <c r="H28" s="206">
        <v>38</v>
      </c>
      <c r="I28" s="206">
        <v>224</v>
      </c>
      <c r="J28" s="206">
        <v>161</v>
      </c>
      <c r="K28" s="206">
        <v>33</v>
      </c>
      <c r="L28" s="206">
        <v>23</v>
      </c>
      <c r="M28" s="206">
        <v>105</v>
      </c>
      <c r="N28" s="206">
        <v>139</v>
      </c>
      <c r="O28" s="206">
        <v>50</v>
      </c>
      <c r="P28" s="206">
        <v>43</v>
      </c>
      <c r="Q28" s="206">
        <v>46</v>
      </c>
      <c r="R28" s="206">
        <v>47</v>
      </c>
      <c r="S28" s="206">
        <v>19</v>
      </c>
      <c r="T28" s="206">
        <v>14</v>
      </c>
      <c r="U28" s="206">
        <v>14</v>
      </c>
      <c r="V28" s="206">
        <v>160</v>
      </c>
      <c r="W28" s="206">
        <v>45</v>
      </c>
      <c r="X28" s="206">
        <v>18</v>
      </c>
      <c r="Y28" s="206">
        <v>97</v>
      </c>
      <c r="Z28" s="206">
        <v>1417</v>
      </c>
      <c r="AA28" s="206">
        <v>349</v>
      </c>
      <c r="AB28" s="206">
        <v>228</v>
      </c>
      <c r="AC28" s="206">
        <v>840</v>
      </c>
      <c r="AD28" s="206">
        <v>517</v>
      </c>
      <c r="AE28" s="206">
        <v>88</v>
      </c>
      <c r="AF28" s="206">
        <v>56</v>
      </c>
      <c r="AG28" s="206">
        <v>373</v>
      </c>
      <c r="AH28" s="206">
        <v>325</v>
      </c>
      <c r="AI28" s="206">
        <v>80</v>
      </c>
      <c r="AJ28" s="206">
        <v>41</v>
      </c>
      <c r="AK28" s="206">
        <v>204</v>
      </c>
      <c r="AL28" s="206">
        <v>258</v>
      </c>
      <c r="AM28" s="206">
        <v>107</v>
      </c>
      <c r="AN28" s="206">
        <v>76</v>
      </c>
      <c r="AO28" s="206">
        <v>75</v>
      </c>
      <c r="AP28" s="206">
        <v>82</v>
      </c>
      <c r="AQ28" s="206">
        <v>30</v>
      </c>
      <c r="AR28" s="206">
        <v>21</v>
      </c>
      <c r="AS28" s="206">
        <v>31</v>
      </c>
      <c r="AT28" s="206">
        <v>235</v>
      </c>
      <c r="AU28" s="206">
        <v>44</v>
      </c>
      <c r="AV28" s="206">
        <v>34</v>
      </c>
      <c r="AW28" s="206">
        <v>157</v>
      </c>
    </row>
    <row r="29" spans="1:72" ht="16.5" hidden="1" customHeight="1">
      <c r="A29" s="230" t="s">
        <v>415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X29" s="231">
        <v>0</v>
      </c>
      <c r="Y29" s="231">
        <v>0</v>
      </c>
      <c r="Z29" s="231">
        <v>0</v>
      </c>
      <c r="AA29" s="231">
        <v>0</v>
      </c>
      <c r="AB29" s="231">
        <v>0</v>
      </c>
      <c r="AC29" s="231">
        <v>0</v>
      </c>
      <c r="AD29" s="231">
        <v>0</v>
      </c>
      <c r="AE29" s="231">
        <v>0</v>
      </c>
      <c r="AF29" s="231">
        <v>0</v>
      </c>
      <c r="AG29" s="231">
        <v>0</v>
      </c>
      <c r="AH29" s="231">
        <v>0</v>
      </c>
      <c r="AI29" s="231">
        <v>0</v>
      </c>
      <c r="AJ29" s="231">
        <v>0</v>
      </c>
      <c r="AK29" s="231">
        <v>0</v>
      </c>
      <c r="AL29" s="231">
        <v>0</v>
      </c>
      <c r="AM29" s="231">
        <v>0</v>
      </c>
      <c r="AN29" s="231">
        <v>0</v>
      </c>
      <c r="AO29" s="231">
        <v>0</v>
      </c>
      <c r="AP29" s="231">
        <v>0</v>
      </c>
      <c r="AQ29" s="231">
        <v>0</v>
      </c>
      <c r="AR29" s="231">
        <v>0</v>
      </c>
      <c r="AS29" s="231">
        <v>0</v>
      </c>
      <c r="AT29" s="231">
        <v>0</v>
      </c>
      <c r="AU29" s="231">
        <v>0</v>
      </c>
      <c r="AV29" s="231">
        <v>0</v>
      </c>
      <c r="AW29" s="231">
        <v>0</v>
      </c>
    </row>
    <row r="30" spans="1:72" s="235" customFormat="1" ht="12" customHeight="1">
      <c r="A30" s="85" t="s">
        <v>431</v>
      </c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3"/>
      <c r="M30" s="233"/>
      <c r="N30" s="233"/>
      <c r="O30" s="233"/>
      <c r="P30" s="233"/>
      <c r="Q30" s="233"/>
      <c r="R30" s="233"/>
      <c r="S30" s="233"/>
      <c r="T30" s="233"/>
      <c r="U30" s="233"/>
      <c r="V30" s="233"/>
      <c r="W30" s="233"/>
      <c r="X30" s="233"/>
      <c r="Y30" s="233"/>
      <c r="Z30" s="233"/>
      <c r="AA30" s="233"/>
      <c r="AB30" s="233"/>
      <c r="AC30" s="233"/>
      <c r="AD30" s="233"/>
      <c r="AE30" s="233"/>
      <c r="AF30" s="233"/>
      <c r="AG30" s="233"/>
      <c r="AH30" s="233"/>
      <c r="AI30" s="233"/>
      <c r="AJ30" s="233"/>
      <c r="AK30" s="233"/>
      <c r="AL30" s="233"/>
      <c r="AM30" s="234"/>
      <c r="AN30" s="234"/>
      <c r="AO30" s="234"/>
      <c r="AP30" s="234"/>
      <c r="AQ30" s="234"/>
      <c r="AR30" s="234"/>
      <c r="AS30" s="234"/>
      <c r="AT30" s="234"/>
      <c r="AU30" s="234"/>
      <c r="AV30" s="234"/>
      <c r="AW30" s="234"/>
    </row>
    <row r="31" spans="1:72" s="13" customFormat="1" ht="12" customHeight="1">
      <c r="A31" s="236" t="s">
        <v>257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205"/>
      <c r="AN31" s="205"/>
      <c r="AO31" s="205"/>
      <c r="AP31" s="205"/>
      <c r="AQ31" s="205"/>
      <c r="AR31" s="205"/>
      <c r="AS31" s="205"/>
      <c r="AT31" s="205"/>
      <c r="AU31" s="205"/>
      <c r="AV31" s="205"/>
      <c r="AW31" s="205"/>
    </row>
    <row r="32" spans="1:72" ht="49.9" customHeight="1">
      <c r="A32" s="295" t="s">
        <v>432</v>
      </c>
      <c r="B32" s="295"/>
      <c r="C32" s="295"/>
      <c r="D32" s="295"/>
      <c r="E32" s="295"/>
      <c r="F32" s="295"/>
      <c r="G32" s="295"/>
      <c r="H32" s="295"/>
      <c r="I32" s="295"/>
      <c r="J32" s="295"/>
      <c r="K32" s="295"/>
      <c r="L32" s="295"/>
      <c r="M32" s="295"/>
      <c r="N32" s="295"/>
      <c r="O32" s="295"/>
      <c r="P32" s="295"/>
      <c r="Q32" s="295"/>
      <c r="R32" s="295"/>
      <c r="S32" s="295"/>
    </row>
    <row r="33" spans="1:1">
      <c r="A33" s="31" t="s">
        <v>243</v>
      </c>
    </row>
  </sheetData>
  <mergeCells count="141">
    <mergeCell ref="A3:A6"/>
    <mergeCell ref="B3:B6"/>
    <mergeCell ref="C3:N3"/>
    <mergeCell ref="O3:Z3"/>
    <mergeCell ref="AA3:AL3"/>
    <mergeCell ref="F4:H4"/>
    <mergeCell ref="I4:K4"/>
    <mergeCell ref="L4:N4"/>
    <mergeCell ref="R4:T4"/>
    <mergeCell ref="U4:W4"/>
    <mergeCell ref="X4:Z4"/>
    <mergeCell ref="AD4:AF4"/>
    <mergeCell ref="AG4:AI4"/>
    <mergeCell ref="AJ4:AL4"/>
    <mergeCell ref="C5:C6"/>
    <mergeCell ref="D5:D6"/>
    <mergeCell ref="E5:E6"/>
    <mergeCell ref="F5:F6"/>
    <mergeCell ref="G5:G6"/>
    <mergeCell ref="H5:H6"/>
    <mergeCell ref="Y5:Y6"/>
    <mergeCell ref="Z5:Z6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B18:M18"/>
    <mergeCell ref="N18:Y18"/>
    <mergeCell ref="Z18:AK18"/>
    <mergeCell ref="AL18:AW18"/>
    <mergeCell ref="AX18:BI18"/>
    <mergeCell ref="B19:D19"/>
    <mergeCell ref="E19:G19"/>
    <mergeCell ref="H19:J19"/>
    <mergeCell ref="AG5:AG6"/>
    <mergeCell ref="AH5:AH6"/>
    <mergeCell ref="AI5:AI6"/>
    <mergeCell ref="AJ5:AJ6"/>
    <mergeCell ref="AK5:AK6"/>
    <mergeCell ref="AL5:AL6"/>
    <mergeCell ref="AA5:AA6"/>
    <mergeCell ref="AB5:AB6"/>
    <mergeCell ref="AC5:AC6"/>
    <mergeCell ref="AD5:AD6"/>
    <mergeCell ref="AE5:AE6"/>
    <mergeCell ref="AF5:AF6"/>
    <mergeCell ref="U5:U6"/>
    <mergeCell ref="V5:V6"/>
    <mergeCell ref="W5:W6"/>
    <mergeCell ref="X5:X6"/>
    <mergeCell ref="AU19:AW19"/>
    <mergeCell ref="AX19:AZ19"/>
    <mergeCell ref="BA19:BC19"/>
    <mergeCell ref="BD19:BF19"/>
    <mergeCell ref="BG19:BI19"/>
    <mergeCell ref="A23:A26"/>
    <mergeCell ref="B23:Y23"/>
    <mergeCell ref="Z23:AW23"/>
    <mergeCell ref="B24:E24"/>
    <mergeCell ref="F24:I24"/>
    <mergeCell ref="AC19:AE19"/>
    <mergeCell ref="AF19:AH19"/>
    <mergeCell ref="AI19:AK19"/>
    <mergeCell ref="AL19:AN19"/>
    <mergeCell ref="AO19:AQ19"/>
    <mergeCell ref="AR19:AT19"/>
    <mergeCell ref="K19:M19"/>
    <mergeCell ref="N19:P19"/>
    <mergeCell ref="Q19:S19"/>
    <mergeCell ref="T19:V19"/>
    <mergeCell ref="W19:Y19"/>
    <mergeCell ref="Z19:AB19"/>
    <mergeCell ref="A17:A20"/>
    <mergeCell ref="B17:BI17"/>
    <mergeCell ref="AT24:AW24"/>
    <mergeCell ref="B25:B26"/>
    <mergeCell ref="C25:C26"/>
    <mergeCell ref="D25:D26"/>
    <mergeCell ref="E25:E26"/>
    <mergeCell ref="F25:F26"/>
    <mergeCell ref="G25:G26"/>
    <mergeCell ref="J24:M24"/>
    <mergeCell ref="N24:Q24"/>
    <mergeCell ref="R24:U24"/>
    <mergeCell ref="V24:Y24"/>
    <mergeCell ref="Z24:AC24"/>
    <mergeCell ref="AD24:AG24"/>
    <mergeCell ref="H25:H26"/>
    <mergeCell ref="I25:I26"/>
    <mergeCell ref="J25:J26"/>
    <mergeCell ref="K25:K26"/>
    <mergeCell ref="L25:L26"/>
    <mergeCell ref="M25:M26"/>
    <mergeCell ref="AH24:AK24"/>
    <mergeCell ref="AL24:AO24"/>
    <mergeCell ref="AP24:AS24"/>
    <mergeCell ref="AE25:AE26"/>
    <mergeCell ref="T25:T26"/>
    <mergeCell ref="U25:U26"/>
    <mergeCell ref="V25:V26"/>
    <mergeCell ref="W25:W26"/>
    <mergeCell ref="X25:X26"/>
    <mergeCell ref="Y25:Y26"/>
    <mergeCell ref="N25:N26"/>
    <mergeCell ref="O25:O26"/>
    <mergeCell ref="P25:P26"/>
    <mergeCell ref="Q25:Q26"/>
    <mergeCell ref="R25:R26"/>
    <mergeCell ref="S25:S26"/>
    <mergeCell ref="A32:S32"/>
    <mergeCell ref="AR25:AR26"/>
    <mergeCell ref="AS25:AS26"/>
    <mergeCell ref="AT25:AT26"/>
    <mergeCell ref="AU25:AU26"/>
    <mergeCell ref="AV25:AV26"/>
    <mergeCell ref="AW25:AW26"/>
    <mergeCell ref="AL25:AL26"/>
    <mergeCell ref="AM25:AM26"/>
    <mergeCell ref="AN25:AN26"/>
    <mergeCell ref="AO25:AO26"/>
    <mergeCell ref="AP25:AP26"/>
    <mergeCell ref="AQ25:AQ26"/>
    <mergeCell ref="AF25:AF26"/>
    <mergeCell ref="AG25:AG26"/>
    <mergeCell ref="AH25:AH26"/>
    <mergeCell ref="AI25:AI26"/>
    <mergeCell ref="AJ25:AJ26"/>
    <mergeCell ref="AK25:AK26"/>
    <mergeCell ref="Z25:Z26"/>
    <mergeCell ref="AA25:AA26"/>
    <mergeCell ref="AB25:AB26"/>
    <mergeCell ref="AC25:AC26"/>
    <mergeCell ref="AD25:AD26"/>
  </mergeCells>
  <phoneticPr fontId="6" type="noConversion"/>
  <pageMargins left="0.7" right="0.7" top="0.75" bottom="0.75" header="0.3" footer="0.3"/>
  <pageSetup paperSize="9" orientation="portrait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AX80"/>
  <sheetViews>
    <sheetView zoomScaleNormal="100" zoomScaleSheetLayoutView="75" workbookViewId="0">
      <pane xSplit="2" ySplit="6" topLeftCell="C7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9.33203125" style="3" customWidth="1"/>
    <col min="2" max="2" width="20" style="3" customWidth="1"/>
    <col min="3" max="26" width="10.6640625" style="3" customWidth="1"/>
    <col min="27" max="50" width="10" style="3" customWidth="1"/>
    <col min="51" max="16384" width="12" style="3"/>
  </cols>
  <sheetData>
    <row r="1" spans="1:50" ht="21">
      <c r="A1" s="142" t="s">
        <v>244</v>
      </c>
      <c r="B1" s="25"/>
    </row>
    <row r="2" spans="1:50" ht="25.5" customHeight="1">
      <c r="A2" s="26" t="s">
        <v>242</v>
      </c>
      <c r="B2" s="27"/>
      <c r="C2" s="60" t="str">
        <f>IF(C7=SUM(C10,C13,C16,C19,C22,C25,C28,C31,C34,C37,C40,C43,C46,C49,C52,C55,C58,C61,C64,C67,C70,C73),"","*")</f>
        <v/>
      </c>
      <c r="D2" s="60" t="str">
        <f t="shared" ref="D2:AX2" si="0">IF(D7=SUM(D10,D13,D16,D19,D22,D25,D28,D31,D34,D37,D40,D43,D46,D49,D52,D55,D58,D61,D64,D67,D70,D73),"","*")</f>
        <v/>
      </c>
      <c r="E2" s="60" t="str">
        <f t="shared" si="0"/>
        <v/>
      </c>
      <c r="F2" s="60" t="str">
        <f t="shared" si="0"/>
        <v/>
      </c>
      <c r="G2" s="60" t="str">
        <f t="shared" si="0"/>
        <v/>
      </c>
      <c r="H2" s="60" t="str">
        <f t="shared" si="0"/>
        <v/>
      </c>
      <c r="I2" s="60" t="str">
        <f t="shared" si="0"/>
        <v/>
      </c>
      <c r="J2" s="60" t="str">
        <f t="shared" si="0"/>
        <v/>
      </c>
      <c r="K2" s="60" t="str">
        <f t="shared" si="0"/>
        <v/>
      </c>
      <c r="L2" s="60" t="str">
        <f t="shared" si="0"/>
        <v/>
      </c>
      <c r="M2" s="60" t="str">
        <f t="shared" si="0"/>
        <v/>
      </c>
      <c r="N2" s="60" t="str">
        <f t="shared" si="0"/>
        <v/>
      </c>
      <c r="O2" s="60" t="str">
        <f t="shared" si="0"/>
        <v/>
      </c>
      <c r="P2" s="60" t="str">
        <f t="shared" si="0"/>
        <v/>
      </c>
      <c r="Q2" s="60" t="str">
        <f t="shared" si="0"/>
        <v/>
      </c>
      <c r="R2" s="60" t="str">
        <f t="shared" si="0"/>
        <v/>
      </c>
      <c r="S2" s="60" t="str">
        <f t="shared" si="0"/>
        <v/>
      </c>
      <c r="T2" s="60" t="str">
        <f t="shared" si="0"/>
        <v/>
      </c>
      <c r="U2" s="60" t="str">
        <f t="shared" si="0"/>
        <v/>
      </c>
      <c r="V2" s="60" t="str">
        <f t="shared" si="0"/>
        <v/>
      </c>
      <c r="W2" s="60" t="str">
        <f t="shared" si="0"/>
        <v/>
      </c>
      <c r="X2" s="60" t="str">
        <f t="shared" si="0"/>
        <v/>
      </c>
      <c r="Y2" s="60" t="str">
        <f t="shared" si="0"/>
        <v/>
      </c>
      <c r="Z2" s="60" t="str">
        <f t="shared" si="0"/>
        <v/>
      </c>
      <c r="AA2" s="60" t="str">
        <f t="shared" si="0"/>
        <v/>
      </c>
      <c r="AB2" s="60" t="str">
        <f t="shared" si="0"/>
        <v/>
      </c>
      <c r="AC2" s="60" t="str">
        <f t="shared" si="0"/>
        <v/>
      </c>
      <c r="AD2" s="60" t="str">
        <f t="shared" si="0"/>
        <v/>
      </c>
      <c r="AE2" s="60" t="str">
        <f t="shared" si="0"/>
        <v/>
      </c>
      <c r="AF2" s="60" t="str">
        <f t="shared" si="0"/>
        <v/>
      </c>
      <c r="AG2" s="60" t="str">
        <f t="shared" si="0"/>
        <v/>
      </c>
      <c r="AH2" s="60" t="str">
        <f t="shared" si="0"/>
        <v/>
      </c>
      <c r="AI2" s="60" t="str">
        <f t="shared" si="0"/>
        <v/>
      </c>
      <c r="AJ2" s="60" t="str">
        <f t="shared" si="0"/>
        <v/>
      </c>
      <c r="AK2" s="60" t="str">
        <f t="shared" si="0"/>
        <v/>
      </c>
      <c r="AL2" s="60" t="str">
        <f t="shared" si="0"/>
        <v/>
      </c>
      <c r="AM2" s="60" t="str">
        <f t="shared" si="0"/>
        <v/>
      </c>
      <c r="AN2" s="60" t="str">
        <f t="shared" si="0"/>
        <v/>
      </c>
      <c r="AO2" s="60" t="str">
        <f t="shared" si="0"/>
        <v/>
      </c>
      <c r="AP2" s="60" t="str">
        <f t="shared" si="0"/>
        <v/>
      </c>
      <c r="AQ2" s="60" t="str">
        <f t="shared" si="0"/>
        <v/>
      </c>
      <c r="AR2" s="60" t="str">
        <f t="shared" si="0"/>
        <v/>
      </c>
      <c r="AS2" s="60" t="str">
        <f t="shared" si="0"/>
        <v/>
      </c>
      <c r="AT2" s="60" t="str">
        <f t="shared" si="0"/>
        <v/>
      </c>
      <c r="AU2" s="60" t="str">
        <f t="shared" si="0"/>
        <v/>
      </c>
      <c r="AV2" s="60" t="str">
        <f t="shared" si="0"/>
        <v/>
      </c>
      <c r="AW2" s="60" t="str">
        <f t="shared" si="0"/>
        <v/>
      </c>
      <c r="AX2" s="60" t="str">
        <f t="shared" si="0"/>
        <v/>
      </c>
    </row>
    <row r="3" spans="1:50" ht="20.25" customHeight="1">
      <c r="A3" s="329" t="s">
        <v>78</v>
      </c>
      <c r="B3" s="301"/>
      <c r="C3" s="304" t="s">
        <v>56</v>
      </c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  <c r="X3" s="304"/>
      <c r="Y3" s="304"/>
      <c r="Z3" s="305"/>
      <c r="AA3" s="304" t="s">
        <v>196</v>
      </c>
      <c r="AB3" s="304"/>
      <c r="AC3" s="304"/>
      <c r="AD3" s="304"/>
      <c r="AE3" s="304"/>
      <c r="AF3" s="304"/>
      <c r="AG3" s="304"/>
      <c r="AH3" s="304"/>
      <c r="AI3" s="304"/>
      <c r="AJ3" s="304"/>
      <c r="AK3" s="304"/>
      <c r="AL3" s="304"/>
      <c r="AM3" s="304"/>
      <c r="AN3" s="304"/>
      <c r="AO3" s="304"/>
      <c r="AP3" s="304"/>
      <c r="AQ3" s="304"/>
      <c r="AR3" s="304"/>
      <c r="AS3" s="304"/>
      <c r="AT3" s="304"/>
      <c r="AU3" s="304"/>
      <c r="AV3" s="304"/>
      <c r="AW3" s="304"/>
      <c r="AX3" s="304"/>
    </row>
    <row r="4" spans="1:50" ht="33.75" customHeight="1">
      <c r="A4" s="364"/>
      <c r="B4" s="302"/>
      <c r="C4" s="306" t="s">
        <v>226</v>
      </c>
      <c r="D4" s="306"/>
      <c r="E4" s="306"/>
      <c r="F4" s="307"/>
      <c r="G4" s="296" t="s">
        <v>227</v>
      </c>
      <c r="H4" s="297"/>
      <c r="I4" s="297"/>
      <c r="J4" s="298"/>
      <c r="K4" s="296" t="s">
        <v>232</v>
      </c>
      <c r="L4" s="297"/>
      <c r="M4" s="297"/>
      <c r="N4" s="298"/>
      <c r="O4" s="296" t="s">
        <v>233</v>
      </c>
      <c r="P4" s="297"/>
      <c r="Q4" s="297"/>
      <c r="R4" s="298"/>
      <c r="S4" s="296" t="s">
        <v>228</v>
      </c>
      <c r="T4" s="297"/>
      <c r="U4" s="297"/>
      <c r="V4" s="298"/>
      <c r="W4" s="296" t="s">
        <v>229</v>
      </c>
      <c r="X4" s="297"/>
      <c r="Y4" s="297"/>
      <c r="Z4" s="308"/>
      <c r="AA4" s="306" t="s">
        <v>226</v>
      </c>
      <c r="AB4" s="306"/>
      <c r="AC4" s="306"/>
      <c r="AD4" s="307"/>
      <c r="AE4" s="296" t="s">
        <v>227</v>
      </c>
      <c r="AF4" s="297"/>
      <c r="AG4" s="297"/>
      <c r="AH4" s="298"/>
      <c r="AI4" s="296" t="s">
        <v>232</v>
      </c>
      <c r="AJ4" s="297"/>
      <c r="AK4" s="297"/>
      <c r="AL4" s="298"/>
      <c r="AM4" s="296" t="s">
        <v>233</v>
      </c>
      <c r="AN4" s="297"/>
      <c r="AO4" s="297"/>
      <c r="AP4" s="298"/>
      <c r="AQ4" s="296" t="s">
        <v>228</v>
      </c>
      <c r="AR4" s="297"/>
      <c r="AS4" s="297"/>
      <c r="AT4" s="298"/>
      <c r="AU4" s="296" t="s">
        <v>229</v>
      </c>
      <c r="AV4" s="297"/>
      <c r="AW4" s="297"/>
      <c r="AX4" s="297"/>
    </row>
    <row r="5" spans="1:50" s="9" customFormat="1" ht="19.5" customHeight="1">
      <c r="A5" s="364"/>
      <c r="B5" s="302"/>
      <c r="C5" s="289" t="s">
        <v>189</v>
      </c>
      <c r="D5" s="291" t="s">
        <v>178</v>
      </c>
      <c r="E5" s="291" t="s">
        <v>231</v>
      </c>
      <c r="F5" s="291" t="s">
        <v>180</v>
      </c>
      <c r="G5" s="289" t="s">
        <v>189</v>
      </c>
      <c r="H5" s="291" t="s">
        <v>178</v>
      </c>
      <c r="I5" s="291" t="s">
        <v>231</v>
      </c>
      <c r="J5" s="287" t="s">
        <v>180</v>
      </c>
      <c r="K5" s="289" t="s">
        <v>189</v>
      </c>
      <c r="L5" s="291" t="s">
        <v>178</v>
      </c>
      <c r="M5" s="291" t="s">
        <v>231</v>
      </c>
      <c r="N5" s="287" t="s">
        <v>180</v>
      </c>
      <c r="O5" s="289" t="s">
        <v>189</v>
      </c>
      <c r="P5" s="291" t="s">
        <v>178</v>
      </c>
      <c r="Q5" s="291" t="s">
        <v>231</v>
      </c>
      <c r="R5" s="287" t="s">
        <v>180</v>
      </c>
      <c r="S5" s="289" t="s">
        <v>189</v>
      </c>
      <c r="T5" s="291" t="s">
        <v>178</v>
      </c>
      <c r="U5" s="291" t="s">
        <v>231</v>
      </c>
      <c r="V5" s="287" t="s">
        <v>180</v>
      </c>
      <c r="W5" s="289" t="s">
        <v>189</v>
      </c>
      <c r="X5" s="291" t="s">
        <v>178</v>
      </c>
      <c r="Y5" s="291" t="s">
        <v>231</v>
      </c>
      <c r="Z5" s="299" t="s">
        <v>180</v>
      </c>
      <c r="AA5" s="289" t="s">
        <v>189</v>
      </c>
      <c r="AB5" s="291" t="s">
        <v>178</v>
      </c>
      <c r="AC5" s="291" t="s">
        <v>231</v>
      </c>
      <c r="AD5" s="291" t="s">
        <v>180</v>
      </c>
      <c r="AE5" s="289" t="s">
        <v>189</v>
      </c>
      <c r="AF5" s="291" t="s">
        <v>178</v>
      </c>
      <c r="AG5" s="291" t="s">
        <v>231</v>
      </c>
      <c r="AH5" s="287" t="s">
        <v>180</v>
      </c>
      <c r="AI5" s="289" t="s">
        <v>189</v>
      </c>
      <c r="AJ5" s="291" t="s">
        <v>178</v>
      </c>
      <c r="AK5" s="291" t="s">
        <v>231</v>
      </c>
      <c r="AL5" s="287" t="s">
        <v>180</v>
      </c>
      <c r="AM5" s="289" t="s">
        <v>189</v>
      </c>
      <c r="AN5" s="291" t="s">
        <v>178</v>
      </c>
      <c r="AO5" s="291" t="s">
        <v>231</v>
      </c>
      <c r="AP5" s="287" t="s">
        <v>180</v>
      </c>
      <c r="AQ5" s="289" t="s">
        <v>189</v>
      </c>
      <c r="AR5" s="291" t="s">
        <v>178</v>
      </c>
      <c r="AS5" s="291" t="s">
        <v>231</v>
      </c>
      <c r="AT5" s="287" t="s">
        <v>180</v>
      </c>
      <c r="AU5" s="289" t="s">
        <v>189</v>
      </c>
      <c r="AV5" s="291" t="s">
        <v>178</v>
      </c>
      <c r="AW5" s="291" t="s">
        <v>231</v>
      </c>
      <c r="AX5" s="293" t="s">
        <v>180</v>
      </c>
    </row>
    <row r="6" spans="1:50" ht="19.5" customHeight="1">
      <c r="A6" s="331"/>
      <c r="B6" s="303"/>
      <c r="C6" s="290"/>
      <c r="D6" s="292"/>
      <c r="E6" s="292"/>
      <c r="F6" s="292"/>
      <c r="G6" s="290"/>
      <c r="H6" s="292"/>
      <c r="I6" s="292"/>
      <c r="J6" s="288"/>
      <c r="K6" s="290"/>
      <c r="L6" s="292"/>
      <c r="M6" s="292"/>
      <c r="N6" s="288"/>
      <c r="O6" s="290"/>
      <c r="P6" s="292"/>
      <c r="Q6" s="292"/>
      <c r="R6" s="288"/>
      <c r="S6" s="290"/>
      <c r="T6" s="292"/>
      <c r="U6" s="292"/>
      <c r="V6" s="288"/>
      <c r="W6" s="290"/>
      <c r="X6" s="292"/>
      <c r="Y6" s="292"/>
      <c r="Z6" s="300"/>
      <c r="AA6" s="290"/>
      <c r="AB6" s="292"/>
      <c r="AC6" s="292"/>
      <c r="AD6" s="292"/>
      <c r="AE6" s="290"/>
      <c r="AF6" s="292"/>
      <c r="AG6" s="292"/>
      <c r="AH6" s="288"/>
      <c r="AI6" s="290"/>
      <c r="AJ6" s="292"/>
      <c r="AK6" s="292"/>
      <c r="AL6" s="288"/>
      <c r="AM6" s="290"/>
      <c r="AN6" s="292"/>
      <c r="AO6" s="292"/>
      <c r="AP6" s="288"/>
      <c r="AQ6" s="290"/>
      <c r="AR6" s="292"/>
      <c r="AS6" s="292"/>
      <c r="AT6" s="288"/>
      <c r="AU6" s="290"/>
      <c r="AV6" s="292"/>
      <c r="AW6" s="292"/>
      <c r="AX6" s="294"/>
    </row>
    <row r="7" spans="1:50" s="13" customFormat="1" ht="15.75" customHeight="1">
      <c r="A7" s="63" t="s">
        <v>200</v>
      </c>
      <c r="B7" s="64" t="s">
        <v>223</v>
      </c>
      <c r="C7" s="67">
        <v>826</v>
      </c>
      <c r="D7" s="67">
        <v>204</v>
      </c>
      <c r="E7" s="67">
        <v>136</v>
      </c>
      <c r="F7" s="67">
        <v>486</v>
      </c>
      <c r="G7" s="67">
        <v>319</v>
      </c>
      <c r="H7" s="67">
        <v>57</v>
      </c>
      <c r="I7" s="67">
        <v>38</v>
      </c>
      <c r="J7" s="67">
        <v>224</v>
      </c>
      <c r="K7" s="67">
        <v>161</v>
      </c>
      <c r="L7" s="67">
        <v>33</v>
      </c>
      <c r="M7" s="67">
        <v>23</v>
      </c>
      <c r="N7" s="67">
        <v>105</v>
      </c>
      <c r="O7" s="67">
        <v>139</v>
      </c>
      <c r="P7" s="67">
        <v>50</v>
      </c>
      <c r="Q7" s="67">
        <v>43</v>
      </c>
      <c r="R7" s="67">
        <v>46</v>
      </c>
      <c r="S7" s="67">
        <v>47</v>
      </c>
      <c r="T7" s="67">
        <v>19</v>
      </c>
      <c r="U7" s="67">
        <v>14</v>
      </c>
      <c r="V7" s="67">
        <v>14</v>
      </c>
      <c r="W7" s="67">
        <v>160</v>
      </c>
      <c r="X7" s="67">
        <v>45</v>
      </c>
      <c r="Y7" s="67">
        <v>18</v>
      </c>
      <c r="Z7" s="67">
        <v>97</v>
      </c>
      <c r="AA7" s="67">
        <v>1417</v>
      </c>
      <c r="AB7" s="67">
        <v>349</v>
      </c>
      <c r="AC7" s="67">
        <v>228</v>
      </c>
      <c r="AD7" s="67">
        <v>840</v>
      </c>
      <c r="AE7" s="67">
        <v>517</v>
      </c>
      <c r="AF7" s="67">
        <v>88</v>
      </c>
      <c r="AG7" s="67">
        <v>56</v>
      </c>
      <c r="AH7" s="67">
        <v>373</v>
      </c>
      <c r="AI7" s="67">
        <v>325</v>
      </c>
      <c r="AJ7" s="67">
        <v>80</v>
      </c>
      <c r="AK7" s="67">
        <v>41</v>
      </c>
      <c r="AL7" s="67">
        <v>204</v>
      </c>
      <c r="AM7" s="67">
        <v>258</v>
      </c>
      <c r="AN7" s="67">
        <v>107</v>
      </c>
      <c r="AO7" s="67">
        <v>76</v>
      </c>
      <c r="AP7" s="67">
        <v>75</v>
      </c>
      <c r="AQ7" s="67">
        <v>82</v>
      </c>
      <c r="AR7" s="67">
        <v>30</v>
      </c>
      <c r="AS7" s="67">
        <v>21</v>
      </c>
      <c r="AT7" s="67">
        <v>31</v>
      </c>
      <c r="AU7" s="67">
        <v>235</v>
      </c>
      <c r="AV7" s="67">
        <v>44</v>
      </c>
      <c r="AW7" s="67">
        <v>34</v>
      </c>
      <c r="AX7" s="67">
        <v>157</v>
      </c>
    </row>
    <row r="8" spans="1:50" s="13" customFormat="1" ht="15.75" customHeight="1">
      <c r="A8" s="347" t="s">
        <v>199</v>
      </c>
      <c r="B8" s="65" t="s">
        <v>224</v>
      </c>
      <c r="C8" s="68">
        <v>361</v>
      </c>
      <c r="D8" s="68">
        <v>119</v>
      </c>
      <c r="E8" s="68">
        <v>59</v>
      </c>
      <c r="F8" s="68">
        <v>183</v>
      </c>
      <c r="G8" s="68">
        <v>116</v>
      </c>
      <c r="H8" s="68">
        <v>28</v>
      </c>
      <c r="I8" s="68">
        <v>17</v>
      </c>
      <c r="J8" s="68">
        <v>71</v>
      </c>
      <c r="K8" s="68">
        <v>73</v>
      </c>
      <c r="L8" s="68">
        <v>18</v>
      </c>
      <c r="M8" s="68">
        <v>10</v>
      </c>
      <c r="N8" s="68">
        <v>45</v>
      </c>
      <c r="O8" s="68">
        <v>77</v>
      </c>
      <c r="P8" s="68">
        <v>39</v>
      </c>
      <c r="Q8" s="68">
        <v>16</v>
      </c>
      <c r="R8" s="68">
        <v>22</v>
      </c>
      <c r="S8" s="68">
        <v>34</v>
      </c>
      <c r="T8" s="68">
        <v>15</v>
      </c>
      <c r="U8" s="68">
        <v>9</v>
      </c>
      <c r="V8" s="68">
        <v>10</v>
      </c>
      <c r="W8" s="68">
        <v>61</v>
      </c>
      <c r="X8" s="68">
        <v>19</v>
      </c>
      <c r="Y8" s="68">
        <v>7</v>
      </c>
      <c r="Z8" s="68">
        <v>35</v>
      </c>
      <c r="AA8" s="68">
        <v>645</v>
      </c>
      <c r="AB8" s="68">
        <v>203</v>
      </c>
      <c r="AC8" s="68">
        <v>114</v>
      </c>
      <c r="AD8" s="68">
        <v>328</v>
      </c>
      <c r="AE8" s="68">
        <v>192</v>
      </c>
      <c r="AF8" s="68">
        <v>38</v>
      </c>
      <c r="AG8" s="68">
        <v>30</v>
      </c>
      <c r="AH8" s="68">
        <v>124</v>
      </c>
      <c r="AI8" s="68">
        <v>157</v>
      </c>
      <c r="AJ8" s="68">
        <v>47</v>
      </c>
      <c r="AK8" s="68">
        <v>21</v>
      </c>
      <c r="AL8" s="68">
        <v>89</v>
      </c>
      <c r="AM8" s="68">
        <v>142</v>
      </c>
      <c r="AN8" s="68">
        <v>76</v>
      </c>
      <c r="AO8" s="68">
        <v>32</v>
      </c>
      <c r="AP8" s="68">
        <v>34</v>
      </c>
      <c r="AQ8" s="68">
        <v>56</v>
      </c>
      <c r="AR8" s="68">
        <v>21</v>
      </c>
      <c r="AS8" s="68">
        <v>16</v>
      </c>
      <c r="AT8" s="68">
        <v>19</v>
      </c>
      <c r="AU8" s="68">
        <v>98</v>
      </c>
      <c r="AV8" s="68">
        <v>21</v>
      </c>
      <c r="AW8" s="68">
        <v>15</v>
      </c>
      <c r="AX8" s="68">
        <v>62</v>
      </c>
    </row>
    <row r="9" spans="1:50" s="13" customFormat="1" ht="15.75" customHeight="1">
      <c r="A9" s="348"/>
      <c r="B9" s="65" t="s">
        <v>225</v>
      </c>
      <c r="C9" s="68">
        <v>465</v>
      </c>
      <c r="D9" s="68">
        <v>85</v>
      </c>
      <c r="E9" s="68">
        <v>77</v>
      </c>
      <c r="F9" s="68">
        <v>303</v>
      </c>
      <c r="G9" s="68">
        <v>203</v>
      </c>
      <c r="H9" s="68">
        <v>29</v>
      </c>
      <c r="I9" s="68">
        <v>21</v>
      </c>
      <c r="J9" s="68">
        <v>153</v>
      </c>
      <c r="K9" s="68">
        <v>88</v>
      </c>
      <c r="L9" s="68">
        <v>15</v>
      </c>
      <c r="M9" s="68">
        <v>13</v>
      </c>
      <c r="N9" s="68">
        <v>60</v>
      </c>
      <c r="O9" s="68">
        <v>62</v>
      </c>
      <c r="P9" s="68">
        <v>11</v>
      </c>
      <c r="Q9" s="68">
        <v>27</v>
      </c>
      <c r="R9" s="68">
        <v>24</v>
      </c>
      <c r="S9" s="68">
        <v>13</v>
      </c>
      <c r="T9" s="68">
        <v>4</v>
      </c>
      <c r="U9" s="68">
        <v>5</v>
      </c>
      <c r="V9" s="68">
        <v>4</v>
      </c>
      <c r="W9" s="68">
        <v>99</v>
      </c>
      <c r="X9" s="68">
        <v>26</v>
      </c>
      <c r="Y9" s="68">
        <v>11</v>
      </c>
      <c r="Z9" s="68">
        <v>62</v>
      </c>
      <c r="AA9" s="68">
        <v>772</v>
      </c>
      <c r="AB9" s="68">
        <v>146</v>
      </c>
      <c r="AC9" s="68">
        <v>114</v>
      </c>
      <c r="AD9" s="68">
        <v>512</v>
      </c>
      <c r="AE9" s="68">
        <v>325</v>
      </c>
      <c r="AF9" s="68">
        <v>50</v>
      </c>
      <c r="AG9" s="68">
        <v>26</v>
      </c>
      <c r="AH9" s="68">
        <v>249</v>
      </c>
      <c r="AI9" s="68">
        <v>168</v>
      </c>
      <c r="AJ9" s="68">
        <v>33</v>
      </c>
      <c r="AK9" s="68">
        <v>20</v>
      </c>
      <c r="AL9" s="68">
        <v>115</v>
      </c>
      <c r="AM9" s="68">
        <v>116</v>
      </c>
      <c r="AN9" s="68">
        <v>31</v>
      </c>
      <c r="AO9" s="68">
        <v>44</v>
      </c>
      <c r="AP9" s="68">
        <v>41</v>
      </c>
      <c r="AQ9" s="68">
        <v>26</v>
      </c>
      <c r="AR9" s="68">
        <v>9</v>
      </c>
      <c r="AS9" s="68">
        <v>5</v>
      </c>
      <c r="AT9" s="68">
        <v>12</v>
      </c>
      <c r="AU9" s="68">
        <v>137</v>
      </c>
      <c r="AV9" s="68">
        <v>23</v>
      </c>
      <c r="AW9" s="68">
        <v>19</v>
      </c>
      <c r="AX9" s="68">
        <v>95</v>
      </c>
    </row>
    <row r="10" spans="1:50" s="18" customFormat="1" ht="15.75" customHeight="1">
      <c r="A10" s="63" t="s">
        <v>201</v>
      </c>
      <c r="B10" s="64" t="s">
        <v>223</v>
      </c>
      <c r="C10" s="67">
        <v>21</v>
      </c>
      <c r="D10" s="67">
        <v>1</v>
      </c>
      <c r="E10" s="67">
        <v>2</v>
      </c>
      <c r="F10" s="67">
        <v>18</v>
      </c>
      <c r="G10" s="67">
        <v>7</v>
      </c>
      <c r="H10" s="67">
        <v>0</v>
      </c>
      <c r="I10" s="67">
        <v>0</v>
      </c>
      <c r="J10" s="67">
        <v>7</v>
      </c>
      <c r="K10" s="67">
        <v>2</v>
      </c>
      <c r="L10" s="67">
        <v>0</v>
      </c>
      <c r="M10" s="67">
        <v>1</v>
      </c>
      <c r="N10" s="67">
        <v>1</v>
      </c>
      <c r="O10" s="67">
        <v>2</v>
      </c>
      <c r="P10" s="67">
        <v>0</v>
      </c>
      <c r="Q10" s="67">
        <v>1</v>
      </c>
      <c r="R10" s="67">
        <v>1</v>
      </c>
      <c r="S10" s="67">
        <v>0</v>
      </c>
      <c r="T10" s="67">
        <v>0</v>
      </c>
      <c r="U10" s="67">
        <v>0</v>
      </c>
      <c r="V10" s="67">
        <v>0</v>
      </c>
      <c r="W10" s="67">
        <v>10</v>
      </c>
      <c r="X10" s="67">
        <v>1</v>
      </c>
      <c r="Y10" s="67">
        <v>0</v>
      </c>
      <c r="Z10" s="67">
        <v>9</v>
      </c>
      <c r="AA10" s="67">
        <v>51</v>
      </c>
      <c r="AB10" s="67">
        <v>17</v>
      </c>
      <c r="AC10" s="67">
        <v>2</v>
      </c>
      <c r="AD10" s="67">
        <v>32</v>
      </c>
      <c r="AE10" s="67">
        <v>6</v>
      </c>
      <c r="AF10" s="67">
        <v>0</v>
      </c>
      <c r="AG10" s="67">
        <v>0</v>
      </c>
      <c r="AH10" s="67">
        <v>6</v>
      </c>
      <c r="AI10" s="67">
        <v>27</v>
      </c>
      <c r="AJ10" s="67">
        <v>16</v>
      </c>
      <c r="AK10" s="67">
        <v>1</v>
      </c>
      <c r="AL10" s="67">
        <v>10</v>
      </c>
      <c r="AM10" s="67">
        <v>5</v>
      </c>
      <c r="AN10" s="67">
        <v>0</v>
      </c>
      <c r="AO10" s="67">
        <v>1</v>
      </c>
      <c r="AP10" s="67">
        <v>4</v>
      </c>
      <c r="AQ10" s="67">
        <v>0</v>
      </c>
      <c r="AR10" s="67">
        <v>0</v>
      </c>
      <c r="AS10" s="67">
        <v>0</v>
      </c>
      <c r="AT10" s="67">
        <v>0</v>
      </c>
      <c r="AU10" s="67">
        <v>13</v>
      </c>
      <c r="AV10" s="67">
        <v>1</v>
      </c>
      <c r="AW10" s="67">
        <v>0</v>
      </c>
      <c r="AX10" s="67">
        <v>12</v>
      </c>
    </row>
    <row r="11" spans="1:50" s="18" customFormat="1" ht="15.75" customHeight="1">
      <c r="A11" s="345" t="s">
        <v>24</v>
      </c>
      <c r="B11" s="65" t="s">
        <v>224</v>
      </c>
      <c r="C11" s="68">
        <v>4</v>
      </c>
      <c r="D11" s="68">
        <v>0</v>
      </c>
      <c r="E11" s="68">
        <v>0</v>
      </c>
      <c r="F11" s="68">
        <v>4</v>
      </c>
      <c r="G11" s="68">
        <v>0</v>
      </c>
      <c r="H11" s="68">
        <v>0</v>
      </c>
      <c r="I11" s="68">
        <v>0</v>
      </c>
      <c r="J11" s="68">
        <v>0</v>
      </c>
      <c r="K11" s="68">
        <v>0</v>
      </c>
      <c r="L11" s="68">
        <v>0</v>
      </c>
      <c r="M11" s="68">
        <v>0</v>
      </c>
      <c r="N11" s="68">
        <v>0</v>
      </c>
      <c r="O11" s="68">
        <v>1</v>
      </c>
      <c r="P11" s="68">
        <v>0</v>
      </c>
      <c r="Q11" s="68">
        <v>0</v>
      </c>
      <c r="R11" s="68">
        <v>1</v>
      </c>
      <c r="S11" s="68">
        <v>0</v>
      </c>
      <c r="T11" s="68">
        <v>0</v>
      </c>
      <c r="U11" s="68">
        <v>0</v>
      </c>
      <c r="V11" s="68">
        <v>0</v>
      </c>
      <c r="W11" s="68">
        <v>3</v>
      </c>
      <c r="X11" s="68">
        <v>0</v>
      </c>
      <c r="Y11" s="68">
        <v>0</v>
      </c>
      <c r="Z11" s="68">
        <v>3</v>
      </c>
      <c r="AA11" s="68">
        <v>21</v>
      </c>
      <c r="AB11" s="68">
        <v>7</v>
      </c>
      <c r="AC11" s="68">
        <v>0</v>
      </c>
      <c r="AD11" s="68">
        <v>14</v>
      </c>
      <c r="AE11" s="68">
        <v>3</v>
      </c>
      <c r="AF11" s="68">
        <v>0</v>
      </c>
      <c r="AG11" s="68">
        <v>0</v>
      </c>
      <c r="AH11" s="68">
        <v>3</v>
      </c>
      <c r="AI11" s="68">
        <v>10</v>
      </c>
      <c r="AJ11" s="68">
        <v>7</v>
      </c>
      <c r="AK11" s="68">
        <v>0</v>
      </c>
      <c r="AL11" s="68">
        <v>3</v>
      </c>
      <c r="AM11" s="68">
        <v>4</v>
      </c>
      <c r="AN11" s="68">
        <v>0</v>
      </c>
      <c r="AO11" s="68">
        <v>0</v>
      </c>
      <c r="AP11" s="68">
        <v>4</v>
      </c>
      <c r="AQ11" s="68">
        <v>0</v>
      </c>
      <c r="AR11" s="68">
        <v>0</v>
      </c>
      <c r="AS11" s="68">
        <v>0</v>
      </c>
      <c r="AT11" s="68">
        <v>0</v>
      </c>
      <c r="AU11" s="68">
        <v>4</v>
      </c>
      <c r="AV11" s="68">
        <v>0</v>
      </c>
      <c r="AW11" s="68">
        <v>0</v>
      </c>
      <c r="AX11" s="68">
        <v>4</v>
      </c>
    </row>
    <row r="12" spans="1:50" s="18" customFormat="1" ht="15.75" customHeight="1">
      <c r="A12" s="346"/>
      <c r="B12" s="65" t="s">
        <v>225</v>
      </c>
      <c r="C12" s="68">
        <v>17</v>
      </c>
      <c r="D12" s="68">
        <v>1</v>
      </c>
      <c r="E12" s="68">
        <v>2</v>
      </c>
      <c r="F12" s="68">
        <v>14</v>
      </c>
      <c r="G12" s="68">
        <v>7</v>
      </c>
      <c r="H12" s="68">
        <v>0</v>
      </c>
      <c r="I12" s="68">
        <v>0</v>
      </c>
      <c r="J12" s="68">
        <v>7</v>
      </c>
      <c r="K12" s="68">
        <v>2</v>
      </c>
      <c r="L12" s="68">
        <v>0</v>
      </c>
      <c r="M12" s="68">
        <v>1</v>
      </c>
      <c r="N12" s="68">
        <v>1</v>
      </c>
      <c r="O12" s="68">
        <v>1</v>
      </c>
      <c r="P12" s="68">
        <v>0</v>
      </c>
      <c r="Q12" s="68">
        <v>1</v>
      </c>
      <c r="R12" s="68">
        <v>0</v>
      </c>
      <c r="S12" s="68">
        <v>0</v>
      </c>
      <c r="T12" s="68">
        <v>0</v>
      </c>
      <c r="U12" s="68">
        <v>0</v>
      </c>
      <c r="V12" s="68">
        <v>0</v>
      </c>
      <c r="W12" s="68">
        <v>7</v>
      </c>
      <c r="X12" s="68">
        <v>1</v>
      </c>
      <c r="Y12" s="68">
        <v>0</v>
      </c>
      <c r="Z12" s="68">
        <v>6</v>
      </c>
      <c r="AA12" s="68">
        <v>30</v>
      </c>
      <c r="AB12" s="68">
        <v>10</v>
      </c>
      <c r="AC12" s="68">
        <v>2</v>
      </c>
      <c r="AD12" s="68">
        <v>18</v>
      </c>
      <c r="AE12" s="68">
        <v>3</v>
      </c>
      <c r="AF12" s="68">
        <v>0</v>
      </c>
      <c r="AG12" s="68">
        <v>0</v>
      </c>
      <c r="AH12" s="68">
        <v>3</v>
      </c>
      <c r="AI12" s="68">
        <v>17</v>
      </c>
      <c r="AJ12" s="68">
        <v>9</v>
      </c>
      <c r="AK12" s="68">
        <v>1</v>
      </c>
      <c r="AL12" s="68">
        <v>7</v>
      </c>
      <c r="AM12" s="68">
        <v>1</v>
      </c>
      <c r="AN12" s="68">
        <v>0</v>
      </c>
      <c r="AO12" s="68">
        <v>1</v>
      </c>
      <c r="AP12" s="68">
        <v>0</v>
      </c>
      <c r="AQ12" s="68">
        <v>0</v>
      </c>
      <c r="AR12" s="68">
        <v>0</v>
      </c>
      <c r="AS12" s="68">
        <v>0</v>
      </c>
      <c r="AT12" s="68">
        <v>0</v>
      </c>
      <c r="AU12" s="68">
        <v>9</v>
      </c>
      <c r="AV12" s="68">
        <v>1</v>
      </c>
      <c r="AW12" s="68">
        <v>0</v>
      </c>
      <c r="AX12" s="68">
        <v>8</v>
      </c>
    </row>
    <row r="13" spans="1:50" s="18" customFormat="1" ht="15.75" customHeight="1">
      <c r="A13" s="63" t="s">
        <v>202</v>
      </c>
      <c r="B13" s="64" t="s">
        <v>223</v>
      </c>
      <c r="C13" s="67">
        <v>21</v>
      </c>
      <c r="D13" s="67">
        <v>3</v>
      </c>
      <c r="E13" s="67">
        <v>0</v>
      </c>
      <c r="F13" s="67">
        <v>18</v>
      </c>
      <c r="G13" s="67">
        <v>5</v>
      </c>
      <c r="H13" s="67">
        <v>1</v>
      </c>
      <c r="I13" s="67">
        <v>0</v>
      </c>
      <c r="J13" s="67">
        <v>4</v>
      </c>
      <c r="K13" s="67">
        <v>3</v>
      </c>
      <c r="L13" s="67">
        <v>0</v>
      </c>
      <c r="M13" s="67">
        <v>0</v>
      </c>
      <c r="N13" s="67">
        <v>3</v>
      </c>
      <c r="O13" s="67">
        <v>2</v>
      </c>
      <c r="P13" s="67">
        <v>2</v>
      </c>
      <c r="Q13" s="67">
        <v>0</v>
      </c>
      <c r="R13" s="67">
        <v>0</v>
      </c>
      <c r="S13" s="67">
        <v>0</v>
      </c>
      <c r="T13" s="67">
        <v>0</v>
      </c>
      <c r="U13" s="67">
        <v>0</v>
      </c>
      <c r="V13" s="67">
        <v>0</v>
      </c>
      <c r="W13" s="67">
        <v>11</v>
      </c>
      <c r="X13" s="67">
        <v>0</v>
      </c>
      <c r="Y13" s="67">
        <v>0</v>
      </c>
      <c r="Z13" s="67">
        <v>11</v>
      </c>
      <c r="AA13" s="67">
        <v>53</v>
      </c>
      <c r="AB13" s="67">
        <v>8</v>
      </c>
      <c r="AC13" s="67">
        <v>1</v>
      </c>
      <c r="AD13" s="67">
        <v>44</v>
      </c>
      <c r="AE13" s="67">
        <v>13</v>
      </c>
      <c r="AF13" s="67">
        <v>2</v>
      </c>
      <c r="AG13" s="67">
        <v>0</v>
      </c>
      <c r="AH13" s="67">
        <v>11</v>
      </c>
      <c r="AI13" s="67">
        <v>11</v>
      </c>
      <c r="AJ13" s="67">
        <v>0</v>
      </c>
      <c r="AK13" s="67">
        <v>1</v>
      </c>
      <c r="AL13" s="67">
        <v>10</v>
      </c>
      <c r="AM13" s="67">
        <v>4</v>
      </c>
      <c r="AN13" s="67">
        <v>4</v>
      </c>
      <c r="AO13" s="67">
        <v>0</v>
      </c>
      <c r="AP13" s="67">
        <v>0</v>
      </c>
      <c r="AQ13" s="67">
        <v>0</v>
      </c>
      <c r="AR13" s="67">
        <v>0</v>
      </c>
      <c r="AS13" s="67">
        <v>0</v>
      </c>
      <c r="AT13" s="67">
        <v>0</v>
      </c>
      <c r="AU13" s="67">
        <v>25</v>
      </c>
      <c r="AV13" s="67">
        <v>2</v>
      </c>
      <c r="AW13" s="67">
        <v>0</v>
      </c>
      <c r="AX13" s="67">
        <v>23</v>
      </c>
    </row>
    <row r="14" spans="1:50" s="18" customFormat="1" ht="15.75" customHeight="1">
      <c r="A14" s="345" t="s">
        <v>25</v>
      </c>
      <c r="B14" s="65" t="s">
        <v>224</v>
      </c>
      <c r="C14" s="68">
        <v>9</v>
      </c>
      <c r="D14" s="68">
        <v>2</v>
      </c>
      <c r="E14" s="68">
        <v>0</v>
      </c>
      <c r="F14" s="68">
        <v>7</v>
      </c>
      <c r="G14" s="68">
        <v>1</v>
      </c>
      <c r="H14" s="68">
        <v>1</v>
      </c>
      <c r="I14" s="68">
        <v>0</v>
      </c>
      <c r="J14" s="68">
        <v>0</v>
      </c>
      <c r="K14" s="68">
        <v>1</v>
      </c>
      <c r="L14" s="68">
        <v>0</v>
      </c>
      <c r="M14" s="68">
        <v>0</v>
      </c>
      <c r="N14" s="68">
        <v>1</v>
      </c>
      <c r="O14" s="68">
        <v>1</v>
      </c>
      <c r="P14" s="68">
        <v>1</v>
      </c>
      <c r="Q14" s="68">
        <v>0</v>
      </c>
      <c r="R14" s="68">
        <v>0</v>
      </c>
      <c r="S14" s="68">
        <v>0</v>
      </c>
      <c r="T14" s="68">
        <v>0</v>
      </c>
      <c r="U14" s="68">
        <v>0</v>
      </c>
      <c r="V14" s="68">
        <v>0</v>
      </c>
      <c r="W14" s="68">
        <v>6</v>
      </c>
      <c r="X14" s="68">
        <v>0</v>
      </c>
      <c r="Y14" s="68">
        <v>0</v>
      </c>
      <c r="Z14" s="68">
        <v>6</v>
      </c>
      <c r="AA14" s="68">
        <v>21</v>
      </c>
      <c r="AB14" s="68">
        <v>6</v>
      </c>
      <c r="AC14" s="68">
        <v>1</v>
      </c>
      <c r="AD14" s="68">
        <v>14</v>
      </c>
      <c r="AE14" s="68">
        <v>2</v>
      </c>
      <c r="AF14" s="68">
        <v>2</v>
      </c>
      <c r="AG14" s="68">
        <v>0</v>
      </c>
      <c r="AH14" s="68">
        <v>0</v>
      </c>
      <c r="AI14" s="68">
        <v>4</v>
      </c>
      <c r="AJ14" s="68">
        <v>0</v>
      </c>
      <c r="AK14" s="68">
        <v>1</v>
      </c>
      <c r="AL14" s="68">
        <v>3</v>
      </c>
      <c r="AM14" s="68">
        <v>2</v>
      </c>
      <c r="AN14" s="68">
        <v>2</v>
      </c>
      <c r="AO14" s="68">
        <v>0</v>
      </c>
      <c r="AP14" s="68">
        <v>0</v>
      </c>
      <c r="AQ14" s="68">
        <v>0</v>
      </c>
      <c r="AR14" s="68">
        <v>0</v>
      </c>
      <c r="AS14" s="68">
        <v>0</v>
      </c>
      <c r="AT14" s="68">
        <v>0</v>
      </c>
      <c r="AU14" s="68">
        <v>13</v>
      </c>
      <c r="AV14" s="68">
        <v>2</v>
      </c>
      <c r="AW14" s="68">
        <v>0</v>
      </c>
      <c r="AX14" s="68">
        <v>11</v>
      </c>
    </row>
    <row r="15" spans="1:50" s="18" customFormat="1" ht="15.75" customHeight="1">
      <c r="A15" s="346"/>
      <c r="B15" s="65" t="s">
        <v>225</v>
      </c>
      <c r="C15" s="68">
        <v>12</v>
      </c>
      <c r="D15" s="68">
        <v>1</v>
      </c>
      <c r="E15" s="68">
        <v>0</v>
      </c>
      <c r="F15" s="68">
        <v>11</v>
      </c>
      <c r="G15" s="68">
        <v>4</v>
      </c>
      <c r="H15" s="68">
        <v>0</v>
      </c>
      <c r="I15" s="68">
        <v>0</v>
      </c>
      <c r="J15" s="68">
        <v>4</v>
      </c>
      <c r="K15" s="68">
        <v>2</v>
      </c>
      <c r="L15" s="68">
        <v>0</v>
      </c>
      <c r="M15" s="68">
        <v>0</v>
      </c>
      <c r="N15" s="68">
        <v>2</v>
      </c>
      <c r="O15" s="68">
        <v>1</v>
      </c>
      <c r="P15" s="68">
        <v>1</v>
      </c>
      <c r="Q15" s="68">
        <v>0</v>
      </c>
      <c r="R15" s="68">
        <v>0</v>
      </c>
      <c r="S15" s="68">
        <v>0</v>
      </c>
      <c r="T15" s="68">
        <v>0</v>
      </c>
      <c r="U15" s="68">
        <v>0</v>
      </c>
      <c r="V15" s="68">
        <v>0</v>
      </c>
      <c r="W15" s="68">
        <v>5</v>
      </c>
      <c r="X15" s="68">
        <v>0</v>
      </c>
      <c r="Y15" s="68">
        <v>0</v>
      </c>
      <c r="Z15" s="68">
        <v>5</v>
      </c>
      <c r="AA15" s="68">
        <v>32</v>
      </c>
      <c r="AB15" s="68">
        <v>2</v>
      </c>
      <c r="AC15" s="68">
        <v>0</v>
      </c>
      <c r="AD15" s="68">
        <v>30</v>
      </c>
      <c r="AE15" s="68">
        <v>11</v>
      </c>
      <c r="AF15" s="68">
        <v>0</v>
      </c>
      <c r="AG15" s="68">
        <v>0</v>
      </c>
      <c r="AH15" s="68">
        <v>11</v>
      </c>
      <c r="AI15" s="68">
        <v>7</v>
      </c>
      <c r="AJ15" s="68">
        <v>0</v>
      </c>
      <c r="AK15" s="68">
        <v>0</v>
      </c>
      <c r="AL15" s="68">
        <v>7</v>
      </c>
      <c r="AM15" s="68">
        <v>2</v>
      </c>
      <c r="AN15" s="68">
        <v>2</v>
      </c>
      <c r="AO15" s="68">
        <v>0</v>
      </c>
      <c r="AP15" s="68">
        <v>0</v>
      </c>
      <c r="AQ15" s="68">
        <v>0</v>
      </c>
      <c r="AR15" s="68">
        <v>0</v>
      </c>
      <c r="AS15" s="68">
        <v>0</v>
      </c>
      <c r="AT15" s="68">
        <v>0</v>
      </c>
      <c r="AU15" s="68">
        <v>12</v>
      </c>
      <c r="AV15" s="68">
        <v>0</v>
      </c>
      <c r="AW15" s="68">
        <v>0</v>
      </c>
      <c r="AX15" s="68">
        <v>12</v>
      </c>
    </row>
    <row r="16" spans="1:50" s="18" customFormat="1" ht="15.75" customHeight="1">
      <c r="A16" s="63" t="s">
        <v>203</v>
      </c>
      <c r="B16" s="64" t="s">
        <v>223</v>
      </c>
      <c r="C16" s="67">
        <v>11</v>
      </c>
      <c r="D16" s="67">
        <v>0</v>
      </c>
      <c r="E16" s="67">
        <v>0</v>
      </c>
      <c r="F16" s="67">
        <v>11</v>
      </c>
      <c r="G16" s="67">
        <v>4</v>
      </c>
      <c r="H16" s="67">
        <v>0</v>
      </c>
      <c r="I16" s="67">
        <v>0</v>
      </c>
      <c r="J16" s="67">
        <v>4</v>
      </c>
      <c r="K16" s="67">
        <v>0</v>
      </c>
      <c r="L16" s="67">
        <v>0</v>
      </c>
      <c r="M16" s="67">
        <v>0</v>
      </c>
      <c r="N16" s="67">
        <v>0</v>
      </c>
      <c r="O16" s="67">
        <v>0</v>
      </c>
      <c r="P16" s="67">
        <v>0</v>
      </c>
      <c r="Q16" s="67">
        <v>0</v>
      </c>
      <c r="R16" s="67">
        <v>0</v>
      </c>
      <c r="S16" s="67">
        <v>0</v>
      </c>
      <c r="T16" s="67">
        <v>0</v>
      </c>
      <c r="U16" s="67">
        <v>0</v>
      </c>
      <c r="V16" s="67">
        <v>0</v>
      </c>
      <c r="W16" s="67">
        <v>7</v>
      </c>
      <c r="X16" s="67">
        <v>0</v>
      </c>
      <c r="Y16" s="67">
        <v>0</v>
      </c>
      <c r="Z16" s="67">
        <v>7</v>
      </c>
      <c r="AA16" s="67">
        <v>21</v>
      </c>
      <c r="AB16" s="67">
        <v>0</v>
      </c>
      <c r="AC16" s="67">
        <v>1</v>
      </c>
      <c r="AD16" s="67">
        <v>20</v>
      </c>
      <c r="AE16" s="67">
        <v>6</v>
      </c>
      <c r="AF16" s="67">
        <v>0</v>
      </c>
      <c r="AG16" s="67">
        <v>0</v>
      </c>
      <c r="AH16" s="67">
        <v>6</v>
      </c>
      <c r="AI16" s="67">
        <v>2</v>
      </c>
      <c r="AJ16" s="67">
        <v>0</v>
      </c>
      <c r="AK16" s="67">
        <v>1</v>
      </c>
      <c r="AL16" s="67">
        <v>1</v>
      </c>
      <c r="AM16" s="67">
        <v>1</v>
      </c>
      <c r="AN16" s="67">
        <v>0</v>
      </c>
      <c r="AO16" s="67">
        <v>0</v>
      </c>
      <c r="AP16" s="67">
        <v>1</v>
      </c>
      <c r="AQ16" s="67">
        <v>0</v>
      </c>
      <c r="AR16" s="67">
        <v>0</v>
      </c>
      <c r="AS16" s="67">
        <v>0</v>
      </c>
      <c r="AT16" s="67">
        <v>0</v>
      </c>
      <c r="AU16" s="67">
        <v>12</v>
      </c>
      <c r="AV16" s="67">
        <v>0</v>
      </c>
      <c r="AW16" s="67">
        <v>0</v>
      </c>
      <c r="AX16" s="67">
        <v>12</v>
      </c>
    </row>
    <row r="17" spans="1:50" s="18" customFormat="1" ht="15.75" customHeight="1">
      <c r="A17" s="345" t="s">
        <v>49</v>
      </c>
      <c r="B17" s="65" t="s">
        <v>224</v>
      </c>
      <c r="C17" s="68">
        <v>1</v>
      </c>
      <c r="D17" s="68">
        <v>0</v>
      </c>
      <c r="E17" s="68">
        <v>0</v>
      </c>
      <c r="F17" s="68">
        <v>1</v>
      </c>
      <c r="G17" s="68">
        <v>1</v>
      </c>
      <c r="H17" s="68">
        <v>0</v>
      </c>
      <c r="I17" s="68">
        <v>0</v>
      </c>
      <c r="J17" s="68">
        <v>1</v>
      </c>
      <c r="K17" s="68">
        <v>0</v>
      </c>
      <c r="L17" s="68">
        <v>0</v>
      </c>
      <c r="M17" s="68">
        <v>0</v>
      </c>
      <c r="N17" s="68">
        <v>0</v>
      </c>
      <c r="O17" s="68">
        <v>0</v>
      </c>
      <c r="P17" s="68">
        <v>0</v>
      </c>
      <c r="Q17" s="68">
        <v>0</v>
      </c>
      <c r="R17" s="68">
        <v>0</v>
      </c>
      <c r="S17" s="68">
        <v>0</v>
      </c>
      <c r="T17" s="68">
        <v>0</v>
      </c>
      <c r="U17" s="68">
        <v>0</v>
      </c>
      <c r="V17" s="68">
        <v>0</v>
      </c>
      <c r="W17" s="68">
        <v>0</v>
      </c>
      <c r="X17" s="68">
        <v>0</v>
      </c>
      <c r="Y17" s="68">
        <v>0</v>
      </c>
      <c r="Z17" s="68">
        <v>0</v>
      </c>
      <c r="AA17" s="68">
        <v>4</v>
      </c>
      <c r="AB17" s="68">
        <v>0</v>
      </c>
      <c r="AC17" s="68">
        <v>1</v>
      </c>
      <c r="AD17" s="68">
        <v>3</v>
      </c>
      <c r="AE17" s="68">
        <v>2</v>
      </c>
      <c r="AF17" s="68">
        <v>0</v>
      </c>
      <c r="AG17" s="68">
        <v>0</v>
      </c>
      <c r="AH17" s="68">
        <v>2</v>
      </c>
      <c r="AI17" s="68">
        <v>1</v>
      </c>
      <c r="AJ17" s="68">
        <v>0</v>
      </c>
      <c r="AK17" s="68">
        <v>1</v>
      </c>
      <c r="AL17" s="68">
        <v>0</v>
      </c>
      <c r="AM17" s="68">
        <v>0</v>
      </c>
      <c r="AN17" s="68">
        <v>0</v>
      </c>
      <c r="AO17" s="68">
        <v>0</v>
      </c>
      <c r="AP17" s="68">
        <v>0</v>
      </c>
      <c r="AQ17" s="68">
        <v>0</v>
      </c>
      <c r="AR17" s="68">
        <v>0</v>
      </c>
      <c r="AS17" s="68">
        <v>0</v>
      </c>
      <c r="AT17" s="68">
        <v>0</v>
      </c>
      <c r="AU17" s="68">
        <v>1</v>
      </c>
      <c r="AV17" s="68">
        <v>0</v>
      </c>
      <c r="AW17" s="68">
        <v>0</v>
      </c>
      <c r="AX17" s="68">
        <v>1</v>
      </c>
    </row>
    <row r="18" spans="1:50" s="18" customFormat="1" ht="15.75" customHeight="1">
      <c r="A18" s="346"/>
      <c r="B18" s="65" t="s">
        <v>225</v>
      </c>
      <c r="C18" s="68">
        <v>10</v>
      </c>
      <c r="D18" s="68">
        <v>0</v>
      </c>
      <c r="E18" s="68">
        <v>0</v>
      </c>
      <c r="F18" s="68">
        <v>10</v>
      </c>
      <c r="G18" s="68">
        <v>3</v>
      </c>
      <c r="H18" s="68">
        <v>0</v>
      </c>
      <c r="I18" s="68">
        <v>0</v>
      </c>
      <c r="J18" s="68">
        <v>3</v>
      </c>
      <c r="K18" s="68">
        <v>0</v>
      </c>
      <c r="L18" s="68">
        <v>0</v>
      </c>
      <c r="M18" s="68">
        <v>0</v>
      </c>
      <c r="N18" s="68">
        <v>0</v>
      </c>
      <c r="O18" s="68">
        <v>0</v>
      </c>
      <c r="P18" s="68">
        <v>0</v>
      </c>
      <c r="Q18" s="68">
        <v>0</v>
      </c>
      <c r="R18" s="68">
        <v>0</v>
      </c>
      <c r="S18" s="68">
        <v>0</v>
      </c>
      <c r="T18" s="68">
        <v>0</v>
      </c>
      <c r="U18" s="68">
        <v>0</v>
      </c>
      <c r="V18" s="68">
        <v>0</v>
      </c>
      <c r="W18" s="68">
        <v>7</v>
      </c>
      <c r="X18" s="68">
        <v>0</v>
      </c>
      <c r="Y18" s="68">
        <v>0</v>
      </c>
      <c r="Z18" s="68">
        <v>7</v>
      </c>
      <c r="AA18" s="68">
        <v>17</v>
      </c>
      <c r="AB18" s="68">
        <v>0</v>
      </c>
      <c r="AC18" s="68">
        <v>0</v>
      </c>
      <c r="AD18" s="68">
        <v>17</v>
      </c>
      <c r="AE18" s="68">
        <v>4</v>
      </c>
      <c r="AF18" s="68">
        <v>0</v>
      </c>
      <c r="AG18" s="68">
        <v>0</v>
      </c>
      <c r="AH18" s="68">
        <v>4</v>
      </c>
      <c r="AI18" s="68">
        <v>1</v>
      </c>
      <c r="AJ18" s="68">
        <v>0</v>
      </c>
      <c r="AK18" s="68">
        <v>0</v>
      </c>
      <c r="AL18" s="68">
        <v>1</v>
      </c>
      <c r="AM18" s="68">
        <v>1</v>
      </c>
      <c r="AN18" s="68">
        <v>0</v>
      </c>
      <c r="AO18" s="68">
        <v>0</v>
      </c>
      <c r="AP18" s="68">
        <v>1</v>
      </c>
      <c r="AQ18" s="68">
        <v>0</v>
      </c>
      <c r="AR18" s="68">
        <v>0</v>
      </c>
      <c r="AS18" s="68">
        <v>0</v>
      </c>
      <c r="AT18" s="68">
        <v>0</v>
      </c>
      <c r="AU18" s="68">
        <v>11</v>
      </c>
      <c r="AV18" s="68">
        <v>0</v>
      </c>
      <c r="AW18" s="68">
        <v>0</v>
      </c>
      <c r="AX18" s="68">
        <v>11</v>
      </c>
    </row>
    <row r="19" spans="1:50" s="18" customFormat="1" ht="15.75" customHeight="1">
      <c r="A19" s="63" t="s">
        <v>204</v>
      </c>
      <c r="B19" s="64" t="s">
        <v>223</v>
      </c>
      <c r="C19" s="67">
        <v>66</v>
      </c>
      <c r="D19" s="67">
        <v>24</v>
      </c>
      <c r="E19" s="67">
        <v>11</v>
      </c>
      <c r="F19" s="67">
        <v>31</v>
      </c>
      <c r="G19" s="67">
        <v>8</v>
      </c>
      <c r="H19" s="67">
        <v>0</v>
      </c>
      <c r="I19" s="67">
        <v>1</v>
      </c>
      <c r="J19" s="67">
        <v>7</v>
      </c>
      <c r="K19" s="67">
        <v>11</v>
      </c>
      <c r="L19" s="67">
        <v>3</v>
      </c>
      <c r="M19" s="67">
        <v>3</v>
      </c>
      <c r="N19" s="67">
        <v>5</v>
      </c>
      <c r="O19" s="67">
        <v>28</v>
      </c>
      <c r="P19" s="67">
        <v>15</v>
      </c>
      <c r="Q19" s="67">
        <v>5</v>
      </c>
      <c r="R19" s="67">
        <v>8</v>
      </c>
      <c r="S19" s="67">
        <v>1</v>
      </c>
      <c r="T19" s="67">
        <v>1</v>
      </c>
      <c r="U19" s="67">
        <v>0</v>
      </c>
      <c r="V19" s="67">
        <v>0</v>
      </c>
      <c r="W19" s="67">
        <v>18</v>
      </c>
      <c r="X19" s="67">
        <v>5</v>
      </c>
      <c r="Y19" s="67">
        <v>2</v>
      </c>
      <c r="Z19" s="67">
        <v>11</v>
      </c>
      <c r="AA19" s="67">
        <v>159</v>
      </c>
      <c r="AB19" s="67">
        <v>56</v>
      </c>
      <c r="AC19" s="67">
        <v>25</v>
      </c>
      <c r="AD19" s="67">
        <v>78</v>
      </c>
      <c r="AE19" s="67">
        <v>22</v>
      </c>
      <c r="AF19" s="67">
        <v>2</v>
      </c>
      <c r="AG19" s="67">
        <v>2</v>
      </c>
      <c r="AH19" s="67">
        <v>18</v>
      </c>
      <c r="AI19" s="67">
        <v>29</v>
      </c>
      <c r="AJ19" s="67">
        <v>8</v>
      </c>
      <c r="AK19" s="67">
        <v>5</v>
      </c>
      <c r="AL19" s="67">
        <v>16</v>
      </c>
      <c r="AM19" s="67">
        <v>66</v>
      </c>
      <c r="AN19" s="67">
        <v>35</v>
      </c>
      <c r="AO19" s="67">
        <v>14</v>
      </c>
      <c r="AP19" s="67">
        <v>17</v>
      </c>
      <c r="AQ19" s="67">
        <v>2</v>
      </c>
      <c r="AR19" s="67">
        <v>1</v>
      </c>
      <c r="AS19" s="67">
        <v>1</v>
      </c>
      <c r="AT19" s="67">
        <v>0</v>
      </c>
      <c r="AU19" s="67">
        <v>40</v>
      </c>
      <c r="AV19" s="67">
        <v>10</v>
      </c>
      <c r="AW19" s="67">
        <v>3</v>
      </c>
      <c r="AX19" s="67">
        <v>27</v>
      </c>
    </row>
    <row r="20" spans="1:50" s="18" customFormat="1" ht="15.75" customHeight="1">
      <c r="A20" s="345" t="s">
        <v>26</v>
      </c>
      <c r="B20" s="65" t="s">
        <v>224</v>
      </c>
      <c r="C20" s="68">
        <v>42</v>
      </c>
      <c r="D20" s="68">
        <v>17</v>
      </c>
      <c r="E20" s="68">
        <v>3</v>
      </c>
      <c r="F20" s="68">
        <v>22</v>
      </c>
      <c r="G20" s="68">
        <v>5</v>
      </c>
      <c r="H20" s="68">
        <v>0</v>
      </c>
      <c r="I20" s="68">
        <v>0</v>
      </c>
      <c r="J20" s="68">
        <v>5</v>
      </c>
      <c r="K20" s="68">
        <v>7</v>
      </c>
      <c r="L20" s="68">
        <v>2</v>
      </c>
      <c r="M20" s="68">
        <v>0</v>
      </c>
      <c r="N20" s="68">
        <v>5</v>
      </c>
      <c r="O20" s="68">
        <v>19</v>
      </c>
      <c r="P20" s="68">
        <v>11</v>
      </c>
      <c r="Q20" s="68">
        <v>2</v>
      </c>
      <c r="R20" s="68">
        <v>6</v>
      </c>
      <c r="S20" s="68">
        <v>1</v>
      </c>
      <c r="T20" s="68">
        <v>1</v>
      </c>
      <c r="U20" s="68">
        <v>0</v>
      </c>
      <c r="V20" s="68">
        <v>0</v>
      </c>
      <c r="W20" s="68">
        <v>10</v>
      </c>
      <c r="X20" s="68">
        <v>3</v>
      </c>
      <c r="Y20" s="68">
        <v>1</v>
      </c>
      <c r="Z20" s="68">
        <v>6</v>
      </c>
      <c r="AA20" s="68">
        <v>95</v>
      </c>
      <c r="AB20" s="68">
        <v>39</v>
      </c>
      <c r="AC20" s="68">
        <v>9</v>
      </c>
      <c r="AD20" s="68">
        <v>47</v>
      </c>
      <c r="AE20" s="68">
        <v>11</v>
      </c>
      <c r="AF20" s="68">
        <v>2</v>
      </c>
      <c r="AG20" s="68">
        <v>0</v>
      </c>
      <c r="AH20" s="68">
        <v>9</v>
      </c>
      <c r="AI20" s="68">
        <v>18</v>
      </c>
      <c r="AJ20" s="68">
        <v>5</v>
      </c>
      <c r="AK20" s="68">
        <v>1</v>
      </c>
      <c r="AL20" s="68">
        <v>12</v>
      </c>
      <c r="AM20" s="68">
        <v>41</v>
      </c>
      <c r="AN20" s="68">
        <v>25</v>
      </c>
      <c r="AO20" s="68">
        <v>6</v>
      </c>
      <c r="AP20" s="68">
        <v>10</v>
      </c>
      <c r="AQ20" s="68">
        <v>2</v>
      </c>
      <c r="AR20" s="68">
        <v>1</v>
      </c>
      <c r="AS20" s="68">
        <v>1</v>
      </c>
      <c r="AT20" s="68">
        <v>0</v>
      </c>
      <c r="AU20" s="68">
        <v>23</v>
      </c>
      <c r="AV20" s="68">
        <v>6</v>
      </c>
      <c r="AW20" s="68">
        <v>1</v>
      </c>
      <c r="AX20" s="68">
        <v>16</v>
      </c>
    </row>
    <row r="21" spans="1:50" s="18" customFormat="1" ht="15.75" customHeight="1">
      <c r="A21" s="346"/>
      <c r="B21" s="65" t="s">
        <v>225</v>
      </c>
      <c r="C21" s="68">
        <v>24</v>
      </c>
      <c r="D21" s="68">
        <v>7</v>
      </c>
      <c r="E21" s="68">
        <v>8</v>
      </c>
      <c r="F21" s="68">
        <v>9</v>
      </c>
      <c r="G21" s="68">
        <v>3</v>
      </c>
      <c r="H21" s="68">
        <v>0</v>
      </c>
      <c r="I21" s="68">
        <v>1</v>
      </c>
      <c r="J21" s="68">
        <v>2</v>
      </c>
      <c r="K21" s="68">
        <v>4</v>
      </c>
      <c r="L21" s="68">
        <v>1</v>
      </c>
      <c r="M21" s="68">
        <v>3</v>
      </c>
      <c r="N21" s="68">
        <v>0</v>
      </c>
      <c r="O21" s="68">
        <v>9</v>
      </c>
      <c r="P21" s="68">
        <v>4</v>
      </c>
      <c r="Q21" s="68">
        <v>3</v>
      </c>
      <c r="R21" s="68">
        <v>2</v>
      </c>
      <c r="S21" s="68">
        <v>0</v>
      </c>
      <c r="T21" s="68">
        <v>0</v>
      </c>
      <c r="U21" s="68">
        <v>0</v>
      </c>
      <c r="V21" s="68">
        <v>0</v>
      </c>
      <c r="W21" s="68">
        <v>8</v>
      </c>
      <c r="X21" s="68">
        <v>2</v>
      </c>
      <c r="Y21" s="68">
        <v>1</v>
      </c>
      <c r="Z21" s="68">
        <v>5</v>
      </c>
      <c r="AA21" s="68">
        <v>64</v>
      </c>
      <c r="AB21" s="68">
        <v>17</v>
      </c>
      <c r="AC21" s="68">
        <v>16</v>
      </c>
      <c r="AD21" s="68">
        <v>31</v>
      </c>
      <c r="AE21" s="68">
        <v>11</v>
      </c>
      <c r="AF21" s="68">
        <v>0</v>
      </c>
      <c r="AG21" s="68">
        <v>2</v>
      </c>
      <c r="AH21" s="68">
        <v>9</v>
      </c>
      <c r="AI21" s="68">
        <v>11</v>
      </c>
      <c r="AJ21" s="68">
        <v>3</v>
      </c>
      <c r="AK21" s="68">
        <v>4</v>
      </c>
      <c r="AL21" s="68">
        <v>4</v>
      </c>
      <c r="AM21" s="68">
        <v>25</v>
      </c>
      <c r="AN21" s="68">
        <v>10</v>
      </c>
      <c r="AO21" s="68">
        <v>8</v>
      </c>
      <c r="AP21" s="68">
        <v>7</v>
      </c>
      <c r="AQ21" s="68">
        <v>0</v>
      </c>
      <c r="AR21" s="68">
        <v>0</v>
      </c>
      <c r="AS21" s="68">
        <v>0</v>
      </c>
      <c r="AT21" s="68">
        <v>0</v>
      </c>
      <c r="AU21" s="68">
        <v>17</v>
      </c>
      <c r="AV21" s="68">
        <v>4</v>
      </c>
      <c r="AW21" s="68">
        <v>2</v>
      </c>
      <c r="AX21" s="68">
        <v>11</v>
      </c>
    </row>
    <row r="22" spans="1:50" s="18" customFormat="1" ht="15.75" customHeight="1">
      <c r="A22" s="63" t="s">
        <v>205</v>
      </c>
      <c r="B22" s="64" t="s">
        <v>223</v>
      </c>
      <c r="C22" s="67">
        <v>46</v>
      </c>
      <c r="D22" s="67">
        <v>10</v>
      </c>
      <c r="E22" s="67">
        <v>6</v>
      </c>
      <c r="F22" s="67">
        <v>30</v>
      </c>
      <c r="G22" s="67">
        <v>12</v>
      </c>
      <c r="H22" s="67">
        <v>1</v>
      </c>
      <c r="I22" s="67">
        <v>0</v>
      </c>
      <c r="J22" s="67">
        <v>11</v>
      </c>
      <c r="K22" s="67">
        <v>10</v>
      </c>
      <c r="L22" s="67">
        <v>2</v>
      </c>
      <c r="M22" s="67">
        <v>2</v>
      </c>
      <c r="N22" s="67">
        <v>6</v>
      </c>
      <c r="O22" s="67">
        <v>4</v>
      </c>
      <c r="P22" s="67">
        <v>3</v>
      </c>
      <c r="Q22" s="67">
        <v>1</v>
      </c>
      <c r="R22" s="67">
        <v>0</v>
      </c>
      <c r="S22" s="67">
        <v>0</v>
      </c>
      <c r="T22" s="67">
        <v>0</v>
      </c>
      <c r="U22" s="67">
        <v>0</v>
      </c>
      <c r="V22" s="67">
        <v>0</v>
      </c>
      <c r="W22" s="67">
        <v>20</v>
      </c>
      <c r="X22" s="67">
        <v>4</v>
      </c>
      <c r="Y22" s="67">
        <v>3</v>
      </c>
      <c r="Z22" s="67">
        <v>13</v>
      </c>
      <c r="AA22" s="67">
        <v>67</v>
      </c>
      <c r="AB22" s="67">
        <v>12</v>
      </c>
      <c r="AC22" s="67">
        <v>14</v>
      </c>
      <c r="AD22" s="67">
        <v>41</v>
      </c>
      <c r="AE22" s="67">
        <v>17</v>
      </c>
      <c r="AF22" s="67">
        <v>1</v>
      </c>
      <c r="AG22" s="67">
        <v>0</v>
      </c>
      <c r="AH22" s="67">
        <v>16</v>
      </c>
      <c r="AI22" s="67">
        <v>15</v>
      </c>
      <c r="AJ22" s="67">
        <v>3</v>
      </c>
      <c r="AK22" s="67">
        <v>5</v>
      </c>
      <c r="AL22" s="67">
        <v>7</v>
      </c>
      <c r="AM22" s="67">
        <v>4</v>
      </c>
      <c r="AN22" s="67">
        <v>3</v>
      </c>
      <c r="AO22" s="67">
        <v>1</v>
      </c>
      <c r="AP22" s="67">
        <v>0</v>
      </c>
      <c r="AQ22" s="67">
        <v>0</v>
      </c>
      <c r="AR22" s="67">
        <v>0</v>
      </c>
      <c r="AS22" s="67">
        <v>0</v>
      </c>
      <c r="AT22" s="67">
        <v>0</v>
      </c>
      <c r="AU22" s="67">
        <v>31</v>
      </c>
      <c r="AV22" s="67">
        <v>5</v>
      </c>
      <c r="AW22" s="67">
        <v>8</v>
      </c>
      <c r="AX22" s="67">
        <v>18</v>
      </c>
    </row>
    <row r="23" spans="1:50" s="18" customFormat="1" ht="15.75" customHeight="1">
      <c r="A23" s="345" t="s">
        <v>27</v>
      </c>
      <c r="B23" s="65" t="s">
        <v>224</v>
      </c>
      <c r="C23" s="68">
        <v>16</v>
      </c>
      <c r="D23" s="68">
        <v>3</v>
      </c>
      <c r="E23" s="68">
        <v>2</v>
      </c>
      <c r="F23" s="68">
        <v>11</v>
      </c>
      <c r="G23" s="68">
        <v>4</v>
      </c>
      <c r="H23" s="68">
        <v>0</v>
      </c>
      <c r="I23" s="68">
        <v>0</v>
      </c>
      <c r="J23" s="68">
        <v>4</v>
      </c>
      <c r="K23" s="68">
        <v>6</v>
      </c>
      <c r="L23" s="68">
        <v>1</v>
      </c>
      <c r="M23" s="68">
        <v>1</v>
      </c>
      <c r="N23" s="68">
        <v>4</v>
      </c>
      <c r="O23" s="68">
        <v>2</v>
      </c>
      <c r="P23" s="68">
        <v>2</v>
      </c>
      <c r="Q23" s="68">
        <v>0</v>
      </c>
      <c r="R23" s="68">
        <v>0</v>
      </c>
      <c r="S23" s="68">
        <v>0</v>
      </c>
      <c r="T23" s="68">
        <v>0</v>
      </c>
      <c r="U23" s="68">
        <v>0</v>
      </c>
      <c r="V23" s="68">
        <v>0</v>
      </c>
      <c r="W23" s="68">
        <v>4</v>
      </c>
      <c r="X23" s="68">
        <v>0</v>
      </c>
      <c r="Y23" s="68">
        <v>1</v>
      </c>
      <c r="Z23" s="68">
        <v>3</v>
      </c>
      <c r="AA23" s="68">
        <v>25</v>
      </c>
      <c r="AB23" s="68">
        <v>4</v>
      </c>
      <c r="AC23" s="68">
        <v>7</v>
      </c>
      <c r="AD23" s="68">
        <v>14</v>
      </c>
      <c r="AE23" s="68">
        <v>5</v>
      </c>
      <c r="AF23" s="68">
        <v>0</v>
      </c>
      <c r="AG23" s="68">
        <v>0</v>
      </c>
      <c r="AH23" s="68">
        <v>5</v>
      </c>
      <c r="AI23" s="68">
        <v>7</v>
      </c>
      <c r="AJ23" s="68">
        <v>1</v>
      </c>
      <c r="AK23" s="68">
        <v>2</v>
      </c>
      <c r="AL23" s="68">
        <v>4</v>
      </c>
      <c r="AM23" s="68">
        <v>2</v>
      </c>
      <c r="AN23" s="68">
        <v>2</v>
      </c>
      <c r="AO23" s="68">
        <v>0</v>
      </c>
      <c r="AP23" s="68">
        <v>0</v>
      </c>
      <c r="AQ23" s="68">
        <v>0</v>
      </c>
      <c r="AR23" s="68">
        <v>0</v>
      </c>
      <c r="AS23" s="68">
        <v>0</v>
      </c>
      <c r="AT23" s="68">
        <v>0</v>
      </c>
      <c r="AU23" s="68">
        <v>11</v>
      </c>
      <c r="AV23" s="68">
        <v>1</v>
      </c>
      <c r="AW23" s="68">
        <v>5</v>
      </c>
      <c r="AX23" s="68">
        <v>5</v>
      </c>
    </row>
    <row r="24" spans="1:50" s="18" customFormat="1" ht="15.75" customHeight="1">
      <c r="A24" s="346"/>
      <c r="B24" s="65" t="s">
        <v>225</v>
      </c>
      <c r="C24" s="68">
        <v>30</v>
      </c>
      <c r="D24" s="68">
        <v>7</v>
      </c>
      <c r="E24" s="68">
        <v>4</v>
      </c>
      <c r="F24" s="68">
        <v>19</v>
      </c>
      <c r="G24" s="68">
        <v>8</v>
      </c>
      <c r="H24" s="68">
        <v>1</v>
      </c>
      <c r="I24" s="68">
        <v>0</v>
      </c>
      <c r="J24" s="68">
        <v>7</v>
      </c>
      <c r="K24" s="68">
        <v>4</v>
      </c>
      <c r="L24" s="68">
        <v>1</v>
      </c>
      <c r="M24" s="68">
        <v>1</v>
      </c>
      <c r="N24" s="68">
        <v>2</v>
      </c>
      <c r="O24" s="68">
        <v>2</v>
      </c>
      <c r="P24" s="68">
        <v>1</v>
      </c>
      <c r="Q24" s="68">
        <v>1</v>
      </c>
      <c r="R24" s="68">
        <v>0</v>
      </c>
      <c r="S24" s="68">
        <v>0</v>
      </c>
      <c r="T24" s="68">
        <v>0</v>
      </c>
      <c r="U24" s="68">
        <v>0</v>
      </c>
      <c r="V24" s="68">
        <v>0</v>
      </c>
      <c r="W24" s="68">
        <v>16</v>
      </c>
      <c r="X24" s="68">
        <v>4</v>
      </c>
      <c r="Y24" s="68">
        <v>2</v>
      </c>
      <c r="Z24" s="68">
        <v>10</v>
      </c>
      <c r="AA24" s="68">
        <v>42</v>
      </c>
      <c r="AB24" s="68">
        <v>8</v>
      </c>
      <c r="AC24" s="68">
        <v>7</v>
      </c>
      <c r="AD24" s="68">
        <v>27</v>
      </c>
      <c r="AE24" s="68">
        <v>12</v>
      </c>
      <c r="AF24" s="68">
        <v>1</v>
      </c>
      <c r="AG24" s="68">
        <v>0</v>
      </c>
      <c r="AH24" s="68">
        <v>11</v>
      </c>
      <c r="AI24" s="68">
        <v>8</v>
      </c>
      <c r="AJ24" s="68">
        <v>2</v>
      </c>
      <c r="AK24" s="68">
        <v>3</v>
      </c>
      <c r="AL24" s="68">
        <v>3</v>
      </c>
      <c r="AM24" s="68">
        <v>2</v>
      </c>
      <c r="AN24" s="68">
        <v>1</v>
      </c>
      <c r="AO24" s="68">
        <v>1</v>
      </c>
      <c r="AP24" s="68">
        <v>0</v>
      </c>
      <c r="AQ24" s="68">
        <v>0</v>
      </c>
      <c r="AR24" s="68">
        <v>0</v>
      </c>
      <c r="AS24" s="68">
        <v>0</v>
      </c>
      <c r="AT24" s="68">
        <v>0</v>
      </c>
      <c r="AU24" s="68">
        <v>20</v>
      </c>
      <c r="AV24" s="68">
        <v>4</v>
      </c>
      <c r="AW24" s="68">
        <v>3</v>
      </c>
      <c r="AX24" s="68">
        <v>13</v>
      </c>
    </row>
    <row r="25" spans="1:50" s="18" customFormat="1" ht="15.75" customHeight="1">
      <c r="A25" s="63" t="s">
        <v>206</v>
      </c>
      <c r="B25" s="64" t="s">
        <v>223</v>
      </c>
      <c r="C25" s="67">
        <v>144</v>
      </c>
      <c r="D25" s="67">
        <v>33</v>
      </c>
      <c r="E25" s="67">
        <v>34</v>
      </c>
      <c r="F25" s="67">
        <v>77</v>
      </c>
      <c r="G25" s="67">
        <v>88</v>
      </c>
      <c r="H25" s="67">
        <v>19</v>
      </c>
      <c r="I25" s="67">
        <v>20</v>
      </c>
      <c r="J25" s="67">
        <v>49</v>
      </c>
      <c r="K25" s="67">
        <v>20</v>
      </c>
      <c r="L25" s="67">
        <v>5</v>
      </c>
      <c r="M25" s="67">
        <v>1</v>
      </c>
      <c r="N25" s="67">
        <v>14</v>
      </c>
      <c r="O25" s="67">
        <v>16</v>
      </c>
      <c r="P25" s="67">
        <v>3</v>
      </c>
      <c r="Q25" s="67">
        <v>5</v>
      </c>
      <c r="R25" s="67">
        <v>8</v>
      </c>
      <c r="S25" s="67">
        <v>15</v>
      </c>
      <c r="T25" s="67">
        <v>3</v>
      </c>
      <c r="U25" s="67">
        <v>7</v>
      </c>
      <c r="V25" s="67">
        <v>5</v>
      </c>
      <c r="W25" s="67">
        <v>5</v>
      </c>
      <c r="X25" s="67">
        <v>3</v>
      </c>
      <c r="Y25" s="67">
        <v>1</v>
      </c>
      <c r="Z25" s="67">
        <v>1</v>
      </c>
      <c r="AA25" s="67">
        <v>228</v>
      </c>
      <c r="AB25" s="67">
        <v>50</v>
      </c>
      <c r="AC25" s="67">
        <v>43</v>
      </c>
      <c r="AD25" s="67">
        <v>135</v>
      </c>
      <c r="AE25" s="67">
        <v>138</v>
      </c>
      <c r="AF25" s="67">
        <v>30</v>
      </c>
      <c r="AG25" s="67">
        <v>25</v>
      </c>
      <c r="AH25" s="67">
        <v>83</v>
      </c>
      <c r="AI25" s="67">
        <v>34</v>
      </c>
      <c r="AJ25" s="67">
        <v>6</v>
      </c>
      <c r="AK25" s="67">
        <v>1</v>
      </c>
      <c r="AL25" s="67">
        <v>27</v>
      </c>
      <c r="AM25" s="67">
        <v>31</v>
      </c>
      <c r="AN25" s="67">
        <v>7</v>
      </c>
      <c r="AO25" s="67">
        <v>6</v>
      </c>
      <c r="AP25" s="67">
        <v>18</v>
      </c>
      <c r="AQ25" s="67">
        <v>20</v>
      </c>
      <c r="AR25" s="67">
        <v>4</v>
      </c>
      <c r="AS25" s="67">
        <v>10</v>
      </c>
      <c r="AT25" s="67">
        <v>6</v>
      </c>
      <c r="AU25" s="67">
        <v>5</v>
      </c>
      <c r="AV25" s="67">
        <v>3</v>
      </c>
      <c r="AW25" s="67">
        <v>1</v>
      </c>
      <c r="AX25" s="67">
        <v>1</v>
      </c>
    </row>
    <row r="26" spans="1:50" s="18" customFormat="1" ht="15.75" customHeight="1">
      <c r="A26" s="345" t="s">
        <v>28</v>
      </c>
      <c r="B26" s="65" t="s">
        <v>224</v>
      </c>
      <c r="C26" s="68">
        <v>54</v>
      </c>
      <c r="D26" s="68">
        <v>14</v>
      </c>
      <c r="E26" s="68">
        <v>16</v>
      </c>
      <c r="F26" s="68">
        <v>24</v>
      </c>
      <c r="G26" s="68">
        <v>33</v>
      </c>
      <c r="H26" s="68">
        <v>8</v>
      </c>
      <c r="I26" s="68">
        <v>10</v>
      </c>
      <c r="J26" s="68">
        <v>15</v>
      </c>
      <c r="K26" s="68">
        <v>2</v>
      </c>
      <c r="L26" s="68">
        <v>0</v>
      </c>
      <c r="M26" s="68">
        <v>0</v>
      </c>
      <c r="N26" s="68">
        <v>2</v>
      </c>
      <c r="O26" s="68">
        <v>6</v>
      </c>
      <c r="P26" s="68">
        <v>2</v>
      </c>
      <c r="Q26" s="68">
        <v>1</v>
      </c>
      <c r="R26" s="68">
        <v>3</v>
      </c>
      <c r="S26" s="68">
        <v>9</v>
      </c>
      <c r="T26" s="68">
        <v>1</v>
      </c>
      <c r="U26" s="68">
        <v>5</v>
      </c>
      <c r="V26" s="68">
        <v>3</v>
      </c>
      <c r="W26" s="68">
        <v>4</v>
      </c>
      <c r="X26" s="68">
        <v>3</v>
      </c>
      <c r="Y26" s="68">
        <v>0</v>
      </c>
      <c r="Z26" s="68">
        <v>1</v>
      </c>
      <c r="AA26" s="68">
        <v>92</v>
      </c>
      <c r="AB26" s="68">
        <v>22</v>
      </c>
      <c r="AC26" s="68">
        <v>25</v>
      </c>
      <c r="AD26" s="68">
        <v>45</v>
      </c>
      <c r="AE26" s="68">
        <v>55</v>
      </c>
      <c r="AF26" s="68">
        <v>12</v>
      </c>
      <c r="AG26" s="68">
        <v>15</v>
      </c>
      <c r="AH26" s="68">
        <v>28</v>
      </c>
      <c r="AI26" s="68">
        <v>10</v>
      </c>
      <c r="AJ26" s="68">
        <v>1</v>
      </c>
      <c r="AK26" s="68">
        <v>0</v>
      </c>
      <c r="AL26" s="68">
        <v>9</v>
      </c>
      <c r="AM26" s="68">
        <v>11</v>
      </c>
      <c r="AN26" s="68">
        <v>5</v>
      </c>
      <c r="AO26" s="68">
        <v>2</v>
      </c>
      <c r="AP26" s="68">
        <v>4</v>
      </c>
      <c r="AQ26" s="68">
        <v>12</v>
      </c>
      <c r="AR26" s="68">
        <v>1</v>
      </c>
      <c r="AS26" s="68">
        <v>8</v>
      </c>
      <c r="AT26" s="68">
        <v>3</v>
      </c>
      <c r="AU26" s="68">
        <v>4</v>
      </c>
      <c r="AV26" s="68">
        <v>3</v>
      </c>
      <c r="AW26" s="68">
        <v>0</v>
      </c>
      <c r="AX26" s="68">
        <v>1</v>
      </c>
    </row>
    <row r="27" spans="1:50" s="18" customFormat="1" ht="15.75" customHeight="1">
      <c r="A27" s="346"/>
      <c r="B27" s="65" t="s">
        <v>225</v>
      </c>
      <c r="C27" s="68">
        <v>90</v>
      </c>
      <c r="D27" s="68">
        <v>19</v>
      </c>
      <c r="E27" s="68">
        <v>18</v>
      </c>
      <c r="F27" s="68">
        <v>53</v>
      </c>
      <c r="G27" s="68">
        <v>55</v>
      </c>
      <c r="H27" s="68">
        <v>11</v>
      </c>
      <c r="I27" s="68">
        <v>10</v>
      </c>
      <c r="J27" s="68">
        <v>34</v>
      </c>
      <c r="K27" s="68">
        <v>18</v>
      </c>
      <c r="L27" s="68">
        <v>5</v>
      </c>
      <c r="M27" s="68">
        <v>1</v>
      </c>
      <c r="N27" s="68">
        <v>12</v>
      </c>
      <c r="O27" s="68">
        <v>10</v>
      </c>
      <c r="P27" s="68">
        <v>1</v>
      </c>
      <c r="Q27" s="68">
        <v>4</v>
      </c>
      <c r="R27" s="68">
        <v>5</v>
      </c>
      <c r="S27" s="68">
        <v>6</v>
      </c>
      <c r="T27" s="68">
        <v>2</v>
      </c>
      <c r="U27" s="68">
        <v>2</v>
      </c>
      <c r="V27" s="68">
        <v>2</v>
      </c>
      <c r="W27" s="68">
        <v>1</v>
      </c>
      <c r="X27" s="68">
        <v>0</v>
      </c>
      <c r="Y27" s="68">
        <v>1</v>
      </c>
      <c r="Z27" s="68">
        <v>0</v>
      </c>
      <c r="AA27" s="68">
        <v>136</v>
      </c>
      <c r="AB27" s="68">
        <v>28</v>
      </c>
      <c r="AC27" s="68">
        <v>18</v>
      </c>
      <c r="AD27" s="68">
        <v>90</v>
      </c>
      <c r="AE27" s="68">
        <v>83</v>
      </c>
      <c r="AF27" s="68">
        <v>18</v>
      </c>
      <c r="AG27" s="68">
        <v>10</v>
      </c>
      <c r="AH27" s="68">
        <v>55</v>
      </c>
      <c r="AI27" s="68">
        <v>24</v>
      </c>
      <c r="AJ27" s="68">
        <v>5</v>
      </c>
      <c r="AK27" s="68">
        <v>1</v>
      </c>
      <c r="AL27" s="68">
        <v>18</v>
      </c>
      <c r="AM27" s="68">
        <v>20</v>
      </c>
      <c r="AN27" s="68">
        <v>2</v>
      </c>
      <c r="AO27" s="68">
        <v>4</v>
      </c>
      <c r="AP27" s="68">
        <v>14</v>
      </c>
      <c r="AQ27" s="68">
        <v>8</v>
      </c>
      <c r="AR27" s="68">
        <v>3</v>
      </c>
      <c r="AS27" s="68">
        <v>2</v>
      </c>
      <c r="AT27" s="68">
        <v>3</v>
      </c>
      <c r="AU27" s="68">
        <v>1</v>
      </c>
      <c r="AV27" s="68">
        <v>0</v>
      </c>
      <c r="AW27" s="68">
        <v>1</v>
      </c>
      <c r="AX27" s="68">
        <v>0</v>
      </c>
    </row>
    <row r="28" spans="1:50" ht="15.75" customHeight="1">
      <c r="A28" s="63" t="s">
        <v>207</v>
      </c>
      <c r="B28" s="64" t="s">
        <v>223</v>
      </c>
      <c r="C28" s="67">
        <v>5</v>
      </c>
      <c r="D28" s="67">
        <v>3</v>
      </c>
      <c r="E28" s="67">
        <v>1</v>
      </c>
      <c r="F28" s="67">
        <v>1</v>
      </c>
      <c r="G28" s="67">
        <v>0</v>
      </c>
      <c r="H28" s="67">
        <v>0</v>
      </c>
      <c r="I28" s="67">
        <v>0</v>
      </c>
      <c r="J28" s="67">
        <v>0</v>
      </c>
      <c r="K28" s="67">
        <v>2</v>
      </c>
      <c r="L28" s="67">
        <v>0</v>
      </c>
      <c r="M28" s="67">
        <v>1</v>
      </c>
      <c r="N28" s="67">
        <v>1</v>
      </c>
      <c r="O28" s="67">
        <v>0</v>
      </c>
      <c r="P28" s="67">
        <v>0</v>
      </c>
      <c r="Q28" s="67">
        <v>0</v>
      </c>
      <c r="R28" s="67">
        <v>0</v>
      </c>
      <c r="S28" s="67">
        <v>1</v>
      </c>
      <c r="T28" s="67">
        <v>1</v>
      </c>
      <c r="U28" s="67">
        <v>0</v>
      </c>
      <c r="V28" s="67">
        <v>0</v>
      </c>
      <c r="W28" s="67">
        <v>2</v>
      </c>
      <c r="X28" s="67">
        <v>2</v>
      </c>
      <c r="Y28" s="67">
        <v>0</v>
      </c>
      <c r="Z28" s="67">
        <v>0</v>
      </c>
      <c r="AA28" s="67">
        <v>5</v>
      </c>
      <c r="AB28" s="67">
        <v>3</v>
      </c>
      <c r="AC28" s="67">
        <v>0</v>
      </c>
      <c r="AD28" s="67">
        <v>2</v>
      </c>
      <c r="AE28" s="67">
        <v>0</v>
      </c>
      <c r="AF28" s="67">
        <v>0</v>
      </c>
      <c r="AG28" s="67">
        <v>0</v>
      </c>
      <c r="AH28" s="67">
        <v>0</v>
      </c>
      <c r="AI28" s="67">
        <v>2</v>
      </c>
      <c r="AJ28" s="67">
        <v>0</v>
      </c>
      <c r="AK28" s="67">
        <v>0</v>
      </c>
      <c r="AL28" s="67">
        <v>2</v>
      </c>
      <c r="AM28" s="67">
        <v>0</v>
      </c>
      <c r="AN28" s="67">
        <v>0</v>
      </c>
      <c r="AO28" s="67">
        <v>0</v>
      </c>
      <c r="AP28" s="67">
        <v>0</v>
      </c>
      <c r="AQ28" s="67">
        <v>1</v>
      </c>
      <c r="AR28" s="67">
        <v>1</v>
      </c>
      <c r="AS28" s="67">
        <v>0</v>
      </c>
      <c r="AT28" s="67">
        <v>0</v>
      </c>
      <c r="AU28" s="67">
        <v>2</v>
      </c>
      <c r="AV28" s="67">
        <v>2</v>
      </c>
      <c r="AW28" s="67">
        <v>0</v>
      </c>
      <c r="AX28" s="67">
        <v>0</v>
      </c>
    </row>
    <row r="29" spans="1:50" ht="15.75" customHeight="1">
      <c r="A29" s="345" t="s">
        <v>7</v>
      </c>
      <c r="B29" s="65" t="s">
        <v>224</v>
      </c>
      <c r="C29" s="68">
        <v>3</v>
      </c>
      <c r="D29" s="68">
        <v>3</v>
      </c>
      <c r="E29" s="68">
        <v>0</v>
      </c>
      <c r="F29" s="68">
        <v>0</v>
      </c>
      <c r="G29" s="68">
        <v>0</v>
      </c>
      <c r="H29" s="68">
        <v>0</v>
      </c>
      <c r="I29" s="68">
        <v>0</v>
      </c>
      <c r="J29" s="68">
        <v>0</v>
      </c>
      <c r="K29" s="68">
        <v>0</v>
      </c>
      <c r="L29" s="68">
        <v>0</v>
      </c>
      <c r="M29" s="68">
        <v>0</v>
      </c>
      <c r="N29" s="68">
        <v>0</v>
      </c>
      <c r="O29" s="68">
        <v>0</v>
      </c>
      <c r="P29" s="68">
        <v>0</v>
      </c>
      <c r="Q29" s="68">
        <v>0</v>
      </c>
      <c r="R29" s="68">
        <v>0</v>
      </c>
      <c r="S29" s="68">
        <v>1</v>
      </c>
      <c r="T29" s="68">
        <v>1</v>
      </c>
      <c r="U29" s="68">
        <v>0</v>
      </c>
      <c r="V29" s="68">
        <v>0</v>
      </c>
      <c r="W29" s="68">
        <v>2</v>
      </c>
      <c r="X29" s="68">
        <v>2</v>
      </c>
      <c r="Y29" s="68">
        <v>0</v>
      </c>
      <c r="Z29" s="68">
        <v>0</v>
      </c>
      <c r="AA29" s="68">
        <v>3</v>
      </c>
      <c r="AB29" s="68">
        <v>3</v>
      </c>
      <c r="AC29" s="68">
        <v>0</v>
      </c>
      <c r="AD29" s="68">
        <v>0</v>
      </c>
      <c r="AE29" s="68">
        <v>0</v>
      </c>
      <c r="AF29" s="68">
        <v>0</v>
      </c>
      <c r="AG29" s="68">
        <v>0</v>
      </c>
      <c r="AH29" s="68">
        <v>0</v>
      </c>
      <c r="AI29" s="68">
        <v>0</v>
      </c>
      <c r="AJ29" s="68">
        <v>0</v>
      </c>
      <c r="AK29" s="68">
        <v>0</v>
      </c>
      <c r="AL29" s="68">
        <v>0</v>
      </c>
      <c r="AM29" s="68">
        <v>0</v>
      </c>
      <c r="AN29" s="68">
        <v>0</v>
      </c>
      <c r="AO29" s="68">
        <v>0</v>
      </c>
      <c r="AP29" s="68">
        <v>0</v>
      </c>
      <c r="AQ29" s="68">
        <v>1</v>
      </c>
      <c r="AR29" s="68">
        <v>1</v>
      </c>
      <c r="AS29" s="68">
        <v>0</v>
      </c>
      <c r="AT29" s="68">
        <v>0</v>
      </c>
      <c r="AU29" s="68">
        <v>2</v>
      </c>
      <c r="AV29" s="68">
        <v>2</v>
      </c>
      <c r="AW29" s="68">
        <v>0</v>
      </c>
      <c r="AX29" s="68">
        <v>0</v>
      </c>
    </row>
    <row r="30" spans="1:50" ht="15.75" customHeight="1">
      <c r="A30" s="346"/>
      <c r="B30" s="65" t="s">
        <v>225</v>
      </c>
      <c r="C30" s="68">
        <v>2</v>
      </c>
      <c r="D30" s="68">
        <v>0</v>
      </c>
      <c r="E30" s="68">
        <v>1</v>
      </c>
      <c r="F30" s="68">
        <v>1</v>
      </c>
      <c r="G30" s="68">
        <v>0</v>
      </c>
      <c r="H30" s="68">
        <v>0</v>
      </c>
      <c r="I30" s="68">
        <v>0</v>
      </c>
      <c r="J30" s="68">
        <v>0</v>
      </c>
      <c r="K30" s="68">
        <v>2</v>
      </c>
      <c r="L30" s="68">
        <v>0</v>
      </c>
      <c r="M30" s="68">
        <v>1</v>
      </c>
      <c r="N30" s="68">
        <v>1</v>
      </c>
      <c r="O30" s="68">
        <v>0</v>
      </c>
      <c r="P30" s="68">
        <v>0</v>
      </c>
      <c r="Q30" s="68">
        <v>0</v>
      </c>
      <c r="R30" s="68">
        <v>0</v>
      </c>
      <c r="S30" s="68">
        <v>0</v>
      </c>
      <c r="T30" s="68">
        <v>0</v>
      </c>
      <c r="U30" s="68">
        <v>0</v>
      </c>
      <c r="V30" s="68">
        <v>0</v>
      </c>
      <c r="W30" s="68">
        <v>0</v>
      </c>
      <c r="X30" s="68">
        <v>0</v>
      </c>
      <c r="Y30" s="68">
        <v>0</v>
      </c>
      <c r="Z30" s="68">
        <v>0</v>
      </c>
      <c r="AA30" s="68">
        <v>2</v>
      </c>
      <c r="AB30" s="68">
        <v>0</v>
      </c>
      <c r="AC30" s="68">
        <v>0</v>
      </c>
      <c r="AD30" s="68">
        <v>2</v>
      </c>
      <c r="AE30" s="68">
        <v>0</v>
      </c>
      <c r="AF30" s="68">
        <v>0</v>
      </c>
      <c r="AG30" s="68">
        <v>0</v>
      </c>
      <c r="AH30" s="68">
        <v>0</v>
      </c>
      <c r="AI30" s="68">
        <v>2</v>
      </c>
      <c r="AJ30" s="68">
        <v>0</v>
      </c>
      <c r="AK30" s="68">
        <v>0</v>
      </c>
      <c r="AL30" s="68">
        <v>2</v>
      </c>
      <c r="AM30" s="68">
        <v>0</v>
      </c>
      <c r="AN30" s="68">
        <v>0</v>
      </c>
      <c r="AO30" s="68">
        <v>0</v>
      </c>
      <c r="AP30" s="68">
        <v>0</v>
      </c>
      <c r="AQ30" s="68">
        <v>0</v>
      </c>
      <c r="AR30" s="68">
        <v>0</v>
      </c>
      <c r="AS30" s="68">
        <v>0</v>
      </c>
      <c r="AT30" s="68">
        <v>0</v>
      </c>
      <c r="AU30" s="68">
        <v>0</v>
      </c>
      <c r="AV30" s="68">
        <v>0</v>
      </c>
      <c r="AW30" s="68">
        <v>0</v>
      </c>
      <c r="AX30" s="68">
        <v>0</v>
      </c>
    </row>
    <row r="31" spans="1:50" ht="15.75" customHeight="1">
      <c r="A31" s="63" t="s">
        <v>208</v>
      </c>
      <c r="B31" s="64" t="s">
        <v>223</v>
      </c>
      <c r="C31" s="67">
        <v>7</v>
      </c>
      <c r="D31" s="67">
        <v>2</v>
      </c>
      <c r="E31" s="67">
        <v>1</v>
      </c>
      <c r="F31" s="67">
        <v>4</v>
      </c>
      <c r="G31" s="67">
        <v>5</v>
      </c>
      <c r="H31" s="67">
        <v>1</v>
      </c>
      <c r="I31" s="67">
        <v>1</v>
      </c>
      <c r="J31" s="67">
        <v>3</v>
      </c>
      <c r="K31" s="67">
        <v>1</v>
      </c>
      <c r="L31" s="67">
        <v>0</v>
      </c>
      <c r="M31" s="67">
        <v>0</v>
      </c>
      <c r="N31" s="67">
        <v>1</v>
      </c>
      <c r="O31" s="67">
        <v>1</v>
      </c>
      <c r="P31" s="67">
        <v>1</v>
      </c>
      <c r="Q31" s="67">
        <v>0</v>
      </c>
      <c r="R31" s="67">
        <v>0</v>
      </c>
      <c r="S31" s="67">
        <v>0</v>
      </c>
      <c r="T31" s="67">
        <v>0</v>
      </c>
      <c r="U31" s="67">
        <v>0</v>
      </c>
      <c r="V31" s="67">
        <v>0</v>
      </c>
      <c r="W31" s="67">
        <v>0</v>
      </c>
      <c r="X31" s="67">
        <v>0</v>
      </c>
      <c r="Y31" s="67">
        <v>0</v>
      </c>
      <c r="Z31" s="67">
        <v>0</v>
      </c>
      <c r="AA31" s="67">
        <v>15</v>
      </c>
      <c r="AB31" s="67">
        <v>5</v>
      </c>
      <c r="AC31" s="67">
        <v>3</v>
      </c>
      <c r="AD31" s="67">
        <v>7</v>
      </c>
      <c r="AE31" s="67">
        <v>7</v>
      </c>
      <c r="AF31" s="67">
        <v>1</v>
      </c>
      <c r="AG31" s="67">
        <v>1</v>
      </c>
      <c r="AH31" s="67">
        <v>5</v>
      </c>
      <c r="AI31" s="67">
        <v>2</v>
      </c>
      <c r="AJ31" s="67">
        <v>0</v>
      </c>
      <c r="AK31" s="67">
        <v>1</v>
      </c>
      <c r="AL31" s="67">
        <v>1</v>
      </c>
      <c r="AM31" s="67">
        <v>5</v>
      </c>
      <c r="AN31" s="67">
        <v>4</v>
      </c>
      <c r="AO31" s="67">
        <v>1</v>
      </c>
      <c r="AP31" s="67">
        <v>0</v>
      </c>
      <c r="AQ31" s="67">
        <v>1</v>
      </c>
      <c r="AR31" s="67">
        <v>0</v>
      </c>
      <c r="AS31" s="67">
        <v>0</v>
      </c>
      <c r="AT31" s="67">
        <v>1</v>
      </c>
      <c r="AU31" s="67">
        <v>0</v>
      </c>
      <c r="AV31" s="67">
        <v>0</v>
      </c>
      <c r="AW31" s="67">
        <v>0</v>
      </c>
      <c r="AX31" s="67">
        <v>0</v>
      </c>
    </row>
    <row r="32" spans="1:50" ht="15.75" customHeight="1">
      <c r="A32" s="345" t="s">
        <v>9</v>
      </c>
      <c r="B32" s="65" t="s">
        <v>224</v>
      </c>
      <c r="C32" s="68">
        <v>1</v>
      </c>
      <c r="D32" s="68">
        <v>1</v>
      </c>
      <c r="E32" s="68">
        <v>0</v>
      </c>
      <c r="F32" s="68">
        <v>0</v>
      </c>
      <c r="G32" s="68">
        <v>0</v>
      </c>
      <c r="H32" s="68">
        <v>0</v>
      </c>
      <c r="I32" s="68">
        <v>0</v>
      </c>
      <c r="J32" s="68">
        <v>0</v>
      </c>
      <c r="K32" s="68">
        <v>0</v>
      </c>
      <c r="L32" s="68">
        <v>0</v>
      </c>
      <c r="M32" s="68">
        <v>0</v>
      </c>
      <c r="N32" s="68">
        <v>0</v>
      </c>
      <c r="O32" s="68">
        <v>1</v>
      </c>
      <c r="P32" s="68">
        <v>1</v>
      </c>
      <c r="Q32" s="68">
        <v>0</v>
      </c>
      <c r="R32" s="68">
        <v>0</v>
      </c>
      <c r="S32" s="68">
        <v>0</v>
      </c>
      <c r="T32" s="68">
        <v>0</v>
      </c>
      <c r="U32" s="68">
        <v>0</v>
      </c>
      <c r="V32" s="68">
        <v>0</v>
      </c>
      <c r="W32" s="68">
        <v>0</v>
      </c>
      <c r="X32" s="68">
        <v>0</v>
      </c>
      <c r="Y32" s="68">
        <v>0</v>
      </c>
      <c r="Z32" s="68">
        <v>0</v>
      </c>
      <c r="AA32" s="68">
        <v>6</v>
      </c>
      <c r="AB32" s="68">
        <v>4</v>
      </c>
      <c r="AC32" s="68">
        <v>2</v>
      </c>
      <c r="AD32" s="68">
        <v>0</v>
      </c>
      <c r="AE32" s="68">
        <v>0</v>
      </c>
      <c r="AF32" s="68">
        <v>0</v>
      </c>
      <c r="AG32" s="68">
        <v>0</v>
      </c>
      <c r="AH32" s="68">
        <v>0</v>
      </c>
      <c r="AI32" s="68">
        <v>1</v>
      </c>
      <c r="AJ32" s="68">
        <v>0</v>
      </c>
      <c r="AK32" s="68">
        <v>1</v>
      </c>
      <c r="AL32" s="68">
        <v>0</v>
      </c>
      <c r="AM32" s="68">
        <v>5</v>
      </c>
      <c r="AN32" s="68">
        <v>4</v>
      </c>
      <c r="AO32" s="68">
        <v>1</v>
      </c>
      <c r="AP32" s="68">
        <v>0</v>
      </c>
      <c r="AQ32" s="68">
        <v>0</v>
      </c>
      <c r="AR32" s="68">
        <v>0</v>
      </c>
      <c r="AS32" s="68">
        <v>0</v>
      </c>
      <c r="AT32" s="68">
        <v>0</v>
      </c>
      <c r="AU32" s="68">
        <v>0</v>
      </c>
      <c r="AV32" s="68">
        <v>0</v>
      </c>
      <c r="AW32" s="68">
        <v>0</v>
      </c>
      <c r="AX32" s="68">
        <v>0</v>
      </c>
    </row>
    <row r="33" spans="1:50" ht="15.75" customHeight="1">
      <c r="A33" s="346"/>
      <c r="B33" s="65" t="s">
        <v>225</v>
      </c>
      <c r="C33" s="68">
        <v>6</v>
      </c>
      <c r="D33" s="68">
        <v>1</v>
      </c>
      <c r="E33" s="68">
        <v>1</v>
      </c>
      <c r="F33" s="68">
        <v>4</v>
      </c>
      <c r="G33" s="68">
        <v>5</v>
      </c>
      <c r="H33" s="68">
        <v>1</v>
      </c>
      <c r="I33" s="68">
        <v>1</v>
      </c>
      <c r="J33" s="68">
        <v>3</v>
      </c>
      <c r="K33" s="68">
        <v>1</v>
      </c>
      <c r="L33" s="68">
        <v>0</v>
      </c>
      <c r="M33" s="68">
        <v>0</v>
      </c>
      <c r="N33" s="68">
        <v>1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Z33" s="68">
        <v>0</v>
      </c>
      <c r="AA33" s="68">
        <v>9</v>
      </c>
      <c r="AB33" s="68">
        <v>1</v>
      </c>
      <c r="AC33" s="68">
        <v>1</v>
      </c>
      <c r="AD33" s="68">
        <v>7</v>
      </c>
      <c r="AE33" s="68">
        <v>7</v>
      </c>
      <c r="AF33" s="68">
        <v>1</v>
      </c>
      <c r="AG33" s="68">
        <v>1</v>
      </c>
      <c r="AH33" s="68">
        <v>5</v>
      </c>
      <c r="AI33" s="68">
        <v>1</v>
      </c>
      <c r="AJ33" s="68">
        <v>0</v>
      </c>
      <c r="AK33" s="68">
        <v>0</v>
      </c>
      <c r="AL33" s="68">
        <v>1</v>
      </c>
      <c r="AM33" s="68">
        <v>0</v>
      </c>
      <c r="AN33" s="68">
        <v>0</v>
      </c>
      <c r="AO33" s="68">
        <v>0</v>
      </c>
      <c r="AP33" s="68">
        <v>0</v>
      </c>
      <c r="AQ33" s="68">
        <v>1</v>
      </c>
      <c r="AR33" s="68">
        <v>0</v>
      </c>
      <c r="AS33" s="68">
        <v>0</v>
      </c>
      <c r="AT33" s="68">
        <v>1</v>
      </c>
      <c r="AU33" s="68">
        <v>0</v>
      </c>
      <c r="AV33" s="68">
        <v>0</v>
      </c>
      <c r="AW33" s="68">
        <v>0</v>
      </c>
      <c r="AX33" s="68">
        <v>0</v>
      </c>
    </row>
    <row r="34" spans="1:50" ht="15.75" customHeight="1">
      <c r="A34" s="63" t="s">
        <v>209</v>
      </c>
      <c r="B34" s="64" t="s">
        <v>223</v>
      </c>
      <c r="C34" s="67">
        <v>4</v>
      </c>
      <c r="D34" s="67">
        <v>0</v>
      </c>
      <c r="E34" s="67">
        <v>0</v>
      </c>
      <c r="F34" s="67">
        <v>4</v>
      </c>
      <c r="G34" s="67">
        <v>1</v>
      </c>
      <c r="H34" s="67">
        <v>0</v>
      </c>
      <c r="I34" s="67">
        <v>0</v>
      </c>
      <c r="J34" s="67">
        <v>1</v>
      </c>
      <c r="K34" s="67">
        <v>1</v>
      </c>
      <c r="L34" s="67">
        <v>0</v>
      </c>
      <c r="M34" s="67">
        <v>0</v>
      </c>
      <c r="N34" s="67">
        <v>1</v>
      </c>
      <c r="O34" s="67">
        <v>0</v>
      </c>
      <c r="P34" s="67">
        <v>0</v>
      </c>
      <c r="Q34" s="67">
        <v>0</v>
      </c>
      <c r="R34" s="67">
        <v>0</v>
      </c>
      <c r="S34" s="67">
        <v>0</v>
      </c>
      <c r="T34" s="67">
        <v>0</v>
      </c>
      <c r="U34" s="67">
        <v>0</v>
      </c>
      <c r="V34" s="67">
        <v>0</v>
      </c>
      <c r="W34" s="67">
        <v>2</v>
      </c>
      <c r="X34" s="67">
        <v>0</v>
      </c>
      <c r="Y34" s="67">
        <v>0</v>
      </c>
      <c r="Z34" s="67">
        <v>2</v>
      </c>
      <c r="AA34" s="67">
        <v>10</v>
      </c>
      <c r="AB34" s="67">
        <v>1</v>
      </c>
      <c r="AC34" s="67">
        <v>1</v>
      </c>
      <c r="AD34" s="67">
        <v>8</v>
      </c>
      <c r="AE34" s="67">
        <v>1</v>
      </c>
      <c r="AF34" s="67">
        <v>0</v>
      </c>
      <c r="AG34" s="67">
        <v>0</v>
      </c>
      <c r="AH34" s="67">
        <v>1</v>
      </c>
      <c r="AI34" s="67">
        <v>3</v>
      </c>
      <c r="AJ34" s="67">
        <v>1</v>
      </c>
      <c r="AK34" s="67">
        <v>0</v>
      </c>
      <c r="AL34" s="67">
        <v>2</v>
      </c>
      <c r="AM34" s="67">
        <v>0</v>
      </c>
      <c r="AN34" s="67">
        <v>0</v>
      </c>
      <c r="AO34" s="67">
        <v>0</v>
      </c>
      <c r="AP34" s="67">
        <v>0</v>
      </c>
      <c r="AQ34" s="67">
        <v>0</v>
      </c>
      <c r="AR34" s="67">
        <v>0</v>
      </c>
      <c r="AS34" s="67">
        <v>0</v>
      </c>
      <c r="AT34" s="67">
        <v>0</v>
      </c>
      <c r="AU34" s="67">
        <v>6</v>
      </c>
      <c r="AV34" s="67">
        <v>0</v>
      </c>
      <c r="AW34" s="67">
        <v>1</v>
      </c>
      <c r="AX34" s="67">
        <v>5</v>
      </c>
    </row>
    <row r="35" spans="1:50" ht="15.75" customHeight="1">
      <c r="A35" s="345" t="s">
        <v>10</v>
      </c>
      <c r="B35" s="65" t="s">
        <v>224</v>
      </c>
      <c r="C35" s="68">
        <v>3</v>
      </c>
      <c r="D35" s="68">
        <v>0</v>
      </c>
      <c r="E35" s="68">
        <v>0</v>
      </c>
      <c r="F35" s="68">
        <v>3</v>
      </c>
      <c r="G35" s="68">
        <v>0</v>
      </c>
      <c r="H35" s="68">
        <v>0</v>
      </c>
      <c r="I35" s="68">
        <v>0</v>
      </c>
      <c r="J35" s="68">
        <v>0</v>
      </c>
      <c r="K35" s="68">
        <v>1</v>
      </c>
      <c r="L35" s="68">
        <v>0</v>
      </c>
      <c r="M35" s="68">
        <v>0</v>
      </c>
      <c r="N35" s="68">
        <v>1</v>
      </c>
      <c r="O35" s="68">
        <v>0</v>
      </c>
      <c r="P35" s="68">
        <v>0</v>
      </c>
      <c r="Q35" s="68">
        <v>0</v>
      </c>
      <c r="R35" s="68">
        <v>0</v>
      </c>
      <c r="S35" s="68">
        <v>0</v>
      </c>
      <c r="T35" s="68">
        <v>0</v>
      </c>
      <c r="U35" s="68">
        <v>0</v>
      </c>
      <c r="V35" s="68">
        <v>0</v>
      </c>
      <c r="W35" s="68">
        <v>2</v>
      </c>
      <c r="X35" s="68">
        <v>0</v>
      </c>
      <c r="Y35" s="68">
        <v>0</v>
      </c>
      <c r="Z35" s="68">
        <v>2</v>
      </c>
      <c r="AA35" s="68">
        <v>9</v>
      </c>
      <c r="AB35" s="68">
        <v>1</v>
      </c>
      <c r="AC35" s="68">
        <v>1</v>
      </c>
      <c r="AD35" s="68">
        <v>7</v>
      </c>
      <c r="AE35" s="68">
        <v>1</v>
      </c>
      <c r="AF35" s="68">
        <v>0</v>
      </c>
      <c r="AG35" s="68">
        <v>0</v>
      </c>
      <c r="AH35" s="68">
        <v>1</v>
      </c>
      <c r="AI35" s="68">
        <v>3</v>
      </c>
      <c r="AJ35" s="68">
        <v>1</v>
      </c>
      <c r="AK35" s="68">
        <v>0</v>
      </c>
      <c r="AL35" s="68">
        <v>2</v>
      </c>
      <c r="AM35" s="68">
        <v>0</v>
      </c>
      <c r="AN35" s="68">
        <v>0</v>
      </c>
      <c r="AO35" s="68">
        <v>0</v>
      </c>
      <c r="AP35" s="68">
        <v>0</v>
      </c>
      <c r="AQ35" s="68">
        <v>0</v>
      </c>
      <c r="AR35" s="68">
        <v>0</v>
      </c>
      <c r="AS35" s="68">
        <v>0</v>
      </c>
      <c r="AT35" s="68">
        <v>0</v>
      </c>
      <c r="AU35" s="68">
        <v>5</v>
      </c>
      <c r="AV35" s="68">
        <v>0</v>
      </c>
      <c r="AW35" s="68">
        <v>1</v>
      </c>
      <c r="AX35" s="68">
        <v>4</v>
      </c>
    </row>
    <row r="36" spans="1:50" ht="15.75" customHeight="1">
      <c r="A36" s="346"/>
      <c r="B36" s="65" t="s">
        <v>225</v>
      </c>
      <c r="C36" s="68">
        <v>1</v>
      </c>
      <c r="D36" s="68">
        <v>0</v>
      </c>
      <c r="E36" s="68">
        <v>0</v>
      </c>
      <c r="F36" s="68">
        <v>1</v>
      </c>
      <c r="G36" s="68">
        <v>1</v>
      </c>
      <c r="H36" s="68">
        <v>0</v>
      </c>
      <c r="I36" s="68">
        <v>0</v>
      </c>
      <c r="J36" s="68">
        <v>1</v>
      </c>
      <c r="K36" s="68">
        <v>0</v>
      </c>
      <c r="L36" s="68">
        <v>0</v>
      </c>
      <c r="M36" s="68">
        <v>0</v>
      </c>
      <c r="N36" s="68">
        <v>0</v>
      </c>
      <c r="O36" s="68">
        <v>0</v>
      </c>
      <c r="P36" s="68">
        <v>0</v>
      </c>
      <c r="Q36" s="68">
        <v>0</v>
      </c>
      <c r="R36" s="68">
        <v>0</v>
      </c>
      <c r="S36" s="68">
        <v>0</v>
      </c>
      <c r="T36" s="68">
        <v>0</v>
      </c>
      <c r="U36" s="68">
        <v>0</v>
      </c>
      <c r="V36" s="68">
        <v>0</v>
      </c>
      <c r="W36" s="68">
        <v>0</v>
      </c>
      <c r="X36" s="68">
        <v>0</v>
      </c>
      <c r="Y36" s="68">
        <v>0</v>
      </c>
      <c r="Z36" s="68">
        <v>0</v>
      </c>
      <c r="AA36" s="68">
        <v>1</v>
      </c>
      <c r="AB36" s="68">
        <v>0</v>
      </c>
      <c r="AC36" s="68">
        <v>0</v>
      </c>
      <c r="AD36" s="68">
        <v>1</v>
      </c>
      <c r="AE36" s="68">
        <v>0</v>
      </c>
      <c r="AF36" s="68">
        <v>0</v>
      </c>
      <c r="AG36" s="68">
        <v>0</v>
      </c>
      <c r="AH36" s="68">
        <v>0</v>
      </c>
      <c r="AI36" s="68">
        <v>0</v>
      </c>
      <c r="AJ36" s="68">
        <v>0</v>
      </c>
      <c r="AK36" s="68">
        <v>0</v>
      </c>
      <c r="AL36" s="68">
        <v>0</v>
      </c>
      <c r="AM36" s="68">
        <v>0</v>
      </c>
      <c r="AN36" s="68">
        <v>0</v>
      </c>
      <c r="AO36" s="68">
        <v>0</v>
      </c>
      <c r="AP36" s="68">
        <v>0</v>
      </c>
      <c r="AQ36" s="68">
        <v>0</v>
      </c>
      <c r="AR36" s="68">
        <v>0</v>
      </c>
      <c r="AS36" s="68">
        <v>0</v>
      </c>
      <c r="AT36" s="68">
        <v>0</v>
      </c>
      <c r="AU36" s="68">
        <v>1</v>
      </c>
      <c r="AV36" s="68">
        <v>0</v>
      </c>
      <c r="AW36" s="68">
        <v>0</v>
      </c>
      <c r="AX36" s="68">
        <v>1</v>
      </c>
    </row>
    <row r="37" spans="1:50" ht="15.75" customHeight="1">
      <c r="A37" s="63" t="s">
        <v>210</v>
      </c>
      <c r="B37" s="64" t="s">
        <v>223</v>
      </c>
      <c r="C37" s="67">
        <v>35</v>
      </c>
      <c r="D37" s="67">
        <v>5</v>
      </c>
      <c r="E37" s="67">
        <v>4</v>
      </c>
      <c r="F37" s="67">
        <v>26</v>
      </c>
      <c r="G37" s="67">
        <v>6</v>
      </c>
      <c r="H37" s="67">
        <v>0</v>
      </c>
      <c r="I37" s="67">
        <v>1</v>
      </c>
      <c r="J37" s="67">
        <v>5</v>
      </c>
      <c r="K37" s="67">
        <v>7</v>
      </c>
      <c r="L37" s="67">
        <v>0</v>
      </c>
      <c r="M37" s="67">
        <v>0</v>
      </c>
      <c r="N37" s="67">
        <v>7</v>
      </c>
      <c r="O37" s="67">
        <v>6</v>
      </c>
      <c r="P37" s="67">
        <v>1</v>
      </c>
      <c r="Q37" s="67">
        <v>1</v>
      </c>
      <c r="R37" s="67">
        <v>4</v>
      </c>
      <c r="S37" s="67">
        <v>0</v>
      </c>
      <c r="T37" s="67">
        <v>0</v>
      </c>
      <c r="U37" s="67">
        <v>0</v>
      </c>
      <c r="V37" s="67">
        <v>0</v>
      </c>
      <c r="W37" s="67">
        <v>16</v>
      </c>
      <c r="X37" s="67">
        <v>4</v>
      </c>
      <c r="Y37" s="67">
        <v>2</v>
      </c>
      <c r="Z37" s="67">
        <v>10</v>
      </c>
      <c r="AA37" s="67">
        <v>63</v>
      </c>
      <c r="AB37" s="67">
        <v>7</v>
      </c>
      <c r="AC37" s="67">
        <v>11</v>
      </c>
      <c r="AD37" s="67">
        <v>45</v>
      </c>
      <c r="AE37" s="67">
        <v>13</v>
      </c>
      <c r="AF37" s="67">
        <v>0</v>
      </c>
      <c r="AG37" s="67">
        <v>0</v>
      </c>
      <c r="AH37" s="67">
        <v>13</v>
      </c>
      <c r="AI37" s="67">
        <v>13</v>
      </c>
      <c r="AJ37" s="67">
        <v>0</v>
      </c>
      <c r="AK37" s="67">
        <v>1</v>
      </c>
      <c r="AL37" s="67">
        <v>12</v>
      </c>
      <c r="AM37" s="67">
        <v>10</v>
      </c>
      <c r="AN37" s="67">
        <v>4</v>
      </c>
      <c r="AO37" s="67">
        <v>2</v>
      </c>
      <c r="AP37" s="67">
        <v>4</v>
      </c>
      <c r="AQ37" s="67">
        <v>2</v>
      </c>
      <c r="AR37" s="67">
        <v>0</v>
      </c>
      <c r="AS37" s="67">
        <v>0</v>
      </c>
      <c r="AT37" s="67">
        <v>2</v>
      </c>
      <c r="AU37" s="67">
        <v>25</v>
      </c>
      <c r="AV37" s="67">
        <v>3</v>
      </c>
      <c r="AW37" s="67">
        <v>8</v>
      </c>
      <c r="AX37" s="67">
        <v>14</v>
      </c>
    </row>
    <row r="38" spans="1:50" ht="15.75" customHeight="1">
      <c r="A38" s="345" t="s">
        <v>11</v>
      </c>
      <c r="B38" s="65" t="s">
        <v>224</v>
      </c>
      <c r="C38" s="68">
        <v>8</v>
      </c>
      <c r="D38" s="68">
        <v>1</v>
      </c>
      <c r="E38" s="68">
        <v>0</v>
      </c>
      <c r="F38" s="68">
        <v>7</v>
      </c>
      <c r="G38" s="68">
        <v>1</v>
      </c>
      <c r="H38" s="68">
        <v>0</v>
      </c>
      <c r="I38" s="68">
        <v>0</v>
      </c>
      <c r="J38" s="68">
        <v>1</v>
      </c>
      <c r="K38" s="68">
        <v>2</v>
      </c>
      <c r="L38" s="68">
        <v>0</v>
      </c>
      <c r="M38" s="68">
        <v>0</v>
      </c>
      <c r="N38" s="68">
        <v>2</v>
      </c>
      <c r="O38" s="68">
        <v>2</v>
      </c>
      <c r="P38" s="68">
        <v>1</v>
      </c>
      <c r="Q38" s="68">
        <v>0</v>
      </c>
      <c r="R38" s="68">
        <v>1</v>
      </c>
      <c r="S38" s="68">
        <v>0</v>
      </c>
      <c r="T38" s="68">
        <v>0</v>
      </c>
      <c r="U38" s="68">
        <v>0</v>
      </c>
      <c r="V38" s="68">
        <v>0</v>
      </c>
      <c r="W38" s="68">
        <v>3</v>
      </c>
      <c r="X38" s="68">
        <v>0</v>
      </c>
      <c r="Y38" s="68">
        <v>0</v>
      </c>
      <c r="Z38" s="68">
        <v>3</v>
      </c>
      <c r="AA38" s="68">
        <v>19</v>
      </c>
      <c r="AB38" s="68">
        <v>3</v>
      </c>
      <c r="AC38" s="68">
        <v>2</v>
      </c>
      <c r="AD38" s="68">
        <v>14</v>
      </c>
      <c r="AE38" s="68">
        <v>4</v>
      </c>
      <c r="AF38" s="68">
        <v>0</v>
      </c>
      <c r="AG38" s="68">
        <v>0</v>
      </c>
      <c r="AH38" s="68">
        <v>4</v>
      </c>
      <c r="AI38" s="68">
        <v>4</v>
      </c>
      <c r="AJ38" s="68">
        <v>0</v>
      </c>
      <c r="AK38" s="68">
        <v>1</v>
      </c>
      <c r="AL38" s="68">
        <v>3</v>
      </c>
      <c r="AM38" s="68">
        <v>3</v>
      </c>
      <c r="AN38" s="68">
        <v>2</v>
      </c>
      <c r="AO38" s="68">
        <v>0</v>
      </c>
      <c r="AP38" s="68">
        <v>1</v>
      </c>
      <c r="AQ38" s="68">
        <v>2</v>
      </c>
      <c r="AR38" s="68">
        <v>0</v>
      </c>
      <c r="AS38" s="68">
        <v>0</v>
      </c>
      <c r="AT38" s="68">
        <v>2</v>
      </c>
      <c r="AU38" s="68">
        <v>6</v>
      </c>
      <c r="AV38" s="68">
        <v>1</v>
      </c>
      <c r="AW38" s="68">
        <v>1</v>
      </c>
      <c r="AX38" s="68">
        <v>4</v>
      </c>
    </row>
    <row r="39" spans="1:50" ht="15.75" customHeight="1">
      <c r="A39" s="346"/>
      <c r="B39" s="65" t="s">
        <v>225</v>
      </c>
      <c r="C39" s="68">
        <v>27</v>
      </c>
      <c r="D39" s="68">
        <v>4</v>
      </c>
      <c r="E39" s="68">
        <v>4</v>
      </c>
      <c r="F39" s="68">
        <v>19</v>
      </c>
      <c r="G39" s="68">
        <v>5</v>
      </c>
      <c r="H39" s="68">
        <v>0</v>
      </c>
      <c r="I39" s="68">
        <v>1</v>
      </c>
      <c r="J39" s="68">
        <v>4</v>
      </c>
      <c r="K39" s="68">
        <v>5</v>
      </c>
      <c r="L39" s="68">
        <v>0</v>
      </c>
      <c r="M39" s="68">
        <v>0</v>
      </c>
      <c r="N39" s="68">
        <v>5</v>
      </c>
      <c r="O39" s="68">
        <v>4</v>
      </c>
      <c r="P39" s="68">
        <v>0</v>
      </c>
      <c r="Q39" s="68">
        <v>1</v>
      </c>
      <c r="R39" s="68">
        <v>3</v>
      </c>
      <c r="S39" s="68">
        <v>0</v>
      </c>
      <c r="T39" s="68">
        <v>0</v>
      </c>
      <c r="U39" s="68">
        <v>0</v>
      </c>
      <c r="V39" s="68">
        <v>0</v>
      </c>
      <c r="W39" s="68">
        <v>13</v>
      </c>
      <c r="X39" s="68">
        <v>4</v>
      </c>
      <c r="Y39" s="68">
        <v>2</v>
      </c>
      <c r="Z39" s="68">
        <v>7</v>
      </c>
      <c r="AA39" s="68">
        <v>44</v>
      </c>
      <c r="AB39" s="68">
        <v>4</v>
      </c>
      <c r="AC39" s="68">
        <v>9</v>
      </c>
      <c r="AD39" s="68">
        <v>31</v>
      </c>
      <c r="AE39" s="68">
        <v>9</v>
      </c>
      <c r="AF39" s="68">
        <v>0</v>
      </c>
      <c r="AG39" s="68">
        <v>0</v>
      </c>
      <c r="AH39" s="68">
        <v>9</v>
      </c>
      <c r="AI39" s="68">
        <v>9</v>
      </c>
      <c r="AJ39" s="68">
        <v>0</v>
      </c>
      <c r="AK39" s="68">
        <v>0</v>
      </c>
      <c r="AL39" s="68">
        <v>9</v>
      </c>
      <c r="AM39" s="68">
        <v>7</v>
      </c>
      <c r="AN39" s="68">
        <v>2</v>
      </c>
      <c r="AO39" s="68">
        <v>2</v>
      </c>
      <c r="AP39" s="68">
        <v>3</v>
      </c>
      <c r="AQ39" s="68">
        <v>0</v>
      </c>
      <c r="AR39" s="68">
        <v>0</v>
      </c>
      <c r="AS39" s="68">
        <v>0</v>
      </c>
      <c r="AT39" s="68">
        <v>0</v>
      </c>
      <c r="AU39" s="68">
        <v>19</v>
      </c>
      <c r="AV39" s="68">
        <v>2</v>
      </c>
      <c r="AW39" s="68">
        <v>7</v>
      </c>
      <c r="AX39" s="68">
        <v>10</v>
      </c>
    </row>
    <row r="40" spans="1:50" ht="15.75" customHeight="1">
      <c r="A40" s="63" t="s">
        <v>211</v>
      </c>
      <c r="B40" s="64" t="s">
        <v>223</v>
      </c>
      <c r="C40" s="67">
        <v>71</v>
      </c>
      <c r="D40" s="67">
        <v>16</v>
      </c>
      <c r="E40" s="67">
        <v>13</v>
      </c>
      <c r="F40" s="67">
        <v>42</v>
      </c>
      <c r="G40" s="67">
        <v>24</v>
      </c>
      <c r="H40" s="67">
        <v>4</v>
      </c>
      <c r="I40" s="67">
        <v>0</v>
      </c>
      <c r="J40" s="67">
        <v>20</v>
      </c>
      <c r="K40" s="67">
        <v>20</v>
      </c>
      <c r="L40" s="67">
        <v>4</v>
      </c>
      <c r="M40" s="67">
        <v>4</v>
      </c>
      <c r="N40" s="67">
        <v>12</v>
      </c>
      <c r="O40" s="67">
        <v>9</v>
      </c>
      <c r="P40" s="67">
        <v>0</v>
      </c>
      <c r="Q40" s="67">
        <v>5</v>
      </c>
      <c r="R40" s="67">
        <v>4</v>
      </c>
      <c r="S40" s="67">
        <v>3</v>
      </c>
      <c r="T40" s="67">
        <v>2</v>
      </c>
      <c r="U40" s="67">
        <v>0</v>
      </c>
      <c r="V40" s="67">
        <v>1</v>
      </c>
      <c r="W40" s="67">
        <v>15</v>
      </c>
      <c r="X40" s="67">
        <v>6</v>
      </c>
      <c r="Y40" s="67">
        <v>4</v>
      </c>
      <c r="Z40" s="67">
        <v>5</v>
      </c>
      <c r="AA40" s="67">
        <v>108</v>
      </c>
      <c r="AB40" s="67">
        <v>24</v>
      </c>
      <c r="AC40" s="67">
        <v>16</v>
      </c>
      <c r="AD40" s="67">
        <v>68</v>
      </c>
      <c r="AE40" s="67">
        <v>38</v>
      </c>
      <c r="AF40" s="67">
        <v>7</v>
      </c>
      <c r="AG40" s="67">
        <v>1</v>
      </c>
      <c r="AH40" s="67">
        <v>30</v>
      </c>
      <c r="AI40" s="67">
        <v>31</v>
      </c>
      <c r="AJ40" s="67">
        <v>6</v>
      </c>
      <c r="AK40" s="67">
        <v>4</v>
      </c>
      <c r="AL40" s="67">
        <v>21</v>
      </c>
      <c r="AM40" s="67">
        <v>12</v>
      </c>
      <c r="AN40" s="67">
        <v>2</v>
      </c>
      <c r="AO40" s="67">
        <v>6</v>
      </c>
      <c r="AP40" s="67">
        <v>4</v>
      </c>
      <c r="AQ40" s="67">
        <v>6</v>
      </c>
      <c r="AR40" s="67">
        <v>3</v>
      </c>
      <c r="AS40" s="67">
        <v>0</v>
      </c>
      <c r="AT40" s="67">
        <v>3</v>
      </c>
      <c r="AU40" s="67">
        <v>21</v>
      </c>
      <c r="AV40" s="67">
        <v>6</v>
      </c>
      <c r="AW40" s="67">
        <v>5</v>
      </c>
      <c r="AX40" s="67">
        <v>10</v>
      </c>
    </row>
    <row r="41" spans="1:50" ht="15.75" customHeight="1">
      <c r="A41" s="345" t="s">
        <v>12</v>
      </c>
      <c r="B41" s="65" t="s">
        <v>224</v>
      </c>
      <c r="C41" s="68">
        <v>37</v>
      </c>
      <c r="D41" s="68">
        <v>10</v>
      </c>
      <c r="E41" s="68">
        <v>6</v>
      </c>
      <c r="F41" s="68">
        <v>21</v>
      </c>
      <c r="G41" s="68">
        <v>7</v>
      </c>
      <c r="H41" s="68">
        <v>2</v>
      </c>
      <c r="I41" s="68">
        <v>0</v>
      </c>
      <c r="J41" s="68">
        <v>5</v>
      </c>
      <c r="K41" s="68">
        <v>12</v>
      </c>
      <c r="L41" s="68">
        <v>3</v>
      </c>
      <c r="M41" s="68">
        <v>1</v>
      </c>
      <c r="N41" s="68">
        <v>8</v>
      </c>
      <c r="O41" s="68">
        <v>6</v>
      </c>
      <c r="P41" s="68">
        <v>0</v>
      </c>
      <c r="Q41" s="68">
        <v>3</v>
      </c>
      <c r="R41" s="68">
        <v>3</v>
      </c>
      <c r="S41" s="68">
        <v>3</v>
      </c>
      <c r="T41" s="68">
        <v>2</v>
      </c>
      <c r="U41" s="68">
        <v>0</v>
      </c>
      <c r="V41" s="68">
        <v>1</v>
      </c>
      <c r="W41" s="68">
        <v>9</v>
      </c>
      <c r="X41" s="68">
        <v>3</v>
      </c>
      <c r="Y41" s="68">
        <v>2</v>
      </c>
      <c r="Z41" s="68">
        <v>4</v>
      </c>
      <c r="AA41" s="68">
        <v>50</v>
      </c>
      <c r="AB41" s="68">
        <v>13</v>
      </c>
      <c r="AC41" s="68">
        <v>7</v>
      </c>
      <c r="AD41" s="68">
        <v>30</v>
      </c>
      <c r="AE41" s="68">
        <v>12</v>
      </c>
      <c r="AF41" s="68">
        <v>2</v>
      </c>
      <c r="AG41" s="68">
        <v>0</v>
      </c>
      <c r="AH41" s="68">
        <v>10</v>
      </c>
      <c r="AI41" s="68">
        <v>20</v>
      </c>
      <c r="AJ41" s="68">
        <v>5</v>
      </c>
      <c r="AK41" s="68">
        <v>2</v>
      </c>
      <c r="AL41" s="68">
        <v>13</v>
      </c>
      <c r="AM41" s="68">
        <v>6</v>
      </c>
      <c r="AN41" s="68">
        <v>1</v>
      </c>
      <c r="AO41" s="68">
        <v>3</v>
      </c>
      <c r="AP41" s="68">
        <v>2</v>
      </c>
      <c r="AQ41" s="68">
        <v>3</v>
      </c>
      <c r="AR41" s="68">
        <v>2</v>
      </c>
      <c r="AS41" s="68">
        <v>0</v>
      </c>
      <c r="AT41" s="68">
        <v>1</v>
      </c>
      <c r="AU41" s="68">
        <v>9</v>
      </c>
      <c r="AV41" s="68">
        <v>3</v>
      </c>
      <c r="AW41" s="68">
        <v>2</v>
      </c>
      <c r="AX41" s="68">
        <v>4</v>
      </c>
    </row>
    <row r="42" spans="1:50" ht="15.75" customHeight="1">
      <c r="A42" s="346"/>
      <c r="B42" s="65" t="s">
        <v>225</v>
      </c>
      <c r="C42" s="68">
        <v>34</v>
      </c>
      <c r="D42" s="68">
        <v>6</v>
      </c>
      <c r="E42" s="68">
        <v>7</v>
      </c>
      <c r="F42" s="68">
        <v>21</v>
      </c>
      <c r="G42" s="68">
        <v>17</v>
      </c>
      <c r="H42" s="68">
        <v>2</v>
      </c>
      <c r="I42" s="68">
        <v>0</v>
      </c>
      <c r="J42" s="68">
        <v>15</v>
      </c>
      <c r="K42" s="68">
        <v>8</v>
      </c>
      <c r="L42" s="68">
        <v>1</v>
      </c>
      <c r="M42" s="68">
        <v>3</v>
      </c>
      <c r="N42" s="68">
        <v>4</v>
      </c>
      <c r="O42" s="68">
        <v>3</v>
      </c>
      <c r="P42" s="68">
        <v>0</v>
      </c>
      <c r="Q42" s="68">
        <v>2</v>
      </c>
      <c r="R42" s="68">
        <v>1</v>
      </c>
      <c r="S42" s="68">
        <v>0</v>
      </c>
      <c r="T42" s="68">
        <v>0</v>
      </c>
      <c r="U42" s="68">
        <v>0</v>
      </c>
      <c r="V42" s="68">
        <v>0</v>
      </c>
      <c r="W42" s="68">
        <v>6</v>
      </c>
      <c r="X42" s="68">
        <v>3</v>
      </c>
      <c r="Y42" s="68">
        <v>2</v>
      </c>
      <c r="Z42" s="68">
        <v>1</v>
      </c>
      <c r="AA42" s="68">
        <v>58</v>
      </c>
      <c r="AB42" s="68">
        <v>11</v>
      </c>
      <c r="AC42" s="68">
        <v>9</v>
      </c>
      <c r="AD42" s="68">
        <v>38</v>
      </c>
      <c r="AE42" s="68">
        <v>26</v>
      </c>
      <c r="AF42" s="68">
        <v>5</v>
      </c>
      <c r="AG42" s="68">
        <v>1</v>
      </c>
      <c r="AH42" s="68">
        <v>20</v>
      </c>
      <c r="AI42" s="68">
        <v>11</v>
      </c>
      <c r="AJ42" s="68">
        <v>1</v>
      </c>
      <c r="AK42" s="68">
        <v>2</v>
      </c>
      <c r="AL42" s="68">
        <v>8</v>
      </c>
      <c r="AM42" s="68">
        <v>6</v>
      </c>
      <c r="AN42" s="68">
        <v>1</v>
      </c>
      <c r="AO42" s="68">
        <v>3</v>
      </c>
      <c r="AP42" s="68">
        <v>2</v>
      </c>
      <c r="AQ42" s="68">
        <v>3</v>
      </c>
      <c r="AR42" s="68">
        <v>1</v>
      </c>
      <c r="AS42" s="68">
        <v>0</v>
      </c>
      <c r="AT42" s="68">
        <v>2</v>
      </c>
      <c r="AU42" s="68">
        <v>12</v>
      </c>
      <c r="AV42" s="68">
        <v>3</v>
      </c>
      <c r="AW42" s="68">
        <v>3</v>
      </c>
      <c r="AX42" s="68">
        <v>6</v>
      </c>
    </row>
    <row r="43" spans="1:50" ht="15.75" customHeight="1">
      <c r="A43" s="63" t="s">
        <v>212</v>
      </c>
      <c r="B43" s="64" t="s">
        <v>223</v>
      </c>
      <c r="C43" s="67">
        <v>102</v>
      </c>
      <c r="D43" s="67">
        <v>17</v>
      </c>
      <c r="E43" s="67">
        <v>24</v>
      </c>
      <c r="F43" s="67">
        <v>61</v>
      </c>
      <c r="G43" s="67">
        <v>20</v>
      </c>
      <c r="H43" s="67">
        <v>1</v>
      </c>
      <c r="I43" s="67">
        <v>3</v>
      </c>
      <c r="J43" s="67">
        <v>16</v>
      </c>
      <c r="K43" s="67">
        <v>41</v>
      </c>
      <c r="L43" s="67">
        <v>6</v>
      </c>
      <c r="M43" s="67">
        <v>5</v>
      </c>
      <c r="N43" s="67">
        <v>30</v>
      </c>
      <c r="O43" s="67">
        <v>24</v>
      </c>
      <c r="P43" s="67">
        <v>8</v>
      </c>
      <c r="Q43" s="67">
        <v>13</v>
      </c>
      <c r="R43" s="67">
        <v>3</v>
      </c>
      <c r="S43" s="67">
        <v>0</v>
      </c>
      <c r="T43" s="67">
        <v>0</v>
      </c>
      <c r="U43" s="67">
        <v>0</v>
      </c>
      <c r="V43" s="67">
        <v>0</v>
      </c>
      <c r="W43" s="67">
        <v>17</v>
      </c>
      <c r="X43" s="67">
        <v>2</v>
      </c>
      <c r="Y43" s="67">
        <v>3</v>
      </c>
      <c r="Z43" s="67">
        <v>12</v>
      </c>
      <c r="AA43" s="67">
        <v>225</v>
      </c>
      <c r="AB43" s="67">
        <v>40</v>
      </c>
      <c r="AC43" s="67">
        <v>51</v>
      </c>
      <c r="AD43" s="67">
        <v>134</v>
      </c>
      <c r="AE43" s="67">
        <v>61</v>
      </c>
      <c r="AF43" s="67">
        <v>8</v>
      </c>
      <c r="AG43" s="67">
        <v>5</v>
      </c>
      <c r="AH43" s="67">
        <v>48</v>
      </c>
      <c r="AI43" s="67">
        <v>83</v>
      </c>
      <c r="AJ43" s="67">
        <v>13</v>
      </c>
      <c r="AK43" s="67">
        <v>12</v>
      </c>
      <c r="AL43" s="67">
        <v>58</v>
      </c>
      <c r="AM43" s="67">
        <v>53</v>
      </c>
      <c r="AN43" s="67">
        <v>15</v>
      </c>
      <c r="AO43" s="67">
        <v>29</v>
      </c>
      <c r="AP43" s="67">
        <v>9</v>
      </c>
      <c r="AQ43" s="67">
        <v>0</v>
      </c>
      <c r="AR43" s="67">
        <v>0</v>
      </c>
      <c r="AS43" s="67">
        <v>0</v>
      </c>
      <c r="AT43" s="67">
        <v>0</v>
      </c>
      <c r="AU43" s="67">
        <v>28</v>
      </c>
      <c r="AV43" s="67">
        <v>4</v>
      </c>
      <c r="AW43" s="67">
        <v>5</v>
      </c>
      <c r="AX43" s="67">
        <v>19</v>
      </c>
    </row>
    <row r="44" spans="1:50" ht="15.75" customHeight="1">
      <c r="A44" s="345" t="s">
        <v>13</v>
      </c>
      <c r="B44" s="65" t="s">
        <v>224</v>
      </c>
      <c r="C44" s="68">
        <v>47</v>
      </c>
      <c r="D44" s="68">
        <v>9</v>
      </c>
      <c r="E44" s="68">
        <v>8</v>
      </c>
      <c r="F44" s="68">
        <v>30</v>
      </c>
      <c r="G44" s="68">
        <v>9</v>
      </c>
      <c r="H44" s="68">
        <v>0</v>
      </c>
      <c r="I44" s="68">
        <v>0</v>
      </c>
      <c r="J44" s="68">
        <v>9</v>
      </c>
      <c r="K44" s="68">
        <v>21</v>
      </c>
      <c r="L44" s="68">
        <v>4</v>
      </c>
      <c r="M44" s="68">
        <v>3</v>
      </c>
      <c r="N44" s="68">
        <v>14</v>
      </c>
      <c r="O44" s="68">
        <v>10</v>
      </c>
      <c r="P44" s="68">
        <v>5</v>
      </c>
      <c r="Q44" s="68">
        <v>3</v>
      </c>
      <c r="R44" s="68">
        <v>2</v>
      </c>
      <c r="S44" s="68">
        <v>0</v>
      </c>
      <c r="T44" s="68">
        <v>0</v>
      </c>
      <c r="U44" s="68">
        <v>0</v>
      </c>
      <c r="V44" s="68">
        <v>0</v>
      </c>
      <c r="W44" s="68">
        <v>7</v>
      </c>
      <c r="X44" s="68">
        <v>0</v>
      </c>
      <c r="Y44" s="68">
        <v>2</v>
      </c>
      <c r="Z44" s="68">
        <v>5</v>
      </c>
      <c r="AA44" s="68">
        <v>98</v>
      </c>
      <c r="AB44" s="68">
        <v>19</v>
      </c>
      <c r="AC44" s="68">
        <v>21</v>
      </c>
      <c r="AD44" s="68">
        <v>58</v>
      </c>
      <c r="AE44" s="68">
        <v>19</v>
      </c>
      <c r="AF44" s="68">
        <v>0</v>
      </c>
      <c r="AG44" s="68">
        <v>1</v>
      </c>
      <c r="AH44" s="68">
        <v>18</v>
      </c>
      <c r="AI44" s="68">
        <v>39</v>
      </c>
      <c r="AJ44" s="68">
        <v>8</v>
      </c>
      <c r="AK44" s="68">
        <v>4</v>
      </c>
      <c r="AL44" s="68">
        <v>27</v>
      </c>
      <c r="AM44" s="68">
        <v>28</v>
      </c>
      <c r="AN44" s="68">
        <v>10</v>
      </c>
      <c r="AO44" s="68">
        <v>13</v>
      </c>
      <c r="AP44" s="68">
        <v>5</v>
      </c>
      <c r="AQ44" s="68">
        <v>0</v>
      </c>
      <c r="AR44" s="68">
        <v>0</v>
      </c>
      <c r="AS44" s="68">
        <v>0</v>
      </c>
      <c r="AT44" s="68">
        <v>0</v>
      </c>
      <c r="AU44" s="68">
        <v>12</v>
      </c>
      <c r="AV44" s="68">
        <v>1</v>
      </c>
      <c r="AW44" s="68">
        <v>3</v>
      </c>
      <c r="AX44" s="68">
        <v>8</v>
      </c>
    </row>
    <row r="45" spans="1:50" ht="15.75" customHeight="1">
      <c r="A45" s="346"/>
      <c r="B45" s="65" t="s">
        <v>225</v>
      </c>
      <c r="C45" s="68">
        <v>55</v>
      </c>
      <c r="D45" s="68">
        <v>8</v>
      </c>
      <c r="E45" s="68">
        <v>16</v>
      </c>
      <c r="F45" s="68">
        <v>31</v>
      </c>
      <c r="G45" s="68">
        <v>11</v>
      </c>
      <c r="H45" s="68">
        <v>1</v>
      </c>
      <c r="I45" s="68">
        <v>3</v>
      </c>
      <c r="J45" s="68">
        <v>7</v>
      </c>
      <c r="K45" s="68">
        <v>20</v>
      </c>
      <c r="L45" s="68">
        <v>2</v>
      </c>
      <c r="M45" s="68">
        <v>2</v>
      </c>
      <c r="N45" s="68">
        <v>16</v>
      </c>
      <c r="O45" s="68">
        <v>14</v>
      </c>
      <c r="P45" s="68">
        <v>3</v>
      </c>
      <c r="Q45" s="68">
        <v>10</v>
      </c>
      <c r="R45" s="68">
        <v>1</v>
      </c>
      <c r="S45" s="68">
        <v>0</v>
      </c>
      <c r="T45" s="68">
        <v>0</v>
      </c>
      <c r="U45" s="68">
        <v>0</v>
      </c>
      <c r="V45" s="68">
        <v>0</v>
      </c>
      <c r="W45" s="68">
        <v>10</v>
      </c>
      <c r="X45" s="68">
        <v>2</v>
      </c>
      <c r="Y45" s="68">
        <v>1</v>
      </c>
      <c r="Z45" s="68">
        <v>7</v>
      </c>
      <c r="AA45" s="68">
        <v>127</v>
      </c>
      <c r="AB45" s="68">
        <v>21</v>
      </c>
      <c r="AC45" s="68">
        <v>30</v>
      </c>
      <c r="AD45" s="68">
        <v>76</v>
      </c>
      <c r="AE45" s="68">
        <v>42</v>
      </c>
      <c r="AF45" s="68">
        <v>8</v>
      </c>
      <c r="AG45" s="68">
        <v>4</v>
      </c>
      <c r="AH45" s="68">
        <v>30</v>
      </c>
      <c r="AI45" s="68">
        <v>44</v>
      </c>
      <c r="AJ45" s="68">
        <v>5</v>
      </c>
      <c r="AK45" s="68">
        <v>8</v>
      </c>
      <c r="AL45" s="68">
        <v>31</v>
      </c>
      <c r="AM45" s="68">
        <v>25</v>
      </c>
      <c r="AN45" s="68">
        <v>5</v>
      </c>
      <c r="AO45" s="68">
        <v>16</v>
      </c>
      <c r="AP45" s="68">
        <v>4</v>
      </c>
      <c r="AQ45" s="68">
        <v>0</v>
      </c>
      <c r="AR45" s="68">
        <v>0</v>
      </c>
      <c r="AS45" s="68">
        <v>0</v>
      </c>
      <c r="AT45" s="68">
        <v>0</v>
      </c>
      <c r="AU45" s="68">
        <v>16</v>
      </c>
      <c r="AV45" s="68">
        <v>3</v>
      </c>
      <c r="AW45" s="68">
        <v>2</v>
      </c>
      <c r="AX45" s="68">
        <v>11</v>
      </c>
    </row>
    <row r="46" spans="1:50" ht="15.75" customHeight="1">
      <c r="A46" s="63" t="s">
        <v>213</v>
      </c>
      <c r="B46" s="64" t="s">
        <v>223</v>
      </c>
      <c r="C46" s="67">
        <v>29</v>
      </c>
      <c r="D46" s="67">
        <v>3</v>
      </c>
      <c r="E46" s="67">
        <v>3</v>
      </c>
      <c r="F46" s="67">
        <v>23</v>
      </c>
      <c r="G46" s="67">
        <v>27</v>
      </c>
      <c r="H46" s="67">
        <v>3</v>
      </c>
      <c r="I46" s="67">
        <v>2</v>
      </c>
      <c r="J46" s="67">
        <v>22</v>
      </c>
      <c r="K46" s="67">
        <v>0</v>
      </c>
      <c r="L46" s="67">
        <v>0</v>
      </c>
      <c r="M46" s="67">
        <v>0</v>
      </c>
      <c r="N46" s="67">
        <v>0</v>
      </c>
      <c r="O46" s="67">
        <v>2</v>
      </c>
      <c r="P46" s="67">
        <v>0</v>
      </c>
      <c r="Q46" s="67">
        <v>1</v>
      </c>
      <c r="R46" s="67">
        <v>1</v>
      </c>
      <c r="S46" s="67">
        <v>0</v>
      </c>
      <c r="T46" s="67">
        <v>0</v>
      </c>
      <c r="U46" s="67">
        <v>0</v>
      </c>
      <c r="V46" s="67">
        <v>0</v>
      </c>
      <c r="W46" s="67">
        <v>0</v>
      </c>
      <c r="X46" s="67">
        <v>0</v>
      </c>
      <c r="Y46" s="67">
        <v>0</v>
      </c>
      <c r="Z46" s="67">
        <v>0</v>
      </c>
      <c r="AA46" s="67">
        <v>34</v>
      </c>
      <c r="AB46" s="67">
        <v>0</v>
      </c>
      <c r="AC46" s="67">
        <v>6</v>
      </c>
      <c r="AD46" s="67">
        <v>28</v>
      </c>
      <c r="AE46" s="67">
        <v>32</v>
      </c>
      <c r="AF46" s="67">
        <v>0</v>
      </c>
      <c r="AG46" s="67">
        <v>5</v>
      </c>
      <c r="AH46" s="67">
        <v>27</v>
      </c>
      <c r="AI46" s="67">
        <v>0</v>
      </c>
      <c r="AJ46" s="67">
        <v>0</v>
      </c>
      <c r="AK46" s="67">
        <v>0</v>
      </c>
      <c r="AL46" s="67">
        <v>0</v>
      </c>
      <c r="AM46" s="67">
        <v>2</v>
      </c>
      <c r="AN46" s="67">
        <v>0</v>
      </c>
      <c r="AO46" s="67">
        <v>1</v>
      </c>
      <c r="AP46" s="67">
        <v>1</v>
      </c>
      <c r="AQ46" s="67">
        <v>0</v>
      </c>
      <c r="AR46" s="67">
        <v>0</v>
      </c>
      <c r="AS46" s="67">
        <v>0</v>
      </c>
      <c r="AT46" s="67">
        <v>0</v>
      </c>
      <c r="AU46" s="67">
        <v>0</v>
      </c>
      <c r="AV46" s="67">
        <v>0</v>
      </c>
      <c r="AW46" s="67">
        <v>0</v>
      </c>
      <c r="AX46" s="67">
        <v>0</v>
      </c>
    </row>
    <row r="47" spans="1:50" ht="15.75" customHeight="1">
      <c r="A47" s="345" t="s">
        <v>14</v>
      </c>
      <c r="B47" s="65" t="s">
        <v>224</v>
      </c>
      <c r="C47" s="68">
        <v>16</v>
      </c>
      <c r="D47" s="68">
        <v>3</v>
      </c>
      <c r="E47" s="68">
        <v>3</v>
      </c>
      <c r="F47" s="68">
        <v>10</v>
      </c>
      <c r="G47" s="68">
        <v>14</v>
      </c>
      <c r="H47" s="68">
        <v>3</v>
      </c>
      <c r="I47" s="68">
        <v>2</v>
      </c>
      <c r="J47" s="68">
        <v>9</v>
      </c>
      <c r="K47" s="68">
        <v>0</v>
      </c>
      <c r="L47" s="68">
        <v>0</v>
      </c>
      <c r="M47" s="68">
        <v>0</v>
      </c>
      <c r="N47" s="68">
        <v>0</v>
      </c>
      <c r="O47" s="68">
        <v>2</v>
      </c>
      <c r="P47" s="68">
        <v>0</v>
      </c>
      <c r="Q47" s="68">
        <v>1</v>
      </c>
      <c r="R47" s="68">
        <v>1</v>
      </c>
      <c r="S47" s="68">
        <v>0</v>
      </c>
      <c r="T47" s="68">
        <v>0</v>
      </c>
      <c r="U47" s="68">
        <v>0</v>
      </c>
      <c r="V47" s="68">
        <v>0</v>
      </c>
      <c r="W47" s="68">
        <v>0</v>
      </c>
      <c r="X47" s="68">
        <v>0</v>
      </c>
      <c r="Y47" s="68">
        <v>0</v>
      </c>
      <c r="Z47" s="68">
        <v>0</v>
      </c>
      <c r="AA47" s="68">
        <v>18</v>
      </c>
      <c r="AB47" s="68">
        <v>0</v>
      </c>
      <c r="AC47" s="68">
        <v>5</v>
      </c>
      <c r="AD47" s="68">
        <v>13</v>
      </c>
      <c r="AE47" s="68">
        <v>16</v>
      </c>
      <c r="AF47" s="68">
        <v>0</v>
      </c>
      <c r="AG47" s="68">
        <v>4</v>
      </c>
      <c r="AH47" s="68">
        <v>12</v>
      </c>
      <c r="AI47" s="68">
        <v>0</v>
      </c>
      <c r="AJ47" s="68">
        <v>0</v>
      </c>
      <c r="AK47" s="68">
        <v>0</v>
      </c>
      <c r="AL47" s="68">
        <v>0</v>
      </c>
      <c r="AM47" s="68">
        <v>2</v>
      </c>
      <c r="AN47" s="68">
        <v>0</v>
      </c>
      <c r="AO47" s="68">
        <v>1</v>
      </c>
      <c r="AP47" s="68">
        <v>1</v>
      </c>
      <c r="AQ47" s="68">
        <v>0</v>
      </c>
      <c r="AR47" s="68">
        <v>0</v>
      </c>
      <c r="AS47" s="68">
        <v>0</v>
      </c>
      <c r="AT47" s="68">
        <v>0</v>
      </c>
      <c r="AU47" s="68">
        <v>0</v>
      </c>
      <c r="AV47" s="68">
        <v>0</v>
      </c>
      <c r="AW47" s="68">
        <v>0</v>
      </c>
      <c r="AX47" s="68">
        <v>0</v>
      </c>
    </row>
    <row r="48" spans="1:50" ht="15.75" customHeight="1">
      <c r="A48" s="346"/>
      <c r="B48" s="65" t="s">
        <v>225</v>
      </c>
      <c r="C48" s="68">
        <v>13</v>
      </c>
      <c r="D48" s="68">
        <v>0</v>
      </c>
      <c r="E48" s="68">
        <v>0</v>
      </c>
      <c r="F48" s="68">
        <v>13</v>
      </c>
      <c r="G48" s="68">
        <v>13</v>
      </c>
      <c r="H48" s="68">
        <v>0</v>
      </c>
      <c r="I48" s="68">
        <v>0</v>
      </c>
      <c r="J48" s="68">
        <v>13</v>
      </c>
      <c r="K48" s="68">
        <v>0</v>
      </c>
      <c r="L48" s="68">
        <v>0</v>
      </c>
      <c r="M48" s="68">
        <v>0</v>
      </c>
      <c r="N48" s="68">
        <v>0</v>
      </c>
      <c r="O48" s="68">
        <v>0</v>
      </c>
      <c r="P48" s="68">
        <v>0</v>
      </c>
      <c r="Q48" s="68">
        <v>0</v>
      </c>
      <c r="R48" s="68">
        <v>0</v>
      </c>
      <c r="S48" s="68">
        <v>0</v>
      </c>
      <c r="T48" s="68">
        <v>0</v>
      </c>
      <c r="U48" s="68">
        <v>0</v>
      </c>
      <c r="V48" s="68">
        <v>0</v>
      </c>
      <c r="W48" s="68">
        <v>0</v>
      </c>
      <c r="X48" s="68">
        <v>0</v>
      </c>
      <c r="Y48" s="68">
        <v>0</v>
      </c>
      <c r="Z48" s="68">
        <v>0</v>
      </c>
      <c r="AA48" s="68">
        <v>16</v>
      </c>
      <c r="AB48" s="68">
        <v>0</v>
      </c>
      <c r="AC48" s="68">
        <v>1</v>
      </c>
      <c r="AD48" s="68">
        <v>15</v>
      </c>
      <c r="AE48" s="68">
        <v>16</v>
      </c>
      <c r="AF48" s="68">
        <v>0</v>
      </c>
      <c r="AG48" s="68">
        <v>1</v>
      </c>
      <c r="AH48" s="68">
        <v>15</v>
      </c>
      <c r="AI48" s="68">
        <v>0</v>
      </c>
      <c r="AJ48" s="68">
        <v>0</v>
      </c>
      <c r="AK48" s="68">
        <v>0</v>
      </c>
      <c r="AL48" s="68">
        <v>0</v>
      </c>
      <c r="AM48" s="68">
        <v>0</v>
      </c>
      <c r="AN48" s="68">
        <v>0</v>
      </c>
      <c r="AO48" s="68">
        <v>0</v>
      </c>
      <c r="AP48" s="68">
        <v>0</v>
      </c>
      <c r="AQ48" s="68">
        <v>0</v>
      </c>
      <c r="AR48" s="68">
        <v>0</v>
      </c>
      <c r="AS48" s="68">
        <v>0</v>
      </c>
      <c r="AT48" s="68">
        <v>0</v>
      </c>
      <c r="AU48" s="68">
        <v>0</v>
      </c>
      <c r="AV48" s="68">
        <v>0</v>
      </c>
      <c r="AW48" s="68">
        <v>0</v>
      </c>
      <c r="AX48" s="68">
        <v>0</v>
      </c>
    </row>
    <row r="49" spans="1:50" ht="15.75" customHeight="1">
      <c r="A49" s="63" t="s">
        <v>214</v>
      </c>
      <c r="B49" s="64" t="s">
        <v>223</v>
      </c>
      <c r="C49" s="67">
        <v>140</v>
      </c>
      <c r="D49" s="67">
        <v>56</v>
      </c>
      <c r="E49" s="67">
        <v>22</v>
      </c>
      <c r="F49" s="67">
        <v>62</v>
      </c>
      <c r="G49" s="67">
        <v>46</v>
      </c>
      <c r="H49" s="67">
        <v>13</v>
      </c>
      <c r="I49" s="67">
        <v>2</v>
      </c>
      <c r="J49" s="67">
        <v>31</v>
      </c>
      <c r="K49" s="67">
        <v>27</v>
      </c>
      <c r="L49" s="67">
        <v>11</v>
      </c>
      <c r="M49" s="67">
        <v>4</v>
      </c>
      <c r="N49" s="67">
        <v>12</v>
      </c>
      <c r="O49" s="67">
        <v>31</v>
      </c>
      <c r="P49" s="67">
        <v>15</v>
      </c>
      <c r="Q49" s="67">
        <v>11</v>
      </c>
      <c r="R49" s="67">
        <v>5</v>
      </c>
      <c r="S49" s="67">
        <v>15</v>
      </c>
      <c r="T49" s="67">
        <v>5</v>
      </c>
      <c r="U49" s="67">
        <v>4</v>
      </c>
      <c r="V49" s="67">
        <v>6</v>
      </c>
      <c r="W49" s="67">
        <v>21</v>
      </c>
      <c r="X49" s="67">
        <v>12</v>
      </c>
      <c r="Y49" s="67">
        <v>1</v>
      </c>
      <c r="Z49" s="67">
        <v>8</v>
      </c>
      <c r="AA49" s="67">
        <v>198</v>
      </c>
      <c r="AB49" s="67">
        <v>65</v>
      </c>
      <c r="AC49" s="67">
        <v>27</v>
      </c>
      <c r="AD49" s="67">
        <v>106</v>
      </c>
      <c r="AE49" s="67">
        <v>80</v>
      </c>
      <c r="AF49" s="67">
        <v>17</v>
      </c>
      <c r="AG49" s="67">
        <v>6</v>
      </c>
      <c r="AH49" s="67">
        <v>57</v>
      </c>
      <c r="AI49" s="67">
        <v>35</v>
      </c>
      <c r="AJ49" s="67">
        <v>12</v>
      </c>
      <c r="AK49" s="67">
        <v>4</v>
      </c>
      <c r="AL49" s="67">
        <v>19</v>
      </c>
      <c r="AM49" s="67">
        <v>42</v>
      </c>
      <c r="AN49" s="67">
        <v>23</v>
      </c>
      <c r="AO49" s="67">
        <v>11</v>
      </c>
      <c r="AP49" s="67">
        <v>8</v>
      </c>
      <c r="AQ49" s="67">
        <v>35</v>
      </c>
      <c r="AR49" s="67">
        <v>12</v>
      </c>
      <c r="AS49" s="67">
        <v>6</v>
      </c>
      <c r="AT49" s="67">
        <v>17</v>
      </c>
      <c r="AU49" s="67">
        <v>6</v>
      </c>
      <c r="AV49" s="67">
        <v>1</v>
      </c>
      <c r="AW49" s="67">
        <v>0</v>
      </c>
      <c r="AX49" s="67">
        <v>5</v>
      </c>
    </row>
    <row r="50" spans="1:50" ht="15.75" customHeight="1">
      <c r="A50" s="345" t="s">
        <v>15</v>
      </c>
      <c r="B50" s="65" t="s">
        <v>224</v>
      </c>
      <c r="C50" s="68">
        <v>63</v>
      </c>
      <c r="D50" s="68">
        <v>37</v>
      </c>
      <c r="E50" s="68">
        <v>11</v>
      </c>
      <c r="F50" s="68">
        <v>15</v>
      </c>
      <c r="G50" s="68">
        <v>8</v>
      </c>
      <c r="H50" s="68">
        <v>4</v>
      </c>
      <c r="I50" s="68">
        <v>0</v>
      </c>
      <c r="J50" s="68">
        <v>4</v>
      </c>
      <c r="K50" s="68">
        <v>14</v>
      </c>
      <c r="L50" s="68">
        <v>7</v>
      </c>
      <c r="M50" s="68">
        <v>3</v>
      </c>
      <c r="N50" s="68">
        <v>4</v>
      </c>
      <c r="O50" s="68">
        <v>22</v>
      </c>
      <c r="P50" s="68">
        <v>14</v>
      </c>
      <c r="Q50" s="68">
        <v>6</v>
      </c>
      <c r="R50" s="68">
        <v>2</v>
      </c>
      <c r="S50" s="68">
        <v>11</v>
      </c>
      <c r="T50" s="68">
        <v>5</v>
      </c>
      <c r="U50" s="68">
        <v>2</v>
      </c>
      <c r="V50" s="68">
        <v>4</v>
      </c>
      <c r="W50" s="68">
        <v>8</v>
      </c>
      <c r="X50" s="68">
        <v>7</v>
      </c>
      <c r="Y50" s="68">
        <v>0</v>
      </c>
      <c r="Z50" s="68">
        <v>1</v>
      </c>
      <c r="AA50" s="68">
        <v>88</v>
      </c>
      <c r="AB50" s="68">
        <v>40</v>
      </c>
      <c r="AC50" s="68">
        <v>14</v>
      </c>
      <c r="AD50" s="68">
        <v>34</v>
      </c>
      <c r="AE50" s="68">
        <v>20</v>
      </c>
      <c r="AF50" s="68">
        <v>7</v>
      </c>
      <c r="AG50" s="68">
        <v>2</v>
      </c>
      <c r="AH50" s="68">
        <v>11</v>
      </c>
      <c r="AI50" s="68">
        <v>17</v>
      </c>
      <c r="AJ50" s="68">
        <v>7</v>
      </c>
      <c r="AK50" s="68">
        <v>3</v>
      </c>
      <c r="AL50" s="68">
        <v>7</v>
      </c>
      <c r="AM50" s="68">
        <v>25</v>
      </c>
      <c r="AN50" s="68">
        <v>16</v>
      </c>
      <c r="AO50" s="68">
        <v>5</v>
      </c>
      <c r="AP50" s="68">
        <v>4</v>
      </c>
      <c r="AQ50" s="68">
        <v>24</v>
      </c>
      <c r="AR50" s="68">
        <v>9</v>
      </c>
      <c r="AS50" s="68">
        <v>4</v>
      </c>
      <c r="AT50" s="68">
        <v>11</v>
      </c>
      <c r="AU50" s="68">
        <v>2</v>
      </c>
      <c r="AV50" s="68">
        <v>1</v>
      </c>
      <c r="AW50" s="68">
        <v>0</v>
      </c>
      <c r="AX50" s="68">
        <v>1</v>
      </c>
    </row>
    <row r="51" spans="1:50" ht="15.75" customHeight="1">
      <c r="A51" s="346"/>
      <c r="B51" s="65" t="s">
        <v>225</v>
      </c>
      <c r="C51" s="68">
        <v>77</v>
      </c>
      <c r="D51" s="68">
        <v>19</v>
      </c>
      <c r="E51" s="68">
        <v>11</v>
      </c>
      <c r="F51" s="68">
        <v>47</v>
      </c>
      <c r="G51" s="68">
        <v>38</v>
      </c>
      <c r="H51" s="68">
        <v>9</v>
      </c>
      <c r="I51" s="68">
        <v>2</v>
      </c>
      <c r="J51" s="68">
        <v>27</v>
      </c>
      <c r="K51" s="68">
        <v>13</v>
      </c>
      <c r="L51" s="68">
        <v>4</v>
      </c>
      <c r="M51" s="68">
        <v>1</v>
      </c>
      <c r="N51" s="68">
        <v>8</v>
      </c>
      <c r="O51" s="68">
        <v>9</v>
      </c>
      <c r="P51" s="68">
        <v>1</v>
      </c>
      <c r="Q51" s="68">
        <v>5</v>
      </c>
      <c r="R51" s="68">
        <v>3</v>
      </c>
      <c r="S51" s="68">
        <v>4</v>
      </c>
      <c r="T51" s="68">
        <v>0</v>
      </c>
      <c r="U51" s="68">
        <v>2</v>
      </c>
      <c r="V51" s="68">
        <v>2</v>
      </c>
      <c r="W51" s="68">
        <v>13</v>
      </c>
      <c r="X51" s="68">
        <v>5</v>
      </c>
      <c r="Y51" s="68">
        <v>1</v>
      </c>
      <c r="Z51" s="68">
        <v>7</v>
      </c>
      <c r="AA51" s="68">
        <v>110</v>
      </c>
      <c r="AB51" s="68">
        <v>25</v>
      </c>
      <c r="AC51" s="68">
        <v>13</v>
      </c>
      <c r="AD51" s="68">
        <v>72</v>
      </c>
      <c r="AE51" s="68">
        <v>60</v>
      </c>
      <c r="AF51" s="68">
        <v>10</v>
      </c>
      <c r="AG51" s="68">
        <v>4</v>
      </c>
      <c r="AH51" s="68">
        <v>46</v>
      </c>
      <c r="AI51" s="68">
        <v>18</v>
      </c>
      <c r="AJ51" s="68">
        <v>5</v>
      </c>
      <c r="AK51" s="68">
        <v>1</v>
      </c>
      <c r="AL51" s="68">
        <v>12</v>
      </c>
      <c r="AM51" s="68">
        <v>17</v>
      </c>
      <c r="AN51" s="68">
        <v>7</v>
      </c>
      <c r="AO51" s="68">
        <v>6</v>
      </c>
      <c r="AP51" s="68">
        <v>4</v>
      </c>
      <c r="AQ51" s="68">
        <v>11</v>
      </c>
      <c r="AR51" s="68">
        <v>3</v>
      </c>
      <c r="AS51" s="68">
        <v>2</v>
      </c>
      <c r="AT51" s="68">
        <v>6</v>
      </c>
      <c r="AU51" s="68">
        <v>4</v>
      </c>
      <c r="AV51" s="68">
        <v>0</v>
      </c>
      <c r="AW51" s="68">
        <v>0</v>
      </c>
      <c r="AX51" s="68">
        <v>4</v>
      </c>
    </row>
    <row r="52" spans="1:50" ht="15.75" customHeight="1">
      <c r="A52" s="63" t="s">
        <v>215</v>
      </c>
      <c r="B52" s="64" t="s">
        <v>223</v>
      </c>
      <c r="C52" s="67">
        <v>27</v>
      </c>
      <c r="D52" s="67">
        <v>7</v>
      </c>
      <c r="E52" s="67">
        <v>0</v>
      </c>
      <c r="F52" s="67">
        <v>20</v>
      </c>
      <c r="G52" s="67">
        <v>6</v>
      </c>
      <c r="H52" s="67">
        <v>0</v>
      </c>
      <c r="I52" s="67">
        <v>0</v>
      </c>
      <c r="J52" s="67">
        <v>6</v>
      </c>
      <c r="K52" s="67">
        <v>5</v>
      </c>
      <c r="L52" s="67">
        <v>0</v>
      </c>
      <c r="M52" s="67">
        <v>0</v>
      </c>
      <c r="N52" s="67">
        <v>5</v>
      </c>
      <c r="O52" s="67">
        <v>6</v>
      </c>
      <c r="P52" s="67">
        <v>0</v>
      </c>
      <c r="Q52" s="67">
        <v>0</v>
      </c>
      <c r="R52" s="67">
        <v>6</v>
      </c>
      <c r="S52" s="67">
        <v>1</v>
      </c>
      <c r="T52" s="67">
        <v>1</v>
      </c>
      <c r="U52" s="67">
        <v>0</v>
      </c>
      <c r="V52" s="67">
        <v>0</v>
      </c>
      <c r="W52" s="67">
        <v>9</v>
      </c>
      <c r="X52" s="67">
        <v>6</v>
      </c>
      <c r="Y52" s="67">
        <v>0</v>
      </c>
      <c r="Z52" s="67">
        <v>3</v>
      </c>
      <c r="AA52" s="67">
        <v>40</v>
      </c>
      <c r="AB52" s="67">
        <v>22</v>
      </c>
      <c r="AC52" s="67">
        <v>5</v>
      </c>
      <c r="AD52" s="67">
        <v>13</v>
      </c>
      <c r="AE52" s="67">
        <v>6</v>
      </c>
      <c r="AF52" s="67">
        <v>0</v>
      </c>
      <c r="AG52" s="67">
        <v>0</v>
      </c>
      <c r="AH52" s="67">
        <v>6</v>
      </c>
      <c r="AI52" s="67">
        <v>15</v>
      </c>
      <c r="AJ52" s="67">
        <v>9</v>
      </c>
      <c r="AK52" s="67">
        <v>2</v>
      </c>
      <c r="AL52" s="67">
        <v>4</v>
      </c>
      <c r="AM52" s="67">
        <v>9</v>
      </c>
      <c r="AN52" s="67">
        <v>6</v>
      </c>
      <c r="AO52" s="67">
        <v>3</v>
      </c>
      <c r="AP52" s="67">
        <v>0</v>
      </c>
      <c r="AQ52" s="67">
        <v>1</v>
      </c>
      <c r="AR52" s="67">
        <v>1</v>
      </c>
      <c r="AS52" s="67">
        <v>0</v>
      </c>
      <c r="AT52" s="67">
        <v>0</v>
      </c>
      <c r="AU52" s="67">
        <v>9</v>
      </c>
      <c r="AV52" s="67">
        <v>6</v>
      </c>
      <c r="AW52" s="67">
        <v>0</v>
      </c>
      <c r="AX52" s="67">
        <v>3</v>
      </c>
    </row>
    <row r="53" spans="1:50" ht="15.75" customHeight="1">
      <c r="A53" s="345" t="s">
        <v>16</v>
      </c>
      <c r="B53" s="65" t="s">
        <v>224</v>
      </c>
      <c r="C53" s="68">
        <v>6</v>
      </c>
      <c r="D53" s="68">
        <v>2</v>
      </c>
      <c r="E53" s="68">
        <v>0</v>
      </c>
      <c r="F53" s="68">
        <v>4</v>
      </c>
      <c r="G53" s="68">
        <v>1</v>
      </c>
      <c r="H53" s="68">
        <v>0</v>
      </c>
      <c r="I53" s="68">
        <v>0</v>
      </c>
      <c r="J53" s="68">
        <v>1</v>
      </c>
      <c r="K53" s="68">
        <v>1</v>
      </c>
      <c r="L53" s="68">
        <v>0</v>
      </c>
      <c r="M53" s="68">
        <v>0</v>
      </c>
      <c r="N53" s="68">
        <v>1</v>
      </c>
      <c r="O53" s="68">
        <v>1</v>
      </c>
      <c r="P53" s="68">
        <v>0</v>
      </c>
      <c r="Q53" s="68">
        <v>0</v>
      </c>
      <c r="R53" s="68">
        <v>1</v>
      </c>
      <c r="S53" s="68">
        <v>1</v>
      </c>
      <c r="T53" s="68">
        <v>1</v>
      </c>
      <c r="U53" s="68">
        <v>0</v>
      </c>
      <c r="V53" s="68">
        <v>0</v>
      </c>
      <c r="W53" s="68">
        <v>2</v>
      </c>
      <c r="X53" s="68">
        <v>1</v>
      </c>
      <c r="Y53" s="68">
        <v>0</v>
      </c>
      <c r="Z53" s="68">
        <v>1</v>
      </c>
      <c r="AA53" s="68">
        <v>19</v>
      </c>
      <c r="AB53" s="68">
        <v>15</v>
      </c>
      <c r="AC53" s="68">
        <v>2</v>
      </c>
      <c r="AD53" s="68">
        <v>2</v>
      </c>
      <c r="AE53" s="68">
        <v>1</v>
      </c>
      <c r="AF53" s="68">
        <v>0</v>
      </c>
      <c r="AG53" s="68">
        <v>0</v>
      </c>
      <c r="AH53" s="68">
        <v>1</v>
      </c>
      <c r="AI53" s="68">
        <v>10</v>
      </c>
      <c r="AJ53" s="68">
        <v>8</v>
      </c>
      <c r="AK53" s="68">
        <v>2</v>
      </c>
      <c r="AL53" s="68">
        <v>0</v>
      </c>
      <c r="AM53" s="68">
        <v>5</v>
      </c>
      <c r="AN53" s="68">
        <v>5</v>
      </c>
      <c r="AO53" s="68">
        <v>0</v>
      </c>
      <c r="AP53" s="68">
        <v>0</v>
      </c>
      <c r="AQ53" s="68">
        <v>1</v>
      </c>
      <c r="AR53" s="68">
        <v>1</v>
      </c>
      <c r="AS53" s="68">
        <v>0</v>
      </c>
      <c r="AT53" s="68">
        <v>0</v>
      </c>
      <c r="AU53" s="68">
        <v>2</v>
      </c>
      <c r="AV53" s="68">
        <v>1</v>
      </c>
      <c r="AW53" s="68">
        <v>0</v>
      </c>
      <c r="AX53" s="68">
        <v>1</v>
      </c>
    </row>
    <row r="54" spans="1:50" ht="15.75" customHeight="1">
      <c r="A54" s="346"/>
      <c r="B54" s="65" t="s">
        <v>225</v>
      </c>
      <c r="C54" s="68">
        <v>21</v>
      </c>
      <c r="D54" s="68">
        <v>5</v>
      </c>
      <c r="E54" s="68">
        <v>0</v>
      </c>
      <c r="F54" s="68">
        <v>16</v>
      </c>
      <c r="G54" s="68">
        <v>5</v>
      </c>
      <c r="H54" s="68">
        <v>0</v>
      </c>
      <c r="I54" s="68">
        <v>0</v>
      </c>
      <c r="J54" s="68">
        <v>5</v>
      </c>
      <c r="K54" s="68">
        <v>4</v>
      </c>
      <c r="L54" s="68">
        <v>0</v>
      </c>
      <c r="M54" s="68">
        <v>0</v>
      </c>
      <c r="N54" s="68">
        <v>4</v>
      </c>
      <c r="O54" s="68">
        <v>5</v>
      </c>
      <c r="P54" s="68">
        <v>0</v>
      </c>
      <c r="Q54" s="68">
        <v>0</v>
      </c>
      <c r="R54" s="68">
        <v>5</v>
      </c>
      <c r="S54" s="68">
        <v>0</v>
      </c>
      <c r="T54" s="68">
        <v>0</v>
      </c>
      <c r="U54" s="68">
        <v>0</v>
      </c>
      <c r="V54" s="68">
        <v>0</v>
      </c>
      <c r="W54" s="68">
        <v>7</v>
      </c>
      <c r="X54" s="68">
        <v>5</v>
      </c>
      <c r="Y54" s="68">
        <v>0</v>
      </c>
      <c r="Z54" s="68">
        <v>2</v>
      </c>
      <c r="AA54" s="68">
        <v>21</v>
      </c>
      <c r="AB54" s="68">
        <v>7</v>
      </c>
      <c r="AC54" s="68">
        <v>3</v>
      </c>
      <c r="AD54" s="68">
        <v>11</v>
      </c>
      <c r="AE54" s="68">
        <v>5</v>
      </c>
      <c r="AF54" s="68">
        <v>0</v>
      </c>
      <c r="AG54" s="68">
        <v>0</v>
      </c>
      <c r="AH54" s="68">
        <v>5</v>
      </c>
      <c r="AI54" s="68">
        <v>5</v>
      </c>
      <c r="AJ54" s="68">
        <v>1</v>
      </c>
      <c r="AK54" s="68">
        <v>0</v>
      </c>
      <c r="AL54" s="68">
        <v>4</v>
      </c>
      <c r="AM54" s="68">
        <v>4</v>
      </c>
      <c r="AN54" s="68">
        <v>1</v>
      </c>
      <c r="AO54" s="68">
        <v>3</v>
      </c>
      <c r="AP54" s="68">
        <v>0</v>
      </c>
      <c r="AQ54" s="68">
        <v>0</v>
      </c>
      <c r="AR54" s="68">
        <v>0</v>
      </c>
      <c r="AS54" s="68">
        <v>0</v>
      </c>
      <c r="AT54" s="68">
        <v>0</v>
      </c>
      <c r="AU54" s="68">
        <v>7</v>
      </c>
      <c r="AV54" s="68">
        <v>5</v>
      </c>
      <c r="AW54" s="68">
        <v>0</v>
      </c>
      <c r="AX54" s="68">
        <v>2</v>
      </c>
    </row>
    <row r="55" spans="1:50" ht="15.75" customHeight="1">
      <c r="A55" s="63" t="s">
        <v>216</v>
      </c>
      <c r="B55" s="64" t="s">
        <v>223</v>
      </c>
      <c r="C55" s="67">
        <v>87</v>
      </c>
      <c r="D55" s="67">
        <v>24</v>
      </c>
      <c r="E55" s="67">
        <v>12</v>
      </c>
      <c r="F55" s="67">
        <v>51</v>
      </c>
      <c r="G55" s="67">
        <v>59</v>
      </c>
      <c r="H55" s="67">
        <v>14</v>
      </c>
      <c r="I55" s="67">
        <v>8</v>
      </c>
      <c r="J55" s="67">
        <v>37</v>
      </c>
      <c r="K55" s="67">
        <v>9</v>
      </c>
      <c r="L55" s="67">
        <v>2</v>
      </c>
      <c r="M55" s="67">
        <v>1</v>
      </c>
      <c r="N55" s="67">
        <v>6</v>
      </c>
      <c r="O55" s="67">
        <v>8</v>
      </c>
      <c r="P55" s="67">
        <v>2</v>
      </c>
      <c r="Q55" s="67">
        <v>0</v>
      </c>
      <c r="R55" s="67">
        <v>6</v>
      </c>
      <c r="S55" s="67">
        <v>11</v>
      </c>
      <c r="T55" s="67">
        <v>6</v>
      </c>
      <c r="U55" s="67">
        <v>3</v>
      </c>
      <c r="V55" s="67">
        <v>2</v>
      </c>
      <c r="W55" s="67">
        <v>0</v>
      </c>
      <c r="X55" s="67">
        <v>0</v>
      </c>
      <c r="Y55" s="67">
        <v>0</v>
      </c>
      <c r="Z55" s="67">
        <v>0</v>
      </c>
      <c r="AA55" s="67">
        <v>121</v>
      </c>
      <c r="AB55" s="67">
        <v>39</v>
      </c>
      <c r="AC55" s="67">
        <v>18</v>
      </c>
      <c r="AD55" s="67">
        <v>64</v>
      </c>
      <c r="AE55" s="67">
        <v>73</v>
      </c>
      <c r="AF55" s="67">
        <v>20</v>
      </c>
      <c r="AG55" s="67">
        <v>11</v>
      </c>
      <c r="AH55" s="67">
        <v>42</v>
      </c>
      <c r="AI55" s="67">
        <v>18</v>
      </c>
      <c r="AJ55" s="67">
        <v>6</v>
      </c>
      <c r="AK55" s="67">
        <v>1</v>
      </c>
      <c r="AL55" s="67">
        <v>11</v>
      </c>
      <c r="AM55" s="67">
        <v>14</v>
      </c>
      <c r="AN55" s="67">
        <v>4</v>
      </c>
      <c r="AO55" s="67">
        <v>1</v>
      </c>
      <c r="AP55" s="67">
        <v>9</v>
      </c>
      <c r="AQ55" s="67">
        <v>14</v>
      </c>
      <c r="AR55" s="67">
        <v>8</v>
      </c>
      <c r="AS55" s="67">
        <v>4</v>
      </c>
      <c r="AT55" s="67">
        <v>2</v>
      </c>
      <c r="AU55" s="67">
        <v>2</v>
      </c>
      <c r="AV55" s="67">
        <v>1</v>
      </c>
      <c r="AW55" s="67">
        <v>1</v>
      </c>
      <c r="AX55" s="67">
        <v>0</v>
      </c>
    </row>
    <row r="56" spans="1:50" ht="15.75" customHeight="1">
      <c r="A56" s="345" t="s">
        <v>17</v>
      </c>
      <c r="B56" s="65" t="s">
        <v>224</v>
      </c>
      <c r="C56" s="68">
        <v>47</v>
      </c>
      <c r="D56" s="68">
        <v>17</v>
      </c>
      <c r="E56" s="68">
        <v>8</v>
      </c>
      <c r="F56" s="68">
        <v>22</v>
      </c>
      <c r="G56" s="68">
        <v>31</v>
      </c>
      <c r="H56" s="68">
        <v>10</v>
      </c>
      <c r="I56" s="68">
        <v>5</v>
      </c>
      <c r="J56" s="68">
        <v>16</v>
      </c>
      <c r="K56" s="68">
        <v>4</v>
      </c>
      <c r="L56" s="68">
        <v>1</v>
      </c>
      <c r="M56" s="68">
        <v>1</v>
      </c>
      <c r="N56" s="68">
        <v>2</v>
      </c>
      <c r="O56" s="68">
        <v>4</v>
      </c>
      <c r="P56" s="68">
        <v>2</v>
      </c>
      <c r="Q56" s="68">
        <v>0</v>
      </c>
      <c r="R56" s="68">
        <v>2</v>
      </c>
      <c r="S56" s="68">
        <v>8</v>
      </c>
      <c r="T56" s="68">
        <v>4</v>
      </c>
      <c r="U56" s="68">
        <v>2</v>
      </c>
      <c r="V56" s="68">
        <v>2</v>
      </c>
      <c r="W56" s="68">
        <v>0</v>
      </c>
      <c r="X56" s="68">
        <v>0</v>
      </c>
      <c r="Y56" s="68">
        <v>0</v>
      </c>
      <c r="Z56" s="68">
        <v>0</v>
      </c>
      <c r="AA56" s="68">
        <v>67</v>
      </c>
      <c r="AB56" s="68">
        <v>27</v>
      </c>
      <c r="AC56" s="68">
        <v>14</v>
      </c>
      <c r="AD56" s="68">
        <v>26</v>
      </c>
      <c r="AE56" s="68">
        <v>38</v>
      </c>
      <c r="AF56" s="68">
        <v>13</v>
      </c>
      <c r="AG56" s="68">
        <v>8</v>
      </c>
      <c r="AH56" s="68">
        <v>17</v>
      </c>
      <c r="AI56" s="68">
        <v>9</v>
      </c>
      <c r="AJ56" s="68">
        <v>4</v>
      </c>
      <c r="AK56" s="68">
        <v>1</v>
      </c>
      <c r="AL56" s="68">
        <v>4</v>
      </c>
      <c r="AM56" s="68">
        <v>8</v>
      </c>
      <c r="AN56" s="68">
        <v>4</v>
      </c>
      <c r="AO56" s="68">
        <v>1</v>
      </c>
      <c r="AP56" s="68">
        <v>3</v>
      </c>
      <c r="AQ56" s="68">
        <v>11</v>
      </c>
      <c r="AR56" s="68">
        <v>6</v>
      </c>
      <c r="AS56" s="68">
        <v>3</v>
      </c>
      <c r="AT56" s="68">
        <v>2</v>
      </c>
      <c r="AU56" s="68">
        <v>1</v>
      </c>
      <c r="AV56" s="68">
        <v>0</v>
      </c>
      <c r="AW56" s="68">
        <v>1</v>
      </c>
      <c r="AX56" s="68">
        <v>0</v>
      </c>
    </row>
    <row r="57" spans="1:50" ht="15.75" customHeight="1">
      <c r="A57" s="346"/>
      <c r="B57" s="65" t="s">
        <v>225</v>
      </c>
      <c r="C57" s="68">
        <v>40</v>
      </c>
      <c r="D57" s="68">
        <v>7</v>
      </c>
      <c r="E57" s="68">
        <v>4</v>
      </c>
      <c r="F57" s="68">
        <v>29</v>
      </c>
      <c r="G57" s="68">
        <v>28</v>
      </c>
      <c r="H57" s="68">
        <v>4</v>
      </c>
      <c r="I57" s="68">
        <v>3</v>
      </c>
      <c r="J57" s="68">
        <v>21</v>
      </c>
      <c r="K57" s="68">
        <v>5</v>
      </c>
      <c r="L57" s="68">
        <v>1</v>
      </c>
      <c r="M57" s="68">
        <v>0</v>
      </c>
      <c r="N57" s="68">
        <v>4</v>
      </c>
      <c r="O57" s="68">
        <v>4</v>
      </c>
      <c r="P57" s="68">
        <v>0</v>
      </c>
      <c r="Q57" s="68">
        <v>0</v>
      </c>
      <c r="R57" s="68">
        <v>4</v>
      </c>
      <c r="S57" s="68">
        <v>3</v>
      </c>
      <c r="T57" s="68">
        <v>2</v>
      </c>
      <c r="U57" s="68">
        <v>1</v>
      </c>
      <c r="V57" s="68">
        <v>0</v>
      </c>
      <c r="W57" s="68">
        <v>0</v>
      </c>
      <c r="X57" s="68">
        <v>0</v>
      </c>
      <c r="Y57" s="68">
        <v>0</v>
      </c>
      <c r="Z57" s="68">
        <v>0</v>
      </c>
      <c r="AA57" s="68">
        <v>54</v>
      </c>
      <c r="AB57" s="68">
        <v>12</v>
      </c>
      <c r="AC57" s="68">
        <v>4</v>
      </c>
      <c r="AD57" s="68">
        <v>38</v>
      </c>
      <c r="AE57" s="68">
        <v>35</v>
      </c>
      <c r="AF57" s="68">
        <v>7</v>
      </c>
      <c r="AG57" s="68">
        <v>3</v>
      </c>
      <c r="AH57" s="68">
        <v>25</v>
      </c>
      <c r="AI57" s="68">
        <v>9</v>
      </c>
      <c r="AJ57" s="68">
        <v>2</v>
      </c>
      <c r="AK57" s="68">
        <v>0</v>
      </c>
      <c r="AL57" s="68">
        <v>7</v>
      </c>
      <c r="AM57" s="68">
        <v>6</v>
      </c>
      <c r="AN57" s="68">
        <v>0</v>
      </c>
      <c r="AO57" s="68">
        <v>0</v>
      </c>
      <c r="AP57" s="68">
        <v>6</v>
      </c>
      <c r="AQ57" s="68">
        <v>3</v>
      </c>
      <c r="AR57" s="68">
        <v>2</v>
      </c>
      <c r="AS57" s="68">
        <v>1</v>
      </c>
      <c r="AT57" s="68">
        <v>0</v>
      </c>
      <c r="AU57" s="68">
        <v>1</v>
      </c>
      <c r="AV57" s="68">
        <v>1</v>
      </c>
      <c r="AW57" s="68">
        <v>0</v>
      </c>
      <c r="AX57" s="68">
        <v>0</v>
      </c>
    </row>
    <row r="58" spans="1:50" ht="15.75" customHeight="1">
      <c r="A58" s="63" t="s">
        <v>217</v>
      </c>
      <c r="B58" s="64" t="s">
        <v>223</v>
      </c>
      <c r="C58" s="67">
        <v>1</v>
      </c>
      <c r="D58" s="67">
        <v>0</v>
      </c>
      <c r="E58" s="67">
        <v>1</v>
      </c>
      <c r="F58" s="67">
        <v>0</v>
      </c>
      <c r="G58" s="67">
        <v>0</v>
      </c>
      <c r="H58" s="67">
        <v>0</v>
      </c>
      <c r="I58" s="67">
        <v>0</v>
      </c>
      <c r="J58" s="67">
        <v>0</v>
      </c>
      <c r="K58" s="67">
        <v>0</v>
      </c>
      <c r="L58" s="67">
        <v>0</v>
      </c>
      <c r="M58" s="67">
        <v>0</v>
      </c>
      <c r="N58" s="67">
        <v>0</v>
      </c>
      <c r="O58" s="67">
        <v>0</v>
      </c>
      <c r="P58" s="67">
        <v>0</v>
      </c>
      <c r="Q58" s="67">
        <v>0</v>
      </c>
      <c r="R58" s="67">
        <v>0</v>
      </c>
      <c r="S58" s="67">
        <v>0</v>
      </c>
      <c r="T58" s="67">
        <v>0</v>
      </c>
      <c r="U58" s="67">
        <v>0</v>
      </c>
      <c r="V58" s="67">
        <v>0</v>
      </c>
      <c r="W58" s="67">
        <v>1</v>
      </c>
      <c r="X58" s="67">
        <v>0</v>
      </c>
      <c r="Y58" s="67">
        <v>1</v>
      </c>
      <c r="Z58" s="67">
        <v>0</v>
      </c>
      <c r="AA58" s="67">
        <v>2</v>
      </c>
      <c r="AB58" s="67">
        <v>0</v>
      </c>
      <c r="AC58" s="67">
        <v>1</v>
      </c>
      <c r="AD58" s="67">
        <v>1</v>
      </c>
      <c r="AE58" s="67">
        <v>0</v>
      </c>
      <c r="AF58" s="67">
        <v>0</v>
      </c>
      <c r="AG58" s="67">
        <v>0</v>
      </c>
      <c r="AH58" s="67">
        <v>0</v>
      </c>
      <c r="AI58" s="67">
        <v>0</v>
      </c>
      <c r="AJ58" s="67">
        <v>0</v>
      </c>
      <c r="AK58" s="67">
        <v>0</v>
      </c>
      <c r="AL58" s="67">
        <v>0</v>
      </c>
      <c r="AM58" s="67">
        <v>0</v>
      </c>
      <c r="AN58" s="67">
        <v>0</v>
      </c>
      <c r="AO58" s="67">
        <v>0</v>
      </c>
      <c r="AP58" s="67">
        <v>0</v>
      </c>
      <c r="AQ58" s="67">
        <v>0</v>
      </c>
      <c r="AR58" s="67">
        <v>0</v>
      </c>
      <c r="AS58" s="67">
        <v>0</v>
      </c>
      <c r="AT58" s="67">
        <v>0</v>
      </c>
      <c r="AU58" s="67">
        <v>2</v>
      </c>
      <c r="AV58" s="67">
        <v>0</v>
      </c>
      <c r="AW58" s="67">
        <v>1</v>
      </c>
      <c r="AX58" s="67">
        <v>1</v>
      </c>
    </row>
    <row r="59" spans="1:50" ht="15.75" customHeight="1">
      <c r="A59" s="345" t="s">
        <v>18</v>
      </c>
      <c r="B59" s="65" t="s">
        <v>224</v>
      </c>
      <c r="C59" s="68">
        <v>0</v>
      </c>
      <c r="D59" s="68">
        <v>0</v>
      </c>
      <c r="E59" s="68">
        <v>0</v>
      </c>
      <c r="F59" s="68">
        <v>0</v>
      </c>
      <c r="G59" s="68">
        <v>0</v>
      </c>
      <c r="H59" s="68">
        <v>0</v>
      </c>
      <c r="I59" s="68">
        <v>0</v>
      </c>
      <c r="J59" s="68">
        <v>0</v>
      </c>
      <c r="K59" s="68">
        <v>0</v>
      </c>
      <c r="L59" s="68">
        <v>0</v>
      </c>
      <c r="M59" s="68">
        <v>0</v>
      </c>
      <c r="N59" s="68">
        <v>0</v>
      </c>
      <c r="O59" s="68">
        <v>0</v>
      </c>
      <c r="P59" s="68">
        <v>0</v>
      </c>
      <c r="Q59" s="68">
        <v>0</v>
      </c>
      <c r="R59" s="68">
        <v>0</v>
      </c>
      <c r="S59" s="68">
        <v>0</v>
      </c>
      <c r="T59" s="68">
        <v>0</v>
      </c>
      <c r="U59" s="68">
        <v>0</v>
      </c>
      <c r="V59" s="68">
        <v>0</v>
      </c>
      <c r="W59" s="68">
        <v>0</v>
      </c>
      <c r="X59" s="68">
        <v>0</v>
      </c>
      <c r="Y59" s="68">
        <v>0</v>
      </c>
      <c r="Z59" s="68">
        <v>0</v>
      </c>
      <c r="AA59" s="68">
        <v>1</v>
      </c>
      <c r="AB59" s="68">
        <v>0</v>
      </c>
      <c r="AC59" s="68">
        <v>0</v>
      </c>
      <c r="AD59" s="68">
        <v>1</v>
      </c>
      <c r="AE59" s="68">
        <v>0</v>
      </c>
      <c r="AF59" s="68">
        <v>0</v>
      </c>
      <c r="AG59" s="68">
        <v>0</v>
      </c>
      <c r="AH59" s="68">
        <v>0</v>
      </c>
      <c r="AI59" s="68">
        <v>0</v>
      </c>
      <c r="AJ59" s="68">
        <v>0</v>
      </c>
      <c r="AK59" s="68">
        <v>0</v>
      </c>
      <c r="AL59" s="68">
        <v>0</v>
      </c>
      <c r="AM59" s="68">
        <v>0</v>
      </c>
      <c r="AN59" s="68">
        <v>0</v>
      </c>
      <c r="AO59" s="68">
        <v>0</v>
      </c>
      <c r="AP59" s="68">
        <v>0</v>
      </c>
      <c r="AQ59" s="68">
        <v>0</v>
      </c>
      <c r="AR59" s="68">
        <v>0</v>
      </c>
      <c r="AS59" s="68">
        <v>0</v>
      </c>
      <c r="AT59" s="68">
        <v>0</v>
      </c>
      <c r="AU59" s="68">
        <v>1</v>
      </c>
      <c r="AV59" s="68">
        <v>0</v>
      </c>
      <c r="AW59" s="68">
        <v>0</v>
      </c>
      <c r="AX59" s="68">
        <v>1</v>
      </c>
    </row>
    <row r="60" spans="1:50" ht="15.75" customHeight="1">
      <c r="A60" s="346"/>
      <c r="B60" s="65" t="s">
        <v>225</v>
      </c>
      <c r="C60" s="68">
        <v>1</v>
      </c>
      <c r="D60" s="68">
        <v>0</v>
      </c>
      <c r="E60" s="68">
        <v>1</v>
      </c>
      <c r="F60" s="68">
        <v>0</v>
      </c>
      <c r="G60" s="68">
        <v>0</v>
      </c>
      <c r="H60" s="68">
        <v>0</v>
      </c>
      <c r="I60" s="68">
        <v>0</v>
      </c>
      <c r="J60" s="68">
        <v>0</v>
      </c>
      <c r="K60" s="68">
        <v>0</v>
      </c>
      <c r="L60" s="68">
        <v>0</v>
      </c>
      <c r="M60" s="68">
        <v>0</v>
      </c>
      <c r="N60" s="68">
        <v>0</v>
      </c>
      <c r="O60" s="68">
        <v>0</v>
      </c>
      <c r="P60" s="68">
        <v>0</v>
      </c>
      <c r="Q60" s="68">
        <v>0</v>
      </c>
      <c r="R60" s="68">
        <v>0</v>
      </c>
      <c r="S60" s="68">
        <v>0</v>
      </c>
      <c r="T60" s="68">
        <v>0</v>
      </c>
      <c r="U60" s="68">
        <v>0</v>
      </c>
      <c r="V60" s="68">
        <v>0</v>
      </c>
      <c r="W60" s="68">
        <v>1</v>
      </c>
      <c r="X60" s="68">
        <v>0</v>
      </c>
      <c r="Y60" s="68">
        <v>1</v>
      </c>
      <c r="Z60" s="68">
        <v>0</v>
      </c>
      <c r="AA60" s="68">
        <v>1</v>
      </c>
      <c r="AB60" s="68">
        <v>0</v>
      </c>
      <c r="AC60" s="68">
        <v>1</v>
      </c>
      <c r="AD60" s="68">
        <v>0</v>
      </c>
      <c r="AE60" s="68">
        <v>0</v>
      </c>
      <c r="AF60" s="68">
        <v>0</v>
      </c>
      <c r="AG60" s="68">
        <v>0</v>
      </c>
      <c r="AH60" s="68">
        <v>0</v>
      </c>
      <c r="AI60" s="68">
        <v>0</v>
      </c>
      <c r="AJ60" s="68">
        <v>0</v>
      </c>
      <c r="AK60" s="68">
        <v>0</v>
      </c>
      <c r="AL60" s="68">
        <v>0</v>
      </c>
      <c r="AM60" s="68">
        <v>0</v>
      </c>
      <c r="AN60" s="68">
        <v>0</v>
      </c>
      <c r="AO60" s="68">
        <v>0</v>
      </c>
      <c r="AP60" s="68">
        <v>0</v>
      </c>
      <c r="AQ60" s="68">
        <v>0</v>
      </c>
      <c r="AR60" s="68">
        <v>0</v>
      </c>
      <c r="AS60" s="68">
        <v>0</v>
      </c>
      <c r="AT60" s="68">
        <v>0</v>
      </c>
      <c r="AU60" s="68">
        <v>1</v>
      </c>
      <c r="AV60" s="68">
        <v>0</v>
      </c>
      <c r="AW60" s="68">
        <v>1</v>
      </c>
      <c r="AX60" s="68">
        <v>0</v>
      </c>
    </row>
    <row r="61" spans="1:50" ht="15.75" customHeight="1">
      <c r="A61" s="63" t="s">
        <v>218</v>
      </c>
      <c r="B61" s="64" t="s">
        <v>223</v>
      </c>
      <c r="C61" s="67">
        <v>1</v>
      </c>
      <c r="D61" s="67">
        <v>0</v>
      </c>
      <c r="E61" s="67">
        <v>0</v>
      </c>
      <c r="F61" s="67">
        <v>1</v>
      </c>
      <c r="G61" s="67">
        <v>1</v>
      </c>
      <c r="H61" s="67">
        <v>0</v>
      </c>
      <c r="I61" s="67">
        <v>0</v>
      </c>
      <c r="J61" s="67">
        <v>1</v>
      </c>
      <c r="K61" s="67">
        <v>0</v>
      </c>
      <c r="L61" s="67">
        <v>0</v>
      </c>
      <c r="M61" s="67">
        <v>0</v>
      </c>
      <c r="N61" s="67">
        <v>0</v>
      </c>
      <c r="O61" s="67">
        <v>0</v>
      </c>
      <c r="P61" s="67">
        <v>0</v>
      </c>
      <c r="Q61" s="67">
        <v>0</v>
      </c>
      <c r="R61" s="67">
        <v>0</v>
      </c>
      <c r="S61" s="67">
        <v>0</v>
      </c>
      <c r="T61" s="67">
        <v>0</v>
      </c>
      <c r="U61" s="67">
        <v>0</v>
      </c>
      <c r="V61" s="67">
        <v>0</v>
      </c>
      <c r="W61" s="67">
        <v>0</v>
      </c>
      <c r="X61" s="67">
        <v>0</v>
      </c>
      <c r="Y61" s="67">
        <v>0</v>
      </c>
      <c r="Z61" s="67">
        <v>0</v>
      </c>
      <c r="AA61" s="67">
        <v>1</v>
      </c>
      <c r="AB61" s="67">
        <v>0</v>
      </c>
      <c r="AC61" s="67">
        <v>0</v>
      </c>
      <c r="AD61" s="67">
        <v>1</v>
      </c>
      <c r="AE61" s="67">
        <v>1</v>
      </c>
      <c r="AF61" s="67">
        <v>0</v>
      </c>
      <c r="AG61" s="67">
        <v>0</v>
      </c>
      <c r="AH61" s="67">
        <v>1</v>
      </c>
      <c r="AI61" s="67">
        <v>0</v>
      </c>
      <c r="AJ61" s="67">
        <v>0</v>
      </c>
      <c r="AK61" s="67">
        <v>0</v>
      </c>
      <c r="AL61" s="67">
        <v>0</v>
      </c>
      <c r="AM61" s="67">
        <v>0</v>
      </c>
      <c r="AN61" s="67">
        <v>0</v>
      </c>
      <c r="AO61" s="67">
        <v>0</v>
      </c>
      <c r="AP61" s="67">
        <v>0</v>
      </c>
      <c r="AQ61" s="67">
        <v>0</v>
      </c>
      <c r="AR61" s="67">
        <v>0</v>
      </c>
      <c r="AS61" s="67">
        <v>0</v>
      </c>
      <c r="AT61" s="67">
        <v>0</v>
      </c>
      <c r="AU61" s="67">
        <v>0</v>
      </c>
      <c r="AV61" s="67">
        <v>0</v>
      </c>
      <c r="AW61" s="67">
        <v>0</v>
      </c>
      <c r="AX61" s="67">
        <v>0</v>
      </c>
    </row>
    <row r="62" spans="1:50" ht="15.75" customHeight="1">
      <c r="A62" s="345" t="s">
        <v>19</v>
      </c>
      <c r="B62" s="65" t="s">
        <v>224</v>
      </c>
      <c r="C62" s="68">
        <v>1</v>
      </c>
      <c r="D62" s="68">
        <v>0</v>
      </c>
      <c r="E62" s="68">
        <v>0</v>
      </c>
      <c r="F62" s="68">
        <v>1</v>
      </c>
      <c r="G62" s="68">
        <v>1</v>
      </c>
      <c r="H62" s="68">
        <v>0</v>
      </c>
      <c r="I62" s="68">
        <v>0</v>
      </c>
      <c r="J62" s="68">
        <v>1</v>
      </c>
      <c r="K62" s="68">
        <v>0</v>
      </c>
      <c r="L62" s="68">
        <v>0</v>
      </c>
      <c r="M62" s="68">
        <v>0</v>
      </c>
      <c r="N62" s="68">
        <v>0</v>
      </c>
      <c r="O62" s="68">
        <v>0</v>
      </c>
      <c r="P62" s="68">
        <v>0</v>
      </c>
      <c r="Q62" s="68">
        <v>0</v>
      </c>
      <c r="R62" s="68">
        <v>0</v>
      </c>
      <c r="S62" s="68">
        <v>0</v>
      </c>
      <c r="T62" s="68">
        <v>0</v>
      </c>
      <c r="U62" s="68">
        <v>0</v>
      </c>
      <c r="V62" s="68">
        <v>0</v>
      </c>
      <c r="W62" s="68">
        <v>0</v>
      </c>
      <c r="X62" s="68">
        <v>0</v>
      </c>
      <c r="Y62" s="68">
        <v>0</v>
      </c>
      <c r="Z62" s="68">
        <v>0</v>
      </c>
      <c r="AA62" s="68">
        <v>1</v>
      </c>
      <c r="AB62" s="68">
        <v>0</v>
      </c>
      <c r="AC62" s="68">
        <v>0</v>
      </c>
      <c r="AD62" s="68">
        <v>1</v>
      </c>
      <c r="AE62" s="68">
        <v>1</v>
      </c>
      <c r="AF62" s="68">
        <v>0</v>
      </c>
      <c r="AG62" s="68">
        <v>0</v>
      </c>
      <c r="AH62" s="68">
        <v>1</v>
      </c>
      <c r="AI62" s="68">
        <v>0</v>
      </c>
      <c r="AJ62" s="68">
        <v>0</v>
      </c>
      <c r="AK62" s="68">
        <v>0</v>
      </c>
      <c r="AL62" s="68">
        <v>0</v>
      </c>
      <c r="AM62" s="68">
        <v>0</v>
      </c>
      <c r="AN62" s="68">
        <v>0</v>
      </c>
      <c r="AO62" s="68">
        <v>0</v>
      </c>
      <c r="AP62" s="68">
        <v>0</v>
      </c>
      <c r="AQ62" s="68">
        <v>0</v>
      </c>
      <c r="AR62" s="68">
        <v>0</v>
      </c>
      <c r="AS62" s="68">
        <v>0</v>
      </c>
      <c r="AT62" s="68">
        <v>0</v>
      </c>
      <c r="AU62" s="68">
        <v>0</v>
      </c>
      <c r="AV62" s="68">
        <v>0</v>
      </c>
      <c r="AW62" s="68">
        <v>0</v>
      </c>
      <c r="AX62" s="68">
        <v>0</v>
      </c>
    </row>
    <row r="63" spans="1:50" ht="15.75" customHeight="1">
      <c r="A63" s="346"/>
      <c r="B63" s="65" t="s">
        <v>225</v>
      </c>
      <c r="C63" s="68">
        <v>0</v>
      </c>
      <c r="D63" s="68">
        <v>0</v>
      </c>
      <c r="E63" s="68">
        <v>0</v>
      </c>
      <c r="F63" s="68">
        <v>0</v>
      </c>
      <c r="G63" s="68">
        <v>0</v>
      </c>
      <c r="H63" s="68">
        <v>0</v>
      </c>
      <c r="I63" s="68">
        <v>0</v>
      </c>
      <c r="J63" s="68">
        <v>0</v>
      </c>
      <c r="K63" s="68">
        <v>0</v>
      </c>
      <c r="L63" s="68">
        <v>0</v>
      </c>
      <c r="M63" s="68">
        <v>0</v>
      </c>
      <c r="N63" s="68">
        <v>0</v>
      </c>
      <c r="O63" s="68">
        <v>0</v>
      </c>
      <c r="P63" s="68">
        <v>0</v>
      </c>
      <c r="Q63" s="68">
        <v>0</v>
      </c>
      <c r="R63" s="68">
        <v>0</v>
      </c>
      <c r="S63" s="68">
        <v>0</v>
      </c>
      <c r="T63" s="68">
        <v>0</v>
      </c>
      <c r="U63" s="68">
        <v>0</v>
      </c>
      <c r="V63" s="68">
        <v>0</v>
      </c>
      <c r="W63" s="68">
        <v>0</v>
      </c>
      <c r="X63" s="68">
        <v>0</v>
      </c>
      <c r="Y63" s="68">
        <v>0</v>
      </c>
      <c r="Z63" s="68">
        <v>0</v>
      </c>
      <c r="AA63" s="68">
        <v>0</v>
      </c>
      <c r="AB63" s="68">
        <v>0</v>
      </c>
      <c r="AC63" s="68">
        <v>0</v>
      </c>
      <c r="AD63" s="68">
        <v>0</v>
      </c>
      <c r="AE63" s="68">
        <v>0</v>
      </c>
      <c r="AF63" s="68">
        <v>0</v>
      </c>
      <c r="AG63" s="68">
        <v>0</v>
      </c>
      <c r="AH63" s="68">
        <v>0</v>
      </c>
      <c r="AI63" s="68">
        <v>0</v>
      </c>
      <c r="AJ63" s="68">
        <v>0</v>
      </c>
      <c r="AK63" s="68">
        <v>0</v>
      </c>
      <c r="AL63" s="68">
        <v>0</v>
      </c>
      <c r="AM63" s="68">
        <v>0</v>
      </c>
      <c r="AN63" s="68">
        <v>0</v>
      </c>
      <c r="AO63" s="68">
        <v>0</v>
      </c>
      <c r="AP63" s="68">
        <v>0</v>
      </c>
      <c r="AQ63" s="68">
        <v>0</v>
      </c>
      <c r="AR63" s="68">
        <v>0</v>
      </c>
      <c r="AS63" s="68">
        <v>0</v>
      </c>
      <c r="AT63" s="68">
        <v>0</v>
      </c>
      <c r="AU63" s="68">
        <v>0</v>
      </c>
      <c r="AV63" s="68">
        <v>0</v>
      </c>
      <c r="AW63" s="68">
        <v>0</v>
      </c>
      <c r="AX63" s="68">
        <v>0</v>
      </c>
    </row>
    <row r="64" spans="1:50" ht="15.75" customHeight="1">
      <c r="A64" s="63" t="s">
        <v>219</v>
      </c>
      <c r="B64" s="64" t="s">
        <v>223</v>
      </c>
      <c r="C64" s="67">
        <v>5</v>
      </c>
      <c r="D64" s="67">
        <v>0</v>
      </c>
      <c r="E64" s="67">
        <v>1</v>
      </c>
      <c r="F64" s="67">
        <v>4</v>
      </c>
      <c r="G64" s="67">
        <v>0</v>
      </c>
      <c r="H64" s="67">
        <v>0</v>
      </c>
      <c r="I64" s="67">
        <v>0</v>
      </c>
      <c r="J64" s="67">
        <v>0</v>
      </c>
      <c r="K64" s="67">
        <v>1</v>
      </c>
      <c r="L64" s="67">
        <v>0</v>
      </c>
      <c r="M64" s="67">
        <v>1</v>
      </c>
      <c r="N64" s="67">
        <v>0</v>
      </c>
      <c r="O64" s="67">
        <v>0</v>
      </c>
      <c r="P64" s="67">
        <v>0</v>
      </c>
      <c r="Q64" s="67">
        <v>0</v>
      </c>
      <c r="R64" s="67">
        <v>0</v>
      </c>
      <c r="S64" s="67">
        <v>0</v>
      </c>
      <c r="T64" s="67">
        <v>0</v>
      </c>
      <c r="U64" s="67">
        <v>0</v>
      </c>
      <c r="V64" s="67">
        <v>0</v>
      </c>
      <c r="W64" s="67">
        <v>4</v>
      </c>
      <c r="X64" s="67">
        <v>0</v>
      </c>
      <c r="Y64" s="67">
        <v>0</v>
      </c>
      <c r="Z64" s="67">
        <v>4</v>
      </c>
      <c r="AA64" s="67">
        <v>13</v>
      </c>
      <c r="AB64" s="67">
        <v>0</v>
      </c>
      <c r="AC64" s="67">
        <v>2</v>
      </c>
      <c r="AD64" s="67">
        <v>11</v>
      </c>
      <c r="AE64" s="67">
        <v>3</v>
      </c>
      <c r="AF64" s="67">
        <v>0</v>
      </c>
      <c r="AG64" s="67">
        <v>0</v>
      </c>
      <c r="AH64" s="67">
        <v>3</v>
      </c>
      <c r="AI64" s="67">
        <v>4</v>
      </c>
      <c r="AJ64" s="67">
        <v>0</v>
      </c>
      <c r="AK64" s="67">
        <v>2</v>
      </c>
      <c r="AL64" s="67">
        <v>2</v>
      </c>
      <c r="AM64" s="67">
        <v>0</v>
      </c>
      <c r="AN64" s="67">
        <v>0</v>
      </c>
      <c r="AO64" s="67">
        <v>0</v>
      </c>
      <c r="AP64" s="67">
        <v>0</v>
      </c>
      <c r="AQ64" s="67">
        <v>0</v>
      </c>
      <c r="AR64" s="67">
        <v>0</v>
      </c>
      <c r="AS64" s="67">
        <v>0</v>
      </c>
      <c r="AT64" s="67">
        <v>0</v>
      </c>
      <c r="AU64" s="67">
        <v>6</v>
      </c>
      <c r="AV64" s="67">
        <v>0</v>
      </c>
      <c r="AW64" s="67">
        <v>0</v>
      </c>
      <c r="AX64" s="67">
        <v>6</v>
      </c>
    </row>
    <row r="65" spans="1:50" ht="15.75" customHeight="1">
      <c r="A65" s="345" t="s">
        <v>20</v>
      </c>
      <c r="B65" s="65" t="s">
        <v>224</v>
      </c>
      <c r="C65" s="68">
        <v>1</v>
      </c>
      <c r="D65" s="68">
        <v>0</v>
      </c>
      <c r="E65" s="68">
        <v>1</v>
      </c>
      <c r="F65" s="68">
        <v>0</v>
      </c>
      <c r="G65" s="68">
        <v>0</v>
      </c>
      <c r="H65" s="68">
        <v>0</v>
      </c>
      <c r="I65" s="68">
        <v>0</v>
      </c>
      <c r="J65" s="68">
        <v>0</v>
      </c>
      <c r="K65" s="68">
        <v>1</v>
      </c>
      <c r="L65" s="68">
        <v>0</v>
      </c>
      <c r="M65" s="68">
        <v>1</v>
      </c>
      <c r="N65" s="68">
        <v>0</v>
      </c>
      <c r="O65" s="68">
        <v>0</v>
      </c>
      <c r="P65" s="68">
        <v>0</v>
      </c>
      <c r="Q65" s="68">
        <v>0</v>
      </c>
      <c r="R65" s="68">
        <v>0</v>
      </c>
      <c r="S65" s="68">
        <v>0</v>
      </c>
      <c r="T65" s="68">
        <v>0</v>
      </c>
      <c r="U65" s="68">
        <v>0</v>
      </c>
      <c r="V65" s="68">
        <v>0</v>
      </c>
      <c r="W65" s="68">
        <v>0</v>
      </c>
      <c r="X65" s="68">
        <v>0</v>
      </c>
      <c r="Y65" s="68">
        <v>0</v>
      </c>
      <c r="Z65" s="68">
        <v>0</v>
      </c>
      <c r="AA65" s="68">
        <v>6</v>
      </c>
      <c r="AB65" s="68">
        <v>0</v>
      </c>
      <c r="AC65" s="68">
        <v>2</v>
      </c>
      <c r="AD65" s="68">
        <v>4</v>
      </c>
      <c r="AE65" s="68">
        <v>2</v>
      </c>
      <c r="AF65" s="68">
        <v>0</v>
      </c>
      <c r="AG65" s="68">
        <v>0</v>
      </c>
      <c r="AH65" s="68">
        <v>2</v>
      </c>
      <c r="AI65" s="68">
        <v>3</v>
      </c>
      <c r="AJ65" s="68">
        <v>0</v>
      </c>
      <c r="AK65" s="68">
        <v>2</v>
      </c>
      <c r="AL65" s="68">
        <v>1</v>
      </c>
      <c r="AM65" s="68">
        <v>0</v>
      </c>
      <c r="AN65" s="68">
        <v>0</v>
      </c>
      <c r="AO65" s="68">
        <v>0</v>
      </c>
      <c r="AP65" s="68">
        <v>0</v>
      </c>
      <c r="AQ65" s="68">
        <v>0</v>
      </c>
      <c r="AR65" s="68">
        <v>0</v>
      </c>
      <c r="AS65" s="68">
        <v>0</v>
      </c>
      <c r="AT65" s="68">
        <v>0</v>
      </c>
      <c r="AU65" s="68">
        <v>1</v>
      </c>
      <c r="AV65" s="68">
        <v>0</v>
      </c>
      <c r="AW65" s="68">
        <v>0</v>
      </c>
      <c r="AX65" s="68">
        <v>1</v>
      </c>
    </row>
    <row r="66" spans="1:50" ht="15.75" customHeight="1">
      <c r="A66" s="346"/>
      <c r="B66" s="65" t="s">
        <v>225</v>
      </c>
      <c r="C66" s="68">
        <v>4</v>
      </c>
      <c r="D66" s="68">
        <v>0</v>
      </c>
      <c r="E66" s="68">
        <v>0</v>
      </c>
      <c r="F66" s="68">
        <v>4</v>
      </c>
      <c r="G66" s="68">
        <v>0</v>
      </c>
      <c r="H66" s="68">
        <v>0</v>
      </c>
      <c r="I66" s="68">
        <v>0</v>
      </c>
      <c r="J66" s="68">
        <v>0</v>
      </c>
      <c r="K66" s="68">
        <v>0</v>
      </c>
      <c r="L66" s="68">
        <v>0</v>
      </c>
      <c r="M66" s="68">
        <v>0</v>
      </c>
      <c r="N66" s="68">
        <v>0</v>
      </c>
      <c r="O66" s="68">
        <v>0</v>
      </c>
      <c r="P66" s="68">
        <v>0</v>
      </c>
      <c r="Q66" s="68">
        <v>0</v>
      </c>
      <c r="R66" s="68">
        <v>0</v>
      </c>
      <c r="S66" s="68">
        <v>0</v>
      </c>
      <c r="T66" s="68">
        <v>0</v>
      </c>
      <c r="U66" s="68">
        <v>0</v>
      </c>
      <c r="V66" s="68">
        <v>0</v>
      </c>
      <c r="W66" s="68">
        <v>4</v>
      </c>
      <c r="X66" s="68">
        <v>0</v>
      </c>
      <c r="Y66" s="68">
        <v>0</v>
      </c>
      <c r="Z66" s="68">
        <v>4</v>
      </c>
      <c r="AA66" s="68">
        <v>7</v>
      </c>
      <c r="AB66" s="68">
        <v>0</v>
      </c>
      <c r="AC66" s="68">
        <v>0</v>
      </c>
      <c r="AD66" s="68">
        <v>7</v>
      </c>
      <c r="AE66" s="68">
        <v>1</v>
      </c>
      <c r="AF66" s="68">
        <v>0</v>
      </c>
      <c r="AG66" s="68">
        <v>0</v>
      </c>
      <c r="AH66" s="68">
        <v>1</v>
      </c>
      <c r="AI66" s="68">
        <v>1</v>
      </c>
      <c r="AJ66" s="68">
        <v>0</v>
      </c>
      <c r="AK66" s="68">
        <v>0</v>
      </c>
      <c r="AL66" s="68">
        <v>1</v>
      </c>
      <c r="AM66" s="68">
        <v>0</v>
      </c>
      <c r="AN66" s="68">
        <v>0</v>
      </c>
      <c r="AO66" s="68">
        <v>0</v>
      </c>
      <c r="AP66" s="68">
        <v>0</v>
      </c>
      <c r="AQ66" s="68">
        <v>0</v>
      </c>
      <c r="AR66" s="68">
        <v>0</v>
      </c>
      <c r="AS66" s="68">
        <v>0</v>
      </c>
      <c r="AT66" s="68">
        <v>0</v>
      </c>
      <c r="AU66" s="68">
        <v>5</v>
      </c>
      <c r="AV66" s="68">
        <v>0</v>
      </c>
      <c r="AW66" s="68">
        <v>0</v>
      </c>
      <c r="AX66" s="68">
        <v>5</v>
      </c>
    </row>
    <row r="67" spans="1:50" ht="15.75" customHeight="1">
      <c r="A67" s="63" t="s">
        <v>220</v>
      </c>
      <c r="B67" s="64" t="s">
        <v>223</v>
      </c>
      <c r="C67" s="67">
        <v>3</v>
      </c>
      <c r="D67" s="67">
        <v>0</v>
      </c>
      <c r="E67" s="67">
        <v>1</v>
      </c>
      <c r="F67" s="67">
        <v>2</v>
      </c>
      <c r="G67" s="67">
        <v>0</v>
      </c>
      <c r="H67" s="67">
        <v>0</v>
      </c>
      <c r="I67" s="67">
        <v>0</v>
      </c>
      <c r="J67" s="67">
        <v>0</v>
      </c>
      <c r="K67" s="67">
        <v>1</v>
      </c>
      <c r="L67" s="67">
        <v>0</v>
      </c>
      <c r="M67" s="67">
        <v>0</v>
      </c>
      <c r="N67" s="67">
        <v>1</v>
      </c>
      <c r="O67" s="67">
        <v>0</v>
      </c>
      <c r="P67" s="67">
        <v>0</v>
      </c>
      <c r="Q67" s="67">
        <v>0</v>
      </c>
      <c r="R67" s="67">
        <v>0</v>
      </c>
      <c r="S67" s="67">
        <v>0</v>
      </c>
      <c r="T67" s="67">
        <v>0</v>
      </c>
      <c r="U67" s="67">
        <v>0</v>
      </c>
      <c r="V67" s="67">
        <v>0</v>
      </c>
      <c r="W67" s="67">
        <v>2</v>
      </c>
      <c r="X67" s="67">
        <v>0</v>
      </c>
      <c r="Y67" s="67">
        <v>1</v>
      </c>
      <c r="Z67" s="67">
        <v>1</v>
      </c>
      <c r="AA67" s="67">
        <v>3</v>
      </c>
      <c r="AB67" s="67">
        <v>0</v>
      </c>
      <c r="AC67" s="67">
        <v>1</v>
      </c>
      <c r="AD67" s="67">
        <v>2</v>
      </c>
      <c r="AE67" s="67">
        <v>0</v>
      </c>
      <c r="AF67" s="67">
        <v>0</v>
      </c>
      <c r="AG67" s="67">
        <v>0</v>
      </c>
      <c r="AH67" s="67">
        <v>0</v>
      </c>
      <c r="AI67" s="67">
        <v>1</v>
      </c>
      <c r="AJ67" s="67">
        <v>0</v>
      </c>
      <c r="AK67" s="67">
        <v>0</v>
      </c>
      <c r="AL67" s="67">
        <v>1</v>
      </c>
      <c r="AM67" s="67">
        <v>0</v>
      </c>
      <c r="AN67" s="67">
        <v>0</v>
      </c>
      <c r="AO67" s="67">
        <v>0</v>
      </c>
      <c r="AP67" s="67">
        <v>0</v>
      </c>
      <c r="AQ67" s="67">
        <v>0</v>
      </c>
      <c r="AR67" s="67">
        <v>0</v>
      </c>
      <c r="AS67" s="67">
        <v>0</v>
      </c>
      <c r="AT67" s="67">
        <v>0</v>
      </c>
      <c r="AU67" s="67">
        <v>2</v>
      </c>
      <c r="AV67" s="67">
        <v>0</v>
      </c>
      <c r="AW67" s="67">
        <v>1</v>
      </c>
      <c r="AX67" s="67">
        <v>1</v>
      </c>
    </row>
    <row r="68" spans="1:50" ht="15.75" customHeight="1">
      <c r="A68" s="345" t="s">
        <v>21</v>
      </c>
      <c r="B68" s="65" t="s">
        <v>224</v>
      </c>
      <c r="C68" s="68">
        <v>2</v>
      </c>
      <c r="D68" s="68">
        <v>0</v>
      </c>
      <c r="E68" s="68">
        <v>1</v>
      </c>
      <c r="F68" s="68">
        <v>1</v>
      </c>
      <c r="G68" s="68">
        <v>0</v>
      </c>
      <c r="H68" s="68">
        <v>0</v>
      </c>
      <c r="I68" s="68">
        <v>0</v>
      </c>
      <c r="J68" s="68">
        <v>0</v>
      </c>
      <c r="K68" s="68">
        <v>1</v>
      </c>
      <c r="L68" s="68">
        <v>0</v>
      </c>
      <c r="M68" s="68">
        <v>0</v>
      </c>
      <c r="N68" s="68">
        <v>1</v>
      </c>
      <c r="O68" s="68">
        <v>0</v>
      </c>
      <c r="P68" s="68">
        <v>0</v>
      </c>
      <c r="Q68" s="68">
        <v>0</v>
      </c>
      <c r="R68" s="68">
        <v>0</v>
      </c>
      <c r="S68" s="68">
        <v>0</v>
      </c>
      <c r="T68" s="68">
        <v>0</v>
      </c>
      <c r="U68" s="68">
        <v>0</v>
      </c>
      <c r="V68" s="68">
        <v>0</v>
      </c>
      <c r="W68" s="68">
        <v>1</v>
      </c>
      <c r="X68" s="68">
        <v>0</v>
      </c>
      <c r="Y68" s="68">
        <v>1</v>
      </c>
      <c r="Z68" s="68">
        <v>0</v>
      </c>
      <c r="AA68" s="68">
        <v>2</v>
      </c>
      <c r="AB68" s="68">
        <v>0</v>
      </c>
      <c r="AC68" s="68">
        <v>1</v>
      </c>
      <c r="AD68" s="68">
        <v>1</v>
      </c>
      <c r="AE68" s="68">
        <v>0</v>
      </c>
      <c r="AF68" s="68">
        <v>0</v>
      </c>
      <c r="AG68" s="68">
        <v>0</v>
      </c>
      <c r="AH68" s="68">
        <v>0</v>
      </c>
      <c r="AI68" s="68">
        <v>1</v>
      </c>
      <c r="AJ68" s="68">
        <v>0</v>
      </c>
      <c r="AK68" s="68">
        <v>0</v>
      </c>
      <c r="AL68" s="68">
        <v>1</v>
      </c>
      <c r="AM68" s="68">
        <v>0</v>
      </c>
      <c r="AN68" s="68">
        <v>0</v>
      </c>
      <c r="AO68" s="68">
        <v>0</v>
      </c>
      <c r="AP68" s="68">
        <v>0</v>
      </c>
      <c r="AQ68" s="68">
        <v>0</v>
      </c>
      <c r="AR68" s="68">
        <v>0</v>
      </c>
      <c r="AS68" s="68">
        <v>0</v>
      </c>
      <c r="AT68" s="68">
        <v>0</v>
      </c>
      <c r="AU68" s="68">
        <v>1</v>
      </c>
      <c r="AV68" s="68">
        <v>0</v>
      </c>
      <c r="AW68" s="68">
        <v>1</v>
      </c>
      <c r="AX68" s="68">
        <v>0</v>
      </c>
    </row>
    <row r="69" spans="1:50" ht="15.75" customHeight="1">
      <c r="A69" s="346"/>
      <c r="B69" s="65" t="s">
        <v>225</v>
      </c>
      <c r="C69" s="68">
        <v>1</v>
      </c>
      <c r="D69" s="68">
        <v>0</v>
      </c>
      <c r="E69" s="68">
        <v>0</v>
      </c>
      <c r="F69" s="68">
        <v>1</v>
      </c>
      <c r="G69" s="68">
        <v>0</v>
      </c>
      <c r="H69" s="68">
        <v>0</v>
      </c>
      <c r="I69" s="68">
        <v>0</v>
      </c>
      <c r="J69" s="68">
        <v>0</v>
      </c>
      <c r="K69" s="68">
        <v>0</v>
      </c>
      <c r="L69" s="68">
        <v>0</v>
      </c>
      <c r="M69" s="68">
        <v>0</v>
      </c>
      <c r="N69" s="68">
        <v>0</v>
      </c>
      <c r="O69" s="68">
        <v>0</v>
      </c>
      <c r="P69" s="68">
        <v>0</v>
      </c>
      <c r="Q69" s="68">
        <v>0</v>
      </c>
      <c r="R69" s="68">
        <v>0</v>
      </c>
      <c r="S69" s="68">
        <v>0</v>
      </c>
      <c r="T69" s="68">
        <v>0</v>
      </c>
      <c r="U69" s="68">
        <v>0</v>
      </c>
      <c r="V69" s="68">
        <v>0</v>
      </c>
      <c r="W69" s="68">
        <v>1</v>
      </c>
      <c r="X69" s="68">
        <v>0</v>
      </c>
      <c r="Y69" s="68">
        <v>0</v>
      </c>
      <c r="Z69" s="68">
        <v>1</v>
      </c>
      <c r="AA69" s="68">
        <v>1</v>
      </c>
      <c r="AB69" s="68">
        <v>0</v>
      </c>
      <c r="AC69" s="68">
        <v>0</v>
      </c>
      <c r="AD69" s="68">
        <v>1</v>
      </c>
      <c r="AE69" s="68">
        <v>0</v>
      </c>
      <c r="AF69" s="68">
        <v>0</v>
      </c>
      <c r="AG69" s="68">
        <v>0</v>
      </c>
      <c r="AH69" s="68">
        <v>0</v>
      </c>
      <c r="AI69" s="68">
        <v>0</v>
      </c>
      <c r="AJ69" s="68">
        <v>0</v>
      </c>
      <c r="AK69" s="68">
        <v>0</v>
      </c>
      <c r="AL69" s="68">
        <v>0</v>
      </c>
      <c r="AM69" s="68">
        <v>0</v>
      </c>
      <c r="AN69" s="68">
        <v>0</v>
      </c>
      <c r="AO69" s="68">
        <v>0</v>
      </c>
      <c r="AP69" s="68">
        <v>0</v>
      </c>
      <c r="AQ69" s="68">
        <v>0</v>
      </c>
      <c r="AR69" s="68">
        <v>0</v>
      </c>
      <c r="AS69" s="68">
        <v>0</v>
      </c>
      <c r="AT69" s="68">
        <v>0</v>
      </c>
      <c r="AU69" s="68">
        <v>1</v>
      </c>
      <c r="AV69" s="68">
        <v>0</v>
      </c>
      <c r="AW69" s="68">
        <v>0</v>
      </c>
      <c r="AX69" s="68">
        <v>1</v>
      </c>
    </row>
    <row r="70" spans="1:50" ht="15.75" customHeight="1">
      <c r="A70" s="63" t="s">
        <v>221</v>
      </c>
      <c r="B70" s="64" t="s">
        <v>223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v>0</v>
      </c>
      <c r="M70" s="67">
        <v>0</v>
      </c>
      <c r="N70" s="67">
        <v>0</v>
      </c>
      <c r="O70" s="67">
        <v>0</v>
      </c>
      <c r="P70" s="67">
        <v>0</v>
      </c>
      <c r="Q70" s="67">
        <v>0</v>
      </c>
      <c r="R70" s="67">
        <v>0</v>
      </c>
      <c r="S70" s="67">
        <v>0</v>
      </c>
      <c r="T70" s="67">
        <v>0</v>
      </c>
      <c r="U70" s="67">
        <v>0</v>
      </c>
      <c r="V70" s="67">
        <v>0</v>
      </c>
      <c r="W70" s="67">
        <v>0</v>
      </c>
      <c r="X70" s="67">
        <v>0</v>
      </c>
      <c r="Y70" s="67">
        <v>0</v>
      </c>
      <c r="Z70" s="67">
        <v>0</v>
      </c>
      <c r="AA70" s="67">
        <v>0</v>
      </c>
      <c r="AB70" s="67">
        <v>0</v>
      </c>
      <c r="AC70" s="67">
        <v>0</v>
      </c>
      <c r="AD70" s="67">
        <v>0</v>
      </c>
      <c r="AE70" s="67">
        <v>0</v>
      </c>
      <c r="AF70" s="67">
        <v>0</v>
      </c>
      <c r="AG70" s="67">
        <v>0</v>
      </c>
      <c r="AH70" s="67">
        <v>0</v>
      </c>
      <c r="AI70" s="67">
        <v>0</v>
      </c>
      <c r="AJ70" s="67">
        <v>0</v>
      </c>
      <c r="AK70" s="67">
        <v>0</v>
      </c>
      <c r="AL70" s="67">
        <v>0</v>
      </c>
      <c r="AM70" s="67">
        <v>0</v>
      </c>
      <c r="AN70" s="67">
        <v>0</v>
      </c>
      <c r="AO70" s="67">
        <v>0</v>
      </c>
      <c r="AP70" s="67">
        <v>0</v>
      </c>
      <c r="AQ70" s="67">
        <v>0</v>
      </c>
      <c r="AR70" s="67">
        <v>0</v>
      </c>
      <c r="AS70" s="67">
        <v>0</v>
      </c>
      <c r="AT70" s="67">
        <v>0</v>
      </c>
      <c r="AU70" s="67">
        <v>0</v>
      </c>
      <c r="AV70" s="67">
        <v>0</v>
      </c>
      <c r="AW70" s="67">
        <v>0</v>
      </c>
      <c r="AX70" s="67">
        <v>0</v>
      </c>
    </row>
    <row r="71" spans="1:50" ht="15.75" customHeight="1">
      <c r="A71" s="345" t="s">
        <v>22</v>
      </c>
      <c r="B71" s="65" t="s">
        <v>224</v>
      </c>
      <c r="C71" s="68">
        <v>0</v>
      </c>
      <c r="D71" s="68">
        <v>0</v>
      </c>
      <c r="E71" s="68">
        <v>0</v>
      </c>
      <c r="F71" s="68">
        <v>0</v>
      </c>
      <c r="G71" s="68">
        <v>0</v>
      </c>
      <c r="H71" s="68">
        <v>0</v>
      </c>
      <c r="I71" s="68">
        <v>0</v>
      </c>
      <c r="J71" s="68">
        <v>0</v>
      </c>
      <c r="K71" s="68">
        <v>0</v>
      </c>
      <c r="L71" s="68">
        <v>0</v>
      </c>
      <c r="M71" s="68">
        <v>0</v>
      </c>
      <c r="N71" s="68">
        <v>0</v>
      </c>
      <c r="O71" s="68">
        <v>0</v>
      </c>
      <c r="P71" s="68">
        <v>0</v>
      </c>
      <c r="Q71" s="68">
        <v>0</v>
      </c>
      <c r="R71" s="68">
        <v>0</v>
      </c>
      <c r="S71" s="68">
        <v>0</v>
      </c>
      <c r="T71" s="68">
        <v>0</v>
      </c>
      <c r="U71" s="68">
        <v>0</v>
      </c>
      <c r="V71" s="68">
        <v>0</v>
      </c>
      <c r="W71" s="68">
        <v>0</v>
      </c>
      <c r="X71" s="68">
        <v>0</v>
      </c>
      <c r="Y71" s="68">
        <v>0</v>
      </c>
      <c r="Z71" s="68">
        <v>0</v>
      </c>
      <c r="AA71" s="68">
        <v>0</v>
      </c>
      <c r="AB71" s="68">
        <v>0</v>
      </c>
      <c r="AC71" s="68">
        <v>0</v>
      </c>
      <c r="AD71" s="68">
        <v>0</v>
      </c>
      <c r="AE71" s="68">
        <v>0</v>
      </c>
      <c r="AF71" s="68">
        <v>0</v>
      </c>
      <c r="AG71" s="68">
        <v>0</v>
      </c>
      <c r="AH71" s="68">
        <v>0</v>
      </c>
      <c r="AI71" s="68">
        <v>0</v>
      </c>
      <c r="AJ71" s="68">
        <v>0</v>
      </c>
      <c r="AK71" s="68">
        <v>0</v>
      </c>
      <c r="AL71" s="68">
        <v>0</v>
      </c>
      <c r="AM71" s="68">
        <v>0</v>
      </c>
      <c r="AN71" s="68">
        <v>0</v>
      </c>
      <c r="AO71" s="68">
        <v>0</v>
      </c>
      <c r="AP71" s="68">
        <v>0</v>
      </c>
      <c r="AQ71" s="68">
        <v>0</v>
      </c>
      <c r="AR71" s="68">
        <v>0</v>
      </c>
      <c r="AS71" s="68">
        <v>0</v>
      </c>
      <c r="AT71" s="68">
        <v>0</v>
      </c>
      <c r="AU71" s="68">
        <v>0</v>
      </c>
      <c r="AV71" s="68">
        <v>0</v>
      </c>
      <c r="AW71" s="68">
        <v>0</v>
      </c>
      <c r="AX71" s="68">
        <v>0</v>
      </c>
    </row>
    <row r="72" spans="1:50" ht="15.75" customHeight="1">
      <c r="A72" s="346"/>
      <c r="B72" s="65" t="s">
        <v>225</v>
      </c>
      <c r="C72" s="68">
        <v>0</v>
      </c>
      <c r="D72" s="68">
        <v>0</v>
      </c>
      <c r="E72" s="68">
        <v>0</v>
      </c>
      <c r="F72" s="68">
        <v>0</v>
      </c>
      <c r="G72" s="68">
        <v>0</v>
      </c>
      <c r="H72" s="68">
        <v>0</v>
      </c>
      <c r="I72" s="68">
        <v>0</v>
      </c>
      <c r="J72" s="68">
        <v>0</v>
      </c>
      <c r="K72" s="68">
        <v>0</v>
      </c>
      <c r="L72" s="68">
        <v>0</v>
      </c>
      <c r="M72" s="68">
        <v>0</v>
      </c>
      <c r="N72" s="68">
        <v>0</v>
      </c>
      <c r="O72" s="68">
        <v>0</v>
      </c>
      <c r="P72" s="68">
        <v>0</v>
      </c>
      <c r="Q72" s="68">
        <v>0</v>
      </c>
      <c r="R72" s="68">
        <v>0</v>
      </c>
      <c r="S72" s="68">
        <v>0</v>
      </c>
      <c r="T72" s="68">
        <v>0</v>
      </c>
      <c r="U72" s="68">
        <v>0</v>
      </c>
      <c r="V72" s="68">
        <v>0</v>
      </c>
      <c r="W72" s="68">
        <v>0</v>
      </c>
      <c r="X72" s="68">
        <v>0</v>
      </c>
      <c r="Y72" s="68">
        <v>0</v>
      </c>
      <c r="Z72" s="68">
        <v>0</v>
      </c>
      <c r="AA72" s="68">
        <v>0</v>
      </c>
      <c r="AB72" s="68">
        <v>0</v>
      </c>
      <c r="AC72" s="68">
        <v>0</v>
      </c>
      <c r="AD72" s="68">
        <v>0</v>
      </c>
      <c r="AE72" s="68">
        <v>0</v>
      </c>
      <c r="AF72" s="68">
        <v>0</v>
      </c>
      <c r="AG72" s="68">
        <v>0</v>
      </c>
      <c r="AH72" s="68">
        <v>0</v>
      </c>
      <c r="AI72" s="68">
        <v>0</v>
      </c>
      <c r="AJ72" s="68">
        <v>0</v>
      </c>
      <c r="AK72" s="68">
        <v>0</v>
      </c>
      <c r="AL72" s="68">
        <v>0</v>
      </c>
      <c r="AM72" s="68">
        <v>0</v>
      </c>
      <c r="AN72" s="68">
        <v>0</v>
      </c>
      <c r="AO72" s="68">
        <v>0</v>
      </c>
      <c r="AP72" s="68">
        <v>0</v>
      </c>
      <c r="AQ72" s="68">
        <v>0</v>
      </c>
      <c r="AR72" s="68">
        <v>0</v>
      </c>
      <c r="AS72" s="68">
        <v>0</v>
      </c>
      <c r="AT72" s="68">
        <v>0</v>
      </c>
      <c r="AU72" s="68">
        <v>0</v>
      </c>
      <c r="AV72" s="68">
        <v>0</v>
      </c>
      <c r="AW72" s="68">
        <v>0</v>
      </c>
      <c r="AX72" s="68">
        <v>0</v>
      </c>
    </row>
    <row r="73" spans="1:50" ht="15.75" customHeight="1">
      <c r="A73" s="63" t="s">
        <v>222</v>
      </c>
      <c r="B73" s="64" t="s">
        <v>223</v>
      </c>
      <c r="C73" s="67">
        <v>0</v>
      </c>
      <c r="D73" s="67">
        <v>0</v>
      </c>
      <c r="E73" s="67">
        <v>0</v>
      </c>
      <c r="F73" s="67">
        <v>0</v>
      </c>
      <c r="G73" s="67">
        <v>0</v>
      </c>
      <c r="H73" s="67">
        <v>0</v>
      </c>
      <c r="I73" s="67">
        <v>0</v>
      </c>
      <c r="J73" s="67">
        <v>0</v>
      </c>
      <c r="K73" s="67">
        <v>0</v>
      </c>
      <c r="L73" s="67">
        <v>0</v>
      </c>
      <c r="M73" s="67">
        <v>0</v>
      </c>
      <c r="N73" s="67">
        <v>0</v>
      </c>
      <c r="O73" s="67">
        <v>0</v>
      </c>
      <c r="P73" s="67">
        <v>0</v>
      </c>
      <c r="Q73" s="67">
        <v>0</v>
      </c>
      <c r="R73" s="67">
        <v>0</v>
      </c>
      <c r="S73" s="67">
        <v>0</v>
      </c>
      <c r="T73" s="67">
        <v>0</v>
      </c>
      <c r="U73" s="67">
        <v>0</v>
      </c>
      <c r="V73" s="67">
        <v>0</v>
      </c>
      <c r="W73" s="67">
        <v>0</v>
      </c>
      <c r="X73" s="67">
        <v>0</v>
      </c>
      <c r="Y73" s="67">
        <v>0</v>
      </c>
      <c r="Z73" s="67">
        <v>0</v>
      </c>
      <c r="AA73" s="67">
        <v>0</v>
      </c>
      <c r="AB73" s="67">
        <v>0</v>
      </c>
      <c r="AC73" s="67">
        <v>0</v>
      </c>
      <c r="AD73" s="67">
        <v>0</v>
      </c>
      <c r="AE73" s="67">
        <v>0</v>
      </c>
      <c r="AF73" s="67">
        <v>0</v>
      </c>
      <c r="AG73" s="67">
        <v>0</v>
      </c>
      <c r="AH73" s="67">
        <v>0</v>
      </c>
      <c r="AI73" s="67">
        <v>0</v>
      </c>
      <c r="AJ73" s="67">
        <v>0</v>
      </c>
      <c r="AK73" s="67">
        <v>0</v>
      </c>
      <c r="AL73" s="67">
        <v>0</v>
      </c>
      <c r="AM73" s="67">
        <v>0</v>
      </c>
      <c r="AN73" s="67">
        <v>0</v>
      </c>
      <c r="AO73" s="67">
        <v>0</v>
      </c>
      <c r="AP73" s="67">
        <v>0</v>
      </c>
      <c r="AQ73" s="67">
        <v>0</v>
      </c>
      <c r="AR73" s="67">
        <v>0</v>
      </c>
      <c r="AS73" s="67">
        <v>0</v>
      </c>
      <c r="AT73" s="67">
        <v>0</v>
      </c>
      <c r="AU73" s="67">
        <v>0</v>
      </c>
      <c r="AV73" s="67">
        <v>0</v>
      </c>
      <c r="AW73" s="67">
        <v>0</v>
      </c>
      <c r="AX73" s="67">
        <v>0</v>
      </c>
    </row>
    <row r="74" spans="1:50" ht="15.75" customHeight="1">
      <c r="A74" s="345" t="s">
        <v>23</v>
      </c>
      <c r="B74" s="65" t="s">
        <v>224</v>
      </c>
      <c r="C74" s="68">
        <v>0</v>
      </c>
      <c r="D74" s="68">
        <v>0</v>
      </c>
      <c r="E74" s="68">
        <v>0</v>
      </c>
      <c r="F74" s="68">
        <v>0</v>
      </c>
      <c r="G74" s="68">
        <v>0</v>
      </c>
      <c r="H74" s="68">
        <v>0</v>
      </c>
      <c r="I74" s="68">
        <v>0</v>
      </c>
      <c r="J74" s="68">
        <v>0</v>
      </c>
      <c r="K74" s="68">
        <v>0</v>
      </c>
      <c r="L74" s="68">
        <v>0</v>
      </c>
      <c r="M74" s="68">
        <v>0</v>
      </c>
      <c r="N74" s="68">
        <v>0</v>
      </c>
      <c r="O74" s="68">
        <v>0</v>
      </c>
      <c r="P74" s="68">
        <v>0</v>
      </c>
      <c r="Q74" s="68">
        <v>0</v>
      </c>
      <c r="R74" s="68">
        <v>0</v>
      </c>
      <c r="S74" s="68">
        <v>0</v>
      </c>
      <c r="T74" s="68">
        <v>0</v>
      </c>
      <c r="U74" s="68">
        <v>0</v>
      </c>
      <c r="V74" s="68">
        <v>0</v>
      </c>
      <c r="W74" s="68">
        <v>0</v>
      </c>
      <c r="X74" s="68">
        <v>0</v>
      </c>
      <c r="Y74" s="68">
        <v>0</v>
      </c>
      <c r="Z74" s="68">
        <v>0</v>
      </c>
      <c r="AA74" s="68">
        <v>0</v>
      </c>
      <c r="AB74" s="68">
        <v>0</v>
      </c>
      <c r="AC74" s="68">
        <v>0</v>
      </c>
      <c r="AD74" s="68">
        <v>0</v>
      </c>
      <c r="AE74" s="68">
        <v>0</v>
      </c>
      <c r="AF74" s="68">
        <v>0</v>
      </c>
      <c r="AG74" s="68">
        <v>0</v>
      </c>
      <c r="AH74" s="68">
        <v>0</v>
      </c>
      <c r="AI74" s="68">
        <v>0</v>
      </c>
      <c r="AJ74" s="68">
        <v>0</v>
      </c>
      <c r="AK74" s="68">
        <v>0</v>
      </c>
      <c r="AL74" s="68">
        <v>0</v>
      </c>
      <c r="AM74" s="68">
        <v>0</v>
      </c>
      <c r="AN74" s="68">
        <v>0</v>
      </c>
      <c r="AO74" s="68">
        <v>0</v>
      </c>
      <c r="AP74" s="68">
        <v>0</v>
      </c>
      <c r="AQ74" s="68">
        <v>0</v>
      </c>
      <c r="AR74" s="68">
        <v>0</v>
      </c>
      <c r="AS74" s="68">
        <v>0</v>
      </c>
      <c r="AT74" s="68">
        <v>0</v>
      </c>
      <c r="AU74" s="68">
        <v>0</v>
      </c>
      <c r="AV74" s="68">
        <v>0</v>
      </c>
      <c r="AW74" s="68">
        <v>0</v>
      </c>
      <c r="AX74" s="68">
        <v>0</v>
      </c>
    </row>
    <row r="75" spans="1:50" ht="15.75" customHeight="1">
      <c r="A75" s="346"/>
      <c r="B75" s="66" t="s">
        <v>225</v>
      </c>
      <c r="C75" s="69">
        <v>0</v>
      </c>
      <c r="D75" s="69">
        <v>0</v>
      </c>
      <c r="E75" s="69">
        <v>0</v>
      </c>
      <c r="F75" s="69">
        <v>0</v>
      </c>
      <c r="G75" s="69">
        <v>0</v>
      </c>
      <c r="H75" s="69">
        <v>0</v>
      </c>
      <c r="I75" s="69">
        <v>0</v>
      </c>
      <c r="J75" s="69">
        <v>0</v>
      </c>
      <c r="K75" s="69">
        <v>0</v>
      </c>
      <c r="L75" s="69">
        <v>0</v>
      </c>
      <c r="M75" s="69">
        <v>0</v>
      </c>
      <c r="N75" s="69">
        <v>0</v>
      </c>
      <c r="O75" s="69">
        <v>0</v>
      </c>
      <c r="P75" s="69">
        <v>0</v>
      </c>
      <c r="Q75" s="69">
        <v>0</v>
      </c>
      <c r="R75" s="69">
        <v>0</v>
      </c>
      <c r="S75" s="69">
        <v>0</v>
      </c>
      <c r="T75" s="69">
        <v>0</v>
      </c>
      <c r="U75" s="69">
        <v>0</v>
      </c>
      <c r="V75" s="69">
        <v>0</v>
      </c>
      <c r="W75" s="69">
        <v>0</v>
      </c>
      <c r="X75" s="69">
        <v>0</v>
      </c>
      <c r="Y75" s="69">
        <v>0</v>
      </c>
      <c r="Z75" s="69">
        <v>0</v>
      </c>
      <c r="AA75" s="69">
        <v>0</v>
      </c>
      <c r="AB75" s="69">
        <v>0</v>
      </c>
      <c r="AC75" s="69">
        <v>0</v>
      </c>
      <c r="AD75" s="69">
        <v>0</v>
      </c>
      <c r="AE75" s="69">
        <v>0</v>
      </c>
      <c r="AF75" s="69">
        <v>0</v>
      </c>
      <c r="AG75" s="69">
        <v>0</v>
      </c>
      <c r="AH75" s="69">
        <v>0</v>
      </c>
      <c r="AI75" s="69">
        <v>0</v>
      </c>
      <c r="AJ75" s="69">
        <v>0</v>
      </c>
      <c r="AK75" s="69">
        <v>0</v>
      </c>
      <c r="AL75" s="69">
        <v>0</v>
      </c>
      <c r="AM75" s="69">
        <v>0</v>
      </c>
      <c r="AN75" s="69">
        <v>0</v>
      </c>
      <c r="AO75" s="69">
        <v>0</v>
      </c>
      <c r="AP75" s="69">
        <v>0</v>
      </c>
      <c r="AQ75" s="69">
        <v>0</v>
      </c>
      <c r="AR75" s="69">
        <v>0</v>
      </c>
      <c r="AS75" s="69">
        <v>0</v>
      </c>
      <c r="AT75" s="69">
        <v>0</v>
      </c>
      <c r="AU75" s="69">
        <v>0</v>
      </c>
      <c r="AV75" s="69">
        <v>0</v>
      </c>
      <c r="AW75" s="69">
        <v>0</v>
      </c>
      <c r="AX75" s="69">
        <v>0</v>
      </c>
    </row>
    <row r="76" spans="1:50" ht="15" customHeight="1">
      <c r="A76" s="85" t="s">
        <v>77</v>
      </c>
      <c r="B76" s="86"/>
    </row>
    <row r="77" spans="1:50" ht="15" customHeight="1">
      <c r="A77" s="61" t="s">
        <v>192</v>
      </c>
      <c r="B77" s="86"/>
    </row>
    <row r="78" spans="1:50" ht="15" customHeight="1">
      <c r="A78" s="15" t="s">
        <v>2</v>
      </c>
      <c r="B78" s="15"/>
    </row>
    <row r="80" spans="1:50">
      <c r="A80" s="31" t="s">
        <v>243</v>
      </c>
    </row>
  </sheetData>
  <mergeCells count="86">
    <mergeCell ref="A74:A75"/>
    <mergeCell ref="A41:A42"/>
    <mergeCell ref="A44:A45"/>
    <mergeCell ref="A47:A48"/>
    <mergeCell ref="A50:A51"/>
    <mergeCell ref="A53:A54"/>
    <mergeCell ref="A56:A57"/>
    <mergeCell ref="A59:A60"/>
    <mergeCell ref="A62:A63"/>
    <mergeCell ref="A65:A66"/>
    <mergeCell ref="A68:A69"/>
    <mergeCell ref="A71:A72"/>
    <mergeCell ref="A23:A24"/>
    <mergeCell ref="A26:A27"/>
    <mergeCell ref="A29:A30"/>
    <mergeCell ref="A32:A33"/>
    <mergeCell ref="A35:A36"/>
    <mergeCell ref="A38:A39"/>
    <mergeCell ref="AX5:AX6"/>
    <mergeCell ref="A8:A9"/>
    <mergeCell ref="A11:A12"/>
    <mergeCell ref="A14:A15"/>
    <mergeCell ref="A17:A18"/>
    <mergeCell ref="A20:A21"/>
    <mergeCell ref="AR5:AR6"/>
    <mergeCell ref="AS5:AS6"/>
    <mergeCell ref="AT5:AT6"/>
    <mergeCell ref="AU5:AU6"/>
    <mergeCell ref="AV5:AV6"/>
    <mergeCell ref="AW5:AW6"/>
    <mergeCell ref="AL5:AL6"/>
    <mergeCell ref="AM5:AM6"/>
    <mergeCell ref="AN5:AN6"/>
    <mergeCell ref="R5:R6"/>
    <mergeCell ref="AE5:AE6"/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M5:M6"/>
    <mergeCell ref="N5:N6"/>
    <mergeCell ref="O5:O6"/>
    <mergeCell ref="P5:P6"/>
    <mergeCell ref="Q5:Q6"/>
    <mergeCell ref="H5:H6"/>
    <mergeCell ref="I5:I6"/>
    <mergeCell ref="J5:J6"/>
    <mergeCell ref="K5:K6"/>
    <mergeCell ref="L5:L6"/>
    <mergeCell ref="AI4:AL4"/>
    <mergeCell ref="AM4:AP4"/>
    <mergeCell ref="AQ4:AT4"/>
    <mergeCell ref="AU4:AX4"/>
    <mergeCell ref="S5:S6"/>
    <mergeCell ref="AO5:AO6"/>
    <mergeCell ref="AP5:AP6"/>
    <mergeCell ref="AQ5:AQ6"/>
    <mergeCell ref="AF5:AF6"/>
    <mergeCell ref="AG5:AG6"/>
    <mergeCell ref="AH5:AH6"/>
    <mergeCell ref="AI5:AI6"/>
    <mergeCell ref="AJ5:AJ6"/>
    <mergeCell ref="AK5:AK6"/>
    <mergeCell ref="A3:B6"/>
    <mergeCell ref="C3:Z3"/>
    <mergeCell ref="AA3:AX3"/>
    <mergeCell ref="C4:F4"/>
    <mergeCell ref="G4:J4"/>
    <mergeCell ref="K4:N4"/>
    <mergeCell ref="O4:R4"/>
    <mergeCell ref="S4:V4"/>
    <mergeCell ref="W4:Z4"/>
    <mergeCell ref="AA4:AD4"/>
    <mergeCell ref="C5:C6"/>
    <mergeCell ref="D5:D6"/>
    <mergeCell ref="E5:E6"/>
    <mergeCell ref="F5:F6"/>
    <mergeCell ref="G5:G6"/>
    <mergeCell ref="AE4:AH4"/>
  </mergeCells>
  <phoneticPr fontId="6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86" fitToWidth="10" orientation="landscape" useFirstPageNumber="1" horizontalDpi="4294967292" verticalDpi="3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AX80"/>
  <sheetViews>
    <sheetView zoomScaleNormal="100" zoomScaleSheetLayoutView="75" workbookViewId="0">
      <pane xSplit="2" ySplit="6" topLeftCell="AJ7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9.33203125" style="3" customWidth="1"/>
    <col min="2" max="2" width="20" style="3" customWidth="1"/>
    <col min="3" max="26" width="10.6640625" style="3" customWidth="1"/>
    <col min="27" max="50" width="10" style="3" customWidth="1"/>
    <col min="51" max="16384" width="12" style="3"/>
  </cols>
  <sheetData>
    <row r="1" spans="1:50" ht="21">
      <c r="A1" s="80" t="s">
        <v>244</v>
      </c>
      <c r="B1" s="25"/>
    </row>
    <row r="2" spans="1:50" ht="25.5" customHeight="1">
      <c r="A2" s="26" t="s">
        <v>240</v>
      </c>
      <c r="B2" s="27"/>
      <c r="C2" s="60" t="str">
        <f>IF(C7=SUM(C10,C13,C16,C19,C22,C25,C28,C31,C34,C37,C40,C43,C46,C49,C52,C55,C58,C61,C64,C67,C70,C73),"","*")</f>
        <v/>
      </c>
      <c r="D2" s="60" t="str">
        <f t="shared" ref="D2:AX2" si="0">IF(D7=SUM(D10,D13,D16,D19,D22,D25,D28,D31,D34,D37,D40,D43,D46,D49,D52,D55,D58,D61,D64,D67,D70,D73),"","*")</f>
        <v/>
      </c>
      <c r="E2" s="60" t="str">
        <f t="shared" si="0"/>
        <v/>
      </c>
      <c r="F2" s="60" t="str">
        <f t="shared" si="0"/>
        <v/>
      </c>
      <c r="G2" s="60" t="str">
        <f t="shared" si="0"/>
        <v/>
      </c>
      <c r="H2" s="60" t="str">
        <f t="shared" si="0"/>
        <v/>
      </c>
      <c r="I2" s="60" t="str">
        <f t="shared" si="0"/>
        <v/>
      </c>
      <c r="J2" s="60" t="str">
        <f t="shared" si="0"/>
        <v/>
      </c>
      <c r="K2" s="60" t="str">
        <f t="shared" si="0"/>
        <v/>
      </c>
      <c r="L2" s="60" t="str">
        <f t="shared" si="0"/>
        <v/>
      </c>
      <c r="M2" s="60" t="str">
        <f t="shared" si="0"/>
        <v/>
      </c>
      <c r="N2" s="60" t="str">
        <f t="shared" si="0"/>
        <v/>
      </c>
      <c r="O2" s="60" t="str">
        <f t="shared" si="0"/>
        <v/>
      </c>
      <c r="P2" s="60" t="str">
        <f t="shared" si="0"/>
        <v/>
      </c>
      <c r="Q2" s="60" t="str">
        <f t="shared" si="0"/>
        <v/>
      </c>
      <c r="R2" s="60" t="str">
        <f t="shared" si="0"/>
        <v/>
      </c>
      <c r="S2" s="60" t="str">
        <f t="shared" si="0"/>
        <v/>
      </c>
      <c r="T2" s="60" t="str">
        <f t="shared" si="0"/>
        <v/>
      </c>
      <c r="U2" s="60" t="str">
        <f t="shared" si="0"/>
        <v/>
      </c>
      <c r="V2" s="60" t="str">
        <f t="shared" si="0"/>
        <v/>
      </c>
      <c r="W2" s="60" t="str">
        <f t="shared" si="0"/>
        <v/>
      </c>
      <c r="X2" s="60" t="str">
        <f t="shared" si="0"/>
        <v/>
      </c>
      <c r="Y2" s="60" t="str">
        <f t="shared" si="0"/>
        <v/>
      </c>
      <c r="Z2" s="60" t="str">
        <f t="shared" si="0"/>
        <v/>
      </c>
      <c r="AA2" s="60" t="str">
        <f t="shared" si="0"/>
        <v/>
      </c>
      <c r="AB2" s="60" t="str">
        <f t="shared" si="0"/>
        <v/>
      </c>
      <c r="AC2" s="60" t="str">
        <f t="shared" si="0"/>
        <v/>
      </c>
      <c r="AD2" s="60" t="str">
        <f t="shared" si="0"/>
        <v/>
      </c>
      <c r="AE2" s="60" t="str">
        <f t="shared" si="0"/>
        <v/>
      </c>
      <c r="AF2" s="60" t="str">
        <f t="shared" si="0"/>
        <v/>
      </c>
      <c r="AG2" s="60" t="str">
        <f t="shared" si="0"/>
        <v/>
      </c>
      <c r="AH2" s="60" t="str">
        <f t="shared" si="0"/>
        <v/>
      </c>
      <c r="AI2" s="60" t="str">
        <f t="shared" si="0"/>
        <v/>
      </c>
      <c r="AJ2" s="60" t="str">
        <f t="shared" si="0"/>
        <v/>
      </c>
      <c r="AK2" s="60" t="str">
        <f t="shared" si="0"/>
        <v/>
      </c>
      <c r="AL2" s="60" t="str">
        <f t="shared" si="0"/>
        <v/>
      </c>
      <c r="AM2" s="60" t="str">
        <f t="shared" si="0"/>
        <v/>
      </c>
      <c r="AN2" s="60" t="str">
        <f t="shared" si="0"/>
        <v/>
      </c>
      <c r="AO2" s="60" t="str">
        <f t="shared" si="0"/>
        <v/>
      </c>
      <c r="AP2" s="60" t="str">
        <f t="shared" si="0"/>
        <v/>
      </c>
      <c r="AQ2" s="60" t="str">
        <f t="shared" si="0"/>
        <v/>
      </c>
      <c r="AR2" s="60" t="str">
        <f t="shared" si="0"/>
        <v/>
      </c>
      <c r="AS2" s="60" t="str">
        <f t="shared" si="0"/>
        <v/>
      </c>
      <c r="AT2" s="60" t="str">
        <f t="shared" si="0"/>
        <v/>
      </c>
      <c r="AU2" s="60" t="str">
        <f t="shared" si="0"/>
        <v/>
      </c>
      <c r="AV2" s="60" t="str">
        <f t="shared" si="0"/>
        <v/>
      </c>
      <c r="AW2" s="60" t="str">
        <f t="shared" si="0"/>
        <v/>
      </c>
      <c r="AX2" s="60" t="str">
        <f t="shared" si="0"/>
        <v/>
      </c>
    </row>
    <row r="3" spans="1:50" ht="20.25" customHeight="1">
      <c r="A3" s="329" t="s">
        <v>78</v>
      </c>
      <c r="B3" s="301"/>
      <c r="C3" s="304" t="s">
        <v>56</v>
      </c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  <c r="X3" s="304"/>
      <c r="Y3" s="304"/>
      <c r="Z3" s="305"/>
      <c r="AA3" s="304" t="s">
        <v>196</v>
      </c>
      <c r="AB3" s="304"/>
      <c r="AC3" s="304"/>
      <c r="AD3" s="304"/>
      <c r="AE3" s="304"/>
      <c r="AF3" s="304"/>
      <c r="AG3" s="304"/>
      <c r="AH3" s="304"/>
      <c r="AI3" s="304"/>
      <c r="AJ3" s="304"/>
      <c r="AK3" s="304"/>
      <c r="AL3" s="304"/>
      <c r="AM3" s="304"/>
      <c r="AN3" s="304"/>
      <c r="AO3" s="304"/>
      <c r="AP3" s="304"/>
      <c r="AQ3" s="304"/>
      <c r="AR3" s="304"/>
      <c r="AS3" s="304"/>
      <c r="AT3" s="304"/>
      <c r="AU3" s="304"/>
      <c r="AV3" s="304"/>
      <c r="AW3" s="304"/>
      <c r="AX3" s="304"/>
    </row>
    <row r="4" spans="1:50" ht="33.75" customHeight="1">
      <c r="A4" s="364"/>
      <c r="B4" s="302"/>
      <c r="C4" s="306" t="s">
        <v>226</v>
      </c>
      <c r="D4" s="306"/>
      <c r="E4" s="306"/>
      <c r="F4" s="307"/>
      <c r="G4" s="296" t="s">
        <v>227</v>
      </c>
      <c r="H4" s="297"/>
      <c r="I4" s="297"/>
      <c r="J4" s="298"/>
      <c r="K4" s="296" t="s">
        <v>232</v>
      </c>
      <c r="L4" s="297"/>
      <c r="M4" s="297"/>
      <c r="N4" s="298"/>
      <c r="O4" s="296" t="s">
        <v>233</v>
      </c>
      <c r="P4" s="297"/>
      <c r="Q4" s="297"/>
      <c r="R4" s="298"/>
      <c r="S4" s="296" t="s">
        <v>228</v>
      </c>
      <c r="T4" s="297"/>
      <c r="U4" s="297"/>
      <c r="V4" s="298"/>
      <c r="W4" s="296" t="s">
        <v>229</v>
      </c>
      <c r="X4" s="297"/>
      <c r="Y4" s="297"/>
      <c r="Z4" s="308"/>
      <c r="AA4" s="306" t="s">
        <v>226</v>
      </c>
      <c r="AB4" s="306"/>
      <c r="AC4" s="306"/>
      <c r="AD4" s="307"/>
      <c r="AE4" s="296" t="s">
        <v>227</v>
      </c>
      <c r="AF4" s="297"/>
      <c r="AG4" s="297"/>
      <c r="AH4" s="298"/>
      <c r="AI4" s="296" t="s">
        <v>232</v>
      </c>
      <c r="AJ4" s="297"/>
      <c r="AK4" s="297"/>
      <c r="AL4" s="298"/>
      <c r="AM4" s="296" t="s">
        <v>233</v>
      </c>
      <c r="AN4" s="297"/>
      <c r="AO4" s="297"/>
      <c r="AP4" s="298"/>
      <c r="AQ4" s="296" t="s">
        <v>228</v>
      </c>
      <c r="AR4" s="297"/>
      <c r="AS4" s="297"/>
      <c r="AT4" s="298"/>
      <c r="AU4" s="296" t="s">
        <v>229</v>
      </c>
      <c r="AV4" s="297"/>
      <c r="AW4" s="297"/>
      <c r="AX4" s="297"/>
    </row>
    <row r="5" spans="1:50" s="9" customFormat="1" ht="19.5" customHeight="1">
      <c r="A5" s="364"/>
      <c r="B5" s="302"/>
      <c r="C5" s="289" t="s">
        <v>189</v>
      </c>
      <c r="D5" s="291" t="s">
        <v>178</v>
      </c>
      <c r="E5" s="291" t="s">
        <v>231</v>
      </c>
      <c r="F5" s="291" t="s">
        <v>180</v>
      </c>
      <c r="G5" s="289" t="s">
        <v>189</v>
      </c>
      <c r="H5" s="291" t="s">
        <v>178</v>
      </c>
      <c r="I5" s="291" t="s">
        <v>231</v>
      </c>
      <c r="J5" s="287" t="s">
        <v>180</v>
      </c>
      <c r="K5" s="289" t="s">
        <v>189</v>
      </c>
      <c r="L5" s="291" t="s">
        <v>178</v>
      </c>
      <c r="M5" s="291" t="s">
        <v>231</v>
      </c>
      <c r="N5" s="287" t="s">
        <v>180</v>
      </c>
      <c r="O5" s="289" t="s">
        <v>189</v>
      </c>
      <c r="P5" s="291" t="s">
        <v>178</v>
      </c>
      <c r="Q5" s="291" t="s">
        <v>231</v>
      </c>
      <c r="R5" s="287" t="s">
        <v>180</v>
      </c>
      <c r="S5" s="289" t="s">
        <v>189</v>
      </c>
      <c r="T5" s="291" t="s">
        <v>178</v>
      </c>
      <c r="U5" s="291" t="s">
        <v>231</v>
      </c>
      <c r="V5" s="287" t="s">
        <v>180</v>
      </c>
      <c r="W5" s="289" t="s">
        <v>189</v>
      </c>
      <c r="X5" s="291" t="s">
        <v>178</v>
      </c>
      <c r="Y5" s="291" t="s">
        <v>231</v>
      </c>
      <c r="Z5" s="299" t="s">
        <v>180</v>
      </c>
      <c r="AA5" s="289" t="s">
        <v>189</v>
      </c>
      <c r="AB5" s="291" t="s">
        <v>178</v>
      </c>
      <c r="AC5" s="291" t="s">
        <v>231</v>
      </c>
      <c r="AD5" s="291" t="s">
        <v>180</v>
      </c>
      <c r="AE5" s="289" t="s">
        <v>189</v>
      </c>
      <c r="AF5" s="291" t="s">
        <v>178</v>
      </c>
      <c r="AG5" s="291" t="s">
        <v>231</v>
      </c>
      <c r="AH5" s="287" t="s">
        <v>180</v>
      </c>
      <c r="AI5" s="289" t="s">
        <v>189</v>
      </c>
      <c r="AJ5" s="291" t="s">
        <v>178</v>
      </c>
      <c r="AK5" s="291" t="s">
        <v>231</v>
      </c>
      <c r="AL5" s="287" t="s">
        <v>180</v>
      </c>
      <c r="AM5" s="289" t="s">
        <v>189</v>
      </c>
      <c r="AN5" s="291" t="s">
        <v>178</v>
      </c>
      <c r="AO5" s="291" t="s">
        <v>231</v>
      </c>
      <c r="AP5" s="287" t="s">
        <v>180</v>
      </c>
      <c r="AQ5" s="289" t="s">
        <v>189</v>
      </c>
      <c r="AR5" s="291" t="s">
        <v>178</v>
      </c>
      <c r="AS5" s="291" t="s">
        <v>231</v>
      </c>
      <c r="AT5" s="287" t="s">
        <v>180</v>
      </c>
      <c r="AU5" s="289" t="s">
        <v>189</v>
      </c>
      <c r="AV5" s="291" t="s">
        <v>178</v>
      </c>
      <c r="AW5" s="291" t="s">
        <v>231</v>
      </c>
      <c r="AX5" s="293" t="s">
        <v>180</v>
      </c>
    </row>
    <row r="6" spans="1:50" ht="19.5" customHeight="1">
      <c r="A6" s="331"/>
      <c r="B6" s="303"/>
      <c r="C6" s="290"/>
      <c r="D6" s="292"/>
      <c r="E6" s="292"/>
      <c r="F6" s="292"/>
      <c r="G6" s="290"/>
      <c r="H6" s="292"/>
      <c r="I6" s="292"/>
      <c r="J6" s="288"/>
      <c r="K6" s="290"/>
      <c r="L6" s="292"/>
      <c r="M6" s="292"/>
      <c r="N6" s="288"/>
      <c r="O6" s="290"/>
      <c r="P6" s="292"/>
      <c r="Q6" s="292"/>
      <c r="R6" s="288"/>
      <c r="S6" s="290"/>
      <c r="T6" s="292"/>
      <c r="U6" s="292"/>
      <c r="V6" s="288"/>
      <c r="W6" s="290"/>
      <c r="X6" s="292"/>
      <c r="Y6" s="292"/>
      <c r="Z6" s="300"/>
      <c r="AA6" s="290"/>
      <c r="AB6" s="292"/>
      <c r="AC6" s="292"/>
      <c r="AD6" s="292"/>
      <c r="AE6" s="290"/>
      <c r="AF6" s="292"/>
      <c r="AG6" s="292"/>
      <c r="AH6" s="288"/>
      <c r="AI6" s="290"/>
      <c r="AJ6" s="292"/>
      <c r="AK6" s="292"/>
      <c r="AL6" s="288"/>
      <c r="AM6" s="290"/>
      <c r="AN6" s="292"/>
      <c r="AO6" s="292"/>
      <c r="AP6" s="288"/>
      <c r="AQ6" s="290"/>
      <c r="AR6" s="292"/>
      <c r="AS6" s="292"/>
      <c r="AT6" s="288"/>
      <c r="AU6" s="290"/>
      <c r="AV6" s="292"/>
      <c r="AW6" s="292"/>
      <c r="AX6" s="294"/>
    </row>
    <row r="7" spans="1:50" s="13" customFormat="1" ht="15.75" customHeight="1">
      <c r="A7" s="63" t="s">
        <v>200</v>
      </c>
      <c r="B7" s="64" t="s">
        <v>223</v>
      </c>
      <c r="C7" s="67">
        <v>586</v>
      </c>
      <c r="D7" s="67">
        <v>150</v>
      </c>
      <c r="E7" s="67">
        <v>93</v>
      </c>
      <c r="F7" s="67">
        <v>343</v>
      </c>
      <c r="G7" s="67">
        <v>200</v>
      </c>
      <c r="H7" s="67">
        <v>28</v>
      </c>
      <c r="I7" s="67">
        <v>9</v>
      </c>
      <c r="J7" s="67">
        <v>163</v>
      </c>
      <c r="K7" s="67">
        <v>113</v>
      </c>
      <c r="L7" s="67">
        <v>23</v>
      </c>
      <c r="M7" s="67">
        <v>20</v>
      </c>
      <c r="N7" s="67">
        <v>70</v>
      </c>
      <c r="O7" s="67">
        <v>100</v>
      </c>
      <c r="P7" s="67">
        <v>48</v>
      </c>
      <c r="Q7" s="67">
        <v>33</v>
      </c>
      <c r="R7" s="67">
        <v>19</v>
      </c>
      <c r="S7" s="67">
        <v>32</v>
      </c>
      <c r="T7" s="67">
        <v>13</v>
      </c>
      <c r="U7" s="67">
        <v>5</v>
      </c>
      <c r="V7" s="67">
        <v>14</v>
      </c>
      <c r="W7" s="67">
        <v>141</v>
      </c>
      <c r="X7" s="67">
        <v>38</v>
      </c>
      <c r="Y7" s="67">
        <v>26</v>
      </c>
      <c r="Z7" s="67">
        <v>77</v>
      </c>
      <c r="AA7" s="67">
        <v>1545</v>
      </c>
      <c r="AB7" s="67">
        <v>312</v>
      </c>
      <c r="AC7" s="67">
        <v>200</v>
      </c>
      <c r="AD7" s="67">
        <v>1033</v>
      </c>
      <c r="AE7" s="67">
        <v>678</v>
      </c>
      <c r="AF7" s="67">
        <v>99</v>
      </c>
      <c r="AG7" s="67">
        <v>41</v>
      </c>
      <c r="AH7" s="67">
        <v>538</v>
      </c>
      <c r="AI7" s="67">
        <v>292</v>
      </c>
      <c r="AJ7" s="67">
        <v>49</v>
      </c>
      <c r="AK7" s="67">
        <v>39</v>
      </c>
      <c r="AL7" s="67">
        <v>204</v>
      </c>
      <c r="AM7" s="67">
        <v>166</v>
      </c>
      <c r="AN7" s="67">
        <v>74</v>
      </c>
      <c r="AO7" s="67">
        <v>50</v>
      </c>
      <c r="AP7" s="67">
        <v>42</v>
      </c>
      <c r="AQ7" s="67">
        <v>45</v>
      </c>
      <c r="AR7" s="67">
        <v>22</v>
      </c>
      <c r="AS7" s="67">
        <v>10</v>
      </c>
      <c r="AT7" s="67">
        <v>13</v>
      </c>
      <c r="AU7" s="67">
        <v>364</v>
      </c>
      <c r="AV7" s="67">
        <v>68</v>
      </c>
      <c r="AW7" s="67">
        <v>60</v>
      </c>
      <c r="AX7" s="67">
        <v>236</v>
      </c>
    </row>
    <row r="8" spans="1:50" s="13" customFormat="1" ht="15.75" customHeight="1">
      <c r="A8" s="347" t="s">
        <v>199</v>
      </c>
      <c r="B8" s="65" t="s">
        <v>224</v>
      </c>
      <c r="C8" s="68">
        <v>295</v>
      </c>
      <c r="D8" s="68">
        <v>90</v>
      </c>
      <c r="E8" s="68">
        <v>46</v>
      </c>
      <c r="F8" s="68">
        <v>159</v>
      </c>
      <c r="G8" s="68">
        <v>92</v>
      </c>
      <c r="H8" s="68">
        <v>12</v>
      </c>
      <c r="I8" s="68">
        <v>3</v>
      </c>
      <c r="J8" s="68">
        <v>77</v>
      </c>
      <c r="K8" s="68">
        <v>51</v>
      </c>
      <c r="L8" s="68">
        <v>17</v>
      </c>
      <c r="M8" s="68">
        <v>9</v>
      </c>
      <c r="N8" s="68">
        <v>25</v>
      </c>
      <c r="O8" s="68">
        <v>63</v>
      </c>
      <c r="P8" s="68">
        <v>33</v>
      </c>
      <c r="Q8" s="68">
        <v>17</v>
      </c>
      <c r="R8" s="68">
        <v>13</v>
      </c>
      <c r="S8" s="68">
        <v>21</v>
      </c>
      <c r="T8" s="68">
        <v>11</v>
      </c>
      <c r="U8" s="68">
        <v>1</v>
      </c>
      <c r="V8" s="68">
        <v>9</v>
      </c>
      <c r="W8" s="68">
        <v>68</v>
      </c>
      <c r="X8" s="68">
        <v>17</v>
      </c>
      <c r="Y8" s="68">
        <v>16</v>
      </c>
      <c r="Z8" s="68">
        <v>35</v>
      </c>
      <c r="AA8" s="68">
        <v>873</v>
      </c>
      <c r="AB8" s="68">
        <v>191</v>
      </c>
      <c r="AC8" s="68">
        <v>113</v>
      </c>
      <c r="AD8" s="68">
        <v>569</v>
      </c>
      <c r="AE8" s="68">
        <v>450</v>
      </c>
      <c r="AF8" s="68">
        <v>58</v>
      </c>
      <c r="AG8" s="68">
        <v>24</v>
      </c>
      <c r="AH8" s="68">
        <v>368</v>
      </c>
      <c r="AI8" s="68">
        <v>150</v>
      </c>
      <c r="AJ8" s="68">
        <v>25</v>
      </c>
      <c r="AK8" s="68">
        <v>24</v>
      </c>
      <c r="AL8" s="68">
        <v>101</v>
      </c>
      <c r="AM8" s="68">
        <v>107</v>
      </c>
      <c r="AN8" s="68">
        <v>55</v>
      </c>
      <c r="AO8" s="68">
        <v>27</v>
      </c>
      <c r="AP8" s="68">
        <v>25</v>
      </c>
      <c r="AQ8" s="68">
        <v>27</v>
      </c>
      <c r="AR8" s="68">
        <v>15</v>
      </c>
      <c r="AS8" s="68">
        <v>6</v>
      </c>
      <c r="AT8" s="68">
        <v>6</v>
      </c>
      <c r="AU8" s="68">
        <v>139</v>
      </c>
      <c r="AV8" s="68">
        <v>38</v>
      </c>
      <c r="AW8" s="68">
        <v>32</v>
      </c>
      <c r="AX8" s="68">
        <v>69</v>
      </c>
    </row>
    <row r="9" spans="1:50" s="13" customFormat="1" ht="15.75" customHeight="1">
      <c r="A9" s="348"/>
      <c r="B9" s="65" t="s">
        <v>225</v>
      </c>
      <c r="C9" s="68">
        <v>291</v>
      </c>
      <c r="D9" s="68">
        <v>60</v>
      </c>
      <c r="E9" s="68">
        <v>47</v>
      </c>
      <c r="F9" s="68">
        <v>184</v>
      </c>
      <c r="G9" s="68">
        <v>108</v>
      </c>
      <c r="H9" s="68">
        <v>16</v>
      </c>
      <c r="I9" s="68">
        <v>6</v>
      </c>
      <c r="J9" s="68">
        <v>86</v>
      </c>
      <c r="K9" s="68">
        <v>62</v>
      </c>
      <c r="L9" s="68">
        <v>6</v>
      </c>
      <c r="M9" s="68">
        <v>11</v>
      </c>
      <c r="N9" s="68">
        <v>45</v>
      </c>
      <c r="O9" s="68">
        <v>37</v>
      </c>
      <c r="P9" s="68">
        <v>15</v>
      </c>
      <c r="Q9" s="68">
        <v>16</v>
      </c>
      <c r="R9" s="68">
        <v>6</v>
      </c>
      <c r="S9" s="68">
        <v>11</v>
      </c>
      <c r="T9" s="68">
        <v>2</v>
      </c>
      <c r="U9" s="68">
        <v>4</v>
      </c>
      <c r="V9" s="68">
        <v>5</v>
      </c>
      <c r="W9" s="68">
        <v>73</v>
      </c>
      <c r="X9" s="68">
        <v>21</v>
      </c>
      <c r="Y9" s="68">
        <v>10</v>
      </c>
      <c r="Z9" s="68">
        <v>42</v>
      </c>
      <c r="AA9" s="68">
        <v>672</v>
      </c>
      <c r="AB9" s="68">
        <v>121</v>
      </c>
      <c r="AC9" s="68">
        <v>87</v>
      </c>
      <c r="AD9" s="68">
        <v>464</v>
      </c>
      <c r="AE9" s="68">
        <v>228</v>
      </c>
      <c r="AF9" s="68">
        <v>41</v>
      </c>
      <c r="AG9" s="68">
        <v>17</v>
      </c>
      <c r="AH9" s="68">
        <v>170</v>
      </c>
      <c r="AI9" s="68">
        <v>142</v>
      </c>
      <c r="AJ9" s="68">
        <v>24</v>
      </c>
      <c r="AK9" s="68">
        <v>15</v>
      </c>
      <c r="AL9" s="68">
        <v>103</v>
      </c>
      <c r="AM9" s="68">
        <v>59</v>
      </c>
      <c r="AN9" s="68">
        <v>19</v>
      </c>
      <c r="AO9" s="68">
        <v>23</v>
      </c>
      <c r="AP9" s="68">
        <v>17</v>
      </c>
      <c r="AQ9" s="68">
        <v>18</v>
      </c>
      <c r="AR9" s="68">
        <v>7</v>
      </c>
      <c r="AS9" s="68">
        <v>4</v>
      </c>
      <c r="AT9" s="68">
        <v>7</v>
      </c>
      <c r="AU9" s="68">
        <v>225</v>
      </c>
      <c r="AV9" s="68">
        <v>30</v>
      </c>
      <c r="AW9" s="68">
        <v>28</v>
      </c>
      <c r="AX9" s="68">
        <v>167</v>
      </c>
    </row>
    <row r="10" spans="1:50" s="18" customFormat="1" ht="15.75" customHeight="1">
      <c r="A10" s="63" t="s">
        <v>201</v>
      </c>
      <c r="B10" s="64" t="s">
        <v>223</v>
      </c>
      <c r="C10" s="67">
        <v>9</v>
      </c>
      <c r="D10" s="67">
        <v>1</v>
      </c>
      <c r="E10" s="67">
        <v>0</v>
      </c>
      <c r="F10" s="67">
        <v>8</v>
      </c>
      <c r="G10" s="67">
        <v>7</v>
      </c>
      <c r="H10" s="67">
        <v>1</v>
      </c>
      <c r="I10" s="67">
        <v>0</v>
      </c>
      <c r="J10" s="67">
        <v>6</v>
      </c>
      <c r="K10" s="67">
        <v>0</v>
      </c>
      <c r="L10" s="67">
        <v>0</v>
      </c>
      <c r="M10" s="67">
        <v>0</v>
      </c>
      <c r="N10" s="67">
        <v>0</v>
      </c>
      <c r="O10" s="67">
        <v>2</v>
      </c>
      <c r="P10" s="67">
        <v>0</v>
      </c>
      <c r="Q10" s="67">
        <v>0</v>
      </c>
      <c r="R10" s="67">
        <v>2</v>
      </c>
      <c r="S10" s="67">
        <v>0</v>
      </c>
      <c r="T10" s="67">
        <v>0</v>
      </c>
      <c r="U10" s="67">
        <v>0</v>
      </c>
      <c r="V10" s="67">
        <v>0</v>
      </c>
      <c r="W10" s="67">
        <v>0</v>
      </c>
      <c r="X10" s="67">
        <v>0</v>
      </c>
      <c r="Y10" s="67">
        <v>0</v>
      </c>
      <c r="Z10" s="67">
        <v>0</v>
      </c>
      <c r="AA10" s="67">
        <v>9</v>
      </c>
      <c r="AB10" s="67">
        <v>1</v>
      </c>
      <c r="AC10" s="67">
        <v>0</v>
      </c>
      <c r="AD10" s="67">
        <v>8</v>
      </c>
      <c r="AE10" s="67">
        <v>7</v>
      </c>
      <c r="AF10" s="67">
        <v>1</v>
      </c>
      <c r="AG10" s="67">
        <v>0</v>
      </c>
      <c r="AH10" s="67">
        <v>6</v>
      </c>
      <c r="AI10" s="67">
        <v>0</v>
      </c>
      <c r="AJ10" s="67">
        <v>0</v>
      </c>
      <c r="AK10" s="67">
        <v>0</v>
      </c>
      <c r="AL10" s="67">
        <v>0</v>
      </c>
      <c r="AM10" s="67">
        <v>2</v>
      </c>
      <c r="AN10" s="67">
        <v>0</v>
      </c>
      <c r="AO10" s="67">
        <v>0</v>
      </c>
      <c r="AP10" s="67">
        <v>2</v>
      </c>
      <c r="AQ10" s="67">
        <v>0</v>
      </c>
      <c r="AR10" s="67">
        <v>0</v>
      </c>
      <c r="AS10" s="67">
        <v>0</v>
      </c>
      <c r="AT10" s="67">
        <v>0</v>
      </c>
      <c r="AU10" s="67">
        <v>0</v>
      </c>
      <c r="AV10" s="67">
        <v>0</v>
      </c>
      <c r="AW10" s="67">
        <v>0</v>
      </c>
      <c r="AX10" s="67">
        <v>0</v>
      </c>
    </row>
    <row r="11" spans="1:50" s="18" customFormat="1" ht="15.75" customHeight="1">
      <c r="A11" s="345" t="s">
        <v>24</v>
      </c>
      <c r="B11" s="65" t="s">
        <v>224</v>
      </c>
      <c r="C11" s="68">
        <v>3</v>
      </c>
      <c r="D11" s="68">
        <v>0</v>
      </c>
      <c r="E11" s="68">
        <v>0</v>
      </c>
      <c r="F11" s="68">
        <v>3</v>
      </c>
      <c r="G11" s="68">
        <v>1</v>
      </c>
      <c r="H11" s="68">
        <v>0</v>
      </c>
      <c r="I11" s="68">
        <v>0</v>
      </c>
      <c r="J11" s="68">
        <v>1</v>
      </c>
      <c r="K11" s="68">
        <v>0</v>
      </c>
      <c r="L11" s="68">
        <v>0</v>
      </c>
      <c r="M11" s="68">
        <v>0</v>
      </c>
      <c r="N11" s="68">
        <v>0</v>
      </c>
      <c r="O11" s="68">
        <v>2</v>
      </c>
      <c r="P11" s="68">
        <v>0</v>
      </c>
      <c r="Q11" s="68">
        <v>0</v>
      </c>
      <c r="R11" s="68">
        <v>2</v>
      </c>
      <c r="S11" s="68">
        <v>0</v>
      </c>
      <c r="T11" s="68">
        <v>0</v>
      </c>
      <c r="U11" s="68">
        <v>0</v>
      </c>
      <c r="V11" s="68">
        <v>0</v>
      </c>
      <c r="W11" s="68">
        <v>0</v>
      </c>
      <c r="X11" s="68">
        <v>0</v>
      </c>
      <c r="Y11" s="68">
        <v>0</v>
      </c>
      <c r="Z11" s="68">
        <v>0</v>
      </c>
      <c r="AA11" s="68">
        <v>3</v>
      </c>
      <c r="AB11" s="68">
        <v>0</v>
      </c>
      <c r="AC11" s="68">
        <v>0</v>
      </c>
      <c r="AD11" s="68">
        <v>3</v>
      </c>
      <c r="AE11" s="68">
        <v>1</v>
      </c>
      <c r="AF11" s="68">
        <v>0</v>
      </c>
      <c r="AG11" s="68">
        <v>0</v>
      </c>
      <c r="AH11" s="68">
        <v>1</v>
      </c>
      <c r="AI11" s="68">
        <v>0</v>
      </c>
      <c r="AJ11" s="68">
        <v>0</v>
      </c>
      <c r="AK11" s="68">
        <v>0</v>
      </c>
      <c r="AL11" s="68">
        <v>0</v>
      </c>
      <c r="AM11" s="68">
        <v>2</v>
      </c>
      <c r="AN11" s="68">
        <v>0</v>
      </c>
      <c r="AO11" s="68">
        <v>0</v>
      </c>
      <c r="AP11" s="68">
        <v>2</v>
      </c>
      <c r="AQ11" s="68">
        <v>0</v>
      </c>
      <c r="AR11" s="68">
        <v>0</v>
      </c>
      <c r="AS11" s="68">
        <v>0</v>
      </c>
      <c r="AT11" s="68">
        <v>0</v>
      </c>
      <c r="AU11" s="68">
        <v>0</v>
      </c>
      <c r="AV11" s="68">
        <v>0</v>
      </c>
      <c r="AW11" s="68">
        <v>0</v>
      </c>
      <c r="AX11" s="68">
        <v>0</v>
      </c>
    </row>
    <row r="12" spans="1:50" s="18" customFormat="1" ht="15.75" customHeight="1">
      <c r="A12" s="346"/>
      <c r="B12" s="65" t="s">
        <v>225</v>
      </c>
      <c r="C12" s="68">
        <v>6</v>
      </c>
      <c r="D12" s="68">
        <v>1</v>
      </c>
      <c r="E12" s="68">
        <v>0</v>
      </c>
      <c r="F12" s="68">
        <v>5</v>
      </c>
      <c r="G12" s="68">
        <v>6</v>
      </c>
      <c r="H12" s="68">
        <v>1</v>
      </c>
      <c r="I12" s="68">
        <v>0</v>
      </c>
      <c r="J12" s="68">
        <v>5</v>
      </c>
      <c r="K12" s="68">
        <v>0</v>
      </c>
      <c r="L12" s="68">
        <v>0</v>
      </c>
      <c r="M12" s="68">
        <v>0</v>
      </c>
      <c r="N12" s="68">
        <v>0</v>
      </c>
      <c r="O12" s="68">
        <v>0</v>
      </c>
      <c r="P12" s="68">
        <v>0</v>
      </c>
      <c r="Q12" s="68">
        <v>0</v>
      </c>
      <c r="R12" s="68">
        <v>0</v>
      </c>
      <c r="S12" s="68">
        <v>0</v>
      </c>
      <c r="T12" s="68">
        <v>0</v>
      </c>
      <c r="U12" s="68">
        <v>0</v>
      </c>
      <c r="V12" s="68">
        <v>0</v>
      </c>
      <c r="W12" s="68">
        <v>0</v>
      </c>
      <c r="X12" s="68">
        <v>0</v>
      </c>
      <c r="Y12" s="68">
        <v>0</v>
      </c>
      <c r="Z12" s="68">
        <v>0</v>
      </c>
      <c r="AA12" s="68">
        <v>6</v>
      </c>
      <c r="AB12" s="68">
        <v>1</v>
      </c>
      <c r="AC12" s="68">
        <v>0</v>
      </c>
      <c r="AD12" s="68">
        <v>5</v>
      </c>
      <c r="AE12" s="68">
        <v>6</v>
      </c>
      <c r="AF12" s="68">
        <v>1</v>
      </c>
      <c r="AG12" s="68">
        <v>0</v>
      </c>
      <c r="AH12" s="68">
        <v>5</v>
      </c>
      <c r="AI12" s="68">
        <v>0</v>
      </c>
      <c r="AJ12" s="68">
        <v>0</v>
      </c>
      <c r="AK12" s="68">
        <v>0</v>
      </c>
      <c r="AL12" s="68">
        <v>0</v>
      </c>
      <c r="AM12" s="68">
        <v>0</v>
      </c>
      <c r="AN12" s="68">
        <v>0</v>
      </c>
      <c r="AO12" s="68">
        <v>0</v>
      </c>
      <c r="AP12" s="68">
        <v>0</v>
      </c>
      <c r="AQ12" s="68">
        <v>0</v>
      </c>
      <c r="AR12" s="68">
        <v>0</v>
      </c>
      <c r="AS12" s="68">
        <v>0</v>
      </c>
      <c r="AT12" s="68">
        <v>0</v>
      </c>
      <c r="AU12" s="68">
        <v>0</v>
      </c>
      <c r="AV12" s="68">
        <v>0</v>
      </c>
      <c r="AW12" s="68">
        <v>0</v>
      </c>
      <c r="AX12" s="68">
        <v>0</v>
      </c>
    </row>
    <row r="13" spans="1:50" s="18" customFormat="1" ht="15.75" customHeight="1">
      <c r="A13" s="63" t="s">
        <v>202</v>
      </c>
      <c r="B13" s="64" t="s">
        <v>223</v>
      </c>
      <c r="C13" s="67">
        <v>18</v>
      </c>
      <c r="D13" s="67">
        <v>3</v>
      </c>
      <c r="E13" s="67">
        <v>0</v>
      </c>
      <c r="F13" s="67">
        <v>15</v>
      </c>
      <c r="G13" s="67">
        <v>3</v>
      </c>
      <c r="H13" s="67">
        <v>1</v>
      </c>
      <c r="I13" s="67">
        <v>0</v>
      </c>
      <c r="J13" s="67">
        <v>2</v>
      </c>
      <c r="K13" s="67">
        <v>6</v>
      </c>
      <c r="L13" s="67">
        <v>0</v>
      </c>
      <c r="M13" s="67">
        <v>0</v>
      </c>
      <c r="N13" s="67">
        <v>6</v>
      </c>
      <c r="O13" s="67">
        <v>1</v>
      </c>
      <c r="P13" s="67">
        <v>1</v>
      </c>
      <c r="Q13" s="67">
        <v>0</v>
      </c>
      <c r="R13" s="67">
        <v>0</v>
      </c>
      <c r="S13" s="67">
        <v>0</v>
      </c>
      <c r="T13" s="67">
        <v>0</v>
      </c>
      <c r="U13" s="67">
        <v>0</v>
      </c>
      <c r="V13" s="67">
        <v>0</v>
      </c>
      <c r="W13" s="67">
        <v>8</v>
      </c>
      <c r="X13" s="67">
        <v>1</v>
      </c>
      <c r="Y13" s="67">
        <v>0</v>
      </c>
      <c r="Z13" s="67">
        <v>7</v>
      </c>
      <c r="AA13" s="67">
        <v>52</v>
      </c>
      <c r="AB13" s="67">
        <v>13</v>
      </c>
      <c r="AC13" s="67">
        <v>1</v>
      </c>
      <c r="AD13" s="67">
        <v>38</v>
      </c>
      <c r="AE13" s="67">
        <v>12</v>
      </c>
      <c r="AF13" s="67">
        <v>2</v>
      </c>
      <c r="AG13" s="67">
        <v>0</v>
      </c>
      <c r="AH13" s="67">
        <v>10</v>
      </c>
      <c r="AI13" s="67">
        <v>11</v>
      </c>
      <c r="AJ13" s="67">
        <v>1</v>
      </c>
      <c r="AK13" s="67">
        <v>0</v>
      </c>
      <c r="AL13" s="67">
        <v>10</v>
      </c>
      <c r="AM13" s="67">
        <v>7</v>
      </c>
      <c r="AN13" s="67">
        <v>7</v>
      </c>
      <c r="AO13" s="67">
        <v>0</v>
      </c>
      <c r="AP13" s="67">
        <v>0</v>
      </c>
      <c r="AQ13" s="67">
        <v>0</v>
      </c>
      <c r="AR13" s="67">
        <v>0</v>
      </c>
      <c r="AS13" s="67">
        <v>0</v>
      </c>
      <c r="AT13" s="67">
        <v>0</v>
      </c>
      <c r="AU13" s="67">
        <v>22</v>
      </c>
      <c r="AV13" s="67">
        <v>3</v>
      </c>
      <c r="AW13" s="67">
        <v>1</v>
      </c>
      <c r="AX13" s="67">
        <v>18</v>
      </c>
    </row>
    <row r="14" spans="1:50" s="18" customFormat="1" ht="15.75" customHeight="1">
      <c r="A14" s="345" t="s">
        <v>25</v>
      </c>
      <c r="B14" s="65" t="s">
        <v>224</v>
      </c>
      <c r="C14" s="68">
        <v>8</v>
      </c>
      <c r="D14" s="68">
        <v>2</v>
      </c>
      <c r="E14" s="68">
        <v>0</v>
      </c>
      <c r="F14" s="68">
        <v>6</v>
      </c>
      <c r="G14" s="68">
        <v>1</v>
      </c>
      <c r="H14" s="68">
        <v>1</v>
      </c>
      <c r="I14" s="68">
        <v>0</v>
      </c>
      <c r="J14" s="68">
        <v>0</v>
      </c>
      <c r="K14" s="68">
        <v>2</v>
      </c>
      <c r="L14" s="68">
        <v>0</v>
      </c>
      <c r="M14" s="68">
        <v>0</v>
      </c>
      <c r="N14" s="68">
        <v>2</v>
      </c>
      <c r="O14" s="68">
        <v>0</v>
      </c>
      <c r="P14" s="68">
        <v>0</v>
      </c>
      <c r="Q14" s="68">
        <v>0</v>
      </c>
      <c r="R14" s="68">
        <v>0</v>
      </c>
      <c r="S14" s="68">
        <v>0</v>
      </c>
      <c r="T14" s="68">
        <v>0</v>
      </c>
      <c r="U14" s="68">
        <v>0</v>
      </c>
      <c r="V14" s="68">
        <v>0</v>
      </c>
      <c r="W14" s="68">
        <v>5</v>
      </c>
      <c r="X14" s="68">
        <v>1</v>
      </c>
      <c r="Y14" s="68">
        <v>0</v>
      </c>
      <c r="Z14" s="68">
        <v>4</v>
      </c>
      <c r="AA14" s="68">
        <v>24</v>
      </c>
      <c r="AB14" s="68">
        <v>8</v>
      </c>
      <c r="AC14" s="68">
        <v>0</v>
      </c>
      <c r="AD14" s="68">
        <v>16</v>
      </c>
      <c r="AE14" s="68">
        <v>4</v>
      </c>
      <c r="AF14" s="68">
        <v>2</v>
      </c>
      <c r="AG14" s="68">
        <v>0</v>
      </c>
      <c r="AH14" s="68">
        <v>2</v>
      </c>
      <c r="AI14" s="68">
        <v>6</v>
      </c>
      <c r="AJ14" s="68">
        <v>1</v>
      </c>
      <c r="AK14" s="68">
        <v>0</v>
      </c>
      <c r="AL14" s="68">
        <v>5</v>
      </c>
      <c r="AM14" s="68">
        <v>2</v>
      </c>
      <c r="AN14" s="68">
        <v>2</v>
      </c>
      <c r="AO14" s="68">
        <v>0</v>
      </c>
      <c r="AP14" s="68">
        <v>0</v>
      </c>
      <c r="AQ14" s="68">
        <v>0</v>
      </c>
      <c r="AR14" s="68">
        <v>0</v>
      </c>
      <c r="AS14" s="68">
        <v>0</v>
      </c>
      <c r="AT14" s="68">
        <v>0</v>
      </c>
      <c r="AU14" s="68">
        <v>12</v>
      </c>
      <c r="AV14" s="68">
        <v>3</v>
      </c>
      <c r="AW14" s="68">
        <v>0</v>
      </c>
      <c r="AX14" s="68">
        <v>9</v>
      </c>
    </row>
    <row r="15" spans="1:50" s="18" customFormat="1" ht="15.75" customHeight="1">
      <c r="A15" s="346"/>
      <c r="B15" s="65" t="s">
        <v>225</v>
      </c>
      <c r="C15" s="68">
        <v>10</v>
      </c>
      <c r="D15" s="68">
        <v>1</v>
      </c>
      <c r="E15" s="68">
        <v>0</v>
      </c>
      <c r="F15" s="68">
        <v>9</v>
      </c>
      <c r="G15" s="68">
        <v>2</v>
      </c>
      <c r="H15" s="68">
        <v>0</v>
      </c>
      <c r="I15" s="68">
        <v>0</v>
      </c>
      <c r="J15" s="68">
        <v>2</v>
      </c>
      <c r="K15" s="68">
        <v>4</v>
      </c>
      <c r="L15" s="68">
        <v>0</v>
      </c>
      <c r="M15" s="68">
        <v>0</v>
      </c>
      <c r="N15" s="68">
        <v>4</v>
      </c>
      <c r="O15" s="68">
        <v>1</v>
      </c>
      <c r="P15" s="68">
        <v>1</v>
      </c>
      <c r="Q15" s="68">
        <v>0</v>
      </c>
      <c r="R15" s="68">
        <v>0</v>
      </c>
      <c r="S15" s="68">
        <v>0</v>
      </c>
      <c r="T15" s="68">
        <v>0</v>
      </c>
      <c r="U15" s="68">
        <v>0</v>
      </c>
      <c r="V15" s="68">
        <v>0</v>
      </c>
      <c r="W15" s="68">
        <v>3</v>
      </c>
      <c r="X15" s="68">
        <v>0</v>
      </c>
      <c r="Y15" s="68">
        <v>0</v>
      </c>
      <c r="Z15" s="68">
        <v>3</v>
      </c>
      <c r="AA15" s="68">
        <v>28</v>
      </c>
      <c r="AB15" s="68">
        <v>5</v>
      </c>
      <c r="AC15" s="68">
        <v>1</v>
      </c>
      <c r="AD15" s="68">
        <v>22</v>
      </c>
      <c r="AE15" s="68">
        <v>8</v>
      </c>
      <c r="AF15" s="68">
        <v>0</v>
      </c>
      <c r="AG15" s="68">
        <v>0</v>
      </c>
      <c r="AH15" s="68">
        <v>8</v>
      </c>
      <c r="AI15" s="68">
        <v>5</v>
      </c>
      <c r="AJ15" s="68">
        <v>0</v>
      </c>
      <c r="AK15" s="68">
        <v>0</v>
      </c>
      <c r="AL15" s="68">
        <v>5</v>
      </c>
      <c r="AM15" s="68">
        <v>5</v>
      </c>
      <c r="AN15" s="68">
        <v>5</v>
      </c>
      <c r="AO15" s="68">
        <v>0</v>
      </c>
      <c r="AP15" s="68">
        <v>0</v>
      </c>
      <c r="AQ15" s="68">
        <v>0</v>
      </c>
      <c r="AR15" s="68">
        <v>0</v>
      </c>
      <c r="AS15" s="68">
        <v>0</v>
      </c>
      <c r="AT15" s="68">
        <v>0</v>
      </c>
      <c r="AU15" s="68">
        <v>10</v>
      </c>
      <c r="AV15" s="68">
        <v>0</v>
      </c>
      <c r="AW15" s="68">
        <v>1</v>
      </c>
      <c r="AX15" s="68">
        <v>9</v>
      </c>
    </row>
    <row r="16" spans="1:50" s="18" customFormat="1" ht="15.75" customHeight="1">
      <c r="A16" s="63" t="s">
        <v>203</v>
      </c>
      <c r="B16" s="64" t="s">
        <v>223</v>
      </c>
      <c r="C16" s="67">
        <v>9</v>
      </c>
      <c r="D16" s="67">
        <v>0</v>
      </c>
      <c r="E16" s="67">
        <v>0</v>
      </c>
      <c r="F16" s="67">
        <v>9</v>
      </c>
      <c r="G16" s="67">
        <v>2</v>
      </c>
      <c r="H16" s="67">
        <v>0</v>
      </c>
      <c r="I16" s="67">
        <v>0</v>
      </c>
      <c r="J16" s="67">
        <v>2</v>
      </c>
      <c r="K16" s="67">
        <v>3</v>
      </c>
      <c r="L16" s="67">
        <v>0</v>
      </c>
      <c r="M16" s="67">
        <v>0</v>
      </c>
      <c r="N16" s="67">
        <v>3</v>
      </c>
      <c r="O16" s="67">
        <v>1</v>
      </c>
      <c r="P16" s="67">
        <v>0</v>
      </c>
      <c r="Q16" s="67">
        <v>0</v>
      </c>
      <c r="R16" s="67">
        <v>1</v>
      </c>
      <c r="S16" s="67">
        <v>0</v>
      </c>
      <c r="T16" s="67">
        <v>0</v>
      </c>
      <c r="U16" s="67">
        <v>0</v>
      </c>
      <c r="V16" s="67">
        <v>0</v>
      </c>
      <c r="W16" s="67">
        <v>3</v>
      </c>
      <c r="X16" s="67">
        <v>0</v>
      </c>
      <c r="Y16" s="67">
        <v>0</v>
      </c>
      <c r="Z16" s="67">
        <v>3</v>
      </c>
      <c r="AA16" s="67">
        <v>18</v>
      </c>
      <c r="AB16" s="67">
        <v>0</v>
      </c>
      <c r="AC16" s="67">
        <v>0</v>
      </c>
      <c r="AD16" s="67">
        <v>18</v>
      </c>
      <c r="AE16" s="67">
        <v>9</v>
      </c>
      <c r="AF16" s="67">
        <v>0</v>
      </c>
      <c r="AG16" s="67">
        <v>0</v>
      </c>
      <c r="AH16" s="67">
        <v>9</v>
      </c>
      <c r="AI16" s="67">
        <v>3</v>
      </c>
      <c r="AJ16" s="67">
        <v>0</v>
      </c>
      <c r="AK16" s="67">
        <v>0</v>
      </c>
      <c r="AL16" s="67">
        <v>3</v>
      </c>
      <c r="AM16" s="67">
        <v>2</v>
      </c>
      <c r="AN16" s="67">
        <v>0</v>
      </c>
      <c r="AO16" s="67">
        <v>0</v>
      </c>
      <c r="AP16" s="67">
        <v>2</v>
      </c>
      <c r="AQ16" s="67">
        <v>1</v>
      </c>
      <c r="AR16" s="67">
        <v>0</v>
      </c>
      <c r="AS16" s="67">
        <v>0</v>
      </c>
      <c r="AT16" s="67">
        <v>1</v>
      </c>
      <c r="AU16" s="67">
        <v>3</v>
      </c>
      <c r="AV16" s="67">
        <v>0</v>
      </c>
      <c r="AW16" s="67">
        <v>0</v>
      </c>
      <c r="AX16" s="67">
        <v>3</v>
      </c>
    </row>
    <row r="17" spans="1:50" s="18" customFormat="1" ht="15.75" customHeight="1">
      <c r="A17" s="345" t="s">
        <v>49</v>
      </c>
      <c r="B17" s="65" t="s">
        <v>224</v>
      </c>
      <c r="C17" s="68">
        <v>2</v>
      </c>
      <c r="D17" s="68">
        <v>0</v>
      </c>
      <c r="E17" s="68">
        <v>0</v>
      </c>
      <c r="F17" s="68">
        <v>2</v>
      </c>
      <c r="G17" s="68">
        <v>1</v>
      </c>
      <c r="H17" s="68">
        <v>0</v>
      </c>
      <c r="I17" s="68">
        <v>0</v>
      </c>
      <c r="J17" s="68">
        <v>1</v>
      </c>
      <c r="K17" s="68">
        <v>0</v>
      </c>
      <c r="L17" s="68">
        <v>0</v>
      </c>
      <c r="M17" s="68">
        <v>0</v>
      </c>
      <c r="N17" s="68">
        <v>0</v>
      </c>
      <c r="O17" s="68">
        <v>0</v>
      </c>
      <c r="P17" s="68">
        <v>0</v>
      </c>
      <c r="Q17" s="68">
        <v>0</v>
      </c>
      <c r="R17" s="68">
        <v>0</v>
      </c>
      <c r="S17" s="68">
        <v>0</v>
      </c>
      <c r="T17" s="68">
        <v>0</v>
      </c>
      <c r="U17" s="68">
        <v>0</v>
      </c>
      <c r="V17" s="68">
        <v>0</v>
      </c>
      <c r="W17" s="68">
        <v>1</v>
      </c>
      <c r="X17" s="68">
        <v>0</v>
      </c>
      <c r="Y17" s="68">
        <v>0</v>
      </c>
      <c r="Z17" s="68">
        <v>1</v>
      </c>
      <c r="AA17" s="68">
        <v>4</v>
      </c>
      <c r="AB17" s="68">
        <v>0</v>
      </c>
      <c r="AC17" s="68">
        <v>0</v>
      </c>
      <c r="AD17" s="68">
        <v>4</v>
      </c>
      <c r="AE17" s="68">
        <v>3</v>
      </c>
      <c r="AF17" s="68">
        <v>0</v>
      </c>
      <c r="AG17" s="68">
        <v>0</v>
      </c>
      <c r="AH17" s="68">
        <v>3</v>
      </c>
      <c r="AI17" s="68">
        <v>0</v>
      </c>
      <c r="AJ17" s="68">
        <v>0</v>
      </c>
      <c r="AK17" s="68">
        <v>0</v>
      </c>
      <c r="AL17" s="68">
        <v>0</v>
      </c>
      <c r="AM17" s="68">
        <v>0</v>
      </c>
      <c r="AN17" s="68">
        <v>0</v>
      </c>
      <c r="AO17" s="68">
        <v>0</v>
      </c>
      <c r="AP17" s="68">
        <v>0</v>
      </c>
      <c r="AQ17" s="68">
        <v>0</v>
      </c>
      <c r="AR17" s="68">
        <v>0</v>
      </c>
      <c r="AS17" s="68">
        <v>0</v>
      </c>
      <c r="AT17" s="68">
        <v>0</v>
      </c>
      <c r="AU17" s="68">
        <v>1</v>
      </c>
      <c r="AV17" s="68">
        <v>0</v>
      </c>
      <c r="AW17" s="68">
        <v>0</v>
      </c>
      <c r="AX17" s="68">
        <v>1</v>
      </c>
    </row>
    <row r="18" spans="1:50" s="18" customFormat="1" ht="15.75" customHeight="1">
      <c r="A18" s="346"/>
      <c r="B18" s="65" t="s">
        <v>225</v>
      </c>
      <c r="C18" s="68">
        <v>7</v>
      </c>
      <c r="D18" s="68">
        <v>0</v>
      </c>
      <c r="E18" s="68">
        <v>0</v>
      </c>
      <c r="F18" s="68">
        <v>7</v>
      </c>
      <c r="G18" s="68">
        <v>1</v>
      </c>
      <c r="H18" s="68">
        <v>0</v>
      </c>
      <c r="I18" s="68">
        <v>0</v>
      </c>
      <c r="J18" s="68">
        <v>1</v>
      </c>
      <c r="K18" s="68">
        <v>3</v>
      </c>
      <c r="L18" s="68">
        <v>0</v>
      </c>
      <c r="M18" s="68">
        <v>0</v>
      </c>
      <c r="N18" s="68">
        <v>3</v>
      </c>
      <c r="O18" s="68">
        <v>1</v>
      </c>
      <c r="P18" s="68">
        <v>0</v>
      </c>
      <c r="Q18" s="68">
        <v>0</v>
      </c>
      <c r="R18" s="68">
        <v>1</v>
      </c>
      <c r="S18" s="68">
        <v>0</v>
      </c>
      <c r="T18" s="68">
        <v>0</v>
      </c>
      <c r="U18" s="68">
        <v>0</v>
      </c>
      <c r="V18" s="68">
        <v>0</v>
      </c>
      <c r="W18" s="68">
        <v>2</v>
      </c>
      <c r="X18" s="68">
        <v>0</v>
      </c>
      <c r="Y18" s="68">
        <v>0</v>
      </c>
      <c r="Z18" s="68">
        <v>2</v>
      </c>
      <c r="AA18" s="68">
        <v>14</v>
      </c>
      <c r="AB18" s="68">
        <v>0</v>
      </c>
      <c r="AC18" s="68">
        <v>0</v>
      </c>
      <c r="AD18" s="68">
        <v>14</v>
      </c>
      <c r="AE18" s="68">
        <v>6</v>
      </c>
      <c r="AF18" s="68">
        <v>0</v>
      </c>
      <c r="AG18" s="68">
        <v>0</v>
      </c>
      <c r="AH18" s="68">
        <v>6</v>
      </c>
      <c r="AI18" s="68">
        <v>3</v>
      </c>
      <c r="AJ18" s="68">
        <v>0</v>
      </c>
      <c r="AK18" s="68">
        <v>0</v>
      </c>
      <c r="AL18" s="68">
        <v>3</v>
      </c>
      <c r="AM18" s="68">
        <v>2</v>
      </c>
      <c r="AN18" s="68">
        <v>0</v>
      </c>
      <c r="AO18" s="68">
        <v>0</v>
      </c>
      <c r="AP18" s="68">
        <v>2</v>
      </c>
      <c r="AQ18" s="68">
        <v>1</v>
      </c>
      <c r="AR18" s="68">
        <v>0</v>
      </c>
      <c r="AS18" s="68">
        <v>0</v>
      </c>
      <c r="AT18" s="68">
        <v>1</v>
      </c>
      <c r="AU18" s="68">
        <v>2</v>
      </c>
      <c r="AV18" s="68">
        <v>0</v>
      </c>
      <c r="AW18" s="68">
        <v>0</v>
      </c>
      <c r="AX18" s="68">
        <v>2</v>
      </c>
    </row>
    <row r="19" spans="1:50" s="18" customFormat="1" ht="15.75" customHeight="1">
      <c r="A19" s="63" t="s">
        <v>204</v>
      </c>
      <c r="B19" s="64" t="s">
        <v>223</v>
      </c>
      <c r="C19" s="67">
        <v>52</v>
      </c>
      <c r="D19" s="67">
        <v>21</v>
      </c>
      <c r="E19" s="67">
        <v>9</v>
      </c>
      <c r="F19" s="67">
        <v>22</v>
      </c>
      <c r="G19" s="67">
        <v>7</v>
      </c>
      <c r="H19" s="67">
        <v>1</v>
      </c>
      <c r="I19" s="67">
        <v>1</v>
      </c>
      <c r="J19" s="67">
        <v>5</v>
      </c>
      <c r="K19" s="67">
        <v>10</v>
      </c>
      <c r="L19" s="67">
        <v>2</v>
      </c>
      <c r="M19" s="67">
        <v>3</v>
      </c>
      <c r="N19" s="67">
        <v>5</v>
      </c>
      <c r="O19" s="67">
        <v>20</v>
      </c>
      <c r="P19" s="67">
        <v>13</v>
      </c>
      <c r="Q19" s="67">
        <v>4</v>
      </c>
      <c r="R19" s="67">
        <v>3</v>
      </c>
      <c r="S19" s="67">
        <v>1</v>
      </c>
      <c r="T19" s="67">
        <v>0</v>
      </c>
      <c r="U19" s="67">
        <v>0</v>
      </c>
      <c r="V19" s="67">
        <v>1</v>
      </c>
      <c r="W19" s="67">
        <v>14</v>
      </c>
      <c r="X19" s="67">
        <v>5</v>
      </c>
      <c r="Y19" s="67">
        <v>1</v>
      </c>
      <c r="Z19" s="67">
        <v>8</v>
      </c>
      <c r="AA19" s="67">
        <v>131</v>
      </c>
      <c r="AB19" s="67">
        <v>44</v>
      </c>
      <c r="AC19" s="67">
        <v>19</v>
      </c>
      <c r="AD19" s="67">
        <v>68</v>
      </c>
      <c r="AE19" s="67">
        <v>21</v>
      </c>
      <c r="AF19" s="67">
        <v>3</v>
      </c>
      <c r="AG19" s="67">
        <v>2</v>
      </c>
      <c r="AH19" s="67">
        <v>16</v>
      </c>
      <c r="AI19" s="67">
        <v>32</v>
      </c>
      <c r="AJ19" s="67">
        <v>4</v>
      </c>
      <c r="AK19" s="67">
        <v>6</v>
      </c>
      <c r="AL19" s="67">
        <v>22</v>
      </c>
      <c r="AM19" s="67">
        <v>40</v>
      </c>
      <c r="AN19" s="67">
        <v>27</v>
      </c>
      <c r="AO19" s="67">
        <v>6</v>
      </c>
      <c r="AP19" s="67">
        <v>7</v>
      </c>
      <c r="AQ19" s="67">
        <v>3</v>
      </c>
      <c r="AR19" s="67">
        <v>0</v>
      </c>
      <c r="AS19" s="67">
        <v>0</v>
      </c>
      <c r="AT19" s="67">
        <v>3</v>
      </c>
      <c r="AU19" s="67">
        <v>35</v>
      </c>
      <c r="AV19" s="67">
        <v>10</v>
      </c>
      <c r="AW19" s="67">
        <v>5</v>
      </c>
      <c r="AX19" s="67">
        <v>20</v>
      </c>
    </row>
    <row r="20" spans="1:50" s="18" customFormat="1" ht="15.75" customHeight="1">
      <c r="A20" s="345" t="s">
        <v>26</v>
      </c>
      <c r="B20" s="65" t="s">
        <v>224</v>
      </c>
      <c r="C20" s="68">
        <v>34</v>
      </c>
      <c r="D20" s="68">
        <v>16</v>
      </c>
      <c r="E20" s="68">
        <v>3</v>
      </c>
      <c r="F20" s="68">
        <v>15</v>
      </c>
      <c r="G20" s="68">
        <v>4</v>
      </c>
      <c r="H20" s="68">
        <v>1</v>
      </c>
      <c r="I20" s="68">
        <v>0</v>
      </c>
      <c r="J20" s="68">
        <v>3</v>
      </c>
      <c r="K20" s="68">
        <v>6</v>
      </c>
      <c r="L20" s="68">
        <v>2</v>
      </c>
      <c r="M20" s="68">
        <v>1</v>
      </c>
      <c r="N20" s="68">
        <v>3</v>
      </c>
      <c r="O20" s="68">
        <v>14</v>
      </c>
      <c r="P20" s="68">
        <v>10</v>
      </c>
      <c r="Q20" s="68">
        <v>2</v>
      </c>
      <c r="R20" s="68">
        <v>2</v>
      </c>
      <c r="S20" s="68">
        <v>1</v>
      </c>
      <c r="T20" s="68">
        <v>0</v>
      </c>
      <c r="U20" s="68">
        <v>0</v>
      </c>
      <c r="V20" s="68">
        <v>1</v>
      </c>
      <c r="W20" s="68">
        <v>9</v>
      </c>
      <c r="X20" s="68">
        <v>3</v>
      </c>
      <c r="Y20" s="68">
        <v>0</v>
      </c>
      <c r="Z20" s="68">
        <v>6</v>
      </c>
      <c r="AA20" s="68">
        <v>84</v>
      </c>
      <c r="AB20" s="68">
        <v>32</v>
      </c>
      <c r="AC20" s="68">
        <v>7</v>
      </c>
      <c r="AD20" s="68">
        <v>45</v>
      </c>
      <c r="AE20" s="68">
        <v>9</v>
      </c>
      <c r="AF20" s="68">
        <v>1</v>
      </c>
      <c r="AG20" s="68">
        <v>0</v>
      </c>
      <c r="AH20" s="68">
        <v>8</v>
      </c>
      <c r="AI20" s="68">
        <v>22</v>
      </c>
      <c r="AJ20" s="68">
        <v>3</v>
      </c>
      <c r="AK20" s="68">
        <v>3</v>
      </c>
      <c r="AL20" s="68">
        <v>16</v>
      </c>
      <c r="AM20" s="68">
        <v>30</v>
      </c>
      <c r="AN20" s="68">
        <v>22</v>
      </c>
      <c r="AO20" s="68">
        <v>3</v>
      </c>
      <c r="AP20" s="68">
        <v>5</v>
      </c>
      <c r="AQ20" s="68">
        <v>1</v>
      </c>
      <c r="AR20" s="68">
        <v>0</v>
      </c>
      <c r="AS20" s="68">
        <v>0</v>
      </c>
      <c r="AT20" s="68">
        <v>1</v>
      </c>
      <c r="AU20" s="68">
        <v>22</v>
      </c>
      <c r="AV20" s="68">
        <v>6</v>
      </c>
      <c r="AW20" s="68">
        <v>1</v>
      </c>
      <c r="AX20" s="68">
        <v>15</v>
      </c>
    </row>
    <row r="21" spans="1:50" s="18" customFormat="1" ht="15.75" customHeight="1">
      <c r="A21" s="346"/>
      <c r="B21" s="65" t="s">
        <v>225</v>
      </c>
      <c r="C21" s="68">
        <v>18</v>
      </c>
      <c r="D21" s="68">
        <v>5</v>
      </c>
      <c r="E21" s="68">
        <v>6</v>
      </c>
      <c r="F21" s="68">
        <v>7</v>
      </c>
      <c r="G21" s="68">
        <v>3</v>
      </c>
      <c r="H21" s="68">
        <v>0</v>
      </c>
      <c r="I21" s="68">
        <v>1</v>
      </c>
      <c r="J21" s="68">
        <v>2</v>
      </c>
      <c r="K21" s="68">
        <v>4</v>
      </c>
      <c r="L21" s="68">
        <v>0</v>
      </c>
      <c r="M21" s="68">
        <v>2</v>
      </c>
      <c r="N21" s="68">
        <v>2</v>
      </c>
      <c r="O21" s="68">
        <v>6</v>
      </c>
      <c r="P21" s="68">
        <v>3</v>
      </c>
      <c r="Q21" s="68">
        <v>2</v>
      </c>
      <c r="R21" s="68">
        <v>1</v>
      </c>
      <c r="S21" s="68">
        <v>0</v>
      </c>
      <c r="T21" s="68">
        <v>0</v>
      </c>
      <c r="U21" s="68">
        <v>0</v>
      </c>
      <c r="V21" s="68">
        <v>0</v>
      </c>
      <c r="W21" s="68">
        <v>5</v>
      </c>
      <c r="X21" s="68">
        <v>2</v>
      </c>
      <c r="Y21" s="68">
        <v>1</v>
      </c>
      <c r="Z21" s="68">
        <v>2</v>
      </c>
      <c r="AA21" s="68">
        <v>47</v>
      </c>
      <c r="AB21" s="68">
        <v>12</v>
      </c>
      <c r="AC21" s="68">
        <v>12</v>
      </c>
      <c r="AD21" s="68">
        <v>23</v>
      </c>
      <c r="AE21" s="68">
        <v>12</v>
      </c>
      <c r="AF21" s="68">
        <v>2</v>
      </c>
      <c r="AG21" s="68">
        <v>2</v>
      </c>
      <c r="AH21" s="68">
        <v>8</v>
      </c>
      <c r="AI21" s="68">
        <v>10</v>
      </c>
      <c r="AJ21" s="68">
        <v>1</v>
      </c>
      <c r="AK21" s="68">
        <v>3</v>
      </c>
      <c r="AL21" s="68">
        <v>6</v>
      </c>
      <c r="AM21" s="68">
        <v>10</v>
      </c>
      <c r="AN21" s="68">
        <v>5</v>
      </c>
      <c r="AO21" s="68">
        <v>3</v>
      </c>
      <c r="AP21" s="68">
        <v>2</v>
      </c>
      <c r="AQ21" s="68">
        <v>2</v>
      </c>
      <c r="AR21" s="68">
        <v>0</v>
      </c>
      <c r="AS21" s="68">
        <v>0</v>
      </c>
      <c r="AT21" s="68">
        <v>2</v>
      </c>
      <c r="AU21" s="68">
        <v>13</v>
      </c>
      <c r="AV21" s="68">
        <v>4</v>
      </c>
      <c r="AW21" s="68">
        <v>4</v>
      </c>
      <c r="AX21" s="68">
        <v>5</v>
      </c>
    </row>
    <row r="22" spans="1:50" s="18" customFormat="1" ht="15.75" customHeight="1">
      <c r="A22" s="63" t="s">
        <v>205</v>
      </c>
      <c r="B22" s="64" t="s">
        <v>223</v>
      </c>
      <c r="C22" s="67">
        <v>22</v>
      </c>
      <c r="D22" s="67">
        <v>4</v>
      </c>
      <c r="E22" s="67">
        <v>7</v>
      </c>
      <c r="F22" s="67">
        <v>11</v>
      </c>
      <c r="G22" s="67">
        <v>9</v>
      </c>
      <c r="H22" s="67">
        <v>2</v>
      </c>
      <c r="I22" s="67">
        <v>1</v>
      </c>
      <c r="J22" s="67">
        <v>6</v>
      </c>
      <c r="K22" s="67">
        <v>1</v>
      </c>
      <c r="L22" s="67">
        <v>0</v>
      </c>
      <c r="M22" s="67">
        <v>1</v>
      </c>
      <c r="N22" s="67">
        <v>0</v>
      </c>
      <c r="O22" s="67">
        <v>0</v>
      </c>
      <c r="P22" s="67">
        <v>0</v>
      </c>
      <c r="Q22" s="67">
        <v>0</v>
      </c>
      <c r="R22" s="67">
        <v>0</v>
      </c>
      <c r="S22" s="67">
        <v>0</v>
      </c>
      <c r="T22" s="67">
        <v>0</v>
      </c>
      <c r="U22" s="67">
        <v>0</v>
      </c>
      <c r="V22" s="67">
        <v>0</v>
      </c>
      <c r="W22" s="67">
        <v>12</v>
      </c>
      <c r="X22" s="67">
        <v>2</v>
      </c>
      <c r="Y22" s="67">
        <v>5</v>
      </c>
      <c r="Z22" s="67">
        <v>5</v>
      </c>
      <c r="AA22" s="67">
        <v>48</v>
      </c>
      <c r="AB22" s="67">
        <v>8</v>
      </c>
      <c r="AC22" s="67">
        <v>13</v>
      </c>
      <c r="AD22" s="67">
        <v>27</v>
      </c>
      <c r="AE22" s="67">
        <v>17</v>
      </c>
      <c r="AF22" s="67">
        <v>4</v>
      </c>
      <c r="AG22" s="67">
        <v>1</v>
      </c>
      <c r="AH22" s="67">
        <v>12</v>
      </c>
      <c r="AI22" s="67">
        <v>1</v>
      </c>
      <c r="AJ22" s="67">
        <v>0</v>
      </c>
      <c r="AK22" s="67">
        <v>1</v>
      </c>
      <c r="AL22" s="67">
        <v>0</v>
      </c>
      <c r="AM22" s="67">
        <v>0</v>
      </c>
      <c r="AN22" s="67">
        <v>0</v>
      </c>
      <c r="AO22" s="67">
        <v>0</v>
      </c>
      <c r="AP22" s="67">
        <v>0</v>
      </c>
      <c r="AQ22" s="67">
        <v>0</v>
      </c>
      <c r="AR22" s="67">
        <v>0</v>
      </c>
      <c r="AS22" s="67">
        <v>0</v>
      </c>
      <c r="AT22" s="67">
        <v>0</v>
      </c>
      <c r="AU22" s="67">
        <v>30</v>
      </c>
      <c r="AV22" s="67">
        <v>4</v>
      </c>
      <c r="AW22" s="67">
        <v>11</v>
      </c>
      <c r="AX22" s="67">
        <v>15</v>
      </c>
    </row>
    <row r="23" spans="1:50" s="18" customFormat="1" ht="15.75" customHeight="1">
      <c r="A23" s="345" t="s">
        <v>27</v>
      </c>
      <c r="B23" s="65" t="s">
        <v>224</v>
      </c>
      <c r="C23" s="68">
        <v>8</v>
      </c>
      <c r="D23" s="68">
        <v>2</v>
      </c>
      <c r="E23" s="68">
        <v>4</v>
      </c>
      <c r="F23" s="68">
        <v>2</v>
      </c>
      <c r="G23" s="68">
        <v>1</v>
      </c>
      <c r="H23" s="68">
        <v>0</v>
      </c>
      <c r="I23" s="68">
        <v>0</v>
      </c>
      <c r="J23" s="68">
        <v>1</v>
      </c>
      <c r="K23" s="68">
        <v>0</v>
      </c>
      <c r="L23" s="68">
        <v>0</v>
      </c>
      <c r="M23" s="68">
        <v>0</v>
      </c>
      <c r="N23" s="68">
        <v>0</v>
      </c>
      <c r="O23" s="68">
        <v>0</v>
      </c>
      <c r="P23" s="68">
        <v>0</v>
      </c>
      <c r="Q23" s="68">
        <v>0</v>
      </c>
      <c r="R23" s="68">
        <v>0</v>
      </c>
      <c r="S23" s="68">
        <v>0</v>
      </c>
      <c r="T23" s="68">
        <v>0</v>
      </c>
      <c r="U23" s="68">
        <v>0</v>
      </c>
      <c r="V23" s="68">
        <v>0</v>
      </c>
      <c r="W23" s="68">
        <v>7</v>
      </c>
      <c r="X23" s="68">
        <v>2</v>
      </c>
      <c r="Y23" s="68">
        <v>4</v>
      </c>
      <c r="Z23" s="68">
        <v>1</v>
      </c>
      <c r="AA23" s="68">
        <v>16</v>
      </c>
      <c r="AB23" s="68">
        <v>2</v>
      </c>
      <c r="AC23" s="68">
        <v>6</v>
      </c>
      <c r="AD23" s="68">
        <v>8</v>
      </c>
      <c r="AE23" s="68">
        <v>5</v>
      </c>
      <c r="AF23" s="68">
        <v>0</v>
      </c>
      <c r="AG23" s="68">
        <v>0</v>
      </c>
      <c r="AH23" s="68">
        <v>5</v>
      </c>
      <c r="AI23" s="68">
        <v>0</v>
      </c>
      <c r="AJ23" s="68">
        <v>0</v>
      </c>
      <c r="AK23" s="68">
        <v>0</v>
      </c>
      <c r="AL23" s="68">
        <v>0</v>
      </c>
      <c r="AM23" s="68">
        <v>0</v>
      </c>
      <c r="AN23" s="68">
        <v>0</v>
      </c>
      <c r="AO23" s="68">
        <v>0</v>
      </c>
      <c r="AP23" s="68">
        <v>0</v>
      </c>
      <c r="AQ23" s="68">
        <v>0</v>
      </c>
      <c r="AR23" s="68">
        <v>0</v>
      </c>
      <c r="AS23" s="68">
        <v>0</v>
      </c>
      <c r="AT23" s="68">
        <v>0</v>
      </c>
      <c r="AU23" s="68">
        <v>11</v>
      </c>
      <c r="AV23" s="68">
        <v>2</v>
      </c>
      <c r="AW23" s="68">
        <v>6</v>
      </c>
      <c r="AX23" s="68">
        <v>3</v>
      </c>
    </row>
    <row r="24" spans="1:50" s="18" customFormat="1" ht="15.75" customHeight="1">
      <c r="A24" s="346"/>
      <c r="B24" s="65" t="s">
        <v>225</v>
      </c>
      <c r="C24" s="68">
        <v>14</v>
      </c>
      <c r="D24" s="68">
        <v>2</v>
      </c>
      <c r="E24" s="68">
        <v>3</v>
      </c>
      <c r="F24" s="68">
        <v>9</v>
      </c>
      <c r="G24" s="68">
        <v>8</v>
      </c>
      <c r="H24" s="68">
        <v>2</v>
      </c>
      <c r="I24" s="68">
        <v>1</v>
      </c>
      <c r="J24" s="68">
        <v>5</v>
      </c>
      <c r="K24" s="68">
        <v>1</v>
      </c>
      <c r="L24" s="68">
        <v>0</v>
      </c>
      <c r="M24" s="68">
        <v>1</v>
      </c>
      <c r="N24" s="68">
        <v>0</v>
      </c>
      <c r="O24" s="68">
        <v>0</v>
      </c>
      <c r="P24" s="68">
        <v>0</v>
      </c>
      <c r="Q24" s="68">
        <v>0</v>
      </c>
      <c r="R24" s="68">
        <v>0</v>
      </c>
      <c r="S24" s="68">
        <v>0</v>
      </c>
      <c r="T24" s="68">
        <v>0</v>
      </c>
      <c r="U24" s="68">
        <v>0</v>
      </c>
      <c r="V24" s="68">
        <v>0</v>
      </c>
      <c r="W24" s="68">
        <v>5</v>
      </c>
      <c r="X24" s="68">
        <v>0</v>
      </c>
      <c r="Y24" s="68">
        <v>1</v>
      </c>
      <c r="Z24" s="68">
        <v>4</v>
      </c>
      <c r="AA24" s="68">
        <v>32</v>
      </c>
      <c r="AB24" s="68">
        <v>6</v>
      </c>
      <c r="AC24" s="68">
        <v>7</v>
      </c>
      <c r="AD24" s="68">
        <v>19</v>
      </c>
      <c r="AE24" s="68">
        <v>12</v>
      </c>
      <c r="AF24" s="68">
        <v>4</v>
      </c>
      <c r="AG24" s="68">
        <v>1</v>
      </c>
      <c r="AH24" s="68">
        <v>7</v>
      </c>
      <c r="AI24" s="68">
        <v>1</v>
      </c>
      <c r="AJ24" s="68">
        <v>0</v>
      </c>
      <c r="AK24" s="68">
        <v>1</v>
      </c>
      <c r="AL24" s="68">
        <v>0</v>
      </c>
      <c r="AM24" s="68">
        <v>0</v>
      </c>
      <c r="AN24" s="68">
        <v>0</v>
      </c>
      <c r="AO24" s="68">
        <v>0</v>
      </c>
      <c r="AP24" s="68">
        <v>0</v>
      </c>
      <c r="AQ24" s="68">
        <v>0</v>
      </c>
      <c r="AR24" s="68">
        <v>0</v>
      </c>
      <c r="AS24" s="68">
        <v>0</v>
      </c>
      <c r="AT24" s="68">
        <v>0</v>
      </c>
      <c r="AU24" s="68">
        <v>19</v>
      </c>
      <c r="AV24" s="68">
        <v>2</v>
      </c>
      <c r="AW24" s="68">
        <v>5</v>
      </c>
      <c r="AX24" s="68">
        <v>12</v>
      </c>
    </row>
    <row r="25" spans="1:50" s="18" customFormat="1" ht="15.75" customHeight="1">
      <c r="A25" s="63" t="s">
        <v>206</v>
      </c>
      <c r="B25" s="64" t="s">
        <v>223</v>
      </c>
      <c r="C25" s="67">
        <v>38</v>
      </c>
      <c r="D25" s="67">
        <v>12</v>
      </c>
      <c r="E25" s="67">
        <v>6</v>
      </c>
      <c r="F25" s="67">
        <v>20</v>
      </c>
      <c r="G25" s="67">
        <v>18</v>
      </c>
      <c r="H25" s="67">
        <v>4</v>
      </c>
      <c r="I25" s="67">
        <v>1</v>
      </c>
      <c r="J25" s="67">
        <v>13</v>
      </c>
      <c r="K25" s="67">
        <v>0</v>
      </c>
      <c r="L25" s="67">
        <v>0</v>
      </c>
      <c r="M25" s="67">
        <v>0</v>
      </c>
      <c r="N25" s="67">
        <v>0</v>
      </c>
      <c r="O25" s="67">
        <v>6</v>
      </c>
      <c r="P25" s="67">
        <v>1</v>
      </c>
      <c r="Q25" s="67">
        <v>3</v>
      </c>
      <c r="R25" s="67">
        <v>2</v>
      </c>
      <c r="S25" s="67">
        <v>1</v>
      </c>
      <c r="T25" s="67">
        <v>1</v>
      </c>
      <c r="U25" s="67">
        <v>0</v>
      </c>
      <c r="V25" s="67">
        <v>0</v>
      </c>
      <c r="W25" s="67">
        <v>13</v>
      </c>
      <c r="X25" s="67">
        <v>6</v>
      </c>
      <c r="Y25" s="67">
        <v>2</v>
      </c>
      <c r="Z25" s="67">
        <v>5</v>
      </c>
      <c r="AA25" s="67">
        <v>69</v>
      </c>
      <c r="AB25" s="67">
        <v>18</v>
      </c>
      <c r="AC25" s="67">
        <v>9</v>
      </c>
      <c r="AD25" s="67">
        <v>42</v>
      </c>
      <c r="AE25" s="67">
        <v>39</v>
      </c>
      <c r="AF25" s="67">
        <v>8</v>
      </c>
      <c r="AG25" s="67">
        <v>1</v>
      </c>
      <c r="AH25" s="67">
        <v>30</v>
      </c>
      <c r="AI25" s="67">
        <v>0</v>
      </c>
      <c r="AJ25" s="67">
        <v>0</v>
      </c>
      <c r="AK25" s="67">
        <v>0</v>
      </c>
      <c r="AL25" s="67">
        <v>0</v>
      </c>
      <c r="AM25" s="67">
        <v>11</v>
      </c>
      <c r="AN25" s="67">
        <v>1</v>
      </c>
      <c r="AO25" s="67">
        <v>6</v>
      </c>
      <c r="AP25" s="67">
        <v>4</v>
      </c>
      <c r="AQ25" s="67">
        <v>1</v>
      </c>
      <c r="AR25" s="67">
        <v>1</v>
      </c>
      <c r="AS25" s="67">
        <v>0</v>
      </c>
      <c r="AT25" s="67">
        <v>0</v>
      </c>
      <c r="AU25" s="67">
        <v>18</v>
      </c>
      <c r="AV25" s="67">
        <v>8</v>
      </c>
      <c r="AW25" s="67">
        <v>2</v>
      </c>
      <c r="AX25" s="67">
        <v>8</v>
      </c>
    </row>
    <row r="26" spans="1:50" s="18" customFormat="1" ht="15.75" customHeight="1">
      <c r="A26" s="345" t="s">
        <v>28</v>
      </c>
      <c r="B26" s="65" t="s">
        <v>224</v>
      </c>
      <c r="C26" s="68">
        <v>18</v>
      </c>
      <c r="D26" s="68">
        <v>6</v>
      </c>
      <c r="E26" s="68">
        <v>5</v>
      </c>
      <c r="F26" s="68">
        <v>7</v>
      </c>
      <c r="G26" s="68">
        <v>9</v>
      </c>
      <c r="H26" s="68">
        <v>4</v>
      </c>
      <c r="I26" s="68">
        <v>1</v>
      </c>
      <c r="J26" s="68">
        <v>4</v>
      </c>
      <c r="K26" s="68">
        <v>0</v>
      </c>
      <c r="L26" s="68">
        <v>0</v>
      </c>
      <c r="M26" s="68">
        <v>0</v>
      </c>
      <c r="N26" s="68">
        <v>0</v>
      </c>
      <c r="O26" s="68">
        <v>4</v>
      </c>
      <c r="P26" s="68">
        <v>0</v>
      </c>
      <c r="Q26" s="68">
        <v>2</v>
      </c>
      <c r="R26" s="68">
        <v>2</v>
      </c>
      <c r="S26" s="68">
        <v>1</v>
      </c>
      <c r="T26" s="68">
        <v>1</v>
      </c>
      <c r="U26" s="68">
        <v>0</v>
      </c>
      <c r="V26" s="68">
        <v>0</v>
      </c>
      <c r="W26" s="68">
        <v>4</v>
      </c>
      <c r="X26" s="68">
        <v>1</v>
      </c>
      <c r="Y26" s="68">
        <v>2</v>
      </c>
      <c r="Z26" s="68">
        <v>1</v>
      </c>
      <c r="AA26" s="68">
        <v>32</v>
      </c>
      <c r="AB26" s="68">
        <v>9</v>
      </c>
      <c r="AC26" s="68">
        <v>7</v>
      </c>
      <c r="AD26" s="68">
        <v>16</v>
      </c>
      <c r="AE26" s="68">
        <v>18</v>
      </c>
      <c r="AF26" s="68">
        <v>6</v>
      </c>
      <c r="AG26" s="68">
        <v>1</v>
      </c>
      <c r="AH26" s="68">
        <v>11</v>
      </c>
      <c r="AI26" s="68">
        <v>0</v>
      </c>
      <c r="AJ26" s="68">
        <v>0</v>
      </c>
      <c r="AK26" s="68">
        <v>0</v>
      </c>
      <c r="AL26" s="68">
        <v>0</v>
      </c>
      <c r="AM26" s="68">
        <v>7</v>
      </c>
      <c r="AN26" s="68">
        <v>0</v>
      </c>
      <c r="AO26" s="68">
        <v>4</v>
      </c>
      <c r="AP26" s="68">
        <v>3</v>
      </c>
      <c r="AQ26" s="68">
        <v>1</v>
      </c>
      <c r="AR26" s="68">
        <v>1</v>
      </c>
      <c r="AS26" s="68">
        <v>0</v>
      </c>
      <c r="AT26" s="68">
        <v>0</v>
      </c>
      <c r="AU26" s="68">
        <v>6</v>
      </c>
      <c r="AV26" s="68">
        <v>2</v>
      </c>
      <c r="AW26" s="68">
        <v>2</v>
      </c>
      <c r="AX26" s="68">
        <v>2</v>
      </c>
    </row>
    <row r="27" spans="1:50" s="18" customFormat="1" ht="15.75" customHeight="1">
      <c r="A27" s="346"/>
      <c r="B27" s="65" t="s">
        <v>225</v>
      </c>
      <c r="C27" s="68">
        <v>20</v>
      </c>
      <c r="D27" s="68">
        <v>6</v>
      </c>
      <c r="E27" s="68">
        <v>1</v>
      </c>
      <c r="F27" s="68">
        <v>13</v>
      </c>
      <c r="G27" s="68">
        <v>9</v>
      </c>
      <c r="H27" s="68">
        <v>0</v>
      </c>
      <c r="I27" s="68">
        <v>0</v>
      </c>
      <c r="J27" s="68">
        <v>9</v>
      </c>
      <c r="K27" s="68">
        <v>0</v>
      </c>
      <c r="L27" s="68">
        <v>0</v>
      </c>
      <c r="M27" s="68">
        <v>0</v>
      </c>
      <c r="N27" s="68">
        <v>0</v>
      </c>
      <c r="O27" s="68">
        <v>2</v>
      </c>
      <c r="P27" s="68">
        <v>1</v>
      </c>
      <c r="Q27" s="68">
        <v>1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9</v>
      </c>
      <c r="X27" s="68">
        <v>5</v>
      </c>
      <c r="Y27" s="68">
        <v>0</v>
      </c>
      <c r="Z27" s="68">
        <v>4</v>
      </c>
      <c r="AA27" s="68">
        <v>37</v>
      </c>
      <c r="AB27" s="68">
        <v>9</v>
      </c>
      <c r="AC27" s="68">
        <v>2</v>
      </c>
      <c r="AD27" s="68">
        <v>26</v>
      </c>
      <c r="AE27" s="68">
        <v>21</v>
      </c>
      <c r="AF27" s="68">
        <v>2</v>
      </c>
      <c r="AG27" s="68">
        <v>0</v>
      </c>
      <c r="AH27" s="68">
        <v>19</v>
      </c>
      <c r="AI27" s="68">
        <v>0</v>
      </c>
      <c r="AJ27" s="68">
        <v>0</v>
      </c>
      <c r="AK27" s="68">
        <v>0</v>
      </c>
      <c r="AL27" s="68">
        <v>0</v>
      </c>
      <c r="AM27" s="68">
        <v>4</v>
      </c>
      <c r="AN27" s="68">
        <v>1</v>
      </c>
      <c r="AO27" s="68">
        <v>2</v>
      </c>
      <c r="AP27" s="68">
        <v>1</v>
      </c>
      <c r="AQ27" s="68">
        <v>0</v>
      </c>
      <c r="AR27" s="68">
        <v>0</v>
      </c>
      <c r="AS27" s="68">
        <v>0</v>
      </c>
      <c r="AT27" s="68">
        <v>0</v>
      </c>
      <c r="AU27" s="68">
        <v>12</v>
      </c>
      <c r="AV27" s="68">
        <v>6</v>
      </c>
      <c r="AW27" s="68">
        <v>0</v>
      </c>
      <c r="AX27" s="68">
        <v>6</v>
      </c>
    </row>
    <row r="28" spans="1:50" ht="15.75" customHeight="1">
      <c r="A28" s="63" t="s">
        <v>207</v>
      </c>
      <c r="B28" s="64" t="s">
        <v>223</v>
      </c>
      <c r="C28" s="67">
        <v>3</v>
      </c>
      <c r="D28" s="67">
        <v>2</v>
      </c>
      <c r="E28" s="67">
        <v>1</v>
      </c>
      <c r="F28" s="67">
        <v>0</v>
      </c>
      <c r="G28" s="67">
        <v>0</v>
      </c>
      <c r="H28" s="67">
        <v>0</v>
      </c>
      <c r="I28" s="67">
        <v>0</v>
      </c>
      <c r="J28" s="67">
        <v>0</v>
      </c>
      <c r="K28" s="67">
        <v>0</v>
      </c>
      <c r="L28" s="67">
        <v>0</v>
      </c>
      <c r="M28" s="67">
        <v>0</v>
      </c>
      <c r="N28" s="67">
        <v>0</v>
      </c>
      <c r="O28" s="67">
        <v>0</v>
      </c>
      <c r="P28" s="67">
        <v>0</v>
      </c>
      <c r="Q28" s="67">
        <v>0</v>
      </c>
      <c r="R28" s="67">
        <v>0</v>
      </c>
      <c r="S28" s="67">
        <v>3</v>
      </c>
      <c r="T28" s="67">
        <v>2</v>
      </c>
      <c r="U28" s="67">
        <v>1</v>
      </c>
      <c r="V28" s="67">
        <v>0</v>
      </c>
      <c r="W28" s="67">
        <v>0</v>
      </c>
      <c r="X28" s="67">
        <v>0</v>
      </c>
      <c r="Y28" s="67">
        <v>0</v>
      </c>
      <c r="Z28" s="67">
        <v>0</v>
      </c>
      <c r="AA28" s="67">
        <v>6</v>
      </c>
      <c r="AB28" s="67">
        <v>4</v>
      </c>
      <c r="AC28" s="67">
        <v>1</v>
      </c>
      <c r="AD28" s="67">
        <v>1</v>
      </c>
      <c r="AE28" s="67">
        <v>1</v>
      </c>
      <c r="AF28" s="67">
        <v>1</v>
      </c>
      <c r="AG28" s="67">
        <v>0</v>
      </c>
      <c r="AH28" s="67">
        <v>0</v>
      </c>
      <c r="AI28" s="67">
        <v>1</v>
      </c>
      <c r="AJ28" s="67">
        <v>1</v>
      </c>
      <c r="AK28" s="67">
        <v>0</v>
      </c>
      <c r="AL28" s="67">
        <v>0</v>
      </c>
      <c r="AM28" s="67">
        <v>3</v>
      </c>
      <c r="AN28" s="67">
        <v>1</v>
      </c>
      <c r="AO28" s="67">
        <v>1</v>
      </c>
      <c r="AP28" s="67">
        <v>1</v>
      </c>
      <c r="AQ28" s="67">
        <v>1</v>
      </c>
      <c r="AR28" s="67">
        <v>1</v>
      </c>
      <c r="AS28" s="67">
        <v>0</v>
      </c>
      <c r="AT28" s="67">
        <v>0</v>
      </c>
      <c r="AU28" s="67">
        <v>0</v>
      </c>
      <c r="AV28" s="67">
        <v>0</v>
      </c>
      <c r="AW28" s="67">
        <v>0</v>
      </c>
      <c r="AX28" s="67">
        <v>0</v>
      </c>
    </row>
    <row r="29" spans="1:50" ht="15.75" customHeight="1">
      <c r="A29" s="345" t="s">
        <v>7</v>
      </c>
      <c r="B29" s="65" t="s">
        <v>224</v>
      </c>
      <c r="C29" s="68">
        <v>2</v>
      </c>
      <c r="D29" s="68">
        <v>2</v>
      </c>
      <c r="E29" s="68">
        <v>0</v>
      </c>
      <c r="F29" s="68">
        <v>0</v>
      </c>
      <c r="G29" s="68">
        <v>0</v>
      </c>
      <c r="H29" s="68">
        <v>0</v>
      </c>
      <c r="I29" s="68">
        <v>0</v>
      </c>
      <c r="J29" s="68">
        <v>0</v>
      </c>
      <c r="K29" s="68">
        <v>0</v>
      </c>
      <c r="L29" s="68">
        <v>0</v>
      </c>
      <c r="M29" s="68">
        <v>0</v>
      </c>
      <c r="N29" s="68">
        <v>0</v>
      </c>
      <c r="O29" s="68">
        <v>0</v>
      </c>
      <c r="P29" s="68">
        <v>0</v>
      </c>
      <c r="Q29" s="68">
        <v>0</v>
      </c>
      <c r="R29" s="68">
        <v>0</v>
      </c>
      <c r="S29" s="68">
        <v>2</v>
      </c>
      <c r="T29" s="68">
        <v>2</v>
      </c>
      <c r="U29" s="68">
        <v>0</v>
      </c>
      <c r="V29" s="68">
        <v>0</v>
      </c>
      <c r="W29" s="68">
        <v>0</v>
      </c>
      <c r="X29" s="68">
        <v>0</v>
      </c>
      <c r="Y29" s="68">
        <v>0</v>
      </c>
      <c r="Z29" s="68">
        <v>0</v>
      </c>
      <c r="AA29" s="68">
        <v>5</v>
      </c>
      <c r="AB29" s="68">
        <v>3</v>
      </c>
      <c r="AC29" s="68">
        <v>1</v>
      </c>
      <c r="AD29" s="68">
        <v>1</v>
      </c>
      <c r="AE29" s="68">
        <v>0</v>
      </c>
      <c r="AF29" s="68">
        <v>0</v>
      </c>
      <c r="AG29" s="68">
        <v>0</v>
      </c>
      <c r="AH29" s="68">
        <v>0</v>
      </c>
      <c r="AI29" s="68">
        <v>1</v>
      </c>
      <c r="AJ29" s="68">
        <v>1</v>
      </c>
      <c r="AK29" s="68">
        <v>0</v>
      </c>
      <c r="AL29" s="68">
        <v>0</v>
      </c>
      <c r="AM29" s="68">
        <v>3</v>
      </c>
      <c r="AN29" s="68">
        <v>1</v>
      </c>
      <c r="AO29" s="68">
        <v>1</v>
      </c>
      <c r="AP29" s="68">
        <v>1</v>
      </c>
      <c r="AQ29" s="68">
        <v>1</v>
      </c>
      <c r="AR29" s="68">
        <v>1</v>
      </c>
      <c r="AS29" s="68">
        <v>0</v>
      </c>
      <c r="AT29" s="68">
        <v>0</v>
      </c>
      <c r="AU29" s="68">
        <v>0</v>
      </c>
      <c r="AV29" s="68">
        <v>0</v>
      </c>
      <c r="AW29" s="68">
        <v>0</v>
      </c>
      <c r="AX29" s="68">
        <v>0</v>
      </c>
    </row>
    <row r="30" spans="1:50" ht="15.75" customHeight="1">
      <c r="A30" s="346"/>
      <c r="B30" s="65" t="s">
        <v>225</v>
      </c>
      <c r="C30" s="68">
        <v>1</v>
      </c>
      <c r="D30" s="68">
        <v>0</v>
      </c>
      <c r="E30" s="68">
        <v>1</v>
      </c>
      <c r="F30" s="68">
        <v>0</v>
      </c>
      <c r="G30" s="68">
        <v>0</v>
      </c>
      <c r="H30" s="68">
        <v>0</v>
      </c>
      <c r="I30" s="68">
        <v>0</v>
      </c>
      <c r="J30" s="68">
        <v>0</v>
      </c>
      <c r="K30" s="68">
        <v>0</v>
      </c>
      <c r="L30" s="68">
        <v>0</v>
      </c>
      <c r="M30" s="68">
        <v>0</v>
      </c>
      <c r="N30" s="68">
        <v>0</v>
      </c>
      <c r="O30" s="68">
        <v>0</v>
      </c>
      <c r="P30" s="68">
        <v>0</v>
      </c>
      <c r="Q30" s="68">
        <v>0</v>
      </c>
      <c r="R30" s="68">
        <v>0</v>
      </c>
      <c r="S30" s="68">
        <v>1</v>
      </c>
      <c r="T30" s="68">
        <v>0</v>
      </c>
      <c r="U30" s="68">
        <v>1</v>
      </c>
      <c r="V30" s="68">
        <v>0</v>
      </c>
      <c r="W30" s="68">
        <v>0</v>
      </c>
      <c r="X30" s="68">
        <v>0</v>
      </c>
      <c r="Y30" s="68">
        <v>0</v>
      </c>
      <c r="Z30" s="68">
        <v>0</v>
      </c>
      <c r="AA30" s="68">
        <v>1</v>
      </c>
      <c r="AB30" s="68">
        <v>1</v>
      </c>
      <c r="AC30" s="68">
        <v>0</v>
      </c>
      <c r="AD30" s="68">
        <v>0</v>
      </c>
      <c r="AE30" s="68">
        <v>1</v>
      </c>
      <c r="AF30" s="68">
        <v>1</v>
      </c>
      <c r="AG30" s="68">
        <v>0</v>
      </c>
      <c r="AH30" s="68">
        <v>0</v>
      </c>
      <c r="AI30" s="68">
        <v>0</v>
      </c>
      <c r="AJ30" s="68">
        <v>0</v>
      </c>
      <c r="AK30" s="68">
        <v>0</v>
      </c>
      <c r="AL30" s="68">
        <v>0</v>
      </c>
      <c r="AM30" s="68">
        <v>0</v>
      </c>
      <c r="AN30" s="68">
        <v>0</v>
      </c>
      <c r="AO30" s="68">
        <v>0</v>
      </c>
      <c r="AP30" s="68">
        <v>0</v>
      </c>
      <c r="AQ30" s="68">
        <v>0</v>
      </c>
      <c r="AR30" s="68">
        <v>0</v>
      </c>
      <c r="AS30" s="68">
        <v>0</v>
      </c>
      <c r="AT30" s="68">
        <v>0</v>
      </c>
      <c r="AU30" s="68">
        <v>0</v>
      </c>
      <c r="AV30" s="68">
        <v>0</v>
      </c>
      <c r="AW30" s="68">
        <v>0</v>
      </c>
      <c r="AX30" s="68">
        <v>0</v>
      </c>
    </row>
    <row r="31" spans="1:50" ht="15.75" customHeight="1">
      <c r="A31" s="63" t="s">
        <v>208</v>
      </c>
      <c r="B31" s="64" t="s">
        <v>223</v>
      </c>
      <c r="C31" s="67">
        <v>0</v>
      </c>
      <c r="D31" s="67">
        <v>0</v>
      </c>
      <c r="E31" s="67">
        <v>0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7">
        <v>0</v>
      </c>
      <c r="M31" s="67">
        <v>0</v>
      </c>
      <c r="N31" s="67">
        <v>0</v>
      </c>
      <c r="O31" s="67">
        <v>0</v>
      </c>
      <c r="P31" s="67">
        <v>0</v>
      </c>
      <c r="Q31" s="67">
        <v>0</v>
      </c>
      <c r="R31" s="67">
        <v>0</v>
      </c>
      <c r="S31" s="67">
        <v>0</v>
      </c>
      <c r="T31" s="67">
        <v>0</v>
      </c>
      <c r="U31" s="67">
        <v>0</v>
      </c>
      <c r="V31" s="67">
        <v>0</v>
      </c>
      <c r="W31" s="67">
        <v>0</v>
      </c>
      <c r="X31" s="67">
        <v>0</v>
      </c>
      <c r="Y31" s="67">
        <v>0</v>
      </c>
      <c r="Z31" s="67">
        <v>0</v>
      </c>
      <c r="AA31" s="67">
        <v>5</v>
      </c>
      <c r="AB31" s="67">
        <v>1</v>
      </c>
      <c r="AC31" s="67">
        <v>1</v>
      </c>
      <c r="AD31" s="67">
        <v>3</v>
      </c>
      <c r="AE31" s="67">
        <v>4</v>
      </c>
      <c r="AF31" s="67">
        <v>1</v>
      </c>
      <c r="AG31" s="67">
        <v>0</v>
      </c>
      <c r="AH31" s="67">
        <v>3</v>
      </c>
      <c r="AI31" s="67">
        <v>0</v>
      </c>
      <c r="AJ31" s="67">
        <v>0</v>
      </c>
      <c r="AK31" s="67">
        <v>0</v>
      </c>
      <c r="AL31" s="67">
        <v>0</v>
      </c>
      <c r="AM31" s="67">
        <v>0</v>
      </c>
      <c r="AN31" s="67">
        <v>0</v>
      </c>
      <c r="AO31" s="67">
        <v>0</v>
      </c>
      <c r="AP31" s="67">
        <v>0</v>
      </c>
      <c r="AQ31" s="67">
        <v>1</v>
      </c>
      <c r="AR31" s="67">
        <v>0</v>
      </c>
      <c r="AS31" s="67">
        <v>1</v>
      </c>
      <c r="AT31" s="67">
        <v>0</v>
      </c>
      <c r="AU31" s="67">
        <v>0</v>
      </c>
      <c r="AV31" s="67">
        <v>0</v>
      </c>
      <c r="AW31" s="67">
        <v>0</v>
      </c>
      <c r="AX31" s="67">
        <v>0</v>
      </c>
    </row>
    <row r="32" spans="1:50" ht="15.75" customHeight="1">
      <c r="A32" s="345" t="s">
        <v>9</v>
      </c>
      <c r="B32" s="65" t="s">
        <v>224</v>
      </c>
      <c r="C32" s="68">
        <v>0</v>
      </c>
      <c r="D32" s="68">
        <v>0</v>
      </c>
      <c r="E32" s="68">
        <v>0</v>
      </c>
      <c r="F32" s="68">
        <v>0</v>
      </c>
      <c r="G32" s="68">
        <v>0</v>
      </c>
      <c r="H32" s="68">
        <v>0</v>
      </c>
      <c r="I32" s="68">
        <v>0</v>
      </c>
      <c r="J32" s="68">
        <v>0</v>
      </c>
      <c r="K32" s="68">
        <v>0</v>
      </c>
      <c r="L32" s="68">
        <v>0</v>
      </c>
      <c r="M32" s="68">
        <v>0</v>
      </c>
      <c r="N32" s="68">
        <v>0</v>
      </c>
      <c r="O32" s="68">
        <v>0</v>
      </c>
      <c r="P32" s="68">
        <v>0</v>
      </c>
      <c r="Q32" s="68">
        <v>0</v>
      </c>
      <c r="R32" s="68">
        <v>0</v>
      </c>
      <c r="S32" s="68">
        <v>0</v>
      </c>
      <c r="T32" s="68">
        <v>0</v>
      </c>
      <c r="U32" s="68">
        <v>0</v>
      </c>
      <c r="V32" s="68">
        <v>0</v>
      </c>
      <c r="W32" s="68">
        <v>0</v>
      </c>
      <c r="X32" s="68">
        <v>0</v>
      </c>
      <c r="Y32" s="68">
        <v>0</v>
      </c>
      <c r="Z32" s="68">
        <v>0</v>
      </c>
      <c r="AA32" s="68">
        <v>4</v>
      </c>
      <c r="AB32" s="68">
        <v>1</v>
      </c>
      <c r="AC32" s="68">
        <v>1</v>
      </c>
      <c r="AD32" s="68">
        <v>2</v>
      </c>
      <c r="AE32" s="68">
        <v>3</v>
      </c>
      <c r="AF32" s="68">
        <v>1</v>
      </c>
      <c r="AG32" s="68">
        <v>0</v>
      </c>
      <c r="AH32" s="68">
        <v>2</v>
      </c>
      <c r="AI32" s="68">
        <v>0</v>
      </c>
      <c r="AJ32" s="68">
        <v>0</v>
      </c>
      <c r="AK32" s="68">
        <v>0</v>
      </c>
      <c r="AL32" s="68">
        <v>0</v>
      </c>
      <c r="AM32" s="68">
        <v>0</v>
      </c>
      <c r="AN32" s="68">
        <v>0</v>
      </c>
      <c r="AO32" s="68">
        <v>0</v>
      </c>
      <c r="AP32" s="68">
        <v>0</v>
      </c>
      <c r="AQ32" s="68">
        <v>1</v>
      </c>
      <c r="AR32" s="68">
        <v>0</v>
      </c>
      <c r="AS32" s="68">
        <v>1</v>
      </c>
      <c r="AT32" s="68">
        <v>0</v>
      </c>
      <c r="AU32" s="68">
        <v>0</v>
      </c>
      <c r="AV32" s="68">
        <v>0</v>
      </c>
      <c r="AW32" s="68">
        <v>0</v>
      </c>
      <c r="AX32" s="68">
        <v>0</v>
      </c>
    </row>
    <row r="33" spans="1:50" ht="15.75" customHeight="1">
      <c r="A33" s="346"/>
      <c r="B33" s="65" t="s">
        <v>225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Z33" s="68">
        <v>0</v>
      </c>
      <c r="AA33" s="68">
        <v>1</v>
      </c>
      <c r="AB33" s="68">
        <v>0</v>
      </c>
      <c r="AC33" s="68">
        <v>0</v>
      </c>
      <c r="AD33" s="68">
        <v>1</v>
      </c>
      <c r="AE33" s="68">
        <v>1</v>
      </c>
      <c r="AF33" s="68">
        <v>0</v>
      </c>
      <c r="AG33" s="68">
        <v>0</v>
      </c>
      <c r="AH33" s="68">
        <v>1</v>
      </c>
      <c r="AI33" s="68">
        <v>0</v>
      </c>
      <c r="AJ33" s="68">
        <v>0</v>
      </c>
      <c r="AK33" s="68">
        <v>0</v>
      </c>
      <c r="AL33" s="68">
        <v>0</v>
      </c>
      <c r="AM33" s="68">
        <v>0</v>
      </c>
      <c r="AN33" s="68">
        <v>0</v>
      </c>
      <c r="AO33" s="68">
        <v>0</v>
      </c>
      <c r="AP33" s="68">
        <v>0</v>
      </c>
      <c r="AQ33" s="68">
        <v>0</v>
      </c>
      <c r="AR33" s="68">
        <v>0</v>
      </c>
      <c r="AS33" s="68">
        <v>0</v>
      </c>
      <c r="AT33" s="68">
        <v>0</v>
      </c>
      <c r="AU33" s="68">
        <v>0</v>
      </c>
      <c r="AV33" s="68">
        <v>0</v>
      </c>
      <c r="AW33" s="68">
        <v>0</v>
      </c>
      <c r="AX33" s="68">
        <v>0</v>
      </c>
    </row>
    <row r="34" spans="1:50" ht="15.75" customHeight="1">
      <c r="A34" s="63" t="s">
        <v>209</v>
      </c>
      <c r="B34" s="64" t="s">
        <v>223</v>
      </c>
      <c r="C34" s="67">
        <v>4</v>
      </c>
      <c r="D34" s="67">
        <v>1</v>
      </c>
      <c r="E34" s="67">
        <v>1</v>
      </c>
      <c r="F34" s="67">
        <v>2</v>
      </c>
      <c r="G34" s="67">
        <v>1</v>
      </c>
      <c r="H34" s="67">
        <v>0</v>
      </c>
      <c r="I34" s="67">
        <v>0</v>
      </c>
      <c r="J34" s="67">
        <v>1</v>
      </c>
      <c r="K34" s="67">
        <v>1</v>
      </c>
      <c r="L34" s="67">
        <v>1</v>
      </c>
      <c r="M34" s="67">
        <v>0</v>
      </c>
      <c r="N34" s="67">
        <v>0</v>
      </c>
      <c r="O34" s="67">
        <v>0</v>
      </c>
      <c r="P34" s="67">
        <v>0</v>
      </c>
      <c r="Q34" s="67">
        <v>0</v>
      </c>
      <c r="R34" s="67">
        <v>0</v>
      </c>
      <c r="S34" s="67">
        <v>0</v>
      </c>
      <c r="T34" s="67">
        <v>0</v>
      </c>
      <c r="U34" s="67">
        <v>0</v>
      </c>
      <c r="V34" s="67">
        <v>0</v>
      </c>
      <c r="W34" s="67">
        <v>2</v>
      </c>
      <c r="X34" s="67">
        <v>0</v>
      </c>
      <c r="Y34" s="67">
        <v>1</v>
      </c>
      <c r="Z34" s="67">
        <v>1</v>
      </c>
      <c r="AA34" s="67">
        <v>9</v>
      </c>
      <c r="AB34" s="67">
        <v>1</v>
      </c>
      <c r="AC34" s="67">
        <v>1</v>
      </c>
      <c r="AD34" s="67">
        <v>7</v>
      </c>
      <c r="AE34" s="67">
        <v>3</v>
      </c>
      <c r="AF34" s="67">
        <v>1</v>
      </c>
      <c r="AG34" s="67">
        <v>0</v>
      </c>
      <c r="AH34" s="67">
        <v>2</v>
      </c>
      <c r="AI34" s="67">
        <v>0</v>
      </c>
      <c r="AJ34" s="67">
        <v>0</v>
      </c>
      <c r="AK34" s="67">
        <v>0</v>
      </c>
      <c r="AL34" s="67">
        <v>0</v>
      </c>
      <c r="AM34" s="67">
        <v>2</v>
      </c>
      <c r="AN34" s="67">
        <v>0</v>
      </c>
      <c r="AO34" s="67">
        <v>0</v>
      </c>
      <c r="AP34" s="67">
        <v>2</v>
      </c>
      <c r="AQ34" s="67">
        <v>0</v>
      </c>
      <c r="AR34" s="67">
        <v>0</v>
      </c>
      <c r="AS34" s="67">
        <v>0</v>
      </c>
      <c r="AT34" s="67">
        <v>0</v>
      </c>
      <c r="AU34" s="67">
        <v>4</v>
      </c>
      <c r="AV34" s="67">
        <v>0</v>
      </c>
      <c r="AW34" s="67">
        <v>1</v>
      </c>
      <c r="AX34" s="67">
        <v>3</v>
      </c>
    </row>
    <row r="35" spans="1:50" ht="15.75" customHeight="1">
      <c r="A35" s="345" t="s">
        <v>10</v>
      </c>
      <c r="B35" s="65" t="s">
        <v>224</v>
      </c>
      <c r="C35" s="68">
        <v>4</v>
      </c>
      <c r="D35" s="68">
        <v>1</v>
      </c>
      <c r="E35" s="68">
        <v>1</v>
      </c>
      <c r="F35" s="68">
        <v>2</v>
      </c>
      <c r="G35" s="68">
        <v>1</v>
      </c>
      <c r="H35" s="68">
        <v>0</v>
      </c>
      <c r="I35" s="68">
        <v>0</v>
      </c>
      <c r="J35" s="68">
        <v>1</v>
      </c>
      <c r="K35" s="68">
        <v>1</v>
      </c>
      <c r="L35" s="68">
        <v>1</v>
      </c>
      <c r="M35" s="68">
        <v>0</v>
      </c>
      <c r="N35" s="68">
        <v>0</v>
      </c>
      <c r="O35" s="68">
        <v>0</v>
      </c>
      <c r="P35" s="68">
        <v>0</v>
      </c>
      <c r="Q35" s="68">
        <v>0</v>
      </c>
      <c r="R35" s="68">
        <v>0</v>
      </c>
      <c r="S35" s="68">
        <v>0</v>
      </c>
      <c r="T35" s="68">
        <v>0</v>
      </c>
      <c r="U35" s="68">
        <v>0</v>
      </c>
      <c r="V35" s="68">
        <v>0</v>
      </c>
      <c r="W35" s="68">
        <v>2</v>
      </c>
      <c r="X35" s="68">
        <v>0</v>
      </c>
      <c r="Y35" s="68">
        <v>1</v>
      </c>
      <c r="Z35" s="68">
        <v>1</v>
      </c>
      <c r="AA35" s="68">
        <v>5</v>
      </c>
      <c r="AB35" s="68">
        <v>1</v>
      </c>
      <c r="AC35" s="68">
        <v>1</v>
      </c>
      <c r="AD35" s="68">
        <v>3</v>
      </c>
      <c r="AE35" s="68">
        <v>3</v>
      </c>
      <c r="AF35" s="68">
        <v>1</v>
      </c>
      <c r="AG35" s="68">
        <v>0</v>
      </c>
      <c r="AH35" s="68">
        <v>2</v>
      </c>
      <c r="AI35" s="68">
        <v>0</v>
      </c>
      <c r="AJ35" s="68">
        <v>0</v>
      </c>
      <c r="AK35" s="68">
        <v>0</v>
      </c>
      <c r="AL35" s="68">
        <v>0</v>
      </c>
      <c r="AM35" s="68">
        <v>0</v>
      </c>
      <c r="AN35" s="68">
        <v>0</v>
      </c>
      <c r="AO35" s="68">
        <v>0</v>
      </c>
      <c r="AP35" s="68">
        <v>0</v>
      </c>
      <c r="AQ35" s="68">
        <v>0</v>
      </c>
      <c r="AR35" s="68">
        <v>0</v>
      </c>
      <c r="AS35" s="68">
        <v>0</v>
      </c>
      <c r="AT35" s="68">
        <v>0</v>
      </c>
      <c r="AU35" s="68">
        <v>2</v>
      </c>
      <c r="AV35" s="68">
        <v>0</v>
      </c>
      <c r="AW35" s="68">
        <v>1</v>
      </c>
      <c r="AX35" s="68">
        <v>1</v>
      </c>
    </row>
    <row r="36" spans="1:50" ht="15.75" customHeight="1">
      <c r="A36" s="346"/>
      <c r="B36" s="65" t="s">
        <v>225</v>
      </c>
      <c r="C36" s="68">
        <v>0</v>
      </c>
      <c r="D36" s="68">
        <v>0</v>
      </c>
      <c r="E36" s="68">
        <v>0</v>
      </c>
      <c r="F36" s="68">
        <v>0</v>
      </c>
      <c r="G36" s="68">
        <v>0</v>
      </c>
      <c r="H36" s="68">
        <v>0</v>
      </c>
      <c r="I36" s="68">
        <v>0</v>
      </c>
      <c r="J36" s="68">
        <v>0</v>
      </c>
      <c r="K36" s="68">
        <v>0</v>
      </c>
      <c r="L36" s="68">
        <v>0</v>
      </c>
      <c r="M36" s="68">
        <v>0</v>
      </c>
      <c r="N36" s="68">
        <v>0</v>
      </c>
      <c r="O36" s="68">
        <v>0</v>
      </c>
      <c r="P36" s="68">
        <v>0</v>
      </c>
      <c r="Q36" s="68">
        <v>0</v>
      </c>
      <c r="R36" s="68">
        <v>0</v>
      </c>
      <c r="S36" s="68">
        <v>0</v>
      </c>
      <c r="T36" s="68">
        <v>0</v>
      </c>
      <c r="U36" s="68">
        <v>0</v>
      </c>
      <c r="V36" s="68">
        <v>0</v>
      </c>
      <c r="W36" s="68">
        <v>0</v>
      </c>
      <c r="X36" s="68">
        <v>0</v>
      </c>
      <c r="Y36" s="68">
        <v>0</v>
      </c>
      <c r="Z36" s="68">
        <v>0</v>
      </c>
      <c r="AA36" s="68">
        <v>4</v>
      </c>
      <c r="AB36" s="68">
        <v>0</v>
      </c>
      <c r="AC36" s="68">
        <v>0</v>
      </c>
      <c r="AD36" s="68">
        <v>4</v>
      </c>
      <c r="AE36" s="68">
        <v>0</v>
      </c>
      <c r="AF36" s="68">
        <v>0</v>
      </c>
      <c r="AG36" s="68">
        <v>0</v>
      </c>
      <c r="AH36" s="68">
        <v>0</v>
      </c>
      <c r="AI36" s="68">
        <v>0</v>
      </c>
      <c r="AJ36" s="68">
        <v>0</v>
      </c>
      <c r="AK36" s="68">
        <v>0</v>
      </c>
      <c r="AL36" s="68">
        <v>0</v>
      </c>
      <c r="AM36" s="68">
        <v>2</v>
      </c>
      <c r="AN36" s="68">
        <v>0</v>
      </c>
      <c r="AO36" s="68">
        <v>0</v>
      </c>
      <c r="AP36" s="68">
        <v>2</v>
      </c>
      <c r="AQ36" s="68">
        <v>0</v>
      </c>
      <c r="AR36" s="68">
        <v>0</v>
      </c>
      <c r="AS36" s="68">
        <v>0</v>
      </c>
      <c r="AT36" s="68">
        <v>0</v>
      </c>
      <c r="AU36" s="68">
        <v>2</v>
      </c>
      <c r="AV36" s="68">
        <v>0</v>
      </c>
      <c r="AW36" s="68">
        <v>0</v>
      </c>
      <c r="AX36" s="68">
        <v>2</v>
      </c>
    </row>
    <row r="37" spans="1:50" ht="15.75" customHeight="1">
      <c r="A37" s="63" t="s">
        <v>210</v>
      </c>
      <c r="B37" s="64" t="s">
        <v>223</v>
      </c>
      <c r="C37" s="67">
        <v>19</v>
      </c>
      <c r="D37" s="67">
        <v>6</v>
      </c>
      <c r="E37" s="67">
        <v>4</v>
      </c>
      <c r="F37" s="67">
        <v>9</v>
      </c>
      <c r="G37" s="67">
        <v>4</v>
      </c>
      <c r="H37" s="67">
        <v>0</v>
      </c>
      <c r="I37" s="67">
        <v>0</v>
      </c>
      <c r="J37" s="67">
        <v>4</v>
      </c>
      <c r="K37" s="67">
        <v>1</v>
      </c>
      <c r="L37" s="67">
        <v>0</v>
      </c>
      <c r="M37" s="67">
        <v>0</v>
      </c>
      <c r="N37" s="67">
        <v>1</v>
      </c>
      <c r="O37" s="67">
        <v>4</v>
      </c>
      <c r="P37" s="67">
        <v>2</v>
      </c>
      <c r="Q37" s="67">
        <v>1</v>
      </c>
      <c r="R37" s="67">
        <v>1</v>
      </c>
      <c r="S37" s="67">
        <v>2</v>
      </c>
      <c r="T37" s="67">
        <v>2</v>
      </c>
      <c r="U37" s="67">
        <v>0</v>
      </c>
      <c r="V37" s="67">
        <v>0</v>
      </c>
      <c r="W37" s="67">
        <v>8</v>
      </c>
      <c r="X37" s="67">
        <v>2</v>
      </c>
      <c r="Y37" s="67">
        <v>3</v>
      </c>
      <c r="Z37" s="67">
        <v>3</v>
      </c>
      <c r="AA37" s="67">
        <v>22</v>
      </c>
      <c r="AB37" s="67">
        <v>3</v>
      </c>
      <c r="AC37" s="67">
        <v>4</v>
      </c>
      <c r="AD37" s="67">
        <v>15</v>
      </c>
      <c r="AE37" s="67">
        <v>5</v>
      </c>
      <c r="AF37" s="67">
        <v>2</v>
      </c>
      <c r="AG37" s="67">
        <v>1</v>
      </c>
      <c r="AH37" s="67">
        <v>2</v>
      </c>
      <c r="AI37" s="67">
        <v>11</v>
      </c>
      <c r="AJ37" s="67">
        <v>1</v>
      </c>
      <c r="AK37" s="67">
        <v>0</v>
      </c>
      <c r="AL37" s="67">
        <v>10</v>
      </c>
      <c r="AM37" s="67">
        <v>4</v>
      </c>
      <c r="AN37" s="67">
        <v>0</v>
      </c>
      <c r="AO37" s="67">
        <v>2</v>
      </c>
      <c r="AP37" s="67">
        <v>2</v>
      </c>
      <c r="AQ37" s="67">
        <v>0</v>
      </c>
      <c r="AR37" s="67">
        <v>0</v>
      </c>
      <c r="AS37" s="67">
        <v>0</v>
      </c>
      <c r="AT37" s="67">
        <v>0</v>
      </c>
      <c r="AU37" s="67">
        <v>2</v>
      </c>
      <c r="AV37" s="67">
        <v>0</v>
      </c>
      <c r="AW37" s="67">
        <v>1</v>
      </c>
      <c r="AX37" s="67">
        <v>1</v>
      </c>
    </row>
    <row r="38" spans="1:50" ht="15.75" customHeight="1">
      <c r="A38" s="345" t="s">
        <v>11</v>
      </c>
      <c r="B38" s="65" t="s">
        <v>224</v>
      </c>
      <c r="C38" s="68">
        <v>3</v>
      </c>
      <c r="D38" s="68">
        <v>2</v>
      </c>
      <c r="E38" s="68">
        <v>0</v>
      </c>
      <c r="F38" s="68">
        <v>1</v>
      </c>
      <c r="G38" s="68">
        <v>0</v>
      </c>
      <c r="H38" s="68">
        <v>0</v>
      </c>
      <c r="I38" s="68">
        <v>0</v>
      </c>
      <c r="J38" s="68">
        <v>0</v>
      </c>
      <c r="K38" s="68">
        <v>0</v>
      </c>
      <c r="L38" s="68">
        <v>0</v>
      </c>
      <c r="M38" s="68">
        <v>0</v>
      </c>
      <c r="N38" s="68">
        <v>0</v>
      </c>
      <c r="O38" s="68">
        <v>1</v>
      </c>
      <c r="P38" s="68">
        <v>1</v>
      </c>
      <c r="Q38" s="68">
        <v>0</v>
      </c>
      <c r="R38" s="68">
        <v>0</v>
      </c>
      <c r="S38" s="68">
        <v>1</v>
      </c>
      <c r="T38" s="68">
        <v>1</v>
      </c>
      <c r="U38" s="68">
        <v>0</v>
      </c>
      <c r="V38" s="68">
        <v>0</v>
      </c>
      <c r="W38" s="68">
        <v>1</v>
      </c>
      <c r="X38" s="68">
        <v>0</v>
      </c>
      <c r="Y38" s="68">
        <v>0</v>
      </c>
      <c r="Z38" s="68">
        <v>1</v>
      </c>
      <c r="AA38" s="68">
        <v>5</v>
      </c>
      <c r="AB38" s="68">
        <v>1</v>
      </c>
      <c r="AC38" s="68">
        <v>0</v>
      </c>
      <c r="AD38" s="68">
        <v>4</v>
      </c>
      <c r="AE38" s="68">
        <v>1</v>
      </c>
      <c r="AF38" s="68">
        <v>1</v>
      </c>
      <c r="AG38" s="68">
        <v>0</v>
      </c>
      <c r="AH38" s="68">
        <v>0</v>
      </c>
      <c r="AI38" s="68">
        <v>3</v>
      </c>
      <c r="AJ38" s="68">
        <v>0</v>
      </c>
      <c r="AK38" s="68">
        <v>0</v>
      </c>
      <c r="AL38" s="68">
        <v>3</v>
      </c>
      <c r="AM38" s="68">
        <v>0</v>
      </c>
      <c r="AN38" s="68">
        <v>0</v>
      </c>
      <c r="AO38" s="68">
        <v>0</v>
      </c>
      <c r="AP38" s="68">
        <v>0</v>
      </c>
      <c r="AQ38" s="68">
        <v>0</v>
      </c>
      <c r="AR38" s="68">
        <v>0</v>
      </c>
      <c r="AS38" s="68">
        <v>0</v>
      </c>
      <c r="AT38" s="68">
        <v>0</v>
      </c>
      <c r="AU38" s="68">
        <v>1</v>
      </c>
      <c r="AV38" s="68">
        <v>0</v>
      </c>
      <c r="AW38" s="68">
        <v>0</v>
      </c>
      <c r="AX38" s="68">
        <v>1</v>
      </c>
    </row>
    <row r="39" spans="1:50" ht="15.75" customHeight="1">
      <c r="A39" s="346"/>
      <c r="B39" s="65" t="s">
        <v>225</v>
      </c>
      <c r="C39" s="68">
        <v>16</v>
      </c>
      <c r="D39" s="68">
        <v>4</v>
      </c>
      <c r="E39" s="68">
        <v>4</v>
      </c>
      <c r="F39" s="68">
        <v>8</v>
      </c>
      <c r="G39" s="68">
        <v>4</v>
      </c>
      <c r="H39" s="68">
        <v>0</v>
      </c>
      <c r="I39" s="68">
        <v>0</v>
      </c>
      <c r="J39" s="68">
        <v>4</v>
      </c>
      <c r="K39" s="68">
        <v>1</v>
      </c>
      <c r="L39" s="68">
        <v>0</v>
      </c>
      <c r="M39" s="68">
        <v>0</v>
      </c>
      <c r="N39" s="68">
        <v>1</v>
      </c>
      <c r="O39" s="68">
        <v>3</v>
      </c>
      <c r="P39" s="68">
        <v>1</v>
      </c>
      <c r="Q39" s="68">
        <v>1</v>
      </c>
      <c r="R39" s="68">
        <v>1</v>
      </c>
      <c r="S39" s="68">
        <v>1</v>
      </c>
      <c r="T39" s="68">
        <v>1</v>
      </c>
      <c r="U39" s="68">
        <v>0</v>
      </c>
      <c r="V39" s="68">
        <v>0</v>
      </c>
      <c r="W39" s="68">
        <v>7</v>
      </c>
      <c r="X39" s="68">
        <v>2</v>
      </c>
      <c r="Y39" s="68">
        <v>3</v>
      </c>
      <c r="Z39" s="68">
        <v>2</v>
      </c>
      <c r="AA39" s="68">
        <v>17</v>
      </c>
      <c r="AB39" s="68">
        <v>2</v>
      </c>
      <c r="AC39" s="68">
        <v>4</v>
      </c>
      <c r="AD39" s="68">
        <v>11</v>
      </c>
      <c r="AE39" s="68">
        <v>4</v>
      </c>
      <c r="AF39" s="68">
        <v>1</v>
      </c>
      <c r="AG39" s="68">
        <v>1</v>
      </c>
      <c r="AH39" s="68">
        <v>2</v>
      </c>
      <c r="AI39" s="68">
        <v>8</v>
      </c>
      <c r="AJ39" s="68">
        <v>1</v>
      </c>
      <c r="AK39" s="68">
        <v>0</v>
      </c>
      <c r="AL39" s="68">
        <v>7</v>
      </c>
      <c r="AM39" s="68">
        <v>4</v>
      </c>
      <c r="AN39" s="68">
        <v>0</v>
      </c>
      <c r="AO39" s="68">
        <v>2</v>
      </c>
      <c r="AP39" s="68">
        <v>2</v>
      </c>
      <c r="AQ39" s="68">
        <v>0</v>
      </c>
      <c r="AR39" s="68">
        <v>0</v>
      </c>
      <c r="AS39" s="68">
        <v>0</v>
      </c>
      <c r="AT39" s="68">
        <v>0</v>
      </c>
      <c r="AU39" s="68">
        <v>1</v>
      </c>
      <c r="AV39" s="68">
        <v>0</v>
      </c>
      <c r="AW39" s="68">
        <v>1</v>
      </c>
      <c r="AX39" s="68">
        <v>0</v>
      </c>
    </row>
    <row r="40" spans="1:50" ht="15.75" customHeight="1">
      <c r="A40" s="63" t="s">
        <v>211</v>
      </c>
      <c r="B40" s="64" t="s">
        <v>223</v>
      </c>
      <c r="C40" s="67">
        <v>53</v>
      </c>
      <c r="D40" s="67">
        <v>11</v>
      </c>
      <c r="E40" s="67">
        <v>12</v>
      </c>
      <c r="F40" s="67">
        <v>30</v>
      </c>
      <c r="G40" s="67">
        <v>19</v>
      </c>
      <c r="H40" s="67">
        <v>2</v>
      </c>
      <c r="I40" s="67">
        <v>1</v>
      </c>
      <c r="J40" s="67">
        <v>16</v>
      </c>
      <c r="K40" s="67">
        <v>11</v>
      </c>
      <c r="L40" s="67">
        <v>2</v>
      </c>
      <c r="M40" s="67">
        <v>3</v>
      </c>
      <c r="N40" s="67">
        <v>6</v>
      </c>
      <c r="O40" s="67">
        <v>7</v>
      </c>
      <c r="P40" s="67">
        <v>2</v>
      </c>
      <c r="Q40" s="67">
        <v>3</v>
      </c>
      <c r="R40" s="67">
        <v>2</v>
      </c>
      <c r="S40" s="67">
        <v>5</v>
      </c>
      <c r="T40" s="67">
        <v>1</v>
      </c>
      <c r="U40" s="67">
        <v>1</v>
      </c>
      <c r="V40" s="67">
        <v>3</v>
      </c>
      <c r="W40" s="67">
        <v>11</v>
      </c>
      <c r="X40" s="67">
        <v>4</v>
      </c>
      <c r="Y40" s="67">
        <v>4</v>
      </c>
      <c r="Z40" s="67">
        <v>3</v>
      </c>
      <c r="AA40" s="67">
        <v>151</v>
      </c>
      <c r="AB40" s="67">
        <v>36</v>
      </c>
      <c r="AC40" s="67">
        <v>25</v>
      </c>
      <c r="AD40" s="67">
        <v>90</v>
      </c>
      <c r="AE40" s="67">
        <v>64</v>
      </c>
      <c r="AF40" s="67">
        <v>13</v>
      </c>
      <c r="AG40" s="67">
        <v>2</v>
      </c>
      <c r="AH40" s="67">
        <v>49</v>
      </c>
      <c r="AI40" s="67">
        <v>29</v>
      </c>
      <c r="AJ40" s="67">
        <v>4</v>
      </c>
      <c r="AK40" s="67">
        <v>7</v>
      </c>
      <c r="AL40" s="67">
        <v>18</v>
      </c>
      <c r="AM40" s="67">
        <v>15</v>
      </c>
      <c r="AN40" s="67">
        <v>7</v>
      </c>
      <c r="AO40" s="67">
        <v>5</v>
      </c>
      <c r="AP40" s="67">
        <v>3</v>
      </c>
      <c r="AQ40" s="67">
        <v>11</v>
      </c>
      <c r="AR40" s="67">
        <v>1</v>
      </c>
      <c r="AS40" s="67">
        <v>4</v>
      </c>
      <c r="AT40" s="67">
        <v>6</v>
      </c>
      <c r="AU40" s="67">
        <v>32</v>
      </c>
      <c r="AV40" s="67">
        <v>11</v>
      </c>
      <c r="AW40" s="67">
        <v>7</v>
      </c>
      <c r="AX40" s="67">
        <v>14</v>
      </c>
    </row>
    <row r="41" spans="1:50" ht="15.75" customHeight="1">
      <c r="A41" s="345" t="s">
        <v>12</v>
      </c>
      <c r="B41" s="65" t="s">
        <v>224</v>
      </c>
      <c r="C41" s="68">
        <v>28</v>
      </c>
      <c r="D41" s="68">
        <v>8</v>
      </c>
      <c r="E41" s="68">
        <v>5</v>
      </c>
      <c r="F41" s="68">
        <v>15</v>
      </c>
      <c r="G41" s="68">
        <v>9</v>
      </c>
      <c r="H41" s="68">
        <v>1</v>
      </c>
      <c r="I41" s="68">
        <v>1</v>
      </c>
      <c r="J41" s="68">
        <v>7</v>
      </c>
      <c r="K41" s="68">
        <v>7</v>
      </c>
      <c r="L41" s="68">
        <v>2</v>
      </c>
      <c r="M41" s="68">
        <v>1</v>
      </c>
      <c r="N41" s="68">
        <v>4</v>
      </c>
      <c r="O41" s="68">
        <v>5</v>
      </c>
      <c r="P41" s="68">
        <v>2</v>
      </c>
      <c r="Q41" s="68">
        <v>2</v>
      </c>
      <c r="R41" s="68">
        <v>1</v>
      </c>
      <c r="S41" s="68">
        <v>3</v>
      </c>
      <c r="T41" s="68">
        <v>1</v>
      </c>
      <c r="U41" s="68">
        <v>0</v>
      </c>
      <c r="V41" s="68">
        <v>2</v>
      </c>
      <c r="W41" s="68">
        <v>4</v>
      </c>
      <c r="X41" s="68">
        <v>2</v>
      </c>
      <c r="Y41" s="68">
        <v>1</v>
      </c>
      <c r="Z41" s="68">
        <v>1</v>
      </c>
      <c r="AA41" s="68">
        <v>72</v>
      </c>
      <c r="AB41" s="68">
        <v>23</v>
      </c>
      <c r="AC41" s="68">
        <v>15</v>
      </c>
      <c r="AD41" s="68">
        <v>34</v>
      </c>
      <c r="AE41" s="68">
        <v>28</v>
      </c>
      <c r="AF41" s="68">
        <v>10</v>
      </c>
      <c r="AG41" s="68">
        <v>2</v>
      </c>
      <c r="AH41" s="68">
        <v>16</v>
      </c>
      <c r="AI41" s="68">
        <v>12</v>
      </c>
      <c r="AJ41" s="68">
        <v>2</v>
      </c>
      <c r="AK41" s="68">
        <v>3</v>
      </c>
      <c r="AL41" s="68">
        <v>7</v>
      </c>
      <c r="AM41" s="68">
        <v>11</v>
      </c>
      <c r="AN41" s="68">
        <v>5</v>
      </c>
      <c r="AO41" s="68">
        <v>4</v>
      </c>
      <c r="AP41" s="68">
        <v>2</v>
      </c>
      <c r="AQ41" s="68">
        <v>5</v>
      </c>
      <c r="AR41" s="68">
        <v>0</v>
      </c>
      <c r="AS41" s="68">
        <v>2</v>
      </c>
      <c r="AT41" s="68">
        <v>3</v>
      </c>
      <c r="AU41" s="68">
        <v>16</v>
      </c>
      <c r="AV41" s="68">
        <v>6</v>
      </c>
      <c r="AW41" s="68">
        <v>4</v>
      </c>
      <c r="AX41" s="68">
        <v>6</v>
      </c>
    </row>
    <row r="42" spans="1:50" ht="15.75" customHeight="1">
      <c r="A42" s="346"/>
      <c r="B42" s="65" t="s">
        <v>225</v>
      </c>
      <c r="C42" s="68">
        <v>25</v>
      </c>
      <c r="D42" s="68">
        <v>3</v>
      </c>
      <c r="E42" s="68">
        <v>7</v>
      </c>
      <c r="F42" s="68">
        <v>15</v>
      </c>
      <c r="G42" s="68">
        <v>10</v>
      </c>
      <c r="H42" s="68">
        <v>1</v>
      </c>
      <c r="I42" s="68">
        <v>0</v>
      </c>
      <c r="J42" s="68">
        <v>9</v>
      </c>
      <c r="K42" s="68">
        <v>4</v>
      </c>
      <c r="L42" s="68">
        <v>0</v>
      </c>
      <c r="M42" s="68">
        <v>2</v>
      </c>
      <c r="N42" s="68">
        <v>2</v>
      </c>
      <c r="O42" s="68">
        <v>2</v>
      </c>
      <c r="P42" s="68">
        <v>0</v>
      </c>
      <c r="Q42" s="68">
        <v>1</v>
      </c>
      <c r="R42" s="68">
        <v>1</v>
      </c>
      <c r="S42" s="68">
        <v>2</v>
      </c>
      <c r="T42" s="68">
        <v>0</v>
      </c>
      <c r="U42" s="68">
        <v>1</v>
      </c>
      <c r="V42" s="68">
        <v>1</v>
      </c>
      <c r="W42" s="68">
        <v>7</v>
      </c>
      <c r="X42" s="68">
        <v>2</v>
      </c>
      <c r="Y42" s="68">
        <v>3</v>
      </c>
      <c r="Z42" s="68">
        <v>2</v>
      </c>
      <c r="AA42" s="68">
        <v>79</v>
      </c>
      <c r="AB42" s="68">
        <v>13</v>
      </c>
      <c r="AC42" s="68">
        <v>10</v>
      </c>
      <c r="AD42" s="68">
        <v>56</v>
      </c>
      <c r="AE42" s="68">
        <v>36</v>
      </c>
      <c r="AF42" s="68">
        <v>3</v>
      </c>
      <c r="AG42" s="68">
        <v>0</v>
      </c>
      <c r="AH42" s="68">
        <v>33</v>
      </c>
      <c r="AI42" s="68">
        <v>17</v>
      </c>
      <c r="AJ42" s="68">
        <v>2</v>
      </c>
      <c r="AK42" s="68">
        <v>4</v>
      </c>
      <c r="AL42" s="68">
        <v>11</v>
      </c>
      <c r="AM42" s="68">
        <v>4</v>
      </c>
      <c r="AN42" s="68">
        <v>2</v>
      </c>
      <c r="AO42" s="68">
        <v>1</v>
      </c>
      <c r="AP42" s="68">
        <v>1</v>
      </c>
      <c r="AQ42" s="68">
        <v>6</v>
      </c>
      <c r="AR42" s="68">
        <v>1</v>
      </c>
      <c r="AS42" s="68">
        <v>2</v>
      </c>
      <c r="AT42" s="68">
        <v>3</v>
      </c>
      <c r="AU42" s="68">
        <v>16</v>
      </c>
      <c r="AV42" s="68">
        <v>5</v>
      </c>
      <c r="AW42" s="68">
        <v>3</v>
      </c>
      <c r="AX42" s="68">
        <v>8</v>
      </c>
    </row>
    <row r="43" spans="1:50" ht="15.75" customHeight="1">
      <c r="A43" s="63" t="s">
        <v>212</v>
      </c>
      <c r="B43" s="64" t="s">
        <v>223</v>
      </c>
      <c r="C43" s="67">
        <v>85</v>
      </c>
      <c r="D43" s="67">
        <v>14</v>
      </c>
      <c r="E43" s="67">
        <v>21</v>
      </c>
      <c r="F43" s="67">
        <v>50</v>
      </c>
      <c r="G43" s="67">
        <v>19</v>
      </c>
      <c r="H43" s="67">
        <v>3</v>
      </c>
      <c r="I43" s="67">
        <v>2</v>
      </c>
      <c r="J43" s="67">
        <v>14</v>
      </c>
      <c r="K43" s="67">
        <v>26</v>
      </c>
      <c r="L43" s="67">
        <v>3</v>
      </c>
      <c r="M43" s="67">
        <v>2</v>
      </c>
      <c r="N43" s="67">
        <v>21</v>
      </c>
      <c r="O43" s="67">
        <v>21</v>
      </c>
      <c r="P43" s="67">
        <v>5</v>
      </c>
      <c r="Q43" s="67">
        <v>14</v>
      </c>
      <c r="R43" s="67">
        <v>2</v>
      </c>
      <c r="S43" s="67">
        <v>0</v>
      </c>
      <c r="T43" s="67">
        <v>0</v>
      </c>
      <c r="U43" s="67">
        <v>0</v>
      </c>
      <c r="V43" s="67">
        <v>0</v>
      </c>
      <c r="W43" s="67">
        <v>19</v>
      </c>
      <c r="X43" s="67">
        <v>3</v>
      </c>
      <c r="Y43" s="67">
        <v>3</v>
      </c>
      <c r="Z43" s="67">
        <v>13</v>
      </c>
      <c r="AA43" s="67">
        <v>133</v>
      </c>
      <c r="AB43" s="67">
        <v>27</v>
      </c>
      <c r="AC43" s="67">
        <v>33</v>
      </c>
      <c r="AD43" s="67">
        <v>73</v>
      </c>
      <c r="AE43" s="67">
        <v>26</v>
      </c>
      <c r="AF43" s="67">
        <v>4</v>
      </c>
      <c r="AG43" s="67">
        <v>2</v>
      </c>
      <c r="AH43" s="67">
        <v>20</v>
      </c>
      <c r="AI43" s="67">
        <v>36</v>
      </c>
      <c r="AJ43" s="67">
        <v>6</v>
      </c>
      <c r="AK43" s="67">
        <v>3</v>
      </c>
      <c r="AL43" s="67">
        <v>27</v>
      </c>
      <c r="AM43" s="67">
        <v>38</v>
      </c>
      <c r="AN43" s="67">
        <v>13</v>
      </c>
      <c r="AO43" s="67">
        <v>21</v>
      </c>
      <c r="AP43" s="67">
        <v>4</v>
      </c>
      <c r="AQ43" s="67">
        <v>0</v>
      </c>
      <c r="AR43" s="67">
        <v>0</v>
      </c>
      <c r="AS43" s="67">
        <v>0</v>
      </c>
      <c r="AT43" s="67">
        <v>0</v>
      </c>
      <c r="AU43" s="67">
        <v>33</v>
      </c>
      <c r="AV43" s="67">
        <v>4</v>
      </c>
      <c r="AW43" s="67">
        <v>7</v>
      </c>
      <c r="AX43" s="67">
        <v>22</v>
      </c>
    </row>
    <row r="44" spans="1:50" ht="15.75" customHeight="1">
      <c r="A44" s="345" t="s">
        <v>13</v>
      </c>
      <c r="B44" s="65" t="s">
        <v>224</v>
      </c>
      <c r="C44" s="68">
        <v>29</v>
      </c>
      <c r="D44" s="68">
        <v>6</v>
      </c>
      <c r="E44" s="68">
        <v>6</v>
      </c>
      <c r="F44" s="68">
        <v>17</v>
      </c>
      <c r="G44" s="68">
        <v>1</v>
      </c>
      <c r="H44" s="68">
        <v>0</v>
      </c>
      <c r="I44" s="68">
        <v>0</v>
      </c>
      <c r="J44" s="68">
        <v>1</v>
      </c>
      <c r="K44" s="68">
        <v>11</v>
      </c>
      <c r="L44" s="68">
        <v>1</v>
      </c>
      <c r="M44" s="68">
        <v>0</v>
      </c>
      <c r="N44" s="68">
        <v>10</v>
      </c>
      <c r="O44" s="68">
        <v>9</v>
      </c>
      <c r="P44" s="68">
        <v>3</v>
      </c>
      <c r="Q44" s="68">
        <v>5</v>
      </c>
      <c r="R44" s="68">
        <v>1</v>
      </c>
      <c r="S44" s="68">
        <v>0</v>
      </c>
      <c r="T44" s="68">
        <v>0</v>
      </c>
      <c r="U44" s="68">
        <v>0</v>
      </c>
      <c r="V44" s="68">
        <v>0</v>
      </c>
      <c r="W44" s="68">
        <v>8</v>
      </c>
      <c r="X44" s="68">
        <v>2</v>
      </c>
      <c r="Y44" s="68">
        <v>1</v>
      </c>
      <c r="Z44" s="68">
        <v>5</v>
      </c>
      <c r="AA44" s="68">
        <v>57</v>
      </c>
      <c r="AB44" s="68">
        <v>17</v>
      </c>
      <c r="AC44" s="68">
        <v>12</v>
      </c>
      <c r="AD44" s="68">
        <v>28</v>
      </c>
      <c r="AE44" s="68">
        <v>4</v>
      </c>
      <c r="AF44" s="68">
        <v>1</v>
      </c>
      <c r="AG44" s="68">
        <v>0</v>
      </c>
      <c r="AH44" s="68">
        <v>3</v>
      </c>
      <c r="AI44" s="68">
        <v>16</v>
      </c>
      <c r="AJ44" s="68">
        <v>3</v>
      </c>
      <c r="AK44" s="68">
        <v>0</v>
      </c>
      <c r="AL44" s="68">
        <v>13</v>
      </c>
      <c r="AM44" s="68">
        <v>22</v>
      </c>
      <c r="AN44" s="68">
        <v>10</v>
      </c>
      <c r="AO44" s="68">
        <v>9</v>
      </c>
      <c r="AP44" s="68">
        <v>3</v>
      </c>
      <c r="AQ44" s="68">
        <v>0</v>
      </c>
      <c r="AR44" s="68">
        <v>0</v>
      </c>
      <c r="AS44" s="68">
        <v>0</v>
      </c>
      <c r="AT44" s="68">
        <v>0</v>
      </c>
      <c r="AU44" s="68">
        <v>15</v>
      </c>
      <c r="AV44" s="68">
        <v>3</v>
      </c>
      <c r="AW44" s="68">
        <v>3</v>
      </c>
      <c r="AX44" s="68">
        <v>9</v>
      </c>
    </row>
    <row r="45" spans="1:50" ht="15.75" customHeight="1">
      <c r="A45" s="346"/>
      <c r="B45" s="65" t="s">
        <v>225</v>
      </c>
      <c r="C45" s="68">
        <v>56</v>
      </c>
      <c r="D45" s="68">
        <v>8</v>
      </c>
      <c r="E45" s="68">
        <v>15</v>
      </c>
      <c r="F45" s="68">
        <v>33</v>
      </c>
      <c r="G45" s="68">
        <v>18</v>
      </c>
      <c r="H45" s="68">
        <v>3</v>
      </c>
      <c r="I45" s="68">
        <v>2</v>
      </c>
      <c r="J45" s="68">
        <v>13</v>
      </c>
      <c r="K45" s="68">
        <v>15</v>
      </c>
      <c r="L45" s="68">
        <v>2</v>
      </c>
      <c r="M45" s="68">
        <v>2</v>
      </c>
      <c r="N45" s="68">
        <v>11</v>
      </c>
      <c r="O45" s="68">
        <v>12</v>
      </c>
      <c r="P45" s="68">
        <v>2</v>
      </c>
      <c r="Q45" s="68">
        <v>9</v>
      </c>
      <c r="R45" s="68">
        <v>1</v>
      </c>
      <c r="S45" s="68">
        <v>0</v>
      </c>
      <c r="T45" s="68">
        <v>0</v>
      </c>
      <c r="U45" s="68">
        <v>0</v>
      </c>
      <c r="V45" s="68">
        <v>0</v>
      </c>
      <c r="W45" s="68">
        <v>11</v>
      </c>
      <c r="X45" s="68">
        <v>1</v>
      </c>
      <c r="Y45" s="68">
        <v>2</v>
      </c>
      <c r="Z45" s="68">
        <v>8</v>
      </c>
      <c r="AA45" s="68">
        <v>76</v>
      </c>
      <c r="AB45" s="68">
        <v>10</v>
      </c>
      <c r="AC45" s="68">
        <v>21</v>
      </c>
      <c r="AD45" s="68">
        <v>45</v>
      </c>
      <c r="AE45" s="68">
        <v>22</v>
      </c>
      <c r="AF45" s="68">
        <v>3</v>
      </c>
      <c r="AG45" s="68">
        <v>2</v>
      </c>
      <c r="AH45" s="68">
        <v>17</v>
      </c>
      <c r="AI45" s="68">
        <v>20</v>
      </c>
      <c r="AJ45" s="68">
        <v>3</v>
      </c>
      <c r="AK45" s="68">
        <v>3</v>
      </c>
      <c r="AL45" s="68">
        <v>14</v>
      </c>
      <c r="AM45" s="68">
        <v>16</v>
      </c>
      <c r="AN45" s="68">
        <v>3</v>
      </c>
      <c r="AO45" s="68">
        <v>12</v>
      </c>
      <c r="AP45" s="68">
        <v>1</v>
      </c>
      <c r="AQ45" s="68">
        <v>0</v>
      </c>
      <c r="AR45" s="68">
        <v>0</v>
      </c>
      <c r="AS45" s="68">
        <v>0</v>
      </c>
      <c r="AT45" s="68">
        <v>0</v>
      </c>
      <c r="AU45" s="68">
        <v>18</v>
      </c>
      <c r="AV45" s="68">
        <v>1</v>
      </c>
      <c r="AW45" s="68">
        <v>4</v>
      </c>
      <c r="AX45" s="68">
        <v>13</v>
      </c>
    </row>
    <row r="46" spans="1:50" ht="15.75" customHeight="1">
      <c r="A46" s="63" t="s">
        <v>213</v>
      </c>
      <c r="B46" s="64" t="s">
        <v>223</v>
      </c>
      <c r="C46" s="67">
        <v>13</v>
      </c>
      <c r="D46" s="67">
        <v>0</v>
      </c>
      <c r="E46" s="67">
        <v>2</v>
      </c>
      <c r="F46" s="67">
        <v>11</v>
      </c>
      <c r="G46" s="67">
        <v>1</v>
      </c>
      <c r="H46" s="67">
        <v>0</v>
      </c>
      <c r="I46" s="67">
        <v>0</v>
      </c>
      <c r="J46" s="67">
        <v>1</v>
      </c>
      <c r="K46" s="67">
        <v>11</v>
      </c>
      <c r="L46" s="67">
        <v>0</v>
      </c>
      <c r="M46" s="67">
        <v>2</v>
      </c>
      <c r="N46" s="67">
        <v>9</v>
      </c>
      <c r="O46" s="67">
        <v>1</v>
      </c>
      <c r="P46" s="67">
        <v>0</v>
      </c>
      <c r="Q46" s="67">
        <v>0</v>
      </c>
      <c r="R46" s="67">
        <v>1</v>
      </c>
      <c r="S46" s="67">
        <v>0</v>
      </c>
      <c r="T46" s="67">
        <v>0</v>
      </c>
      <c r="U46" s="67">
        <v>0</v>
      </c>
      <c r="V46" s="67">
        <v>0</v>
      </c>
      <c r="W46" s="67">
        <v>0</v>
      </c>
      <c r="X46" s="67">
        <v>0</v>
      </c>
      <c r="Y46" s="67">
        <v>0</v>
      </c>
      <c r="Z46" s="67">
        <v>0</v>
      </c>
      <c r="AA46" s="67">
        <v>17</v>
      </c>
      <c r="AB46" s="67">
        <v>0</v>
      </c>
      <c r="AC46" s="67">
        <v>1</v>
      </c>
      <c r="AD46" s="67">
        <v>16</v>
      </c>
      <c r="AE46" s="67">
        <v>1</v>
      </c>
      <c r="AF46" s="67">
        <v>0</v>
      </c>
      <c r="AG46" s="67">
        <v>0</v>
      </c>
      <c r="AH46" s="67">
        <v>1</v>
      </c>
      <c r="AI46" s="67">
        <v>15</v>
      </c>
      <c r="AJ46" s="67">
        <v>0</v>
      </c>
      <c r="AK46" s="67">
        <v>1</v>
      </c>
      <c r="AL46" s="67">
        <v>14</v>
      </c>
      <c r="AM46" s="67">
        <v>1</v>
      </c>
      <c r="AN46" s="67">
        <v>0</v>
      </c>
      <c r="AO46" s="67">
        <v>0</v>
      </c>
      <c r="AP46" s="67">
        <v>1</v>
      </c>
      <c r="AQ46" s="67">
        <v>0</v>
      </c>
      <c r="AR46" s="67">
        <v>0</v>
      </c>
      <c r="AS46" s="67">
        <v>0</v>
      </c>
      <c r="AT46" s="67">
        <v>0</v>
      </c>
      <c r="AU46" s="67">
        <v>0</v>
      </c>
      <c r="AV46" s="67">
        <v>0</v>
      </c>
      <c r="AW46" s="67">
        <v>0</v>
      </c>
      <c r="AX46" s="67">
        <v>0</v>
      </c>
    </row>
    <row r="47" spans="1:50" ht="15.75" customHeight="1">
      <c r="A47" s="345" t="s">
        <v>14</v>
      </c>
      <c r="B47" s="65" t="s">
        <v>224</v>
      </c>
      <c r="C47" s="68">
        <v>5</v>
      </c>
      <c r="D47" s="68">
        <v>0</v>
      </c>
      <c r="E47" s="68">
        <v>2</v>
      </c>
      <c r="F47" s="68">
        <v>3</v>
      </c>
      <c r="G47" s="68">
        <v>0</v>
      </c>
      <c r="H47" s="68">
        <v>0</v>
      </c>
      <c r="I47" s="68">
        <v>0</v>
      </c>
      <c r="J47" s="68">
        <v>0</v>
      </c>
      <c r="K47" s="68">
        <v>4</v>
      </c>
      <c r="L47" s="68">
        <v>0</v>
      </c>
      <c r="M47" s="68">
        <v>2</v>
      </c>
      <c r="N47" s="68">
        <v>2</v>
      </c>
      <c r="O47" s="68">
        <v>1</v>
      </c>
      <c r="P47" s="68">
        <v>0</v>
      </c>
      <c r="Q47" s="68">
        <v>0</v>
      </c>
      <c r="R47" s="68">
        <v>1</v>
      </c>
      <c r="S47" s="68">
        <v>0</v>
      </c>
      <c r="T47" s="68">
        <v>0</v>
      </c>
      <c r="U47" s="68">
        <v>0</v>
      </c>
      <c r="V47" s="68">
        <v>0</v>
      </c>
      <c r="W47" s="68">
        <v>0</v>
      </c>
      <c r="X47" s="68">
        <v>0</v>
      </c>
      <c r="Y47" s="68">
        <v>0</v>
      </c>
      <c r="Z47" s="68">
        <v>0</v>
      </c>
      <c r="AA47" s="68">
        <v>5</v>
      </c>
      <c r="AB47" s="68">
        <v>0</v>
      </c>
      <c r="AC47" s="68">
        <v>1</v>
      </c>
      <c r="AD47" s="68">
        <v>4</v>
      </c>
      <c r="AE47" s="68">
        <v>0</v>
      </c>
      <c r="AF47" s="68">
        <v>0</v>
      </c>
      <c r="AG47" s="68">
        <v>0</v>
      </c>
      <c r="AH47" s="68">
        <v>0</v>
      </c>
      <c r="AI47" s="68">
        <v>4</v>
      </c>
      <c r="AJ47" s="68">
        <v>0</v>
      </c>
      <c r="AK47" s="68">
        <v>1</v>
      </c>
      <c r="AL47" s="68">
        <v>3</v>
      </c>
      <c r="AM47" s="68">
        <v>1</v>
      </c>
      <c r="AN47" s="68">
        <v>0</v>
      </c>
      <c r="AO47" s="68">
        <v>0</v>
      </c>
      <c r="AP47" s="68">
        <v>1</v>
      </c>
      <c r="AQ47" s="68">
        <v>0</v>
      </c>
      <c r="AR47" s="68">
        <v>0</v>
      </c>
      <c r="AS47" s="68">
        <v>0</v>
      </c>
      <c r="AT47" s="68">
        <v>0</v>
      </c>
      <c r="AU47" s="68">
        <v>0</v>
      </c>
      <c r="AV47" s="68">
        <v>0</v>
      </c>
      <c r="AW47" s="68">
        <v>0</v>
      </c>
      <c r="AX47" s="68">
        <v>0</v>
      </c>
    </row>
    <row r="48" spans="1:50" ht="15.75" customHeight="1">
      <c r="A48" s="346"/>
      <c r="B48" s="65" t="s">
        <v>225</v>
      </c>
      <c r="C48" s="68">
        <v>8</v>
      </c>
      <c r="D48" s="68">
        <v>0</v>
      </c>
      <c r="E48" s="68">
        <v>0</v>
      </c>
      <c r="F48" s="68">
        <v>8</v>
      </c>
      <c r="G48" s="68">
        <v>1</v>
      </c>
      <c r="H48" s="68">
        <v>0</v>
      </c>
      <c r="I48" s="68">
        <v>0</v>
      </c>
      <c r="J48" s="68">
        <v>1</v>
      </c>
      <c r="K48" s="68">
        <v>7</v>
      </c>
      <c r="L48" s="68">
        <v>0</v>
      </c>
      <c r="M48" s="68">
        <v>0</v>
      </c>
      <c r="N48" s="68">
        <v>7</v>
      </c>
      <c r="O48" s="68">
        <v>0</v>
      </c>
      <c r="P48" s="68">
        <v>0</v>
      </c>
      <c r="Q48" s="68">
        <v>0</v>
      </c>
      <c r="R48" s="68">
        <v>0</v>
      </c>
      <c r="S48" s="68">
        <v>0</v>
      </c>
      <c r="T48" s="68">
        <v>0</v>
      </c>
      <c r="U48" s="68">
        <v>0</v>
      </c>
      <c r="V48" s="68">
        <v>0</v>
      </c>
      <c r="W48" s="68">
        <v>0</v>
      </c>
      <c r="X48" s="68">
        <v>0</v>
      </c>
      <c r="Y48" s="68">
        <v>0</v>
      </c>
      <c r="Z48" s="68">
        <v>0</v>
      </c>
      <c r="AA48" s="68">
        <v>12</v>
      </c>
      <c r="AB48" s="68">
        <v>0</v>
      </c>
      <c r="AC48" s="68">
        <v>0</v>
      </c>
      <c r="AD48" s="68">
        <v>12</v>
      </c>
      <c r="AE48" s="68">
        <v>1</v>
      </c>
      <c r="AF48" s="68">
        <v>0</v>
      </c>
      <c r="AG48" s="68">
        <v>0</v>
      </c>
      <c r="AH48" s="68">
        <v>1</v>
      </c>
      <c r="AI48" s="68">
        <v>11</v>
      </c>
      <c r="AJ48" s="68">
        <v>0</v>
      </c>
      <c r="AK48" s="68">
        <v>0</v>
      </c>
      <c r="AL48" s="68">
        <v>11</v>
      </c>
      <c r="AM48" s="68">
        <v>0</v>
      </c>
      <c r="AN48" s="68">
        <v>0</v>
      </c>
      <c r="AO48" s="68">
        <v>0</v>
      </c>
      <c r="AP48" s="68">
        <v>0</v>
      </c>
      <c r="AQ48" s="68">
        <v>0</v>
      </c>
      <c r="AR48" s="68">
        <v>0</v>
      </c>
      <c r="AS48" s="68">
        <v>0</v>
      </c>
      <c r="AT48" s="68">
        <v>0</v>
      </c>
      <c r="AU48" s="68">
        <v>0</v>
      </c>
      <c r="AV48" s="68">
        <v>0</v>
      </c>
      <c r="AW48" s="68">
        <v>0</v>
      </c>
      <c r="AX48" s="68">
        <v>0</v>
      </c>
    </row>
    <row r="49" spans="1:50" ht="15.75" customHeight="1">
      <c r="A49" s="63" t="s">
        <v>214</v>
      </c>
      <c r="B49" s="64" t="s">
        <v>223</v>
      </c>
      <c r="C49" s="67">
        <v>120</v>
      </c>
      <c r="D49" s="67">
        <v>47</v>
      </c>
      <c r="E49" s="67">
        <v>17</v>
      </c>
      <c r="F49" s="67">
        <v>56</v>
      </c>
      <c r="G49" s="67">
        <v>49</v>
      </c>
      <c r="H49" s="67">
        <v>13</v>
      </c>
      <c r="I49" s="67">
        <v>3</v>
      </c>
      <c r="J49" s="67">
        <v>33</v>
      </c>
      <c r="K49" s="67">
        <v>18</v>
      </c>
      <c r="L49" s="67">
        <v>8</v>
      </c>
      <c r="M49" s="67">
        <v>5</v>
      </c>
      <c r="N49" s="67">
        <v>5</v>
      </c>
      <c r="O49" s="67">
        <v>24</v>
      </c>
      <c r="P49" s="67">
        <v>16</v>
      </c>
      <c r="Q49" s="67">
        <v>5</v>
      </c>
      <c r="R49" s="67">
        <v>3</v>
      </c>
      <c r="S49" s="67">
        <v>18</v>
      </c>
      <c r="T49" s="67">
        <v>5</v>
      </c>
      <c r="U49" s="67">
        <v>3</v>
      </c>
      <c r="V49" s="67">
        <v>10</v>
      </c>
      <c r="W49" s="67">
        <v>11</v>
      </c>
      <c r="X49" s="67">
        <v>5</v>
      </c>
      <c r="Y49" s="67">
        <v>1</v>
      </c>
      <c r="Z49" s="67">
        <v>5</v>
      </c>
      <c r="AA49" s="67">
        <v>310</v>
      </c>
      <c r="AB49" s="67">
        <v>111</v>
      </c>
      <c r="AC49" s="67">
        <v>50</v>
      </c>
      <c r="AD49" s="67">
        <v>149</v>
      </c>
      <c r="AE49" s="67">
        <v>161</v>
      </c>
      <c r="AF49" s="67">
        <v>56</v>
      </c>
      <c r="AG49" s="67">
        <v>25</v>
      </c>
      <c r="AH49" s="67">
        <v>80</v>
      </c>
      <c r="AI49" s="67">
        <v>66</v>
      </c>
      <c r="AJ49" s="67">
        <v>15</v>
      </c>
      <c r="AK49" s="67">
        <v>7</v>
      </c>
      <c r="AL49" s="67">
        <v>44</v>
      </c>
      <c r="AM49" s="67">
        <v>22</v>
      </c>
      <c r="AN49" s="67">
        <v>7</v>
      </c>
      <c r="AO49" s="67">
        <v>4</v>
      </c>
      <c r="AP49" s="67">
        <v>11</v>
      </c>
      <c r="AQ49" s="67">
        <v>23</v>
      </c>
      <c r="AR49" s="67">
        <v>17</v>
      </c>
      <c r="AS49" s="67">
        <v>3</v>
      </c>
      <c r="AT49" s="67">
        <v>3</v>
      </c>
      <c r="AU49" s="67">
        <v>38</v>
      </c>
      <c r="AV49" s="67">
        <v>16</v>
      </c>
      <c r="AW49" s="67">
        <v>11</v>
      </c>
      <c r="AX49" s="67">
        <v>11</v>
      </c>
    </row>
    <row r="50" spans="1:50" ht="15.75" customHeight="1">
      <c r="A50" s="345" t="s">
        <v>15</v>
      </c>
      <c r="B50" s="65" t="s">
        <v>224</v>
      </c>
      <c r="C50" s="68">
        <v>48</v>
      </c>
      <c r="D50" s="68">
        <v>26</v>
      </c>
      <c r="E50" s="68">
        <v>9</v>
      </c>
      <c r="F50" s="68">
        <v>13</v>
      </c>
      <c r="G50" s="68">
        <v>8</v>
      </c>
      <c r="H50" s="68">
        <v>5</v>
      </c>
      <c r="I50" s="68">
        <v>1</v>
      </c>
      <c r="J50" s="68">
        <v>2</v>
      </c>
      <c r="K50" s="68">
        <v>10</v>
      </c>
      <c r="L50" s="68">
        <v>5</v>
      </c>
      <c r="M50" s="68">
        <v>3</v>
      </c>
      <c r="N50" s="68">
        <v>2</v>
      </c>
      <c r="O50" s="68">
        <v>15</v>
      </c>
      <c r="P50" s="68">
        <v>10</v>
      </c>
      <c r="Q50" s="68">
        <v>3</v>
      </c>
      <c r="R50" s="68">
        <v>2</v>
      </c>
      <c r="S50" s="68">
        <v>11</v>
      </c>
      <c r="T50" s="68">
        <v>4</v>
      </c>
      <c r="U50" s="68">
        <v>1</v>
      </c>
      <c r="V50" s="68">
        <v>6</v>
      </c>
      <c r="W50" s="68">
        <v>4</v>
      </c>
      <c r="X50" s="68">
        <v>2</v>
      </c>
      <c r="Y50" s="68">
        <v>1</v>
      </c>
      <c r="Z50" s="68">
        <v>1</v>
      </c>
      <c r="AA50" s="68">
        <v>140</v>
      </c>
      <c r="AB50" s="68">
        <v>67</v>
      </c>
      <c r="AC50" s="68">
        <v>28</v>
      </c>
      <c r="AD50" s="68">
        <v>45</v>
      </c>
      <c r="AE50" s="68">
        <v>72</v>
      </c>
      <c r="AF50" s="68">
        <v>34</v>
      </c>
      <c r="AG50" s="68">
        <v>14</v>
      </c>
      <c r="AH50" s="68">
        <v>24</v>
      </c>
      <c r="AI50" s="68">
        <v>17</v>
      </c>
      <c r="AJ50" s="68">
        <v>5</v>
      </c>
      <c r="AK50" s="68">
        <v>4</v>
      </c>
      <c r="AL50" s="68">
        <v>8</v>
      </c>
      <c r="AM50" s="68">
        <v>12</v>
      </c>
      <c r="AN50" s="68">
        <v>5</v>
      </c>
      <c r="AO50" s="68">
        <v>2</v>
      </c>
      <c r="AP50" s="68">
        <v>5</v>
      </c>
      <c r="AQ50" s="68">
        <v>14</v>
      </c>
      <c r="AR50" s="68">
        <v>11</v>
      </c>
      <c r="AS50" s="68">
        <v>1</v>
      </c>
      <c r="AT50" s="68">
        <v>2</v>
      </c>
      <c r="AU50" s="68">
        <v>25</v>
      </c>
      <c r="AV50" s="68">
        <v>12</v>
      </c>
      <c r="AW50" s="68">
        <v>7</v>
      </c>
      <c r="AX50" s="68">
        <v>6</v>
      </c>
    </row>
    <row r="51" spans="1:50" ht="15.75" customHeight="1">
      <c r="A51" s="346"/>
      <c r="B51" s="65" t="s">
        <v>225</v>
      </c>
      <c r="C51" s="68">
        <v>72</v>
      </c>
      <c r="D51" s="68">
        <v>21</v>
      </c>
      <c r="E51" s="68">
        <v>8</v>
      </c>
      <c r="F51" s="68">
        <v>43</v>
      </c>
      <c r="G51" s="68">
        <v>41</v>
      </c>
      <c r="H51" s="68">
        <v>8</v>
      </c>
      <c r="I51" s="68">
        <v>2</v>
      </c>
      <c r="J51" s="68">
        <v>31</v>
      </c>
      <c r="K51" s="68">
        <v>8</v>
      </c>
      <c r="L51" s="68">
        <v>3</v>
      </c>
      <c r="M51" s="68">
        <v>2</v>
      </c>
      <c r="N51" s="68">
        <v>3</v>
      </c>
      <c r="O51" s="68">
        <v>9</v>
      </c>
      <c r="P51" s="68">
        <v>6</v>
      </c>
      <c r="Q51" s="68">
        <v>2</v>
      </c>
      <c r="R51" s="68">
        <v>1</v>
      </c>
      <c r="S51" s="68">
        <v>7</v>
      </c>
      <c r="T51" s="68">
        <v>1</v>
      </c>
      <c r="U51" s="68">
        <v>2</v>
      </c>
      <c r="V51" s="68">
        <v>4</v>
      </c>
      <c r="W51" s="68">
        <v>7</v>
      </c>
      <c r="X51" s="68">
        <v>3</v>
      </c>
      <c r="Y51" s="68">
        <v>0</v>
      </c>
      <c r="Z51" s="68">
        <v>4</v>
      </c>
      <c r="AA51" s="68">
        <v>170</v>
      </c>
      <c r="AB51" s="68">
        <v>44</v>
      </c>
      <c r="AC51" s="68">
        <v>22</v>
      </c>
      <c r="AD51" s="68">
        <v>104</v>
      </c>
      <c r="AE51" s="68">
        <v>89</v>
      </c>
      <c r="AF51" s="68">
        <v>22</v>
      </c>
      <c r="AG51" s="68">
        <v>11</v>
      </c>
      <c r="AH51" s="68">
        <v>56</v>
      </c>
      <c r="AI51" s="68">
        <v>49</v>
      </c>
      <c r="AJ51" s="68">
        <v>10</v>
      </c>
      <c r="AK51" s="68">
        <v>3</v>
      </c>
      <c r="AL51" s="68">
        <v>36</v>
      </c>
      <c r="AM51" s="68">
        <v>10</v>
      </c>
      <c r="AN51" s="68">
        <v>2</v>
      </c>
      <c r="AO51" s="68">
        <v>2</v>
      </c>
      <c r="AP51" s="68">
        <v>6</v>
      </c>
      <c r="AQ51" s="68">
        <v>9</v>
      </c>
      <c r="AR51" s="68">
        <v>6</v>
      </c>
      <c r="AS51" s="68">
        <v>2</v>
      </c>
      <c r="AT51" s="68">
        <v>1</v>
      </c>
      <c r="AU51" s="68">
        <v>13</v>
      </c>
      <c r="AV51" s="68">
        <v>4</v>
      </c>
      <c r="AW51" s="68">
        <v>4</v>
      </c>
      <c r="AX51" s="68">
        <v>5</v>
      </c>
    </row>
    <row r="52" spans="1:50" ht="15.75" customHeight="1">
      <c r="A52" s="63" t="s">
        <v>215</v>
      </c>
      <c r="B52" s="64" t="s">
        <v>223</v>
      </c>
      <c r="C52" s="67">
        <v>33</v>
      </c>
      <c r="D52" s="67">
        <v>16</v>
      </c>
      <c r="E52" s="67">
        <v>4</v>
      </c>
      <c r="F52" s="67">
        <v>13</v>
      </c>
      <c r="G52" s="67">
        <v>4</v>
      </c>
      <c r="H52" s="67">
        <v>0</v>
      </c>
      <c r="I52" s="67">
        <v>0</v>
      </c>
      <c r="J52" s="67">
        <v>4</v>
      </c>
      <c r="K52" s="67">
        <v>11</v>
      </c>
      <c r="L52" s="67">
        <v>4</v>
      </c>
      <c r="M52" s="67">
        <v>2</v>
      </c>
      <c r="N52" s="67">
        <v>5</v>
      </c>
      <c r="O52" s="67">
        <v>7</v>
      </c>
      <c r="P52" s="67">
        <v>4</v>
      </c>
      <c r="Q52" s="67">
        <v>2</v>
      </c>
      <c r="R52" s="67">
        <v>1</v>
      </c>
      <c r="S52" s="67">
        <v>2</v>
      </c>
      <c r="T52" s="67">
        <v>2</v>
      </c>
      <c r="U52" s="67">
        <v>0</v>
      </c>
      <c r="V52" s="67">
        <v>0</v>
      </c>
      <c r="W52" s="67">
        <v>9</v>
      </c>
      <c r="X52" s="67">
        <v>6</v>
      </c>
      <c r="Y52" s="67">
        <v>0</v>
      </c>
      <c r="Z52" s="67">
        <v>3</v>
      </c>
      <c r="AA52" s="67">
        <v>54</v>
      </c>
      <c r="AB52" s="67">
        <v>29</v>
      </c>
      <c r="AC52" s="67">
        <v>16</v>
      </c>
      <c r="AD52" s="67">
        <v>9</v>
      </c>
      <c r="AE52" s="67">
        <v>4</v>
      </c>
      <c r="AF52" s="67">
        <v>3</v>
      </c>
      <c r="AG52" s="67">
        <v>0</v>
      </c>
      <c r="AH52" s="67">
        <v>1</v>
      </c>
      <c r="AI52" s="67">
        <v>19</v>
      </c>
      <c r="AJ52" s="67">
        <v>11</v>
      </c>
      <c r="AK52" s="67">
        <v>5</v>
      </c>
      <c r="AL52" s="67">
        <v>3</v>
      </c>
      <c r="AM52" s="67">
        <v>13</v>
      </c>
      <c r="AN52" s="67">
        <v>7</v>
      </c>
      <c r="AO52" s="67">
        <v>4</v>
      </c>
      <c r="AP52" s="67">
        <v>2</v>
      </c>
      <c r="AQ52" s="67">
        <v>4</v>
      </c>
      <c r="AR52" s="67">
        <v>2</v>
      </c>
      <c r="AS52" s="67">
        <v>2</v>
      </c>
      <c r="AT52" s="67">
        <v>0</v>
      </c>
      <c r="AU52" s="67">
        <v>14</v>
      </c>
      <c r="AV52" s="67">
        <v>6</v>
      </c>
      <c r="AW52" s="67">
        <v>5</v>
      </c>
      <c r="AX52" s="67">
        <v>3</v>
      </c>
    </row>
    <row r="53" spans="1:50" ht="15.75" customHeight="1">
      <c r="A53" s="345" t="s">
        <v>16</v>
      </c>
      <c r="B53" s="65" t="s">
        <v>224</v>
      </c>
      <c r="C53" s="68">
        <v>18</v>
      </c>
      <c r="D53" s="68">
        <v>10</v>
      </c>
      <c r="E53" s="68">
        <v>3</v>
      </c>
      <c r="F53" s="68">
        <v>5</v>
      </c>
      <c r="G53" s="68">
        <v>2</v>
      </c>
      <c r="H53" s="68">
        <v>0</v>
      </c>
      <c r="I53" s="68">
        <v>0</v>
      </c>
      <c r="J53" s="68">
        <v>2</v>
      </c>
      <c r="K53" s="68">
        <v>6</v>
      </c>
      <c r="L53" s="68">
        <v>4</v>
      </c>
      <c r="M53" s="68">
        <v>1</v>
      </c>
      <c r="N53" s="68">
        <v>1</v>
      </c>
      <c r="O53" s="68">
        <v>6</v>
      </c>
      <c r="P53" s="68">
        <v>3</v>
      </c>
      <c r="Q53" s="68">
        <v>2</v>
      </c>
      <c r="R53" s="68">
        <v>1</v>
      </c>
      <c r="S53" s="68">
        <v>2</v>
      </c>
      <c r="T53" s="68">
        <v>2</v>
      </c>
      <c r="U53" s="68">
        <v>0</v>
      </c>
      <c r="V53" s="68">
        <v>0</v>
      </c>
      <c r="W53" s="68">
        <v>2</v>
      </c>
      <c r="X53" s="68">
        <v>1</v>
      </c>
      <c r="Y53" s="68">
        <v>0</v>
      </c>
      <c r="Z53" s="68">
        <v>1</v>
      </c>
      <c r="AA53" s="68">
        <v>32</v>
      </c>
      <c r="AB53" s="68">
        <v>16</v>
      </c>
      <c r="AC53" s="68">
        <v>11</v>
      </c>
      <c r="AD53" s="68">
        <v>5</v>
      </c>
      <c r="AE53" s="68">
        <v>2</v>
      </c>
      <c r="AF53" s="68">
        <v>1</v>
      </c>
      <c r="AG53" s="68">
        <v>0</v>
      </c>
      <c r="AH53" s="68">
        <v>1</v>
      </c>
      <c r="AI53" s="68">
        <v>12</v>
      </c>
      <c r="AJ53" s="68">
        <v>6</v>
      </c>
      <c r="AK53" s="68">
        <v>5</v>
      </c>
      <c r="AL53" s="68">
        <v>1</v>
      </c>
      <c r="AM53" s="68">
        <v>11</v>
      </c>
      <c r="AN53" s="68">
        <v>6</v>
      </c>
      <c r="AO53" s="68">
        <v>3</v>
      </c>
      <c r="AP53" s="68">
        <v>2</v>
      </c>
      <c r="AQ53" s="68">
        <v>4</v>
      </c>
      <c r="AR53" s="68">
        <v>2</v>
      </c>
      <c r="AS53" s="68">
        <v>2</v>
      </c>
      <c r="AT53" s="68">
        <v>0</v>
      </c>
      <c r="AU53" s="68">
        <v>3</v>
      </c>
      <c r="AV53" s="68">
        <v>1</v>
      </c>
      <c r="AW53" s="68">
        <v>1</v>
      </c>
      <c r="AX53" s="68">
        <v>1</v>
      </c>
    </row>
    <row r="54" spans="1:50" ht="15.75" customHeight="1">
      <c r="A54" s="346"/>
      <c r="B54" s="65" t="s">
        <v>225</v>
      </c>
      <c r="C54" s="68">
        <v>15</v>
      </c>
      <c r="D54" s="68">
        <v>6</v>
      </c>
      <c r="E54" s="68">
        <v>1</v>
      </c>
      <c r="F54" s="68">
        <v>8</v>
      </c>
      <c r="G54" s="68">
        <v>2</v>
      </c>
      <c r="H54" s="68">
        <v>0</v>
      </c>
      <c r="I54" s="68">
        <v>0</v>
      </c>
      <c r="J54" s="68">
        <v>2</v>
      </c>
      <c r="K54" s="68">
        <v>5</v>
      </c>
      <c r="L54" s="68">
        <v>0</v>
      </c>
      <c r="M54" s="68">
        <v>1</v>
      </c>
      <c r="N54" s="68">
        <v>4</v>
      </c>
      <c r="O54" s="68">
        <v>1</v>
      </c>
      <c r="P54" s="68">
        <v>1</v>
      </c>
      <c r="Q54" s="68">
        <v>0</v>
      </c>
      <c r="R54" s="68">
        <v>0</v>
      </c>
      <c r="S54" s="68">
        <v>0</v>
      </c>
      <c r="T54" s="68">
        <v>0</v>
      </c>
      <c r="U54" s="68">
        <v>0</v>
      </c>
      <c r="V54" s="68">
        <v>0</v>
      </c>
      <c r="W54" s="68">
        <v>7</v>
      </c>
      <c r="X54" s="68">
        <v>5</v>
      </c>
      <c r="Y54" s="68">
        <v>0</v>
      </c>
      <c r="Z54" s="68">
        <v>2</v>
      </c>
      <c r="AA54" s="68">
        <v>22</v>
      </c>
      <c r="AB54" s="68">
        <v>13</v>
      </c>
      <c r="AC54" s="68">
        <v>5</v>
      </c>
      <c r="AD54" s="68">
        <v>4</v>
      </c>
      <c r="AE54" s="68">
        <v>2</v>
      </c>
      <c r="AF54" s="68">
        <v>2</v>
      </c>
      <c r="AG54" s="68">
        <v>0</v>
      </c>
      <c r="AH54" s="68">
        <v>0</v>
      </c>
      <c r="AI54" s="68">
        <v>7</v>
      </c>
      <c r="AJ54" s="68">
        <v>5</v>
      </c>
      <c r="AK54" s="68">
        <v>0</v>
      </c>
      <c r="AL54" s="68">
        <v>2</v>
      </c>
      <c r="AM54" s="68">
        <v>2</v>
      </c>
      <c r="AN54" s="68">
        <v>1</v>
      </c>
      <c r="AO54" s="68">
        <v>1</v>
      </c>
      <c r="AP54" s="68">
        <v>0</v>
      </c>
      <c r="AQ54" s="68">
        <v>0</v>
      </c>
      <c r="AR54" s="68">
        <v>0</v>
      </c>
      <c r="AS54" s="68">
        <v>0</v>
      </c>
      <c r="AT54" s="68">
        <v>0</v>
      </c>
      <c r="AU54" s="68">
        <v>11</v>
      </c>
      <c r="AV54" s="68">
        <v>5</v>
      </c>
      <c r="AW54" s="68">
        <v>4</v>
      </c>
      <c r="AX54" s="68">
        <v>2</v>
      </c>
    </row>
    <row r="55" spans="1:50" ht="15.75" customHeight="1">
      <c r="A55" s="63" t="s">
        <v>216</v>
      </c>
      <c r="B55" s="64" t="s">
        <v>223</v>
      </c>
      <c r="C55" s="67">
        <v>44</v>
      </c>
      <c r="D55" s="67">
        <v>12</v>
      </c>
      <c r="E55" s="67">
        <v>4</v>
      </c>
      <c r="F55" s="67">
        <v>28</v>
      </c>
      <c r="G55" s="67">
        <v>4</v>
      </c>
      <c r="H55" s="67">
        <v>1</v>
      </c>
      <c r="I55" s="67">
        <v>0</v>
      </c>
      <c r="J55" s="67">
        <v>3</v>
      </c>
      <c r="K55" s="67">
        <v>14</v>
      </c>
      <c r="L55" s="67">
        <v>3</v>
      </c>
      <c r="M55" s="67">
        <v>2</v>
      </c>
      <c r="N55" s="67">
        <v>9</v>
      </c>
      <c r="O55" s="67">
        <v>6</v>
      </c>
      <c r="P55" s="67">
        <v>4</v>
      </c>
      <c r="Q55" s="67">
        <v>1</v>
      </c>
      <c r="R55" s="67">
        <v>1</v>
      </c>
      <c r="S55" s="67">
        <v>0</v>
      </c>
      <c r="T55" s="67">
        <v>0</v>
      </c>
      <c r="U55" s="67">
        <v>0</v>
      </c>
      <c r="V55" s="67">
        <v>0</v>
      </c>
      <c r="W55" s="67">
        <v>20</v>
      </c>
      <c r="X55" s="67">
        <v>4</v>
      </c>
      <c r="Y55" s="67">
        <v>1</v>
      </c>
      <c r="Z55" s="67">
        <v>15</v>
      </c>
      <c r="AA55" s="67">
        <v>55</v>
      </c>
      <c r="AB55" s="67">
        <v>16</v>
      </c>
      <c r="AC55" s="67">
        <v>6</v>
      </c>
      <c r="AD55" s="67">
        <v>33</v>
      </c>
      <c r="AE55" s="67">
        <v>7</v>
      </c>
      <c r="AF55" s="67">
        <v>0</v>
      </c>
      <c r="AG55" s="67">
        <v>0</v>
      </c>
      <c r="AH55" s="67">
        <v>7</v>
      </c>
      <c r="AI55" s="67">
        <v>18</v>
      </c>
      <c r="AJ55" s="67">
        <v>6</v>
      </c>
      <c r="AK55" s="67">
        <v>2</v>
      </c>
      <c r="AL55" s="67">
        <v>10</v>
      </c>
      <c r="AM55" s="67">
        <v>6</v>
      </c>
      <c r="AN55" s="67">
        <v>4</v>
      </c>
      <c r="AO55" s="67">
        <v>1</v>
      </c>
      <c r="AP55" s="67">
        <v>1</v>
      </c>
      <c r="AQ55" s="67">
        <v>0</v>
      </c>
      <c r="AR55" s="67">
        <v>0</v>
      </c>
      <c r="AS55" s="67">
        <v>0</v>
      </c>
      <c r="AT55" s="67">
        <v>0</v>
      </c>
      <c r="AU55" s="67">
        <v>24</v>
      </c>
      <c r="AV55" s="67">
        <v>6</v>
      </c>
      <c r="AW55" s="67">
        <v>3</v>
      </c>
      <c r="AX55" s="67">
        <v>15</v>
      </c>
    </row>
    <row r="56" spans="1:50" ht="15.75" customHeight="1">
      <c r="A56" s="345" t="s">
        <v>17</v>
      </c>
      <c r="B56" s="65" t="s">
        <v>224</v>
      </c>
      <c r="C56" s="68">
        <v>21</v>
      </c>
      <c r="D56" s="68">
        <v>9</v>
      </c>
      <c r="E56" s="68">
        <v>3</v>
      </c>
      <c r="F56" s="68">
        <v>9</v>
      </c>
      <c r="G56" s="68">
        <v>1</v>
      </c>
      <c r="H56" s="68">
        <v>0</v>
      </c>
      <c r="I56" s="68">
        <v>0</v>
      </c>
      <c r="J56" s="68">
        <v>1</v>
      </c>
      <c r="K56" s="68">
        <v>4</v>
      </c>
      <c r="L56" s="68">
        <v>2</v>
      </c>
      <c r="M56" s="68">
        <v>1</v>
      </c>
      <c r="N56" s="68">
        <v>1</v>
      </c>
      <c r="O56" s="68">
        <v>6</v>
      </c>
      <c r="P56" s="68">
        <v>4</v>
      </c>
      <c r="Q56" s="68">
        <v>1</v>
      </c>
      <c r="R56" s="68">
        <v>1</v>
      </c>
      <c r="S56" s="68">
        <v>0</v>
      </c>
      <c r="T56" s="68">
        <v>0</v>
      </c>
      <c r="U56" s="68">
        <v>0</v>
      </c>
      <c r="V56" s="68">
        <v>0</v>
      </c>
      <c r="W56" s="68">
        <v>10</v>
      </c>
      <c r="X56" s="68">
        <v>3</v>
      </c>
      <c r="Y56" s="68">
        <v>1</v>
      </c>
      <c r="Z56" s="68">
        <v>6</v>
      </c>
      <c r="AA56" s="68">
        <v>28</v>
      </c>
      <c r="AB56" s="68">
        <v>11</v>
      </c>
      <c r="AC56" s="68">
        <v>4</v>
      </c>
      <c r="AD56" s="68">
        <v>13</v>
      </c>
      <c r="AE56" s="68">
        <v>1</v>
      </c>
      <c r="AF56" s="68">
        <v>0</v>
      </c>
      <c r="AG56" s="68">
        <v>0</v>
      </c>
      <c r="AH56" s="68">
        <v>1</v>
      </c>
      <c r="AI56" s="68">
        <v>8</v>
      </c>
      <c r="AJ56" s="68">
        <v>4</v>
      </c>
      <c r="AK56" s="68">
        <v>1</v>
      </c>
      <c r="AL56" s="68">
        <v>3</v>
      </c>
      <c r="AM56" s="68">
        <v>6</v>
      </c>
      <c r="AN56" s="68">
        <v>4</v>
      </c>
      <c r="AO56" s="68">
        <v>1</v>
      </c>
      <c r="AP56" s="68">
        <v>1</v>
      </c>
      <c r="AQ56" s="68">
        <v>0</v>
      </c>
      <c r="AR56" s="68">
        <v>0</v>
      </c>
      <c r="AS56" s="68">
        <v>0</v>
      </c>
      <c r="AT56" s="68">
        <v>0</v>
      </c>
      <c r="AU56" s="68">
        <v>13</v>
      </c>
      <c r="AV56" s="68">
        <v>3</v>
      </c>
      <c r="AW56" s="68">
        <v>2</v>
      </c>
      <c r="AX56" s="68">
        <v>8</v>
      </c>
    </row>
    <row r="57" spans="1:50" ht="15.75" customHeight="1">
      <c r="A57" s="346"/>
      <c r="B57" s="65" t="s">
        <v>225</v>
      </c>
      <c r="C57" s="68">
        <v>23</v>
      </c>
      <c r="D57" s="68">
        <v>3</v>
      </c>
      <c r="E57" s="68">
        <v>1</v>
      </c>
      <c r="F57" s="68">
        <v>19</v>
      </c>
      <c r="G57" s="68">
        <v>3</v>
      </c>
      <c r="H57" s="68">
        <v>1</v>
      </c>
      <c r="I57" s="68">
        <v>0</v>
      </c>
      <c r="J57" s="68">
        <v>2</v>
      </c>
      <c r="K57" s="68">
        <v>10</v>
      </c>
      <c r="L57" s="68">
        <v>1</v>
      </c>
      <c r="M57" s="68">
        <v>1</v>
      </c>
      <c r="N57" s="68">
        <v>8</v>
      </c>
      <c r="O57" s="68">
        <v>0</v>
      </c>
      <c r="P57" s="68">
        <v>0</v>
      </c>
      <c r="Q57" s="68">
        <v>0</v>
      </c>
      <c r="R57" s="68">
        <v>0</v>
      </c>
      <c r="S57" s="68">
        <v>0</v>
      </c>
      <c r="T57" s="68">
        <v>0</v>
      </c>
      <c r="U57" s="68">
        <v>0</v>
      </c>
      <c r="V57" s="68">
        <v>0</v>
      </c>
      <c r="W57" s="68">
        <v>10</v>
      </c>
      <c r="X57" s="68">
        <v>1</v>
      </c>
      <c r="Y57" s="68">
        <v>0</v>
      </c>
      <c r="Z57" s="68">
        <v>9</v>
      </c>
      <c r="AA57" s="68">
        <v>27</v>
      </c>
      <c r="AB57" s="68">
        <v>5</v>
      </c>
      <c r="AC57" s="68">
        <v>2</v>
      </c>
      <c r="AD57" s="68">
        <v>20</v>
      </c>
      <c r="AE57" s="68">
        <v>6</v>
      </c>
      <c r="AF57" s="68">
        <v>0</v>
      </c>
      <c r="AG57" s="68">
        <v>0</v>
      </c>
      <c r="AH57" s="68">
        <v>6</v>
      </c>
      <c r="AI57" s="68">
        <v>10</v>
      </c>
      <c r="AJ57" s="68">
        <v>2</v>
      </c>
      <c r="AK57" s="68">
        <v>1</v>
      </c>
      <c r="AL57" s="68">
        <v>7</v>
      </c>
      <c r="AM57" s="68">
        <v>0</v>
      </c>
      <c r="AN57" s="68">
        <v>0</v>
      </c>
      <c r="AO57" s="68">
        <v>0</v>
      </c>
      <c r="AP57" s="68">
        <v>0</v>
      </c>
      <c r="AQ57" s="68">
        <v>0</v>
      </c>
      <c r="AR57" s="68">
        <v>0</v>
      </c>
      <c r="AS57" s="68">
        <v>0</v>
      </c>
      <c r="AT57" s="68">
        <v>0</v>
      </c>
      <c r="AU57" s="68">
        <v>11</v>
      </c>
      <c r="AV57" s="68">
        <v>3</v>
      </c>
      <c r="AW57" s="68">
        <v>1</v>
      </c>
      <c r="AX57" s="68">
        <v>7</v>
      </c>
    </row>
    <row r="58" spans="1:50" ht="15.75" customHeight="1">
      <c r="A58" s="63" t="s">
        <v>217</v>
      </c>
      <c r="B58" s="64" t="s">
        <v>223</v>
      </c>
      <c r="C58" s="67">
        <v>0</v>
      </c>
      <c r="D58" s="67">
        <v>0</v>
      </c>
      <c r="E58" s="67">
        <v>0</v>
      </c>
      <c r="F58" s="67">
        <v>0</v>
      </c>
      <c r="G58" s="67">
        <v>0</v>
      </c>
      <c r="H58" s="67">
        <v>0</v>
      </c>
      <c r="I58" s="67">
        <v>0</v>
      </c>
      <c r="J58" s="67">
        <v>0</v>
      </c>
      <c r="K58" s="67">
        <v>0</v>
      </c>
      <c r="L58" s="67">
        <v>0</v>
      </c>
      <c r="M58" s="67">
        <v>0</v>
      </c>
      <c r="N58" s="67">
        <v>0</v>
      </c>
      <c r="O58" s="67">
        <v>0</v>
      </c>
      <c r="P58" s="67">
        <v>0</v>
      </c>
      <c r="Q58" s="67">
        <v>0</v>
      </c>
      <c r="R58" s="67">
        <v>0</v>
      </c>
      <c r="S58" s="67">
        <v>0</v>
      </c>
      <c r="T58" s="67">
        <v>0</v>
      </c>
      <c r="U58" s="67">
        <v>0</v>
      </c>
      <c r="V58" s="67">
        <v>0</v>
      </c>
      <c r="W58" s="67">
        <v>0</v>
      </c>
      <c r="X58" s="67">
        <v>0</v>
      </c>
      <c r="Y58" s="67">
        <v>0</v>
      </c>
      <c r="Z58" s="67">
        <v>0</v>
      </c>
      <c r="AA58" s="67">
        <v>0</v>
      </c>
      <c r="AB58" s="67">
        <v>0</v>
      </c>
      <c r="AC58" s="67">
        <v>0</v>
      </c>
      <c r="AD58" s="67">
        <v>0</v>
      </c>
      <c r="AE58" s="67">
        <v>0</v>
      </c>
      <c r="AF58" s="67">
        <v>0</v>
      </c>
      <c r="AG58" s="67">
        <v>0</v>
      </c>
      <c r="AH58" s="67">
        <v>0</v>
      </c>
      <c r="AI58" s="67">
        <v>0</v>
      </c>
      <c r="AJ58" s="67">
        <v>0</v>
      </c>
      <c r="AK58" s="67">
        <v>0</v>
      </c>
      <c r="AL58" s="67">
        <v>0</v>
      </c>
      <c r="AM58" s="67">
        <v>0</v>
      </c>
      <c r="AN58" s="67">
        <v>0</v>
      </c>
      <c r="AO58" s="67">
        <v>0</v>
      </c>
      <c r="AP58" s="67">
        <v>0</v>
      </c>
      <c r="AQ58" s="67">
        <v>0</v>
      </c>
      <c r="AR58" s="67">
        <v>0</v>
      </c>
      <c r="AS58" s="67">
        <v>0</v>
      </c>
      <c r="AT58" s="67">
        <v>0</v>
      </c>
      <c r="AU58" s="67">
        <v>0</v>
      </c>
      <c r="AV58" s="67">
        <v>0</v>
      </c>
      <c r="AW58" s="67">
        <v>0</v>
      </c>
      <c r="AX58" s="67">
        <v>0</v>
      </c>
    </row>
    <row r="59" spans="1:50" ht="15.75" customHeight="1">
      <c r="A59" s="345" t="s">
        <v>18</v>
      </c>
      <c r="B59" s="65" t="s">
        <v>224</v>
      </c>
      <c r="C59" s="68">
        <v>0</v>
      </c>
      <c r="D59" s="68">
        <v>0</v>
      </c>
      <c r="E59" s="68">
        <v>0</v>
      </c>
      <c r="F59" s="68">
        <v>0</v>
      </c>
      <c r="G59" s="68">
        <v>0</v>
      </c>
      <c r="H59" s="68">
        <v>0</v>
      </c>
      <c r="I59" s="68">
        <v>0</v>
      </c>
      <c r="J59" s="68">
        <v>0</v>
      </c>
      <c r="K59" s="68">
        <v>0</v>
      </c>
      <c r="L59" s="68">
        <v>0</v>
      </c>
      <c r="M59" s="68">
        <v>0</v>
      </c>
      <c r="N59" s="68">
        <v>0</v>
      </c>
      <c r="O59" s="68">
        <v>0</v>
      </c>
      <c r="P59" s="68">
        <v>0</v>
      </c>
      <c r="Q59" s="68">
        <v>0</v>
      </c>
      <c r="R59" s="68">
        <v>0</v>
      </c>
      <c r="S59" s="68">
        <v>0</v>
      </c>
      <c r="T59" s="68">
        <v>0</v>
      </c>
      <c r="U59" s="68">
        <v>0</v>
      </c>
      <c r="V59" s="68">
        <v>0</v>
      </c>
      <c r="W59" s="68">
        <v>0</v>
      </c>
      <c r="X59" s="68">
        <v>0</v>
      </c>
      <c r="Y59" s="68">
        <v>0</v>
      </c>
      <c r="Z59" s="68">
        <v>0</v>
      </c>
      <c r="AA59" s="68">
        <v>0</v>
      </c>
      <c r="AB59" s="68">
        <v>0</v>
      </c>
      <c r="AC59" s="68">
        <v>0</v>
      </c>
      <c r="AD59" s="68">
        <v>0</v>
      </c>
      <c r="AE59" s="68">
        <v>0</v>
      </c>
      <c r="AF59" s="68">
        <v>0</v>
      </c>
      <c r="AG59" s="68">
        <v>0</v>
      </c>
      <c r="AH59" s="68">
        <v>0</v>
      </c>
      <c r="AI59" s="68">
        <v>0</v>
      </c>
      <c r="AJ59" s="68">
        <v>0</v>
      </c>
      <c r="AK59" s="68">
        <v>0</v>
      </c>
      <c r="AL59" s="68">
        <v>0</v>
      </c>
      <c r="AM59" s="68">
        <v>0</v>
      </c>
      <c r="AN59" s="68">
        <v>0</v>
      </c>
      <c r="AO59" s="68">
        <v>0</v>
      </c>
      <c r="AP59" s="68">
        <v>0</v>
      </c>
      <c r="AQ59" s="68">
        <v>0</v>
      </c>
      <c r="AR59" s="68">
        <v>0</v>
      </c>
      <c r="AS59" s="68">
        <v>0</v>
      </c>
      <c r="AT59" s="68">
        <v>0</v>
      </c>
      <c r="AU59" s="68">
        <v>0</v>
      </c>
      <c r="AV59" s="68">
        <v>0</v>
      </c>
      <c r="AW59" s="68">
        <v>0</v>
      </c>
      <c r="AX59" s="68">
        <v>0</v>
      </c>
    </row>
    <row r="60" spans="1:50" ht="15.75" customHeight="1">
      <c r="A60" s="346"/>
      <c r="B60" s="65" t="s">
        <v>225</v>
      </c>
      <c r="C60" s="68">
        <v>0</v>
      </c>
      <c r="D60" s="68">
        <v>0</v>
      </c>
      <c r="E60" s="68">
        <v>0</v>
      </c>
      <c r="F60" s="68">
        <v>0</v>
      </c>
      <c r="G60" s="68">
        <v>0</v>
      </c>
      <c r="H60" s="68">
        <v>0</v>
      </c>
      <c r="I60" s="68">
        <v>0</v>
      </c>
      <c r="J60" s="68">
        <v>0</v>
      </c>
      <c r="K60" s="68">
        <v>0</v>
      </c>
      <c r="L60" s="68">
        <v>0</v>
      </c>
      <c r="M60" s="68">
        <v>0</v>
      </c>
      <c r="N60" s="68">
        <v>0</v>
      </c>
      <c r="O60" s="68">
        <v>0</v>
      </c>
      <c r="P60" s="68">
        <v>0</v>
      </c>
      <c r="Q60" s="68">
        <v>0</v>
      </c>
      <c r="R60" s="68">
        <v>0</v>
      </c>
      <c r="S60" s="68">
        <v>0</v>
      </c>
      <c r="T60" s="68">
        <v>0</v>
      </c>
      <c r="U60" s="68">
        <v>0</v>
      </c>
      <c r="V60" s="68">
        <v>0</v>
      </c>
      <c r="W60" s="68">
        <v>0</v>
      </c>
      <c r="X60" s="68">
        <v>0</v>
      </c>
      <c r="Y60" s="68">
        <v>0</v>
      </c>
      <c r="Z60" s="68">
        <v>0</v>
      </c>
      <c r="AA60" s="68">
        <v>0</v>
      </c>
      <c r="AB60" s="68">
        <v>0</v>
      </c>
      <c r="AC60" s="68">
        <v>0</v>
      </c>
      <c r="AD60" s="68">
        <v>0</v>
      </c>
      <c r="AE60" s="68">
        <v>0</v>
      </c>
      <c r="AF60" s="68">
        <v>0</v>
      </c>
      <c r="AG60" s="68">
        <v>0</v>
      </c>
      <c r="AH60" s="68">
        <v>0</v>
      </c>
      <c r="AI60" s="68">
        <v>0</v>
      </c>
      <c r="AJ60" s="68">
        <v>0</v>
      </c>
      <c r="AK60" s="68">
        <v>0</v>
      </c>
      <c r="AL60" s="68">
        <v>0</v>
      </c>
      <c r="AM60" s="68">
        <v>0</v>
      </c>
      <c r="AN60" s="68">
        <v>0</v>
      </c>
      <c r="AO60" s="68">
        <v>0</v>
      </c>
      <c r="AP60" s="68">
        <v>0</v>
      </c>
      <c r="AQ60" s="68">
        <v>0</v>
      </c>
      <c r="AR60" s="68">
        <v>0</v>
      </c>
      <c r="AS60" s="68">
        <v>0</v>
      </c>
      <c r="AT60" s="68">
        <v>0</v>
      </c>
      <c r="AU60" s="68">
        <v>0</v>
      </c>
      <c r="AV60" s="68">
        <v>0</v>
      </c>
      <c r="AW60" s="68">
        <v>0</v>
      </c>
      <c r="AX60" s="68">
        <v>0</v>
      </c>
    </row>
    <row r="61" spans="1:50" ht="15.75" customHeight="1">
      <c r="A61" s="63" t="s">
        <v>218</v>
      </c>
      <c r="B61" s="64" t="s">
        <v>223</v>
      </c>
      <c r="C61" s="67">
        <v>0</v>
      </c>
      <c r="D61" s="67">
        <v>0</v>
      </c>
      <c r="E61" s="67">
        <v>0</v>
      </c>
      <c r="F61" s="67">
        <v>0</v>
      </c>
      <c r="G61" s="67">
        <v>0</v>
      </c>
      <c r="H61" s="67">
        <v>0</v>
      </c>
      <c r="I61" s="67">
        <v>0</v>
      </c>
      <c r="J61" s="67">
        <v>0</v>
      </c>
      <c r="K61" s="67">
        <v>0</v>
      </c>
      <c r="L61" s="67">
        <v>0</v>
      </c>
      <c r="M61" s="67">
        <v>0</v>
      </c>
      <c r="N61" s="67">
        <v>0</v>
      </c>
      <c r="O61" s="67">
        <v>0</v>
      </c>
      <c r="P61" s="67">
        <v>0</v>
      </c>
      <c r="Q61" s="67">
        <v>0</v>
      </c>
      <c r="R61" s="67">
        <v>0</v>
      </c>
      <c r="S61" s="67">
        <v>0</v>
      </c>
      <c r="T61" s="67">
        <v>0</v>
      </c>
      <c r="U61" s="67">
        <v>0</v>
      </c>
      <c r="V61" s="67">
        <v>0</v>
      </c>
      <c r="W61" s="67">
        <v>0</v>
      </c>
      <c r="X61" s="67">
        <v>0</v>
      </c>
      <c r="Y61" s="67">
        <v>0</v>
      </c>
      <c r="Z61" s="67">
        <v>0</v>
      </c>
      <c r="AA61" s="67">
        <v>0</v>
      </c>
      <c r="AB61" s="67">
        <v>0</v>
      </c>
      <c r="AC61" s="67">
        <v>0</v>
      </c>
      <c r="AD61" s="67">
        <v>0</v>
      </c>
      <c r="AE61" s="67">
        <v>0</v>
      </c>
      <c r="AF61" s="67">
        <v>0</v>
      </c>
      <c r="AG61" s="67">
        <v>0</v>
      </c>
      <c r="AH61" s="67">
        <v>0</v>
      </c>
      <c r="AI61" s="67">
        <v>0</v>
      </c>
      <c r="AJ61" s="67">
        <v>0</v>
      </c>
      <c r="AK61" s="67">
        <v>0</v>
      </c>
      <c r="AL61" s="67">
        <v>0</v>
      </c>
      <c r="AM61" s="67">
        <v>0</v>
      </c>
      <c r="AN61" s="67">
        <v>0</v>
      </c>
      <c r="AO61" s="67">
        <v>0</v>
      </c>
      <c r="AP61" s="67">
        <v>0</v>
      </c>
      <c r="AQ61" s="67">
        <v>0</v>
      </c>
      <c r="AR61" s="67">
        <v>0</v>
      </c>
      <c r="AS61" s="67">
        <v>0</v>
      </c>
      <c r="AT61" s="67">
        <v>0</v>
      </c>
      <c r="AU61" s="67">
        <v>0</v>
      </c>
      <c r="AV61" s="67">
        <v>0</v>
      </c>
      <c r="AW61" s="67">
        <v>0</v>
      </c>
      <c r="AX61" s="67">
        <v>0</v>
      </c>
    </row>
    <row r="62" spans="1:50" ht="15.75" customHeight="1">
      <c r="A62" s="345" t="s">
        <v>19</v>
      </c>
      <c r="B62" s="65" t="s">
        <v>224</v>
      </c>
      <c r="C62" s="68">
        <v>0</v>
      </c>
      <c r="D62" s="68">
        <v>0</v>
      </c>
      <c r="E62" s="68">
        <v>0</v>
      </c>
      <c r="F62" s="68">
        <v>0</v>
      </c>
      <c r="G62" s="68">
        <v>0</v>
      </c>
      <c r="H62" s="68">
        <v>0</v>
      </c>
      <c r="I62" s="68">
        <v>0</v>
      </c>
      <c r="J62" s="68">
        <v>0</v>
      </c>
      <c r="K62" s="68">
        <v>0</v>
      </c>
      <c r="L62" s="68">
        <v>0</v>
      </c>
      <c r="M62" s="68">
        <v>0</v>
      </c>
      <c r="N62" s="68">
        <v>0</v>
      </c>
      <c r="O62" s="68">
        <v>0</v>
      </c>
      <c r="P62" s="68">
        <v>0</v>
      </c>
      <c r="Q62" s="68">
        <v>0</v>
      </c>
      <c r="R62" s="68">
        <v>0</v>
      </c>
      <c r="S62" s="68">
        <v>0</v>
      </c>
      <c r="T62" s="68">
        <v>0</v>
      </c>
      <c r="U62" s="68">
        <v>0</v>
      </c>
      <c r="V62" s="68">
        <v>0</v>
      </c>
      <c r="W62" s="68">
        <v>0</v>
      </c>
      <c r="X62" s="68">
        <v>0</v>
      </c>
      <c r="Y62" s="68">
        <v>0</v>
      </c>
      <c r="Z62" s="68">
        <v>0</v>
      </c>
      <c r="AA62" s="68">
        <v>0</v>
      </c>
      <c r="AB62" s="68">
        <v>0</v>
      </c>
      <c r="AC62" s="68">
        <v>0</v>
      </c>
      <c r="AD62" s="68">
        <v>0</v>
      </c>
      <c r="AE62" s="68">
        <v>0</v>
      </c>
      <c r="AF62" s="68">
        <v>0</v>
      </c>
      <c r="AG62" s="68">
        <v>0</v>
      </c>
      <c r="AH62" s="68">
        <v>0</v>
      </c>
      <c r="AI62" s="68">
        <v>0</v>
      </c>
      <c r="AJ62" s="68">
        <v>0</v>
      </c>
      <c r="AK62" s="68">
        <v>0</v>
      </c>
      <c r="AL62" s="68">
        <v>0</v>
      </c>
      <c r="AM62" s="68">
        <v>0</v>
      </c>
      <c r="AN62" s="68">
        <v>0</v>
      </c>
      <c r="AO62" s="68">
        <v>0</v>
      </c>
      <c r="AP62" s="68">
        <v>0</v>
      </c>
      <c r="AQ62" s="68">
        <v>0</v>
      </c>
      <c r="AR62" s="68">
        <v>0</v>
      </c>
      <c r="AS62" s="68">
        <v>0</v>
      </c>
      <c r="AT62" s="68">
        <v>0</v>
      </c>
      <c r="AU62" s="68">
        <v>0</v>
      </c>
      <c r="AV62" s="68">
        <v>0</v>
      </c>
      <c r="AW62" s="68">
        <v>0</v>
      </c>
      <c r="AX62" s="68">
        <v>0</v>
      </c>
    </row>
    <row r="63" spans="1:50" ht="15.75" customHeight="1">
      <c r="A63" s="346"/>
      <c r="B63" s="65" t="s">
        <v>225</v>
      </c>
      <c r="C63" s="68">
        <v>0</v>
      </c>
      <c r="D63" s="68">
        <v>0</v>
      </c>
      <c r="E63" s="68">
        <v>0</v>
      </c>
      <c r="F63" s="68">
        <v>0</v>
      </c>
      <c r="G63" s="68">
        <v>0</v>
      </c>
      <c r="H63" s="68">
        <v>0</v>
      </c>
      <c r="I63" s="68">
        <v>0</v>
      </c>
      <c r="J63" s="68">
        <v>0</v>
      </c>
      <c r="K63" s="68">
        <v>0</v>
      </c>
      <c r="L63" s="68">
        <v>0</v>
      </c>
      <c r="M63" s="68">
        <v>0</v>
      </c>
      <c r="N63" s="68">
        <v>0</v>
      </c>
      <c r="O63" s="68">
        <v>0</v>
      </c>
      <c r="P63" s="68">
        <v>0</v>
      </c>
      <c r="Q63" s="68">
        <v>0</v>
      </c>
      <c r="R63" s="68">
        <v>0</v>
      </c>
      <c r="S63" s="68">
        <v>0</v>
      </c>
      <c r="T63" s="68">
        <v>0</v>
      </c>
      <c r="U63" s="68">
        <v>0</v>
      </c>
      <c r="V63" s="68">
        <v>0</v>
      </c>
      <c r="W63" s="68">
        <v>0</v>
      </c>
      <c r="X63" s="68">
        <v>0</v>
      </c>
      <c r="Y63" s="68">
        <v>0</v>
      </c>
      <c r="Z63" s="68">
        <v>0</v>
      </c>
      <c r="AA63" s="68">
        <v>0</v>
      </c>
      <c r="AB63" s="68">
        <v>0</v>
      </c>
      <c r="AC63" s="68">
        <v>0</v>
      </c>
      <c r="AD63" s="68">
        <v>0</v>
      </c>
      <c r="AE63" s="68">
        <v>0</v>
      </c>
      <c r="AF63" s="68">
        <v>0</v>
      </c>
      <c r="AG63" s="68">
        <v>0</v>
      </c>
      <c r="AH63" s="68">
        <v>0</v>
      </c>
      <c r="AI63" s="68">
        <v>0</v>
      </c>
      <c r="AJ63" s="68">
        <v>0</v>
      </c>
      <c r="AK63" s="68">
        <v>0</v>
      </c>
      <c r="AL63" s="68">
        <v>0</v>
      </c>
      <c r="AM63" s="68">
        <v>0</v>
      </c>
      <c r="AN63" s="68">
        <v>0</v>
      </c>
      <c r="AO63" s="68">
        <v>0</v>
      </c>
      <c r="AP63" s="68">
        <v>0</v>
      </c>
      <c r="AQ63" s="68">
        <v>0</v>
      </c>
      <c r="AR63" s="68">
        <v>0</v>
      </c>
      <c r="AS63" s="68">
        <v>0</v>
      </c>
      <c r="AT63" s="68">
        <v>0</v>
      </c>
      <c r="AU63" s="68">
        <v>0</v>
      </c>
      <c r="AV63" s="68">
        <v>0</v>
      </c>
      <c r="AW63" s="68">
        <v>0</v>
      </c>
      <c r="AX63" s="68">
        <v>0</v>
      </c>
    </row>
    <row r="64" spans="1:50" ht="15.75" customHeight="1">
      <c r="A64" s="63" t="s">
        <v>219</v>
      </c>
      <c r="B64" s="64" t="s">
        <v>223</v>
      </c>
      <c r="C64" s="67">
        <v>64</v>
      </c>
      <c r="D64" s="67">
        <v>0</v>
      </c>
      <c r="E64" s="67">
        <v>5</v>
      </c>
      <c r="F64" s="67">
        <v>59</v>
      </c>
      <c r="G64" s="67">
        <v>53</v>
      </c>
      <c r="H64" s="67">
        <v>0</v>
      </c>
      <c r="I64" s="67">
        <v>0</v>
      </c>
      <c r="J64" s="67">
        <v>53</v>
      </c>
      <c r="K64" s="67">
        <v>0</v>
      </c>
      <c r="L64" s="67">
        <v>0</v>
      </c>
      <c r="M64" s="67">
        <v>0</v>
      </c>
      <c r="N64" s="67">
        <v>0</v>
      </c>
      <c r="O64" s="67">
        <v>0</v>
      </c>
      <c r="P64" s="67">
        <v>0</v>
      </c>
      <c r="Q64" s="67">
        <v>0</v>
      </c>
      <c r="R64" s="67">
        <v>0</v>
      </c>
      <c r="S64" s="67">
        <v>0</v>
      </c>
      <c r="T64" s="67">
        <v>0</v>
      </c>
      <c r="U64" s="67">
        <v>0</v>
      </c>
      <c r="V64" s="67">
        <v>0</v>
      </c>
      <c r="W64" s="67">
        <v>11</v>
      </c>
      <c r="X64" s="67">
        <v>0</v>
      </c>
      <c r="Y64" s="67">
        <v>5</v>
      </c>
      <c r="Z64" s="67">
        <v>6</v>
      </c>
      <c r="AA64" s="67">
        <v>456</v>
      </c>
      <c r="AB64" s="67">
        <v>0</v>
      </c>
      <c r="AC64" s="67">
        <v>20</v>
      </c>
      <c r="AD64" s="67">
        <v>436</v>
      </c>
      <c r="AE64" s="67">
        <v>297</v>
      </c>
      <c r="AF64" s="67">
        <v>0</v>
      </c>
      <c r="AG64" s="67">
        <v>7</v>
      </c>
      <c r="AH64" s="67">
        <v>290</v>
      </c>
      <c r="AI64" s="67">
        <v>50</v>
      </c>
      <c r="AJ64" s="67">
        <v>0</v>
      </c>
      <c r="AK64" s="67">
        <v>7</v>
      </c>
      <c r="AL64" s="67">
        <v>43</v>
      </c>
      <c r="AM64" s="67">
        <v>0</v>
      </c>
      <c r="AN64" s="67">
        <v>0</v>
      </c>
      <c r="AO64" s="67">
        <v>0</v>
      </c>
      <c r="AP64" s="67">
        <v>0</v>
      </c>
      <c r="AQ64" s="67">
        <v>0</v>
      </c>
      <c r="AR64" s="67">
        <v>0</v>
      </c>
      <c r="AS64" s="67">
        <v>0</v>
      </c>
      <c r="AT64" s="67">
        <v>0</v>
      </c>
      <c r="AU64" s="67">
        <v>109</v>
      </c>
      <c r="AV64" s="67">
        <v>0</v>
      </c>
      <c r="AW64" s="67">
        <v>6</v>
      </c>
      <c r="AX64" s="67">
        <v>103</v>
      </c>
    </row>
    <row r="65" spans="1:50" ht="15.75" customHeight="1">
      <c r="A65" s="345" t="s">
        <v>20</v>
      </c>
      <c r="B65" s="65" t="s">
        <v>224</v>
      </c>
      <c r="C65" s="68">
        <v>64</v>
      </c>
      <c r="D65" s="68">
        <v>0</v>
      </c>
      <c r="E65" s="68">
        <v>5</v>
      </c>
      <c r="F65" s="68">
        <v>59</v>
      </c>
      <c r="G65" s="68">
        <v>53</v>
      </c>
      <c r="H65" s="68">
        <v>0</v>
      </c>
      <c r="I65" s="68">
        <v>0</v>
      </c>
      <c r="J65" s="68">
        <v>53</v>
      </c>
      <c r="K65" s="68">
        <v>0</v>
      </c>
      <c r="L65" s="68">
        <v>0</v>
      </c>
      <c r="M65" s="68">
        <v>0</v>
      </c>
      <c r="N65" s="68">
        <v>0</v>
      </c>
      <c r="O65" s="68">
        <v>0</v>
      </c>
      <c r="P65" s="68">
        <v>0</v>
      </c>
      <c r="Q65" s="68">
        <v>0</v>
      </c>
      <c r="R65" s="68">
        <v>0</v>
      </c>
      <c r="S65" s="68">
        <v>0</v>
      </c>
      <c r="T65" s="68">
        <v>0</v>
      </c>
      <c r="U65" s="68">
        <v>0</v>
      </c>
      <c r="V65" s="68">
        <v>0</v>
      </c>
      <c r="W65" s="68">
        <v>11</v>
      </c>
      <c r="X65" s="68">
        <v>0</v>
      </c>
      <c r="Y65" s="68">
        <v>5</v>
      </c>
      <c r="Z65" s="68">
        <v>6</v>
      </c>
      <c r="AA65" s="68">
        <v>357</v>
      </c>
      <c r="AB65" s="68">
        <v>0</v>
      </c>
      <c r="AC65" s="68">
        <v>19</v>
      </c>
      <c r="AD65" s="68">
        <v>338</v>
      </c>
      <c r="AE65" s="68">
        <v>296</v>
      </c>
      <c r="AF65" s="68">
        <v>0</v>
      </c>
      <c r="AG65" s="68">
        <v>7</v>
      </c>
      <c r="AH65" s="68">
        <v>289</v>
      </c>
      <c r="AI65" s="68">
        <v>49</v>
      </c>
      <c r="AJ65" s="68">
        <v>0</v>
      </c>
      <c r="AK65" s="68">
        <v>7</v>
      </c>
      <c r="AL65" s="68">
        <v>42</v>
      </c>
      <c r="AM65" s="68">
        <v>0</v>
      </c>
      <c r="AN65" s="68">
        <v>0</v>
      </c>
      <c r="AO65" s="68">
        <v>0</v>
      </c>
      <c r="AP65" s="68">
        <v>0</v>
      </c>
      <c r="AQ65" s="68">
        <v>0</v>
      </c>
      <c r="AR65" s="68">
        <v>0</v>
      </c>
      <c r="AS65" s="68">
        <v>0</v>
      </c>
      <c r="AT65" s="68">
        <v>0</v>
      </c>
      <c r="AU65" s="68">
        <v>12</v>
      </c>
      <c r="AV65" s="68">
        <v>0</v>
      </c>
      <c r="AW65" s="68">
        <v>5</v>
      </c>
      <c r="AX65" s="68">
        <v>7</v>
      </c>
    </row>
    <row r="66" spans="1:50" ht="15.75" customHeight="1">
      <c r="A66" s="346"/>
      <c r="B66" s="65" t="s">
        <v>225</v>
      </c>
      <c r="C66" s="68">
        <v>0</v>
      </c>
      <c r="D66" s="68">
        <v>0</v>
      </c>
      <c r="E66" s="68">
        <v>0</v>
      </c>
      <c r="F66" s="68">
        <v>0</v>
      </c>
      <c r="G66" s="68">
        <v>0</v>
      </c>
      <c r="H66" s="68">
        <v>0</v>
      </c>
      <c r="I66" s="68">
        <v>0</v>
      </c>
      <c r="J66" s="68">
        <v>0</v>
      </c>
      <c r="K66" s="68">
        <v>0</v>
      </c>
      <c r="L66" s="68">
        <v>0</v>
      </c>
      <c r="M66" s="68">
        <v>0</v>
      </c>
      <c r="N66" s="68">
        <v>0</v>
      </c>
      <c r="O66" s="68">
        <v>0</v>
      </c>
      <c r="P66" s="68">
        <v>0</v>
      </c>
      <c r="Q66" s="68">
        <v>0</v>
      </c>
      <c r="R66" s="68">
        <v>0</v>
      </c>
      <c r="S66" s="68">
        <v>0</v>
      </c>
      <c r="T66" s="68">
        <v>0</v>
      </c>
      <c r="U66" s="68">
        <v>0</v>
      </c>
      <c r="V66" s="68">
        <v>0</v>
      </c>
      <c r="W66" s="68">
        <v>0</v>
      </c>
      <c r="X66" s="68">
        <v>0</v>
      </c>
      <c r="Y66" s="68">
        <v>0</v>
      </c>
      <c r="Z66" s="68">
        <v>0</v>
      </c>
      <c r="AA66" s="68">
        <v>99</v>
      </c>
      <c r="AB66" s="68">
        <v>0</v>
      </c>
      <c r="AC66" s="68">
        <v>1</v>
      </c>
      <c r="AD66" s="68">
        <v>98</v>
      </c>
      <c r="AE66" s="68">
        <v>1</v>
      </c>
      <c r="AF66" s="68">
        <v>0</v>
      </c>
      <c r="AG66" s="68">
        <v>0</v>
      </c>
      <c r="AH66" s="68">
        <v>1</v>
      </c>
      <c r="AI66" s="68">
        <v>1</v>
      </c>
      <c r="AJ66" s="68">
        <v>0</v>
      </c>
      <c r="AK66" s="68">
        <v>0</v>
      </c>
      <c r="AL66" s="68">
        <v>1</v>
      </c>
      <c r="AM66" s="68">
        <v>0</v>
      </c>
      <c r="AN66" s="68">
        <v>0</v>
      </c>
      <c r="AO66" s="68">
        <v>0</v>
      </c>
      <c r="AP66" s="68">
        <v>0</v>
      </c>
      <c r="AQ66" s="68">
        <v>0</v>
      </c>
      <c r="AR66" s="68">
        <v>0</v>
      </c>
      <c r="AS66" s="68">
        <v>0</v>
      </c>
      <c r="AT66" s="68">
        <v>0</v>
      </c>
      <c r="AU66" s="68">
        <v>97</v>
      </c>
      <c r="AV66" s="68">
        <v>0</v>
      </c>
      <c r="AW66" s="68">
        <v>1</v>
      </c>
      <c r="AX66" s="68">
        <v>96</v>
      </c>
    </row>
    <row r="67" spans="1:50" ht="15.75" customHeight="1">
      <c r="A67" s="63" t="s">
        <v>220</v>
      </c>
      <c r="B67" s="64" t="s">
        <v>223</v>
      </c>
      <c r="C67" s="67">
        <v>0</v>
      </c>
      <c r="D67" s="67">
        <v>0</v>
      </c>
      <c r="E67" s="67">
        <v>0</v>
      </c>
      <c r="F67" s="67">
        <v>0</v>
      </c>
      <c r="G67" s="67">
        <v>0</v>
      </c>
      <c r="H67" s="67">
        <v>0</v>
      </c>
      <c r="I67" s="67">
        <v>0</v>
      </c>
      <c r="J67" s="67">
        <v>0</v>
      </c>
      <c r="K67" s="67">
        <v>0</v>
      </c>
      <c r="L67" s="67">
        <v>0</v>
      </c>
      <c r="M67" s="67">
        <v>0</v>
      </c>
      <c r="N67" s="67">
        <v>0</v>
      </c>
      <c r="O67" s="67">
        <v>0</v>
      </c>
      <c r="P67" s="67">
        <v>0</v>
      </c>
      <c r="Q67" s="67">
        <v>0</v>
      </c>
      <c r="R67" s="67">
        <v>0</v>
      </c>
      <c r="S67" s="67">
        <v>0</v>
      </c>
      <c r="T67" s="67">
        <v>0</v>
      </c>
      <c r="U67" s="67">
        <v>0</v>
      </c>
      <c r="V67" s="67">
        <v>0</v>
      </c>
      <c r="W67" s="67">
        <v>0</v>
      </c>
      <c r="X67" s="67">
        <v>0</v>
      </c>
      <c r="Y67" s="67">
        <v>0</v>
      </c>
      <c r="Z67" s="67">
        <v>0</v>
      </c>
      <c r="AA67" s="67">
        <v>0</v>
      </c>
      <c r="AB67" s="67">
        <v>0</v>
      </c>
      <c r="AC67" s="67">
        <v>0</v>
      </c>
      <c r="AD67" s="67">
        <v>0</v>
      </c>
      <c r="AE67" s="67">
        <v>0</v>
      </c>
      <c r="AF67" s="67">
        <v>0</v>
      </c>
      <c r="AG67" s="67">
        <v>0</v>
      </c>
      <c r="AH67" s="67">
        <v>0</v>
      </c>
      <c r="AI67" s="67">
        <v>0</v>
      </c>
      <c r="AJ67" s="67">
        <v>0</v>
      </c>
      <c r="AK67" s="67">
        <v>0</v>
      </c>
      <c r="AL67" s="67">
        <v>0</v>
      </c>
      <c r="AM67" s="67">
        <v>0</v>
      </c>
      <c r="AN67" s="67">
        <v>0</v>
      </c>
      <c r="AO67" s="67">
        <v>0</v>
      </c>
      <c r="AP67" s="67">
        <v>0</v>
      </c>
      <c r="AQ67" s="67">
        <v>0</v>
      </c>
      <c r="AR67" s="67">
        <v>0</v>
      </c>
      <c r="AS67" s="67">
        <v>0</v>
      </c>
      <c r="AT67" s="67">
        <v>0</v>
      </c>
      <c r="AU67" s="67">
        <v>0</v>
      </c>
      <c r="AV67" s="67">
        <v>0</v>
      </c>
      <c r="AW67" s="67">
        <v>0</v>
      </c>
      <c r="AX67" s="67">
        <v>0</v>
      </c>
    </row>
    <row r="68" spans="1:50" ht="15.75" customHeight="1">
      <c r="A68" s="345" t="s">
        <v>21</v>
      </c>
      <c r="B68" s="65" t="s">
        <v>224</v>
      </c>
      <c r="C68" s="68">
        <v>0</v>
      </c>
      <c r="D68" s="68">
        <v>0</v>
      </c>
      <c r="E68" s="68">
        <v>0</v>
      </c>
      <c r="F68" s="68">
        <v>0</v>
      </c>
      <c r="G68" s="68">
        <v>0</v>
      </c>
      <c r="H68" s="68">
        <v>0</v>
      </c>
      <c r="I68" s="68">
        <v>0</v>
      </c>
      <c r="J68" s="68">
        <v>0</v>
      </c>
      <c r="K68" s="68">
        <v>0</v>
      </c>
      <c r="L68" s="68">
        <v>0</v>
      </c>
      <c r="M68" s="68">
        <v>0</v>
      </c>
      <c r="N68" s="68">
        <v>0</v>
      </c>
      <c r="O68" s="68">
        <v>0</v>
      </c>
      <c r="P68" s="68">
        <v>0</v>
      </c>
      <c r="Q68" s="68">
        <v>0</v>
      </c>
      <c r="R68" s="68">
        <v>0</v>
      </c>
      <c r="S68" s="68">
        <v>0</v>
      </c>
      <c r="T68" s="68">
        <v>0</v>
      </c>
      <c r="U68" s="68">
        <v>0</v>
      </c>
      <c r="V68" s="68">
        <v>0</v>
      </c>
      <c r="W68" s="68">
        <v>0</v>
      </c>
      <c r="X68" s="68">
        <v>0</v>
      </c>
      <c r="Y68" s="68">
        <v>0</v>
      </c>
      <c r="Z68" s="68">
        <v>0</v>
      </c>
      <c r="AA68" s="68">
        <v>0</v>
      </c>
      <c r="AB68" s="68">
        <v>0</v>
      </c>
      <c r="AC68" s="68">
        <v>0</v>
      </c>
      <c r="AD68" s="68">
        <v>0</v>
      </c>
      <c r="AE68" s="68">
        <v>0</v>
      </c>
      <c r="AF68" s="68">
        <v>0</v>
      </c>
      <c r="AG68" s="68">
        <v>0</v>
      </c>
      <c r="AH68" s="68">
        <v>0</v>
      </c>
      <c r="AI68" s="68">
        <v>0</v>
      </c>
      <c r="AJ68" s="68">
        <v>0</v>
      </c>
      <c r="AK68" s="68">
        <v>0</v>
      </c>
      <c r="AL68" s="68">
        <v>0</v>
      </c>
      <c r="AM68" s="68">
        <v>0</v>
      </c>
      <c r="AN68" s="68">
        <v>0</v>
      </c>
      <c r="AO68" s="68">
        <v>0</v>
      </c>
      <c r="AP68" s="68">
        <v>0</v>
      </c>
      <c r="AQ68" s="68">
        <v>0</v>
      </c>
      <c r="AR68" s="68">
        <v>0</v>
      </c>
      <c r="AS68" s="68">
        <v>0</v>
      </c>
      <c r="AT68" s="68">
        <v>0</v>
      </c>
      <c r="AU68" s="68">
        <v>0</v>
      </c>
      <c r="AV68" s="68">
        <v>0</v>
      </c>
      <c r="AW68" s="68">
        <v>0</v>
      </c>
      <c r="AX68" s="68">
        <v>0</v>
      </c>
    </row>
    <row r="69" spans="1:50" ht="15.75" customHeight="1">
      <c r="A69" s="346"/>
      <c r="B69" s="65" t="s">
        <v>225</v>
      </c>
      <c r="C69" s="68">
        <v>0</v>
      </c>
      <c r="D69" s="68">
        <v>0</v>
      </c>
      <c r="E69" s="68">
        <v>0</v>
      </c>
      <c r="F69" s="68">
        <v>0</v>
      </c>
      <c r="G69" s="68">
        <v>0</v>
      </c>
      <c r="H69" s="68">
        <v>0</v>
      </c>
      <c r="I69" s="68">
        <v>0</v>
      </c>
      <c r="J69" s="68">
        <v>0</v>
      </c>
      <c r="K69" s="68">
        <v>0</v>
      </c>
      <c r="L69" s="68">
        <v>0</v>
      </c>
      <c r="M69" s="68">
        <v>0</v>
      </c>
      <c r="N69" s="68">
        <v>0</v>
      </c>
      <c r="O69" s="68">
        <v>0</v>
      </c>
      <c r="P69" s="68">
        <v>0</v>
      </c>
      <c r="Q69" s="68">
        <v>0</v>
      </c>
      <c r="R69" s="68">
        <v>0</v>
      </c>
      <c r="S69" s="68">
        <v>0</v>
      </c>
      <c r="T69" s="68">
        <v>0</v>
      </c>
      <c r="U69" s="68">
        <v>0</v>
      </c>
      <c r="V69" s="68">
        <v>0</v>
      </c>
      <c r="W69" s="68">
        <v>0</v>
      </c>
      <c r="X69" s="68">
        <v>0</v>
      </c>
      <c r="Y69" s="68">
        <v>0</v>
      </c>
      <c r="Z69" s="68">
        <v>0</v>
      </c>
      <c r="AA69" s="68">
        <v>0</v>
      </c>
      <c r="AB69" s="68">
        <v>0</v>
      </c>
      <c r="AC69" s="68">
        <v>0</v>
      </c>
      <c r="AD69" s="68">
        <v>0</v>
      </c>
      <c r="AE69" s="68">
        <v>0</v>
      </c>
      <c r="AF69" s="68">
        <v>0</v>
      </c>
      <c r="AG69" s="68">
        <v>0</v>
      </c>
      <c r="AH69" s="68">
        <v>0</v>
      </c>
      <c r="AI69" s="68">
        <v>0</v>
      </c>
      <c r="AJ69" s="68">
        <v>0</v>
      </c>
      <c r="AK69" s="68">
        <v>0</v>
      </c>
      <c r="AL69" s="68">
        <v>0</v>
      </c>
      <c r="AM69" s="68">
        <v>0</v>
      </c>
      <c r="AN69" s="68">
        <v>0</v>
      </c>
      <c r="AO69" s="68">
        <v>0</v>
      </c>
      <c r="AP69" s="68">
        <v>0</v>
      </c>
      <c r="AQ69" s="68">
        <v>0</v>
      </c>
      <c r="AR69" s="68">
        <v>0</v>
      </c>
      <c r="AS69" s="68">
        <v>0</v>
      </c>
      <c r="AT69" s="68">
        <v>0</v>
      </c>
      <c r="AU69" s="68">
        <v>0</v>
      </c>
      <c r="AV69" s="68">
        <v>0</v>
      </c>
      <c r="AW69" s="68">
        <v>0</v>
      </c>
      <c r="AX69" s="68">
        <v>0</v>
      </c>
    </row>
    <row r="70" spans="1:50" ht="15.75" customHeight="1">
      <c r="A70" s="63" t="s">
        <v>221</v>
      </c>
      <c r="B70" s="64" t="s">
        <v>223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v>0</v>
      </c>
      <c r="M70" s="67">
        <v>0</v>
      </c>
      <c r="N70" s="67">
        <v>0</v>
      </c>
      <c r="O70" s="67">
        <v>0</v>
      </c>
      <c r="P70" s="67">
        <v>0</v>
      </c>
      <c r="Q70" s="67">
        <v>0</v>
      </c>
      <c r="R70" s="67">
        <v>0</v>
      </c>
      <c r="S70" s="67">
        <v>0</v>
      </c>
      <c r="T70" s="67">
        <v>0</v>
      </c>
      <c r="U70" s="67">
        <v>0</v>
      </c>
      <c r="V70" s="67">
        <v>0</v>
      </c>
      <c r="W70" s="67">
        <v>0</v>
      </c>
      <c r="X70" s="67">
        <v>0</v>
      </c>
      <c r="Y70" s="67">
        <v>0</v>
      </c>
      <c r="Z70" s="67">
        <v>0</v>
      </c>
      <c r="AA70" s="67">
        <v>0</v>
      </c>
      <c r="AB70" s="67">
        <v>0</v>
      </c>
      <c r="AC70" s="67">
        <v>0</v>
      </c>
      <c r="AD70" s="67">
        <v>0</v>
      </c>
      <c r="AE70" s="67">
        <v>0</v>
      </c>
      <c r="AF70" s="67">
        <v>0</v>
      </c>
      <c r="AG70" s="67">
        <v>0</v>
      </c>
      <c r="AH70" s="67">
        <v>0</v>
      </c>
      <c r="AI70" s="67">
        <v>0</v>
      </c>
      <c r="AJ70" s="67">
        <v>0</v>
      </c>
      <c r="AK70" s="67">
        <v>0</v>
      </c>
      <c r="AL70" s="67">
        <v>0</v>
      </c>
      <c r="AM70" s="67">
        <v>0</v>
      </c>
      <c r="AN70" s="67">
        <v>0</v>
      </c>
      <c r="AO70" s="67">
        <v>0</v>
      </c>
      <c r="AP70" s="67">
        <v>0</v>
      </c>
      <c r="AQ70" s="67">
        <v>0</v>
      </c>
      <c r="AR70" s="67">
        <v>0</v>
      </c>
      <c r="AS70" s="67">
        <v>0</v>
      </c>
      <c r="AT70" s="67">
        <v>0</v>
      </c>
      <c r="AU70" s="67">
        <v>0</v>
      </c>
      <c r="AV70" s="67">
        <v>0</v>
      </c>
      <c r="AW70" s="67">
        <v>0</v>
      </c>
      <c r="AX70" s="67">
        <v>0</v>
      </c>
    </row>
    <row r="71" spans="1:50" ht="15.75" customHeight="1">
      <c r="A71" s="345" t="s">
        <v>22</v>
      </c>
      <c r="B71" s="65" t="s">
        <v>224</v>
      </c>
      <c r="C71" s="68">
        <v>0</v>
      </c>
      <c r="D71" s="68">
        <v>0</v>
      </c>
      <c r="E71" s="68">
        <v>0</v>
      </c>
      <c r="F71" s="68">
        <v>0</v>
      </c>
      <c r="G71" s="68">
        <v>0</v>
      </c>
      <c r="H71" s="68">
        <v>0</v>
      </c>
      <c r="I71" s="68">
        <v>0</v>
      </c>
      <c r="J71" s="68">
        <v>0</v>
      </c>
      <c r="K71" s="68">
        <v>0</v>
      </c>
      <c r="L71" s="68">
        <v>0</v>
      </c>
      <c r="M71" s="68">
        <v>0</v>
      </c>
      <c r="N71" s="68">
        <v>0</v>
      </c>
      <c r="O71" s="68">
        <v>0</v>
      </c>
      <c r="P71" s="68">
        <v>0</v>
      </c>
      <c r="Q71" s="68">
        <v>0</v>
      </c>
      <c r="R71" s="68">
        <v>0</v>
      </c>
      <c r="S71" s="68">
        <v>0</v>
      </c>
      <c r="T71" s="68">
        <v>0</v>
      </c>
      <c r="U71" s="68">
        <v>0</v>
      </c>
      <c r="V71" s="68">
        <v>0</v>
      </c>
      <c r="W71" s="68">
        <v>0</v>
      </c>
      <c r="X71" s="68">
        <v>0</v>
      </c>
      <c r="Y71" s="68">
        <v>0</v>
      </c>
      <c r="Z71" s="68">
        <v>0</v>
      </c>
      <c r="AA71" s="68">
        <v>0</v>
      </c>
      <c r="AB71" s="68">
        <v>0</v>
      </c>
      <c r="AC71" s="68">
        <v>0</v>
      </c>
      <c r="AD71" s="68">
        <v>0</v>
      </c>
      <c r="AE71" s="68">
        <v>0</v>
      </c>
      <c r="AF71" s="68">
        <v>0</v>
      </c>
      <c r="AG71" s="68">
        <v>0</v>
      </c>
      <c r="AH71" s="68">
        <v>0</v>
      </c>
      <c r="AI71" s="68">
        <v>0</v>
      </c>
      <c r="AJ71" s="68">
        <v>0</v>
      </c>
      <c r="AK71" s="68">
        <v>0</v>
      </c>
      <c r="AL71" s="68">
        <v>0</v>
      </c>
      <c r="AM71" s="68">
        <v>0</v>
      </c>
      <c r="AN71" s="68">
        <v>0</v>
      </c>
      <c r="AO71" s="68">
        <v>0</v>
      </c>
      <c r="AP71" s="68">
        <v>0</v>
      </c>
      <c r="AQ71" s="68">
        <v>0</v>
      </c>
      <c r="AR71" s="68">
        <v>0</v>
      </c>
      <c r="AS71" s="68">
        <v>0</v>
      </c>
      <c r="AT71" s="68">
        <v>0</v>
      </c>
      <c r="AU71" s="68">
        <v>0</v>
      </c>
      <c r="AV71" s="68">
        <v>0</v>
      </c>
      <c r="AW71" s="68">
        <v>0</v>
      </c>
      <c r="AX71" s="68">
        <v>0</v>
      </c>
    </row>
    <row r="72" spans="1:50" ht="15.75" customHeight="1">
      <c r="A72" s="346"/>
      <c r="B72" s="65" t="s">
        <v>225</v>
      </c>
      <c r="C72" s="68">
        <v>0</v>
      </c>
      <c r="D72" s="68">
        <v>0</v>
      </c>
      <c r="E72" s="68">
        <v>0</v>
      </c>
      <c r="F72" s="68">
        <v>0</v>
      </c>
      <c r="G72" s="68">
        <v>0</v>
      </c>
      <c r="H72" s="68">
        <v>0</v>
      </c>
      <c r="I72" s="68">
        <v>0</v>
      </c>
      <c r="J72" s="68">
        <v>0</v>
      </c>
      <c r="K72" s="68">
        <v>0</v>
      </c>
      <c r="L72" s="68">
        <v>0</v>
      </c>
      <c r="M72" s="68">
        <v>0</v>
      </c>
      <c r="N72" s="68">
        <v>0</v>
      </c>
      <c r="O72" s="68">
        <v>0</v>
      </c>
      <c r="P72" s="68">
        <v>0</v>
      </c>
      <c r="Q72" s="68">
        <v>0</v>
      </c>
      <c r="R72" s="68">
        <v>0</v>
      </c>
      <c r="S72" s="68">
        <v>0</v>
      </c>
      <c r="T72" s="68">
        <v>0</v>
      </c>
      <c r="U72" s="68">
        <v>0</v>
      </c>
      <c r="V72" s="68">
        <v>0</v>
      </c>
      <c r="W72" s="68">
        <v>0</v>
      </c>
      <c r="X72" s="68">
        <v>0</v>
      </c>
      <c r="Y72" s="68">
        <v>0</v>
      </c>
      <c r="Z72" s="68">
        <v>0</v>
      </c>
      <c r="AA72" s="68">
        <v>0</v>
      </c>
      <c r="AB72" s="68">
        <v>0</v>
      </c>
      <c r="AC72" s="68">
        <v>0</v>
      </c>
      <c r="AD72" s="68">
        <v>0</v>
      </c>
      <c r="AE72" s="68">
        <v>0</v>
      </c>
      <c r="AF72" s="68">
        <v>0</v>
      </c>
      <c r="AG72" s="68">
        <v>0</v>
      </c>
      <c r="AH72" s="68">
        <v>0</v>
      </c>
      <c r="AI72" s="68">
        <v>0</v>
      </c>
      <c r="AJ72" s="68">
        <v>0</v>
      </c>
      <c r="AK72" s="68">
        <v>0</v>
      </c>
      <c r="AL72" s="68">
        <v>0</v>
      </c>
      <c r="AM72" s="68">
        <v>0</v>
      </c>
      <c r="AN72" s="68">
        <v>0</v>
      </c>
      <c r="AO72" s="68">
        <v>0</v>
      </c>
      <c r="AP72" s="68">
        <v>0</v>
      </c>
      <c r="AQ72" s="68">
        <v>0</v>
      </c>
      <c r="AR72" s="68">
        <v>0</v>
      </c>
      <c r="AS72" s="68">
        <v>0</v>
      </c>
      <c r="AT72" s="68">
        <v>0</v>
      </c>
      <c r="AU72" s="68">
        <v>0</v>
      </c>
      <c r="AV72" s="68">
        <v>0</v>
      </c>
      <c r="AW72" s="68">
        <v>0</v>
      </c>
      <c r="AX72" s="68">
        <v>0</v>
      </c>
    </row>
    <row r="73" spans="1:50" ht="15.75" customHeight="1">
      <c r="A73" s="63" t="s">
        <v>222</v>
      </c>
      <c r="B73" s="64" t="s">
        <v>223</v>
      </c>
      <c r="C73" s="67">
        <v>0</v>
      </c>
      <c r="D73" s="67">
        <v>0</v>
      </c>
      <c r="E73" s="67">
        <v>0</v>
      </c>
      <c r="F73" s="67">
        <v>0</v>
      </c>
      <c r="G73" s="67">
        <v>0</v>
      </c>
      <c r="H73" s="67">
        <v>0</v>
      </c>
      <c r="I73" s="67">
        <v>0</v>
      </c>
      <c r="J73" s="67">
        <v>0</v>
      </c>
      <c r="K73" s="67">
        <v>0</v>
      </c>
      <c r="L73" s="67">
        <v>0</v>
      </c>
      <c r="M73" s="67">
        <v>0</v>
      </c>
      <c r="N73" s="67">
        <v>0</v>
      </c>
      <c r="O73" s="67">
        <v>0</v>
      </c>
      <c r="P73" s="67">
        <v>0</v>
      </c>
      <c r="Q73" s="67">
        <v>0</v>
      </c>
      <c r="R73" s="67">
        <v>0</v>
      </c>
      <c r="S73" s="67">
        <v>0</v>
      </c>
      <c r="T73" s="67">
        <v>0</v>
      </c>
      <c r="U73" s="67">
        <v>0</v>
      </c>
      <c r="V73" s="67">
        <v>0</v>
      </c>
      <c r="W73" s="67">
        <v>0</v>
      </c>
      <c r="X73" s="67">
        <v>0</v>
      </c>
      <c r="Y73" s="67">
        <v>0</v>
      </c>
      <c r="Z73" s="67">
        <v>0</v>
      </c>
      <c r="AA73" s="67">
        <v>0</v>
      </c>
      <c r="AB73" s="67">
        <v>0</v>
      </c>
      <c r="AC73" s="67">
        <v>0</v>
      </c>
      <c r="AD73" s="67">
        <v>0</v>
      </c>
      <c r="AE73" s="67">
        <v>0</v>
      </c>
      <c r="AF73" s="67">
        <v>0</v>
      </c>
      <c r="AG73" s="67">
        <v>0</v>
      </c>
      <c r="AH73" s="67">
        <v>0</v>
      </c>
      <c r="AI73" s="67">
        <v>0</v>
      </c>
      <c r="AJ73" s="67">
        <v>0</v>
      </c>
      <c r="AK73" s="67">
        <v>0</v>
      </c>
      <c r="AL73" s="67">
        <v>0</v>
      </c>
      <c r="AM73" s="67">
        <v>0</v>
      </c>
      <c r="AN73" s="67">
        <v>0</v>
      </c>
      <c r="AO73" s="67">
        <v>0</v>
      </c>
      <c r="AP73" s="67">
        <v>0</v>
      </c>
      <c r="AQ73" s="67">
        <v>0</v>
      </c>
      <c r="AR73" s="67">
        <v>0</v>
      </c>
      <c r="AS73" s="67">
        <v>0</v>
      </c>
      <c r="AT73" s="67">
        <v>0</v>
      </c>
      <c r="AU73" s="67">
        <v>0</v>
      </c>
      <c r="AV73" s="67">
        <v>0</v>
      </c>
      <c r="AW73" s="67">
        <v>0</v>
      </c>
      <c r="AX73" s="67">
        <v>0</v>
      </c>
    </row>
    <row r="74" spans="1:50" ht="15.75" customHeight="1">
      <c r="A74" s="345" t="s">
        <v>23</v>
      </c>
      <c r="B74" s="65" t="s">
        <v>224</v>
      </c>
      <c r="C74" s="68">
        <v>0</v>
      </c>
      <c r="D74" s="68">
        <v>0</v>
      </c>
      <c r="E74" s="68">
        <v>0</v>
      </c>
      <c r="F74" s="68">
        <v>0</v>
      </c>
      <c r="G74" s="68">
        <v>0</v>
      </c>
      <c r="H74" s="68">
        <v>0</v>
      </c>
      <c r="I74" s="68">
        <v>0</v>
      </c>
      <c r="J74" s="68">
        <v>0</v>
      </c>
      <c r="K74" s="68">
        <v>0</v>
      </c>
      <c r="L74" s="68">
        <v>0</v>
      </c>
      <c r="M74" s="68">
        <v>0</v>
      </c>
      <c r="N74" s="68">
        <v>0</v>
      </c>
      <c r="O74" s="68">
        <v>0</v>
      </c>
      <c r="P74" s="68">
        <v>0</v>
      </c>
      <c r="Q74" s="68">
        <v>0</v>
      </c>
      <c r="R74" s="68">
        <v>0</v>
      </c>
      <c r="S74" s="68">
        <v>0</v>
      </c>
      <c r="T74" s="68">
        <v>0</v>
      </c>
      <c r="U74" s="68">
        <v>0</v>
      </c>
      <c r="V74" s="68">
        <v>0</v>
      </c>
      <c r="W74" s="68">
        <v>0</v>
      </c>
      <c r="X74" s="68">
        <v>0</v>
      </c>
      <c r="Y74" s="68">
        <v>0</v>
      </c>
      <c r="Z74" s="68">
        <v>0</v>
      </c>
      <c r="AA74" s="68">
        <v>0</v>
      </c>
      <c r="AB74" s="68">
        <v>0</v>
      </c>
      <c r="AC74" s="68">
        <v>0</v>
      </c>
      <c r="AD74" s="68">
        <v>0</v>
      </c>
      <c r="AE74" s="68">
        <v>0</v>
      </c>
      <c r="AF74" s="68">
        <v>0</v>
      </c>
      <c r="AG74" s="68">
        <v>0</v>
      </c>
      <c r="AH74" s="68">
        <v>0</v>
      </c>
      <c r="AI74" s="68">
        <v>0</v>
      </c>
      <c r="AJ74" s="68">
        <v>0</v>
      </c>
      <c r="AK74" s="68">
        <v>0</v>
      </c>
      <c r="AL74" s="68">
        <v>0</v>
      </c>
      <c r="AM74" s="68">
        <v>0</v>
      </c>
      <c r="AN74" s="68">
        <v>0</v>
      </c>
      <c r="AO74" s="68">
        <v>0</v>
      </c>
      <c r="AP74" s="68">
        <v>0</v>
      </c>
      <c r="AQ74" s="68">
        <v>0</v>
      </c>
      <c r="AR74" s="68">
        <v>0</v>
      </c>
      <c r="AS74" s="68">
        <v>0</v>
      </c>
      <c r="AT74" s="68">
        <v>0</v>
      </c>
      <c r="AU74" s="68">
        <v>0</v>
      </c>
      <c r="AV74" s="68">
        <v>0</v>
      </c>
      <c r="AW74" s="68">
        <v>0</v>
      </c>
      <c r="AX74" s="68">
        <v>0</v>
      </c>
    </row>
    <row r="75" spans="1:50" ht="15.75" customHeight="1">
      <c r="A75" s="346"/>
      <c r="B75" s="66" t="s">
        <v>225</v>
      </c>
      <c r="C75" s="69">
        <v>0</v>
      </c>
      <c r="D75" s="69">
        <v>0</v>
      </c>
      <c r="E75" s="69">
        <v>0</v>
      </c>
      <c r="F75" s="69">
        <v>0</v>
      </c>
      <c r="G75" s="69">
        <v>0</v>
      </c>
      <c r="H75" s="69">
        <v>0</v>
      </c>
      <c r="I75" s="69">
        <v>0</v>
      </c>
      <c r="J75" s="69">
        <v>0</v>
      </c>
      <c r="K75" s="69">
        <v>0</v>
      </c>
      <c r="L75" s="69">
        <v>0</v>
      </c>
      <c r="M75" s="69">
        <v>0</v>
      </c>
      <c r="N75" s="69">
        <v>0</v>
      </c>
      <c r="O75" s="69">
        <v>0</v>
      </c>
      <c r="P75" s="69">
        <v>0</v>
      </c>
      <c r="Q75" s="69">
        <v>0</v>
      </c>
      <c r="R75" s="69">
        <v>0</v>
      </c>
      <c r="S75" s="69">
        <v>0</v>
      </c>
      <c r="T75" s="69">
        <v>0</v>
      </c>
      <c r="U75" s="69">
        <v>0</v>
      </c>
      <c r="V75" s="69">
        <v>0</v>
      </c>
      <c r="W75" s="69">
        <v>0</v>
      </c>
      <c r="X75" s="69">
        <v>0</v>
      </c>
      <c r="Y75" s="69">
        <v>0</v>
      </c>
      <c r="Z75" s="69">
        <v>0</v>
      </c>
      <c r="AA75" s="69">
        <v>0</v>
      </c>
      <c r="AB75" s="69">
        <v>0</v>
      </c>
      <c r="AC75" s="69">
        <v>0</v>
      </c>
      <c r="AD75" s="69">
        <v>0</v>
      </c>
      <c r="AE75" s="69">
        <v>0</v>
      </c>
      <c r="AF75" s="69">
        <v>0</v>
      </c>
      <c r="AG75" s="69">
        <v>0</v>
      </c>
      <c r="AH75" s="69">
        <v>0</v>
      </c>
      <c r="AI75" s="69">
        <v>0</v>
      </c>
      <c r="AJ75" s="69">
        <v>0</v>
      </c>
      <c r="AK75" s="69">
        <v>0</v>
      </c>
      <c r="AL75" s="69">
        <v>0</v>
      </c>
      <c r="AM75" s="69">
        <v>0</v>
      </c>
      <c r="AN75" s="69">
        <v>0</v>
      </c>
      <c r="AO75" s="69">
        <v>0</v>
      </c>
      <c r="AP75" s="69">
        <v>0</v>
      </c>
      <c r="AQ75" s="69">
        <v>0</v>
      </c>
      <c r="AR75" s="69">
        <v>0</v>
      </c>
      <c r="AS75" s="69">
        <v>0</v>
      </c>
      <c r="AT75" s="69">
        <v>0</v>
      </c>
      <c r="AU75" s="69">
        <v>0</v>
      </c>
      <c r="AV75" s="69">
        <v>0</v>
      </c>
      <c r="AW75" s="69">
        <v>0</v>
      </c>
      <c r="AX75" s="69">
        <v>0</v>
      </c>
    </row>
    <row r="76" spans="1:50" ht="15" customHeight="1">
      <c r="A76" s="85" t="s">
        <v>77</v>
      </c>
      <c r="B76" s="86"/>
    </row>
    <row r="77" spans="1:50" ht="15" customHeight="1">
      <c r="A77" s="61" t="s">
        <v>192</v>
      </c>
      <c r="B77" s="86"/>
    </row>
    <row r="78" spans="1:50" ht="15" customHeight="1">
      <c r="A78" s="15" t="s">
        <v>2</v>
      </c>
      <c r="B78" s="15"/>
    </row>
    <row r="80" spans="1:50">
      <c r="A80" s="87" t="s">
        <v>258</v>
      </c>
    </row>
  </sheetData>
  <mergeCells count="86">
    <mergeCell ref="A74:A75"/>
    <mergeCell ref="A41:A42"/>
    <mergeCell ref="A44:A45"/>
    <mergeCell ref="A47:A48"/>
    <mergeCell ref="A50:A51"/>
    <mergeCell ref="A53:A54"/>
    <mergeCell ref="A56:A57"/>
    <mergeCell ref="A59:A60"/>
    <mergeCell ref="A62:A63"/>
    <mergeCell ref="A65:A66"/>
    <mergeCell ref="A68:A69"/>
    <mergeCell ref="A71:A72"/>
    <mergeCell ref="A23:A24"/>
    <mergeCell ref="A26:A27"/>
    <mergeCell ref="A29:A30"/>
    <mergeCell ref="A32:A33"/>
    <mergeCell ref="A35:A36"/>
    <mergeCell ref="A38:A39"/>
    <mergeCell ref="AX5:AX6"/>
    <mergeCell ref="A8:A9"/>
    <mergeCell ref="A11:A12"/>
    <mergeCell ref="A14:A15"/>
    <mergeCell ref="A17:A18"/>
    <mergeCell ref="A20:A21"/>
    <mergeCell ref="AR5:AR6"/>
    <mergeCell ref="AS5:AS6"/>
    <mergeCell ref="AT5:AT6"/>
    <mergeCell ref="AU5:AU6"/>
    <mergeCell ref="AV5:AV6"/>
    <mergeCell ref="AW5:AW6"/>
    <mergeCell ref="AL5:AL6"/>
    <mergeCell ref="AM5:AM6"/>
    <mergeCell ref="AN5:AN6"/>
    <mergeCell ref="R5:R6"/>
    <mergeCell ref="AE5:AE6"/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M5:M6"/>
    <mergeCell ref="N5:N6"/>
    <mergeCell ref="O5:O6"/>
    <mergeCell ref="P5:P6"/>
    <mergeCell ref="Q5:Q6"/>
    <mergeCell ref="H5:H6"/>
    <mergeCell ref="I5:I6"/>
    <mergeCell ref="J5:J6"/>
    <mergeCell ref="K5:K6"/>
    <mergeCell ref="L5:L6"/>
    <mergeCell ref="AI4:AL4"/>
    <mergeCell ref="AM4:AP4"/>
    <mergeCell ref="AQ4:AT4"/>
    <mergeCell ref="AU4:AX4"/>
    <mergeCell ref="S5:S6"/>
    <mergeCell ref="AO5:AO6"/>
    <mergeCell ref="AP5:AP6"/>
    <mergeCell ref="AQ5:AQ6"/>
    <mergeCell ref="AF5:AF6"/>
    <mergeCell ref="AG5:AG6"/>
    <mergeCell ref="AH5:AH6"/>
    <mergeCell ref="AI5:AI6"/>
    <mergeCell ref="AJ5:AJ6"/>
    <mergeCell ref="AK5:AK6"/>
    <mergeCell ref="A3:B6"/>
    <mergeCell ref="C3:Z3"/>
    <mergeCell ref="AA3:AX3"/>
    <mergeCell ref="C4:F4"/>
    <mergeCell ref="G4:J4"/>
    <mergeCell ref="K4:N4"/>
    <mergeCell ref="O4:R4"/>
    <mergeCell ref="S4:V4"/>
    <mergeCell ref="W4:Z4"/>
    <mergeCell ref="AA4:AD4"/>
    <mergeCell ref="C5:C6"/>
    <mergeCell ref="D5:D6"/>
    <mergeCell ref="E5:E6"/>
    <mergeCell ref="F5:F6"/>
    <mergeCell ref="G5:G6"/>
    <mergeCell ref="AE4:AH4"/>
  </mergeCells>
  <phoneticPr fontId="6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86" fitToWidth="10" orientation="landscape" useFirstPageNumber="1" horizontalDpi="4294967292" verticalDpi="3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BJ33"/>
  <sheetViews>
    <sheetView zoomScaleNormal="100" zoomScaleSheetLayoutView="75" workbookViewId="0">
      <pane xSplit="2" ySplit="6" topLeftCell="C7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0.33203125" style="3" customWidth="1"/>
    <col min="2" max="2" width="20.1640625" style="3" customWidth="1"/>
    <col min="3" max="62" width="8.6640625" style="3" customWidth="1"/>
    <col min="63" max="16384" width="12" style="3"/>
  </cols>
  <sheetData>
    <row r="1" spans="1:62" ht="21">
      <c r="A1" s="80" t="s">
        <v>244</v>
      </c>
      <c r="B1" s="88"/>
    </row>
    <row r="2" spans="1:62" ht="25.5" customHeight="1">
      <c r="A2" s="26" t="s">
        <v>190</v>
      </c>
      <c r="B2" s="89"/>
      <c r="C2" s="16"/>
      <c r="D2" s="16"/>
      <c r="E2" s="16"/>
    </row>
    <row r="3" spans="1:62" s="82" customFormat="1" ht="15.75" customHeight="1">
      <c r="A3" s="441" t="s">
        <v>259</v>
      </c>
      <c r="B3" s="442"/>
      <c r="C3" s="332" t="s">
        <v>81</v>
      </c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  <c r="X3" s="304"/>
      <c r="Y3" s="304"/>
      <c r="Z3" s="304"/>
      <c r="AA3" s="304"/>
      <c r="AB3" s="304"/>
      <c r="AC3" s="304"/>
      <c r="AD3" s="304"/>
      <c r="AE3" s="304"/>
      <c r="AF3" s="304"/>
      <c r="AG3" s="304"/>
      <c r="AH3" s="304"/>
      <c r="AI3" s="304"/>
      <c r="AJ3" s="304"/>
      <c r="AK3" s="304"/>
      <c r="AL3" s="304"/>
      <c r="AM3" s="304"/>
      <c r="AN3" s="304"/>
      <c r="AO3" s="304"/>
      <c r="AP3" s="304"/>
      <c r="AQ3" s="304"/>
      <c r="AR3" s="304"/>
      <c r="AS3" s="304"/>
      <c r="AT3" s="304"/>
      <c r="AU3" s="304"/>
      <c r="AV3" s="304"/>
      <c r="AW3" s="304"/>
      <c r="AX3" s="304"/>
      <c r="AY3" s="304"/>
      <c r="AZ3" s="304"/>
      <c r="BA3" s="304"/>
      <c r="BB3" s="304"/>
      <c r="BC3" s="304"/>
      <c r="BD3" s="304"/>
      <c r="BE3" s="304"/>
      <c r="BF3" s="304"/>
      <c r="BG3" s="304"/>
      <c r="BH3" s="304"/>
      <c r="BI3" s="304"/>
      <c r="BJ3" s="304"/>
    </row>
    <row r="4" spans="1:62" s="83" customFormat="1" ht="15.75" customHeight="1">
      <c r="A4" s="443"/>
      <c r="B4" s="444"/>
      <c r="C4" s="429" t="s">
        <v>182</v>
      </c>
      <c r="D4" s="430"/>
      <c r="E4" s="430"/>
      <c r="F4" s="430"/>
      <c r="G4" s="430"/>
      <c r="H4" s="430"/>
      <c r="I4" s="430"/>
      <c r="J4" s="430"/>
      <c r="K4" s="430"/>
      <c r="L4" s="430"/>
      <c r="M4" s="430"/>
      <c r="N4" s="431"/>
      <c r="O4" s="319" t="s">
        <v>183</v>
      </c>
      <c r="P4" s="320"/>
      <c r="Q4" s="320"/>
      <c r="R4" s="320"/>
      <c r="S4" s="320"/>
      <c r="T4" s="320"/>
      <c r="U4" s="320"/>
      <c r="V4" s="320"/>
      <c r="W4" s="320"/>
      <c r="X4" s="320"/>
      <c r="Y4" s="320"/>
      <c r="Z4" s="321"/>
      <c r="AA4" s="319" t="s">
        <v>184</v>
      </c>
      <c r="AB4" s="320"/>
      <c r="AC4" s="320"/>
      <c r="AD4" s="320"/>
      <c r="AE4" s="320"/>
      <c r="AF4" s="320"/>
      <c r="AG4" s="320"/>
      <c r="AH4" s="320"/>
      <c r="AI4" s="320"/>
      <c r="AJ4" s="320"/>
      <c r="AK4" s="320"/>
      <c r="AL4" s="321"/>
      <c r="AM4" s="319" t="s">
        <v>185</v>
      </c>
      <c r="AN4" s="320"/>
      <c r="AO4" s="320"/>
      <c r="AP4" s="320"/>
      <c r="AQ4" s="320"/>
      <c r="AR4" s="320"/>
      <c r="AS4" s="320"/>
      <c r="AT4" s="320"/>
      <c r="AU4" s="320"/>
      <c r="AV4" s="320"/>
      <c r="AW4" s="320"/>
      <c r="AX4" s="321"/>
      <c r="AY4" s="319" t="s">
        <v>186</v>
      </c>
      <c r="AZ4" s="320"/>
      <c r="BA4" s="320"/>
      <c r="BB4" s="320"/>
      <c r="BC4" s="320"/>
      <c r="BD4" s="320"/>
      <c r="BE4" s="320"/>
      <c r="BF4" s="320"/>
      <c r="BG4" s="320"/>
      <c r="BH4" s="320"/>
      <c r="BI4" s="320"/>
      <c r="BJ4" s="320"/>
    </row>
    <row r="5" spans="1:62" s="84" customFormat="1" ht="15.75" customHeight="1">
      <c r="A5" s="443"/>
      <c r="B5" s="444"/>
      <c r="C5" s="316" t="s">
        <v>189</v>
      </c>
      <c r="D5" s="317"/>
      <c r="E5" s="318"/>
      <c r="F5" s="296" t="s">
        <v>178</v>
      </c>
      <c r="G5" s="297"/>
      <c r="H5" s="298"/>
      <c r="I5" s="296" t="s">
        <v>179</v>
      </c>
      <c r="J5" s="297"/>
      <c r="K5" s="298"/>
      <c r="L5" s="296" t="s">
        <v>180</v>
      </c>
      <c r="M5" s="297"/>
      <c r="N5" s="298"/>
      <c r="O5" s="316" t="s">
        <v>189</v>
      </c>
      <c r="P5" s="317"/>
      <c r="Q5" s="318"/>
      <c r="R5" s="296" t="s">
        <v>178</v>
      </c>
      <c r="S5" s="297"/>
      <c r="T5" s="298"/>
      <c r="U5" s="296" t="s">
        <v>179</v>
      </c>
      <c r="V5" s="297"/>
      <c r="W5" s="298"/>
      <c r="X5" s="296" t="s">
        <v>180</v>
      </c>
      <c r="Y5" s="297"/>
      <c r="Z5" s="298"/>
      <c r="AA5" s="316" t="s">
        <v>189</v>
      </c>
      <c r="AB5" s="317"/>
      <c r="AC5" s="318"/>
      <c r="AD5" s="296" t="s">
        <v>178</v>
      </c>
      <c r="AE5" s="297"/>
      <c r="AF5" s="298"/>
      <c r="AG5" s="296" t="s">
        <v>179</v>
      </c>
      <c r="AH5" s="297"/>
      <c r="AI5" s="298"/>
      <c r="AJ5" s="296" t="s">
        <v>180</v>
      </c>
      <c r="AK5" s="297"/>
      <c r="AL5" s="298"/>
      <c r="AM5" s="316" t="s">
        <v>189</v>
      </c>
      <c r="AN5" s="317"/>
      <c r="AO5" s="318"/>
      <c r="AP5" s="296" t="s">
        <v>178</v>
      </c>
      <c r="AQ5" s="297"/>
      <c r="AR5" s="298"/>
      <c r="AS5" s="296" t="s">
        <v>179</v>
      </c>
      <c r="AT5" s="297"/>
      <c r="AU5" s="298"/>
      <c r="AV5" s="296" t="s">
        <v>180</v>
      </c>
      <c r="AW5" s="297"/>
      <c r="AX5" s="298"/>
      <c r="AY5" s="316" t="s">
        <v>189</v>
      </c>
      <c r="AZ5" s="317"/>
      <c r="BA5" s="318"/>
      <c r="BB5" s="296" t="s">
        <v>178</v>
      </c>
      <c r="BC5" s="297"/>
      <c r="BD5" s="298"/>
      <c r="BE5" s="296" t="s">
        <v>179</v>
      </c>
      <c r="BF5" s="297"/>
      <c r="BG5" s="298"/>
      <c r="BH5" s="296" t="s">
        <v>180</v>
      </c>
      <c r="BI5" s="297"/>
      <c r="BJ5" s="297"/>
    </row>
    <row r="6" spans="1:62" s="84" customFormat="1" ht="36" customHeight="1">
      <c r="A6" s="445"/>
      <c r="B6" s="446"/>
      <c r="C6" s="76" t="s">
        <v>72</v>
      </c>
      <c r="D6" s="76" t="s">
        <v>73</v>
      </c>
      <c r="E6" s="76" t="s">
        <v>74</v>
      </c>
      <c r="F6" s="78" t="s">
        <v>72</v>
      </c>
      <c r="G6" s="76" t="s">
        <v>73</v>
      </c>
      <c r="H6" s="76" t="s">
        <v>74</v>
      </c>
      <c r="I6" s="78" t="s">
        <v>72</v>
      </c>
      <c r="J6" s="76" t="s">
        <v>73</v>
      </c>
      <c r="K6" s="76" t="s">
        <v>74</v>
      </c>
      <c r="L6" s="78" t="s">
        <v>72</v>
      </c>
      <c r="M6" s="76" t="s">
        <v>73</v>
      </c>
      <c r="N6" s="76" t="s">
        <v>74</v>
      </c>
      <c r="O6" s="78" t="s">
        <v>72</v>
      </c>
      <c r="P6" s="76" t="s">
        <v>73</v>
      </c>
      <c r="Q6" s="76" t="s">
        <v>74</v>
      </c>
      <c r="R6" s="78" t="s">
        <v>72</v>
      </c>
      <c r="S6" s="76" t="s">
        <v>73</v>
      </c>
      <c r="T6" s="76" t="s">
        <v>74</v>
      </c>
      <c r="U6" s="78" t="s">
        <v>72</v>
      </c>
      <c r="V6" s="76" t="s">
        <v>73</v>
      </c>
      <c r="W6" s="76" t="s">
        <v>74</v>
      </c>
      <c r="X6" s="78" t="s">
        <v>72</v>
      </c>
      <c r="Y6" s="76" t="s">
        <v>73</v>
      </c>
      <c r="Z6" s="76" t="s">
        <v>74</v>
      </c>
      <c r="AA6" s="78" t="s">
        <v>72</v>
      </c>
      <c r="AB6" s="76" t="s">
        <v>73</v>
      </c>
      <c r="AC6" s="76" t="s">
        <v>74</v>
      </c>
      <c r="AD6" s="78" t="s">
        <v>72</v>
      </c>
      <c r="AE6" s="76" t="s">
        <v>73</v>
      </c>
      <c r="AF6" s="76" t="s">
        <v>74</v>
      </c>
      <c r="AG6" s="78" t="s">
        <v>72</v>
      </c>
      <c r="AH6" s="76" t="s">
        <v>73</v>
      </c>
      <c r="AI6" s="76" t="s">
        <v>74</v>
      </c>
      <c r="AJ6" s="78" t="s">
        <v>72</v>
      </c>
      <c r="AK6" s="76" t="s">
        <v>73</v>
      </c>
      <c r="AL6" s="76" t="s">
        <v>74</v>
      </c>
      <c r="AM6" s="78" t="s">
        <v>72</v>
      </c>
      <c r="AN6" s="76" t="s">
        <v>73</v>
      </c>
      <c r="AO6" s="76" t="s">
        <v>74</v>
      </c>
      <c r="AP6" s="78" t="s">
        <v>72</v>
      </c>
      <c r="AQ6" s="76" t="s">
        <v>73</v>
      </c>
      <c r="AR6" s="76" t="s">
        <v>74</v>
      </c>
      <c r="AS6" s="78" t="s">
        <v>72</v>
      </c>
      <c r="AT6" s="76" t="s">
        <v>73</v>
      </c>
      <c r="AU6" s="76" t="s">
        <v>74</v>
      </c>
      <c r="AV6" s="78" t="s">
        <v>72</v>
      </c>
      <c r="AW6" s="76" t="s">
        <v>73</v>
      </c>
      <c r="AX6" s="76" t="s">
        <v>74</v>
      </c>
      <c r="AY6" s="78" t="s">
        <v>72</v>
      </c>
      <c r="AZ6" s="76" t="s">
        <v>73</v>
      </c>
      <c r="BA6" s="76" t="s">
        <v>74</v>
      </c>
      <c r="BB6" s="78" t="s">
        <v>72</v>
      </c>
      <c r="BC6" s="76" t="s">
        <v>73</v>
      </c>
      <c r="BD6" s="76" t="s">
        <v>74</v>
      </c>
      <c r="BE6" s="78" t="s">
        <v>72</v>
      </c>
      <c r="BF6" s="76" t="s">
        <v>73</v>
      </c>
      <c r="BG6" s="76" t="s">
        <v>74</v>
      </c>
      <c r="BH6" s="78" t="s">
        <v>72</v>
      </c>
      <c r="BI6" s="76" t="s">
        <v>73</v>
      </c>
      <c r="BJ6" s="77" t="s">
        <v>74</v>
      </c>
    </row>
    <row r="7" spans="1:62" s="13" customFormat="1" ht="15.95" customHeight="1">
      <c r="A7" s="55" t="s">
        <v>260</v>
      </c>
      <c r="B7" s="28" t="s">
        <v>39</v>
      </c>
      <c r="C7" s="90">
        <v>693</v>
      </c>
      <c r="D7" s="90">
        <v>258</v>
      </c>
      <c r="E7" s="90">
        <v>435</v>
      </c>
      <c r="F7" s="90">
        <v>155</v>
      </c>
      <c r="G7" s="90">
        <v>80</v>
      </c>
      <c r="H7" s="90">
        <v>75</v>
      </c>
      <c r="I7" s="90">
        <v>154</v>
      </c>
      <c r="J7" s="90">
        <v>51</v>
      </c>
      <c r="K7" s="90">
        <v>103</v>
      </c>
      <c r="L7" s="90">
        <v>384</v>
      </c>
      <c r="M7" s="90">
        <v>127</v>
      </c>
      <c r="N7" s="90">
        <v>257</v>
      </c>
      <c r="O7" s="90">
        <v>461</v>
      </c>
      <c r="P7" s="90">
        <v>145</v>
      </c>
      <c r="Q7" s="90">
        <v>316</v>
      </c>
      <c r="R7" s="90">
        <v>88</v>
      </c>
      <c r="S7" s="90">
        <v>34</v>
      </c>
      <c r="T7" s="90">
        <v>54</v>
      </c>
      <c r="U7" s="90">
        <v>89</v>
      </c>
      <c r="V7" s="90">
        <v>29</v>
      </c>
      <c r="W7" s="90">
        <v>60</v>
      </c>
      <c r="X7" s="90">
        <v>284</v>
      </c>
      <c r="Y7" s="90">
        <v>82</v>
      </c>
      <c r="Z7" s="90">
        <v>202</v>
      </c>
      <c r="AA7" s="90">
        <v>41</v>
      </c>
      <c r="AB7" s="90">
        <v>24</v>
      </c>
      <c r="AC7" s="90">
        <v>17</v>
      </c>
      <c r="AD7" s="90">
        <v>18</v>
      </c>
      <c r="AE7" s="90">
        <v>11</v>
      </c>
      <c r="AF7" s="90">
        <v>7</v>
      </c>
      <c r="AG7" s="90">
        <v>10</v>
      </c>
      <c r="AH7" s="90">
        <v>5</v>
      </c>
      <c r="AI7" s="90">
        <v>5</v>
      </c>
      <c r="AJ7" s="90">
        <v>13</v>
      </c>
      <c r="AK7" s="90">
        <v>8</v>
      </c>
      <c r="AL7" s="90">
        <v>5</v>
      </c>
      <c r="AM7" s="90">
        <v>65</v>
      </c>
      <c r="AN7" s="90">
        <v>46</v>
      </c>
      <c r="AO7" s="90">
        <v>19</v>
      </c>
      <c r="AP7" s="90">
        <v>26</v>
      </c>
      <c r="AQ7" s="90">
        <v>18</v>
      </c>
      <c r="AR7" s="90">
        <v>8</v>
      </c>
      <c r="AS7" s="90">
        <v>22</v>
      </c>
      <c r="AT7" s="90">
        <v>13</v>
      </c>
      <c r="AU7" s="90">
        <v>9</v>
      </c>
      <c r="AV7" s="90">
        <v>17</v>
      </c>
      <c r="AW7" s="90">
        <v>15</v>
      </c>
      <c r="AX7" s="90">
        <v>2</v>
      </c>
      <c r="AY7" s="90">
        <v>126</v>
      </c>
      <c r="AZ7" s="90">
        <v>43</v>
      </c>
      <c r="BA7" s="90">
        <v>83</v>
      </c>
      <c r="BB7" s="90">
        <v>23</v>
      </c>
      <c r="BC7" s="90">
        <v>17</v>
      </c>
      <c r="BD7" s="90">
        <v>6</v>
      </c>
      <c r="BE7" s="90">
        <v>33</v>
      </c>
      <c r="BF7" s="90">
        <v>4</v>
      </c>
      <c r="BG7" s="90">
        <v>29</v>
      </c>
      <c r="BH7" s="90">
        <v>70</v>
      </c>
      <c r="BI7" s="90">
        <v>22</v>
      </c>
      <c r="BJ7" s="90">
        <v>48</v>
      </c>
    </row>
    <row r="8" spans="1:62" s="18" customFormat="1" ht="15.95" customHeight="1">
      <c r="A8" s="91" t="s">
        <v>125</v>
      </c>
      <c r="B8" s="92" t="s">
        <v>24</v>
      </c>
      <c r="C8" s="93">
        <v>0</v>
      </c>
      <c r="D8" s="93">
        <v>0</v>
      </c>
      <c r="E8" s="93">
        <v>0</v>
      </c>
      <c r="F8" s="93">
        <v>0</v>
      </c>
      <c r="G8" s="93">
        <v>0</v>
      </c>
      <c r="H8" s="93">
        <v>0</v>
      </c>
      <c r="I8" s="93">
        <v>0</v>
      </c>
      <c r="J8" s="93">
        <v>0</v>
      </c>
      <c r="K8" s="93">
        <v>0</v>
      </c>
      <c r="L8" s="93">
        <v>0</v>
      </c>
      <c r="M8" s="93">
        <v>0</v>
      </c>
      <c r="N8" s="93">
        <v>0</v>
      </c>
      <c r="O8" s="93">
        <v>0</v>
      </c>
      <c r="P8" s="93">
        <v>0</v>
      </c>
      <c r="Q8" s="93">
        <v>0</v>
      </c>
      <c r="R8" s="93">
        <v>0</v>
      </c>
      <c r="S8" s="93">
        <v>0</v>
      </c>
      <c r="T8" s="93">
        <v>0</v>
      </c>
      <c r="U8" s="93">
        <v>0</v>
      </c>
      <c r="V8" s="93">
        <v>0</v>
      </c>
      <c r="W8" s="93">
        <v>0</v>
      </c>
      <c r="X8" s="93">
        <v>0</v>
      </c>
      <c r="Y8" s="93">
        <v>0</v>
      </c>
      <c r="Z8" s="93">
        <v>0</v>
      </c>
      <c r="AA8" s="93">
        <v>0</v>
      </c>
      <c r="AB8" s="93">
        <v>0</v>
      </c>
      <c r="AC8" s="93">
        <v>0</v>
      </c>
      <c r="AD8" s="93">
        <v>0</v>
      </c>
      <c r="AE8" s="93">
        <v>0</v>
      </c>
      <c r="AF8" s="93">
        <v>0</v>
      </c>
      <c r="AG8" s="93">
        <v>0</v>
      </c>
      <c r="AH8" s="93">
        <v>0</v>
      </c>
      <c r="AI8" s="93">
        <v>0</v>
      </c>
      <c r="AJ8" s="93">
        <v>0</v>
      </c>
      <c r="AK8" s="93">
        <v>0</v>
      </c>
      <c r="AL8" s="93">
        <v>0</v>
      </c>
      <c r="AM8" s="93">
        <v>0</v>
      </c>
      <c r="AN8" s="93">
        <v>0</v>
      </c>
      <c r="AO8" s="93">
        <v>0</v>
      </c>
      <c r="AP8" s="93">
        <v>0</v>
      </c>
      <c r="AQ8" s="93">
        <v>0</v>
      </c>
      <c r="AR8" s="93">
        <v>0</v>
      </c>
      <c r="AS8" s="93">
        <v>0</v>
      </c>
      <c r="AT8" s="93">
        <v>0</v>
      </c>
      <c r="AU8" s="93">
        <v>0</v>
      </c>
      <c r="AV8" s="93">
        <v>0</v>
      </c>
      <c r="AW8" s="93">
        <v>0</v>
      </c>
      <c r="AX8" s="93">
        <v>0</v>
      </c>
      <c r="AY8" s="93">
        <v>0</v>
      </c>
      <c r="AZ8" s="93">
        <v>0</v>
      </c>
      <c r="BA8" s="93">
        <v>0</v>
      </c>
      <c r="BB8" s="93">
        <v>0</v>
      </c>
      <c r="BC8" s="93">
        <v>0</v>
      </c>
      <c r="BD8" s="93">
        <v>0</v>
      </c>
      <c r="BE8" s="93">
        <v>0</v>
      </c>
      <c r="BF8" s="93">
        <v>0</v>
      </c>
      <c r="BG8" s="93">
        <v>0</v>
      </c>
      <c r="BH8" s="93">
        <v>0</v>
      </c>
      <c r="BI8" s="93">
        <v>0</v>
      </c>
      <c r="BJ8" s="93">
        <v>0</v>
      </c>
    </row>
    <row r="9" spans="1:62" s="18" customFormat="1" ht="15.95" customHeight="1">
      <c r="A9" s="91" t="s">
        <v>126</v>
      </c>
      <c r="B9" s="92" t="s">
        <v>25</v>
      </c>
      <c r="C9" s="93">
        <v>13</v>
      </c>
      <c r="D9" s="93">
        <v>9</v>
      </c>
      <c r="E9" s="93">
        <v>4</v>
      </c>
      <c r="F9" s="93">
        <v>3</v>
      </c>
      <c r="G9" s="93">
        <v>3</v>
      </c>
      <c r="H9" s="93">
        <v>0</v>
      </c>
      <c r="I9" s="93">
        <v>1</v>
      </c>
      <c r="J9" s="93">
        <v>0</v>
      </c>
      <c r="K9" s="93">
        <v>1</v>
      </c>
      <c r="L9" s="93">
        <v>9</v>
      </c>
      <c r="M9" s="93">
        <v>6</v>
      </c>
      <c r="N9" s="93">
        <v>3</v>
      </c>
      <c r="O9" s="93">
        <v>5</v>
      </c>
      <c r="P9" s="93">
        <v>5</v>
      </c>
      <c r="Q9" s="93">
        <v>0</v>
      </c>
      <c r="R9" s="93">
        <v>2</v>
      </c>
      <c r="S9" s="93">
        <v>2</v>
      </c>
      <c r="T9" s="93">
        <v>0</v>
      </c>
      <c r="U9" s="93">
        <v>0</v>
      </c>
      <c r="V9" s="93">
        <v>0</v>
      </c>
      <c r="W9" s="93">
        <v>0</v>
      </c>
      <c r="X9" s="93">
        <v>3</v>
      </c>
      <c r="Y9" s="93">
        <v>3</v>
      </c>
      <c r="Z9" s="93">
        <v>0</v>
      </c>
      <c r="AA9" s="93">
        <v>0</v>
      </c>
      <c r="AB9" s="93">
        <v>0</v>
      </c>
      <c r="AC9" s="93">
        <v>0</v>
      </c>
      <c r="AD9" s="93">
        <v>0</v>
      </c>
      <c r="AE9" s="93">
        <v>0</v>
      </c>
      <c r="AF9" s="93">
        <v>0</v>
      </c>
      <c r="AG9" s="93">
        <v>0</v>
      </c>
      <c r="AH9" s="93">
        <v>0</v>
      </c>
      <c r="AI9" s="93">
        <v>0</v>
      </c>
      <c r="AJ9" s="93">
        <v>0</v>
      </c>
      <c r="AK9" s="93">
        <v>0</v>
      </c>
      <c r="AL9" s="93">
        <v>0</v>
      </c>
      <c r="AM9" s="93">
        <v>0</v>
      </c>
      <c r="AN9" s="93">
        <v>0</v>
      </c>
      <c r="AO9" s="93">
        <v>0</v>
      </c>
      <c r="AP9" s="93">
        <v>0</v>
      </c>
      <c r="AQ9" s="93">
        <v>0</v>
      </c>
      <c r="AR9" s="93">
        <v>0</v>
      </c>
      <c r="AS9" s="93">
        <v>0</v>
      </c>
      <c r="AT9" s="93">
        <v>0</v>
      </c>
      <c r="AU9" s="93">
        <v>0</v>
      </c>
      <c r="AV9" s="93">
        <v>0</v>
      </c>
      <c r="AW9" s="93">
        <v>0</v>
      </c>
      <c r="AX9" s="93">
        <v>0</v>
      </c>
      <c r="AY9" s="93">
        <v>8</v>
      </c>
      <c r="AZ9" s="93">
        <v>4</v>
      </c>
      <c r="BA9" s="93">
        <v>4</v>
      </c>
      <c r="BB9" s="93">
        <v>1</v>
      </c>
      <c r="BC9" s="93">
        <v>1</v>
      </c>
      <c r="BD9" s="93">
        <v>0</v>
      </c>
      <c r="BE9" s="93">
        <v>1</v>
      </c>
      <c r="BF9" s="93">
        <v>0</v>
      </c>
      <c r="BG9" s="93">
        <v>1</v>
      </c>
      <c r="BH9" s="93">
        <v>6</v>
      </c>
      <c r="BI9" s="93">
        <v>3</v>
      </c>
      <c r="BJ9" s="93">
        <v>3</v>
      </c>
    </row>
    <row r="10" spans="1:62" s="18" customFormat="1" ht="15.95" customHeight="1">
      <c r="A10" s="91" t="s">
        <v>127</v>
      </c>
      <c r="B10" s="92" t="s">
        <v>49</v>
      </c>
      <c r="C10" s="93">
        <v>0</v>
      </c>
      <c r="D10" s="93">
        <v>0</v>
      </c>
      <c r="E10" s="93">
        <v>0</v>
      </c>
      <c r="F10" s="93">
        <v>0</v>
      </c>
      <c r="G10" s="93">
        <v>0</v>
      </c>
      <c r="H10" s="93">
        <v>0</v>
      </c>
      <c r="I10" s="93">
        <v>0</v>
      </c>
      <c r="J10" s="93">
        <v>0</v>
      </c>
      <c r="K10" s="93">
        <v>0</v>
      </c>
      <c r="L10" s="93">
        <v>0</v>
      </c>
      <c r="M10" s="93">
        <v>0</v>
      </c>
      <c r="N10" s="93">
        <v>0</v>
      </c>
      <c r="O10" s="93">
        <v>0</v>
      </c>
      <c r="P10" s="93">
        <v>0</v>
      </c>
      <c r="Q10" s="93">
        <v>0</v>
      </c>
      <c r="R10" s="93">
        <v>0</v>
      </c>
      <c r="S10" s="93">
        <v>0</v>
      </c>
      <c r="T10" s="93">
        <v>0</v>
      </c>
      <c r="U10" s="93">
        <v>0</v>
      </c>
      <c r="V10" s="93">
        <v>0</v>
      </c>
      <c r="W10" s="93">
        <v>0</v>
      </c>
      <c r="X10" s="93">
        <v>0</v>
      </c>
      <c r="Y10" s="93">
        <v>0</v>
      </c>
      <c r="Z10" s="93">
        <v>0</v>
      </c>
      <c r="AA10" s="93">
        <v>0</v>
      </c>
      <c r="AB10" s="93">
        <v>0</v>
      </c>
      <c r="AC10" s="93">
        <v>0</v>
      </c>
      <c r="AD10" s="93">
        <v>0</v>
      </c>
      <c r="AE10" s="93">
        <v>0</v>
      </c>
      <c r="AF10" s="93">
        <v>0</v>
      </c>
      <c r="AG10" s="93">
        <v>0</v>
      </c>
      <c r="AH10" s="93">
        <v>0</v>
      </c>
      <c r="AI10" s="93">
        <v>0</v>
      </c>
      <c r="AJ10" s="93">
        <v>0</v>
      </c>
      <c r="AK10" s="93">
        <v>0</v>
      </c>
      <c r="AL10" s="93">
        <v>0</v>
      </c>
      <c r="AM10" s="93">
        <v>0</v>
      </c>
      <c r="AN10" s="93">
        <v>0</v>
      </c>
      <c r="AO10" s="93">
        <v>0</v>
      </c>
      <c r="AP10" s="93">
        <v>0</v>
      </c>
      <c r="AQ10" s="93">
        <v>0</v>
      </c>
      <c r="AR10" s="93">
        <v>0</v>
      </c>
      <c r="AS10" s="93">
        <v>0</v>
      </c>
      <c r="AT10" s="93">
        <v>0</v>
      </c>
      <c r="AU10" s="93">
        <v>0</v>
      </c>
      <c r="AV10" s="93">
        <v>0</v>
      </c>
      <c r="AW10" s="93">
        <v>0</v>
      </c>
      <c r="AX10" s="93">
        <v>0</v>
      </c>
      <c r="AY10" s="93">
        <v>0</v>
      </c>
      <c r="AZ10" s="93">
        <v>0</v>
      </c>
      <c r="BA10" s="93">
        <v>0</v>
      </c>
      <c r="BB10" s="93">
        <v>0</v>
      </c>
      <c r="BC10" s="93">
        <v>0</v>
      </c>
      <c r="BD10" s="93">
        <v>0</v>
      </c>
      <c r="BE10" s="93">
        <v>0</v>
      </c>
      <c r="BF10" s="93">
        <v>0</v>
      </c>
      <c r="BG10" s="93">
        <v>0</v>
      </c>
      <c r="BH10" s="93">
        <v>0</v>
      </c>
      <c r="BI10" s="93">
        <v>0</v>
      </c>
      <c r="BJ10" s="93">
        <v>0</v>
      </c>
    </row>
    <row r="11" spans="1:62" s="18" customFormat="1" ht="15.95" customHeight="1">
      <c r="A11" s="91" t="s">
        <v>128</v>
      </c>
      <c r="B11" s="92" t="s">
        <v>26</v>
      </c>
      <c r="C11" s="93">
        <v>27</v>
      </c>
      <c r="D11" s="93">
        <v>20</v>
      </c>
      <c r="E11" s="93">
        <v>7</v>
      </c>
      <c r="F11" s="93">
        <v>10</v>
      </c>
      <c r="G11" s="93">
        <v>8</v>
      </c>
      <c r="H11" s="93">
        <v>2</v>
      </c>
      <c r="I11" s="93">
        <v>5</v>
      </c>
      <c r="J11" s="93">
        <v>3</v>
      </c>
      <c r="K11" s="93">
        <v>2</v>
      </c>
      <c r="L11" s="93">
        <v>12</v>
      </c>
      <c r="M11" s="93">
        <v>9</v>
      </c>
      <c r="N11" s="93">
        <v>3</v>
      </c>
      <c r="O11" s="93">
        <v>11</v>
      </c>
      <c r="P11" s="93">
        <v>8</v>
      </c>
      <c r="Q11" s="93">
        <v>3</v>
      </c>
      <c r="R11" s="93">
        <v>1</v>
      </c>
      <c r="S11" s="93">
        <v>0</v>
      </c>
      <c r="T11" s="93">
        <v>1</v>
      </c>
      <c r="U11" s="93">
        <v>1</v>
      </c>
      <c r="V11" s="93">
        <v>1</v>
      </c>
      <c r="W11" s="93">
        <v>0</v>
      </c>
      <c r="X11" s="93">
        <v>9</v>
      </c>
      <c r="Y11" s="93">
        <v>7</v>
      </c>
      <c r="Z11" s="93">
        <v>2</v>
      </c>
      <c r="AA11" s="93">
        <v>0</v>
      </c>
      <c r="AB11" s="93">
        <v>0</v>
      </c>
      <c r="AC11" s="93">
        <v>0</v>
      </c>
      <c r="AD11" s="93">
        <v>0</v>
      </c>
      <c r="AE11" s="93">
        <v>0</v>
      </c>
      <c r="AF11" s="93">
        <v>0</v>
      </c>
      <c r="AG11" s="93">
        <v>0</v>
      </c>
      <c r="AH11" s="93">
        <v>0</v>
      </c>
      <c r="AI11" s="93">
        <v>0</v>
      </c>
      <c r="AJ11" s="93">
        <v>0</v>
      </c>
      <c r="AK11" s="93">
        <v>0</v>
      </c>
      <c r="AL11" s="93">
        <v>0</v>
      </c>
      <c r="AM11" s="93">
        <v>16</v>
      </c>
      <c r="AN11" s="93">
        <v>12</v>
      </c>
      <c r="AO11" s="93">
        <v>4</v>
      </c>
      <c r="AP11" s="93">
        <v>9</v>
      </c>
      <c r="AQ11" s="93">
        <v>8</v>
      </c>
      <c r="AR11" s="93">
        <v>1</v>
      </c>
      <c r="AS11" s="93">
        <v>4</v>
      </c>
      <c r="AT11" s="93">
        <v>2</v>
      </c>
      <c r="AU11" s="93">
        <v>2</v>
      </c>
      <c r="AV11" s="93">
        <v>3</v>
      </c>
      <c r="AW11" s="93">
        <v>2</v>
      </c>
      <c r="AX11" s="93">
        <v>1</v>
      </c>
      <c r="AY11" s="93">
        <v>0</v>
      </c>
      <c r="AZ11" s="93">
        <v>0</v>
      </c>
      <c r="BA11" s="93">
        <v>0</v>
      </c>
      <c r="BB11" s="93">
        <v>0</v>
      </c>
      <c r="BC11" s="93">
        <v>0</v>
      </c>
      <c r="BD11" s="93">
        <v>0</v>
      </c>
      <c r="BE11" s="93">
        <v>0</v>
      </c>
      <c r="BF11" s="93">
        <v>0</v>
      </c>
      <c r="BG11" s="93">
        <v>0</v>
      </c>
      <c r="BH11" s="93">
        <v>0</v>
      </c>
      <c r="BI11" s="93">
        <v>0</v>
      </c>
      <c r="BJ11" s="93">
        <v>0</v>
      </c>
    </row>
    <row r="12" spans="1:62" s="18" customFormat="1" ht="15.95" customHeight="1">
      <c r="A12" s="91" t="s">
        <v>129</v>
      </c>
      <c r="B12" s="92" t="s">
        <v>27</v>
      </c>
      <c r="C12" s="93">
        <v>135</v>
      </c>
      <c r="D12" s="93">
        <v>34</v>
      </c>
      <c r="E12" s="93">
        <v>101</v>
      </c>
      <c r="F12" s="93">
        <v>22</v>
      </c>
      <c r="G12" s="93">
        <v>14</v>
      </c>
      <c r="H12" s="93">
        <v>8</v>
      </c>
      <c r="I12" s="93">
        <v>51</v>
      </c>
      <c r="J12" s="93">
        <v>9</v>
      </c>
      <c r="K12" s="93">
        <v>42</v>
      </c>
      <c r="L12" s="93">
        <v>62</v>
      </c>
      <c r="M12" s="93">
        <v>11</v>
      </c>
      <c r="N12" s="93">
        <v>51</v>
      </c>
      <c r="O12" s="93">
        <v>64</v>
      </c>
      <c r="P12" s="93">
        <v>7</v>
      </c>
      <c r="Q12" s="93">
        <v>57</v>
      </c>
      <c r="R12" s="93">
        <v>8</v>
      </c>
      <c r="S12" s="93">
        <v>1</v>
      </c>
      <c r="T12" s="93">
        <v>7</v>
      </c>
      <c r="U12" s="93">
        <v>25</v>
      </c>
      <c r="V12" s="93">
        <v>0</v>
      </c>
      <c r="W12" s="93">
        <v>25</v>
      </c>
      <c r="X12" s="93">
        <v>31</v>
      </c>
      <c r="Y12" s="93">
        <v>6</v>
      </c>
      <c r="Z12" s="93">
        <v>25</v>
      </c>
      <c r="AA12" s="93">
        <v>0</v>
      </c>
      <c r="AB12" s="93">
        <v>0</v>
      </c>
      <c r="AC12" s="93">
        <v>0</v>
      </c>
      <c r="AD12" s="93">
        <v>0</v>
      </c>
      <c r="AE12" s="93">
        <v>0</v>
      </c>
      <c r="AF12" s="93">
        <v>0</v>
      </c>
      <c r="AG12" s="93">
        <v>0</v>
      </c>
      <c r="AH12" s="93">
        <v>0</v>
      </c>
      <c r="AI12" s="93">
        <v>0</v>
      </c>
      <c r="AJ12" s="93">
        <v>0</v>
      </c>
      <c r="AK12" s="93">
        <v>0</v>
      </c>
      <c r="AL12" s="93">
        <v>0</v>
      </c>
      <c r="AM12" s="93">
        <v>6</v>
      </c>
      <c r="AN12" s="93">
        <v>6</v>
      </c>
      <c r="AO12" s="93">
        <v>0</v>
      </c>
      <c r="AP12" s="93">
        <v>0</v>
      </c>
      <c r="AQ12" s="93">
        <v>0</v>
      </c>
      <c r="AR12" s="93">
        <v>0</v>
      </c>
      <c r="AS12" s="93">
        <v>6</v>
      </c>
      <c r="AT12" s="93">
        <v>6</v>
      </c>
      <c r="AU12" s="93">
        <v>0</v>
      </c>
      <c r="AV12" s="93">
        <v>0</v>
      </c>
      <c r="AW12" s="93">
        <v>0</v>
      </c>
      <c r="AX12" s="93">
        <v>0</v>
      </c>
      <c r="AY12" s="93">
        <v>65</v>
      </c>
      <c r="AZ12" s="93">
        <v>21</v>
      </c>
      <c r="BA12" s="93">
        <v>44</v>
      </c>
      <c r="BB12" s="93">
        <v>14</v>
      </c>
      <c r="BC12" s="93">
        <v>13</v>
      </c>
      <c r="BD12" s="93">
        <v>1</v>
      </c>
      <c r="BE12" s="93">
        <v>20</v>
      </c>
      <c r="BF12" s="93">
        <v>3</v>
      </c>
      <c r="BG12" s="93">
        <v>17</v>
      </c>
      <c r="BH12" s="93">
        <v>31</v>
      </c>
      <c r="BI12" s="93">
        <v>5</v>
      </c>
      <c r="BJ12" s="93">
        <v>26</v>
      </c>
    </row>
    <row r="13" spans="1:62" s="18" customFormat="1" ht="15.95" customHeight="1">
      <c r="A13" s="48" t="s">
        <v>130</v>
      </c>
      <c r="B13" s="92" t="s">
        <v>28</v>
      </c>
      <c r="C13" s="93">
        <v>16</v>
      </c>
      <c r="D13" s="93">
        <v>9</v>
      </c>
      <c r="E13" s="93">
        <v>7</v>
      </c>
      <c r="F13" s="93">
        <v>3</v>
      </c>
      <c r="G13" s="93">
        <v>2</v>
      </c>
      <c r="H13" s="93">
        <v>1</v>
      </c>
      <c r="I13" s="93">
        <v>3</v>
      </c>
      <c r="J13" s="93">
        <v>3</v>
      </c>
      <c r="K13" s="93">
        <v>0</v>
      </c>
      <c r="L13" s="93">
        <v>10</v>
      </c>
      <c r="M13" s="93">
        <v>4</v>
      </c>
      <c r="N13" s="93">
        <v>6</v>
      </c>
      <c r="O13" s="93">
        <v>15</v>
      </c>
      <c r="P13" s="93">
        <v>8</v>
      </c>
      <c r="Q13" s="93">
        <v>7</v>
      </c>
      <c r="R13" s="93">
        <v>3</v>
      </c>
      <c r="S13" s="93">
        <v>2</v>
      </c>
      <c r="T13" s="93">
        <v>1</v>
      </c>
      <c r="U13" s="93">
        <v>2</v>
      </c>
      <c r="V13" s="93">
        <v>2</v>
      </c>
      <c r="W13" s="93">
        <v>0</v>
      </c>
      <c r="X13" s="93">
        <v>10</v>
      </c>
      <c r="Y13" s="93">
        <v>4</v>
      </c>
      <c r="Z13" s="93">
        <v>6</v>
      </c>
      <c r="AA13" s="93">
        <v>0</v>
      </c>
      <c r="AB13" s="93">
        <v>0</v>
      </c>
      <c r="AC13" s="93">
        <v>0</v>
      </c>
      <c r="AD13" s="93">
        <v>0</v>
      </c>
      <c r="AE13" s="93">
        <v>0</v>
      </c>
      <c r="AF13" s="93">
        <v>0</v>
      </c>
      <c r="AG13" s="93">
        <v>0</v>
      </c>
      <c r="AH13" s="93">
        <v>0</v>
      </c>
      <c r="AI13" s="93">
        <v>0</v>
      </c>
      <c r="AJ13" s="93">
        <v>0</v>
      </c>
      <c r="AK13" s="93">
        <v>0</v>
      </c>
      <c r="AL13" s="93">
        <v>0</v>
      </c>
      <c r="AM13" s="93">
        <v>1</v>
      </c>
      <c r="AN13" s="93">
        <v>1</v>
      </c>
      <c r="AO13" s="93">
        <v>0</v>
      </c>
      <c r="AP13" s="93">
        <v>0</v>
      </c>
      <c r="AQ13" s="93">
        <v>0</v>
      </c>
      <c r="AR13" s="93">
        <v>0</v>
      </c>
      <c r="AS13" s="93">
        <v>1</v>
      </c>
      <c r="AT13" s="93">
        <v>1</v>
      </c>
      <c r="AU13" s="93">
        <v>0</v>
      </c>
      <c r="AV13" s="93">
        <v>0</v>
      </c>
      <c r="AW13" s="93">
        <v>0</v>
      </c>
      <c r="AX13" s="93">
        <v>0</v>
      </c>
      <c r="AY13" s="93">
        <v>0</v>
      </c>
      <c r="AZ13" s="93">
        <v>0</v>
      </c>
      <c r="BA13" s="93">
        <v>0</v>
      </c>
      <c r="BB13" s="93">
        <v>0</v>
      </c>
      <c r="BC13" s="93">
        <v>0</v>
      </c>
      <c r="BD13" s="93">
        <v>0</v>
      </c>
      <c r="BE13" s="93">
        <v>0</v>
      </c>
      <c r="BF13" s="93">
        <v>0</v>
      </c>
      <c r="BG13" s="93">
        <v>0</v>
      </c>
      <c r="BH13" s="93">
        <v>0</v>
      </c>
      <c r="BI13" s="93">
        <v>0</v>
      </c>
      <c r="BJ13" s="93">
        <v>0</v>
      </c>
    </row>
    <row r="14" spans="1:62" ht="15.95" customHeight="1">
      <c r="A14" s="45" t="s">
        <v>131</v>
      </c>
      <c r="B14" s="94" t="s">
        <v>7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</row>
    <row r="15" spans="1:62" ht="15.95" customHeight="1">
      <c r="A15" s="45" t="s">
        <v>132</v>
      </c>
      <c r="B15" s="94" t="s">
        <v>9</v>
      </c>
      <c r="C15" s="20">
        <v>2</v>
      </c>
      <c r="D15" s="20">
        <v>1</v>
      </c>
      <c r="E15" s="20">
        <v>1</v>
      </c>
      <c r="F15" s="20">
        <v>0</v>
      </c>
      <c r="G15" s="20">
        <v>0</v>
      </c>
      <c r="H15" s="20">
        <v>0</v>
      </c>
      <c r="I15" s="20">
        <v>1</v>
      </c>
      <c r="J15" s="20">
        <v>1</v>
      </c>
      <c r="K15" s="20">
        <v>0</v>
      </c>
      <c r="L15" s="20">
        <v>1</v>
      </c>
      <c r="M15" s="20">
        <v>0</v>
      </c>
      <c r="N15" s="20">
        <v>1</v>
      </c>
      <c r="O15" s="20">
        <v>1</v>
      </c>
      <c r="P15" s="20">
        <v>0</v>
      </c>
      <c r="Q15" s="20">
        <v>1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1</v>
      </c>
      <c r="Y15" s="20">
        <v>0</v>
      </c>
      <c r="Z15" s="20">
        <v>1</v>
      </c>
      <c r="AA15" s="20">
        <v>1</v>
      </c>
      <c r="AB15" s="20">
        <v>1</v>
      </c>
      <c r="AC15" s="20">
        <v>0</v>
      </c>
      <c r="AD15" s="20">
        <v>0</v>
      </c>
      <c r="AE15" s="20">
        <v>0</v>
      </c>
      <c r="AF15" s="20">
        <v>0</v>
      </c>
      <c r="AG15" s="20">
        <v>1</v>
      </c>
      <c r="AH15" s="20">
        <v>1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</row>
    <row r="16" spans="1:62" ht="15.95" customHeight="1">
      <c r="A16" s="45" t="s">
        <v>133</v>
      </c>
      <c r="B16" s="94" t="s">
        <v>10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</row>
    <row r="17" spans="1:62" ht="15.95" customHeight="1">
      <c r="A17" s="45" t="s">
        <v>134</v>
      </c>
      <c r="B17" s="94" t="s">
        <v>11</v>
      </c>
      <c r="C17" s="20">
        <v>48</v>
      </c>
      <c r="D17" s="20">
        <v>15</v>
      </c>
      <c r="E17" s="20">
        <v>33</v>
      </c>
      <c r="F17" s="20">
        <v>1</v>
      </c>
      <c r="G17" s="20">
        <v>0</v>
      </c>
      <c r="H17" s="20">
        <v>1</v>
      </c>
      <c r="I17" s="20">
        <v>12</v>
      </c>
      <c r="J17" s="20">
        <v>0</v>
      </c>
      <c r="K17" s="20">
        <v>12</v>
      </c>
      <c r="L17" s="20">
        <v>35</v>
      </c>
      <c r="M17" s="20">
        <v>15</v>
      </c>
      <c r="N17" s="20">
        <v>20</v>
      </c>
      <c r="O17" s="20">
        <v>42</v>
      </c>
      <c r="P17" s="20">
        <v>15</v>
      </c>
      <c r="Q17" s="20">
        <v>27</v>
      </c>
      <c r="R17" s="20">
        <v>1</v>
      </c>
      <c r="S17" s="20">
        <v>0</v>
      </c>
      <c r="T17" s="20">
        <v>1</v>
      </c>
      <c r="U17" s="20">
        <v>6</v>
      </c>
      <c r="V17" s="20">
        <v>0</v>
      </c>
      <c r="W17" s="20">
        <v>6</v>
      </c>
      <c r="X17" s="20">
        <v>35</v>
      </c>
      <c r="Y17" s="20">
        <v>15</v>
      </c>
      <c r="Z17" s="20">
        <v>20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6</v>
      </c>
      <c r="AZ17" s="20">
        <v>0</v>
      </c>
      <c r="BA17" s="20">
        <v>6</v>
      </c>
      <c r="BB17" s="20">
        <v>0</v>
      </c>
      <c r="BC17" s="20">
        <v>0</v>
      </c>
      <c r="BD17" s="20">
        <v>0</v>
      </c>
      <c r="BE17" s="20">
        <v>6</v>
      </c>
      <c r="BF17" s="20">
        <v>0</v>
      </c>
      <c r="BG17" s="20">
        <v>6</v>
      </c>
      <c r="BH17" s="20">
        <v>0</v>
      </c>
      <c r="BI17" s="20">
        <v>0</v>
      </c>
      <c r="BJ17" s="20">
        <v>0</v>
      </c>
    </row>
    <row r="18" spans="1:62" ht="15.95" customHeight="1">
      <c r="A18" s="45" t="s">
        <v>135</v>
      </c>
      <c r="B18" s="94" t="s">
        <v>12</v>
      </c>
      <c r="C18" s="20">
        <v>117</v>
      </c>
      <c r="D18" s="20">
        <v>57</v>
      </c>
      <c r="E18" s="20">
        <v>60</v>
      </c>
      <c r="F18" s="20">
        <v>27</v>
      </c>
      <c r="G18" s="20">
        <v>16</v>
      </c>
      <c r="H18" s="20">
        <v>11</v>
      </c>
      <c r="I18" s="20">
        <v>15</v>
      </c>
      <c r="J18" s="20">
        <v>8</v>
      </c>
      <c r="K18" s="20">
        <v>7</v>
      </c>
      <c r="L18" s="20">
        <v>75</v>
      </c>
      <c r="M18" s="20">
        <v>33</v>
      </c>
      <c r="N18" s="20">
        <v>42</v>
      </c>
      <c r="O18" s="20">
        <v>71</v>
      </c>
      <c r="P18" s="20">
        <v>33</v>
      </c>
      <c r="Q18" s="20">
        <v>38</v>
      </c>
      <c r="R18" s="20">
        <v>15</v>
      </c>
      <c r="S18" s="20">
        <v>11</v>
      </c>
      <c r="T18" s="20">
        <v>4</v>
      </c>
      <c r="U18" s="20">
        <v>8</v>
      </c>
      <c r="V18" s="20">
        <v>6</v>
      </c>
      <c r="W18" s="20">
        <v>2</v>
      </c>
      <c r="X18" s="20">
        <v>48</v>
      </c>
      <c r="Y18" s="20">
        <v>16</v>
      </c>
      <c r="Z18" s="20">
        <v>32</v>
      </c>
      <c r="AA18" s="20">
        <v>7</v>
      </c>
      <c r="AB18" s="20">
        <v>4</v>
      </c>
      <c r="AC18" s="20">
        <v>3</v>
      </c>
      <c r="AD18" s="20">
        <v>0</v>
      </c>
      <c r="AE18" s="20">
        <v>0</v>
      </c>
      <c r="AF18" s="20">
        <v>0</v>
      </c>
      <c r="AG18" s="20">
        <v>2</v>
      </c>
      <c r="AH18" s="20">
        <v>0</v>
      </c>
      <c r="AI18" s="20">
        <v>2</v>
      </c>
      <c r="AJ18" s="20">
        <v>5</v>
      </c>
      <c r="AK18" s="20">
        <v>4</v>
      </c>
      <c r="AL18" s="20">
        <v>1</v>
      </c>
      <c r="AM18" s="20">
        <v>19</v>
      </c>
      <c r="AN18" s="20">
        <v>14</v>
      </c>
      <c r="AO18" s="20">
        <v>5</v>
      </c>
      <c r="AP18" s="20">
        <v>9</v>
      </c>
      <c r="AQ18" s="20">
        <v>4</v>
      </c>
      <c r="AR18" s="20">
        <v>5</v>
      </c>
      <c r="AS18" s="20">
        <v>2</v>
      </c>
      <c r="AT18" s="20">
        <v>2</v>
      </c>
      <c r="AU18" s="20">
        <v>0</v>
      </c>
      <c r="AV18" s="20">
        <v>8</v>
      </c>
      <c r="AW18" s="20">
        <v>8</v>
      </c>
      <c r="AX18" s="20">
        <v>0</v>
      </c>
      <c r="AY18" s="20">
        <v>20</v>
      </c>
      <c r="AZ18" s="20">
        <v>6</v>
      </c>
      <c r="BA18" s="20">
        <v>14</v>
      </c>
      <c r="BB18" s="20">
        <v>3</v>
      </c>
      <c r="BC18" s="20">
        <v>1</v>
      </c>
      <c r="BD18" s="20">
        <v>2</v>
      </c>
      <c r="BE18" s="20">
        <v>3</v>
      </c>
      <c r="BF18" s="20">
        <v>0</v>
      </c>
      <c r="BG18" s="20">
        <v>3</v>
      </c>
      <c r="BH18" s="20">
        <v>14</v>
      </c>
      <c r="BI18" s="20">
        <v>5</v>
      </c>
      <c r="BJ18" s="20">
        <v>9</v>
      </c>
    </row>
    <row r="19" spans="1:62" ht="15.95" customHeight="1">
      <c r="A19" s="45" t="s">
        <v>136</v>
      </c>
      <c r="B19" s="94" t="s">
        <v>13</v>
      </c>
      <c r="C19" s="20">
        <v>144</v>
      </c>
      <c r="D19" s="20">
        <v>30</v>
      </c>
      <c r="E19" s="20">
        <v>114</v>
      </c>
      <c r="F19" s="20">
        <v>25</v>
      </c>
      <c r="G19" s="20">
        <v>1</v>
      </c>
      <c r="H19" s="20">
        <v>24</v>
      </c>
      <c r="I19" s="20">
        <v>44</v>
      </c>
      <c r="J19" s="20">
        <v>15</v>
      </c>
      <c r="K19" s="20">
        <v>29</v>
      </c>
      <c r="L19" s="20">
        <v>75</v>
      </c>
      <c r="M19" s="20">
        <v>14</v>
      </c>
      <c r="N19" s="20">
        <v>61</v>
      </c>
      <c r="O19" s="20">
        <v>134</v>
      </c>
      <c r="P19" s="20">
        <v>28</v>
      </c>
      <c r="Q19" s="20">
        <v>106</v>
      </c>
      <c r="R19" s="20">
        <v>24</v>
      </c>
      <c r="S19" s="20">
        <v>0</v>
      </c>
      <c r="T19" s="20">
        <v>24</v>
      </c>
      <c r="U19" s="20">
        <v>36</v>
      </c>
      <c r="V19" s="20">
        <v>14</v>
      </c>
      <c r="W19" s="20">
        <v>22</v>
      </c>
      <c r="X19" s="20">
        <v>74</v>
      </c>
      <c r="Y19" s="20">
        <v>14</v>
      </c>
      <c r="Z19" s="20">
        <v>60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20">
        <v>0</v>
      </c>
      <c r="AM19" s="20">
        <v>10</v>
      </c>
      <c r="AN19" s="20">
        <v>2</v>
      </c>
      <c r="AO19" s="20">
        <v>8</v>
      </c>
      <c r="AP19" s="20">
        <v>1</v>
      </c>
      <c r="AQ19" s="20">
        <v>1</v>
      </c>
      <c r="AR19" s="20">
        <v>0</v>
      </c>
      <c r="AS19" s="20">
        <v>8</v>
      </c>
      <c r="AT19" s="20">
        <v>1</v>
      </c>
      <c r="AU19" s="20">
        <v>7</v>
      </c>
      <c r="AV19" s="20">
        <v>1</v>
      </c>
      <c r="AW19" s="20">
        <v>0</v>
      </c>
      <c r="AX19" s="20">
        <v>1</v>
      </c>
      <c r="AY19" s="20">
        <v>0</v>
      </c>
      <c r="AZ19" s="20">
        <v>0</v>
      </c>
      <c r="BA19" s="20">
        <v>0</v>
      </c>
      <c r="BB19" s="20">
        <v>0</v>
      </c>
      <c r="BC19" s="20">
        <v>0</v>
      </c>
      <c r="BD19" s="20">
        <v>0</v>
      </c>
      <c r="BE19" s="20">
        <v>0</v>
      </c>
      <c r="BF19" s="20">
        <v>0</v>
      </c>
      <c r="BG19" s="20">
        <v>0</v>
      </c>
      <c r="BH19" s="20">
        <v>0</v>
      </c>
      <c r="BI19" s="20">
        <v>0</v>
      </c>
      <c r="BJ19" s="20">
        <v>0</v>
      </c>
    </row>
    <row r="20" spans="1:62" ht="15.95" customHeight="1">
      <c r="A20" s="45" t="s">
        <v>137</v>
      </c>
      <c r="B20" s="94" t="s">
        <v>14</v>
      </c>
      <c r="C20" s="20">
        <v>4</v>
      </c>
      <c r="D20" s="20">
        <v>4</v>
      </c>
      <c r="E20" s="20">
        <v>0</v>
      </c>
      <c r="F20" s="20">
        <v>2</v>
      </c>
      <c r="G20" s="20">
        <v>2</v>
      </c>
      <c r="H20" s="20">
        <v>0</v>
      </c>
      <c r="I20" s="20">
        <v>0</v>
      </c>
      <c r="J20" s="20">
        <v>0</v>
      </c>
      <c r="K20" s="20">
        <v>0</v>
      </c>
      <c r="L20" s="20">
        <v>2</v>
      </c>
      <c r="M20" s="20">
        <v>2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4</v>
      </c>
      <c r="AN20" s="20">
        <v>4</v>
      </c>
      <c r="AO20" s="20">
        <v>0</v>
      </c>
      <c r="AP20" s="20">
        <v>2</v>
      </c>
      <c r="AQ20" s="20">
        <v>2</v>
      </c>
      <c r="AR20" s="20">
        <v>0</v>
      </c>
      <c r="AS20" s="20">
        <v>0</v>
      </c>
      <c r="AT20" s="20">
        <v>0</v>
      </c>
      <c r="AU20" s="20">
        <v>0</v>
      </c>
      <c r="AV20" s="20">
        <v>2</v>
      </c>
      <c r="AW20" s="20">
        <v>2</v>
      </c>
      <c r="AX20" s="20">
        <v>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0">
        <v>0</v>
      </c>
      <c r="BJ20" s="20">
        <v>0</v>
      </c>
    </row>
    <row r="21" spans="1:62" ht="15.95" customHeight="1">
      <c r="A21" s="45" t="s">
        <v>138</v>
      </c>
      <c r="B21" s="94" t="s">
        <v>15</v>
      </c>
      <c r="C21" s="20">
        <v>103</v>
      </c>
      <c r="D21" s="20">
        <v>39</v>
      </c>
      <c r="E21" s="20">
        <v>64</v>
      </c>
      <c r="F21" s="20">
        <v>42</v>
      </c>
      <c r="G21" s="20">
        <v>21</v>
      </c>
      <c r="H21" s="20">
        <v>21</v>
      </c>
      <c r="I21" s="20">
        <v>14</v>
      </c>
      <c r="J21" s="20">
        <v>8</v>
      </c>
      <c r="K21" s="20">
        <v>6</v>
      </c>
      <c r="L21" s="20">
        <v>47</v>
      </c>
      <c r="M21" s="20">
        <v>10</v>
      </c>
      <c r="N21" s="20">
        <v>37</v>
      </c>
      <c r="O21" s="20">
        <v>72</v>
      </c>
      <c r="P21" s="20">
        <v>20</v>
      </c>
      <c r="Q21" s="20">
        <v>52</v>
      </c>
      <c r="R21" s="20">
        <v>23</v>
      </c>
      <c r="S21" s="20">
        <v>10</v>
      </c>
      <c r="T21" s="20">
        <v>13</v>
      </c>
      <c r="U21" s="20">
        <v>7</v>
      </c>
      <c r="V21" s="20">
        <v>4</v>
      </c>
      <c r="W21" s="20">
        <v>3</v>
      </c>
      <c r="X21" s="20">
        <v>42</v>
      </c>
      <c r="Y21" s="20">
        <v>6</v>
      </c>
      <c r="Z21" s="20">
        <v>36</v>
      </c>
      <c r="AA21" s="20">
        <v>28</v>
      </c>
      <c r="AB21" s="20">
        <v>18</v>
      </c>
      <c r="AC21" s="20">
        <v>10</v>
      </c>
      <c r="AD21" s="20">
        <v>16</v>
      </c>
      <c r="AE21" s="20">
        <v>10</v>
      </c>
      <c r="AF21" s="20">
        <v>6</v>
      </c>
      <c r="AG21" s="20">
        <v>7</v>
      </c>
      <c r="AH21" s="20">
        <v>4</v>
      </c>
      <c r="AI21" s="20">
        <v>3</v>
      </c>
      <c r="AJ21" s="20">
        <v>5</v>
      </c>
      <c r="AK21" s="20">
        <v>4</v>
      </c>
      <c r="AL21" s="20">
        <v>1</v>
      </c>
      <c r="AM21" s="20">
        <v>3</v>
      </c>
      <c r="AN21" s="20">
        <v>1</v>
      </c>
      <c r="AO21" s="20">
        <v>2</v>
      </c>
      <c r="AP21" s="20">
        <v>3</v>
      </c>
      <c r="AQ21" s="20">
        <v>1</v>
      </c>
      <c r="AR21" s="20">
        <v>2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0</v>
      </c>
      <c r="AY21" s="20">
        <v>0</v>
      </c>
      <c r="AZ21" s="20">
        <v>0</v>
      </c>
      <c r="BA21" s="20">
        <v>0</v>
      </c>
      <c r="BB21" s="20">
        <v>0</v>
      </c>
      <c r="BC21" s="20">
        <v>0</v>
      </c>
      <c r="BD21" s="20">
        <v>0</v>
      </c>
      <c r="BE21" s="20">
        <v>0</v>
      </c>
      <c r="BF21" s="20">
        <v>0</v>
      </c>
      <c r="BG21" s="20">
        <v>0</v>
      </c>
      <c r="BH21" s="20">
        <v>0</v>
      </c>
      <c r="BI21" s="20">
        <v>0</v>
      </c>
      <c r="BJ21" s="20">
        <v>0</v>
      </c>
    </row>
    <row r="22" spans="1:62" ht="15.95" customHeight="1">
      <c r="A22" s="45" t="s">
        <v>139</v>
      </c>
      <c r="B22" s="94" t="s">
        <v>16</v>
      </c>
      <c r="C22" s="20">
        <v>24</v>
      </c>
      <c r="D22" s="20">
        <v>12</v>
      </c>
      <c r="E22" s="20">
        <v>12</v>
      </c>
      <c r="F22" s="20">
        <v>11</v>
      </c>
      <c r="G22" s="20">
        <v>8</v>
      </c>
      <c r="H22" s="20">
        <v>3</v>
      </c>
      <c r="I22" s="20">
        <v>5</v>
      </c>
      <c r="J22" s="20">
        <v>3</v>
      </c>
      <c r="K22" s="20">
        <v>2</v>
      </c>
      <c r="L22" s="20">
        <v>8</v>
      </c>
      <c r="M22" s="20">
        <v>1</v>
      </c>
      <c r="N22" s="20">
        <v>7</v>
      </c>
      <c r="O22" s="20">
        <v>14</v>
      </c>
      <c r="P22" s="20">
        <v>7</v>
      </c>
      <c r="Q22" s="20">
        <v>7</v>
      </c>
      <c r="R22" s="20">
        <v>5</v>
      </c>
      <c r="S22" s="20">
        <v>4</v>
      </c>
      <c r="T22" s="20">
        <v>1</v>
      </c>
      <c r="U22" s="20">
        <v>3</v>
      </c>
      <c r="V22" s="20">
        <v>2</v>
      </c>
      <c r="W22" s="20">
        <v>1</v>
      </c>
      <c r="X22" s="20">
        <v>6</v>
      </c>
      <c r="Y22" s="20">
        <v>1</v>
      </c>
      <c r="Z22" s="20">
        <v>5</v>
      </c>
      <c r="AA22" s="20">
        <v>4</v>
      </c>
      <c r="AB22" s="20">
        <v>1</v>
      </c>
      <c r="AC22" s="20">
        <v>3</v>
      </c>
      <c r="AD22" s="20">
        <v>2</v>
      </c>
      <c r="AE22" s="20">
        <v>1</v>
      </c>
      <c r="AF22" s="20">
        <v>1</v>
      </c>
      <c r="AG22" s="20">
        <v>0</v>
      </c>
      <c r="AH22" s="20">
        <v>0</v>
      </c>
      <c r="AI22" s="20">
        <v>0</v>
      </c>
      <c r="AJ22" s="20">
        <v>2</v>
      </c>
      <c r="AK22" s="20">
        <v>0</v>
      </c>
      <c r="AL22" s="20">
        <v>2</v>
      </c>
      <c r="AM22" s="20">
        <v>1</v>
      </c>
      <c r="AN22" s="20">
        <v>1</v>
      </c>
      <c r="AO22" s="20">
        <v>0</v>
      </c>
      <c r="AP22" s="20">
        <v>1</v>
      </c>
      <c r="AQ22" s="20">
        <v>1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5</v>
      </c>
      <c r="AZ22" s="20">
        <v>3</v>
      </c>
      <c r="BA22" s="20">
        <v>2</v>
      </c>
      <c r="BB22" s="20">
        <v>3</v>
      </c>
      <c r="BC22" s="20">
        <v>2</v>
      </c>
      <c r="BD22" s="20">
        <v>1</v>
      </c>
      <c r="BE22" s="20">
        <v>2</v>
      </c>
      <c r="BF22" s="20">
        <v>1</v>
      </c>
      <c r="BG22" s="20">
        <v>1</v>
      </c>
      <c r="BH22" s="20">
        <v>0</v>
      </c>
      <c r="BI22" s="20">
        <v>0</v>
      </c>
      <c r="BJ22" s="20">
        <v>0</v>
      </c>
    </row>
    <row r="23" spans="1:62" ht="15.95" customHeight="1">
      <c r="A23" s="45" t="s">
        <v>140</v>
      </c>
      <c r="B23" s="94" t="s">
        <v>17</v>
      </c>
      <c r="C23" s="20">
        <v>59</v>
      </c>
      <c r="D23" s="20">
        <v>27</v>
      </c>
      <c r="E23" s="20">
        <v>32</v>
      </c>
      <c r="F23" s="20">
        <v>9</v>
      </c>
      <c r="G23" s="20">
        <v>5</v>
      </c>
      <c r="H23" s="20">
        <v>4</v>
      </c>
      <c r="I23" s="20">
        <v>3</v>
      </c>
      <c r="J23" s="20">
        <v>1</v>
      </c>
      <c r="K23" s="20">
        <v>2</v>
      </c>
      <c r="L23" s="20">
        <v>47</v>
      </c>
      <c r="M23" s="20">
        <v>21</v>
      </c>
      <c r="N23" s="20">
        <v>26</v>
      </c>
      <c r="O23" s="20">
        <v>32</v>
      </c>
      <c r="P23" s="20">
        <v>14</v>
      </c>
      <c r="Q23" s="20">
        <v>18</v>
      </c>
      <c r="R23" s="20">
        <v>6</v>
      </c>
      <c r="S23" s="20">
        <v>4</v>
      </c>
      <c r="T23" s="20">
        <v>2</v>
      </c>
      <c r="U23" s="20">
        <v>1</v>
      </c>
      <c r="V23" s="20">
        <v>0</v>
      </c>
      <c r="W23" s="20">
        <v>1</v>
      </c>
      <c r="X23" s="20">
        <v>25</v>
      </c>
      <c r="Y23" s="20">
        <v>10</v>
      </c>
      <c r="Z23" s="20">
        <v>15</v>
      </c>
      <c r="AA23" s="20">
        <v>1</v>
      </c>
      <c r="AB23" s="20">
        <v>0</v>
      </c>
      <c r="AC23" s="20">
        <v>1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1</v>
      </c>
      <c r="AK23" s="20">
        <v>0</v>
      </c>
      <c r="AL23" s="20">
        <v>1</v>
      </c>
      <c r="AM23" s="20">
        <v>5</v>
      </c>
      <c r="AN23" s="20">
        <v>5</v>
      </c>
      <c r="AO23" s="20">
        <v>0</v>
      </c>
      <c r="AP23" s="20">
        <v>1</v>
      </c>
      <c r="AQ23" s="20">
        <v>1</v>
      </c>
      <c r="AR23" s="20">
        <v>0</v>
      </c>
      <c r="AS23" s="20">
        <v>1</v>
      </c>
      <c r="AT23" s="20">
        <v>1</v>
      </c>
      <c r="AU23" s="20">
        <v>0</v>
      </c>
      <c r="AV23" s="20">
        <v>3</v>
      </c>
      <c r="AW23" s="20">
        <v>3</v>
      </c>
      <c r="AX23" s="20">
        <v>0</v>
      </c>
      <c r="AY23" s="20">
        <v>21</v>
      </c>
      <c r="AZ23" s="20">
        <v>8</v>
      </c>
      <c r="BA23" s="20">
        <v>13</v>
      </c>
      <c r="BB23" s="20">
        <v>2</v>
      </c>
      <c r="BC23" s="20">
        <v>0</v>
      </c>
      <c r="BD23" s="20">
        <v>2</v>
      </c>
      <c r="BE23" s="20">
        <v>1</v>
      </c>
      <c r="BF23" s="20">
        <v>0</v>
      </c>
      <c r="BG23" s="20">
        <v>1</v>
      </c>
      <c r="BH23" s="20">
        <v>18</v>
      </c>
      <c r="BI23" s="20">
        <v>8</v>
      </c>
      <c r="BJ23" s="20">
        <v>10</v>
      </c>
    </row>
    <row r="24" spans="1:62" ht="15.95" customHeight="1">
      <c r="A24" s="45" t="s">
        <v>141</v>
      </c>
      <c r="B24" s="94" t="s">
        <v>18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0</v>
      </c>
      <c r="BB24" s="20">
        <v>0</v>
      </c>
      <c r="BC24" s="20">
        <v>0</v>
      </c>
      <c r="BD24" s="20">
        <v>0</v>
      </c>
      <c r="BE24" s="20">
        <v>0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</row>
    <row r="25" spans="1:62" ht="15.95" customHeight="1">
      <c r="A25" s="45" t="s">
        <v>142</v>
      </c>
      <c r="B25" s="94" t="s">
        <v>19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0</v>
      </c>
      <c r="AZ25" s="20">
        <v>0</v>
      </c>
      <c r="BA25" s="20">
        <v>0</v>
      </c>
      <c r="BB25" s="20">
        <v>0</v>
      </c>
      <c r="BC25" s="20">
        <v>0</v>
      </c>
      <c r="BD25" s="20">
        <v>0</v>
      </c>
      <c r="BE25" s="20">
        <v>0</v>
      </c>
      <c r="BF25" s="20">
        <v>0</v>
      </c>
      <c r="BG25" s="20">
        <v>0</v>
      </c>
      <c r="BH25" s="20">
        <v>0</v>
      </c>
      <c r="BI25" s="20">
        <v>0</v>
      </c>
      <c r="BJ25" s="20">
        <v>0</v>
      </c>
    </row>
    <row r="26" spans="1:62" ht="15.95" customHeight="1">
      <c r="A26" s="45" t="s">
        <v>143</v>
      </c>
      <c r="B26" s="94" t="s">
        <v>20</v>
      </c>
      <c r="C26" s="20">
        <v>1</v>
      </c>
      <c r="D26" s="20">
        <v>1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1</v>
      </c>
      <c r="M26" s="20">
        <v>1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1</v>
      </c>
      <c r="AZ26" s="20">
        <v>1</v>
      </c>
      <c r="BA26" s="20">
        <v>0</v>
      </c>
      <c r="BB26" s="20">
        <v>0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1</v>
      </c>
      <c r="BI26" s="20">
        <v>1</v>
      </c>
      <c r="BJ26" s="20">
        <v>0</v>
      </c>
    </row>
    <row r="27" spans="1:62" ht="15.95" customHeight="1">
      <c r="A27" s="45" t="s">
        <v>144</v>
      </c>
      <c r="B27" s="94" t="s">
        <v>21</v>
      </c>
      <c r="C27" s="20">
        <v>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20">
        <v>0</v>
      </c>
      <c r="Z27" s="20">
        <v>0</v>
      </c>
      <c r="AA27" s="20">
        <v>0</v>
      </c>
      <c r="AB27" s="20">
        <v>0</v>
      </c>
      <c r="AC27" s="20">
        <v>0</v>
      </c>
      <c r="AD27" s="20">
        <v>0</v>
      </c>
      <c r="AE27" s="20">
        <v>0</v>
      </c>
      <c r="AF27" s="20">
        <v>0</v>
      </c>
      <c r="AG27" s="20">
        <v>0</v>
      </c>
      <c r="AH27" s="20">
        <v>0</v>
      </c>
      <c r="AI27" s="20">
        <v>0</v>
      </c>
      <c r="AJ27" s="20">
        <v>0</v>
      </c>
      <c r="AK27" s="20">
        <v>0</v>
      </c>
      <c r="AL27" s="20">
        <v>0</v>
      </c>
      <c r="AM27" s="20">
        <v>0</v>
      </c>
      <c r="AN27" s="20">
        <v>0</v>
      </c>
      <c r="AO27" s="20">
        <v>0</v>
      </c>
      <c r="AP27" s="20">
        <v>0</v>
      </c>
      <c r="AQ27" s="20">
        <v>0</v>
      </c>
      <c r="AR27" s="20">
        <v>0</v>
      </c>
      <c r="AS27" s="20">
        <v>0</v>
      </c>
      <c r="AT27" s="20">
        <v>0</v>
      </c>
      <c r="AU27" s="20">
        <v>0</v>
      </c>
      <c r="AV27" s="20">
        <v>0</v>
      </c>
      <c r="AW27" s="20">
        <v>0</v>
      </c>
      <c r="AX27" s="20">
        <v>0</v>
      </c>
      <c r="AY27" s="20">
        <v>0</v>
      </c>
      <c r="AZ27" s="20">
        <v>0</v>
      </c>
      <c r="BA27" s="20">
        <v>0</v>
      </c>
      <c r="BB27" s="20">
        <v>0</v>
      </c>
      <c r="BC27" s="20">
        <v>0</v>
      </c>
      <c r="BD27" s="20">
        <v>0</v>
      </c>
      <c r="BE27" s="20">
        <v>0</v>
      </c>
      <c r="BF27" s="20">
        <v>0</v>
      </c>
      <c r="BG27" s="20">
        <v>0</v>
      </c>
      <c r="BH27" s="20">
        <v>0</v>
      </c>
      <c r="BI27" s="20">
        <v>0</v>
      </c>
      <c r="BJ27" s="20">
        <v>0</v>
      </c>
    </row>
    <row r="28" spans="1:62" ht="15.95" customHeight="1">
      <c r="A28" s="45" t="s">
        <v>145</v>
      </c>
      <c r="B28" s="94" t="s">
        <v>22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</row>
    <row r="29" spans="1:62" ht="15.95" customHeight="1">
      <c r="A29" s="46" t="s">
        <v>146</v>
      </c>
      <c r="B29" s="95" t="s">
        <v>23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  <c r="AS29" s="22">
        <v>0</v>
      </c>
      <c r="AT29" s="22">
        <v>0</v>
      </c>
      <c r="AU29" s="22">
        <v>0</v>
      </c>
      <c r="AV29" s="22">
        <v>0</v>
      </c>
      <c r="AW29" s="22">
        <v>0</v>
      </c>
      <c r="AX29" s="22">
        <v>0</v>
      </c>
      <c r="AY29" s="22">
        <v>0</v>
      </c>
      <c r="AZ29" s="22">
        <v>0</v>
      </c>
      <c r="BA29" s="22">
        <v>0</v>
      </c>
      <c r="BB29" s="22">
        <v>0</v>
      </c>
      <c r="BC29" s="22">
        <v>0</v>
      </c>
      <c r="BD29" s="22">
        <v>0</v>
      </c>
      <c r="BE29" s="22">
        <v>0</v>
      </c>
      <c r="BF29" s="22">
        <v>0</v>
      </c>
      <c r="BG29" s="22">
        <v>0</v>
      </c>
      <c r="BH29" s="22">
        <v>0</v>
      </c>
      <c r="BI29" s="22">
        <v>0</v>
      </c>
      <c r="BJ29" s="22">
        <v>0</v>
      </c>
    </row>
    <row r="30" spans="1:62">
      <c r="A30" s="96" t="s">
        <v>77</v>
      </c>
      <c r="B30" s="61"/>
    </row>
    <row r="31" spans="1:62">
      <c r="A31" s="97" t="s">
        <v>2</v>
      </c>
    </row>
    <row r="33" spans="1:1">
      <c r="A33" s="31" t="s">
        <v>191</v>
      </c>
    </row>
  </sheetData>
  <mergeCells count="27">
    <mergeCell ref="BH5:BJ5"/>
    <mergeCell ref="AP5:AR5"/>
    <mergeCell ref="AV5:AX5"/>
    <mergeCell ref="AY5:BA5"/>
    <mergeCell ref="BB5:BD5"/>
    <mergeCell ref="BE5:BG5"/>
    <mergeCell ref="AA5:AC5"/>
    <mergeCell ref="AD5:AF5"/>
    <mergeCell ref="AG5:AI5"/>
    <mergeCell ref="AJ5:AL5"/>
    <mergeCell ref="AM5:AO5"/>
    <mergeCell ref="A3:B6"/>
    <mergeCell ref="C3:BJ3"/>
    <mergeCell ref="C4:N4"/>
    <mergeCell ref="O4:Z4"/>
    <mergeCell ref="AA4:AL4"/>
    <mergeCell ref="AM4:AX4"/>
    <mergeCell ref="AY4:BJ4"/>
    <mergeCell ref="C5:E5"/>
    <mergeCell ref="F5:H5"/>
    <mergeCell ref="I5:K5"/>
    <mergeCell ref="AS5:AU5"/>
    <mergeCell ref="L5:N5"/>
    <mergeCell ref="O5:Q5"/>
    <mergeCell ref="R5:T5"/>
    <mergeCell ref="U5:W5"/>
    <mergeCell ref="X5:Z5"/>
  </mergeCells>
  <phoneticPr fontId="6" type="noConversion"/>
  <printOptions horizontalCentered="1"/>
  <pageMargins left="0.7" right="0.7" top="0.75" bottom="0.75" header="0.3" footer="0.3"/>
  <pageSetup paperSize="9" scale="92" fitToWidth="10" orientation="landscape" useFirstPageNumber="1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BE33"/>
  <sheetViews>
    <sheetView zoomScaleNormal="100" zoomScaleSheetLayoutView="75" workbookViewId="0">
      <pane xSplit="2" ySplit="6" topLeftCell="C7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0.33203125" style="3" customWidth="1"/>
    <col min="2" max="2" width="20.1640625" style="3" customWidth="1"/>
    <col min="3" max="3" width="11.6640625" style="3" customWidth="1"/>
    <col min="4" max="39" width="11.33203125" style="3" customWidth="1"/>
    <col min="40" max="16384" width="12" style="3"/>
  </cols>
  <sheetData>
    <row r="1" spans="1:57" ht="21">
      <c r="A1" s="80" t="s">
        <v>244</v>
      </c>
      <c r="B1" s="88"/>
    </row>
    <row r="2" spans="1:57" ht="25.5" customHeight="1">
      <c r="A2" s="26" t="s">
        <v>123</v>
      </c>
      <c r="B2" s="89"/>
    </row>
    <row r="3" spans="1:57" s="97" customFormat="1" ht="16.5" customHeight="1">
      <c r="A3" s="441" t="s">
        <v>259</v>
      </c>
      <c r="B3" s="442"/>
      <c r="C3" s="436" t="s">
        <v>245</v>
      </c>
      <c r="D3" s="437" t="s">
        <v>246</v>
      </c>
      <c r="E3" s="447"/>
      <c r="F3" s="447"/>
      <c r="G3" s="447"/>
      <c r="H3" s="447"/>
      <c r="I3" s="447"/>
      <c r="J3" s="447"/>
      <c r="K3" s="447"/>
      <c r="L3" s="447"/>
      <c r="M3" s="447"/>
      <c r="N3" s="447"/>
      <c r="O3" s="450"/>
      <c r="P3" s="437" t="s">
        <v>247</v>
      </c>
      <c r="Q3" s="447"/>
      <c r="R3" s="447"/>
      <c r="S3" s="447"/>
      <c r="T3" s="447"/>
      <c r="U3" s="447"/>
      <c r="V3" s="447"/>
      <c r="W3" s="447"/>
      <c r="X3" s="447"/>
      <c r="Y3" s="447"/>
      <c r="Z3" s="447"/>
      <c r="AA3" s="450"/>
      <c r="AB3" s="437" t="s">
        <v>248</v>
      </c>
      <c r="AC3" s="447"/>
      <c r="AD3" s="447"/>
      <c r="AE3" s="447"/>
      <c r="AF3" s="447"/>
      <c r="AG3" s="447"/>
      <c r="AH3" s="447"/>
      <c r="AI3" s="447"/>
      <c r="AJ3" s="447"/>
      <c r="AK3" s="447"/>
      <c r="AL3" s="447"/>
      <c r="AM3" s="447"/>
    </row>
    <row r="4" spans="1:57" s="101" customFormat="1" ht="29.25" customHeight="1">
      <c r="A4" s="443"/>
      <c r="B4" s="444"/>
      <c r="C4" s="436"/>
      <c r="D4" s="81" t="s">
        <v>249</v>
      </c>
      <c r="E4" s="98"/>
      <c r="F4" s="99"/>
      <c r="G4" s="436" t="s">
        <v>250</v>
      </c>
      <c r="H4" s="436"/>
      <c r="I4" s="436"/>
      <c r="J4" s="436" t="s">
        <v>251</v>
      </c>
      <c r="K4" s="436"/>
      <c r="L4" s="436"/>
      <c r="M4" s="436" t="s">
        <v>252</v>
      </c>
      <c r="N4" s="436"/>
      <c r="O4" s="436"/>
      <c r="P4" s="81" t="s">
        <v>249</v>
      </c>
      <c r="Q4" s="100"/>
      <c r="R4" s="99"/>
      <c r="S4" s="436" t="s">
        <v>250</v>
      </c>
      <c r="T4" s="436"/>
      <c r="U4" s="436"/>
      <c r="V4" s="436" t="s">
        <v>251</v>
      </c>
      <c r="W4" s="436"/>
      <c r="X4" s="436"/>
      <c r="Y4" s="436" t="s">
        <v>252</v>
      </c>
      <c r="Z4" s="436"/>
      <c r="AA4" s="436"/>
      <c r="AB4" s="81" t="s">
        <v>249</v>
      </c>
      <c r="AC4" s="100"/>
      <c r="AD4" s="99"/>
      <c r="AE4" s="436" t="s">
        <v>250</v>
      </c>
      <c r="AF4" s="436"/>
      <c r="AG4" s="436"/>
      <c r="AH4" s="436" t="s">
        <v>251</v>
      </c>
      <c r="AI4" s="436"/>
      <c r="AJ4" s="436"/>
      <c r="AK4" s="436" t="s">
        <v>252</v>
      </c>
      <c r="AL4" s="436"/>
      <c r="AM4" s="448"/>
    </row>
    <row r="5" spans="1:57" s="102" customFormat="1" ht="16.5" customHeight="1">
      <c r="A5" s="443"/>
      <c r="B5" s="444"/>
      <c r="C5" s="436"/>
      <c r="D5" s="432" t="s">
        <v>253</v>
      </c>
      <c r="E5" s="432" t="s">
        <v>254</v>
      </c>
      <c r="F5" s="432" t="s">
        <v>255</v>
      </c>
      <c r="G5" s="432" t="s">
        <v>253</v>
      </c>
      <c r="H5" s="432" t="s">
        <v>254</v>
      </c>
      <c r="I5" s="432" t="s">
        <v>255</v>
      </c>
      <c r="J5" s="432" t="s">
        <v>253</v>
      </c>
      <c r="K5" s="432" t="s">
        <v>254</v>
      </c>
      <c r="L5" s="432" t="s">
        <v>255</v>
      </c>
      <c r="M5" s="432" t="s">
        <v>253</v>
      </c>
      <c r="N5" s="432" t="s">
        <v>254</v>
      </c>
      <c r="O5" s="432" t="s">
        <v>255</v>
      </c>
      <c r="P5" s="432" t="s">
        <v>253</v>
      </c>
      <c r="Q5" s="432" t="s">
        <v>254</v>
      </c>
      <c r="R5" s="432" t="s">
        <v>255</v>
      </c>
      <c r="S5" s="432" t="s">
        <v>253</v>
      </c>
      <c r="T5" s="432" t="s">
        <v>254</v>
      </c>
      <c r="U5" s="432" t="s">
        <v>255</v>
      </c>
      <c r="V5" s="432" t="s">
        <v>253</v>
      </c>
      <c r="W5" s="432" t="s">
        <v>254</v>
      </c>
      <c r="X5" s="432" t="s">
        <v>255</v>
      </c>
      <c r="Y5" s="432" t="s">
        <v>253</v>
      </c>
      <c r="Z5" s="432" t="s">
        <v>254</v>
      </c>
      <c r="AA5" s="432" t="s">
        <v>255</v>
      </c>
      <c r="AB5" s="432" t="s">
        <v>253</v>
      </c>
      <c r="AC5" s="432" t="s">
        <v>254</v>
      </c>
      <c r="AD5" s="432" t="s">
        <v>255</v>
      </c>
      <c r="AE5" s="432" t="s">
        <v>253</v>
      </c>
      <c r="AF5" s="432" t="s">
        <v>254</v>
      </c>
      <c r="AG5" s="432" t="s">
        <v>255</v>
      </c>
      <c r="AH5" s="432" t="s">
        <v>253</v>
      </c>
      <c r="AI5" s="432" t="s">
        <v>254</v>
      </c>
      <c r="AJ5" s="432" t="s">
        <v>255</v>
      </c>
      <c r="AK5" s="432" t="s">
        <v>253</v>
      </c>
      <c r="AL5" s="432" t="s">
        <v>254</v>
      </c>
      <c r="AM5" s="434" t="s">
        <v>255</v>
      </c>
    </row>
    <row r="6" spans="1:57" s="97" customFormat="1" ht="12">
      <c r="A6" s="445"/>
      <c r="B6" s="446"/>
      <c r="C6" s="436"/>
      <c r="D6" s="449"/>
      <c r="E6" s="449"/>
      <c r="F6" s="449"/>
      <c r="G6" s="449"/>
      <c r="H6" s="449"/>
      <c r="I6" s="449"/>
      <c r="J6" s="449"/>
      <c r="K6" s="449"/>
      <c r="L6" s="449"/>
      <c r="M6" s="449"/>
      <c r="N6" s="449"/>
      <c r="O6" s="449"/>
      <c r="P6" s="449"/>
      <c r="Q6" s="449"/>
      <c r="R6" s="449"/>
      <c r="S6" s="449"/>
      <c r="T6" s="449"/>
      <c r="U6" s="449"/>
      <c r="V6" s="449"/>
      <c r="W6" s="449"/>
      <c r="X6" s="449"/>
      <c r="Y6" s="449"/>
      <c r="Z6" s="449"/>
      <c r="AA6" s="449"/>
      <c r="AB6" s="449"/>
      <c r="AC6" s="449"/>
      <c r="AD6" s="449"/>
      <c r="AE6" s="449"/>
      <c r="AF6" s="449"/>
      <c r="AG6" s="449"/>
      <c r="AH6" s="449"/>
      <c r="AI6" s="449"/>
      <c r="AJ6" s="449"/>
      <c r="AK6" s="449"/>
      <c r="AL6" s="449"/>
      <c r="AM6" s="451"/>
    </row>
    <row r="7" spans="1:57" s="13" customFormat="1" ht="15.95" customHeight="1">
      <c r="A7" s="55" t="s">
        <v>260</v>
      </c>
      <c r="B7" s="28" t="s">
        <v>39</v>
      </c>
      <c r="C7" s="90">
        <v>31</v>
      </c>
      <c r="D7" s="90">
        <v>321</v>
      </c>
      <c r="E7" s="90">
        <v>134</v>
      </c>
      <c r="F7" s="90">
        <v>187</v>
      </c>
      <c r="G7" s="90">
        <v>84</v>
      </c>
      <c r="H7" s="90">
        <v>41</v>
      </c>
      <c r="I7" s="90">
        <v>43</v>
      </c>
      <c r="J7" s="90">
        <v>47</v>
      </c>
      <c r="K7" s="90">
        <v>20</v>
      </c>
      <c r="L7" s="90">
        <v>27</v>
      </c>
      <c r="M7" s="90">
        <v>190</v>
      </c>
      <c r="N7" s="90">
        <v>73</v>
      </c>
      <c r="O7" s="90">
        <v>117</v>
      </c>
      <c r="P7" s="90">
        <v>40746</v>
      </c>
      <c r="Q7" s="90">
        <v>18574</v>
      </c>
      <c r="R7" s="90">
        <v>22172</v>
      </c>
      <c r="S7" s="90">
        <v>10773</v>
      </c>
      <c r="T7" s="90">
        <v>5109</v>
      </c>
      <c r="U7" s="90">
        <v>5664</v>
      </c>
      <c r="V7" s="90">
        <v>5499</v>
      </c>
      <c r="W7" s="90">
        <v>2465</v>
      </c>
      <c r="X7" s="90">
        <v>3034</v>
      </c>
      <c r="Y7" s="90">
        <v>24474</v>
      </c>
      <c r="Z7" s="90">
        <v>11000</v>
      </c>
      <c r="AA7" s="90">
        <v>13474</v>
      </c>
      <c r="AB7" s="90">
        <v>271643</v>
      </c>
      <c r="AC7" s="90">
        <v>122088</v>
      </c>
      <c r="AD7" s="90">
        <v>149555</v>
      </c>
      <c r="AE7" s="90">
        <v>71595.7</v>
      </c>
      <c r="AF7" s="90">
        <v>31327.7</v>
      </c>
      <c r="AG7" s="90">
        <v>40268</v>
      </c>
      <c r="AH7" s="90">
        <v>39198</v>
      </c>
      <c r="AI7" s="90">
        <v>16926</v>
      </c>
      <c r="AJ7" s="90">
        <v>22272</v>
      </c>
      <c r="AK7" s="90">
        <v>160849.29999999999</v>
      </c>
      <c r="AL7" s="90">
        <v>73834.3</v>
      </c>
      <c r="AM7" s="90">
        <v>87015</v>
      </c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</row>
    <row r="8" spans="1:57" s="18" customFormat="1" ht="15.95" customHeight="1">
      <c r="A8" s="91" t="s">
        <v>125</v>
      </c>
      <c r="B8" s="92" t="s">
        <v>24</v>
      </c>
      <c r="C8" s="93">
        <v>1</v>
      </c>
      <c r="D8" s="93" t="s">
        <v>261</v>
      </c>
      <c r="E8" s="93" t="s">
        <v>261</v>
      </c>
      <c r="F8" s="93" t="s">
        <v>261</v>
      </c>
      <c r="G8" s="93" t="s">
        <v>261</v>
      </c>
      <c r="H8" s="93" t="s">
        <v>261</v>
      </c>
      <c r="I8" s="93" t="s">
        <v>261</v>
      </c>
      <c r="J8" s="93" t="s">
        <v>261</v>
      </c>
      <c r="K8" s="93" t="s">
        <v>261</v>
      </c>
      <c r="L8" s="93" t="s">
        <v>261</v>
      </c>
      <c r="M8" s="93" t="s">
        <v>261</v>
      </c>
      <c r="N8" s="93" t="s">
        <v>261</v>
      </c>
      <c r="O8" s="93" t="s">
        <v>261</v>
      </c>
      <c r="P8" s="93" t="s">
        <v>261</v>
      </c>
      <c r="Q8" s="93" t="s">
        <v>261</v>
      </c>
      <c r="R8" s="93" t="s">
        <v>261</v>
      </c>
      <c r="S8" s="93" t="s">
        <v>261</v>
      </c>
      <c r="T8" s="93" t="s">
        <v>261</v>
      </c>
      <c r="U8" s="93" t="s">
        <v>261</v>
      </c>
      <c r="V8" s="93" t="s">
        <v>261</v>
      </c>
      <c r="W8" s="93" t="s">
        <v>261</v>
      </c>
      <c r="X8" s="93" t="s">
        <v>261</v>
      </c>
      <c r="Y8" s="93" t="s">
        <v>261</v>
      </c>
      <c r="Z8" s="93" t="s">
        <v>261</v>
      </c>
      <c r="AA8" s="93" t="s">
        <v>261</v>
      </c>
      <c r="AB8" s="93" t="s">
        <v>262</v>
      </c>
      <c r="AC8" s="93" t="s">
        <v>262</v>
      </c>
      <c r="AD8" s="93" t="s">
        <v>262</v>
      </c>
      <c r="AE8" s="93" t="s">
        <v>262</v>
      </c>
      <c r="AF8" s="93" t="s">
        <v>262</v>
      </c>
      <c r="AG8" s="93" t="s">
        <v>262</v>
      </c>
      <c r="AH8" s="93" t="s">
        <v>262</v>
      </c>
      <c r="AI8" s="93" t="s">
        <v>262</v>
      </c>
      <c r="AJ8" s="93" t="s">
        <v>262</v>
      </c>
      <c r="AK8" s="93" t="s">
        <v>262</v>
      </c>
      <c r="AL8" s="93" t="s">
        <v>262</v>
      </c>
      <c r="AM8" s="93" t="s">
        <v>262</v>
      </c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</row>
    <row r="9" spans="1:57" s="18" customFormat="1" ht="15.95" customHeight="1">
      <c r="A9" s="91" t="s">
        <v>126</v>
      </c>
      <c r="B9" s="92" t="s">
        <v>25</v>
      </c>
      <c r="C9" s="93">
        <v>1</v>
      </c>
      <c r="D9" s="93">
        <v>11</v>
      </c>
      <c r="E9" s="93">
        <v>5</v>
      </c>
      <c r="F9" s="93">
        <v>6</v>
      </c>
      <c r="G9" s="93">
        <v>2</v>
      </c>
      <c r="H9" s="93">
        <v>1</v>
      </c>
      <c r="I9" s="93">
        <v>1</v>
      </c>
      <c r="J9" s="93" t="s">
        <v>261</v>
      </c>
      <c r="K9" s="93" t="s">
        <v>261</v>
      </c>
      <c r="L9" s="93" t="s">
        <v>261</v>
      </c>
      <c r="M9" s="93">
        <v>9</v>
      </c>
      <c r="N9" s="93">
        <v>4</v>
      </c>
      <c r="O9" s="93">
        <v>5</v>
      </c>
      <c r="P9" s="93">
        <v>2778</v>
      </c>
      <c r="Q9" s="93">
        <v>1343</v>
      </c>
      <c r="R9" s="93">
        <v>1435</v>
      </c>
      <c r="S9" s="93">
        <v>588</v>
      </c>
      <c r="T9" s="93">
        <v>248</v>
      </c>
      <c r="U9" s="93">
        <v>340</v>
      </c>
      <c r="V9" s="93">
        <v>73</v>
      </c>
      <c r="W9" s="93">
        <v>14</v>
      </c>
      <c r="X9" s="93">
        <v>59</v>
      </c>
      <c r="Y9" s="93">
        <v>2117</v>
      </c>
      <c r="Z9" s="93">
        <v>1081</v>
      </c>
      <c r="AA9" s="93">
        <v>1036</v>
      </c>
      <c r="AB9" s="93">
        <v>26302</v>
      </c>
      <c r="AC9" s="93">
        <v>13655</v>
      </c>
      <c r="AD9" s="93">
        <v>12647</v>
      </c>
      <c r="AE9" s="93">
        <v>5953</v>
      </c>
      <c r="AF9" s="93">
        <v>2480</v>
      </c>
      <c r="AG9" s="93">
        <v>3473</v>
      </c>
      <c r="AH9" s="93">
        <v>603</v>
      </c>
      <c r="AI9" s="93">
        <v>138</v>
      </c>
      <c r="AJ9" s="93">
        <v>465</v>
      </c>
      <c r="AK9" s="93">
        <v>19746</v>
      </c>
      <c r="AL9" s="93">
        <v>11037</v>
      </c>
      <c r="AM9" s="93">
        <v>8709</v>
      </c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</row>
    <row r="10" spans="1:57" s="18" customFormat="1" ht="15.95" customHeight="1">
      <c r="A10" s="91" t="s">
        <v>127</v>
      </c>
      <c r="B10" s="92" t="s">
        <v>49</v>
      </c>
      <c r="C10" s="93" t="s">
        <v>261</v>
      </c>
      <c r="D10" s="93" t="s">
        <v>261</v>
      </c>
      <c r="E10" s="93" t="s">
        <v>261</v>
      </c>
      <c r="F10" s="93" t="s">
        <v>261</v>
      </c>
      <c r="G10" s="93" t="s">
        <v>261</v>
      </c>
      <c r="H10" s="93" t="s">
        <v>261</v>
      </c>
      <c r="I10" s="93" t="s">
        <v>261</v>
      </c>
      <c r="J10" s="93" t="s">
        <v>261</v>
      </c>
      <c r="K10" s="93" t="s">
        <v>261</v>
      </c>
      <c r="L10" s="93" t="s">
        <v>261</v>
      </c>
      <c r="M10" s="93" t="s">
        <v>261</v>
      </c>
      <c r="N10" s="93" t="s">
        <v>261</v>
      </c>
      <c r="O10" s="93" t="s">
        <v>261</v>
      </c>
      <c r="P10" s="93" t="s">
        <v>261</v>
      </c>
      <c r="Q10" s="93" t="s">
        <v>261</v>
      </c>
      <c r="R10" s="93" t="s">
        <v>261</v>
      </c>
      <c r="S10" s="93" t="s">
        <v>261</v>
      </c>
      <c r="T10" s="93" t="s">
        <v>261</v>
      </c>
      <c r="U10" s="93" t="s">
        <v>261</v>
      </c>
      <c r="V10" s="93" t="s">
        <v>261</v>
      </c>
      <c r="W10" s="93" t="s">
        <v>261</v>
      </c>
      <c r="X10" s="93" t="s">
        <v>261</v>
      </c>
      <c r="Y10" s="93" t="s">
        <v>261</v>
      </c>
      <c r="Z10" s="93" t="s">
        <v>261</v>
      </c>
      <c r="AA10" s="93" t="s">
        <v>261</v>
      </c>
      <c r="AB10" s="93" t="s">
        <v>262</v>
      </c>
      <c r="AC10" s="93" t="s">
        <v>262</v>
      </c>
      <c r="AD10" s="93" t="s">
        <v>262</v>
      </c>
      <c r="AE10" s="93" t="s">
        <v>262</v>
      </c>
      <c r="AF10" s="93" t="s">
        <v>262</v>
      </c>
      <c r="AG10" s="93" t="s">
        <v>262</v>
      </c>
      <c r="AH10" s="93" t="s">
        <v>262</v>
      </c>
      <c r="AI10" s="93" t="s">
        <v>262</v>
      </c>
      <c r="AJ10" s="93" t="s">
        <v>262</v>
      </c>
      <c r="AK10" s="93" t="s">
        <v>262</v>
      </c>
      <c r="AL10" s="93" t="s">
        <v>262</v>
      </c>
      <c r="AM10" s="93" t="s">
        <v>262</v>
      </c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</row>
    <row r="11" spans="1:57" s="18" customFormat="1" ht="15.95" customHeight="1">
      <c r="A11" s="91" t="s">
        <v>128</v>
      </c>
      <c r="B11" s="92" t="s">
        <v>26</v>
      </c>
      <c r="C11" s="93">
        <v>2</v>
      </c>
      <c r="D11" s="93">
        <v>19</v>
      </c>
      <c r="E11" s="93">
        <v>11</v>
      </c>
      <c r="F11" s="93">
        <v>8</v>
      </c>
      <c r="G11" s="93">
        <v>7</v>
      </c>
      <c r="H11" s="93">
        <v>2</v>
      </c>
      <c r="I11" s="93">
        <v>5</v>
      </c>
      <c r="J11" s="93">
        <v>4</v>
      </c>
      <c r="K11" s="93">
        <v>1</v>
      </c>
      <c r="L11" s="93">
        <v>3</v>
      </c>
      <c r="M11" s="93">
        <v>8</v>
      </c>
      <c r="N11" s="93">
        <v>8</v>
      </c>
      <c r="O11" s="93" t="s">
        <v>261</v>
      </c>
      <c r="P11" s="93">
        <v>4470</v>
      </c>
      <c r="Q11" s="93">
        <v>2374</v>
      </c>
      <c r="R11" s="93">
        <v>2096</v>
      </c>
      <c r="S11" s="93">
        <v>1741</v>
      </c>
      <c r="T11" s="93">
        <v>497</v>
      </c>
      <c r="U11" s="93">
        <v>1244</v>
      </c>
      <c r="V11" s="93">
        <v>730</v>
      </c>
      <c r="W11" s="93">
        <v>179</v>
      </c>
      <c r="X11" s="93">
        <v>551</v>
      </c>
      <c r="Y11" s="93">
        <v>1999</v>
      </c>
      <c r="Z11" s="93">
        <v>1698</v>
      </c>
      <c r="AA11" s="93">
        <v>301</v>
      </c>
      <c r="AB11" s="93">
        <v>40218</v>
      </c>
      <c r="AC11" s="93">
        <v>21352</v>
      </c>
      <c r="AD11" s="93">
        <v>18866</v>
      </c>
      <c r="AE11" s="93">
        <v>15682</v>
      </c>
      <c r="AF11" s="93">
        <v>4472</v>
      </c>
      <c r="AG11" s="93">
        <v>11210</v>
      </c>
      <c r="AH11" s="93">
        <v>6558</v>
      </c>
      <c r="AI11" s="93">
        <v>1611</v>
      </c>
      <c r="AJ11" s="93">
        <v>4947</v>
      </c>
      <c r="AK11" s="93">
        <v>17978</v>
      </c>
      <c r="AL11" s="93">
        <v>15269</v>
      </c>
      <c r="AM11" s="93">
        <v>2709</v>
      </c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</row>
    <row r="12" spans="1:57" s="18" customFormat="1" ht="15.95" customHeight="1">
      <c r="A12" s="91" t="s">
        <v>129</v>
      </c>
      <c r="B12" s="92" t="s">
        <v>27</v>
      </c>
      <c r="C12" s="93">
        <v>1</v>
      </c>
      <c r="D12" s="93">
        <v>13</v>
      </c>
      <c r="E12" s="93">
        <v>5</v>
      </c>
      <c r="F12" s="93">
        <v>8</v>
      </c>
      <c r="G12" s="93">
        <v>3</v>
      </c>
      <c r="H12" s="93">
        <v>1</v>
      </c>
      <c r="I12" s="93">
        <v>2</v>
      </c>
      <c r="J12" s="93">
        <v>2</v>
      </c>
      <c r="K12" s="93">
        <v>1</v>
      </c>
      <c r="L12" s="93">
        <v>1</v>
      </c>
      <c r="M12" s="93">
        <v>8</v>
      </c>
      <c r="N12" s="93">
        <v>3</v>
      </c>
      <c r="O12" s="93">
        <v>5</v>
      </c>
      <c r="P12" s="93">
        <v>2891</v>
      </c>
      <c r="Q12" s="93">
        <v>686</v>
      </c>
      <c r="R12" s="93">
        <v>2205</v>
      </c>
      <c r="S12" s="93">
        <v>695</v>
      </c>
      <c r="T12" s="93">
        <v>238</v>
      </c>
      <c r="U12" s="93">
        <v>457</v>
      </c>
      <c r="V12" s="93">
        <v>586</v>
      </c>
      <c r="W12" s="93">
        <v>133</v>
      </c>
      <c r="X12" s="93">
        <v>453</v>
      </c>
      <c r="Y12" s="93">
        <v>1610</v>
      </c>
      <c r="Z12" s="93">
        <v>315</v>
      </c>
      <c r="AA12" s="93">
        <v>1295</v>
      </c>
      <c r="AB12" s="93">
        <v>22769</v>
      </c>
      <c r="AC12" s="93">
        <v>5243</v>
      </c>
      <c r="AD12" s="93">
        <v>17526</v>
      </c>
      <c r="AE12" s="93">
        <v>5448</v>
      </c>
      <c r="AF12" s="93">
        <v>1864</v>
      </c>
      <c r="AG12" s="93">
        <v>3584</v>
      </c>
      <c r="AH12" s="93">
        <v>4596</v>
      </c>
      <c r="AI12" s="93">
        <v>918</v>
      </c>
      <c r="AJ12" s="93">
        <v>3678</v>
      </c>
      <c r="AK12" s="93">
        <v>12725</v>
      </c>
      <c r="AL12" s="93">
        <v>2461</v>
      </c>
      <c r="AM12" s="93">
        <v>10264</v>
      </c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</row>
    <row r="13" spans="1:57" s="18" customFormat="1" ht="15.95" customHeight="1">
      <c r="A13" s="48" t="s">
        <v>130</v>
      </c>
      <c r="B13" s="92" t="s">
        <v>28</v>
      </c>
      <c r="C13" s="93">
        <v>2</v>
      </c>
      <c r="D13" s="93">
        <v>5</v>
      </c>
      <c r="E13" s="93">
        <v>4</v>
      </c>
      <c r="F13" s="93">
        <v>1</v>
      </c>
      <c r="G13" s="93">
        <v>1</v>
      </c>
      <c r="H13" s="93">
        <v>1</v>
      </c>
      <c r="I13" s="93" t="s">
        <v>261</v>
      </c>
      <c r="J13" s="93">
        <v>2</v>
      </c>
      <c r="K13" s="93">
        <v>2</v>
      </c>
      <c r="L13" s="93" t="s">
        <v>261</v>
      </c>
      <c r="M13" s="93">
        <v>2</v>
      </c>
      <c r="N13" s="93">
        <v>1</v>
      </c>
      <c r="O13" s="93">
        <v>1</v>
      </c>
      <c r="P13" s="93">
        <v>1386</v>
      </c>
      <c r="Q13" s="93">
        <v>1202</v>
      </c>
      <c r="R13" s="93">
        <v>184</v>
      </c>
      <c r="S13" s="93">
        <v>311</v>
      </c>
      <c r="T13" s="93">
        <v>258</v>
      </c>
      <c r="U13" s="93">
        <v>53</v>
      </c>
      <c r="V13" s="93">
        <v>486</v>
      </c>
      <c r="W13" s="93">
        <v>485</v>
      </c>
      <c r="X13" s="93">
        <v>1</v>
      </c>
      <c r="Y13" s="93">
        <v>589</v>
      </c>
      <c r="Z13" s="93">
        <v>459</v>
      </c>
      <c r="AA13" s="93">
        <v>130</v>
      </c>
      <c r="AB13" s="93">
        <v>11261</v>
      </c>
      <c r="AC13" s="93">
        <v>9691</v>
      </c>
      <c r="AD13" s="93">
        <v>1570</v>
      </c>
      <c r="AE13" s="93">
        <v>2569</v>
      </c>
      <c r="AF13" s="93">
        <v>2095</v>
      </c>
      <c r="AG13" s="93">
        <v>474</v>
      </c>
      <c r="AH13" s="93">
        <v>3950</v>
      </c>
      <c r="AI13" s="93">
        <v>3942</v>
      </c>
      <c r="AJ13" s="93">
        <v>8</v>
      </c>
      <c r="AK13" s="93">
        <v>4742</v>
      </c>
      <c r="AL13" s="93">
        <v>3654</v>
      </c>
      <c r="AM13" s="93">
        <v>1088</v>
      </c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</row>
    <row r="14" spans="1:57" ht="15.95" customHeight="1">
      <c r="A14" s="45" t="s">
        <v>131</v>
      </c>
      <c r="B14" s="94" t="s">
        <v>7</v>
      </c>
      <c r="C14" s="20" t="s">
        <v>261</v>
      </c>
      <c r="D14" s="20" t="s">
        <v>261</v>
      </c>
      <c r="E14" s="20" t="s">
        <v>261</v>
      </c>
      <c r="F14" s="20" t="s">
        <v>261</v>
      </c>
      <c r="G14" s="20" t="s">
        <v>261</v>
      </c>
      <c r="H14" s="20" t="s">
        <v>261</v>
      </c>
      <c r="I14" s="20" t="s">
        <v>261</v>
      </c>
      <c r="J14" s="20" t="s">
        <v>261</v>
      </c>
      <c r="K14" s="20" t="s">
        <v>261</v>
      </c>
      <c r="L14" s="20" t="s">
        <v>261</v>
      </c>
      <c r="M14" s="20" t="s">
        <v>261</v>
      </c>
      <c r="N14" s="20" t="s">
        <v>261</v>
      </c>
      <c r="O14" s="20" t="s">
        <v>261</v>
      </c>
      <c r="P14" s="20" t="s">
        <v>261</v>
      </c>
      <c r="Q14" s="20" t="s">
        <v>261</v>
      </c>
      <c r="R14" s="20" t="s">
        <v>261</v>
      </c>
      <c r="S14" s="20" t="s">
        <v>261</v>
      </c>
      <c r="T14" s="20" t="s">
        <v>261</v>
      </c>
      <c r="U14" s="20" t="s">
        <v>261</v>
      </c>
      <c r="V14" s="20" t="s">
        <v>261</v>
      </c>
      <c r="W14" s="20" t="s">
        <v>261</v>
      </c>
      <c r="X14" s="20" t="s">
        <v>261</v>
      </c>
      <c r="Y14" s="20" t="s">
        <v>261</v>
      </c>
      <c r="Z14" s="20" t="s">
        <v>261</v>
      </c>
      <c r="AA14" s="20" t="s">
        <v>261</v>
      </c>
      <c r="AB14" s="20" t="s">
        <v>262</v>
      </c>
      <c r="AC14" s="20" t="s">
        <v>262</v>
      </c>
      <c r="AD14" s="20" t="s">
        <v>262</v>
      </c>
      <c r="AE14" s="20" t="s">
        <v>262</v>
      </c>
      <c r="AF14" s="20" t="s">
        <v>262</v>
      </c>
      <c r="AG14" s="20" t="s">
        <v>262</v>
      </c>
      <c r="AH14" s="20" t="s">
        <v>262</v>
      </c>
      <c r="AI14" s="20" t="s">
        <v>262</v>
      </c>
      <c r="AJ14" s="20" t="s">
        <v>262</v>
      </c>
      <c r="AK14" s="20" t="s">
        <v>262</v>
      </c>
      <c r="AL14" s="20" t="s">
        <v>262</v>
      </c>
      <c r="AM14" s="20" t="s">
        <v>262</v>
      </c>
    </row>
    <row r="15" spans="1:57" ht="15.95" customHeight="1">
      <c r="A15" s="45" t="s">
        <v>132</v>
      </c>
      <c r="B15" s="94" t="s">
        <v>9</v>
      </c>
      <c r="C15" s="20">
        <v>2</v>
      </c>
      <c r="D15" s="20" t="s">
        <v>261</v>
      </c>
      <c r="E15" s="20" t="s">
        <v>261</v>
      </c>
      <c r="F15" s="20" t="s">
        <v>261</v>
      </c>
      <c r="G15" s="20" t="s">
        <v>261</v>
      </c>
      <c r="H15" s="20" t="s">
        <v>261</v>
      </c>
      <c r="I15" s="20" t="s">
        <v>261</v>
      </c>
      <c r="J15" s="20" t="s">
        <v>261</v>
      </c>
      <c r="K15" s="20" t="s">
        <v>261</v>
      </c>
      <c r="L15" s="20" t="s">
        <v>261</v>
      </c>
      <c r="M15" s="20" t="s">
        <v>261</v>
      </c>
      <c r="N15" s="20" t="s">
        <v>261</v>
      </c>
      <c r="O15" s="20" t="s">
        <v>261</v>
      </c>
      <c r="P15" s="20">
        <v>302</v>
      </c>
      <c r="Q15" s="20">
        <v>85</v>
      </c>
      <c r="R15" s="20">
        <v>217</v>
      </c>
      <c r="S15" s="20">
        <v>302</v>
      </c>
      <c r="T15" s="20">
        <v>85</v>
      </c>
      <c r="U15" s="20">
        <v>217</v>
      </c>
      <c r="V15" s="20" t="s">
        <v>261</v>
      </c>
      <c r="W15" s="20" t="s">
        <v>261</v>
      </c>
      <c r="X15" s="20" t="s">
        <v>261</v>
      </c>
      <c r="Y15" s="20" t="s">
        <v>261</v>
      </c>
      <c r="Z15" s="20" t="s">
        <v>261</v>
      </c>
      <c r="AA15" s="20" t="s">
        <v>261</v>
      </c>
      <c r="AB15" s="20">
        <v>2416</v>
      </c>
      <c r="AC15" s="20">
        <v>680</v>
      </c>
      <c r="AD15" s="20">
        <v>1736</v>
      </c>
      <c r="AE15" s="20">
        <v>2416</v>
      </c>
      <c r="AF15" s="20">
        <v>680</v>
      </c>
      <c r="AG15" s="20">
        <v>1736</v>
      </c>
      <c r="AH15" s="20" t="s">
        <v>262</v>
      </c>
      <c r="AI15" s="20" t="s">
        <v>262</v>
      </c>
      <c r="AJ15" s="20" t="s">
        <v>262</v>
      </c>
      <c r="AK15" s="20" t="s">
        <v>262</v>
      </c>
      <c r="AL15" s="20" t="s">
        <v>262</v>
      </c>
      <c r="AM15" s="20" t="s">
        <v>262</v>
      </c>
    </row>
    <row r="16" spans="1:57" ht="15.95" customHeight="1">
      <c r="A16" s="45" t="s">
        <v>133</v>
      </c>
      <c r="B16" s="94" t="s">
        <v>10</v>
      </c>
      <c r="C16" s="20" t="s">
        <v>261</v>
      </c>
      <c r="D16" s="20" t="s">
        <v>261</v>
      </c>
      <c r="E16" s="20" t="s">
        <v>261</v>
      </c>
      <c r="F16" s="20" t="s">
        <v>261</v>
      </c>
      <c r="G16" s="20" t="s">
        <v>261</v>
      </c>
      <c r="H16" s="20" t="s">
        <v>261</v>
      </c>
      <c r="I16" s="20" t="s">
        <v>261</v>
      </c>
      <c r="J16" s="20" t="s">
        <v>261</v>
      </c>
      <c r="K16" s="20" t="s">
        <v>261</v>
      </c>
      <c r="L16" s="20" t="s">
        <v>261</v>
      </c>
      <c r="M16" s="20" t="s">
        <v>261</v>
      </c>
      <c r="N16" s="20" t="s">
        <v>261</v>
      </c>
      <c r="O16" s="20" t="s">
        <v>261</v>
      </c>
      <c r="P16" s="20" t="s">
        <v>261</v>
      </c>
      <c r="Q16" s="20" t="s">
        <v>261</v>
      </c>
      <c r="R16" s="20" t="s">
        <v>261</v>
      </c>
      <c r="S16" s="20" t="s">
        <v>261</v>
      </c>
      <c r="T16" s="20" t="s">
        <v>261</v>
      </c>
      <c r="U16" s="20" t="s">
        <v>261</v>
      </c>
      <c r="V16" s="20" t="s">
        <v>261</v>
      </c>
      <c r="W16" s="20" t="s">
        <v>261</v>
      </c>
      <c r="X16" s="20" t="s">
        <v>261</v>
      </c>
      <c r="Y16" s="20" t="s">
        <v>261</v>
      </c>
      <c r="Z16" s="20" t="s">
        <v>261</v>
      </c>
      <c r="AA16" s="20" t="s">
        <v>261</v>
      </c>
      <c r="AB16" s="20" t="s">
        <v>262</v>
      </c>
      <c r="AC16" s="20" t="s">
        <v>262</v>
      </c>
      <c r="AD16" s="20" t="s">
        <v>262</v>
      </c>
      <c r="AE16" s="20" t="s">
        <v>262</v>
      </c>
      <c r="AF16" s="20" t="s">
        <v>262</v>
      </c>
      <c r="AG16" s="20" t="s">
        <v>262</v>
      </c>
      <c r="AH16" s="20" t="s">
        <v>262</v>
      </c>
      <c r="AI16" s="20" t="s">
        <v>262</v>
      </c>
      <c r="AJ16" s="20" t="s">
        <v>262</v>
      </c>
      <c r="AK16" s="20" t="s">
        <v>262</v>
      </c>
      <c r="AL16" s="20" t="s">
        <v>262</v>
      </c>
      <c r="AM16" s="20" t="s">
        <v>262</v>
      </c>
    </row>
    <row r="17" spans="1:39" ht="15.95" customHeight="1">
      <c r="A17" s="45" t="s">
        <v>134</v>
      </c>
      <c r="B17" s="94" t="s">
        <v>11</v>
      </c>
      <c r="C17" s="20">
        <v>1</v>
      </c>
      <c r="D17" s="20">
        <v>43</v>
      </c>
      <c r="E17" s="20">
        <v>12</v>
      </c>
      <c r="F17" s="20">
        <v>31</v>
      </c>
      <c r="G17" s="20" t="s">
        <v>261</v>
      </c>
      <c r="H17" s="20" t="s">
        <v>261</v>
      </c>
      <c r="I17" s="20" t="s">
        <v>261</v>
      </c>
      <c r="J17" s="20" t="s">
        <v>261</v>
      </c>
      <c r="K17" s="20" t="s">
        <v>261</v>
      </c>
      <c r="L17" s="20" t="s">
        <v>261</v>
      </c>
      <c r="M17" s="20">
        <v>43</v>
      </c>
      <c r="N17" s="20">
        <v>12</v>
      </c>
      <c r="O17" s="20">
        <v>31</v>
      </c>
      <c r="P17" s="20">
        <v>1263</v>
      </c>
      <c r="Q17" s="20">
        <v>456</v>
      </c>
      <c r="R17" s="20">
        <v>807</v>
      </c>
      <c r="S17" s="20" t="s">
        <v>261</v>
      </c>
      <c r="T17" s="20" t="s">
        <v>261</v>
      </c>
      <c r="U17" s="20" t="s">
        <v>261</v>
      </c>
      <c r="V17" s="20" t="s">
        <v>261</v>
      </c>
      <c r="W17" s="20" t="s">
        <v>261</v>
      </c>
      <c r="X17" s="20" t="s">
        <v>261</v>
      </c>
      <c r="Y17" s="20">
        <v>1263</v>
      </c>
      <c r="Z17" s="20">
        <v>456</v>
      </c>
      <c r="AA17" s="20">
        <v>807</v>
      </c>
      <c r="AB17" s="20">
        <v>11188</v>
      </c>
      <c r="AC17" s="20">
        <v>3918</v>
      </c>
      <c r="AD17" s="20">
        <v>7270</v>
      </c>
      <c r="AE17" s="20" t="s">
        <v>262</v>
      </c>
      <c r="AF17" s="20" t="s">
        <v>262</v>
      </c>
      <c r="AG17" s="20" t="s">
        <v>262</v>
      </c>
      <c r="AH17" s="20" t="s">
        <v>262</v>
      </c>
      <c r="AI17" s="20" t="s">
        <v>262</v>
      </c>
      <c r="AJ17" s="20" t="s">
        <v>262</v>
      </c>
      <c r="AK17" s="20">
        <v>11188</v>
      </c>
      <c r="AL17" s="20">
        <v>3918</v>
      </c>
      <c r="AM17" s="20">
        <v>7270</v>
      </c>
    </row>
    <row r="18" spans="1:39" ht="15.95" customHeight="1">
      <c r="A18" s="45" t="s">
        <v>135</v>
      </c>
      <c r="B18" s="94" t="s">
        <v>12</v>
      </c>
      <c r="C18" s="20">
        <v>11</v>
      </c>
      <c r="D18" s="20">
        <v>53</v>
      </c>
      <c r="E18" s="20">
        <v>20</v>
      </c>
      <c r="F18" s="20">
        <v>33</v>
      </c>
      <c r="G18" s="20">
        <v>11</v>
      </c>
      <c r="H18" s="20">
        <v>4</v>
      </c>
      <c r="I18" s="20">
        <v>7</v>
      </c>
      <c r="J18" s="20">
        <v>13</v>
      </c>
      <c r="K18" s="20">
        <v>5</v>
      </c>
      <c r="L18" s="20">
        <v>8</v>
      </c>
      <c r="M18" s="20">
        <v>29</v>
      </c>
      <c r="N18" s="20">
        <v>11</v>
      </c>
      <c r="O18" s="20">
        <v>18</v>
      </c>
      <c r="P18" s="20">
        <v>6131</v>
      </c>
      <c r="Q18" s="20">
        <v>2543</v>
      </c>
      <c r="R18" s="20">
        <v>3588</v>
      </c>
      <c r="S18" s="20">
        <v>1036</v>
      </c>
      <c r="T18" s="20">
        <v>614</v>
      </c>
      <c r="U18" s="20">
        <v>422</v>
      </c>
      <c r="V18" s="20">
        <v>1279</v>
      </c>
      <c r="W18" s="20">
        <v>451</v>
      </c>
      <c r="X18" s="20">
        <v>828</v>
      </c>
      <c r="Y18" s="20">
        <v>3816</v>
      </c>
      <c r="Z18" s="20">
        <v>1478</v>
      </c>
      <c r="AA18" s="20">
        <v>2338</v>
      </c>
      <c r="AB18" s="20">
        <v>37875</v>
      </c>
      <c r="AC18" s="20">
        <v>12373</v>
      </c>
      <c r="AD18" s="20">
        <v>25502</v>
      </c>
      <c r="AE18" s="20">
        <v>6194</v>
      </c>
      <c r="AF18" s="20">
        <v>2939</v>
      </c>
      <c r="AG18" s="20">
        <v>3255</v>
      </c>
      <c r="AH18" s="20">
        <v>8517</v>
      </c>
      <c r="AI18" s="20">
        <v>2741</v>
      </c>
      <c r="AJ18" s="20">
        <v>5776</v>
      </c>
      <c r="AK18" s="20">
        <v>23164</v>
      </c>
      <c r="AL18" s="20">
        <v>6693</v>
      </c>
      <c r="AM18" s="20">
        <v>16471</v>
      </c>
    </row>
    <row r="19" spans="1:39" ht="15.95" customHeight="1">
      <c r="A19" s="45" t="s">
        <v>136</v>
      </c>
      <c r="B19" s="94" t="s">
        <v>13</v>
      </c>
      <c r="C19" s="20">
        <v>3</v>
      </c>
      <c r="D19" s="20">
        <v>32</v>
      </c>
      <c r="E19" s="20">
        <v>15</v>
      </c>
      <c r="F19" s="20">
        <v>17</v>
      </c>
      <c r="G19" s="20">
        <v>7</v>
      </c>
      <c r="H19" s="20">
        <v>2</v>
      </c>
      <c r="I19" s="20">
        <v>5</v>
      </c>
      <c r="J19" s="20">
        <v>6</v>
      </c>
      <c r="K19" s="20">
        <v>3</v>
      </c>
      <c r="L19" s="20">
        <v>3</v>
      </c>
      <c r="M19" s="20">
        <v>19</v>
      </c>
      <c r="N19" s="20">
        <v>10</v>
      </c>
      <c r="O19" s="20">
        <v>9</v>
      </c>
      <c r="P19" s="20">
        <v>6082</v>
      </c>
      <c r="Q19" s="20">
        <v>2813</v>
      </c>
      <c r="R19" s="20">
        <v>3269</v>
      </c>
      <c r="S19" s="20">
        <v>1338</v>
      </c>
      <c r="T19" s="20">
        <v>568</v>
      </c>
      <c r="U19" s="20">
        <v>770</v>
      </c>
      <c r="V19" s="20">
        <v>1199</v>
      </c>
      <c r="W19" s="20">
        <v>632</v>
      </c>
      <c r="X19" s="20">
        <v>567</v>
      </c>
      <c r="Y19" s="20">
        <v>3545</v>
      </c>
      <c r="Z19" s="20">
        <v>1613</v>
      </c>
      <c r="AA19" s="20">
        <v>1932</v>
      </c>
      <c r="AB19" s="20">
        <v>48656</v>
      </c>
      <c r="AC19" s="20">
        <v>22552</v>
      </c>
      <c r="AD19" s="20">
        <v>26104</v>
      </c>
      <c r="AE19" s="20">
        <v>10704</v>
      </c>
      <c r="AF19" s="20">
        <v>4544</v>
      </c>
      <c r="AG19" s="20">
        <v>6160</v>
      </c>
      <c r="AH19" s="20">
        <v>9592</v>
      </c>
      <c r="AI19" s="20">
        <v>5056</v>
      </c>
      <c r="AJ19" s="20">
        <v>4536</v>
      </c>
      <c r="AK19" s="20">
        <v>28360</v>
      </c>
      <c r="AL19" s="20">
        <v>12952</v>
      </c>
      <c r="AM19" s="20">
        <v>15408</v>
      </c>
    </row>
    <row r="20" spans="1:39" ht="15.95" customHeight="1">
      <c r="A20" s="45" t="s">
        <v>137</v>
      </c>
      <c r="B20" s="94" t="s">
        <v>14</v>
      </c>
      <c r="C20" s="20" t="s">
        <v>261</v>
      </c>
      <c r="D20" s="20" t="s">
        <v>261</v>
      </c>
      <c r="E20" s="20" t="s">
        <v>261</v>
      </c>
      <c r="F20" s="20" t="s">
        <v>261</v>
      </c>
      <c r="G20" s="20" t="s">
        <v>261</v>
      </c>
      <c r="H20" s="20" t="s">
        <v>261</v>
      </c>
      <c r="I20" s="20" t="s">
        <v>261</v>
      </c>
      <c r="J20" s="20" t="s">
        <v>261</v>
      </c>
      <c r="K20" s="20" t="s">
        <v>261</v>
      </c>
      <c r="L20" s="20" t="s">
        <v>261</v>
      </c>
      <c r="M20" s="20" t="s">
        <v>261</v>
      </c>
      <c r="N20" s="20" t="s">
        <v>261</v>
      </c>
      <c r="O20" s="20" t="s">
        <v>261</v>
      </c>
      <c r="P20" s="20" t="s">
        <v>261</v>
      </c>
      <c r="Q20" s="20" t="s">
        <v>261</v>
      </c>
      <c r="R20" s="20" t="s">
        <v>261</v>
      </c>
      <c r="S20" s="20" t="s">
        <v>261</v>
      </c>
      <c r="T20" s="20" t="s">
        <v>261</v>
      </c>
      <c r="U20" s="20" t="s">
        <v>261</v>
      </c>
      <c r="V20" s="20" t="s">
        <v>261</v>
      </c>
      <c r="W20" s="20" t="s">
        <v>261</v>
      </c>
      <c r="X20" s="20" t="s">
        <v>261</v>
      </c>
      <c r="Y20" s="20" t="s">
        <v>261</v>
      </c>
      <c r="Z20" s="20" t="s">
        <v>261</v>
      </c>
      <c r="AA20" s="20" t="s">
        <v>261</v>
      </c>
      <c r="AB20" s="20" t="s">
        <v>262</v>
      </c>
      <c r="AC20" s="20" t="s">
        <v>262</v>
      </c>
      <c r="AD20" s="20" t="s">
        <v>262</v>
      </c>
      <c r="AE20" s="20" t="s">
        <v>262</v>
      </c>
      <c r="AF20" s="20" t="s">
        <v>262</v>
      </c>
      <c r="AG20" s="20" t="s">
        <v>262</v>
      </c>
      <c r="AH20" s="20" t="s">
        <v>262</v>
      </c>
      <c r="AI20" s="20" t="s">
        <v>262</v>
      </c>
      <c r="AJ20" s="20" t="s">
        <v>262</v>
      </c>
      <c r="AK20" s="20" t="s">
        <v>262</v>
      </c>
      <c r="AL20" s="20" t="s">
        <v>262</v>
      </c>
      <c r="AM20" s="20" t="s">
        <v>262</v>
      </c>
    </row>
    <row r="21" spans="1:39" ht="15.95" customHeight="1">
      <c r="A21" s="45" t="s">
        <v>138</v>
      </c>
      <c r="B21" s="94" t="s">
        <v>15</v>
      </c>
      <c r="C21" s="20">
        <v>2</v>
      </c>
      <c r="D21" s="20">
        <v>90</v>
      </c>
      <c r="E21" s="20">
        <v>36</v>
      </c>
      <c r="F21" s="20">
        <v>54</v>
      </c>
      <c r="G21" s="20">
        <v>36</v>
      </c>
      <c r="H21" s="20">
        <v>20</v>
      </c>
      <c r="I21" s="20">
        <v>16</v>
      </c>
      <c r="J21" s="20">
        <v>16</v>
      </c>
      <c r="K21" s="20">
        <v>7</v>
      </c>
      <c r="L21" s="20">
        <v>9</v>
      </c>
      <c r="M21" s="20">
        <v>38</v>
      </c>
      <c r="N21" s="20">
        <v>9</v>
      </c>
      <c r="O21" s="20">
        <v>29</v>
      </c>
      <c r="P21" s="20">
        <v>3965</v>
      </c>
      <c r="Q21" s="20">
        <v>1611</v>
      </c>
      <c r="R21" s="20">
        <v>2354</v>
      </c>
      <c r="S21" s="20">
        <v>1560</v>
      </c>
      <c r="T21" s="20">
        <v>877</v>
      </c>
      <c r="U21" s="20">
        <v>683</v>
      </c>
      <c r="V21" s="20">
        <v>476</v>
      </c>
      <c r="W21" s="20">
        <v>204</v>
      </c>
      <c r="X21" s="20">
        <v>272</v>
      </c>
      <c r="Y21" s="20">
        <v>1929</v>
      </c>
      <c r="Z21" s="20">
        <v>530</v>
      </c>
      <c r="AA21" s="20">
        <v>1399</v>
      </c>
      <c r="AB21" s="20">
        <v>17540</v>
      </c>
      <c r="AC21" s="20">
        <v>6996</v>
      </c>
      <c r="AD21" s="20">
        <v>10544</v>
      </c>
      <c r="AE21" s="20">
        <v>6762</v>
      </c>
      <c r="AF21" s="20">
        <v>3679</v>
      </c>
      <c r="AG21" s="20">
        <v>3083</v>
      </c>
      <c r="AH21" s="20">
        <v>2245</v>
      </c>
      <c r="AI21" s="20">
        <v>1031</v>
      </c>
      <c r="AJ21" s="20">
        <v>1214</v>
      </c>
      <c r="AK21" s="20">
        <v>8533</v>
      </c>
      <c r="AL21" s="20">
        <v>2286</v>
      </c>
      <c r="AM21" s="20">
        <v>6247</v>
      </c>
    </row>
    <row r="22" spans="1:39" ht="15.95" customHeight="1">
      <c r="A22" s="45" t="s">
        <v>139</v>
      </c>
      <c r="B22" s="94" t="s">
        <v>16</v>
      </c>
      <c r="C22" s="20">
        <v>1</v>
      </c>
      <c r="D22" s="20">
        <v>14</v>
      </c>
      <c r="E22" s="20">
        <v>9</v>
      </c>
      <c r="F22" s="20">
        <v>5</v>
      </c>
      <c r="G22" s="20">
        <v>6</v>
      </c>
      <c r="H22" s="20">
        <v>5</v>
      </c>
      <c r="I22" s="20">
        <v>1</v>
      </c>
      <c r="J22" s="20" t="s">
        <v>261</v>
      </c>
      <c r="K22" s="20" t="s">
        <v>261</v>
      </c>
      <c r="L22" s="20" t="s">
        <v>261</v>
      </c>
      <c r="M22" s="20">
        <v>8</v>
      </c>
      <c r="N22" s="20">
        <v>4</v>
      </c>
      <c r="O22" s="20">
        <v>4</v>
      </c>
      <c r="P22" s="20">
        <v>2020</v>
      </c>
      <c r="Q22" s="20">
        <v>1468</v>
      </c>
      <c r="R22" s="20">
        <v>552</v>
      </c>
      <c r="S22" s="20">
        <v>1052</v>
      </c>
      <c r="T22" s="20">
        <v>752</v>
      </c>
      <c r="U22" s="20">
        <v>300</v>
      </c>
      <c r="V22" s="20">
        <v>26</v>
      </c>
      <c r="W22" s="20">
        <v>26</v>
      </c>
      <c r="X22" s="20" t="s">
        <v>261</v>
      </c>
      <c r="Y22" s="20">
        <v>942</v>
      </c>
      <c r="Z22" s="20">
        <v>690</v>
      </c>
      <c r="AA22" s="20">
        <v>252</v>
      </c>
      <c r="AB22" s="20">
        <v>10640.5</v>
      </c>
      <c r="AC22" s="20">
        <v>7658.5</v>
      </c>
      <c r="AD22" s="20">
        <v>2982</v>
      </c>
      <c r="AE22" s="20">
        <v>6292.5</v>
      </c>
      <c r="AF22" s="20">
        <v>4342.5</v>
      </c>
      <c r="AG22" s="20">
        <v>1950</v>
      </c>
      <c r="AH22" s="20">
        <v>95</v>
      </c>
      <c r="AI22" s="20">
        <v>95</v>
      </c>
      <c r="AJ22" s="20" t="s">
        <v>262</v>
      </c>
      <c r="AK22" s="20">
        <v>4253</v>
      </c>
      <c r="AL22" s="20">
        <v>3221</v>
      </c>
      <c r="AM22" s="20">
        <v>1032</v>
      </c>
    </row>
    <row r="23" spans="1:39" ht="15.95" customHeight="1">
      <c r="A23" s="45" t="s">
        <v>140</v>
      </c>
      <c r="B23" s="94" t="s">
        <v>17</v>
      </c>
      <c r="C23" s="20">
        <v>1</v>
      </c>
      <c r="D23" s="20">
        <v>37</v>
      </c>
      <c r="E23" s="20">
        <v>15</v>
      </c>
      <c r="F23" s="20">
        <v>22</v>
      </c>
      <c r="G23" s="20">
        <v>11</v>
      </c>
      <c r="H23" s="20">
        <v>5</v>
      </c>
      <c r="I23" s="20">
        <v>6</v>
      </c>
      <c r="J23" s="20">
        <v>3</v>
      </c>
      <c r="K23" s="20">
        <v>1</v>
      </c>
      <c r="L23" s="20">
        <v>2</v>
      </c>
      <c r="M23" s="20">
        <v>23</v>
      </c>
      <c r="N23" s="20">
        <v>9</v>
      </c>
      <c r="O23" s="20">
        <v>14</v>
      </c>
      <c r="P23" s="20">
        <v>8741</v>
      </c>
      <c r="Q23" s="20">
        <v>3760</v>
      </c>
      <c r="R23" s="20">
        <v>4981</v>
      </c>
      <c r="S23" s="20">
        <v>2130</v>
      </c>
      <c r="T23" s="20">
        <v>952</v>
      </c>
      <c r="U23" s="20">
        <v>1178</v>
      </c>
      <c r="V23" s="20">
        <v>409</v>
      </c>
      <c r="W23" s="20">
        <v>341</v>
      </c>
      <c r="X23" s="20">
        <v>68</v>
      </c>
      <c r="Y23" s="20">
        <v>6202</v>
      </c>
      <c r="Z23" s="20">
        <v>2467</v>
      </c>
      <c r="AA23" s="20">
        <v>3735</v>
      </c>
      <c r="AB23" s="20">
        <v>38675</v>
      </c>
      <c r="AC23" s="20">
        <v>16445</v>
      </c>
      <c r="AD23" s="20">
        <v>22230</v>
      </c>
      <c r="AE23" s="20">
        <v>9523.7000000000007</v>
      </c>
      <c r="AF23" s="20">
        <v>4180.7</v>
      </c>
      <c r="AG23" s="20">
        <v>5343</v>
      </c>
      <c r="AH23" s="20">
        <v>1679</v>
      </c>
      <c r="AI23" s="20">
        <v>1394</v>
      </c>
      <c r="AJ23" s="20">
        <v>285</v>
      </c>
      <c r="AK23" s="20">
        <v>27472.3</v>
      </c>
      <c r="AL23" s="20">
        <v>10870.3</v>
      </c>
      <c r="AM23" s="20">
        <v>16602</v>
      </c>
    </row>
    <row r="24" spans="1:39" ht="15.95" customHeight="1">
      <c r="A24" s="45" t="s">
        <v>141</v>
      </c>
      <c r="B24" s="94" t="s">
        <v>18</v>
      </c>
      <c r="C24" s="20">
        <v>1</v>
      </c>
      <c r="D24" s="20">
        <v>1</v>
      </c>
      <c r="E24" s="20">
        <v>1</v>
      </c>
      <c r="F24" s="20" t="s">
        <v>261</v>
      </c>
      <c r="G24" s="20" t="s">
        <v>261</v>
      </c>
      <c r="H24" s="20" t="s">
        <v>261</v>
      </c>
      <c r="I24" s="20" t="s">
        <v>261</v>
      </c>
      <c r="J24" s="20" t="s">
        <v>261</v>
      </c>
      <c r="K24" s="20" t="s">
        <v>261</v>
      </c>
      <c r="L24" s="20" t="s">
        <v>261</v>
      </c>
      <c r="M24" s="20">
        <v>1</v>
      </c>
      <c r="N24" s="20">
        <v>1</v>
      </c>
      <c r="O24" s="20" t="s">
        <v>261</v>
      </c>
      <c r="P24" s="20">
        <v>66</v>
      </c>
      <c r="Q24" s="20">
        <v>66</v>
      </c>
      <c r="R24" s="20" t="s">
        <v>261</v>
      </c>
      <c r="S24" s="20">
        <v>20</v>
      </c>
      <c r="T24" s="20">
        <v>20</v>
      </c>
      <c r="U24" s="20" t="s">
        <v>261</v>
      </c>
      <c r="V24" s="20" t="s">
        <v>261</v>
      </c>
      <c r="W24" s="20" t="s">
        <v>261</v>
      </c>
      <c r="X24" s="20" t="s">
        <v>261</v>
      </c>
      <c r="Y24" s="20">
        <v>46</v>
      </c>
      <c r="Z24" s="20">
        <v>46</v>
      </c>
      <c r="AA24" s="20" t="s">
        <v>261</v>
      </c>
      <c r="AB24" s="20">
        <v>229.5</v>
      </c>
      <c r="AC24" s="20">
        <v>229.5</v>
      </c>
      <c r="AD24" s="20" t="s">
        <v>262</v>
      </c>
      <c r="AE24" s="20">
        <v>51.5</v>
      </c>
      <c r="AF24" s="20">
        <v>51.5</v>
      </c>
      <c r="AG24" s="20" t="s">
        <v>262</v>
      </c>
      <c r="AH24" s="20" t="s">
        <v>262</v>
      </c>
      <c r="AI24" s="20" t="s">
        <v>262</v>
      </c>
      <c r="AJ24" s="20" t="s">
        <v>262</v>
      </c>
      <c r="AK24" s="20">
        <v>178</v>
      </c>
      <c r="AL24" s="20">
        <v>178</v>
      </c>
      <c r="AM24" s="20" t="s">
        <v>262</v>
      </c>
    </row>
    <row r="25" spans="1:39" ht="15.95" customHeight="1">
      <c r="A25" s="45" t="s">
        <v>142</v>
      </c>
      <c r="B25" s="94" t="s">
        <v>19</v>
      </c>
      <c r="C25" s="20" t="s">
        <v>261</v>
      </c>
      <c r="D25" s="20" t="s">
        <v>261</v>
      </c>
      <c r="E25" s="20" t="s">
        <v>261</v>
      </c>
      <c r="F25" s="20" t="s">
        <v>261</v>
      </c>
      <c r="G25" s="20" t="s">
        <v>261</v>
      </c>
      <c r="H25" s="20" t="s">
        <v>261</v>
      </c>
      <c r="I25" s="20" t="s">
        <v>261</v>
      </c>
      <c r="J25" s="20" t="s">
        <v>261</v>
      </c>
      <c r="K25" s="20" t="s">
        <v>261</v>
      </c>
      <c r="L25" s="20" t="s">
        <v>261</v>
      </c>
      <c r="M25" s="20" t="s">
        <v>261</v>
      </c>
      <c r="N25" s="20" t="s">
        <v>261</v>
      </c>
      <c r="O25" s="20" t="s">
        <v>261</v>
      </c>
      <c r="P25" s="20" t="s">
        <v>261</v>
      </c>
      <c r="Q25" s="20" t="s">
        <v>261</v>
      </c>
      <c r="R25" s="20" t="s">
        <v>261</v>
      </c>
      <c r="S25" s="20" t="s">
        <v>261</v>
      </c>
      <c r="T25" s="20" t="s">
        <v>261</v>
      </c>
      <c r="U25" s="20" t="s">
        <v>261</v>
      </c>
      <c r="V25" s="20" t="s">
        <v>261</v>
      </c>
      <c r="W25" s="20" t="s">
        <v>261</v>
      </c>
      <c r="X25" s="20" t="s">
        <v>261</v>
      </c>
      <c r="Y25" s="20" t="s">
        <v>261</v>
      </c>
      <c r="Z25" s="20" t="s">
        <v>261</v>
      </c>
      <c r="AA25" s="20" t="s">
        <v>261</v>
      </c>
      <c r="AB25" s="20" t="s">
        <v>262</v>
      </c>
      <c r="AC25" s="20" t="s">
        <v>262</v>
      </c>
      <c r="AD25" s="20" t="s">
        <v>262</v>
      </c>
      <c r="AE25" s="20" t="s">
        <v>262</v>
      </c>
      <c r="AF25" s="20" t="s">
        <v>262</v>
      </c>
      <c r="AG25" s="20" t="s">
        <v>262</v>
      </c>
      <c r="AH25" s="20" t="s">
        <v>262</v>
      </c>
      <c r="AI25" s="20" t="s">
        <v>262</v>
      </c>
      <c r="AJ25" s="20" t="s">
        <v>262</v>
      </c>
      <c r="AK25" s="20" t="s">
        <v>262</v>
      </c>
      <c r="AL25" s="20" t="s">
        <v>262</v>
      </c>
      <c r="AM25" s="20" t="s">
        <v>262</v>
      </c>
    </row>
    <row r="26" spans="1:39" ht="15.95" customHeight="1">
      <c r="A26" s="45" t="s">
        <v>143</v>
      </c>
      <c r="B26" s="94" t="s">
        <v>20</v>
      </c>
      <c r="C26" s="20">
        <v>1</v>
      </c>
      <c r="D26" s="20">
        <v>1</v>
      </c>
      <c r="E26" s="20">
        <v>1</v>
      </c>
      <c r="F26" s="20" t="s">
        <v>261</v>
      </c>
      <c r="G26" s="20" t="s">
        <v>261</v>
      </c>
      <c r="H26" s="20" t="s">
        <v>261</v>
      </c>
      <c r="I26" s="20" t="s">
        <v>261</v>
      </c>
      <c r="J26" s="20" t="s">
        <v>261</v>
      </c>
      <c r="K26" s="20" t="s">
        <v>261</v>
      </c>
      <c r="L26" s="20" t="s">
        <v>261</v>
      </c>
      <c r="M26" s="20">
        <v>1</v>
      </c>
      <c r="N26" s="20">
        <v>1</v>
      </c>
      <c r="O26" s="20" t="s">
        <v>261</v>
      </c>
      <c r="P26" s="20">
        <v>167</v>
      </c>
      <c r="Q26" s="20">
        <v>167</v>
      </c>
      <c r="R26" s="20" t="s">
        <v>261</v>
      </c>
      <c r="S26" s="20" t="s">
        <v>261</v>
      </c>
      <c r="T26" s="20" t="s">
        <v>261</v>
      </c>
      <c r="U26" s="20" t="s">
        <v>261</v>
      </c>
      <c r="V26" s="20" t="s">
        <v>261</v>
      </c>
      <c r="W26" s="20" t="s">
        <v>261</v>
      </c>
      <c r="X26" s="20" t="s">
        <v>261</v>
      </c>
      <c r="Y26" s="20">
        <v>167</v>
      </c>
      <c r="Z26" s="20">
        <v>167</v>
      </c>
      <c r="AA26" s="20" t="s">
        <v>261</v>
      </c>
      <c r="AB26" s="20">
        <v>1295</v>
      </c>
      <c r="AC26" s="20">
        <v>1295</v>
      </c>
      <c r="AD26" s="20" t="s">
        <v>262</v>
      </c>
      <c r="AE26" s="20" t="s">
        <v>262</v>
      </c>
      <c r="AF26" s="20" t="s">
        <v>262</v>
      </c>
      <c r="AG26" s="20" t="s">
        <v>262</v>
      </c>
      <c r="AH26" s="20" t="s">
        <v>262</v>
      </c>
      <c r="AI26" s="20" t="s">
        <v>262</v>
      </c>
      <c r="AJ26" s="20" t="s">
        <v>262</v>
      </c>
      <c r="AK26" s="20">
        <v>1295</v>
      </c>
      <c r="AL26" s="20">
        <v>1295</v>
      </c>
      <c r="AM26" s="20" t="s">
        <v>262</v>
      </c>
    </row>
    <row r="27" spans="1:39" ht="15.95" customHeight="1">
      <c r="A27" s="45" t="s">
        <v>144</v>
      </c>
      <c r="B27" s="94" t="s">
        <v>21</v>
      </c>
      <c r="C27" s="20">
        <v>1</v>
      </c>
      <c r="D27" s="20">
        <v>2</v>
      </c>
      <c r="E27" s="20" t="s">
        <v>261</v>
      </c>
      <c r="F27" s="20">
        <v>2</v>
      </c>
      <c r="G27" s="20" t="s">
        <v>261</v>
      </c>
      <c r="H27" s="20" t="s">
        <v>261</v>
      </c>
      <c r="I27" s="20" t="s">
        <v>261</v>
      </c>
      <c r="J27" s="20">
        <v>1</v>
      </c>
      <c r="K27" s="20" t="s">
        <v>261</v>
      </c>
      <c r="L27" s="20">
        <v>1</v>
      </c>
      <c r="M27" s="20">
        <v>1</v>
      </c>
      <c r="N27" s="20" t="s">
        <v>261</v>
      </c>
      <c r="O27" s="20">
        <v>1</v>
      </c>
      <c r="P27" s="20">
        <v>484</v>
      </c>
      <c r="Q27" s="20" t="s">
        <v>261</v>
      </c>
      <c r="R27" s="20">
        <v>484</v>
      </c>
      <c r="S27" s="20" t="s">
        <v>261</v>
      </c>
      <c r="T27" s="20" t="s">
        <v>261</v>
      </c>
      <c r="U27" s="20" t="s">
        <v>261</v>
      </c>
      <c r="V27" s="20">
        <v>235</v>
      </c>
      <c r="W27" s="20" t="s">
        <v>261</v>
      </c>
      <c r="X27" s="20">
        <v>235</v>
      </c>
      <c r="Y27" s="20">
        <v>249</v>
      </c>
      <c r="Z27" s="20" t="s">
        <v>261</v>
      </c>
      <c r="AA27" s="20">
        <v>249</v>
      </c>
      <c r="AB27" s="20">
        <v>2578</v>
      </c>
      <c r="AC27" s="20" t="s">
        <v>262</v>
      </c>
      <c r="AD27" s="20">
        <v>2578</v>
      </c>
      <c r="AE27" s="20" t="s">
        <v>262</v>
      </c>
      <c r="AF27" s="20" t="s">
        <v>262</v>
      </c>
      <c r="AG27" s="20" t="s">
        <v>262</v>
      </c>
      <c r="AH27" s="20">
        <v>1363</v>
      </c>
      <c r="AI27" s="20" t="s">
        <v>262</v>
      </c>
      <c r="AJ27" s="20">
        <v>1363</v>
      </c>
      <c r="AK27" s="20">
        <v>1215</v>
      </c>
      <c r="AL27" s="20" t="s">
        <v>262</v>
      </c>
      <c r="AM27" s="20">
        <v>1215</v>
      </c>
    </row>
    <row r="28" spans="1:39" ht="15.95" customHeight="1">
      <c r="A28" s="45" t="s">
        <v>145</v>
      </c>
      <c r="B28" s="94" t="s">
        <v>22</v>
      </c>
      <c r="C28" s="20" t="s">
        <v>261</v>
      </c>
      <c r="D28" s="20" t="s">
        <v>261</v>
      </c>
      <c r="E28" s="20" t="s">
        <v>261</v>
      </c>
      <c r="F28" s="20" t="s">
        <v>261</v>
      </c>
      <c r="G28" s="20" t="s">
        <v>261</v>
      </c>
      <c r="H28" s="20" t="s">
        <v>261</v>
      </c>
      <c r="I28" s="20" t="s">
        <v>261</v>
      </c>
      <c r="J28" s="20" t="s">
        <v>261</v>
      </c>
      <c r="K28" s="20" t="s">
        <v>261</v>
      </c>
      <c r="L28" s="20" t="s">
        <v>261</v>
      </c>
      <c r="M28" s="20" t="s">
        <v>261</v>
      </c>
      <c r="N28" s="20" t="s">
        <v>261</v>
      </c>
      <c r="O28" s="20" t="s">
        <v>261</v>
      </c>
      <c r="P28" s="20" t="s">
        <v>261</v>
      </c>
      <c r="Q28" s="20" t="s">
        <v>261</v>
      </c>
      <c r="R28" s="20" t="s">
        <v>261</v>
      </c>
      <c r="S28" s="20" t="s">
        <v>261</v>
      </c>
      <c r="T28" s="20" t="s">
        <v>261</v>
      </c>
      <c r="U28" s="20" t="s">
        <v>261</v>
      </c>
      <c r="V28" s="20" t="s">
        <v>261</v>
      </c>
      <c r="W28" s="20" t="s">
        <v>261</v>
      </c>
      <c r="X28" s="20" t="s">
        <v>261</v>
      </c>
      <c r="Y28" s="20" t="s">
        <v>261</v>
      </c>
      <c r="Z28" s="20" t="s">
        <v>261</v>
      </c>
      <c r="AA28" s="20" t="s">
        <v>261</v>
      </c>
      <c r="AB28" s="20" t="s">
        <v>262</v>
      </c>
      <c r="AC28" s="20" t="s">
        <v>262</v>
      </c>
      <c r="AD28" s="20" t="s">
        <v>262</v>
      </c>
      <c r="AE28" s="20" t="s">
        <v>262</v>
      </c>
      <c r="AF28" s="20" t="s">
        <v>262</v>
      </c>
      <c r="AG28" s="20" t="s">
        <v>262</v>
      </c>
      <c r="AH28" s="20" t="s">
        <v>262</v>
      </c>
      <c r="AI28" s="20" t="s">
        <v>262</v>
      </c>
      <c r="AJ28" s="20" t="s">
        <v>262</v>
      </c>
      <c r="AK28" s="20" t="s">
        <v>262</v>
      </c>
      <c r="AL28" s="20" t="s">
        <v>262</v>
      </c>
      <c r="AM28" s="20" t="s">
        <v>262</v>
      </c>
    </row>
    <row r="29" spans="1:39" ht="15.95" customHeight="1">
      <c r="A29" s="46" t="s">
        <v>146</v>
      </c>
      <c r="B29" s="95" t="s">
        <v>23</v>
      </c>
      <c r="C29" s="22" t="s">
        <v>261</v>
      </c>
      <c r="D29" s="22" t="s">
        <v>261</v>
      </c>
      <c r="E29" s="22" t="s">
        <v>261</v>
      </c>
      <c r="F29" s="22" t="s">
        <v>261</v>
      </c>
      <c r="G29" s="22" t="s">
        <v>261</v>
      </c>
      <c r="H29" s="22" t="s">
        <v>261</v>
      </c>
      <c r="I29" s="22" t="s">
        <v>261</v>
      </c>
      <c r="J29" s="22" t="s">
        <v>261</v>
      </c>
      <c r="K29" s="22" t="s">
        <v>261</v>
      </c>
      <c r="L29" s="22" t="s">
        <v>261</v>
      </c>
      <c r="M29" s="22" t="s">
        <v>261</v>
      </c>
      <c r="N29" s="22" t="s">
        <v>261</v>
      </c>
      <c r="O29" s="22" t="s">
        <v>261</v>
      </c>
      <c r="P29" s="22" t="s">
        <v>261</v>
      </c>
      <c r="Q29" s="22" t="s">
        <v>261</v>
      </c>
      <c r="R29" s="22" t="s">
        <v>261</v>
      </c>
      <c r="S29" s="22" t="s">
        <v>261</v>
      </c>
      <c r="T29" s="22" t="s">
        <v>261</v>
      </c>
      <c r="U29" s="22" t="s">
        <v>261</v>
      </c>
      <c r="V29" s="22" t="s">
        <v>261</v>
      </c>
      <c r="W29" s="22" t="s">
        <v>261</v>
      </c>
      <c r="X29" s="22" t="s">
        <v>261</v>
      </c>
      <c r="Y29" s="22" t="s">
        <v>261</v>
      </c>
      <c r="Z29" s="22" t="s">
        <v>261</v>
      </c>
      <c r="AA29" s="22" t="s">
        <v>261</v>
      </c>
      <c r="AB29" s="22" t="s">
        <v>262</v>
      </c>
      <c r="AC29" s="22" t="s">
        <v>262</v>
      </c>
      <c r="AD29" s="22" t="s">
        <v>262</v>
      </c>
      <c r="AE29" s="22" t="s">
        <v>262</v>
      </c>
      <c r="AF29" s="22" t="s">
        <v>262</v>
      </c>
      <c r="AG29" s="22" t="s">
        <v>262</v>
      </c>
      <c r="AH29" s="22" t="s">
        <v>262</v>
      </c>
      <c r="AI29" s="22" t="s">
        <v>262</v>
      </c>
      <c r="AJ29" s="22" t="s">
        <v>262</v>
      </c>
      <c r="AK29" s="22" t="s">
        <v>262</v>
      </c>
      <c r="AL29" s="22" t="s">
        <v>262</v>
      </c>
      <c r="AM29" s="22" t="s">
        <v>262</v>
      </c>
    </row>
    <row r="30" spans="1:39">
      <c r="A30" s="96" t="s">
        <v>77</v>
      </c>
      <c r="B30" s="61"/>
    </row>
    <row r="31" spans="1:39">
      <c r="A31" s="97" t="s">
        <v>2</v>
      </c>
    </row>
    <row r="33" spans="1:1">
      <c r="A33" s="31" t="s">
        <v>124</v>
      </c>
    </row>
  </sheetData>
  <mergeCells count="50">
    <mergeCell ref="AM5:AM6"/>
    <mergeCell ref="AB5:AB6"/>
    <mergeCell ref="AC5:AC6"/>
    <mergeCell ref="AD5:AD6"/>
    <mergeCell ref="AE5:AE6"/>
    <mergeCell ref="AF5:AF6"/>
    <mergeCell ref="AG5:AG6"/>
    <mergeCell ref="AH5:AH6"/>
    <mergeCell ref="AI5:AI6"/>
    <mergeCell ref="AJ5:AJ6"/>
    <mergeCell ref="AK5:AK6"/>
    <mergeCell ref="AL5:AL6"/>
    <mergeCell ref="N5:N6"/>
    <mergeCell ref="AA5:AA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I5:I6"/>
    <mergeCell ref="A3:B6"/>
    <mergeCell ref="C3:C6"/>
    <mergeCell ref="D3:O3"/>
    <mergeCell ref="P3:AA3"/>
    <mergeCell ref="D5:D6"/>
    <mergeCell ref="E5:E6"/>
    <mergeCell ref="F5:F6"/>
    <mergeCell ref="G5:G6"/>
    <mergeCell ref="H5:H6"/>
    <mergeCell ref="O5:O6"/>
    <mergeCell ref="Y4:AA4"/>
    <mergeCell ref="J5:J6"/>
    <mergeCell ref="K5:K6"/>
    <mergeCell ref="L5:L6"/>
    <mergeCell ref="M5:M6"/>
    <mergeCell ref="AB3:AM3"/>
    <mergeCell ref="G4:I4"/>
    <mergeCell ref="J4:L4"/>
    <mergeCell ref="M4:O4"/>
    <mergeCell ref="S4:U4"/>
    <mergeCell ref="V4:X4"/>
    <mergeCell ref="AE4:AG4"/>
    <mergeCell ref="AH4:AJ4"/>
    <mergeCell ref="AK4:AM4"/>
  </mergeCells>
  <phoneticPr fontId="6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BE33"/>
  <sheetViews>
    <sheetView zoomScaleNormal="100" zoomScaleSheetLayoutView="75" workbookViewId="0">
      <pane xSplit="2" ySplit="6" topLeftCell="C7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0.33203125" style="3" customWidth="1"/>
    <col min="2" max="2" width="20.1640625" style="3" customWidth="1"/>
    <col min="3" max="3" width="11.6640625" style="3" customWidth="1"/>
    <col min="4" max="39" width="11.33203125" style="3" customWidth="1"/>
    <col min="40" max="16384" width="12" style="3"/>
  </cols>
  <sheetData>
    <row r="1" spans="1:57" s="105" customFormat="1" ht="19.5">
      <c r="A1" s="103" t="s">
        <v>263</v>
      </c>
      <c r="B1" s="104"/>
    </row>
    <row r="2" spans="1:57" ht="14.25">
      <c r="A2" s="26" t="s">
        <v>122</v>
      </c>
      <c r="B2" s="89"/>
    </row>
    <row r="3" spans="1:57" s="97" customFormat="1" ht="12">
      <c r="A3" s="441" t="s">
        <v>259</v>
      </c>
      <c r="B3" s="442"/>
      <c r="C3" s="436" t="s">
        <v>245</v>
      </c>
      <c r="D3" s="437" t="s">
        <v>246</v>
      </c>
      <c r="E3" s="447"/>
      <c r="F3" s="447"/>
      <c r="G3" s="447"/>
      <c r="H3" s="447"/>
      <c r="I3" s="447"/>
      <c r="J3" s="447"/>
      <c r="K3" s="447"/>
      <c r="L3" s="447"/>
      <c r="M3" s="447"/>
      <c r="N3" s="447"/>
      <c r="O3" s="450"/>
      <c r="P3" s="437" t="s">
        <v>247</v>
      </c>
      <c r="Q3" s="447"/>
      <c r="R3" s="447"/>
      <c r="S3" s="447"/>
      <c r="T3" s="447"/>
      <c r="U3" s="447"/>
      <c r="V3" s="447"/>
      <c r="W3" s="447"/>
      <c r="X3" s="447"/>
      <c r="Y3" s="447"/>
      <c r="Z3" s="447"/>
      <c r="AA3" s="450"/>
      <c r="AB3" s="437" t="s">
        <v>248</v>
      </c>
      <c r="AC3" s="447"/>
      <c r="AD3" s="447"/>
      <c r="AE3" s="447"/>
      <c r="AF3" s="447"/>
      <c r="AG3" s="447"/>
      <c r="AH3" s="447"/>
      <c r="AI3" s="447"/>
      <c r="AJ3" s="447"/>
      <c r="AK3" s="447"/>
      <c r="AL3" s="447"/>
      <c r="AM3" s="447"/>
    </row>
    <row r="4" spans="1:57" s="101" customFormat="1" ht="23.25">
      <c r="A4" s="443"/>
      <c r="B4" s="444"/>
      <c r="C4" s="436"/>
      <c r="D4" s="81" t="s">
        <v>249</v>
      </c>
      <c r="E4" s="98"/>
      <c r="F4" s="99"/>
      <c r="G4" s="436" t="s">
        <v>250</v>
      </c>
      <c r="H4" s="436"/>
      <c r="I4" s="436"/>
      <c r="J4" s="436" t="s">
        <v>251</v>
      </c>
      <c r="K4" s="436"/>
      <c r="L4" s="436"/>
      <c r="M4" s="436" t="s">
        <v>252</v>
      </c>
      <c r="N4" s="436"/>
      <c r="O4" s="436"/>
      <c r="P4" s="81" t="s">
        <v>249</v>
      </c>
      <c r="Q4" s="100"/>
      <c r="R4" s="99"/>
      <c r="S4" s="436" t="s">
        <v>250</v>
      </c>
      <c r="T4" s="436"/>
      <c r="U4" s="436"/>
      <c r="V4" s="436" t="s">
        <v>251</v>
      </c>
      <c r="W4" s="436"/>
      <c r="X4" s="436"/>
      <c r="Y4" s="436" t="s">
        <v>252</v>
      </c>
      <c r="Z4" s="436"/>
      <c r="AA4" s="436"/>
      <c r="AB4" s="81" t="s">
        <v>249</v>
      </c>
      <c r="AC4" s="100"/>
      <c r="AD4" s="99"/>
      <c r="AE4" s="436" t="s">
        <v>250</v>
      </c>
      <c r="AF4" s="436"/>
      <c r="AG4" s="436"/>
      <c r="AH4" s="436" t="s">
        <v>251</v>
      </c>
      <c r="AI4" s="436"/>
      <c r="AJ4" s="436"/>
      <c r="AK4" s="436" t="s">
        <v>252</v>
      </c>
      <c r="AL4" s="436"/>
      <c r="AM4" s="448"/>
    </row>
    <row r="5" spans="1:57" s="102" customFormat="1" ht="12">
      <c r="A5" s="443"/>
      <c r="B5" s="444"/>
      <c r="C5" s="436"/>
      <c r="D5" s="432" t="s">
        <v>253</v>
      </c>
      <c r="E5" s="432" t="s">
        <v>254</v>
      </c>
      <c r="F5" s="432" t="s">
        <v>255</v>
      </c>
      <c r="G5" s="432" t="s">
        <v>253</v>
      </c>
      <c r="H5" s="432" t="s">
        <v>254</v>
      </c>
      <c r="I5" s="432" t="s">
        <v>255</v>
      </c>
      <c r="J5" s="432" t="s">
        <v>253</v>
      </c>
      <c r="K5" s="432" t="s">
        <v>254</v>
      </c>
      <c r="L5" s="432" t="s">
        <v>255</v>
      </c>
      <c r="M5" s="432" t="s">
        <v>253</v>
      </c>
      <c r="N5" s="432" t="s">
        <v>254</v>
      </c>
      <c r="O5" s="432" t="s">
        <v>255</v>
      </c>
      <c r="P5" s="432" t="s">
        <v>253</v>
      </c>
      <c r="Q5" s="432" t="s">
        <v>254</v>
      </c>
      <c r="R5" s="432" t="s">
        <v>255</v>
      </c>
      <c r="S5" s="432" t="s">
        <v>253</v>
      </c>
      <c r="T5" s="432" t="s">
        <v>254</v>
      </c>
      <c r="U5" s="432" t="s">
        <v>255</v>
      </c>
      <c r="V5" s="432" t="s">
        <v>253</v>
      </c>
      <c r="W5" s="432" t="s">
        <v>254</v>
      </c>
      <c r="X5" s="432" t="s">
        <v>255</v>
      </c>
      <c r="Y5" s="432" t="s">
        <v>253</v>
      </c>
      <c r="Z5" s="432" t="s">
        <v>254</v>
      </c>
      <c r="AA5" s="432" t="s">
        <v>255</v>
      </c>
      <c r="AB5" s="432" t="s">
        <v>253</v>
      </c>
      <c r="AC5" s="432" t="s">
        <v>254</v>
      </c>
      <c r="AD5" s="432" t="s">
        <v>255</v>
      </c>
      <c r="AE5" s="432" t="s">
        <v>253</v>
      </c>
      <c r="AF5" s="432" t="s">
        <v>254</v>
      </c>
      <c r="AG5" s="432" t="s">
        <v>255</v>
      </c>
      <c r="AH5" s="432" t="s">
        <v>253</v>
      </c>
      <c r="AI5" s="432" t="s">
        <v>254</v>
      </c>
      <c r="AJ5" s="432" t="s">
        <v>255</v>
      </c>
      <c r="AK5" s="432" t="s">
        <v>253</v>
      </c>
      <c r="AL5" s="432" t="s">
        <v>254</v>
      </c>
      <c r="AM5" s="434" t="s">
        <v>255</v>
      </c>
    </row>
    <row r="6" spans="1:57" s="97" customFormat="1" ht="12">
      <c r="A6" s="445"/>
      <c r="B6" s="446"/>
      <c r="C6" s="436"/>
      <c r="D6" s="449"/>
      <c r="E6" s="449"/>
      <c r="F6" s="449"/>
      <c r="G6" s="449"/>
      <c r="H6" s="449"/>
      <c r="I6" s="449"/>
      <c r="J6" s="449"/>
      <c r="K6" s="449"/>
      <c r="L6" s="449"/>
      <c r="M6" s="449"/>
      <c r="N6" s="449"/>
      <c r="O6" s="449"/>
      <c r="P6" s="449"/>
      <c r="Q6" s="449"/>
      <c r="R6" s="449"/>
      <c r="S6" s="449"/>
      <c r="T6" s="449"/>
      <c r="U6" s="449"/>
      <c r="V6" s="449"/>
      <c r="W6" s="449"/>
      <c r="X6" s="449"/>
      <c r="Y6" s="449"/>
      <c r="Z6" s="449"/>
      <c r="AA6" s="449"/>
      <c r="AB6" s="449"/>
      <c r="AC6" s="449"/>
      <c r="AD6" s="449"/>
      <c r="AE6" s="449"/>
      <c r="AF6" s="449"/>
      <c r="AG6" s="449"/>
      <c r="AH6" s="449"/>
      <c r="AI6" s="449"/>
      <c r="AJ6" s="449"/>
      <c r="AK6" s="449"/>
      <c r="AL6" s="449"/>
      <c r="AM6" s="451"/>
    </row>
    <row r="7" spans="1:57" s="13" customFormat="1" ht="15.95" customHeight="1">
      <c r="A7" s="106" t="s">
        <v>264</v>
      </c>
      <c r="B7" s="36" t="s">
        <v>39</v>
      </c>
      <c r="C7" s="90">
        <v>25</v>
      </c>
      <c r="D7" s="90">
        <v>222</v>
      </c>
      <c r="E7" s="90">
        <v>97</v>
      </c>
      <c r="F7" s="90">
        <v>125</v>
      </c>
      <c r="G7" s="90">
        <v>70</v>
      </c>
      <c r="H7" s="90">
        <v>35</v>
      </c>
      <c r="I7" s="90">
        <v>35</v>
      </c>
      <c r="J7" s="90">
        <v>29</v>
      </c>
      <c r="K7" s="90">
        <v>10</v>
      </c>
      <c r="L7" s="90">
        <v>19</v>
      </c>
      <c r="M7" s="90">
        <v>123</v>
      </c>
      <c r="N7" s="90">
        <v>52</v>
      </c>
      <c r="O7" s="90">
        <v>71</v>
      </c>
      <c r="P7" s="90">
        <v>31213</v>
      </c>
      <c r="Q7" s="90">
        <v>13862</v>
      </c>
      <c r="R7" s="90">
        <v>17351</v>
      </c>
      <c r="S7" s="90">
        <v>8750</v>
      </c>
      <c r="T7" s="90">
        <v>4655</v>
      </c>
      <c r="U7" s="90">
        <v>4095</v>
      </c>
      <c r="V7" s="90">
        <v>4063</v>
      </c>
      <c r="W7" s="90">
        <v>1394</v>
      </c>
      <c r="X7" s="90">
        <v>2669</v>
      </c>
      <c r="Y7" s="90">
        <v>18400</v>
      </c>
      <c r="Z7" s="90">
        <v>7813</v>
      </c>
      <c r="AA7" s="90">
        <v>10587</v>
      </c>
      <c r="AB7" s="90">
        <v>235531.5</v>
      </c>
      <c r="AC7" s="90">
        <v>103219</v>
      </c>
      <c r="AD7" s="90">
        <v>132312.5</v>
      </c>
      <c r="AE7" s="90">
        <v>63861.5</v>
      </c>
      <c r="AF7" s="90">
        <v>32073</v>
      </c>
      <c r="AG7" s="90">
        <v>31788.5</v>
      </c>
      <c r="AH7" s="90">
        <v>31156.5</v>
      </c>
      <c r="AI7" s="90">
        <v>10332</v>
      </c>
      <c r="AJ7" s="90">
        <v>20824.5</v>
      </c>
      <c r="AK7" s="90">
        <v>140513.5</v>
      </c>
      <c r="AL7" s="90">
        <v>60814</v>
      </c>
      <c r="AM7" s="90">
        <v>79699.5</v>
      </c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</row>
    <row r="8" spans="1:57" s="18" customFormat="1" ht="15.95" customHeight="1">
      <c r="A8" s="91" t="s">
        <v>125</v>
      </c>
      <c r="B8" s="92" t="s">
        <v>24</v>
      </c>
      <c r="C8" s="93" t="s">
        <v>261</v>
      </c>
      <c r="D8" s="93" t="s">
        <v>261</v>
      </c>
      <c r="E8" s="93" t="s">
        <v>261</v>
      </c>
      <c r="F8" s="93" t="s">
        <v>261</v>
      </c>
      <c r="G8" s="93" t="s">
        <v>261</v>
      </c>
      <c r="H8" s="93" t="s">
        <v>261</v>
      </c>
      <c r="I8" s="93" t="s">
        <v>261</v>
      </c>
      <c r="J8" s="93" t="s">
        <v>261</v>
      </c>
      <c r="K8" s="93" t="s">
        <v>261</v>
      </c>
      <c r="L8" s="93" t="s">
        <v>261</v>
      </c>
      <c r="M8" s="93" t="s">
        <v>261</v>
      </c>
      <c r="N8" s="93" t="s">
        <v>261</v>
      </c>
      <c r="O8" s="93" t="s">
        <v>261</v>
      </c>
      <c r="P8" s="93" t="s">
        <v>261</v>
      </c>
      <c r="Q8" s="93" t="s">
        <v>261</v>
      </c>
      <c r="R8" s="93" t="s">
        <v>261</v>
      </c>
      <c r="S8" s="93" t="s">
        <v>261</v>
      </c>
      <c r="T8" s="93" t="s">
        <v>261</v>
      </c>
      <c r="U8" s="93" t="s">
        <v>261</v>
      </c>
      <c r="V8" s="93" t="s">
        <v>261</v>
      </c>
      <c r="W8" s="93" t="s">
        <v>261</v>
      </c>
      <c r="X8" s="93" t="s">
        <v>261</v>
      </c>
      <c r="Y8" s="93" t="s">
        <v>261</v>
      </c>
      <c r="Z8" s="93" t="s">
        <v>261</v>
      </c>
      <c r="AA8" s="93" t="s">
        <v>261</v>
      </c>
      <c r="AB8" s="93" t="s">
        <v>262</v>
      </c>
      <c r="AC8" s="93" t="s">
        <v>262</v>
      </c>
      <c r="AD8" s="93" t="s">
        <v>262</v>
      </c>
      <c r="AE8" s="93" t="s">
        <v>262</v>
      </c>
      <c r="AF8" s="93" t="s">
        <v>262</v>
      </c>
      <c r="AG8" s="93" t="s">
        <v>262</v>
      </c>
      <c r="AH8" s="93" t="s">
        <v>262</v>
      </c>
      <c r="AI8" s="93" t="s">
        <v>262</v>
      </c>
      <c r="AJ8" s="93" t="s">
        <v>262</v>
      </c>
      <c r="AK8" s="93" t="s">
        <v>262</v>
      </c>
      <c r="AL8" s="93" t="s">
        <v>262</v>
      </c>
      <c r="AM8" s="93" t="s">
        <v>262</v>
      </c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</row>
    <row r="9" spans="1:57" s="18" customFormat="1" ht="15.95" customHeight="1">
      <c r="A9" s="91" t="s">
        <v>126</v>
      </c>
      <c r="B9" s="92" t="s">
        <v>25</v>
      </c>
      <c r="C9" s="93">
        <v>1</v>
      </c>
      <c r="D9" s="93">
        <v>13</v>
      </c>
      <c r="E9" s="93">
        <v>7</v>
      </c>
      <c r="F9" s="93">
        <v>6</v>
      </c>
      <c r="G9" s="93">
        <v>2</v>
      </c>
      <c r="H9" s="93">
        <v>1</v>
      </c>
      <c r="I9" s="93">
        <v>1</v>
      </c>
      <c r="J9" s="93">
        <v>3</v>
      </c>
      <c r="K9" s="93">
        <v>1</v>
      </c>
      <c r="L9" s="93">
        <v>2</v>
      </c>
      <c r="M9" s="93">
        <v>8</v>
      </c>
      <c r="N9" s="93">
        <v>5</v>
      </c>
      <c r="O9" s="93">
        <v>3</v>
      </c>
      <c r="P9" s="93">
        <v>3249</v>
      </c>
      <c r="Q9" s="93">
        <v>1682</v>
      </c>
      <c r="R9" s="93">
        <v>1567</v>
      </c>
      <c r="S9" s="93">
        <v>583</v>
      </c>
      <c r="T9" s="93">
        <v>243</v>
      </c>
      <c r="U9" s="93">
        <v>340</v>
      </c>
      <c r="V9" s="93">
        <v>763</v>
      </c>
      <c r="W9" s="93">
        <v>183</v>
      </c>
      <c r="X9" s="93">
        <v>580</v>
      </c>
      <c r="Y9" s="93">
        <v>1903</v>
      </c>
      <c r="Z9" s="93">
        <v>1256</v>
      </c>
      <c r="AA9" s="93">
        <v>647</v>
      </c>
      <c r="AB9" s="93">
        <v>31827</v>
      </c>
      <c r="AC9" s="93">
        <v>17224</v>
      </c>
      <c r="AD9" s="93">
        <v>14603</v>
      </c>
      <c r="AE9" s="93">
        <v>6212</v>
      </c>
      <c r="AF9" s="93">
        <v>2504</v>
      </c>
      <c r="AG9" s="93">
        <v>3708</v>
      </c>
      <c r="AH9" s="93">
        <v>6911</v>
      </c>
      <c r="AI9" s="93">
        <v>1795</v>
      </c>
      <c r="AJ9" s="93">
        <v>5116</v>
      </c>
      <c r="AK9" s="93">
        <v>18704</v>
      </c>
      <c r="AL9" s="93">
        <v>12925</v>
      </c>
      <c r="AM9" s="93">
        <v>5779</v>
      </c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</row>
    <row r="10" spans="1:57" s="18" customFormat="1" ht="15.95" customHeight="1">
      <c r="A10" s="91" t="s">
        <v>127</v>
      </c>
      <c r="B10" s="92" t="s">
        <v>49</v>
      </c>
      <c r="C10" s="93" t="s">
        <v>261</v>
      </c>
      <c r="D10" s="93" t="s">
        <v>261</v>
      </c>
      <c r="E10" s="93" t="s">
        <v>261</v>
      </c>
      <c r="F10" s="93" t="s">
        <v>261</v>
      </c>
      <c r="G10" s="93" t="s">
        <v>261</v>
      </c>
      <c r="H10" s="93" t="s">
        <v>261</v>
      </c>
      <c r="I10" s="93" t="s">
        <v>261</v>
      </c>
      <c r="J10" s="93" t="s">
        <v>261</v>
      </c>
      <c r="K10" s="93" t="s">
        <v>261</v>
      </c>
      <c r="L10" s="93" t="s">
        <v>261</v>
      </c>
      <c r="M10" s="93" t="s">
        <v>261</v>
      </c>
      <c r="N10" s="93" t="s">
        <v>261</v>
      </c>
      <c r="O10" s="93" t="s">
        <v>261</v>
      </c>
      <c r="P10" s="93" t="s">
        <v>261</v>
      </c>
      <c r="Q10" s="93" t="s">
        <v>261</v>
      </c>
      <c r="R10" s="93" t="s">
        <v>261</v>
      </c>
      <c r="S10" s="93" t="s">
        <v>261</v>
      </c>
      <c r="T10" s="93" t="s">
        <v>261</v>
      </c>
      <c r="U10" s="93" t="s">
        <v>261</v>
      </c>
      <c r="V10" s="93" t="s">
        <v>261</v>
      </c>
      <c r="W10" s="93" t="s">
        <v>261</v>
      </c>
      <c r="X10" s="93" t="s">
        <v>261</v>
      </c>
      <c r="Y10" s="93" t="s">
        <v>261</v>
      </c>
      <c r="Z10" s="93" t="s">
        <v>261</v>
      </c>
      <c r="AA10" s="93" t="s">
        <v>261</v>
      </c>
      <c r="AB10" s="93" t="s">
        <v>262</v>
      </c>
      <c r="AC10" s="93" t="s">
        <v>262</v>
      </c>
      <c r="AD10" s="93" t="s">
        <v>262</v>
      </c>
      <c r="AE10" s="93" t="s">
        <v>262</v>
      </c>
      <c r="AF10" s="93" t="s">
        <v>262</v>
      </c>
      <c r="AG10" s="93" t="s">
        <v>262</v>
      </c>
      <c r="AH10" s="93" t="s">
        <v>262</v>
      </c>
      <c r="AI10" s="93" t="s">
        <v>262</v>
      </c>
      <c r="AJ10" s="93" t="s">
        <v>262</v>
      </c>
      <c r="AK10" s="93" t="s">
        <v>262</v>
      </c>
      <c r="AL10" s="93" t="s">
        <v>262</v>
      </c>
      <c r="AM10" s="93" t="s">
        <v>262</v>
      </c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</row>
    <row r="11" spans="1:57" s="18" customFormat="1" ht="15.95" customHeight="1">
      <c r="A11" s="91" t="s">
        <v>128</v>
      </c>
      <c r="B11" s="92" t="s">
        <v>26</v>
      </c>
      <c r="C11" s="93">
        <v>2</v>
      </c>
      <c r="D11" s="93">
        <v>17</v>
      </c>
      <c r="E11" s="93">
        <v>7</v>
      </c>
      <c r="F11" s="93">
        <v>10</v>
      </c>
      <c r="G11" s="93">
        <v>8</v>
      </c>
      <c r="H11" s="93">
        <v>2</v>
      </c>
      <c r="I11" s="93">
        <v>6</v>
      </c>
      <c r="J11" s="93">
        <v>2</v>
      </c>
      <c r="K11" s="93" t="s">
        <v>261</v>
      </c>
      <c r="L11" s="93">
        <v>2</v>
      </c>
      <c r="M11" s="93">
        <v>7</v>
      </c>
      <c r="N11" s="93">
        <v>5</v>
      </c>
      <c r="O11" s="93">
        <v>2</v>
      </c>
      <c r="P11" s="93">
        <v>4090</v>
      </c>
      <c r="Q11" s="93">
        <v>1968</v>
      </c>
      <c r="R11" s="93">
        <v>2122</v>
      </c>
      <c r="S11" s="93">
        <v>1483</v>
      </c>
      <c r="T11" s="93">
        <v>510</v>
      </c>
      <c r="U11" s="93">
        <v>973</v>
      </c>
      <c r="V11" s="93">
        <v>393</v>
      </c>
      <c r="W11" s="93">
        <v>1</v>
      </c>
      <c r="X11" s="93">
        <v>392</v>
      </c>
      <c r="Y11" s="93">
        <v>2214</v>
      </c>
      <c r="Z11" s="93">
        <v>1457</v>
      </c>
      <c r="AA11" s="93">
        <v>757</v>
      </c>
      <c r="AB11" s="93">
        <v>36344.5</v>
      </c>
      <c r="AC11" s="93">
        <v>17463.5</v>
      </c>
      <c r="AD11" s="93">
        <v>18881</v>
      </c>
      <c r="AE11" s="93">
        <v>13188.5</v>
      </c>
      <c r="AF11" s="93">
        <v>4516</v>
      </c>
      <c r="AG11" s="93">
        <v>8672.5</v>
      </c>
      <c r="AH11" s="93">
        <v>3537</v>
      </c>
      <c r="AI11" s="93">
        <v>9</v>
      </c>
      <c r="AJ11" s="93">
        <v>3528</v>
      </c>
      <c r="AK11" s="93">
        <v>19619</v>
      </c>
      <c r="AL11" s="93">
        <v>12938.5</v>
      </c>
      <c r="AM11" s="93">
        <v>6680.5</v>
      </c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</row>
    <row r="12" spans="1:57" s="18" customFormat="1" ht="15.95" customHeight="1">
      <c r="A12" s="91" t="s">
        <v>129</v>
      </c>
      <c r="B12" s="92" t="s">
        <v>27</v>
      </c>
      <c r="C12" s="93">
        <v>1</v>
      </c>
      <c r="D12" s="93">
        <v>10</v>
      </c>
      <c r="E12" s="93">
        <v>2</v>
      </c>
      <c r="F12" s="93">
        <v>8</v>
      </c>
      <c r="G12" s="93">
        <v>4</v>
      </c>
      <c r="H12" s="93">
        <v>1</v>
      </c>
      <c r="I12" s="93">
        <v>3</v>
      </c>
      <c r="J12" s="93">
        <v>1</v>
      </c>
      <c r="K12" s="93" t="s">
        <v>261</v>
      </c>
      <c r="L12" s="93">
        <v>1</v>
      </c>
      <c r="M12" s="93">
        <v>5</v>
      </c>
      <c r="N12" s="93">
        <v>1</v>
      </c>
      <c r="O12" s="93">
        <v>4</v>
      </c>
      <c r="P12" s="93">
        <v>2863</v>
      </c>
      <c r="Q12" s="93">
        <v>720</v>
      </c>
      <c r="R12" s="93">
        <v>2143</v>
      </c>
      <c r="S12" s="93">
        <v>937</v>
      </c>
      <c r="T12" s="93">
        <v>207</v>
      </c>
      <c r="U12" s="93">
        <v>730</v>
      </c>
      <c r="V12" s="93">
        <v>369</v>
      </c>
      <c r="W12" s="93">
        <v>221</v>
      </c>
      <c r="X12" s="93">
        <v>148</v>
      </c>
      <c r="Y12" s="93">
        <v>1557</v>
      </c>
      <c r="Z12" s="93">
        <v>292</v>
      </c>
      <c r="AA12" s="93">
        <v>1265</v>
      </c>
      <c r="AB12" s="93">
        <v>22844</v>
      </c>
      <c r="AC12" s="93">
        <v>5744</v>
      </c>
      <c r="AD12" s="93">
        <v>17100</v>
      </c>
      <c r="AE12" s="93">
        <v>7472</v>
      </c>
      <c r="AF12" s="93">
        <v>1648</v>
      </c>
      <c r="AG12" s="93">
        <v>5824</v>
      </c>
      <c r="AH12" s="93">
        <v>2940</v>
      </c>
      <c r="AI12" s="93">
        <v>1760</v>
      </c>
      <c r="AJ12" s="93">
        <v>1180</v>
      </c>
      <c r="AK12" s="93">
        <v>12432</v>
      </c>
      <c r="AL12" s="93">
        <v>2336</v>
      </c>
      <c r="AM12" s="93">
        <v>10096</v>
      </c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</row>
    <row r="13" spans="1:57" s="18" customFormat="1" ht="15.95" customHeight="1">
      <c r="A13" s="48" t="s">
        <v>130</v>
      </c>
      <c r="B13" s="92" t="s">
        <v>28</v>
      </c>
      <c r="C13" s="93">
        <v>1</v>
      </c>
      <c r="D13" s="93">
        <v>15</v>
      </c>
      <c r="E13" s="93">
        <v>10</v>
      </c>
      <c r="F13" s="93">
        <v>5</v>
      </c>
      <c r="G13" s="93">
        <v>4</v>
      </c>
      <c r="H13" s="93" t="s">
        <v>261</v>
      </c>
      <c r="I13" s="93">
        <v>4</v>
      </c>
      <c r="J13" s="93" t="s">
        <v>261</v>
      </c>
      <c r="K13" s="93" t="s">
        <v>261</v>
      </c>
      <c r="L13" s="93" t="s">
        <v>261</v>
      </c>
      <c r="M13" s="93">
        <v>11</v>
      </c>
      <c r="N13" s="93">
        <v>10</v>
      </c>
      <c r="O13" s="93">
        <v>1</v>
      </c>
      <c r="P13" s="93">
        <v>626</v>
      </c>
      <c r="Q13" s="93">
        <v>432</v>
      </c>
      <c r="R13" s="93">
        <v>194</v>
      </c>
      <c r="S13" s="93">
        <v>125</v>
      </c>
      <c r="T13" s="93" t="s">
        <v>261</v>
      </c>
      <c r="U13" s="93">
        <v>125</v>
      </c>
      <c r="V13" s="93" t="s">
        <v>261</v>
      </c>
      <c r="W13" s="93" t="s">
        <v>261</v>
      </c>
      <c r="X13" s="93" t="s">
        <v>261</v>
      </c>
      <c r="Y13" s="93">
        <v>501</v>
      </c>
      <c r="Z13" s="93">
        <v>432</v>
      </c>
      <c r="AA13" s="93">
        <v>69</v>
      </c>
      <c r="AB13" s="93">
        <v>5001</v>
      </c>
      <c r="AC13" s="93">
        <v>3456</v>
      </c>
      <c r="AD13" s="93">
        <v>1545</v>
      </c>
      <c r="AE13" s="93">
        <v>1000</v>
      </c>
      <c r="AF13" s="93" t="s">
        <v>262</v>
      </c>
      <c r="AG13" s="93">
        <v>1000</v>
      </c>
      <c r="AH13" s="93" t="s">
        <v>262</v>
      </c>
      <c r="AI13" s="93" t="s">
        <v>262</v>
      </c>
      <c r="AJ13" s="93" t="s">
        <v>262</v>
      </c>
      <c r="AK13" s="93">
        <v>4001</v>
      </c>
      <c r="AL13" s="93">
        <v>3456</v>
      </c>
      <c r="AM13" s="93">
        <v>545</v>
      </c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</row>
    <row r="14" spans="1:57" ht="15.95" customHeight="1">
      <c r="A14" s="45" t="s">
        <v>131</v>
      </c>
      <c r="B14" s="94" t="s">
        <v>7</v>
      </c>
      <c r="C14" s="20">
        <v>1</v>
      </c>
      <c r="D14" s="20" t="s">
        <v>261</v>
      </c>
      <c r="E14" s="20" t="s">
        <v>261</v>
      </c>
      <c r="F14" s="20" t="s">
        <v>261</v>
      </c>
      <c r="G14" s="20" t="s">
        <v>261</v>
      </c>
      <c r="H14" s="20" t="s">
        <v>261</v>
      </c>
      <c r="I14" s="20" t="s">
        <v>261</v>
      </c>
      <c r="J14" s="20" t="s">
        <v>261</v>
      </c>
      <c r="K14" s="20" t="s">
        <v>261</v>
      </c>
      <c r="L14" s="20" t="s">
        <v>261</v>
      </c>
      <c r="M14" s="20" t="s">
        <v>261</v>
      </c>
      <c r="N14" s="20" t="s">
        <v>261</v>
      </c>
      <c r="O14" s="20" t="s">
        <v>261</v>
      </c>
      <c r="P14" s="20" t="s">
        <v>261</v>
      </c>
      <c r="Q14" s="20" t="s">
        <v>261</v>
      </c>
      <c r="R14" s="20" t="s">
        <v>261</v>
      </c>
      <c r="S14" s="20" t="s">
        <v>261</v>
      </c>
      <c r="T14" s="20" t="s">
        <v>261</v>
      </c>
      <c r="U14" s="20" t="s">
        <v>261</v>
      </c>
      <c r="V14" s="20" t="s">
        <v>261</v>
      </c>
      <c r="W14" s="20" t="s">
        <v>261</v>
      </c>
      <c r="X14" s="20" t="s">
        <v>261</v>
      </c>
      <c r="Y14" s="20" t="s">
        <v>261</v>
      </c>
      <c r="Z14" s="20" t="s">
        <v>261</v>
      </c>
      <c r="AA14" s="20" t="s">
        <v>261</v>
      </c>
      <c r="AB14" s="20" t="s">
        <v>262</v>
      </c>
      <c r="AC14" s="20" t="s">
        <v>262</v>
      </c>
      <c r="AD14" s="20" t="s">
        <v>262</v>
      </c>
      <c r="AE14" s="20" t="s">
        <v>262</v>
      </c>
      <c r="AF14" s="20" t="s">
        <v>262</v>
      </c>
      <c r="AG14" s="20" t="s">
        <v>262</v>
      </c>
      <c r="AH14" s="20" t="s">
        <v>262</v>
      </c>
      <c r="AI14" s="20" t="s">
        <v>262</v>
      </c>
      <c r="AJ14" s="20" t="s">
        <v>262</v>
      </c>
      <c r="AK14" s="20" t="s">
        <v>262</v>
      </c>
      <c r="AL14" s="20" t="s">
        <v>262</v>
      </c>
      <c r="AM14" s="20" t="s">
        <v>262</v>
      </c>
    </row>
    <row r="15" spans="1:57" ht="15.95" customHeight="1">
      <c r="A15" s="45" t="s">
        <v>132</v>
      </c>
      <c r="B15" s="94" t="s">
        <v>9</v>
      </c>
      <c r="C15" s="20">
        <v>1</v>
      </c>
      <c r="D15" s="20">
        <v>1</v>
      </c>
      <c r="E15" s="20" t="s">
        <v>261</v>
      </c>
      <c r="F15" s="20">
        <v>1</v>
      </c>
      <c r="G15" s="20">
        <v>1</v>
      </c>
      <c r="H15" s="20" t="s">
        <v>261</v>
      </c>
      <c r="I15" s="20">
        <v>1</v>
      </c>
      <c r="J15" s="20" t="s">
        <v>261</v>
      </c>
      <c r="K15" s="20" t="s">
        <v>261</v>
      </c>
      <c r="L15" s="20" t="s">
        <v>261</v>
      </c>
      <c r="M15" s="20" t="s">
        <v>261</v>
      </c>
      <c r="N15" s="20" t="s">
        <v>261</v>
      </c>
      <c r="O15" s="20" t="s">
        <v>261</v>
      </c>
      <c r="P15" s="20">
        <v>28</v>
      </c>
      <c r="Q15" s="20" t="s">
        <v>261</v>
      </c>
      <c r="R15" s="20">
        <v>28</v>
      </c>
      <c r="S15" s="20">
        <v>28</v>
      </c>
      <c r="T15" s="20" t="s">
        <v>261</v>
      </c>
      <c r="U15" s="20">
        <v>28</v>
      </c>
      <c r="V15" s="20" t="s">
        <v>261</v>
      </c>
      <c r="W15" s="20" t="s">
        <v>261</v>
      </c>
      <c r="X15" s="20" t="s">
        <v>261</v>
      </c>
      <c r="Y15" s="20" t="s">
        <v>261</v>
      </c>
      <c r="Z15" s="20" t="s">
        <v>261</v>
      </c>
      <c r="AA15" s="20" t="s">
        <v>261</v>
      </c>
      <c r="AB15" s="20">
        <v>168</v>
      </c>
      <c r="AC15" s="20" t="s">
        <v>262</v>
      </c>
      <c r="AD15" s="20">
        <v>168</v>
      </c>
      <c r="AE15" s="20">
        <v>168</v>
      </c>
      <c r="AF15" s="20" t="s">
        <v>262</v>
      </c>
      <c r="AG15" s="20">
        <v>168</v>
      </c>
      <c r="AH15" s="20" t="s">
        <v>262</v>
      </c>
      <c r="AI15" s="20" t="s">
        <v>262</v>
      </c>
      <c r="AJ15" s="20" t="s">
        <v>262</v>
      </c>
      <c r="AK15" s="20" t="s">
        <v>262</v>
      </c>
      <c r="AL15" s="20" t="s">
        <v>262</v>
      </c>
      <c r="AM15" s="20" t="s">
        <v>262</v>
      </c>
    </row>
    <row r="16" spans="1:57" ht="15.95" customHeight="1">
      <c r="A16" s="45" t="s">
        <v>133</v>
      </c>
      <c r="B16" s="94" t="s">
        <v>10</v>
      </c>
      <c r="C16" s="20" t="s">
        <v>261</v>
      </c>
      <c r="D16" s="20" t="s">
        <v>261</v>
      </c>
      <c r="E16" s="20" t="s">
        <v>261</v>
      </c>
      <c r="F16" s="20" t="s">
        <v>261</v>
      </c>
      <c r="G16" s="20" t="s">
        <v>261</v>
      </c>
      <c r="H16" s="20" t="s">
        <v>261</v>
      </c>
      <c r="I16" s="20" t="s">
        <v>261</v>
      </c>
      <c r="J16" s="20" t="s">
        <v>261</v>
      </c>
      <c r="K16" s="20" t="s">
        <v>261</v>
      </c>
      <c r="L16" s="20" t="s">
        <v>261</v>
      </c>
      <c r="M16" s="20" t="s">
        <v>261</v>
      </c>
      <c r="N16" s="20" t="s">
        <v>261</v>
      </c>
      <c r="O16" s="20" t="s">
        <v>261</v>
      </c>
      <c r="P16" s="20" t="s">
        <v>261</v>
      </c>
      <c r="Q16" s="20" t="s">
        <v>261</v>
      </c>
      <c r="R16" s="20" t="s">
        <v>261</v>
      </c>
      <c r="S16" s="20" t="s">
        <v>261</v>
      </c>
      <c r="T16" s="20" t="s">
        <v>261</v>
      </c>
      <c r="U16" s="20" t="s">
        <v>261</v>
      </c>
      <c r="V16" s="20" t="s">
        <v>261</v>
      </c>
      <c r="W16" s="20" t="s">
        <v>261</v>
      </c>
      <c r="X16" s="20" t="s">
        <v>261</v>
      </c>
      <c r="Y16" s="20" t="s">
        <v>261</v>
      </c>
      <c r="Z16" s="20" t="s">
        <v>261</v>
      </c>
      <c r="AA16" s="20" t="s">
        <v>261</v>
      </c>
      <c r="AB16" s="20" t="s">
        <v>262</v>
      </c>
      <c r="AC16" s="20" t="s">
        <v>262</v>
      </c>
      <c r="AD16" s="20" t="s">
        <v>262</v>
      </c>
      <c r="AE16" s="20" t="s">
        <v>262</v>
      </c>
      <c r="AF16" s="20" t="s">
        <v>262</v>
      </c>
      <c r="AG16" s="20" t="s">
        <v>262</v>
      </c>
      <c r="AH16" s="20" t="s">
        <v>262</v>
      </c>
      <c r="AI16" s="20" t="s">
        <v>262</v>
      </c>
      <c r="AJ16" s="20" t="s">
        <v>262</v>
      </c>
      <c r="AK16" s="20" t="s">
        <v>262</v>
      </c>
      <c r="AL16" s="20" t="s">
        <v>262</v>
      </c>
      <c r="AM16" s="20" t="s">
        <v>262</v>
      </c>
    </row>
    <row r="17" spans="1:39" ht="15.95" customHeight="1">
      <c r="A17" s="45" t="s">
        <v>134</v>
      </c>
      <c r="B17" s="94" t="s">
        <v>11</v>
      </c>
      <c r="C17" s="20">
        <v>1</v>
      </c>
      <c r="D17" s="20">
        <v>2</v>
      </c>
      <c r="E17" s="20">
        <v>1</v>
      </c>
      <c r="F17" s="20">
        <v>1</v>
      </c>
      <c r="G17" s="20" t="s">
        <v>261</v>
      </c>
      <c r="H17" s="20" t="s">
        <v>261</v>
      </c>
      <c r="I17" s="20" t="s">
        <v>261</v>
      </c>
      <c r="J17" s="20" t="s">
        <v>261</v>
      </c>
      <c r="K17" s="20" t="s">
        <v>261</v>
      </c>
      <c r="L17" s="20" t="s">
        <v>261</v>
      </c>
      <c r="M17" s="20">
        <v>2</v>
      </c>
      <c r="N17" s="20">
        <v>1</v>
      </c>
      <c r="O17" s="20">
        <v>1</v>
      </c>
      <c r="P17" s="20">
        <v>625</v>
      </c>
      <c r="Q17" s="20">
        <v>363</v>
      </c>
      <c r="R17" s="20">
        <v>262</v>
      </c>
      <c r="S17" s="20">
        <v>1</v>
      </c>
      <c r="T17" s="20" t="s">
        <v>261</v>
      </c>
      <c r="U17" s="20">
        <v>1</v>
      </c>
      <c r="V17" s="20">
        <v>4</v>
      </c>
      <c r="W17" s="20">
        <v>1</v>
      </c>
      <c r="X17" s="20">
        <v>3</v>
      </c>
      <c r="Y17" s="20">
        <v>620</v>
      </c>
      <c r="Z17" s="20">
        <v>362</v>
      </c>
      <c r="AA17" s="20">
        <v>258</v>
      </c>
      <c r="AB17" s="20">
        <v>5616.5</v>
      </c>
      <c r="AC17" s="20">
        <v>3258.5</v>
      </c>
      <c r="AD17" s="20">
        <v>2358</v>
      </c>
      <c r="AE17" s="20">
        <v>9</v>
      </c>
      <c r="AF17" s="20" t="s">
        <v>262</v>
      </c>
      <c r="AG17" s="20">
        <v>9</v>
      </c>
      <c r="AH17" s="20">
        <v>36</v>
      </c>
      <c r="AI17" s="20">
        <v>9</v>
      </c>
      <c r="AJ17" s="20">
        <v>27</v>
      </c>
      <c r="AK17" s="20">
        <v>5571.5</v>
      </c>
      <c r="AL17" s="20">
        <v>3249.5</v>
      </c>
      <c r="AM17" s="20">
        <v>2322</v>
      </c>
    </row>
    <row r="18" spans="1:39" ht="15.95" customHeight="1">
      <c r="A18" s="45" t="s">
        <v>135</v>
      </c>
      <c r="B18" s="94" t="s">
        <v>12</v>
      </c>
      <c r="C18" s="20">
        <v>5</v>
      </c>
      <c r="D18" s="20">
        <v>36</v>
      </c>
      <c r="E18" s="20">
        <v>13</v>
      </c>
      <c r="F18" s="20">
        <v>23</v>
      </c>
      <c r="G18" s="20">
        <v>6</v>
      </c>
      <c r="H18" s="20">
        <v>4</v>
      </c>
      <c r="I18" s="20">
        <v>2</v>
      </c>
      <c r="J18" s="20">
        <v>9</v>
      </c>
      <c r="K18" s="20">
        <v>3</v>
      </c>
      <c r="L18" s="20">
        <v>6</v>
      </c>
      <c r="M18" s="20">
        <v>21</v>
      </c>
      <c r="N18" s="20">
        <v>6</v>
      </c>
      <c r="O18" s="20">
        <v>15</v>
      </c>
      <c r="P18" s="20">
        <v>3584</v>
      </c>
      <c r="Q18" s="20">
        <v>1326</v>
      </c>
      <c r="R18" s="20">
        <v>2258</v>
      </c>
      <c r="S18" s="20">
        <v>584</v>
      </c>
      <c r="T18" s="20">
        <v>445</v>
      </c>
      <c r="U18" s="20">
        <v>139</v>
      </c>
      <c r="V18" s="20">
        <v>870</v>
      </c>
      <c r="W18" s="20">
        <v>251</v>
      </c>
      <c r="X18" s="20">
        <v>619</v>
      </c>
      <c r="Y18" s="20">
        <v>2130</v>
      </c>
      <c r="Z18" s="20">
        <v>630</v>
      </c>
      <c r="AA18" s="20">
        <v>1500</v>
      </c>
      <c r="AB18" s="20">
        <v>21595</v>
      </c>
      <c r="AC18" s="20">
        <v>6627</v>
      </c>
      <c r="AD18" s="20">
        <v>14968</v>
      </c>
      <c r="AE18" s="20">
        <v>2974</v>
      </c>
      <c r="AF18" s="20">
        <v>2172</v>
      </c>
      <c r="AG18" s="20">
        <v>802</v>
      </c>
      <c r="AH18" s="20">
        <v>5787</v>
      </c>
      <c r="AI18" s="20">
        <v>1358</v>
      </c>
      <c r="AJ18" s="20">
        <v>4429</v>
      </c>
      <c r="AK18" s="20">
        <v>12834</v>
      </c>
      <c r="AL18" s="20">
        <v>3097</v>
      </c>
      <c r="AM18" s="20">
        <v>9737</v>
      </c>
    </row>
    <row r="19" spans="1:39" ht="15.95" customHeight="1">
      <c r="A19" s="45" t="s">
        <v>136</v>
      </c>
      <c r="B19" s="94" t="s">
        <v>13</v>
      </c>
      <c r="C19" s="20">
        <v>2</v>
      </c>
      <c r="D19" s="20">
        <v>25</v>
      </c>
      <c r="E19" s="20">
        <v>12</v>
      </c>
      <c r="F19" s="20">
        <v>13</v>
      </c>
      <c r="G19" s="20">
        <v>7</v>
      </c>
      <c r="H19" s="20">
        <v>5</v>
      </c>
      <c r="I19" s="20">
        <v>2</v>
      </c>
      <c r="J19" s="20">
        <v>4</v>
      </c>
      <c r="K19" s="20">
        <v>1</v>
      </c>
      <c r="L19" s="20">
        <v>3</v>
      </c>
      <c r="M19" s="20">
        <v>14</v>
      </c>
      <c r="N19" s="20">
        <v>6</v>
      </c>
      <c r="O19" s="20">
        <v>8</v>
      </c>
      <c r="P19" s="20">
        <v>4873</v>
      </c>
      <c r="Q19" s="20">
        <v>2046</v>
      </c>
      <c r="R19" s="20">
        <v>2827</v>
      </c>
      <c r="S19" s="20">
        <v>1323</v>
      </c>
      <c r="T19" s="20">
        <v>830</v>
      </c>
      <c r="U19" s="20">
        <v>493</v>
      </c>
      <c r="V19" s="20">
        <v>570</v>
      </c>
      <c r="W19" s="20">
        <v>143</v>
      </c>
      <c r="X19" s="20">
        <v>427</v>
      </c>
      <c r="Y19" s="20">
        <v>2980</v>
      </c>
      <c r="Z19" s="20">
        <v>1073</v>
      </c>
      <c r="AA19" s="20">
        <v>1907</v>
      </c>
      <c r="AB19" s="20">
        <v>39128</v>
      </c>
      <c r="AC19" s="20">
        <v>16368</v>
      </c>
      <c r="AD19" s="20">
        <v>22760</v>
      </c>
      <c r="AE19" s="20">
        <v>10584</v>
      </c>
      <c r="AF19" s="20">
        <v>6640</v>
      </c>
      <c r="AG19" s="20">
        <v>3944</v>
      </c>
      <c r="AH19" s="20">
        <v>4704</v>
      </c>
      <c r="AI19" s="20">
        <v>1144</v>
      </c>
      <c r="AJ19" s="20">
        <v>3560</v>
      </c>
      <c r="AK19" s="20">
        <v>23840</v>
      </c>
      <c r="AL19" s="20">
        <v>8584</v>
      </c>
      <c r="AM19" s="20">
        <v>15256</v>
      </c>
    </row>
    <row r="20" spans="1:39" ht="15.95" customHeight="1">
      <c r="A20" s="45" t="s">
        <v>137</v>
      </c>
      <c r="B20" s="94" t="s">
        <v>14</v>
      </c>
      <c r="C20" s="20" t="s">
        <v>261</v>
      </c>
      <c r="D20" s="20" t="s">
        <v>261</v>
      </c>
      <c r="E20" s="20" t="s">
        <v>261</v>
      </c>
      <c r="F20" s="20" t="s">
        <v>261</v>
      </c>
      <c r="G20" s="20" t="s">
        <v>261</v>
      </c>
      <c r="H20" s="20" t="s">
        <v>261</v>
      </c>
      <c r="I20" s="20" t="s">
        <v>261</v>
      </c>
      <c r="J20" s="20" t="s">
        <v>261</v>
      </c>
      <c r="K20" s="20" t="s">
        <v>261</v>
      </c>
      <c r="L20" s="20" t="s">
        <v>261</v>
      </c>
      <c r="M20" s="20" t="s">
        <v>261</v>
      </c>
      <c r="N20" s="20" t="s">
        <v>261</v>
      </c>
      <c r="O20" s="20" t="s">
        <v>261</v>
      </c>
      <c r="P20" s="20" t="s">
        <v>261</v>
      </c>
      <c r="Q20" s="20" t="s">
        <v>261</v>
      </c>
      <c r="R20" s="20" t="s">
        <v>261</v>
      </c>
      <c r="S20" s="20" t="s">
        <v>261</v>
      </c>
      <c r="T20" s="20" t="s">
        <v>261</v>
      </c>
      <c r="U20" s="20" t="s">
        <v>261</v>
      </c>
      <c r="V20" s="20" t="s">
        <v>261</v>
      </c>
      <c r="W20" s="20" t="s">
        <v>261</v>
      </c>
      <c r="X20" s="20" t="s">
        <v>261</v>
      </c>
      <c r="Y20" s="20" t="s">
        <v>261</v>
      </c>
      <c r="Z20" s="20" t="s">
        <v>261</v>
      </c>
      <c r="AA20" s="20" t="s">
        <v>261</v>
      </c>
      <c r="AB20" s="20" t="s">
        <v>262</v>
      </c>
      <c r="AC20" s="20" t="s">
        <v>262</v>
      </c>
      <c r="AD20" s="20" t="s">
        <v>262</v>
      </c>
      <c r="AE20" s="20" t="s">
        <v>262</v>
      </c>
      <c r="AF20" s="20" t="s">
        <v>262</v>
      </c>
      <c r="AG20" s="20" t="s">
        <v>262</v>
      </c>
      <c r="AH20" s="20" t="s">
        <v>262</v>
      </c>
      <c r="AI20" s="20" t="s">
        <v>262</v>
      </c>
      <c r="AJ20" s="20" t="s">
        <v>262</v>
      </c>
      <c r="AK20" s="20" t="s">
        <v>262</v>
      </c>
      <c r="AL20" s="20" t="s">
        <v>262</v>
      </c>
      <c r="AM20" s="20" t="s">
        <v>262</v>
      </c>
    </row>
    <row r="21" spans="1:39" ht="15.95" customHeight="1">
      <c r="A21" s="45" t="s">
        <v>138</v>
      </c>
      <c r="B21" s="94" t="s">
        <v>15</v>
      </c>
      <c r="C21" s="20">
        <v>2</v>
      </c>
      <c r="D21" s="20">
        <v>65</v>
      </c>
      <c r="E21" s="20">
        <v>24</v>
      </c>
      <c r="F21" s="20">
        <v>41</v>
      </c>
      <c r="G21" s="20">
        <v>27</v>
      </c>
      <c r="H21" s="20">
        <v>15</v>
      </c>
      <c r="I21" s="20">
        <v>12</v>
      </c>
      <c r="J21" s="20">
        <v>7</v>
      </c>
      <c r="K21" s="20">
        <v>3</v>
      </c>
      <c r="L21" s="20">
        <v>4</v>
      </c>
      <c r="M21" s="20">
        <v>31</v>
      </c>
      <c r="N21" s="20">
        <v>6</v>
      </c>
      <c r="O21" s="20">
        <v>25</v>
      </c>
      <c r="P21" s="20">
        <v>3246</v>
      </c>
      <c r="Q21" s="20">
        <v>1165</v>
      </c>
      <c r="R21" s="20">
        <v>2081</v>
      </c>
      <c r="S21" s="20">
        <v>1424</v>
      </c>
      <c r="T21" s="20">
        <v>735</v>
      </c>
      <c r="U21" s="20">
        <v>689</v>
      </c>
      <c r="V21" s="20">
        <v>385</v>
      </c>
      <c r="W21" s="20">
        <v>126</v>
      </c>
      <c r="X21" s="20">
        <v>259</v>
      </c>
      <c r="Y21" s="20">
        <v>1437</v>
      </c>
      <c r="Z21" s="20">
        <v>304</v>
      </c>
      <c r="AA21" s="20">
        <v>1133</v>
      </c>
      <c r="AB21" s="20">
        <v>15604</v>
      </c>
      <c r="AC21" s="20">
        <v>5484</v>
      </c>
      <c r="AD21" s="20">
        <v>10120</v>
      </c>
      <c r="AE21" s="20">
        <v>6850</v>
      </c>
      <c r="AF21" s="20">
        <v>3569</v>
      </c>
      <c r="AG21" s="20">
        <v>3281</v>
      </c>
      <c r="AH21" s="20">
        <v>1806</v>
      </c>
      <c r="AI21" s="20">
        <v>513</v>
      </c>
      <c r="AJ21" s="20">
        <v>1293</v>
      </c>
      <c r="AK21" s="20">
        <v>6948</v>
      </c>
      <c r="AL21" s="20">
        <v>1402</v>
      </c>
      <c r="AM21" s="20">
        <v>5546</v>
      </c>
    </row>
    <row r="22" spans="1:39" ht="15.95" customHeight="1">
      <c r="A22" s="45" t="s">
        <v>139</v>
      </c>
      <c r="B22" s="94" t="s">
        <v>16</v>
      </c>
      <c r="C22" s="20">
        <v>1</v>
      </c>
      <c r="D22" s="20">
        <v>10</v>
      </c>
      <c r="E22" s="20">
        <v>8</v>
      </c>
      <c r="F22" s="20">
        <v>2</v>
      </c>
      <c r="G22" s="20">
        <v>6</v>
      </c>
      <c r="H22" s="20">
        <v>4</v>
      </c>
      <c r="I22" s="20">
        <v>2</v>
      </c>
      <c r="J22" s="20" t="s">
        <v>261</v>
      </c>
      <c r="K22" s="20" t="s">
        <v>261</v>
      </c>
      <c r="L22" s="20" t="s">
        <v>261</v>
      </c>
      <c r="M22" s="20">
        <v>4</v>
      </c>
      <c r="N22" s="20">
        <v>4</v>
      </c>
      <c r="O22" s="20" t="s">
        <v>261</v>
      </c>
      <c r="P22" s="20">
        <v>2158</v>
      </c>
      <c r="Q22" s="20">
        <v>1778</v>
      </c>
      <c r="R22" s="20">
        <v>380</v>
      </c>
      <c r="S22" s="20">
        <v>1024</v>
      </c>
      <c r="T22" s="20">
        <v>853</v>
      </c>
      <c r="U22" s="20">
        <v>171</v>
      </c>
      <c r="V22" s="20" t="s">
        <v>261</v>
      </c>
      <c r="W22" s="20" t="s">
        <v>261</v>
      </c>
      <c r="X22" s="20" t="s">
        <v>261</v>
      </c>
      <c r="Y22" s="20">
        <v>1134</v>
      </c>
      <c r="Z22" s="20">
        <v>925</v>
      </c>
      <c r="AA22" s="20">
        <v>209</v>
      </c>
      <c r="AB22" s="20">
        <v>10900</v>
      </c>
      <c r="AC22" s="20">
        <v>8631</v>
      </c>
      <c r="AD22" s="20">
        <v>2269</v>
      </c>
      <c r="AE22" s="20">
        <v>5734</v>
      </c>
      <c r="AF22" s="20">
        <v>4602</v>
      </c>
      <c r="AG22" s="20">
        <v>1132</v>
      </c>
      <c r="AH22" s="20" t="s">
        <v>262</v>
      </c>
      <c r="AI22" s="20" t="s">
        <v>262</v>
      </c>
      <c r="AJ22" s="20" t="s">
        <v>262</v>
      </c>
      <c r="AK22" s="20">
        <v>5166</v>
      </c>
      <c r="AL22" s="20">
        <v>4029</v>
      </c>
      <c r="AM22" s="20">
        <v>1137</v>
      </c>
    </row>
    <row r="23" spans="1:39" ht="15.95" customHeight="1">
      <c r="A23" s="45" t="s">
        <v>140</v>
      </c>
      <c r="B23" s="94" t="s">
        <v>17</v>
      </c>
      <c r="C23" s="20">
        <v>2</v>
      </c>
      <c r="D23" s="20">
        <v>25</v>
      </c>
      <c r="E23" s="20">
        <v>13</v>
      </c>
      <c r="F23" s="20">
        <v>12</v>
      </c>
      <c r="G23" s="20">
        <v>5</v>
      </c>
      <c r="H23" s="20">
        <v>3</v>
      </c>
      <c r="I23" s="20">
        <v>2</v>
      </c>
      <c r="J23" s="20">
        <v>2</v>
      </c>
      <c r="K23" s="20">
        <v>2</v>
      </c>
      <c r="L23" s="20" t="s">
        <v>261</v>
      </c>
      <c r="M23" s="20">
        <v>18</v>
      </c>
      <c r="N23" s="20">
        <v>8</v>
      </c>
      <c r="O23" s="20">
        <v>10</v>
      </c>
      <c r="P23" s="20">
        <v>5393</v>
      </c>
      <c r="Q23" s="20">
        <v>2382</v>
      </c>
      <c r="R23" s="20">
        <v>3011</v>
      </c>
      <c r="S23" s="20">
        <v>1238</v>
      </c>
      <c r="T23" s="20">
        <v>832</v>
      </c>
      <c r="U23" s="20">
        <v>406</v>
      </c>
      <c r="V23" s="20">
        <v>468</v>
      </c>
      <c r="W23" s="20">
        <v>468</v>
      </c>
      <c r="X23" s="20" t="s">
        <v>261</v>
      </c>
      <c r="Y23" s="20">
        <v>3687</v>
      </c>
      <c r="Z23" s="20">
        <v>1082</v>
      </c>
      <c r="AA23" s="20">
        <v>2605</v>
      </c>
      <c r="AB23" s="20">
        <v>43077</v>
      </c>
      <c r="AC23" s="20">
        <v>18963</v>
      </c>
      <c r="AD23" s="20">
        <v>24114</v>
      </c>
      <c r="AE23" s="20">
        <v>9670</v>
      </c>
      <c r="AF23" s="20">
        <v>6422</v>
      </c>
      <c r="AG23" s="20">
        <v>3248</v>
      </c>
      <c r="AH23" s="20">
        <v>3744</v>
      </c>
      <c r="AI23" s="20">
        <v>3744</v>
      </c>
      <c r="AJ23" s="20" t="s">
        <v>262</v>
      </c>
      <c r="AK23" s="20">
        <v>29663</v>
      </c>
      <c r="AL23" s="20">
        <v>8797</v>
      </c>
      <c r="AM23" s="20">
        <v>20866</v>
      </c>
    </row>
    <row r="24" spans="1:39" ht="15.95" customHeight="1">
      <c r="A24" s="45" t="s">
        <v>141</v>
      </c>
      <c r="B24" s="94" t="s">
        <v>18</v>
      </c>
      <c r="C24" s="20">
        <v>1</v>
      </c>
      <c r="D24" s="20" t="s">
        <v>261</v>
      </c>
      <c r="E24" s="20" t="s">
        <v>261</v>
      </c>
      <c r="F24" s="20" t="s">
        <v>261</v>
      </c>
      <c r="G24" s="20" t="s">
        <v>261</v>
      </c>
      <c r="H24" s="20" t="s">
        <v>261</v>
      </c>
      <c r="I24" s="20" t="s">
        <v>261</v>
      </c>
      <c r="J24" s="20" t="s">
        <v>261</v>
      </c>
      <c r="K24" s="20" t="s">
        <v>261</v>
      </c>
      <c r="L24" s="20" t="s">
        <v>261</v>
      </c>
      <c r="M24" s="20" t="s">
        <v>261</v>
      </c>
      <c r="N24" s="20" t="s">
        <v>261</v>
      </c>
      <c r="O24" s="20" t="s">
        <v>261</v>
      </c>
      <c r="P24" s="20" t="s">
        <v>261</v>
      </c>
      <c r="Q24" s="20" t="s">
        <v>261</v>
      </c>
      <c r="R24" s="20" t="s">
        <v>261</v>
      </c>
      <c r="S24" s="20" t="s">
        <v>261</v>
      </c>
      <c r="T24" s="20" t="s">
        <v>261</v>
      </c>
      <c r="U24" s="20" t="s">
        <v>261</v>
      </c>
      <c r="V24" s="20" t="s">
        <v>261</v>
      </c>
      <c r="W24" s="20" t="s">
        <v>261</v>
      </c>
      <c r="X24" s="20" t="s">
        <v>261</v>
      </c>
      <c r="Y24" s="20" t="s">
        <v>261</v>
      </c>
      <c r="Z24" s="20" t="s">
        <v>261</v>
      </c>
      <c r="AA24" s="20" t="s">
        <v>261</v>
      </c>
      <c r="AB24" s="20" t="s">
        <v>262</v>
      </c>
      <c r="AC24" s="20" t="s">
        <v>262</v>
      </c>
      <c r="AD24" s="20" t="s">
        <v>262</v>
      </c>
      <c r="AE24" s="20" t="s">
        <v>262</v>
      </c>
      <c r="AF24" s="20" t="s">
        <v>262</v>
      </c>
      <c r="AG24" s="20" t="s">
        <v>262</v>
      </c>
      <c r="AH24" s="20" t="s">
        <v>262</v>
      </c>
      <c r="AI24" s="20" t="s">
        <v>262</v>
      </c>
      <c r="AJ24" s="20" t="s">
        <v>262</v>
      </c>
      <c r="AK24" s="20" t="s">
        <v>262</v>
      </c>
      <c r="AL24" s="20" t="s">
        <v>262</v>
      </c>
      <c r="AM24" s="20" t="s">
        <v>262</v>
      </c>
    </row>
    <row r="25" spans="1:39" ht="15.95" customHeight="1">
      <c r="A25" s="45" t="s">
        <v>142</v>
      </c>
      <c r="B25" s="94" t="s">
        <v>19</v>
      </c>
      <c r="C25" s="20">
        <v>3</v>
      </c>
      <c r="D25" s="20" t="s">
        <v>261</v>
      </c>
      <c r="E25" s="20" t="s">
        <v>261</v>
      </c>
      <c r="F25" s="20" t="s">
        <v>261</v>
      </c>
      <c r="G25" s="20" t="s">
        <v>261</v>
      </c>
      <c r="H25" s="20" t="s">
        <v>261</v>
      </c>
      <c r="I25" s="20" t="s">
        <v>261</v>
      </c>
      <c r="J25" s="20" t="s">
        <v>261</v>
      </c>
      <c r="K25" s="20" t="s">
        <v>261</v>
      </c>
      <c r="L25" s="20" t="s">
        <v>261</v>
      </c>
      <c r="M25" s="20" t="s">
        <v>261</v>
      </c>
      <c r="N25" s="20" t="s">
        <v>261</v>
      </c>
      <c r="O25" s="20" t="s">
        <v>261</v>
      </c>
      <c r="P25" s="20" t="s">
        <v>261</v>
      </c>
      <c r="Q25" s="20" t="s">
        <v>261</v>
      </c>
      <c r="R25" s="20" t="s">
        <v>261</v>
      </c>
      <c r="S25" s="20" t="s">
        <v>261</v>
      </c>
      <c r="T25" s="20" t="s">
        <v>261</v>
      </c>
      <c r="U25" s="20" t="s">
        <v>261</v>
      </c>
      <c r="V25" s="20" t="s">
        <v>261</v>
      </c>
      <c r="W25" s="20" t="s">
        <v>261</v>
      </c>
      <c r="X25" s="20" t="s">
        <v>261</v>
      </c>
      <c r="Y25" s="20" t="s">
        <v>261</v>
      </c>
      <c r="Z25" s="20" t="s">
        <v>261</v>
      </c>
      <c r="AA25" s="20" t="s">
        <v>261</v>
      </c>
      <c r="AB25" s="20" t="s">
        <v>262</v>
      </c>
      <c r="AC25" s="20" t="s">
        <v>262</v>
      </c>
      <c r="AD25" s="20" t="s">
        <v>262</v>
      </c>
      <c r="AE25" s="20" t="s">
        <v>262</v>
      </c>
      <c r="AF25" s="20" t="s">
        <v>262</v>
      </c>
      <c r="AG25" s="20" t="s">
        <v>262</v>
      </c>
      <c r="AH25" s="20" t="s">
        <v>262</v>
      </c>
      <c r="AI25" s="20" t="s">
        <v>262</v>
      </c>
      <c r="AJ25" s="20" t="s">
        <v>262</v>
      </c>
      <c r="AK25" s="20" t="s">
        <v>262</v>
      </c>
      <c r="AL25" s="20" t="s">
        <v>262</v>
      </c>
      <c r="AM25" s="20" t="s">
        <v>262</v>
      </c>
    </row>
    <row r="26" spans="1:39" ht="15.95" customHeight="1">
      <c r="A26" s="45" t="s">
        <v>143</v>
      </c>
      <c r="B26" s="94" t="s">
        <v>20</v>
      </c>
      <c r="C26" s="20" t="s">
        <v>261</v>
      </c>
      <c r="D26" s="20" t="s">
        <v>261</v>
      </c>
      <c r="E26" s="20" t="s">
        <v>261</v>
      </c>
      <c r="F26" s="20" t="s">
        <v>261</v>
      </c>
      <c r="G26" s="20" t="s">
        <v>261</v>
      </c>
      <c r="H26" s="20" t="s">
        <v>261</v>
      </c>
      <c r="I26" s="20" t="s">
        <v>261</v>
      </c>
      <c r="J26" s="20" t="s">
        <v>261</v>
      </c>
      <c r="K26" s="20" t="s">
        <v>261</v>
      </c>
      <c r="L26" s="20" t="s">
        <v>261</v>
      </c>
      <c r="M26" s="20" t="s">
        <v>261</v>
      </c>
      <c r="N26" s="20" t="s">
        <v>261</v>
      </c>
      <c r="O26" s="20" t="s">
        <v>261</v>
      </c>
      <c r="P26" s="20">
        <v>23</v>
      </c>
      <c r="Q26" s="20" t="s">
        <v>261</v>
      </c>
      <c r="R26" s="20">
        <v>23</v>
      </c>
      <c r="S26" s="20" t="s">
        <v>261</v>
      </c>
      <c r="T26" s="20" t="s">
        <v>261</v>
      </c>
      <c r="U26" s="20" t="s">
        <v>261</v>
      </c>
      <c r="V26" s="20">
        <v>23</v>
      </c>
      <c r="W26" s="20" t="s">
        <v>261</v>
      </c>
      <c r="X26" s="20">
        <v>23</v>
      </c>
      <c r="Y26" s="20" t="s">
        <v>261</v>
      </c>
      <c r="Z26" s="20" t="s">
        <v>261</v>
      </c>
      <c r="AA26" s="20" t="s">
        <v>261</v>
      </c>
      <c r="AB26" s="20">
        <v>106</v>
      </c>
      <c r="AC26" s="20" t="s">
        <v>262</v>
      </c>
      <c r="AD26" s="20">
        <v>106</v>
      </c>
      <c r="AE26" s="20" t="s">
        <v>262</v>
      </c>
      <c r="AF26" s="20" t="s">
        <v>262</v>
      </c>
      <c r="AG26" s="20" t="s">
        <v>262</v>
      </c>
      <c r="AH26" s="20">
        <v>106</v>
      </c>
      <c r="AI26" s="20" t="s">
        <v>262</v>
      </c>
      <c r="AJ26" s="20">
        <v>106</v>
      </c>
      <c r="AK26" s="20" t="s">
        <v>262</v>
      </c>
      <c r="AL26" s="20" t="s">
        <v>262</v>
      </c>
      <c r="AM26" s="20" t="s">
        <v>262</v>
      </c>
    </row>
    <row r="27" spans="1:39" ht="15.95" customHeight="1">
      <c r="A27" s="45" t="s">
        <v>144</v>
      </c>
      <c r="B27" s="94" t="s">
        <v>21</v>
      </c>
      <c r="C27" s="20">
        <v>1</v>
      </c>
      <c r="D27" s="20">
        <v>3</v>
      </c>
      <c r="E27" s="20" t="s">
        <v>261</v>
      </c>
      <c r="F27" s="20">
        <v>3</v>
      </c>
      <c r="G27" s="20" t="s">
        <v>261</v>
      </c>
      <c r="H27" s="20" t="s">
        <v>261</v>
      </c>
      <c r="I27" s="20" t="s">
        <v>261</v>
      </c>
      <c r="J27" s="20">
        <v>1</v>
      </c>
      <c r="K27" s="20" t="s">
        <v>261</v>
      </c>
      <c r="L27" s="20">
        <v>1</v>
      </c>
      <c r="M27" s="20">
        <v>2</v>
      </c>
      <c r="N27" s="20" t="s">
        <v>261</v>
      </c>
      <c r="O27" s="20">
        <v>2</v>
      </c>
      <c r="P27" s="20">
        <v>455</v>
      </c>
      <c r="Q27" s="20" t="s">
        <v>261</v>
      </c>
      <c r="R27" s="20">
        <v>455</v>
      </c>
      <c r="S27" s="20" t="s">
        <v>261</v>
      </c>
      <c r="T27" s="20" t="s">
        <v>261</v>
      </c>
      <c r="U27" s="20" t="s">
        <v>261</v>
      </c>
      <c r="V27" s="20">
        <v>218</v>
      </c>
      <c r="W27" s="20" t="s">
        <v>261</v>
      </c>
      <c r="X27" s="20">
        <v>218</v>
      </c>
      <c r="Y27" s="20">
        <v>237</v>
      </c>
      <c r="Z27" s="20" t="s">
        <v>261</v>
      </c>
      <c r="AA27" s="20">
        <v>237</v>
      </c>
      <c r="AB27" s="20">
        <v>3320.5</v>
      </c>
      <c r="AC27" s="20" t="s">
        <v>262</v>
      </c>
      <c r="AD27" s="20">
        <v>3320.5</v>
      </c>
      <c r="AE27" s="20" t="s">
        <v>262</v>
      </c>
      <c r="AF27" s="20" t="s">
        <v>262</v>
      </c>
      <c r="AG27" s="20" t="s">
        <v>262</v>
      </c>
      <c r="AH27" s="20">
        <v>1585.5</v>
      </c>
      <c r="AI27" s="20" t="s">
        <v>262</v>
      </c>
      <c r="AJ27" s="20">
        <v>1585.5</v>
      </c>
      <c r="AK27" s="20">
        <v>1735</v>
      </c>
      <c r="AL27" s="20" t="s">
        <v>262</v>
      </c>
      <c r="AM27" s="20">
        <v>1735</v>
      </c>
    </row>
    <row r="28" spans="1:39" ht="15.95" customHeight="1">
      <c r="A28" s="45" t="s">
        <v>145</v>
      </c>
      <c r="B28" s="94" t="s">
        <v>22</v>
      </c>
      <c r="C28" s="20" t="s">
        <v>261</v>
      </c>
      <c r="D28" s="20" t="s">
        <v>261</v>
      </c>
      <c r="E28" s="20" t="s">
        <v>261</v>
      </c>
      <c r="F28" s="20" t="s">
        <v>261</v>
      </c>
      <c r="G28" s="20" t="s">
        <v>261</v>
      </c>
      <c r="H28" s="20" t="s">
        <v>261</v>
      </c>
      <c r="I28" s="20" t="s">
        <v>261</v>
      </c>
      <c r="J28" s="20" t="s">
        <v>261</v>
      </c>
      <c r="K28" s="20" t="s">
        <v>261</v>
      </c>
      <c r="L28" s="20" t="s">
        <v>261</v>
      </c>
      <c r="M28" s="20" t="s">
        <v>261</v>
      </c>
      <c r="N28" s="20" t="s">
        <v>261</v>
      </c>
      <c r="O28" s="20" t="s">
        <v>261</v>
      </c>
      <c r="P28" s="20" t="s">
        <v>261</v>
      </c>
      <c r="Q28" s="20" t="s">
        <v>261</v>
      </c>
      <c r="R28" s="20" t="s">
        <v>261</v>
      </c>
      <c r="S28" s="20" t="s">
        <v>261</v>
      </c>
      <c r="T28" s="20" t="s">
        <v>261</v>
      </c>
      <c r="U28" s="20" t="s">
        <v>261</v>
      </c>
      <c r="V28" s="20" t="s">
        <v>261</v>
      </c>
      <c r="W28" s="20" t="s">
        <v>261</v>
      </c>
      <c r="X28" s="20" t="s">
        <v>261</v>
      </c>
      <c r="Y28" s="20" t="s">
        <v>261</v>
      </c>
      <c r="Z28" s="20" t="s">
        <v>261</v>
      </c>
      <c r="AA28" s="20" t="s">
        <v>261</v>
      </c>
      <c r="AB28" s="20" t="s">
        <v>262</v>
      </c>
      <c r="AC28" s="20" t="s">
        <v>262</v>
      </c>
      <c r="AD28" s="20" t="s">
        <v>262</v>
      </c>
      <c r="AE28" s="20" t="s">
        <v>262</v>
      </c>
      <c r="AF28" s="20" t="s">
        <v>262</v>
      </c>
      <c r="AG28" s="20" t="s">
        <v>262</v>
      </c>
      <c r="AH28" s="20" t="s">
        <v>262</v>
      </c>
      <c r="AI28" s="20" t="s">
        <v>262</v>
      </c>
      <c r="AJ28" s="20" t="s">
        <v>262</v>
      </c>
      <c r="AK28" s="20" t="s">
        <v>262</v>
      </c>
      <c r="AL28" s="20" t="s">
        <v>262</v>
      </c>
      <c r="AM28" s="20" t="s">
        <v>262</v>
      </c>
    </row>
    <row r="29" spans="1:39" ht="15.95" customHeight="1">
      <c r="A29" s="46" t="s">
        <v>146</v>
      </c>
      <c r="B29" s="95" t="s">
        <v>23</v>
      </c>
      <c r="C29" s="22" t="s">
        <v>261</v>
      </c>
      <c r="D29" s="22" t="s">
        <v>261</v>
      </c>
      <c r="E29" s="22" t="s">
        <v>261</v>
      </c>
      <c r="F29" s="22" t="s">
        <v>261</v>
      </c>
      <c r="G29" s="22" t="s">
        <v>261</v>
      </c>
      <c r="H29" s="22" t="s">
        <v>261</v>
      </c>
      <c r="I29" s="22" t="s">
        <v>261</v>
      </c>
      <c r="J29" s="22" t="s">
        <v>261</v>
      </c>
      <c r="K29" s="22" t="s">
        <v>261</v>
      </c>
      <c r="L29" s="22" t="s">
        <v>261</v>
      </c>
      <c r="M29" s="22" t="s">
        <v>261</v>
      </c>
      <c r="N29" s="22" t="s">
        <v>261</v>
      </c>
      <c r="O29" s="22" t="s">
        <v>261</v>
      </c>
      <c r="P29" s="22" t="s">
        <v>261</v>
      </c>
      <c r="Q29" s="22" t="s">
        <v>261</v>
      </c>
      <c r="R29" s="22" t="s">
        <v>261</v>
      </c>
      <c r="S29" s="22" t="s">
        <v>261</v>
      </c>
      <c r="T29" s="22" t="s">
        <v>261</v>
      </c>
      <c r="U29" s="22" t="s">
        <v>261</v>
      </c>
      <c r="V29" s="22" t="s">
        <v>261</v>
      </c>
      <c r="W29" s="22" t="s">
        <v>261</v>
      </c>
      <c r="X29" s="22" t="s">
        <v>261</v>
      </c>
      <c r="Y29" s="22" t="s">
        <v>261</v>
      </c>
      <c r="Z29" s="22" t="s">
        <v>261</v>
      </c>
      <c r="AA29" s="22" t="s">
        <v>261</v>
      </c>
      <c r="AB29" s="22" t="s">
        <v>262</v>
      </c>
      <c r="AC29" s="22" t="s">
        <v>262</v>
      </c>
      <c r="AD29" s="22" t="s">
        <v>262</v>
      </c>
      <c r="AE29" s="22" t="s">
        <v>262</v>
      </c>
      <c r="AF29" s="22" t="s">
        <v>262</v>
      </c>
      <c r="AG29" s="22" t="s">
        <v>262</v>
      </c>
      <c r="AH29" s="22" t="s">
        <v>262</v>
      </c>
      <c r="AI29" s="22" t="s">
        <v>262</v>
      </c>
      <c r="AJ29" s="22" t="s">
        <v>262</v>
      </c>
      <c r="AK29" s="22" t="s">
        <v>262</v>
      </c>
      <c r="AL29" s="22" t="s">
        <v>262</v>
      </c>
      <c r="AM29" s="22" t="s">
        <v>262</v>
      </c>
    </row>
    <row r="30" spans="1:39">
      <c r="A30" s="96" t="s">
        <v>77</v>
      </c>
      <c r="B30" s="61"/>
    </row>
    <row r="31" spans="1:39">
      <c r="A31" s="97" t="s">
        <v>2</v>
      </c>
    </row>
    <row r="33" spans="1:1">
      <c r="A33" s="31" t="s">
        <v>111</v>
      </c>
    </row>
  </sheetData>
  <mergeCells count="50">
    <mergeCell ref="AM5:AM6"/>
    <mergeCell ref="AB5:AB6"/>
    <mergeCell ref="AC5:AC6"/>
    <mergeCell ref="AD5:AD6"/>
    <mergeCell ref="AE5:AE6"/>
    <mergeCell ref="AF5:AF6"/>
    <mergeCell ref="AG5:AG6"/>
    <mergeCell ref="AH5:AH6"/>
    <mergeCell ref="AI5:AI6"/>
    <mergeCell ref="AJ5:AJ6"/>
    <mergeCell ref="AK5:AK6"/>
    <mergeCell ref="AL5:AL6"/>
    <mergeCell ref="N5:N6"/>
    <mergeCell ref="AA5:AA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I5:I6"/>
    <mergeCell ref="A3:B6"/>
    <mergeCell ref="C3:C6"/>
    <mergeCell ref="D3:O3"/>
    <mergeCell ref="P3:AA3"/>
    <mergeCell ref="D5:D6"/>
    <mergeCell ref="E5:E6"/>
    <mergeCell ref="F5:F6"/>
    <mergeCell ref="G5:G6"/>
    <mergeCell ref="H5:H6"/>
    <mergeCell ref="O5:O6"/>
    <mergeCell ref="Y4:AA4"/>
    <mergeCell ref="J5:J6"/>
    <mergeCell ref="K5:K6"/>
    <mergeCell ref="L5:L6"/>
    <mergeCell ref="M5:M6"/>
    <mergeCell ref="AB3:AM3"/>
    <mergeCell ref="G4:I4"/>
    <mergeCell ref="J4:L4"/>
    <mergeCell ref="M4:O4"/>
    <mergeCell ref="S4:U4"/>
    <mergeCell ref="V4:X4"/>
    <mergeCell ref="AE4:AG4"/>
    <mergeCell ref="AH4:AJ4"/>
    <mergeCell ref="AK4:AM4"/>
  </mergeCells>
  <phoneticPr fontId="6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BE85"/>
  <sheetViews>
    <sheetView zoomScaleNormal="100" zoomScaleSheetLayoutView="75" workbookViewId="0">
      <pane xSplit="2" ySplit="6" topLeftCell="C7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0.33203125" style="3" customWidth="1"/>
    <col min="2" max="2" width="20.1640625" style="3" customWidth="1"/>
    <col min="3" max="3" width="11.6640625" style="3" customWidth="1"/>
    <col min="4" max="39" width="11.33203125" style="3" customWidth="1"/>
    <col min="40" max="16384" width="12" style="3"/>
  </cols>
  <sheetData>
    <row r="1" spans="1:57" ht="21">
      <c r="A1" s="80" t="s">
        <v>244</v>
      </c>
      <c r="B1" s="88"/>
    </row>
    <row r="2" spans="1:57" ht="25.5" customHeight="1">
      <c r="A2" s="26" t="s">
        <v>119</v>
      </c>
      <c r="B2" s="89"/>
    </row>
    <row r="3" spans="1:57" s="97" customFormat="1" ht="16.5" customHeight="1">
      <c r="A3" s="441" t="s">
        <v>259</v>
      </c>
      <c r="B3" s="442"/>
      <c r="C3" s="436" t="s">
        <v>245</v>
      </c>
      <c r="D3" s="437" t="s">
        <v>246</v>
      </c>
      <c r="E3" s="447"/>
      <c r="F3" s="447"/>
      <c r="G3" s="447"/>
      <c r="H3" s="447"/>
      <c r="I3" s="447"/>
      <c r="J3" s="447"/>
      <c r="K3" s="447"/>
      <c r="L3" s="447"/>
      <c r="M3" s="447"/>
      <c r="N3" s="447"/>
      <c r="O3" s="450"/>
      <c r="P3" s="437" t="s">
        <v>247</v>
      </c>
      <c r="Q3" s="447"/>
      <c r="R3" s="447"/>
      <c r="S3" s="447"/>
      <c r="T3" s="447"/>
      <c r="U3" s="447"/>
      <c r="V3" s="447"/>
      <c r="W3" s="447"/>
      <c r="X3" s="447"/>
      <c r="Y3" s="447"/>
      <c r="Z3" s="447"/>
      <c r="AA3" s="450"/>
      <c r="AB3" s="437" t="s">
        <v>248</v>
      </c>
      <c r="AC3" s="447"/>
      <c r="AD3" s="447"/>
      <c r="AE3" s="447"/>
      <c r="AF3" s="447"/>
      <c r="AG3" s="447"/>
      <c r="AH3" s="447"/>
      <c r="AI3" s="447"/>
      <c r="AJ3" s="447"/>
      <c r="AK3" s="447"/>
      <c r="AL3" s="447"/>
      <c r="AM3" s="447"/>
    </row>
    <row r="4" spans="1:57" s="101" customFormat="1" ht="29.25" customHeight="1">
      <c r="A4" s="443"/>
      <c r="B4" s="444"/>
      <c r="C4" s="436"/>
      <c r="D4" s="81" t="s">
        <v>249</v>
      </c>
      <c r="E4" s="98"/>
      <c r="F4" s="99"/>
      <c r="G4" s="436" t="s">
        <v>250</v>
      </c>
      <c r="H4" s="436"/>
      <c r="I4" s="436"/>
      <c r="J4" s="436" t="s">
        <v>251</v>
      </c>
      <c r="K4" s="436"/>
      <c r="L4" s="436"/>
      <c r="M4" s="436" t="s">
        <v>252</v>
      </c>
      <c r="N4" s="436"/>
      <c r="O4" s="436"/>
      <c r="P4" s="81" t="s">
        <v>249</v>
      </c>
      <c r="Q4" s="100"/>
      <c r="R4" s="99"/>
      <c r="S4" s="436" t="s">
        <v>250</v>
      </c>
      <c r="T4" s="436"/>
      <c r="U4" s="436"/>
      <c r="V4" s="436" t="s">
        <v>251</v>
      </c>
      <c r="W4" s="436"/>
      <c r="X4" s="436"/>
      <c r="Y4" s="436" t="s">
        <v>252</v>
      </c>
      <c r="Z4" s="436"/>
      <c r="AA4" s="436"/>
      <c r="AB4" s="81" t="s">
        <v>249</v>
      </c>
      <c r="AC4" s="100"/>
      <c r="AD4" s="99"/>
      <c r="AE4" s="436" t="s">
        <v>250</v>
      </c>
      <c r="AF4" s="436"/>
      <c r="AG4" s="436"/>
      <c r="AH4" s="436" t="s">
        <v>251</v>
      </c>
      <c r="AI4" s="436"/>
      <c r="AJ4" s="436"/>
      <c r="AK4" s="436" t="s">
        <v>252</v>
      </c>
      <c r="AL4" s="436"/>
      <c r="AM4" s="448"/>
    </row>
    <row r="5" spans="1:57" s="102" customFormat="1" ht="16.5" customHeight="1">
      <c r="A5" s="443"/>
      <c r="B5" s="444"/>
      <c r="C5" s="436"/>
      <c r="D5" s="432" t="s">
        <v>253</v>
      </c>
      <c r="E5" s="432" t="s">
        <v>254</v>
      </c>
      <c r="F5" s="432" t="s">
        <v>255</v>
      </c>
      <c r="G5" s="432" t="s">
        <v>253</v>
      </c>
      <c r="H5" s="432" t="s">
        <v>254</v>
      </c>
      <c r="I5" s="432" t="s">
        <v>255</v>
      </c>
      <c r="J5" s="432" t="s">
        <v>253</v>
      </c>
      <c r="K5" s="432" t="s">
        <v>254</v>
      </c>
      <c r="L5" s="432" t="s">
        <v>255</v>
      </c>
      <c r="M5" s="432" t="s">
        <v>253</v>
      </c>
      <c r="N5" s="432" t="s">
        <v>254</v>
      </c>
      <c r="O5" s="432" t="s">
        <v>255</v>
      </c>
      <c r="P5" s="432" t="s">
        <v>253</v>
      </c>
      <c r="Q5" s="432" t="s">
        <v>254</v>
      </c>
      <c r="R5" s="432" t="s">
        <v>255</v>
      </c>
      <c r="S5" s="432" t="s">
        <v>253</v>
      </c>
      <c r="T5" s="432" t="s">
        <v>254</v>
      </c>
      <c r="U5" s="432" t="s">
        <v>255</v>
      </c>
      <c r="V5" s="432" t="s">
        <v>253</v>
      </c>
      <c r="W5" s="432" t="s">
        <v>254</v>
      </c>
      <c r="X5" s="432" t="s">
        <v>255</v>
      </c>
      <c r="Y5" s="432" t="s">
        <v>253</v>
      </c>
      <c r="Z5" s="432" t="s">
        <v>254</v>
      </c>
      <c r="AA5" s="432" t="s">
        <v>255</v>
      </c>
      <c r="AB5" s="432" t="s">
        <v>253</v>
      </c>
      <c r="AC5" s="432" t="s">
        <v>254</v>
      </c>
      <c r="AD5" s="432" t="s">
        <v>255</v>
      </c>
      <c r="AE5" s="432" t="s">
        <v>253</v>
      </c>
      <c r="AF5" s="432" t="s">
        <v>254</v>
      </c>
      <c r="AG5" s="432" t="s">
        <v>255</v>
      </c>
      <c r="AH5" s="432" t="s">
        <v>253</v>
      </c>
      <c r="AI5" s="432" t="s">
        <v>254</v>
      </c>
      <c r="AJ5" s="432" t="s">
        <v>255</v>
      </c>
      <c r="AK5" s="432" t="s">
        <v>253</v>
      </c>
      <c r="AL5" s="432" t="s">
        <v>254</v>
      </c>
      <c r="AM5" s="434" t="s">
        <v>255</v>
      </c>
    </row>
    <row r="6" spans="1:57" s="97" customFormat="1" ht="12">
      <c r="A6" s="445"/>
      <c r="B6" s="446"/>
      <c r="C6" s="436"/>
      <c r="D6" s="449"/>
      <c r="E6" s="449"/>
      <c r="F6" s="449"/>
      <c r="G6" s="449"/>
      <c r="H6" s="449"/>
      <c r="I6" s="449"/>
      <c r="J6" s="449"/>
      <c r="K6" s="449"/>
      <c r="L6" s="449"/>
      <c r="M6" s="449"/>
      <c r="N6" s="449"/>
      <c r="O6" s="449"/>
      <c r="P6" s="449"/>
      <c r="Q6" s="449"/>
      <c r="R6" s="449"/>
      <c r="S6" s="449"/>
      <c r="T6" s="449"/>
      <c r="U6" s="449"/>
      <c r="V6" s="449"/>
      <c r="W6" s="449"/>
      <c r="X6" s="449"/>
      <c r="Y6" s="449"/>
      <c r="Z6" s="449"/>
      <c r="AA6" s="449"/>
      <c r="AB6" s="449"/>
      <c r="AC6" s="449"/>
      <c r="AD6" s="449"/>
      <c r="AE6" s="449"/>
      <c r="AF6" s="449"/>
      <c r="AG6" s="449"/>
      <c r="AH6" s="449"/>
      <c r="AI6" s="449"/>
      <c r="AJ6" s="449"/>
      <c r="AK6" s="449"/>
      <c r="AL6" s="449"/>
      <c r="AM6" s="451"/>
    </row>
    <row r="7" spans="1:57" s="13" customFormat="1" ht="15.95" customHeight="1">
      <c r="A7" s="106" t="s">
        <v>264</v>
      </c>
      <c r="B7" s="36" t="s">
        <v>39</v>
      </c>
      <c r="C7" s="90">
        <v>22</v>
      </c>
      <c r="D7" s="90">
        <v>206</v>
      </c>
      <c r="E7" s="90">
        <v>87</v>
      </c>
      <c r="F7" s="90">
        <v>119</v>
      </c>
      <c r="G7" s="90">
        <v>56</v>
      </c>
      <c r="H7" s="90">
        <v>30</v>
      </c>
      <c r="I7" s="90">
        <v>26</v>
      </c>
      <c r="J7" s="90">
        <v>32</v>
      </c>
      <c r="K7" s="90">
        <v>11</v>
      </c>
      <c r="L7" s="90">
        <v>21</v>
      </c>
      <c r="M7" s="90">
        <v>118</v>
      </c>
      <c r="N7" s="90">
        <v>46</v>
      </c>
      <c r="O7" s="90">
        <v>72</v>
      </c>
      <c r="P7" s="90">
        <v>29344</v>
      </c>
      <c r="Q7" s="90">
        <v>13301</v>
      </c>
      <c r="R7" s="90">
        <v>16043</v>
      </c>
      <c r="S7" s="90">
        <v>6346</v>
      </c>
      <c r="T7" s="90">
        <v>3597</v>
      </c>
      <c r="U7" s="90">
        <v>2749</v>
      </c>
      <c r="V7" s="90">
        <v>4023</v>
      </c>
      <c r="W7" s="90">
        <v>1767</v>
      </c>
      <c r="X7" s="90">
        <v>2256</v>
      </c>
      <c r="Y7" s="90">
        <v>18975</v>
      </c>
      <c r="Z7" s="90">
        <v>7937</v>
      </c>
      <c r="AA7" s="90">
        <v>11038</v>
      </c>
      <c r="AB7" s="90">
        <v>204502.5</v>
      </c>
      <c r="AC7" s="90">
        <v>95703.5</v>
      </c>
      <c r="AD7" s="90">
        <v>108799</v>
      </c>
      <c r="AE7" s="90">
        <v>41093.5</v>
      </c>
      <c r="AF7" s="90">
        <v>21896.5</v>
      </c>
      <c r="AG7" s="90">
        <v>19197</v>
      </c>
      <c r="AH7" s="90">
        <v>29477</v>
      </c>
      <c r="AI7" s="90">
        <v>14037</v>
      </c>
      <c r="AJ7" s="90">
        <v>15440</v>
      </c>
      <c r="AK7" s="90">
        <v>133932</v>
      </c>
      <c r="AL7" s="90">
        <v>59770</v>
      </c>
      <c r="AM7" s="90">
        <v>74162</v>
      </c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</row>
    <row r="8" spans="1:57" s="18" customFormat="1" ht="15.95" customHeight="1">
      <c r="A8" s="91" t="s">
        <v>125</v>
      </c>
      <c r="B8" s="92" t="s">
        <v>24</v>
      </c>
      <c r="C8" s="93">
        <v>1</v>
      </c>
      <c r="D8" s="93" t="s">
        <v>261</v>
      </c>
      <c r="E8" s="93" t="s">
        <v>261</v>
      </c>
      <c r="F8" s="93" t="s">
        <v>261</v>
      </c>
      <c r="G8" s="93" t="s">
        <v>261</v>
      </c>
      <c r="H8" s="93" t="s">
        <v>261</v>
      </c>
      <c r="I8" s="93" t="s">
        <v>261</v>
      </c>
      <c r="J8" s="93" t="s">
        <v>261</v>
      </c>
      <c r="K8" s="93" t="s">
        <v>261</v>
      </c>
      <c r="L8" s="93" t="s">
        <v>261</v>
      </c>
      <c r="M8" s="93" t="s">
        <v>261</v>
      </c>
      <c r="N8" s="93" t="s">
        <v>261</v>
      </c>
      <c r="O8" s="93" t="s">
        <v>261</v>
      </c>
      <c r="P8" s="93" t="s">
        <v>261</v>
      </c>
      <c r="Q8" s="93" t="s">
        <v>261</v>
      </c>
      <c r="R8" s="93" t="s">
        <v>261</v>
      </c>
      <c r="S8" s="93" t="s">
        <v>261</v>
      </c>
      <c r="T8" s="93" t="s">
        <v>261</v>
      </c>
      <c r="U8" s="93" t="s">
        <v>261</v>
      </c>
      <c r="V8" s="93" t="s">
        <v>261</v>
      </c>
      <c r="W8" s="93" t="s">
        <v>261</v>
      </c>
      <c r="X8" s="93" t="s">
        <v>261</v>
      </c>
      <c r="Y8" s="93" t="s">
        <v>261</v>
      </c>
      <c r="Z8" s="93" t="s">
        <v>261</v>
      </c>
      <c r="AA8" s="93" t="s">
        <v>261</v>
      </c>
      <c r="AB8" s="93" t="s">
        <v>262</v>
      </c>
      <c r="AC8" s="93" t="s">
        <v>262</v>
      </c>
      <c r="AD8" s="93" t="s">
        <v>262</v>
      </c>
      <c r="AE8" s="93" t="s">
        <v>262</v>
      </c>
      <c r="AF8" s="93" t="s">
        <v>262</v>
      </c>
      <c r="AG8" s="93" t="s">
        <v>262</v>
      </c>
      <c r="AH8" s="93" t="s">
        <v>262</v>
      </c>
      <c r="AI8" s="93" t="s">
        <v>262</v>
      </c>
      <c r="AJ8" s="93" t="s">
        <v>262</v>
      </c>
      <c r="AK8" s="93" t="s">
        <v>262</v>
      </c>
      <c r="AL8" s="93" t="s">
        <v>262</v>
      </c>
      <c r="AM8" s="93" t="s">
        <v>262</v>
      </c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</row>
    <row r="9" spans="1:57" s="18" customFormat="1" ht="15.95" customHeight="1">
      <c r="A9" s="91" t="s">
        <v>126</v>
      </c>
      <c r="B9" s="92" t="s">
        <v>25</v>
      </c>
      <c r="C9" s="93">
        <v>1</v>
      </c>
      <c r="D9" s="93">
        <v>17</v>
      </c>
      <c r="E9" s="93">
        <v>8</v>
      </c>
      <c r="F9" s="93">
        <v>9</v>
      </c>
      <c r="G9" s="93">
        <v>2</v>
      </c>
      <c r="H9" s="93">
        <v>1</v>
      </c>
      <c r="I9" s="93">
        <v>1</v>
      </c>
      <c r="J9" s="93">
        <v>4</v>
      </c>
      <c r="K9" s="93">
        <v>1</v>
      </c>
      <c r="L9" s="93">
        <v>3</v>
      </c>
      <c r="M9" s="93">
        <v>11</v>
      </c>
      <c r="N9" s="93">
        <v>6</v>
      </c>
      <c r="O9" s="93">
        <v>5</v>
      </c>
      <c r="P9" s="93">
        <v>3607</v>
      </c>
      <c r="Q9" s="93">
        <v>1860</v>
      </c>
      <c r="R9" s="93">
        <v>1747</v>
      </c>
      <c r="S9" s="93">
        <v>309</v>
      </c>
      <c r="T9" s="93">
        <v>244</v>
      </c>
      <c r="U9" s="93">
        <v>65</v>
      </c>
      <c r="V9" s="93">
        <v>672</v>
      </c>
      <c r="W9" s="93">
        <v>274</v>
      </c>
      <c r="X9" s="93">
        <v>398</v>
      </c>
      <c r="Y9" s="93">
        <v>2626</v>
      </c>
      <c r="Z9" s="93">
        <v>1342</v>
      </c>
      <c r="AA9" s="93">
        <v>1284</v>
      </c>
      <c r="AB9" s="93">
        <v>34250</v>
      </c>
      <c r="AC9" s="93">
        <v>18491</v>
      </c>
      <c r="AD9" s="93">
        <v>15759</v>
      </c>
      <c r="AE9" s="93">
        <v>3090</v>
      </c>
      <c r="AF9" s="93">
        <v>2440</v>
      </c>
      <c r="AG9" s="93">
        <v>650</v>
      </c>
      <c r="AH9" s="93">
        <v>6188</v>
      </c>
      <c r="AI9" s="93">
        <v>2727</v>
      </c>
      <c r="AJ9" s="93">
        <v>3461</v>
      </c>
      <c r="AK9" s="93">
        <v>24972</v>
      </c>
      <c r="AL9" s="93">
        <v>13324</v>
      </c>
      <c r="AM9" s="93">
        <v>11648</v>
      </c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</row>
    <row r="10" spans="1:57" s="18" customFormat="1" ht="15.95" customHeight="1">
      <c r="A10" s="91" t="s">
        <v>127</v>
      </c>
      <c r="B10" s="92" t="s">
        <v>49</v>
      </c>
      <c r="C10" s="93" t="s">
        <v>261</v>
      </c>
      <c r="D10" s="93" t="s">
        <v>261</v>
      </c>
      <c r="E10" s="93" t="s">
        <v>261</v>
      </c>
      <c r="F10" s="93" t="s">
        <v>261</v>
      </c>
      <c r="G10" s="93" t="s">
        <v>261</v>
      </c>
      <c r="H10" s="93" t="s">
        <v>261</v>
      </c>
      <c r="I10" s="93" t="s">
        <v>261</v>
      </c>
      <c r="J10" s="93" t="s">
        <v>261</v>
      </c>
      <c r="K10" s="93" t="s">
        <v>261</v>
      </c>
      <c r="L10" s="93" t="s">
        <v>261</v>
      </c>
      <c r="M10" s="93" t="s">
        <v>261</v>
      </c>
      <c r="N10" s="93" t="s">
        <v>261</v>
      </c>
      <c r="O10" s="93" t="s">
        <v>261</v>
      </c>
      <c r="P10" s="93" t="s">
        <v>261</v>
      </c>
      <c r="Q10" s="93" t="s">
        <v>261</v>
      </c>
      <c r="R10" s="93" t="s">
        <v>261</v>
      </c>
      <c r="S10" s="93" t="s">
        <v>261</v>
      </c>
      <c r="T10" s="93" t="s">
        <v>261</v>
      </c>
      <c r="U10" s="93" t="s">
        <v>261</v>
      </c>
      <c r="V10" s="93" t="s">
        <v>261</v>
      </c>
      <c r="W10" s="93" t="s">
        <v>261</v>
      </c>
      <c r="X10" s="93" t="s">
        <v>261</v>
      </c>
      <c r="Y10" s="93" t="s">
        <v>261</v>
      </c>
      <c r="Z10" s="93" t="s">
        <v>261</v>
      </c>
      <c r="AA10" s="93" t="s">
        <v>261</v>
      </c>
      <c r="AB10" s="93" t="s">
        <v>262</v>
      </c>
      <c r="AC10" s="93" t="s">
        <v>262</v>
      </c>
      <c r="AD10" s="93" t="s">
        <v>262</v>
      </c>
      <c r="AE10" s="93" t="s">
        <v>262</v>
      </c>
      <c r="AF10" s="93" t="s">
        <v>262</v>
      </c>
      <c r="AG10" s="93" t="s">
        <v>262</v>
      </c>
      <c r="AH10" s="93" t="s">
        <v>262</v>
      </c>
      <c r="AI10" s="93" t="s">
        <v>262</v>
      </c>
      <c r="AJ10" s="93" t="s">
        <v>262</v>
      </c>
      <c r="AK10" s="93" t="s">
        <v>262</v>
      </c>
      <c r="AL10" s="93" t="s">
        <v>262</v>
      </c>
      <c r="AM10" s="93" t="s">
        <v>262</v>
      </c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</row>
    <row r="11" spans="1:57" s="18" customFormat="1" ht="15.95" customHeight="1">
      <c r="A11" s="91" t="s">
        <v>128</v>
      </c>
      <c r="B11" s="92" t="s">
        <v>26</v>
      </c>
      <c r="C11" s="93">
        <v>2</v>
      </c>
      <c r="D11" s="93">
        <v>22</v>
      </c>
      <c r="E11" s="93">
        <v>12</v>
      </c>
      <c r="F11" s="93">
        <v>10</v>
      </c>
      <c r="G11" s="93">
        <v>6</v>
      </c>
      <c r="H11" s="93">
        <v>3</v>
      </c>
      <c r="I11" s="93">
        <v>3</v>
      </c>
      <c r="J11" s="93">
        <v>2</v>
      </c>
      <c r="K11" s="93">
        <v>1</v>
      </c>
      <c r="L11" s="93">
        <v>1</v>
      </c>
      <c r="M11" s="93">
        <v>14</v>
      </c>
      <c r="N11" s="93">
        <v>8</v>
      </c>
      <c r="O11" s="93">
        <v>6</v>
      </c>
      <c r="P11" s="93">
        <v>4296</v>
      </c>
      <c r="Q11" s="93">
        <v>2722</v>
      </c>
      <c r="R11" s="93">
        <v>1574</v>
      </c>
      <c r="S11" s="93">
        <v>1227</v>
      </c>
      <c r="T11" s="93">
        <v>688</v>
      </c>
      <c r="U11" s="93">
        <v>539</v>
      </c>
      <c r="V11" s="93">
        <v>492</v>
      </c>
      <c r="W11" s="93">
        <v>370</v>
      </c>
      <c r="X11" s="93">
        <v>122</v>
      </c>
      <c r="Y11" s="93">
        <v>2577</v>
      </c>
      <c r="Z11" s="93">
        <v>1664</v>
      </c>
      <c r="AA11" s="93">
        <v>913</v>
      </c>
      <c r="AB11" s="93">
        <v>37199.5</v>
      </c>
      <c r="AC11" s="93">
        <v>23201</v>
      </c>
      <c r="AD11" s="93">
        <v>13998.5</v>
      </c>
      <c r="AE11" s="93">
        <v>10556</v>
      </c>
      <c r="AF11" s="93">
        <v>5705</v>
      </c>
      <c r="AG11" s="93">
        <v>4851</v>
      </c>
      <c r="AH11" s="93">
        <v>4428</v>
      </c>
      <c r="AI11" s="93">
        <v>3330</v>
      </c>
      <c r="AJ11" s="93">
        <v>1098</v>
      </c>
      <c r="AK11" s="93">
        <v>22215.5</v>
      </c>
      <c r="AL11" s="93">
        <v>14166</v>
      </c>
      <c r="AM11" s="93">
        <v>8049.5</v>
      </c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</row>
    <row r="12" spans="1:57" s="18" customFormat="1" ht="15.95" customHeight="1">
      <c r="A12" s="91" t="s">
        <v>129</v>
      </c>
      <c r="B12" s="92" t="s">
        <v>27</v>
      </c>
      <c r="C12" s="93">
        <v>1</v>
      </c>
      <c r="D12" s="93">
        <v>12</v>
      </c>
      <c r="E12" s="93">
        <v>4</v>
      </c>
      <c r="F12" s="93">
        <v>8</v>
      </c>
      <c r="G12" s="93">
        <v>3</v>
      </c>
      <c r="H12" s="93" t="s">
        <v>261</v>
      </c>
      <c r="I12" s="93">
        <v>3</v>
      </c>
      <c r="J12" s="93">
        <v>2</v>
      </c>
      <c r="K12" s="93">
        <v>2</v>
      </c>
      <c r="L12" s="93" t="s">
        <v>261</v>
      </c>
      <c r="M12" s="93">
        <v>7</v>
      </c>
      <c r="N12" s="93">
        <v>2</v>
      </c>
      <c r="O12" s="93">
        <v>5</v>
      </c>
      <c r="P12" s="93">
        <v>3072</v>
      </c>
      <c r="Q12" s="93">
        <v>1114</v>
      </c>
      <c r="R12" s="93">
        <v>1958</v>
      </c>
      <c r="S12" s="93">
        <v>573</v>
      </c>
      <c r="T12" s="93" t="s">
        <v>261</v>
      </c>
      <c r="U12" s="93">
        <v>573</v>
      </c>
      <c r="V12" s="93">
        <v>510</v>
      </c>
      <c r="W12" s="93">
        <v>462</v>
      </c>
      <c r="X12" s="93">
        <v>48</v>
      </c>
      <c r="Y12" s="93">
        <v>1989</v>
      </c>
      <c r="Z12" s="93">
        <v>652</v>
      </c>
      <c r="AA12" s="93">
        <v>1337</v>
      </c>
      <c r="AB12" s="93">
        <v>24576</v>
      </c>
      <c r="AC12" s="93">
        <v>8912</v>
      </c>
      <c r="AD12" s="93">
        <v>15664</v>
      </c>
      <c r="AE12" s="93">
        <v>4584</v>
      </c>
      <c r="AF12" s="93" t="s">
        <v>262</v>
      </c>
      <c r="AG12" s="93">
        <v>4584</v>
      </c>
      <c r="AH12" s="93">
        <v>4080</v>
      </c>
      <c r="AI12" s="93">
        <v>3696</v>
      </c>
      <c r="AJ12" s="93">
        <v>384</v>
      </c>
      <c r="AK12" s="93">
        <v>15912</v>
      </c>
      <c r="AL12" s="93">
        <v>5216</v>
      </c>
      <c r="AM12" s="93">
        <v>10696</v>
      </c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</row>
    <row r="13" spans="1:57" s="18" customFormat="1" ht="15.95" customHeight="1">
      <c r="A13" s="48" t="s">
        <v>130</v>
      </c>
      <c r="B13" s="92" t="s">
        <v>28</v>
      </c>
      <c r="C13" s="93">
        <v>1</v>
      </c>
      <c r="D13" s="93">
        <v>2</v>
      </c>
      <c r="E13" s="93">
        <v>2</v>
      </c>
      <c r="F13" s="93" t="s">
        <v>261</v>
      </c>
      <c r="G13" s="93" t="s">
        <v>261</v>
      </c>
      <c r="H13" s="93" t="s">
        <v>261</v>
      </c>
      <c r="I13" s="93" t="s">
        <v>261</v>
      </c>
      <c r="J13" s="93" t="s">
        <v>261</v>
      </c>
      <c r="K13" s="93" t="s">
        <v>261</v>
      </c>
      <c r="L13" s="93" t="s">
        <v>261</v>
      </c>
      <c r="M13" s="93">
        <v>2</v>
      </c>
      <c r="N13" s="93">
        <v>2</v>
      </c>
      <c r="O13" s="93" t="s">
        <v>261</v>
      </c>
      <c r="P13" s="93">
        <v>681</v>
      </c>
      <c r="Q13" s="93">
        <v>304</v>
      </c>
      <c r="R13" s="93">
        <v>377</v>
      </c>
      <c r="S13" s="93">
        <v>158</v>
      </c>
      <c r="T13" s="93">
        <v>5</v>
      </c>
      <c r="U13" s="93">
        <v>153</v>
      </c>
      <c r="V13" s="93">
        <v>22</v>
      </c>
      <c r="W13" s="93" t="s">
        <v>261</v>
      </c>
      <c r="X13" s="93">
        <v>22</v>
      </c>
      <c r="Y13" s="93">
        <v>501</v>
      </c>
      <c r="Z13" s="93">
        <v>299</v>
      </c>
      <c r="AA13" s="93">
        <v>202</v>
      </c>
      <c r="AB13" s="93">
        <v>5303</v>
      </c>
      <c r="AC13" s="93">
        <v>2436</v>
      </c>
      <c r="AD13" s="93">
        <v>2867</v>
      </c>
      <c r="AE13" s="93">
        <v>1165</v>
      </c>
      <c r="AF13" s="93">
        <v>40</v>
      </c>
      <c r="AG13" s="93">
        <v>1125</v>
      </c>
      <c r="AH13" s="93">
        <v>176</v>
      </c>
      <c r="AI13" s="93" t="s">
        <v>262</v>
      </c>
      <c r="AJ13" s="93">
        <v>176</v>
      </c>
      <c r="AK13" s="93">
        <v>3962</v>
      </c>
      <c r="AL13" s="93">
        <v>2396</v>
      </c>
      <c r="AM13" s="93">
        <v>1566</v>
      </c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</row>
    <row r="14" spans="1:57" ht="15.95" customHeight="1">
      <c r="A14" s="45" t="s">
        <v>131</v>
      </c>
      <c r="B14" s="94" t="s">
        <v>7</v>
      </c>
      <c r="C14" s="20">
        <v>1</v>
      </c>
      <c r="D14" s="20">
        <v>4</v>
      </c>
      <c r="E14" s="20">
        <v>3</v>
      </c>
      <c r="F14" s="20">
        <v>1</v>
      </c>
      <c r="G14" s="20" t="s">
        <v>261</v>
      </c>
      <c r="H14" s="20" t="s">
        <v>261</v>
      </c>
      <c r="I14" s="20" t="s">
        <v>261</v>
      </c>
      <c r="J14" s="20">
        <v>4</v>
      </c>
      <c r="K14" s="20">
        <v>3</v>
      </c>
      <c r="L14" s="20">
        <v>1</v>
      </c>
      <c r="M14" s="20" t="s">
        <v>261</v>
      </c>
      <c r="N14" s="20" t="s">
        <v>261</v>
      </c>
      <c r="O14" s="20" t="s">
        <v>261</v>
      </c>
      <c r="P14" s="20">
        <v>374</v>
      </c>
      <c r="Q14" s="20">
        <v>324</v>
      </c>
      <c r="R14" s="20">
        <v>50</v>
      </c>
      <c r="S14" s="20">
        <v>38</v>
      </c>
      <c r="T14" s="20">
        <v>38</v>
      </c>
      <c r="U14" s="20" t="s">
        <v>261</v>
      </c>
      <c r="V14" s="20">
        <v>336</v>
      </c>
      <c r="W14" s="20">
        <v>286</v>
      </c>
      <c r="X14" s="20">
        <v>50</v>
      </c>
      <c r="Y14" s="20" t="s">
        <v>261</v>
      </c>
      <c r="Z14" s="20" t="s">
        <v>261</v>
      </c>
      <c r="AA14" s="20" t="s">
        <v>261</v>
      </c>
      <c r="AB14" s="20">
        <v>2992</v>
      </c>
      <c r="AC14" s="20">
        <v>2592</v>
      </c>
      <c r="AD14" s="20">
        <v>400</v>
      </c>
      <c r="AE14" s="20">
        <v>304</v>
      </c>
      <c r="AF14" s="20">
        <v>304</v>
      </c>
      <c r="AG14" s="20" t="s">
        <v>262</v>
      </c>
      <c r="AH14" s="20">
        <v>2688</v>
      </c>
      <c r="AI14" s="20">
        <v>2288</v>
      </c>
      <c r="AJ14" s="20">
        <v>400</v>
      </c>
      <c r="AK14" s="20" t="s">
        <v>262</v>
      </c>
      <c r="AL14" s="20" t="s">
        <v>262</v>
      </c>
      <c r="AM14" s="20" t="s">
        <v>262</v>
      </c>
    </row>
    <row r="15" spans="1:57" ht="15.95" customHeight="1">
      <c r="A15" s="45" t="s">
        <v>132</v>
      </c>
      <c r="B15" s="94" t="s">
        <v>9</v>
      </c>
      <c r="C15" s="20" t="s">
        <v>261</v>
      </c>
      <c r="D15" s="20" t="s">
        <v>261</v>
      </c>
      <c r="E15" s="20" t="s">
        <v>261</v>
      </c>
      <c r="F15" s="20" t="s">
        <v>261</v>
      </c>
      <c r="G15" s="20" t="s">
        <v>261</v>
      </c>
      <c r="H15" s="20" t="s">
        <v>261</v>
      </c>
      <c r="I15" s="20" t="s">
        <v>261</v>
      </c>
      <c r="J15" s="20" t="s">
        <v>261</v>
      </c>
      <c r="K15" s="20" t="s">
        <v>261</v>
      </c>
      <c r="L15" s="20" t="s">
        <v>261</v>
      </c>
      <c r="M15" s="20" t="s">
        <v>261</v>
      </c>
      <c r="N15" s="20" t="s">
        <v>261</v>
      </c>
      <c r="O15" s="20" t="s">
        <v>261</v>
      </c>
      <c r="P15" s="20" t="s">
        <v>261</v>
      </c>
      <c r="Q15" s="20" t="s">
        <v>261</v>
      </c>
      <c r="R15" s="20" t="s">
        <v>261</v>
      </c>
      <c r="S15" s="20" t="s">
        <v>261</v>
      </c>
      <c r="T15" s="20" t="s">
        <v>261</v>
      </c>
      <c r="U15" s="20" t="s">
        <v>261</v>
      </c>
      <c r="V15" s="20" t="s">
        <v>261</v>
      </c>
      <c r="W15" s="20" t="s">
        <v>261</v>
      </c>
      <c r="X15" s="20" t="s">
        <v>261</v>
      </c>
      <c r="Y15" s="20" t="s">
        <v>261</v>
      </c>
      <c r="Z15" s="20" t="s">
        <v>261</v>
      </c>
      <c r="AA15" s="20" t="s">
        <v>261</v>
      </c>
      <c r="AB15" s="20" t="s">
        <v>262</v>
      </c>
      <c r="AC15" s="20" t="s">
        <v>262</v>
      </c>
      <c r="AD15" s="20" t="s">
        <v>262</v>
      </c>
      <c r="AE15" s="20" t="s">
        <v>262</v>
      </c>
      <c r="AF15" s="20" t="s">
        <v>262</v>
      </c>
      <c r="AG15" s="20" t="s">
        <v>262</v>
      </c>
      <c r="AH15" s="20" t="s">
        <v>262</v>
      </c>
      <c r="AI15" s="20" t="s">
        <v>262</v>
      </c>
      <c r="AJ15" s="20" t="s">
        <v>262</v>
      </c>
      <c r="AK15" s="20" t="s">
        <v>262</v>
      </c>
      <c r="AL15" s="20" t="s">
        <v>262</v>
      </c>
      <c r="AM15" s="20" t="s">
        <v>262</v>
      </c>
    </row>
    <row r="16" spans="1:57" ht="15.95" customHeight="1">
      <c r="A16" s="45" t="s">
        <v>133</v>
      </c>
      <c r="B16" s="94" t="s">
        <v>10</v>
      </c>
      <c r="C16" s="20">
        <v>1</v>
      </c>
      <c r="D16" s="20" t="s">
        <v>261</v>
      </c>
      <c r="E16" s="20" t="s">
        <v>261</v>
      </c>
      <c r="F16" s="20" t="s">
        <v>261</v>
      </c>
      <c r="G16" s="20" t="s">
        <v>261</v>
      </c>
      <c r="H16" s="20" t="s">
        <v>261</v>
      </c>
      <c r="I16" s="20" t="s">
        <v>261</v>
      </c>
      <c r="J16" s="20" t="s">
        <v>261</v>
      </c>
      <c r="K16" s="20" t="s">
        <v>261</v>
      </c>
      <c r="L16" s="20" t="s">
        <v>261</v>
      </c>
      <c r="M16" s="20" t="s">
        <v>261</v>
      </c>
      <c r="N16" s="20" t="s">
        <v>261</v>
      </c>
      <c r="O16" s="20" t="s">
        <v>261</v>
      </c>
      <c r="P16" s="20" t="s">
        <v>261</v>
      </c>
      <c r="Q16" s="20" t="s">
        <v>261</v>
      </c>
      <c r="R16" s="20" t="s">
        <v>261</v>
      </c>
      <c r="S16" s="20" t="s">
        <v>261</v>
      </c>
      <c r="T16" s="20" t="s">
        <v>261</v>
      </c>
      <c r="U16" s="20" t="s">
        <v>261</v>
      </c>
      <c r="V16" s="20" t="s">
        <v>261</v>
      </c>
      <c r="W16" s="20" t="s">
        <v>261</v>
      </c>
      <c r="X16" s="20" t="s">
        <v>261</v>
      </c>
      <c r="Y16" s="20" t="s">
        <v>261</v>
      </c>
      <c r="Z16" s="20" t="s">
        <v>261</v>
      </c>
      <c r="AA16" s="20" t="s">
        <v>261</v>
      </c>
      <c r="AB16" s="20" t="s">
        <v>262</v>
      </c>
      <c r="AC16" s="20" t="s">
        <v>262</v>
      </c>
      <c r="AD16" s="20" t="s">
        <v>262</v>
      </c>
      <c r="AE16" s="20" t="s">
        <v>262</v>
      </c>
      <c r="AF16" s="20" t="s">
        <v>262</v>
      </c>
      <c r="AG16" s="20" t="s">
        <v>262</v>
      </c>
      <c r="AH16" s="20" t="s">
        <v>262</v>
      </c>
      <c r="AI16" s="20" t="s">
        <v>262</v>
      </c>
      <c r="AJ16" s="20" t="s">
        <v>262</v>
      </c>
      <c r="AK16" s="20" t="s">
        <v>262</v>
      </c>
      <c r="AL16" s="20" t="s">
        <v>262</v>
      </c>
      <c r="AM16" s="20" t="s">
        <v>262</v>
      </c>
    </row>
    <row r="17" spans="1:39" ht="15.95" customHeight="1">
      <c r="A17" s="45" t="s">
        <v>134</v>
      </c>
      <c r="B17" s="94" t="s">
        <v>11</v>
      </c>
      <c r="C17" s="20">
        <v>1</v>
      </c>
      <c r="D17" s="20">
        <v>2</v>
      </c>
      <c r="E17" s="20">
        <v>1</v>
      </c>
      <c r="F17" s="20">
        <v>1</v>
      </c>
      <c r="G17" s="20" t="s">
        <v>261</v>
      </c>
      <c r="H17" s="20" t="s">
        <v>261</v>
      </c>
      <c r="I17" s="20" t="s">
        <v>261</v>
      </c>
      <c r="J17" s="20" t="s">
        <v>261</v>
      </c>
      <c r="K17" s="20" t="s">
        <v>261</v>
      </c>
      <c r="L17" s="20" t="s">
        <v>261</v>
      </c>
      <c r="M17" s="20">
        <v>2</v>
      </c>
      <c r="N17" s="20">
        <v>1</v>
      </c>
      <c r="O17" s="20">
        <v>1</v>
      </c>
      <c r="P17" s="20">
        <v>653</v>
      </c>
      <c r="Q17" s="20">
        <v>320</v>
      </c>
      <c r="R17" s="20">
        <v>333</v>
      </c>
      <c r="S17" s="20" t="s">
        <v>261</v>
      </c>
      <c r="T17" s="20" t="s">
        <v>261</v>
      </c>
      <c r="U17" s="20" t="s">
        <v>261</v>
      </c>
      <c r="V17" s="20" t="s">
        <v>261</v>
      </c>
      <c r="W17" s="20" t="s">
        <v>261</v>
      </c>
      <c r="X17" s="20" t="s">
        <v>261</v>
      </c>
      <c r="Y17" s="20">
        <v>653</v>
      </c>
      <c r="Z17" s="20">
        <v>320</v>
      </c>
      <c r="AA17" s="20">
        <v>333</v>
      </c>
      <c r="AB17" s="20">
        <v>5768.5</v>
      </c>
      <c r="AC17" s="20">
        <v>2861.5</v>
      </c>
      <c r="AD17" s="20">
        <v>2907</v>
      </c>
      <c r="AE17" s="20" t="s">
        <v>262</v>
      </c>
      <c r="AF17" s="20" t="s">
        <v>262</v>
      </c>
      <c r="AG17" s="20" t="s">
        <v>262</v>
      </c>
      <c r="AH17" s="20" t="s">
        <v>262</v>
      </c>
      <c r="AI17" s="20" t="s">
        <v>262</v>
      </c>
      <c r="AJ17" s="20" t="s">
        <v>262</v>
      </c>
      <c r="AK17" s="20">
        <v>5768.5</v>
      </c>
      <c r="AL17" s="20">
        <v>2861.5</v>
      </c>
      <c r="AM17" s="20">
        <v>2907</v>
      </c>
    </row>
    <row r="18" spans="1:39" ht="15.95" customHeight="1">
      <c r="A18" s="45" t="s">
        <v>135</v>
      </c>
      <c r="B18" s="94" t="s">
        <v>12</v>
      </c>
      <c r="C18" s="20">
        <v>4</v>
      </c>
      <c r="D18" s="20">
        <v>43</v>
      </c>
      <c r="E18" s="20">
        <v>16</v>
      </c>
      <c r="F18" s="20">
        <v>27</v>
      </c>
      <c r="G18" s="20">
        <v>9</v>
      </c>
      <c r="H18" s="20">
        <v>6</v>
      </c>
      <c r="I18" s="20">
        <v>3</v>
      </c>
      <c r="J18" s="20">
        <v>6</v>
      </c>
      <c r="K18" s="20">
        <v>1</v>
      </c>
      <c r="L18" s="20">
        <v>5</v>
      </c>
      <c r="M18" s="20">
        <v>28</v>
      </c>
      <c r="N18" s="20">
        <v>9</v>
      </c>
      <c r="O18" s="20">
        <v>19</v>
      </c>
      <c r="P18" s="20">
        <v>5171</v>
      </c>
      <c r="Q18" s="20">
        <v>1779</v>
      </c>
      <c r="R18" s="20">
        <v>3392</v>
      </c>
      <c r="S18" s="20">
        <v>874</v>
      </c>
      <c r="T18" s="20">
        <v>667</v>
      </c>
      <c r="U18" s="20">
        <v>207</v>
      </c>
      <c r="V18" s="20">
        <v>987</v>
      </c>
      <c r="W18" s="20">
        <v>131</v>
      </c>
      <c r="X18" s="20">
        <v>856</v>
      </c>
      <c r="Y18" s="20">
        <v>3310</v>
      </c>
      <c r="Z18" s="20">
        <v>981</v>
      </c>
      <c r="AA18" s="20">
        <v>2329</v>
      </c>
      <c r="AB18" s="20">
        <v>24298</v>
      </c>
      <c r="AC18" s="20">
        <v>7505</v>
      </c>
      <c r="AD18" s="20">
        <v>16793</v>
      </c>
      <c r="AE18" s="20">
        <v>2862</v>
      </c>
      <c r="AF18" s="20">
        <v>2140</v>
      </c>
      <c r="AG18" s="20">
        <v>722</v>
      </c>
      <c r="AH18" s="20">
        <v>4913</v>
      </c>
      <c r="AI18" s="20">
        <v>420</v>
      </c>
      <c r="AJ18" s="20">
        <v>4493</v>
      </c>
      <c r="AK18" s="20">
        <v>16523</v>
      </c>
      <c r="AL18" s="20">
        <v>4945</v>
      </c>
      <c r="AM18" s="20">
        <v>11578</v>
      </c>
    </row>
    <row r="19" spans="1:39" ht="15.95" customHeight="1">
      <c r="A19" s="45" t="s">
        <v>136</v>
      </c>
      <c r="B19" s="94" t="s">
        <v>13</v>
      </c>
      <c r="C19" s="20">
        <v>2</v>
      </c>
      <c r="D19" s="20">
        <v>13</v>
      </c>
      <c r="E19" s="20">
        <v>4</v>
      </c>
      <c r="F19" s="20">
        <v>9</v>
      </c>
      <c r="G19" s="20">
        <v>4</v>
      </c>
      <c r="H19" s="20">
        <v>2</v>
      </c>
      <c r="I19" s="20">
        <v>2</v>
      </c>
      <c r="J19" s="20">
        <v>4</v>
      </c>
      <c r="K19" s="20" t="s">
        <v>261</v>
      </c>
      <c r="L19" s="20">
        <v>4</v>
      </c>
      <c r="M19" s="20">
        <v>5</v>
      </c>
      <c r="N19" s="20">
        <v>2</v>
      </c>
      <c r="O19" s="20">
        <v>3</v>
      </c>
      <c r="P19" s="20">
        <v>2989</v>
      </c>
      <c r="Q19" s="20">
        <v>959</v>
      </c>
      <c r="R19" s="20">
        <v>2030</v>
      </c>
      <c r="S19" s="20">
        <v>743</v>
      </c>
      <c r="T19" s="20">
        <v>357</v>
      </c>
      <c r="U19" s="20">
        <v>386</v>
      </c>
      <c r="V19" s="20">
        <v>593</v>
      </c>
      <c r="W19" s="20">
        <v>93</v>
      </c>
      <c r="X19" s="20">
        <v>500</v>
      </c>
      <c r="Y19" s="20">
        <v>1653</v>
      </c>
      <c r="Z19" s="20">
        <v>509</v>
      </c>
      <c r="AA19" s="20">
        <v>1144</v>
      </c>
      <c r="AB19" s="20">
        <v>23931</v>
      </c>
      <c r="AC19" s="20">
        <v>7672</v>
      </c>
      <c r="AD19" s="20">
        <v>16259</v>
      </c>
      <c r="AE19" s="20">
        <v>5944</v>
      </c>
      <c r="AF19" s="20">
        <v>2856</v>
      </c>
      <c r="AG19" s="20">
        <v>3088</v>
      </c>
      <c r="AH19" s="20">
        <v>4763</v>
      </c>
      <c r="AI19" s="20">
        <v>744</v>
      </c>
      <c r="AJ19" s="20">
        <v>4019</v>
      </c>
      <c r="AK19" s="20">
        <v>13224</v>
      </c>
      <c r="AL19" s="20">
        <v>4072</v>
      </c>
      <c r="AM19" s="20">
        <v>9152</v>
      </c>
    </row>
    <row r="20" spans="1:39" ht="15.95" customHeight="1">
      <c r="A20" s="45" t="s">
        <v>137</v>
      </c>
      <c r="B20" s="94" t="s">
        <v>14</v>
      </c>
      <c r="C20" s="20" t="s">
        <v>261</v>
      </c>
      <c r="D20" s="20" t="s">
        <v>261</v>
      </c>
      <c r="E20" s="20" t="s">
        <v>261</v>
      </c>
      <c r="F20" s="20" t="s">
        <v>261</v>
      </c>
      <c r="G20" s="20" t="s">
        <v>261</v>
      </c>
      <c r="H20" s="20" t="s">
        <v>261</v>
      </c>
      <c r="I20" s="20" t="s">
        <v>261</v>
      </c>
      <c r="J20" s="20" t="s">
        <v>261</v>
      </c>
      <c r="K20" s="20" t="s">
        <v>261</v>
      </c>
      <c r="L20" s="20" t="s">
        <v>261</v>
      </c>
      <c r="M20" s="20" t="s">
        <v>261</v>
      </c>
      <c r="N20" s="20" t="s">
        <v>261</v>
      </c>
      <c r="O20" s="20" t="s">
        <v>261</v>
      </c>
      <c r="P20" s="20" t="s">
        <v>261</v>
      </c>
      <c r="Q20" s="20" t="s">
        <v>261</v>
      </c>
      <c r="R20" s="20" t="s">
        <v>261</v>
      </c>
      <c r="S20" s="20" t="s">
        <v>261</v>
      </c>
      <c r="T20" s="20" t="s">
        <v>261</v>
      </c>
      <c r="U20" s="20" t="s">
        <v>261</v>
      </c>
      <c r="V20" s="20" t="s">
        <v>261</v>
      </c>
      <c r="W20" s="20" t="s">
        <v>261</v>
      </c>
      <c r="X20" s="20" t="s">
        <v>261</v>
      </c>
      <c r="Y20" s="20" t="s">
        <v>261</v>
      </c>
      <c r="Z20" s="20" t="s">
        <v>261</v>
      </c>
      <c r="AA20" s="20" t="s">
        <v>261</v>
      </c>
      <c r="AB20" s="20" t="s">
        <v>262</v>
      </c>
      <c r="AC20" s="20" t="s">
        <v>262</v>
      </c>
      <c r="AD20" s="20" t="s">
        <v>262</v>
      </c>
      <c r="AE20" s="20" t="s">
        <v>262</v>
      </c>
      <c r="AF20" s="20" t="s">
        <v>262</v>
      </c>
      <c r="AG20" s="20" t="s">
        <v>262</v>
      </c>
      <c r="AH20" s="20" t="s">
        <v>262</v>
      </c>
      <c r="AI20" s="20" t="s">
        <v>262</v>
      </c>
      <c r="AJ20" s="20" t="s">
        <v>262</v>
      </c>
      <c r="AK20" s="20" t="s">
        <v>262</v>
      </c>
      <c r="AL20" s="20" t="s">
        <v>262</v>
      </c>
      <c r="AM20" s="20" t="s">
        <v>262</v>
      </c>
    </row>
    <row r="21" spans="1:39" ht="15.95" customHeight="1">
      <c r="A21" s="45" t="s">
        <v>138</v>
      </c>
      <c r="B21" s="94" t="s">
        <v>15</v>
      </c>
      <c r="C21" s="20">
        <v>2</v>
      </c>
      <c r="D21" s="20">
        <v>56</v>
      </c>
      <c r="E21" s="20">
        <v>17</v>
      </c>
      <c r="F21" s="20">
        <v>39</v>
      </c>
      <c r="G21" s="20">
        <v>24</v>
      </c>
      <c r="H21" s="20">
        <v>11</v>
      </c>
      <c r="I21" s="20">
        <v>13</v>
      </c>
      <c r="J21" s="20">
        <v>8</v>
      </c>
      <c r="K21" s="20">
        <v>2</v>
      </c>
      <c r="L21" s="20">
        <v>6</v>
      </c>
      <c r="M21" s="20">
        <v>24</v>
      </c>
      <c r="N21" s="20">
        <v>4</v>
      </c>
      <c r="O21" s="20">
        <v>20</v>
      </c>
      <c r="P21" s="20">
        <v>1936</v>
      </c>
      <c r="Q21" s="20">
        <v>688</v>
      </c>
      <c r="R21" s="20">
        <v>1248</v>
      </c>
      <c r="S21" s="20">
        <v>909</v>
      </c>
      <c r="T21" s="20">
        <v>474</v>
      </c>
      <c r="U21" s="20">
        <v>435</v>
      </c>
      <c r="V21" s="20">
        <v>324</v>
      </c>
      <c r="W21" s="20">
        <v>99</v>
      </c>
      <c r="X21" s="20">
        <v>225</v>
      </c>
      <c r="Y21" s="20">
        <v>703</v>
      </c>
      <c r="Z21" s="20">
        <v>115</v>
      </c>
      <c r="AA21" s="20">
        <v>588</v>
      </c>
      <c r="AB21" s="20">
        <v>9284</v>
      </c>
      <c r="AC21" s="20">
        <v>3488</v>
      </c>
      <c r="AD21" s="20">
        <v>5796</v>
      </c>
      <c r="AE21" s="20">
        <v>4468</v>
      </c>
      <c r="AF21" s="20">
        <v>2467</v>
      </c>
      <c r="AG21" s="20">
        <v>2001</v>
      </c>
      <c r="AH21" s="20">
        <v>1524</v>
      </c>
      <c r="AI21" s="20">
        <v>445</v>
      </c>
      <c r="AJ21" s="20">
        <v>1079</v>
      </c>
      <c r="AK21" s="20">
        <v>3292</v>
      </c>
      <c r="AL21" s="20">
        <v>576</v>
      </c>
      <c r="AM21" s="20">
        <v>2716</v>
      </c>
    </row>
    <row r="22" spans="1:39" ht="15.95" customHeight="1">
      <c r="A22" s="45" t="s">
        <v>139</v>
      </c>
      <c r="B22" s="94" t="s">
        <v>16</v>
      </c>
      <c r="C22" s="20">
        <v>1</v>
      </c>
      <c r="D22" s="20">
        <v>10</v>
      </c>
      <c r="E22" s="20">
        <v>8</v>
      </c>
      <c r="F22" s="20">
        <v>2</v>
      </c>
      <c r="G22" s="20">
        <v>3</v>
      </c>
      <c r="H22" s="20">
        <v>3</v>
      </c>
      <c r="I22" s="20" t="s">
        <v>261</v>
      </c>
      <c r="J22" s="20" t="s">
        <v>261</v>
      </c>
      <c r="K22" s="20" t="s">
        <v>261</v>
      </c>
      <c r="L22" s="20" t="s">
        <v>261</v>
      </c>
      <c r="M22" s="20">
        <v>7</v>
      </c>
      <c r="N22" s="20">
        <v>5</v>
      </c>
      <c r="O22" s="20">
        <v>2</v>
      </c>
      <c r="P22" s="20">
        <v>1589</v>
      </c>
      <c r="Q22" s="20">
        <v>1326</v>
      </c>
      <c r="R22" s="20">
        <v>263</v>
      </c>
      <c r="S22" s="20">
        <v>684</v>
      </c>
      <c r="T22" s="20">
        <v>684</v>
      </c>
      <c r="U22" s="20" t="s">
        <v>261</v>
      </c>
      <c r="V22" s="20" t="s">
        <v>261</v>
      </c>
      <c r="W22" s="20" t="s">
        <v>261</v>
      </c>
      <c r="X22" s="20" t="s">
        <v>261</v>
      </c>
      <c r="Y22" s="20">
        <v>905</v>
      </c>
      <c r="Z22" s="20">
        <v>642</v>
      </c>
      <c r="AA22" s="20">
        <v>263</v>
      </c>
      <c r="AB22" s="20">
        <v>7330</v>
      </c>
      <c r="AC22" s="20">
        <v>5998</v>
      </c>
      <c r="AD22" s="20">
        <v>1332</v>
      </c>
      <c r="AE22" s="20">
        <v>3331</v>
      </c>
      <c r="AF22" s="20">
        <v>3331</v>
      </c>
      <c r="AG22" s="20" t="s">
        <v>262</v>
      </c>
      <c r="AH22" s="20" t="s">
        <v>262</v>
      </c>
      <c r="AI22" s="20" t="s">
        <v>262</v>
      </c>
      <c r="AJ22" s="20" t="s">
        <v>262</v>
      </c>
      <c r="AK22" s="20">
        <v>3999</v>
      </c>
      <c r="AL22" s="20">
        <v>2667</v>
      </c>
      <c r="AM22" s="20">
        <v>1332</v>
      </c>
    </row>
    <row r="23" spans="1:39" ht="15.95" customHeight="1">
      <c r="A23" s="45" t="s">
        <v>140</v>
      </c>
      <c r="B23" s="94" t="s">
        <v>17</v>
      </c>
      <c r="C23" s="20">
        <v>1</v>
      </c>
      <c r="D23" s="20">
        <v>21</v>
      </c>
      <c r="E23" s="20">
        <v>10</v>
      </c>
      <c r="F23" s="20">
        <v>11</v>
      </c>
      <c r="G23" s="20">
        <v>4</v>
      </c>
      <c r="H23" s="20">
        <v>3</v>
      </c>
      <c r="I23" s="20">
        <v>1</v>
      </c>
      <c r="J23" s="20">
        <v>1</v>
      </c>
      <c r="K23" s="20">
        <v>1</v>
      </c>
      <c r="L23" s="20" t="s">
        <v>261</v>
      </c>
      <c r="M23" s="20">
        <v>16</v>
      </c>
      <c r="N23" s="20">
        <v>6</v>
      </c>
      <c r="O23" s="20">
        <v>10</v>
      </c>
      <c r="P23" s="20">
        <v>4604</v>
      </c>
      <c r="Q23" s="20">
        <v>1645</v>
      </c>
      <c r="R23" s="20">
        <v>2959</v>
      </c>
      <c r="S23" s="20">
        <v>642</v>
      </c>
      <c r="T23" s="20">
        <v>251</v>
      </c>
      <c r="U23" s="20">
        <v>391</v>
      </c>
      <c r="V23" s="20">
        <v>43</v>
      </c>
      <c r="W23" s="20">
        <v>40</v>
      </c>
      <c r="X23" s="20">
        <v>3</v>
      </c>
      <c r="Y23" s="20">
        <v>3919</v>
      </c>
      <c r="Z23" s="20">
        <v>1354</v>
      </c>
      <c r="AA23" s="20">
        <v>2565</v>
      </c>
      <c r="AB23" s="20">
        <v>27919</v>
      </c>
      <c r="AC23" s="20">
        <v>11741</v>
      </c>
      <c r="AD23" s="20">
        <v>16178</v>
      </c>
      <c r="AE23" s="20">
        <v>4258</v>
      </c>
      <c r="AF23" s="20">
        <v>2082</v>
      </c>
      <c r="AG23" s="20">
        <v>2176</v>
      </c>
      <c r="AH23" s="20">
        <v>429</v>
      </c>
      <c r="AI23" s="20">
        <v>339</v>
      </c>
      <c r="AJ23" s="20">
        <v>90</v>
      </c>
      <c r="AK23" s="20">
        <v>23232</v>
      </c>
      <c r="AL23" s="20">
        <v>9320</v>
      </c>
      <c r="AM23" s="20">
        <v>13912</v>
      </c>
    </row>
    <row r="24" spans="1:39" ht="15.95" customHeight="1">
      <c r="A24" s="45" t="s">
        <v>141</v>
      </c>
      <c r="B24" s="94" t="s">
        <v>18</v>
      </c>
      <c r="C24" s="20">
        <v>1</v>
      </c>
      <c r="D24" s="20">
        <v>2</v>
      </c>
      <c r="E24" s="20">
        <v>2</v>
      </c>
      <c r="F24" s="20" t="s">
        <v>261</v>
      </c>
      <c r="G24" s="20">
        <v>1</v>
      </c>
      <c r="H24" s="20">
        <v>1</v>
      </c>
      <c r="I24" s="20" t="s">
        <v>261</v>
      </c>
      <c r="J24" s="20" t="s">
        <v>261</v>
      </c>
      <c r="K24" s="20" t="s">
        <v>261</v>
      </c>
      <c r="L24" s="20" t="s">
        <v>261</v>
      </c>
      <c r="M24" s="20">
        <v>1</v>
      </c>
      <c r="N24" s="20">
        <v>1</v>
      </c>
      <c r="O24" s="20" t="s">
        <v>261</v>
      </c>
      <c r="P24" s="20">
        <v>260</v>
      </c>
      <c r="Q24" s="20">
        <v>260</v>
      </c>
      <c r="R24" s="20" t="s">
        <v>261</v>
      </c>
      <c r="S24" s="20">
        <v>189</v>
      </c>
      <c r="T24" s="20">
        <v>189</v>
      </c>
      <c r="U24" s="20" t="s">
        <v>261</v>
      </c>
      <c r="V24" s="20">
        <v>12</v>
      </c>
      <c r="W24" s="20">
        <v>12</v>
      </c>
      <c r="X24" s="20" t="s">
        <v>261</v>
      </c>
      <c r="Y24" s="20">
        <v>59</v>
      </c>
      <c r="Z24" s="20">
        <v>59</v>
      </c>
      <c r="AA24" s="20" t="s">
        <v>261</v>
      </c>
      <c r="AB24" s="20">
        <v>806</v>
      </c>
      <c r="AC24" s="20">
        <v>806</v>
      </c>
      <c r="AD24" s="20" t="s">
        <v>262</v>
      </c>
      <c r="AE24" s="20">
        <v>531.5</v>
      </c>
      <c r="AF24" s="20">
        <v>531.5</v>
      </c>
      <c r="AG24" s="20" t="s">
        <v>262</v>
      </c>
      <c r="AH24" s="20">
        <v>48</v>
      </c>
      <c r="AI24" s="20">
        <v>48</v>
      </c>
      <c r="AJ24" s="20" t="s">
        <v>262</v>
      </c>
      <c r="AK24" s="20">
        <v>226.5</v>
      </c>
      <c r="AL24" s="20">
        <v>226.5</v>
      </c>
      <c r="AM24" s="20" t="s">
        <v>262</v>
      </c>
    </row>
    <row r="25" spans="1:39" ht="15.95" customHeight="1">
      <c r="A25" s="45" t="s">
        <v>142</v>
      </c>
      <c r="B25" s="94" t="s">
        <v>19</v>
      </c>
      <c r="C25" s="20" t="s">
        <v>261</v>
      </c>
      <c r="D25" s="20" t="s">
        <v>261</v>
      </c>
      <c r="E25" s="20" t="s">
        <v>261</v>
      </c>
      <c r="F25" s="20" t="s">
        <v>261</v>
      </c>
      <c r="G25" s="20" t="s">
        <v>261</v>
      </c>
      <c r="H25" s="20" t="s">
        <v>261</v>
      </c>
      <c r="I25" s="20" t="s">
        <v>261</v>
      </c>
      <c r="J25" s="20" t="s">
        <v>261</v>
      </c>
      <c r="K25" s="20" t="s">
        <v>261</v>
      </c>
      <c r="L25" s="20" t="s">
        <v>261</v>
      </c>
      <c r="M25" s="20" t="s">
        <v>261</v>
      </c>
      <c r="N25" s="20" t="s">
        <v>261</v>
      </c>
      <c r="O25" s="20" t="s">
        <v>261</v>
      </c>
      <c r="P25" s="20" t="s">
        <v>261</v>
      </c>
      <c r="Q25" s="20" t="s">
        <v>261</v>
      </c>
      <c r="R25" s="20" t="s">
        <v>261</v>
      </c>
      <c r="S25" s="20" t="s">
        <v>261</v>
      </c>
      <c r="T25" s="20" t="s">
        <v>261</v>
      </c>
      <c r="U25" s="20" t="s">
        <v>261</v>
      </c>
      <c r="V25" s="20" t="s">
        <v>261</v>
      </c>
      <c r="W25" s="20" t="s">
        <v>261</v>
      </c>
      <c r="X25" s="20" t="s">
        <v>261</v>
      </c>
      <c r="Y25" s="20" t="s">
        <v>261</v>
      </c>
      <c r="Z25" s="20" t="s">
        <v>261</v>
      </c>
      <c r="AA25" s="20" t="s">
        <v>261</v>
      </c>
      <c r="AB25" s="20" t="s">
        <v>262</v>
      </c>
      <c r="AC25" s="20" t="s">
        <v>262</v>
      </c>
      <c r="AD25" s="20" t="s">
        <v>262</v>
      </c>
      <c r="AE25" s="20" t="s">
        <v>262</v>
      </c>
      <c r="AF25" s="20" t="s">
        <v>262</v>
      </c>
      <c r="AG25" s="20" t="s">
        <v>262</v>
      </c>
      <c r="AH25" s="20" t="s">
        <v>262</v>
      </c>
      <c r="AI25" s="20" t="s">
        <v>262</v>
      </c>
      <c r="AJ25" s="20" t="s">
        <v>262</v>
      </c>
      <c r="AK25" s="20" t="s">
        <v>262</v>
      </c>
      <c r="AL25" s="20" t="s">
        <v>262</v>
      </c>
      <c r="AM25" s="20" t="s">
        <v>262</v>
      </c>
    </row>
    <row r="26" spans="1:39" ht="15.95" customHeight="1">
      <c r="A26" s="45" t="s">
        <v>143</v>
      </c>
      <c r="B26" s="94" t="s">
        <v>20</v>
      </c>
      <c r="C26" s="20">
        <v>1</v>
      </c>
      <c r="D26" s="20" t="s">
        <v>261</v>
      </c>
      <c r="E26" s="20" t="s">
        <v>261</v>
      </c>
      <c r="F26" s="20" t="s">
        <v>261</v>
      </c>
      <c r="G26" s="20" t="s">
        <v>261</v>
      </c>
      <c r="H26" s="20" t="s">
        <v>261</v>
      </c>
      <c r="I26" s="20" t="s">
        <v>261</v>
      </c>
      <c r="J26" s="20" t="s">
        <v>261</v>
      </c>
      <c r="K26" s="20" t="s">
        <v>261</v>
      </c>
      <c r="L26" s="20" t="s">
        <v>261</v>
      </c>
      <c r="M26" s="20" t="s">
        <v>261</v>
      </c>
      <c r="N26" s="20" t="s">
        <v>261</v>
      </c>
      <c r="O26" s="20" t="s">
        <v>261</v>
      </c>
      <c r="P26" s="20" t="s">
        <v>261</v>
      </c>
      <c r="Q26" s="20" t="s">
        <v>261</v>
      </c>
      <c r="R26" s="20" t="s">
        <v>261</v>
      </c>
      <c r="S26" s="20" t="s">
        <v>261</v>
      </c>
      <c r="T26" s="20" t="s">
        <v>261</v>
      </c>
      <c r="U26" s="20" t="s">
        <v>261</v>
      </c>
      <c r="V26" s="20" t="s">
        <v>261</v>
      </c>
      <c r="W26" s="20" t="s">
        <v>261</v>
      </c>
      <c r="X26" s="20" t="s">
        <v>261</v>
      </c>
      <c r="Y26" s="20" t="s">
        <v>261</v>
      </c>
      <c r="Z26" s="20" t="s">
        <v>261</v>
      </c>
      <c r="AA26" s="20" t="s">
        <v>261</v>
      </c>
      <c r="AB26" s="20" t="s">
        <v>262</v>
      </c>
      <c r="AC26" s="20" t="s">
        <v>262</v>
      </c>
      <c r="AD26" s="20" t="s">
        <v>262</v>
      </c>
      <c r="AE26" s="20" t="s">
        <v>262</v>
      </c>
      <c r="AF26" s="20" t="s">
        <v>262</v>
      </c>
      <c r="AG26" s="20" t="s">
        <v>262</v>
      </c>
      <c r="AH26" s="20" t="s">
        <v>262</v>
      </c>
      <c r="AI26" s="20" t="s">
        <v>262</v>
      </c>
      <c r="AJ26" s="20" t="s">
        <v>262</v>
      </c>
      <c r="AK26" s="20" t="s">
        <v>262</v>
      </c>
      <c r="AL26" s="20" t="s">
        <v>262</v>
      </c>
      <c r="AM26" s="20" t="s">
        <v>262</v>
      </c>
    </row>
    <row r="27" spans="1:39" ht="15.95" customHeight="1">
      <c r="A27" s="45" t="s">
        <v>144</v>
      </c>
      <c r="B27" s="94" t="s">
        <v>21</v>
      </c>
      <c r="C27" s="20">
        <v>1</v>
      </c>
      <c r="D27" s="20">
        <v>2</v>
      </c>
      <c r="E27" s="20" t="s">
        <v>261</v>
      </c>
      <c r="F27" s="20">
        <v>2</v>
      </c>
      <c r="G27" s="20" t="s">
        <v>261</v>
      </c>
      <c r="H27" s="20" t="s">
        <v>261</v>
      </c>
      <c r="I27" s="20" t="s">
        <v>261</v>
      </c>
      <c r="J27" s="20">
        <v>1</v>
      </c>
      <c r="K27" s="20" t="s">
        <v>261</v>
      </c>
      <c r="L27" s="20">
        <v>1</v>
      </c>
      <c r="M27" s="20">
        <v>1</v>
      </c>
      <c r="N27" s="20" t="s">
        <v>261</v>
      </c>
      <c r="O27" s="20">
        <v>1</v>
      </c>
      <c r="P27" s="20">
        <v>112</v>
      </c>
      <c r="Q27" s="20" t="s">
        <v>261</v>
      </c>
      <c r="R27" s="20">
        <v>112</v>
      </c>
      <c r="S27" s="20" t="s">
        <v>261</v>
      </c>
      <c r="T27" s="20" t="s">
        <v>261</v>
      </c>
      <c r="U27" s="20" t="s">
        <v>261</v>
      </c>
      <c r="V27" s="20">
        <v>32</v>
      </c>
      <c r="W27" s="20" t="s">
        <v>261</v>
      </c>
      <c r="X27" s="20">
        <v>32</v>
      </c>
      <c r="Y27" s="20">
        <v>80</v>
      </c>
      <c r="Z27" s="20" t="s">
        <v>261</v>
      </c>
      <c r="AA27" s="20">
        <v>80</v>
      </c>
      <c r="AB27" s="20">
        <v>845.5</v>
      </c>
      <c r="AC27" s="20" t="s">
        <v>262</v>
      </c>
      <c r="AD27" s="20">
        <v>845.5</v>
      </c>
      <c r="AE27" s="20" t="s">
        <v>262</v>
      </c>
      <c r="AF27" s="20" t="s">
        <v>262</v>
      </c>
      <c r="AG27" s="20" t="s">
        <v>262</v>
      </c>
      <c r="AH27" s="20">
        <v>240</v>
      </c>
      <c r="AI27" s="20" t="s">
        <v>262</v>
      </c>
      <c r="AJ27" s="20">
        <v>240</v>
      </c>
      <c r="AK27" s="20">
        <v>605.5</v>
      </c>
      <c r="AL27" s="20" t="s">
        <v>262</v>
      </c>
      <c r="AM27" s="20">
        <v>605.5</v>
      </c>
    </row>
    <row r="28" spans="1:39" ht="15.95" customHeight="1">
      <c r="A28" s="45" t="s">
        <v>145</v>
      </c>
      <c r="B28" s="94" t="s">
        <v>22</v>
      </c>
      <c r="C28" s="20" t="s">
        <v>261</v>
      </c>
      <c r="D28" s="20" t="s">
        <v>261</v>
      </c>
      <c r="E28" s="20" t="s">
        <v>261</v>
      </c>
      <c r="F28" s="20" t="s">
        <v>261</v>
      </c>
      <c r="G28" s="20" t="s">
        <v>261</v>
      </c>
      <c r="H28" s="20" t="s">
        <v>261</v>
      </c>
      <c r="I28" s="20" t="s">
        <v>261</v>
      </c>
      <c r="J28" s="20" t="s">
        <v>261</v>
      </c>
      <c r="K28" s="20" t="s">
        <v>261</v>
      </c>
      <c r="L28" s="20" t="s">
        <v>261</v>
      </c>
      <c r="M28" s="20" t="s">
        <v>261</v>
      </c>
      <c r="N28" s="20" t="s">
        <v>261</v>
      </c>
      <c r="O28" s="20" t="s">
        <v>261</v>
      </c>
      <c r="P28" s="20" t="s">
        <v>261</v>
      </c>
      <c r="Q28" s="20" t="s">
        <v>261</v>
      </c>
      <c r="R28" s="20" t="s">
        <v>261</v>
      </c>
      <c r="S28" s="20" t="s">
        <v>261</v>
      </c>
      <c r="T28" s="20" t="s">
        <v>261</v>
      </c>
      <c r="U28" s="20" t="s">
        <v>261</v>
      </c>
      <c r="V28" s="20" t="s">
        <v>261</v>
      </c>
      <c r="W28" s="20" t="s">
        <v>261</v>
      </c>
      <c r="X28" s="20" t="s">
        <v>261</v>
      </c>
      <c r="Y28" s="20" t="s">
        <v>261</v>
      </c>
      <c r="Z28" s="20" t="s">
        <v>261</v>
      </c>
      <c r="AA28" s="20" t="s">
        <v>261</v>
      </c>
      <c r="AB28" s="20" t="s">
        <v>262</v>
      </c>
      <c r="AC28" s="20" t="s">
        <v>262</v>
      </c>
      <c r="AD28" s="20" t="s">
        <v>262</v>
      </c>
      <c r="AE28" s="20" t="s">
        <v>262</v>
      </c>
      <c r="AF28" s="20" t="s">
        <v>262</v>
      </c>
      <c r="AG28" s="20" t="s">
        <v>262</v>
      </c>
      <c r="AH28" s="20" t="s">
        <v>262</v>
      </c>
      <c r="AI28" s="20" t="s">
        <v>262</v>
      </c>
      <c r="AJ28" s="20" t="s">
        <v>262</v>
      </c>
      <c r="AK28" s="20" t="s">
        <v>262</v>
      </c>
      <c r="AL28" s="20" t="s">
        <v>262</v>
      </c>
      <c r="AM28" s="20" t="s">
        <v>262</v>
      </c>
    </row>
    <row r="29" spans="1:39" ht="15.95" customHeight="1">
      <c r="A29" s="46" t="s">
        <v>146</v>
      </c>
      <c r="B29" s="95" t="s">
        <v>23</v>
      </c>
      <c r="C29" s="22" t="s">
        <v>261</v>
      </c>
      <c r="D29" s="22" t="s">
        <v>261</v>
      </c>
      <c r="E29" s="22" t="s">
        <v>261</v>
      </c>
      <c r="F29" s="22" t="s">
        <v>261</v>
      </c>
      <c r="G29" s="22" t="s">
        <v>261</v>
      </c>
      <c r="H29" s="22" t="s">
        <v>261</v>
      </c>
      <c r="I29" s="22" t="s">
        <v>261</v>
      </c>
      <c r="J29" s="22" t="s">
        <v>261</v>
      </c>
      <c r="K29" s="22" t="s">
        <v>261</v>
      </c>
      <c r="L29" s="22" t="s">
        <v>261</v>
      </c>
      <c r="M29" s="22" t="s">
        <v>261</v>
      </c>
      <c r="N29" s="22" t="s">
        <v>261</v>
      </c>
      <c r="O29" s="22" t="s">
        <v>261</v>
      </c>
      <c r="P29" s="22" t="s">
        <v>261</v>
      </c>
      <c r="Q29" s="22" t="s">
        <v>261</v>
      </c>
      <c r="R29" s="22" t="s">
        <v>261</v>
      </c>
      <c r="S29" s="22" t="s">
        <v>261</v>
      </c>
      <c r="T29" s="22" t="s">
        <v>261</v>
      </c>
      <c r="U29" s="22" t="s">
        <v>261</v>
      </c>
      <c r="V29" s="22" t="s">
        <v>261</v>
      </c>
      <c r="W29" s="22" t="s">
        <v>261</v>
      </c>
      <c r="X29" s="22" t="s">
        <v>261</v>
      </c>
      <c r="Y29" s="22" t="s">
        <v>261</v>
      </c>
      <c r="Z29" s="22" t="s">
        <v>261</v>
      </c>
      <c r="AA29" s="22" t="s">
        <v>261</v>
      </c>
      <c r="AB29" s="22" t="s">
        <v>262</v>
      </c>
      <c r="AC29" s="22" t="s">
        <v>262</v>
      </c>
      <c r="AD29" s="22" t="s">
        <v>262</v>
      </c>
      <c r="AE29" s="22" t="s">
        <v>262</v>
      </c>
      <c r="AF29" s="22" t="s">
        <v>262</v>
      </c>
      <c r="AG29" s="22" t="s">
        <v>262</v>
      </c>
      <c r="AH29" s="22" t="s">
        <v>262</v>
      </c>
      <c r="AI29" s="22" t="s">
        <v>262</v>
      </c>
      <c r="AJ29" s="22" t="s">
        <v>262</v>
      </c>
      <c r="AK29" s="22" t="s">
        <v>262</v>
      </c>
      <c r="AL29" s="22" t="s">
        <v>262</v>
      </c>
      <c r="AM29" s="22" t="s">
        <v>262</v>
      </c>
    </row>
    <row r="30" spans="1:39">
      <c r="A30" s="96" t="s">
        <v>77</v>
      </c>
      <c r="B30" s="61"/>
    </row>
    <row r="31" spans="1:39">
      <c r="A31" s="97" t="s">
        <v>2</v>
      </c>
    </row>
    <row r="33" spans="1:57" ht="14.25">
      <c r="A33" s="3" t="s">
        <v>120</v>
      </c>
    </row>
    <row r="34" spans="1:57" s="13" customFormat="1" ht="21.75" hidden="1" customHeight="1">
      <c r="A34" s="106" t="s">
        <v>264</v>
      </c>
      <c r="B34" s="36" t="s">
        <v>39</v>
      </c>
      <c r="C34" s="90">
        <v>30</v>
      </c>
      <c r="D34" s="90">
        <v>147</v>
      </c>
      <c r="E34" s="90">
        <v>65</v>
      </c>
      <c r="F34" s="90">
        <v>82</v>
      </c>
      <c r="G34" s="90">
        <v>41</v>
      </c>
      <c r="H34" s="90">
        <v>27</v>
      </c>
      <c r="I34" s="90">
        <v>14</v>
      </c>
      <c r="J34" s="90">
        <v>16</v>
      </c>
      <c r="K34" s="90">
        <v>6</v>
      </c>
      <c r="L34" s="90">
        <v>10</v>
      </c>
      <c r="M34" s="90">
        <v>90</v>
      </c>
      <c r="N34" s="90">
        <v>32</v>
      </c>
      <c r="O34" s="90">
        <v>58</v>
      </c>
      <c r="P34" s="90">
        <v>13828</v>
      </c>
      <c r="Q34" s="90">
        <v>6032</v>
      </c>
      <c r="R34" s="90">
        <v>7796</v>
      </c>
      <c r="S34" s="90">
        <v>3578</v>
      </c>
      <c r="T34" s="90">
        <v>1661</v>
      </c>
      <c r="U34" s="90">
        <v>1917</v>
      </c>
      <c r="V34" s="90">
        <v>1432</v>
      </c>
      <c r="W34" s="90">
        <v>814</v>
      </c>
      <c r="X34" s="90">
        <v>618</v>
      </c>
      <c r="Y34" s="90">
        <v>8818</v>
      </c>
      <c r="Z34" s="90">
        <v>3557</v>
      </c>
      <c r="AA34" s="90">
        <v>5261</v>
      </c>
      <c r="AB34" s="90">
        <v>98237.1</v>
      </c>
      <c r="AC34" s="90">
        <v>45012</v>
      </c>
      <c r="AD34" s="90">
        <v>53225.1</v>
      </c>
      <c r="AE34" s="90">
        <v>20224.5</v>
      </c>
      <c r="AF34" s="90">
        <v>10706</v>
      </c>
      <c r="AG34" s="90">
        <v>9518.5</v>
      </c>
      <c r="AH34" s="90">
        <v>12177</v>
      </c>
      <c r="AI34" s="90">
        <v>7414</v>
      </c>
      <c r="AJ34" s="90">
        <v>4763</v>
      </c>
      <c r="AK34" s="90">
        <v>65835.600000000006</v>
      </c>
      <c r="AL34" s="90">
        <v>26892</v>
      </c>
      <c r="AM34" s="90">
        <v>38943.599999999999</v>
      </c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</row>
    <row r="35" spans="1:57" s="18" customFormat="1" ht="21" hidden="1" customHeight="1">
      <c r="A35" s="107" t="s">
        <v>265</v>
      </c>
      <c r="B35" s="108" t="s">
        <v>24</v>
      </c>
      <c r="C35" s="93">
        <v>1</v>
      </c>
      <c r="D35" s="93" t="s">
        <v>261</v>
      </c>
      <c r="E35" s="93" t="s">
        <v>261</v>
      </c>
      <c r="F35" s="93" t="s">
        <v>261</v>
      </c>
      <c r="G35" s="93" t="s">
        <v>261</v>
      </c>
      <c r="H35" s="93" t="s">
        <v>261</v>
      </c>
      <c r="I35" s="93" t="s">
        <v>261</v>
      </c>
      <c r="J35" s="93" t="s">
        <v>261</v>
      </c>
      <c r="K35" s="93" t="s">
        <v>261</v>
      </c>
      <c r="L35" s="93" t="s">
        <v>261</v>
      </c>
      <c r="M35" s="93" t="s">
        <v>261</v>
      </c>
      <c r="N35" s="93" t="s">
        <v>261</v>
      </c>
      <c r="O35" s="93" t="s">
        <v>261</v>
      </c>
      <c r="P35" s="93">
        <v>59</v>
      </c>
      <c r="Q35" s="93" t="s">
        <v>261</v>
      </c>
      <c r="R35" s="93">
        <v>59</v>
      </c>
      <c r="S35" s="93" t="s">
        <v>261</v>
      </c>
      <c r="T35" s="93" t="s">
        <v>261</v>
      </c>
      <c r="U35" s="93" t="s">
        <v>261</v>
      </c>
      <c r="V35" s="93" t="s">
        <v>261</v>
      </c>
      <c r="W35" s="93" t="s">
        <v>261</v>
      </c>
      <c r="X35" s="93" t="s">
        <v>261</v>
      </c>
      <c r="Y35" s="93">
        <v>59</v>
      </c>
      <c r="Z35" s="93" t="s">
        <v>261</v>
      </c>
      <c r="AA35" s="93">
        <v>59</v>
      </c>
      <c r="AB35" s="93">
        <v>209</v>
      </c>
      <c r="AC35" s="93" t="s">
        <v>262</v>
      </c>
      <c r="AD35" s="93">
        <v>209</v>
      </c>
      <c r="AE35" s="93" t="s">
        <v>262</v>
      </c>
      <c r="AF35" s="93" t="s">
        <v>262</v>
      </c>
      <c r="AG35" s="93" t="s">
        <v>262</v>
      </c>
      <c r="AH35" s="93" t="s">
        <v>262</v>
      </c>
      <c r="AI35" s="93" t="s">
        <v>262</v>
      </c>
      <c r="AJ35" s="93" t="s">
        <v>262</v>
      </c>
      <c r="AK35" s="93">
        <v>209</v>
      </c>
      <c r="AL35" s="93" t="s">
        <v>262</v>
      </c>
      <c r="AM35" s="93">
        <v>209</v>
      </c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</row>
    <row r="36" spans="1:57" s="18" customFormat="1" ht="21" hidden="1" customHeight="1">
      <c r="A36" s="107" t="s">
        <v>266</v>
      </c>
      <c r="B36" s="108" t="s">
        <v>25</v>
      </c>
      <c r="C36" s="93">
        <v>5</v>
      </c>
      <c r="D36" s="93">
        <v>14</v>
      </c>
      <c r="E36" s="93">
        <v>8</v>
      </c>
      <c r="F36" s="93">
        <v>6</v>
      </c>
      <c r="G36" s="93">
        <v>1</v>
      </c>
      <c r="H36" s="93">
        <v>1</v>
      </c>
      <c r="I36" s="93" t="s">
        <v>261</v>
      </c>
      <c r="J36" s="93">
        <v>3</v>
      </c>
      <c r="K36" s="93">
        <v>2</v>
      </c>
      <c r="L36" s="93">
        <v>1</v>
      </c>
      <c r="M36" s="93">
        <v>10</v>
      </c>
      <c r="N36" s="93">
        <v>5</v>
      </c>
      <c r="O36" s="93">
        <v>5</v>
      </c>
      <c r="P36" s="93">
        <v>1747</v>
      </c>
      <c r="Q36" s="93">
        <v>1090</v>
      </c>
      <c r="R36" s="93">
        <v>657</v>
      </c>
      <c r="S36" s="93">
        <v>129</v>
      </c>
      <c r="T36" s="93">
        <v>129</v>
      </c>
      <c r="U36" s="93" t="s">
        <v>261</v>
      </c>
      <c r="V36" s="93">
        <v>348</v>
      </c>
      <c r="W36" s="93">
        <v>287</v>
      </c>
      <c r="X36" s="93">
        <v>61</v>
      </c>
      <c r="Y36" s="93">
        <v>1270</v>
      </c>
      <c r="Z36" s="93">
        <v>674</v>
      </c>
      <c r="AA36" s="93">
        <v>596</v>
      </c>
      <c r="AB36" s="93">
        <v>16641</v>
      </c>
      <c r="AC36" s="93">
        <v>10439</v>
      </c>
      <c r="AD36" s="93">
        <v>6202</v>
      </c>
      <c r="AE36" s="93">
        <v>1290</v>
      </c>
      <c r="AF36" s="93">
        <v>1290</v>
      </c>
      <c r="AG36" s="93" t="s">
        <v>262</v>
      </c>
      <c r="AH36" s="93">
        <v>3490</v>
      </c>
      <c r="AI36" s="93">
        <v>2844</v>
      </c>
      <c r="AJ36" s="93">
        <v>646</v>
      </c>
      <c r="AK36" s="93">
        <v>11861</v>
      </c>
      <c r="AL36" s="93">
        <v>6305</v>
      </c>
      <c r="AM36" s="93">
        <v>5556</v>
      </c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</row>
    <row r="37" spans="1:57" s="18" customFormat="1" ht="21" hidden="1" customHeight="1">
      <c r="A37" s="107" t="s">
        <v>267</v>
      </c>
      <c r="B37" s="108" t="s">
        <v>26</v>
      </c>
      <c r="C37" s="93">
        <v>2</v>
      </c>
      <c r="D37" s="93">
        <v>18</v>
      </c>
      <c r="E37" s="93">
        <v>12</v>
      </c>
      <c r="F37" s="93">
        <v>6</v>
      </c>
      <c r="G37" s="93">
        <v>3</v>
      </c>
      <c r="H37" s="93">
        <v>3</v>
      </c>
      <c r="I37" s="93" t="s">
        <v>261</v>
      </c>
      <c r="J37" s="93">
        <v>1</v>
      </c>
      <c r="K37" s="93">
        <v>1</v>
      </c>
      <c r="L37" s="93" t="s">
        <v>261</v>
      </c>
      <c r="M37" s="93">
        <v>14</v>
      </c>
      <c r="N37" s="93">
        <v>8</v>
      </c>
      <c r="O37" s="93">
        <v>6</v>
      </c>
      <c r="P37" s="93">
        <v>2707</v>
      </c>
      <c r="Q37" s="93">
        <v>1676</v>
      </c>
      <c r="R37" s="93">
        <v>1031</v>
      </c>
      <c r="S37" s="93">
        <v>644</v>
      </c>
      <c r="T37" s="93">
        <v>377</v>
      </c>
      <c r="U37" s="93">
        <v>267</v>
      </c>
      <c r="V37" s="93">
        <v>233</v>
      </c>
      <c r="W37" s="93">
        <v>233</v>
      </c>
      <c r="X37" s="93" t="s">
        <v>261</v>
      </c>
      <c r="Y37" s="93">
        <v>1830</v>
      </c>
      <c r="Z37" s="93">
        <v>1066</v>
      </c>
      <c r="AA37" s="93">
        <v>764</v>
      </c>
      <c r="AB37" s="93">
        <v>23630.5</v>
      </c>
      <c r="AC37" s="93">
        <v>14378.5</v>
      </c>
      <c r="AD37" s="93">
        <v>9252</v>
      </c>
      <c r="AE37" s="93">
        <v>5631.5</v>
      </c>
      <c r="AF37" s="93">
        <v>3211</v>
      </c>
      <c r="AG37" s="93">
        <v>2420.5</v>
      </c>
      <c r="AH37" s="93">
        <v>2097</v>
      </c>
      <c r="AI37" s="93">
        <v>2097</v>
      </c>
      <c r="AJ37" s="93" t="s">
        <v>262</v>
      </c>
      <c r="AK37" s="93">
        <v>15902</v>
      </c>
      <c r="AL37" s="93">
        <v>9070.5</v>
      </c>
      <c r="AM37" s="93">
        <v>6831.5</v>
      </c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</row>
    <row r="38" spans="1:57" s="18" customFormat="1" ht="21" hidden="1" customHeight="1">
      <c r="A38" s="107" t="s">
        <v>268</v>
      </c>
      <c r="B38" s="108" t="s">
        <v>27</v>
      </c>
      <c r="C38" s="93">
        <v>2</v>
      </c>
      <c r="D38" s="93">
        <v>9</v>
      </c>
      <c r="E38" s="93">
        <v>3</v>
      </c>
      <c r="F38" s="93">
        <v>6</v>
      </c>
      <c r="G38" s="93">
        <v>1</v>
      </c>
      <c r="H38" s="93" t="s">
        <v>261</v>
      </c>
      <c r="I38" s="93">
        <v>1</v>
      </c>
      <c r="J38" s="93">
        <v>1</v>
      </c>
      <c r="K38" s="93">
        <v>1</v>
      </c>
      <c r="L38" s="93" t="s">
        <v>261</v>
      </c>
      <c r="M38" s="93">
        <v>7</v>
      </c>
      <c r="N38" s="93">
        <v>2</v>
      </c>
      <c r="O38" s="93">
        <v>5</v>
      </c>
      <c r="P38" s="93">
        <v>1520</v>
      </c>
      <c r="Q38" s="93">
        <v>518</v>
      </c>
      <c r="R38" s="93">
        <v>1002</v>
      </c>
      <c r="S38" s="93">
        <v>187</v>
      </c>
      <c r="T38" s="93" t="s">
        <v>261</v>
      </c>
      <c r="U38" s="93">
        <v>187</v>
      </c>
      <c r="V38" s="93">
        <v>261</v>
      </c>
      <c r="W38" s="93">
        <v>129</v>
      </c>
      <c r="X38" s="93">
        <v>132</v>
      </c>
      <c r="Y38" s="93">
        <v>1072</v>
      </c>
      <c r="Z38" s="93">
        <v>389</v>
      </c>
      <c r="AA38" s="93">
        <v>683</v>
      </c>
      <c r="AB38" s="93">
        <v>12387</v>
      </c>
      <c r="AC38" s="93">
        <v>4207</v>
      </c>
      <c r="AD38" s="93">
        <v>8180</v>
      </c>
      <c r="AE38" s="93">
        <v>1559</v>
      </c>
      <c r="AF38" s="93" t="s">
        <v>262</v>
      </c>
      <c r="AG38" s="93">
        <v>1559</v>
      </c>
      <c r="AH38" s="93">
        <v>2088</v>
      </c>
      <c r="AI38" s="93">
        <v>1032</v>
      </c>
      <c r="AJ38" s="93">
        <v>1056</v>
      </c>
      <c r="AK38" s="93">
        <v>8740</v>
      </c>
      <c r="AL38" s="93">
        <v>3175</v>
      </c>
      <c r="AM38" s="93">
        <v>5565</v>
      </c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</row>
    <row r="39" spans="1:57" s="18" customFormat="1" ht="21" hidden="1" customHeight="1">
      <c r="A39" s="107" t="s">
        <v>269</v>
      </c>
      <c r="B39" s="108" t="s">
        <v>28</v>
      </c>
      <c r="C39" s="93">
        <v>1</v>
      </c>
      <c r="D39" s="93">
        <v>4</v>
      </c>
      <c r="E39" s="93">
        <v>3</v>
      </c>
      <c r="F39" s="93">
        <v>1</v>
      </c>
      <c r="G39" s="93">
        <v>2</v>
      </c>
      <c r="H39" s="93">
        <v>1</v>
      </c>
      <c r="I39" s="93">
        <v>1</v>
      </c>
      <c r="J39" s="93" t="s">
        <v>261</v>
      </c>
      <c r="K39" s="93" t="s">
        <v>261</v>
      </c>
      <c r="L39" s="93" t="s">
        <v>261</v>
      </c>
      <c r="M39" s="93">
        <v>2</v>
      </c>
      <c r="N39" s="93">
        <v>2</v>
      </c>
      <c r="O39" s="93" t="s">
        <v>261</v>
      </c>
      <c r="P39" s="93">
        <v>369</v>
      </c>
      <c r="Q39" s="93">
        <v>274</v>
      </c>
      <c r="R39" s="93">
        <v>95</v>
      </c>
      <c r="S39" s="93">
        <v>215</v>
      </c>
      <c r="T39" s="93">
        <v>120</v>
      </c>
      <c r="U39" s="93">
        <v>95</v>
      </c>
      <c r="V39" s="93" t="s">
        <v>261</v>
      </c>
      <c r="W39" s="93" t="s">
        <v>261</v>
      </c>
      <c r="X39" s="93" t="s">
        <v>261</v>
      </c>
      <c r="Y39" s="93">
        <v>154</v>
      </c>
      <c r="Z39" s="93">
        <v>154</v>
      </c>
      <c r="AA39" s="93" t="s">
        <v>261</v>
      </c>
      <c r="AB39" s="93">
        <v>2845</v>
      </c>
      <c r="AC39" s="93">
        <v>2085</v>
      </c>
      <c r="AD39" s="93">
        <v>760</v>
      </c>
      <c r="AE39" s="93">
        <v>1720</v>
      </c>
      <c r="AF39" s="93">
        <v>960</v>
      </c>
      <c r="AG39" s="93">
        <v>760</v>
      </c>
      <c r="AH39" s="93" t="s">
        <v>262</v>
      </c>
      <c r="AI39" s="93" t="s">
        <v>262</v>
      </c>
      <c r="AJ39" s="93" t="s">
        <v>262</v>
      </c>
      <c r="AK39" s="93">
        <v>1125</v>
      </c>
      <c r="AL39" s="93">
        <v>1125</v>
      </c>
      <c r="AM39" s="93" t="s">
        <v>262</v>
      </c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</row>
    <row r="40" spans="1:57" s="18" customFormat="1" ht="21" hidden="1" customHeight="1">
      <c r="A40" s="107" t="s">
        <v>270</v>
      </c>
      <c r="B40" s="108" t="s">
        <v>271</v>
      </c>
      <c r="C40" s="93">
        <v>19</v>
      </c>
      <c r="D40" s="93">
        <v>102</v>
      </c>
      <c r="E40" s="93">
        <v>39</v>
      </c>
      <c r="F40" s="93">
        <v>63</v>
      </c>
      <c r="G40" s="93">
        <v>34</v>
      </c>
      <c r="H40" s="93">
        <v>22</v>
      </c>
      <c r="I40" s="93">
        <v>12</v>
      </c>
      <c r="J40" s="93">
        <v>11</v>
      </c>
      <c r="K40" s="93">
        <v>2</v>
      </c>
      <c r="L40" s="93">
        <v>9</v>
      </c>
      <c r="M40" s="93">
        <v>57</v>
      </c>
      <c r="N40" s="93">
        <v>15</v>
      </c>
      <c r="O40" s="93">
        <v>42</v>
      </c>
      <c r="P40" s="93">
        <v>7426</v>
      </c>
      <c r="Q40" s="93">
        <v>2474</v>
      </c>
      <c r="R40" s="93">
        <v>4952</v>
      </c>
      <c r="S40" s="93">
        <v>2403</v>
      </c>
      <c r="T40" s="93">
        <v>1035</v>
      </c>
      <c r="U40" s="93">
        <v>1368</v>
      </c>
      <c r="V40" s="93">
        <v>590</v>
      </c>
      <c r="W40" s="93">
        <v>165</v>
      </c>
      <c r="X40" s="93">
        <v>425</v>
      </c>
      <c r="Y40" s="93">
        <v>4433</v>
      </c>
      <c r="Z40" s="93">
        <v>1274</v>
      </c>
      <c r="AA40" s="93">
        <v>3159</v>
      </c>
      <c r="AB40" s="93">
        <v>42524.6</v>
      </c>
      <c r="AC40" s="93">
        <v>13902.5</v>
      </c>
      <c r="AD40" s="93">
        <v>28622.1</v>
      </c>
      <c r="AE40" s="93">
        <v>10024</v>
      </c>
      <c r="AF40" s="93">
        <v>5245</v>
      </c>
      <c r="AG40" s="93">
        <v>4779</v>
      </c>
      <c r="AH40" s="93">
        <v>4502</v>
      </c>
      <c r="AI40" s="93">
        <v>1441</v>
      </c>
      <c r="AJ40" s="93">
        <v>3061</v>
      </c>
      <c r="AK40" s="93">
        <v>27998.6</v>
      </c>
      <c r="AL40" s="93">
        <v>7216.5</v>
      </c>
      <c r="AM40" s="93">
        <v>20782.099999999999</v>
      </c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</row>
    <row r="41" spans="1:57" ht="21" hidden="1" customHeight="1">
      <c r="A41" s="109" t="s">
        <v>272</v>
      </c>
      <c r="B41" s="94" t="s">
        <v>7</v>
      </c>
      <c r="C41" s="20">
        <v>1</v>
      </c>
      <c r="D41" s="20">
        <v>1</v>
      </c>
      <c r="E41" s="20">
        <v>1</v>
      </c>
      <c r="F41" s="20" t="s">
        <v>261</v>
      </c>
      <c r="G41" s="20" t="s">
        <v>261</v>
      </c>
      <c r="H41" s="20" t="s">
        <v>261</v>
      </c>
      <c r="I41" s="20" t="s">
        <v>261</v>
      </c>
      <c r="J41" s="20" t="s">
        <v>261</v>
      </c>
      <c r="K41" s="20" t="s">
        <v>261</v>
      </c>
      <c r="L41" s="20" t="s">
        <v>261</v>
      </c>
      <c r="M41" s="20">
        <v>1</v>
      </c>
      <c r="N41" s="20">
        <v>1</v>
      </c>
      <c r="O41" s="20" t="s">
        <v>261</v>
      </c>
      <c r="P41" s="20">
        <v>319</v>
      </c>
      <c r="Q41" s="20">
        <v>319</v>
      </c>
      <c r="R41" s="20" t="s">
        <v>261</v>
      </c>
      <c r="S41" s="20">
        <v>37</v>
      </c>
      <c r="T41" s="20">
        <v>37</v>
      </c>
      <c r="U41" s="20" t="s">
        <v>261</v>
      </c>
      <c r="V41" s="20" t="s">
        <v>261</v>
      </c>
      <c r="W41" s="20" t="s">
        <v>261</v>
      </c>
      <c r="X41" s="20" t="s">
        <v>261</v>
      </c>
      <c r="Y41" s="20">
        <v>282</v>
      </c>
      <c r="Z41" s="20">
        <v>282</v>
      </c>
      <c r="AA41" s="20" t="s">
        <v>261</v>
      </c>
      <c r="AB41" s="20">
        <v>1320</v>
      </c>
      <c r="AC41" s="20">
        <v>1320</v>
      </c>
      <c r="AD41" s="20" t="s">
        <v>262</v>
      </c>
      <c r="AE41" s="20">
        <v>296</v>
      </c>
      <c r="AF41" s="20">
        <v>296</v>
      </c>
      <c r="AG41" s="20" t="s">
        <v>262</v>
      </c>
      <c r="AH41" s="20" t="s">
        <v>262</v>
      </c>
      <c r="AI41" s="20" t="s">
        <v>262</v>
      </c>
      <c r="AJ41" s="20" t="s">
        <v>262</v>
      </c>
      <c r="AK41" s="20">
        <v>1024</v>
      </c>
      <c r="AL41" s="20">
        <v>1024</v>
      </c>
      <c r="AM41" s="20" t="s">
        <v>262</v>
      </c>
    </row>
    <row r="42" spans="1:57" ht="21" hidden="1" customHeight="1">
      <c r="A42" s="109" t="s">
        <v>273</v>
      </c>
      <c r="B42" s="94" t="s">
        <v>8</v>
      </c>
      <c r="C42" s="20" t="s">
        <v>261</v>
      </c>
      <c r="D42" s="20" t="s">
        <v>261</v>
      </c>
      <c r="E42" s="20" t="s">
        <v>261</v>
      </c>
      <c r="F42" s="20" t="s">
        <v>261</v>
      </c>
      <c r="G42" s="20" t="s">
        <v>261</v>
      </c>
      <c r="H42" s="20" t="s">
        <v>261</v>
      </c>
      <c r="I42" s="20" t="s">
        <v>261</v>
      </c>
      <c r="J42" s="20" t="s">
        <v>261</v>
      </c>
      <c r="K42" s="20" t="s">
        <v>261</v>
      </c>
      <c r="L42" s="20" t="s">
        <v>261</v>
      </c>
      <c r="M42" s="20" t="s">
        <v>261</v>
      </c>
      <c r="N42" s="20" t="s">
        <v>261</v>
      </c>
      <c r="O42" s="20" t="s">
        <v>261</v>
      </c>
      <c r="P42" s="20" t="s">
        <v>261</v>
      </c>
      <c r="Q42" s="20" t="s">
        <v>261</v>
      </c>
      <c r="R42" s="20" t="s">
        <v>261</v>
      </c>
      <c r="S42" s="20" t="s">
        <v>261</v>
      </c>
      <c r="T42" s="20" t="s">
        <v>261</v>
      </c>
      <c r="U42" s="20" t="s">
        <v>261</v>
      </c>
      <c r="V42" s="20" t="s">
        <v>261</v>
      </c>
      <c r="W42" s="20" t="s">
        <v>261</v>
      </c>
      <c r="X42" s="20" t="s">
        <v>261</v>
      </c>
      <c r="Y42" s="20" t="s">
        <v>261</v>
      </c>
      <c r="Z42" s="20" t="s">
        <v>261</v>
      </c>
      <c r="AA42" s="20" t="s">
        <v>261</v>
      </c>
      <c r="AB42" s="20" t="s">
        <v>262</v>
      </c>
      <c r="AC42" s="20" t="s">
        <v>262</v>
      </c>
      <c r="AD42" s="20" t="s">
        <v>262</v>
      </c>
      <c r="AE42" s="20" t="s">
        <v>262</v>
      </c>
      <c r="AF42" s="20" t="s">
        <v>262</v>
      </c>
      <c r="AG42" s="20" t="s">
        <v>262</v>
      </c>
      <c r="AH42" s="20" t="s">
        <v>262</v>
      </c>
      <c r="AI42" s="20" t="s">
        <v>262</v>
      </c>
      <c r="AJ42" s="20" t="s">
        <v>262</v>
      </c>
      <c r="AK42" s="20" t="s">
        <v>262</v>
      </c>
      <c r="AL42" s="20" t="s">
        <v>262</v>
      </c>
      <c r="AM42" s="20" t="s">
        <v>262</v>
      </c>
    </row>
    <row r="43" spans="1:57" ht="21" hidden="1" customHeight="1">
      <c r="A43" s="109" t="s">
        <v>274</v>
      </c>
      <c r="B43" s="94" t="s">
        <v>9</v>
      </c>
      <c r="C43" s="20" t="s">
        <v>261</v>
      </c>
      <c r="D43" s="20" t="s">
        <v>261</v>
      </c>
      <c r="E43" s="20" t="s">
        <v>261</v>
      </c>
      <c r="F43" s="20" t="s">
        <v>261</v>
      </c>
      <c r="G43" s="20" t="s">
        <v>261</v>
      </c>
      <c r="H43" s="20" t="s">
        <v>261</v>
      </c>
      <c r="I43" s="20" t="s">
        <v>261</v>
      </c>
      <c r="J43" s="20" t="s">
        <v>261</v>
      </c>
      <c r="K43" s="20" t="s">
        <v>261</v>
      </c>
      <c r="L43" s="20" t="s">
        <v>261</v>
      </c>
      <c r="M43" s="20" t="s">
        <v>261</v>
      </c>
      <c r="N43" s="20" t="s">
        <v>261</v>
      </c>
      <c r="O43" s="20" t="s">
        <v>261</v>
      </c>
      <c r="P43" s="20" t="s">
        <v>261</v>
      </c>
      <c r="Q43" s="20" t="s">
        <v>261</v>
      </c>
      <c r="R43" s="20" t="s">
        <v>261</v>
      </c>
      <c r="S43" s="20" t="s">
        <v>261</v>
      </c>
      <c r="T43" s="20" t="s">
        <v>261</v>
      </c>
      <c r="U43" s="20" t="s">
        <v>261</v>
      </c>
      <c r="V43" s="20" t="s">
        <v>261</v>
      </c>
      <c r="W43" s="20" t="s">
        <v>261</v>
      </c>
      <c r="X43" s="20" t="s">
        <v>261</v>
      </c>
      <c r="Y43" s="20" t="s">
        <v>261</v>
      </c>
      <c r="Z43" s="20" t="s">
        <v>261</v>
      </c>
      <c r="AA43" s="20" t="s">
        <v>261</v>
      </c>
      <c r="AB43" s="20" t="s">
        <v>262</v>
      </c>
      <c r="AC43" s="20" t="s">
        <v>262</v>
      </c>
      <c r="AD43" s="20" t="s">
        <v>262</v>
      </c>
      <c r="AE43" s="20" t="s">
        <v>262</v>
      </c>
      <c r="AF43" s="20" t="s">
        <v>262</v>
      </c>
      <c r="AG43" s="20" t="s">
        <v>262</v>
      </c>
      <c r="AH43" s="20" t="s">
        <v>262</v>
      </c>
      <c r="AI43" s="20" t="s">
        <v>262</v>
      </c>
      <c r="AJ43" s="20" t="s">
        <v>262</v>
      </c>
      <c r="AK43" s="20" t="s">
        <v>262</v>
      </c>
      <c r="AL43" s="20" t="s">
        <v>262</v>
      </c>
      <c r="AM43" s="20" t="s">
        <v>262</v>
      </c>
    </row>
    <row r="44" spans="1:57" ht="21" hidden="1" customHeight="1">
      <c r="A44" s="109" t="s">
        <v>275</v>
      </c>
      <c r="B44" s="94" t="s">
        <v>10</v>
      </c>
      <c r="C44" s="20" t="s">
        <v>261</v>
      </c>
      <c r="D44" s="20" t="s">
        <v>261</v>
      </c>
      <c r="E44" s="20" t="s">
        <v>261</v>
      </c>
      <c r="F44" s="20" t="s">
        <v>261</v>
      </c>
      <c r="G44" s="20" t="s">
        <v>261</v>
      </c>
      <c r="H44" s="20" t="s">
        <v>261</v>
      </c>
      <c r="I44" s="20" t="s">
        <v>261</v>
      </c>
      <c r="J44" s="20" t="s">
        <v>261</v>
      </c>
      <c r="K44" s="20" t="s">
        <v>261</v>
      </c>
      <c r="L44" s="20" t="s">
        <v>261</v>
      </c>
      <c r="M44" s="20" t="s">
        <v>261</v>
      </c>
      <c r="N44" s="20" t="s">
        <v>261</v>
      </c>
      <c r="O44" s="20" t="s">
        <v>261</v>
      </c>
      <c r="P44" s="20" t="s">
        <v>261</v>
      </c>
      <c r="Q44" s="20" t="s">
        <v>261</v>
      </c>
      <c r="R44" s="20" t="s">
        <v>261</v>
      </c>
      <c r="S44" s="20" t="s">
        <v>261</v>
      </c>
      <c r="T44" s="20" t="s">
        <v>261</v>
      </c>
      <c r="U44" s="20" t="s">
        <v>261</v>
      </c>
      <c r="V44" s="20" t="s">
        <v>261</v>
      </c>
      <c r="W44" s="20" t="s">
        <v>261</v>
      </c>
      <c r="X44" s="20" t="s">
        <v>261</v>
      </c>
      <c r="Y44" s="20" t="s">
        <v>261</v>
      </c>
      <c r="Z44" s="20" t="s">
        <v>261</v>
      </c>
      <c r="AA44" s="20" t="s">
        <v>261</v>
      </c>
      <c r="AB44" s="20" t="s">
        <v>262</v>
      </c>
      <c r="AC44" s="20" t="s">
        <v>262</v>
      </c>
      <c r="AD44" s="20" t="s">
        <v>262</v>
      </c>
      <c r="AE44" s="20" t="s">
        <v>262</v>
      </c>
      <c r="AF44" s="20" t="s">
        <v>262</v>
      </c>
      <c r="AG44" s="20" t="s">
        <v>262</v>
      </c>
      <c r="AH44" s="20" t="s">
        <v>262</v>
      </c>
      <c r="AI44" s="20" t="s">
        <v>262</v>
      </c>
      <c r="AJ44" s="20" t="s">
        <v>262</v>
      </c>
      <c r="AK44" s="20" t="s">
        <v>262</v>
      </c>
      <c r="AL44" s="20" t="s">
        <v>262</v>
      </c>
      <c r="AM44" s="20" t="s">
        <v>262</v>
      </c>
    </row>
    <row r="45" spans="1:57" ht="21" hidden="1" customHeight="1">
      <c r="A45" s="109" t="s">
        <v>276</v>
      </c>
      <c r="B45" s="94" t="s">
        <v>11</v>
      </c>
      <c r="C45" s="20">
        <v>1</v>
      </c>
      <c r="D45" s="20">
        <v>4</v>
      </c>
      <c r="E45" s="20">
        <v>3</v>
      </c>
      <c r="F45" s="20">
        <v>1</v>
      </c>
      <c r="G45" s="20">
        <v>1</v>
      </c>
      <c r="H45" s="20">
        <v>1</v>
      </c>
      <c r="I45" s="20" t="s">
        <v>261</v>
      </c>
      <c r="J45" s="20" t="s">
        <v>261</v>
      </c>
      <c r="K45" s="20" t="s">
        <v>261</v>
      </c>
      <c r="L45" s="20" t="s">
        <v>261</v>
      </c>
      <c r="M45" s="20">
        <v>3</v>
      </c>
      <c r="N45" s="20">
        <v>2</v>
      </c>
      <c r="O45" s="20">
        <v>1</v>
      </c>
      <c r="P45" s="20">
        <v>579</v>
      </c>
      <c r="Q45" s="20">
        <v>382</v>
      </c>
      <c r="R45" s="20">
        <v>197</v>
      </c>
      <c r="S45" s="20">
        <v>119</v>
      </c>
      <c r="T45" s="20">
        <v>119</v>
      </c>
      <c r="U45" s="20" t="s">
        <v>261</v>
      </c>
      <c r="V45" s="20">
        <v>96</v>
      </c>
      <c r="W45" s="20">
        <v>96</v>
      </c>
      <c r="X45" s="20" t="s">
        <v>261</v>
      </c>
      <c r="Y45" s="20">
        <v>364</v>
      </c>
      <c r="Z45" s="20">
        <v>167</v>
      </c>
      <c r="AA45" s="20">
        <v>197</v>
      </c>
      <c r="AB45" s="20">
        <v>5034</v>
      </c>
      <c r="AC45" s="20">
        <v>3159.5</v>
      </c>
      <c r="AD45" s="20">
        <v>1874.5</v>
      </c>
      <c r="AE45" s="20">
        <v>587</v>
      </c>
      <c r="AF45" s="20">
        <v>587</v>
      </c>
      <c r="AG45" s="20" t="s">
        <v>262</v>
      </c>
      <c r="AH45" s="20">
        <v>981</v>
      </c>
      <c r="AI45" s="20">
        <v>981</v>
      </c>
      <c r="AJ45" s="20" t="s">
        <v>262</v>
      </c>
      <c r="AK45" s="20">
        <v>3466</v>
      </c>
      <c r="AL45" s="20">
        <v>1591.5</v>
      </c>
      <c r="AM45" s="20">
        <v>1874.5</v>
      </c>
    </row>
    <row r="46" spans="1:57" ht="21" hidden="1" customHeight="1">
      <c r="A46" s="109" t="s">
        <v>277</v>
      </c>
      <c r="B46" s="94" t="s">
        <v>12</v>
      </c>
      <c r="C46" s="20">
        <v>5</v>
      </c>
      <c r="D46" s="20">
        <v>34</v>
      </c>
      <c r="E46" s="20">
        <v>11</v>
      </c>
      <c r="F46" s="20">
        <v>23</v>
      </c>
      <c r="G46" s="20">
        <v>8</v>
      </c>
      <c r="H46" s="20">
        <v>5</v>
      </c>
      <c r="I46" s="20">
        <v>3</v>
      </c>
      <c r="J46" s="20">
        <v>2</v>
      </c>
      <c r="K46" s="20" t="s">
        <v>261</v>
      </c>
      <c r="L46" s="20">
        <v>2</v>
      </c>
      <c r="M46" s="20">
        <v>24</v>
      </c>
      <c r="N46" s="20">
        <v>6</v>
      </c>
      <c r="O46" s="20">
        <v>18</v>
      </c>
      <c r="P46" s="20">
        <v>2893</v>
      </c>
      <c r="Q46" s="20">
        <v>645</v>
      </c>
      <c r="R46" s="20">
        <v>2248</v>
      </c>
      <c r="S46" s="20">
        <v>1061</v>
      </c>
      <c r="T46" s="20">
        <v>262</v>
      </c>
      <c r="U46" s="20">
        <v>799</v>
      </c>
      <c r="V46" s="20">
        <v>152</v>
      </c>
      <c r="W46" s="20" t="s">
        <v>261</v>
      </c>
      <c r="X46" s="20">
        <v>152</v>
      </c>
      <c r="Y46" s="20">
        <v>1680</v>
      </c>
      <c r="Z46" s="20">
        <v>383</v>
      </c>
      <c r="AA46" s="20">
        <v>1297</v>
      </c>
      <c r="AB46" s="20">
        <v>10589</v>
      </c>
      <c r="AC46" s="20">
        <v>3076</v>
      </c>
      <c r="AD46" s="20">
        <v>7513</v>
      </c>
      <c r="AE46" s="20">
        <v>1556</v>
      </c>
      <c r="AF46" s="20">
        <v>1178</v>
      </c>
      <c r="AG46" s="20">
        <v>378</v>
      </c>
      <c r="AH46" s="20">
        <v>861</v>
      </c>
      <c r="AI46" s="20" t="s">
        <v>262</v>
      </c>
      <c r="AJ46" s="20">
        <v>861</v>
      </c>
      <c r="AK46" s="20">
        <v>8172</v>
      </c>
      <c r="AL46" s="20">
        <v>1898</v>
      </c>
      <c r="AM46" s="20">
        <v>6274</v>
      </c>
    </row>
    <row r="47" spans="1:57" ht="21" hidden="1" customHeight="1">
      <c r="A47" s="109" t="s">
        <v>278</v>
      </c>
      <c r="B47" s="94" t="s">
        <v>13</v>
      </c>
      <c r="C47" s="20">
        <v>2</v>
      </c>
      <c r="D47" s="20">
        <v>13</v>
      </c>
      <c r="E47" s="20">
        <v>3</v>
      </c>
      <c r="F47" s="20">
        <v>10</v>
      </c>
      <c r="G47" s="20">
        <v>4</v>
      </c>
      <c r="H47" s="20">
        <v>1</v>
      </c>
      <c r="I47" s="20">
        <v>3</v>
      </c>
      <c r="J47" s="20">
        <v>2</v>
      </c>
      <c r="K47" s="20" t="s">
        <v>261</v>
      </c>
      <c r="L47" s="20">
        <v>2</v>
      </c>
      <c r="M47" s="20">
        <v>7</v>
      </c>
      <c r="N47" s="20">
        <v>2</v>
      </c>
      <c r="O47" s="20">
        <v>5</v>
      </c>
      <c r="P47" s="20">
        <v>1442</v>
      </c>
      <c r="Q47" s="20">
        <v>240</v>
      </c>
      <c r="R47" s="20">
        <v>1202</v>
      </c>
      <c r="S47" s="20">
        <v>441</v>
      </c>
      <c r="T47" s="20">
        <v>57</v>
      </c>
      <c r="U47" s="20">
        <v>384</v>
      </c>
      <c r="V47" s="20">
        <v>241</v>
      </c>
      <c r="W47" s="20">
        <v>19</v>
      </c>
      <c r="X47" s="20">
        <v>222</v>
      </c>
      <c r="Y47" s="20">
        <v>760</v>
      </c>
      <c r="Z47" s="20">
        <v>164</v>
      </c>
      <c r="AA47" s="20">
        <v>596</v>
      </c>
      <c r="AB47" s="20">
        <v>11822</v>
      </c>
      <c r="AC47" s="20">
        <v>2059</v>
      </c>
      <c r="AD47" s="20">
        <v>9763</v>
      </c>
      <c r="AE47" s="20">
        <v>3528</v>
      </c>
      <c r="AF47" s="20">
        <v>456</v>
      </c>
      <c r="AG47" s="20">
        <v>3072</v>
      </c>
      <c r="AH47" s="20">
        <v>2084</v>
      </c>
      <c r="AI47" s="20">
        <v>226</v>
      </c>
      <c r="AJ47" s="20">
        <v>1858</v>
      </c>
      <c r="AK47" s="20">
        <v>6210</v>
      </c>
      <c r="AL47" s="20">
        <v>1377</v>
      </c>
      <c r="AM47" s="20">
        <v>4833</v>
      </c>
    </row>
    <row r="48" spans="1:57" ht="21" hidden="1" customHeight="1">
      <c r="A48" s="109" t="s">
        <v>279</v>
      </c>
      <c r="B48" s="94" t="s">
        <v>14</v>
      </c>
      <c r="C48" s="20" t="s">
        <v>261</v>
      </c>
      <c r="D48" s="20" t="s">
        <v>261</v>
      </c>
      <c r="E48" s="20" t="s">
        <v>261</v>
      </c>
      <c r="F48" s="20" t="s">
        <v>261</v>
      </c>
      <c r="G48" s="20" t="s">
        <v>261</v>
      </c>
      <c r="H48" s="20" t="s">
        <v>261</v>
      </c>
      <c r="I48" s="20" t="s">
        <v>261</v>
      </c>
      <c r="J48" s="20" t="s">
        <v>261</v>
      </c>
      <c r="K48" s="20" t="s">
        <v>261</v>
      </c>
      <c r="L48" s="20" t="s">
        <v>261</v>
      </c>
      <c r="M48" s="20" t="s">
        <v>261</v>
      </c>
      <c r="N48" s="20" t="s">
        <v>261</v>
      </c>
      <c r="O48" s="20" t="s">
        <v>261</v>
      </c>
      <c r="P48" s="20" t="s">
        <v>261</v>
      </c>
      <c r="Q48" s="20" t="s">
        <v>261</v>
      </c>
      <c r="R48" s="20" t="s">
        <v>261</v>
      </c>
      <c r="S48" s="20" t="s">
        <v>261</v>
      </c>
      <c r="T48" s="20" t="s">
        <v>261</v>
      </c>
      <c r="U48" s="20" t="s">
        <v>261</v>
      </c>
      <c r="V48" s="20" t="s">
        <v>261</v>
      </c>
      <c r="W48" s="20" t="s">
        <v>261</v>
      </c>
      <c r="X48" s="20" t="s">
        <v>261</v>
      </c>
      <c r="Y48" s="20" t="s">
        <v>261</v>
      </c>
      <c r="Z48" s="20" t="s">
        <v>261</v>
      </c>
      <c r="AA48" s="20" t="s">
        <v>261</v>
      </c>
      <c r="AB48" s="20" t="s">
        <v>262</v>
      </c>
      <c r="AC48" s="20" t="s">
        <v>262</v>
      </c>
      <c r="AD48" s="20" t="s">
        <v>262</v>
      </c>
      <c r="AE48" s="20" t="s">
        <v>262</v>
      </c>
      <c r="AF48" s="20" t="s">
        <v>262</v>
      </c>
      <c r="AG48" s="20" t="s">
        <v>262</v>
      </c>
      <c r="AH48" s="20" t="s">
        <v>262</v>
      </c>
      <c r="AI48" s="20" t="s">
        <v>262</v>
      </c>
      <c r="AJ48" s="20" t="s">
        <v>262</v>
      </c>
      <c r="AK48" s="20" t="s">
        <v>262</v>
      </c>
      <c r="AL48" s="20" t="s">
        <v>262</v>
      </c>
      <c r="AM48" s="20" t="s">
        <v>262</v>
      </c>
    </row>
    <row r="49" spans="1:57" ht="21" hidden="1" customHeight="1">
      <c r="A49" s="109" t="s">
        <v>280</v>
      </c>
      <c r="B49" s="94" t="s">
        <v>15</v>
      </c>
      <c r="C49" s="20" t="s">
        <v>261</v>
      </c>
      <c r="D49" s="20">
        <v>27</v>
      </c>
      <c r="E49" s="20">
        <v>10</v>
      </c>
      <c r="F49" s="20">
        <v>17</v>
      </c>
      <c r="G49" s="20">
        <v>14</v>
      </c>
      <c r="H49" s="20">
        <v>9</v>
      </c>
      <c r="I49" s="20">
        <v>5</v>
      </c>
      <c r="J49" s="20">
        <v>5</v>
      </c>
      <c r="K49" s="20">
        <v>1</v>
      </c>
      <c r="L49" s="20">
        <v>4</v>
      </c>
      <c r="M49" s="20">
        <v>8</v>
      </c>
      <c r="N49" s="20" t="s">
        <v>261</v>
      </c>
      <c r="O49" s="20">
        <v>8</v>
      </c>
      <c r="P49" s="20">
        <v>449</v>
      </c>
      <c r="Q49" s="20">
        <v>186</v>
      </c>
      <c r="R49" s="20">
        <v>263</v>
      </c>
      <c r="S49" s="20">
        <v>257</v>
      </c>
      <c r="T49" s="20">
        <v>164</v>
      </c>
      <c r="U49" s="20">
        <v>93</v>
      </c>
      <c r="V49" s="20">
        <v>64</v>
      </c>
      <c r="W49" s="20">
        <v>18</v>
      </c>
      <c r="X49" s="20">
        <v>46</v>
      </c>
      <c r="Y49" s="20">
        <v>128</v>
      </c>
      <c r="Z49" s="20">
        <v>4</v>
      </c>
      <c r="AA49" s="20">
        <v>124</v>
      </c>
      <c r="AB49" s="20">
        <v>2461</v>
      </c>
      <c r="AC49" s="20">
        <v>1024</v>
      </c>
      <c r="AD49" s="20">
        <v>1437</v>
      </c>
      <c r="AE49" s="20">
        <v>1479</v>
      </c>
      <c r="AF49" s="20">
        <v>890</v>
      </c>
      <c r="AG49" s="20">
        <v>589</v>
      </c>
      <c r="AH49" s="20">
        <v>416</v>
      </c>
      <c r="AI49" s="20">
        <v>114</v>
      </c>
      <c r="AJ49" s="20">
        <v>302</v>
      </c>
      <c r="AK49" s="20">
        <v>566</v>
      </c>
      <c r="AL49" s="20">
        <v>20</v>
      </c>
      <c r="AM49" s="20">
        <v>546</v>
      </c>
    </row>
    <row r="50" spans="1:57" ht="21" hidden="1" customHeight="1">
      <c r="A50" s="109" t="s">
        <v>281</v>
      </c>
      <c r="B50" s="94" t="s">
        <v>16</v>
      </c>
      <c r="C50" s="20">
        <v>5</v>
      </c>
      <c r="D50" s="20">
        <v>9</v>
      </c>
      <c r="E50" s="20">
        <v>8</v>
      </c>
      <c r="F50" s="20">
        <v>1</v>
      </c>
      <c r="G50" s="20">
        <v>5</v>
      </c>
      <c r="H50" s="20">
        <v>5</v>
      </c>
      <c r="I50" s="20" t="s">
        <v>261</v>
      </c>
      <c r="J50" s="20" t="s">
        <v>261</v>
      </c>
      <c r="K50" s="20" t="s">
        <v>261</v>
      </c>
      <c r="L50" s="20" t="s">
        <v>261</v>
      </c>
      <c r="M50" s="20">
        <v>4</v>
      </c>
      <c r="N50" s="20">
        <v>3</v>
      </c>
      <c r="O50" s="20">
        <v>1</v>
      </c>
      <c r="P50" s="20">
        <v>795</v>
      </c>
      <c r="Q50" s="20">
        <v>573</v>
      </c>
      <c r="R50" s="20">
        <v>222</v>
      </c>
      <c r="S50" s="20">
        <v>415</v>
      </c>
      <c r="T50" s="20">
        <v>381</v>
      </c>
      <c r="U50" s="20">
        <v>34</v>
      </c>
      <c r="V50" s="20" t="s">
        <v>261</v>
      </c>
      <c r="W50" s="20" t="s">
        <v>261</v>
      </c>
      <c r="X50" s="20" t="s">
        <v>261</v>
      </c>
      <c r="Y50" s="20">
        <v>380</v>
      </c>
      <c r="Z50" s="20">
        <v>192</v>
      </c>
      <c r="AA50" s="20">
        <v>188</v>
      </c>
      <c r="AB50" s="20">
        <v>3696</v>
      </c>
      <c r="AC50" s="20">
        <v>2440</v>
      </c>
      <c r="AD50" s="20">
        <v>1256</v>
      </c>
      <c r="AE50" s="20">
        <v>2066</v>
      </c>
      <c r="AF50" s="20">
        <v>1790</v>
      </c>
      <c r="AG50" s="20">
        <v>276</v>
      </c>
      <c r="AH50" s="20" t="s">
        <v>262</v>
      </c>
      <c r="AI50" s="20" t="s">
        <v>262</v>
      </c>
      <c r="AJ50" s="20" t="s">
        <v>262</v>
      </c>
      <c r="AK50" s="20">
        <v>1630</v>
      </c>
      <c r="AL50" s="20">
        <v>650</v>
      </c>
      <c r="AM50" s="20">
        <v>980</v>
      </c>
    </row>
    <row r="51" spans="1:57" ht="21" hidden="1" customHeight="1">
      <c r="A51" s="109" t="s">
        <v>282</v>
      </c>
      <c r="B51" s="94" t="s">
        <v>17</v>
      </c>
      <c r="C51" s="20">
        <v>2</v>
      </c>
      <c r="D51" s="20">
        <v>11</v>
      </c>
      <c r="E51" s="20">
        <v>1</v>
      </c>
      <c r="F51" s="20">
        <v>10</v>
      </c>
      <c r="G51" s="20">
        <v>1</v>
      </c>
      <c r="H51" s="20" t="s">
        <v>261</v>
      </c>
      <c r="I51" s="20">
        <v>1</v>
      </c>
      <c r="J51" s="20" t="s">
        <v>261</v>
      </c>
      <c r="K51" s="20" t="s">
        <v>261</v>
      </c>
      <c r="L51" s="20" t="s">
        <v>261</v>
      </c>
      <c r="M51" s="20">
        <v>10</v>
      </c>
      <c r="N51" s="20">
        <v>1</v>
      </c>
      <c r="O51" s="20">
        <v>9</v>
      </c>
      <c r="P51" s="20">
        <v>826</v>
      </c>
      <c r="Q51" s="20">
        <v>82</v>
      </c>
      <c r="R51" s="20">
        <v>744</v>
      </c>
      <c r="S51" s="20">
        <v>58</v>
      </c>
      <c r="T51" s="20" t="s">
        <v>261</v>
      </c>
      <c r="U51" s="20">
        <v>58</v>
      </c>
      <c r="V51" s="20" t="s">
        <v>261</v>
      </c>
      <c r="W51" s="20" t="s">
        <v>261</v>
      </c>
      <c r="X51" s="20" t="s">
        <v>261</v>
      </c>
      <c r="Y51" s="20">
        <v>768</v>
      </c>
      <c r="Z51" s="20">
        <v>82</v>
      </c>
      <c r="AA51" s="20">
        <v>686</v>
      </c>
      <c r="AB51" s="20">
        <v>6708.6</v>
      </c>
      <c r="AC51" s="20">
        <v>656</v>
      </c>
      <c r="AD51" s="20">
        <v>6052.6</v>
      </c>
      <c r="AE51" s="20">
        <v>464</v>
      </c>
      <c r="AF51" s="20" t="s">
        <v>262</v>
      </c>
      <c r="AG51" s="20">
        <v>464</v>
      </c>
      <c r="AH51" s="20" t="s">
        <v>262</v>
      </c>
      <c r="AI51" s="20" t="s">
        <v>262</v>
      </c>
      <c r="AJ51" s="20" t="s">
        <v>262</v>
      </c>
      <c r="AK51" s="20">
        <v>6244.6</v>
      </c>
      <c r="AL51" s="20">
        <v>656</v>
      </c>
      <c r="AM51" s="20">
        <v>5588.6</v>
      </c>
    </row>
    <row r="52" spans="1:57" ht="21" hidden="1" customHeight="1">
      <c r="A52" s="109" t="s">
        <v>283</v>
      </c>
      <c r="B52" s="94" t="s">
        <v>18</v>
      </c>
      <c r="C52" s="20">
        <v>1</v>
      </c>
      <c r="D52" s="20">
        <v>2</v>
      </c>
      <c r="E52" s="20">
        <v>2</v>
      </c>
      <c r="F52" s="20" t="s">
        <v>261</v>
      </c>
      <c r="G52" s="20">
        <v>1</v>
      </c>
      <c r="H52" s="20">
        <v>1</v>
      </c>
      <c r="I52" s="20" t="s">
        <v>261</v>
      </c>
      <c r="J52" s="20">
        <v>1</v>
      </c>
      <c r="K52" s="20">
        <v>1</v>
      </c>
      <c r="L52" s="20" t="s">
        <v>261</v>
      </c>
      <c r="M52" s="20" t="s">
        <v>261</v>
      </c>
      <c r="N52" s="20" t="s">
        <v>261</v>
      </c>
      <c r="O52" s="20" t="s">
        <v>261</v>
      </c>
      <c r="P52" s="20">
        <v>74</v>
      </c>
      <c r="Q52" s="20">
        <v>47</v>
      </c>
      <c r="R52" s="20">
        <v>27</v>
      </c>
      <c r="S52" s="20">
        <v>15</v>
      </c>
      <c r="T52" s="20">
        <v>15</v>
      </c>
      <c r="U52" s="20" t="s">
        <v>261</v>
      </c>
      <c r="V52" s="20">
        <v>32</v>
      </c>
      <c r="W52" s="20">
        <v>32</v>
      </c>
      <c r="X52" s="20" t="s">
        <v>261</v>
      </c>
      <c r="Y52" s="20">
        <v>27</v>
      </c>
      <c r="Z52" s="20" t="s">
        <v>261</v>
      </c>
      <c r="AA52" s="20">
        <v>27</v>
      </c>
      <c r="AB52" s="20">
        <v>503</v>
      </c>
      <c r="AC52" s="20">
        <v>168</v>
      </c>
      <c r="AD52" s="20">
        <v>335</v>
      </c>
      <c r="AE52" s="20">
        <v>48</v>
      </c>
      <c r="AF52" s="20">
        <v>48</v>
      </c>
      <c r="AG52" s="20" t="s">
        <v>262</v>
      </c>
      <c r="AH52" s="20">
        <v>120</v>
      </c>
      <c r="AI52" s="20">
        <v>120</v>
      </c>
      <c r="AJ52" s="20" t="s">
        <v>262</v>
      </c>
      <c r="AK52" s="20">
        <v>335</v>
      </c>
      <c r="AL52" s="20" t="s">
        <v>262</v>
      </c>
      <c r="AM52" s="20">
        <v>335</v>
      </c>
    </row>
    <row r="53" spans="1:57" ht="21" hidden="1" customHeight="1">
      <c r="A53" s="109" t="s">
        <v>284</v>
      </c>
      <c r="B53" s="94" t="s">
        <v>19</v>
      </c>
      <c r="C53" s="20" t="s">
        <v>261</v>
      </c>
      <c r="D53" s="20" t="s">
        <v>261</v>
      </c>
      <c r="E53" s="20" t="s">
        <v>261</v>
      </c>
      <c r="F53" s="20" t="s">
        <v>261</v>
      </c>
      <c r="G53" s="20" t="s">
        <v>261</v>
      </c>
      <c r="H53" s="20" t="s">
        <v>261</v>
      </c>
      <c r="I53" s="20" t="s">
        <v>261</v>
      </c>
      <c r="J53" s="20" t="s">
        <v>261</v>
      </c>
      <c r="K53" s="20" t="s">
        <v>261</v>
      </c>
      <c r="L53" s="20" t="s">
        <v>261</v>
      </c>
      <c r="M53" s="20" t="s">
        <v>261</v>
      </c>
      <c r="N53" s="20" t="s">
        <v>261</v>
      </c>
      <c r="O53" s="20" t="s">
        <v>261</v>
      </c>
      <c r="P53" s="20" t="s">
        <v>261</v>
      </c>
      <c r="Q53" s="20" t="s">
        <v>261</v>
      </c>
      <c r="R53" s="20" t="s">
        <v>261</v>
      </c>
      <c r="S53" s="20" t="s">
        <v>261</v>
      </c>
      <c r="T53" s="20" t="s">
        <v>261</v>
      </c>
      <c r="U53" s="20" t="s">
        <v>261</v>
      </c>
      <c r="V53" s="20" t="s">
        <v>261</v>
      </c>
      <c r="W53" s="20" t="s">
        <v>261</v>
      </c>
      <c r="X53" s="20" t="s">
        <v>261</v>
      </c>
      <c r="Y53" s="20" t="s">
        <v>261</v>
      </c>
      <c r="Z53" s="20" t="s">
        <v>261</v>
      </c>
      <c r="AA53" s="20" t="s">
        <v>261</v>
      </c>
      <c r="AB53" s="20" t="s">
        <v>262</v>
      </c>
      <c r="AC53" s="20" t="s">
        <v>262</v>
      </c>
      <c r="AD53" s="20" t="s">
        <v>262</v>
      </c>
      <c r="AE53" s="20" t="s">
        <v>262</v>
      </c>
      <c r="AF53" s="20" t="s">
        <v>262</v>
      </c>
      <c r="AG53" s="20" t="s">
        <v>262</v>
      </c>
      <c r="AH53" s="20" t="s">
        <v>262</v>
      </c>
      <c r="AI53" s="20" t="s">
        <v>262</v>
      </c>
      <c r="AJ53" s="20" t="s">
        <v>262</v>
      </c>
      <c r="AK53" s="20" t="s">
        <v>262</v>
      </c>
      <c r="AL53" s="20" t="s">
        <v>262</v>
      </c>
      <c r="AM53" s="20" t="s">
        <v>262</v>
      </c>
    </row>
    <row r="54" spans="1:57" ht="21" hidden="1" customHeight="1">
      <c r="A54" s="109" t="s">
        <v>285</v>
      </c>
      <c r="B54" s="94" t="s">
        <v>20</v>
      </c>
      <c r="C54" s="20">
        <v>1</v>
      </c>
      <c r="D54" s="20">
        <v>1</v>
      </c>
      <c r="E54" s="20" t="s">
        <v>261</v>
      </c>
      <c r="F54" s="20">
        <v>1</v>
      </c>
      <c r="G54" s="20" t="s">
        <v>261</v>
      </c>
      <c r="H54" s="20" t="s">
        <v>261</v>
      </c>
      <c r="I54" s="20" t="s">
        <v>261</v>
      </c>
      <c r="J54" s="20">
        <v>1</v>
      </c>
      <c r="K54" s="20" t="s">
        <v>261</v>
      </c>
      <c r="L54" s="20">
        <v>1</v>
      </c>
      <c r="M54" s="20" t="s">
        <v>261</v>
      </c>
      <c r="N54" s="20" t="s">
        <v>261</v>
      </c>
      <c r="O54" s="20" t="s">
        <v>261</v>
      </c>
      <c r="P54" s="20">
        <v>5</v>
      </c>
      <c r="Q54" s="20" t="s">
        <v>261</v>
      </c>
      <c r="R54" s="20">
        <v>5</v>
      </c>
      <c r="S54" s="20" t="s">
        <v>261</v>
      </c>
      <c r="T54" s="20" t="s">
        <v>261</v>
      </c>
      <c r="U54" s="20" t="s">
        <v>261</v>
      </c>
      <c r="V54" s="20">
        <v>5</v>
      </c>
      <c r="W54" s="20" t="s">
        <v>261</v>
      </c>
      <c r="X54" s="20">
        <v>5</v>
      </c>
      <c r="Y54" s="20" t="s">
        <v>261</v>
      </c>
      <c r="Z54" s="20" t="s">
        <v>261</v>
      </c>
      <c r="AA54" s="20" t="s">
        <v>261</v>
      </c>
      <c r="AB54" s="20">
        <v>40</v>
      </c>
      <c r="AC54" s="20" t="s">
        <v>262</v>
      </c>
      <c r="AD54" s="20">
        <v>40</v>
      </c>
      <c r="AE54" s="20" t="s">
        <v>262</v>
      </c>
      <c r="AF54" s="20" t="s">
        <v>262</v>
      </c>
      <c r="AG54" s="20" t="s">
        <v>262</v>
      </c>
      <c r="AH54" s="20">
        <v>40</v>
      </c>
      <c r="AI54" s="20" t="s">
        <v>262</v>
      </c>
      <c r="AJ54" s="20">
        <v>40</v>
      </c>
      <c r="AK54" s="20" t="s">
        <v>262</v>
      </c>
      <c r="AL54" s="20" t="s">
        <v>262</v>
      </c>
      <c r="AM54" s="20" t="s">
        <v>262</v>
      </c>
    </row>
    <row r="55" spans="1:57" ht="21" hidden="1" customHeight="1">
      <c r="A55" s="109" t="s">
        <v>286</v>
      </c>
      <c r="B55" s="94" t="s">
        <v>21</v>
      </c>
      <c r="C55" s="20">
        <v>1</v>
      </c>
      <c r="D55" s="20" t="s">
        <v>261</v>
      </c>
      <c r="E55" s="20" t="s">
        <v>261</v>
      </c>
      <c r="F55" s="20" t="s">
        <v>261</v>
      </c>
      <c r="G55" s="20" t="s">
        <v>261</v>
      </c>
      <c r="H55" s="20" t="s">
        <v>261</v>
      </c>
      <c r="I55" s="20" t="s">
        <v>261</v>
      </c>
      <c r="J55" s="20" t="s">
        <v>261</v>
      </c>
      <c r="K55" s="20" t="s">
        <v>261</v>
      </c>
      <c r="L55" s="20" t="s">
        <v>261</v>
      </c>
      <c r="M55" s="20" t="s">
        <v>261</v>
      </c>
      <c r="N55" s="20" t="s">
        <v>261</v>
      </c>
      <c r="O55" s="20" t="s">
        <v>261</v>
      </c>
      <c r="P55" s="20">
        <v>44</v>
      </c>
      <c r="Q55" s="20" t="s">
        <v>261</v>
      </c>
      <c r="R55" s="20">
        <v>44</v>
      </c>
      <c r="S55" s="20" t="s">
        <v>261</v>
      </c>
      <c r="T55" s="20" t="s">
        <v>261</v>
      </c>
      <c r="U55" s="20" t="s">
        <v>261</v>
      </c>
      <c r="V55" s="20" t="s">
        <v>261</v>
      </c>
      <c r="W55" s="20" t="s">
        <v>261</v>
      </c>
      <c r="X55" s="20" t="s">
        <v>261</v>
      </c>
      <c r="Y55" s="20">
        <v>44</v>
      </c>
      <c r="Z55" s="20" t="s">
        <v>261</v>
      </c>
      <c r="AA55" s="20">
        <v>44</v>
      </c>
      <c r="AB55" s="20">
        <v>351</v>
      </c>
      <c r="AC55" s="20" t="s">
        <v>262</v>
      </c>
      <c r="AD55" s="20">
        <v>351</v>
      </c>
      <c r="AE55" s="20" t="s">
        <v>262</v>
      </c>
      <c r="AF55" s="20" t="s">
        <v>262</v>
      </c>
      <c r="AG55" s="20" t="s">
        <v>262</v>
      </c>
      <c r="AH55" s="20" t="s">
        <v>262</v>
      </c>
      <c r="AI55" s="20" t="s">
        <v>262</v>
      </c>
      <c r="AJ55" s="20" t="s">
        <v>262</v>
      </c>
      <c r="AK55" s="20">
        <v>351</v>
      </c>
      <c r="AL55" s="20" t="s">
        <v>262</v>
      </c>
      <c r="AM55" s="20">
        <v>351</v>
      </c>
    </row>
    <row r="56" spans="1:57" ht="21" hidden="1" customHeight="1">
      <c r="A56" s="109" t="s">
        <v>287</v>
      </c>
      <c r="B56" s="108" t="s">
        <v>288</v>
      </c>
      <c r="C56" s="93" t="s">
        <v>261</v>
      </c>
      <c r="D56" s="93" t="s">
        <v>261</v>
      </c>
      <c r="E56" s="93" t="s">
        <v>261</v>
      </c>
      <c r="F56" s="93" t="s">
        <v>261</v>
      </c>
      <c r="G56" s="93" t="s">
        <v>261</v>
      </c>
      <c r="H56" s="93" t="s">
        <v>261</v>
      </c>
      <c r="I56" s="93" t="s">
        <v>261</v>
      </c>
      <c r="J56" s="93" t="s">
        <v>261</v>
      </c>
      <c r="K56" s="93" t="s">
        <v>261</v>
      </c>
      <c r="L56" s="93" t="s">
        <v>261</v>
      </c>
      <c r="M56" s="93" t="s">
        <v>261</v>
      </c>
      <c r="N56" s="93" t="s">
        <v>261</v>
      </c>
      <c r="O56" s="93" t="s">
        <v>261</v>
      </c>
      <c r="P56" s="93" t="s">
        <v>261</v>
      </c>
      <c r="Q56" s="93" t="s">
        <v>261</v>
      </c>
      <c r="R56" s="93" t="s">
        <v>261</v>
      </c>
      <c r="S56" s="93" t="s">
        <v>261</v>
      </c>
      <c r="T56" s="93" t="s">
        <v>261</v>
      </c>
      <c r="U56" s="93" t="s">
        <v>261</v>
      </c>
      <c r="V56" s="93" t="s">
        <v>261</v>
      </c>
      <c r="W56" s="93" t="s">
        <v>261</v>
      </c>
      <c r="X56" s="93" t="s">
        <v>261</v>
      </c>
      <c r="Y56" s="93" t="s">
        <v>261</v>
      </c>
      <c r="Z56" s="93" t="s">
        <v>261</v>
      </c>
      <c r="AA56" s="93" t="s">
        <v>261</v>
      </c>
      <c r="AB56" s="93" t="s">
        <v>262</v>
      </c>
      <c r="AC56" s="93" t="s">
        <v>262</v>
      </c>
      <c r="AD56" s="93" t="s">
        <v>262</v>
      </c>
      <c r="AE56" s="93" t="s">
        <v>262</v>
      </c>
      <c r="AF56" s="93" t="s">
        <v>262</v>
      </c>
      <c r="AG56" s="93" t="s">
        <v>262</v>
      </c>
      <c r="AH56" s="93" t="s">
        <v>262</v>
      </c>
      <c r="AI56" s="93" t="s">
        <v>262</v>
      </c>
      <c r="AJ56" s="93" t="s">
        <v>262</v>
      </c>
      <c r="AK56" s="93" t="s">
        <v>262</v>
      </c>
      <c r="AL56" s="93" t="s">
        <v>262</v>
      </c>
      <c r="AM56" s="93" t="s">
        <v>262</v>
      </c>
    </row>
    <row r="57" spans="1:57" ht="21" hidden="1" customHeight="1">
      <c r="A57" s="109" t="s">
        <v>289</v>
      </c>
      <c r="B57" s="94" t="s">
        <v>22</v>
      </c>
      <c r="C57" s="20" t="s">
        <v>261</v>
      </c>
      <c r="D57" s="20" t="s">
        <v>261</v>
      </c>
      <c r="E57" s="20" t="s">
        <v>261</v>
      </c>
      <c r="F57" s="20" t="s">
        <v>261</v>
      </c>
      <c r="G57" s="20" t="s">
        <v>261</v>
      </c>
      <c r="H57" s="20" t="s">
        <v>261</v>
      </c>
      <c r="I57" s="20" t="s">
        <v>261</v>
      </c>
      <c r="J57" s="20" t="s">
        <v>261</v>
      </c>
      <c r="K57" s="20" t="s">
        <v>261</v>
      </c>
      <c r="L57" s="20" t="s">
        <v>261</v>
      </c>
      <c r="M57" s="20" t="s">
        <v>261</v>
      </c>
      <c r="N57" s="20" t="s">
        <v>261</v>
      </c>
      <c r="O57" s="20" t="s">
        <v>261</v>
      </c>
      <c r="P57" s="20" t="s">
        <v>261</v>
      </c>
      <c r="Q57" s="20" t="s">
        <v>261</v>
      </c>
      <c r="R57" s="20" t="s">
        <v>261</v>
      </c>
      <c r="S57" s="20" t="s">
        <v>261</v>
      </c>
      <c r="T57" s="20" t="s">
        <v>261</v>
      </c>
      <c r="U57" s="20" t="s">
        <v>261</v>
      </c>
      <c r="V57" s="20" t="s">
        <v>261</v>
      </c>
      <c r="W57" s="20" t="s">
        <v>261</v>
      </c>
      <c r="X57" s="20" t="s">
        <v>261</v>
      </c>
      <c r="Y57" s="20" t="s">
        <v>261</v>
      </c>
      <c r="Z57" s="20" t="s">
        <v>261</v>
      </c>
      <c r="AA57" s="20" t="s">
        <v>261</v>
      </c>
      <c r="AB57" s="20" t="s">
        <v>262</v>
      </c>
      <c r="AC57" s="20" t="s">
        <v>262</v>
      </c>
      <c r="AD57" s="20" t="s">
        <v>262</v>
      </c>
      <c r="AE57" s="20" t="s">
        <v>262</v>
      </c>
      <c r="AF57" s="20" t="s">
        <v>262</v>
      </c>
      <c r="AG57" s="20" t="s">
        <v>262</v>
      </c>
      <c r="AH57" s="20" t="s">
        <v>262</v>
      </c>
      <c r="AI57" s="20" t="s">
        <v>262</v>
      </c>
      <c r="AJ57" s="20" t="s">
        <v>262</v>
      </c>
      <c r="AK57" s="20" t="s">
        <v>262</v>
      </c>
      <c r="AL57" s="20" t="s">
        <v>262</v>
      </c>
      <c r="AM57" s="20" t="s">
        <v>262</v>
      </c>
    </row>
    <row r="58" spans="1:57" ht="21" hidden="1" customHeight="1">
      <c r="A58" s="110" t="s">
        <v>290</v>
      </c>
      <c r="B58" s="95" t="s">
        <v>23</v>
      </c>
      <c r="C58" s="22" t="s">
        <v>261</v>
      </c>
      <c r="D58" s="22" t="s">
        <v>261</v>
      </c>
      <c r="E58" s="22" t="s">
        <v>261</v>
      </c>
      <c r="F58" s="22" t="s">
        <v>261</v>
      </c>
      <c r="G58" s="22" t="s">
        <v>261</v>
      </c>
      <c r="H58" s="22" t="s">
        <v>261</v>
      </c>
      <c r="I58" s="22" t="s">
        <v>261</v>
      </c>
      <c r="J58" s="22" t="s">
        <v>261</v>
      </c>
      <c r="K58" s="22" t="s">
        <v>261</v>
      </c>
      <c r="L58" s="22" t="s">
        <v>261</v>
      </c>
      <c r="M58" s="22" t="s">
        <v>261</v>
      </c>
      <c r="N58" s="22" t="s">
        <v>261</v>
      </c>
      <c r="O58" s="22" t="s">
        <v>261</v>
      </c>
      <c r="P58" s="22" t="s">
        <v>261</v>
      </c>
      <c r="Q58" s="22" t="s">
        <v>261</v>
      </c>
      <c r="R58" s="22" t="s">
        <v>261</v>
      </c>
      <c r="S58" s="22" t="s">
        <v>261</v>
      </c>
      <c r="T58" s="22" t="s">
        <v>261</v>
      </c>
      <c r="U58" s="22" t="s">
        <v>261</v>
      </c>
      <c r="V58" s="22" t="s">
        <v>261</v>
      </c>
      <c r="W58" s="22" t="s">
        <v>261</v>
      </c>
      <c r="X58" s="22" t="s">
        <v>261</v>
      </c>
      <c r="Y58" s="22" t="s">
        <v>261</v>
      </c>
      <c r="Z58" s="22" t="s">
        <v>261</v>
      </c>
      <c r="AA58" s="22" t="s">
        <v>261</v>
      </c>
      <c r="AB58" s="22" t="s">
        <v>262</v>
      </c>
      <c r="AC58" s="22" t="s">
        <v>262</v>
      </c>
      <c r="AD58" s="22" t="s">
        <v>262</v>
      </c>
      <c r="AE58" s="22" t="s">
        <v>262</v>
      </c>
      <c r="AF58" s="22" t="s">
        <v>262</v>
      </c>
      <c r="AG58" s="22" t="s">
        <v>262</v>
      </c>
      <c r="AH58" s="22" t="s">
        <v>262</v>
      </c>
      <c r="AI58" s="22" t="s">
        <v>262</v>
      </c>
      <c r="AJ58" s="22" t="s">
        <v>262</v>
      </c>
      <c r="AK58" s="22" t="s">
        <v>262</v>
      </c>
      <c r="AL58" s="22" t="s">
        <v>262</v>
      </c>
      <c r="AM58" s="22" t="s">
        <v>262</v>
      </c>
    </row>
    <row r="59" spans="1:57" hidden="1"/>
    <row r="60" spans="1:57" s="13" customFormat="1" ht="21.75" hidden="1" customHeight="1">
      <c r="A60" s="106" t="s">
        <v>264</v>
      </c>
      <c r="B60" s="36" t="s">
        <v>39</v>
      </c>
      <c r="C60" s="90" t="str">
        <f t="shared" ref="C60:AM66" si="0">IF(C34=C7,"","*")</f>
        <v>*</v>
      </c>
      <c r="D60" s="90" t="str">
        <f t="shared" si="0"/>
        <v>*</v>
      </c>
      <c r="E60" s="90" t="str">
        <f t="shared" si="0"/>
        <v>*</v>
      </c>
      <c r="F60" s="90" t="str">
        <f t="shared" si="0"/>
        <v>*</v>
      </c>
      <c r="G60" s="90" t="str">
        <f t="shared" si="0"/>
        <v>*</v>
      </c>
      <c r="H60" s="90" t="str">
        <f t="shared" si="0"/>
        <v>*</v>
      </c>
      <c r="I60" s="90" t="str">
        <f t="shared" si="0"/>
        <v>*</v>
      </c>
      <c r="J60" s="90" t="str">
        <f t="shared" si="0"/>
        <v>*</v>
      </c>
      <c r="K60" s="90" t="str">
        <f t="shared" si="0"/>
        <v>*</v>
      </c>
      <c r="L60" s="90" t="str">
        <f t="shared" si="0"/>
        <v>*</v>
      </c>
      <c r="M60" s="90" t="str">
        <f t="shared" si="0"/>
        <v>*</v>
      </c>
      <c r="N60" s="90" t="str">
        <f t="shared" si="0"/>
        <v>*</v>
      </c>
      <c r="O60" s="90" t="str">
        <f t="shared" si="0"/>
        <v>*</v>
      </c>
      <c r="P60" s="90" t="str">
        <f t="shared" si="0"/>
        <v>*</v>
      </c>
      <c r="Q60" s="90" t="str">
        <f t="shared" si="0"/>
        <v>*</v>
      </c>
      <c r="R60" s="90" t="str">
        <f t="shared" si="0"/>
        <v>*</v>
      </c>
      <c r="S60" s="90" t="str">
        <f t="shared" si="0"/>
        <v>*</v>
      </c>
      <c r="T60" s="90" t="str">
        <f t="shared" si="0"/>
        <v>*</v>
      </c>
      <c r="U60" s="90" t="str">
        <f t="shared" si="0"/>
        <v>*</v>
      </c>
      <c r="V60" s="90" t="str">
        <f t="shared" si="0"/>
        <v>*</v>
      </c>
      <c r="W60" s="90" t="str">
        <f t="shared" si="0"/>
        <v>*</v>
      </c>
      <c r="X60" s="90" t="str">
        <f t="shared" si="0"/>
        <v>*</v>
      </c>
      <c r="Y60" s="90" t="str">
        <f t="shared" si="0"/>
        <v>*</v>
      </c>
      <c r="Z60" s="90" t="str">
        <f t="shared" si="0"/>
        <v>*</v>
      </c>
      <c r="AA60" s="90" t="str">
        <f t="shared" si="0"/>
        <v>*</v>
      </c>
      <c r="AB60" s="90" t="str">
        <f t="shared" si="0"/>
        <v>*</v>
      </c>
      <c r="AC60" s="90" t="str">
        <f t="shared" si="0"/>
        <v>*</v>
      </c>
      <c r="AD60" s="90" t="str">
        <f t="shared" si="0"/>
        <v>*</v>
      </c>
      <c r="AE60" s="90" t="str">
        <f t="shared" si="0"/>
        <v>*</v>
      </c>
      <c r="AF60" s="90" t="str">
        <f t="shared" si="0"/>
        <v>*</v>
      </c>
      <c r="AG60" s="90" t="str">
        <f t="shared" si="0"/>
        <v>*</v>
      </c>
      <c r="AH60" s="90" t="str">
        <f t="shared" si="0"/>
        <v>*</v>
      </c>
      <c r="AI60" s="90" t="str">
        <f t="shared" si="0"/>
        <v>*</v>
      </c>
      <c r="AJ60" s="90" t="str">
        <f t="shared" si="0"/>
        <v>*</v>
      </c>
      <c r="AK60" s="90" t="str">
        <f t="shared" si="0"/>
        <v>*</v>
      </c>
      <c r="AL60" s="90" t="str">
        <f t="shared" si="0"/>
        <v>*</v>
      </c>
      <c r="AM60" s="90" t="str">
        <f t="shared" si="0"/>
        <v>*</v>
      </c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</row>
    <row r="61" spans="1:57" s="18" customFormat="1" ht="21" hidden="1" customHeight="1">
      <c r="A61" s="107" t="s">
        <v>265</v>
      </c>
      <c r="B61" s="108" t="s">
        <v>24</v>
      </c>
      <c r="C61" s="90" t="str">
        <f t="shared" si="0"/>
        <v/>
      </c>
      <c r="D61" s="90" t="str">
        <f t="shared" si="0"/>
        <v/>
      </c>
      <c r="E61" s="90" t="str">
        <f t="shared" si="0"/>
        <v/>
      </c>
      <c r="F61" s="90" t="str">
        <f t="shared" si="0"/>
        <v/>
      </c>
      <c r="G61" s="90" t="str">
        <f t="shared" si="0"/>
        <v/>
      </c>
      <c r="H61" s="90" t="str">
        <f t="shared" si="0"/>
        <v/>
      </c>
      <c r="I61" s="90" t="str">
        <f t="shared" si="0"/>
        <v/>
      </c>
      <c r="J61" s="90" t="str">
        <f t="shared" si="0"/>
        <v/>
      </c>
      <c r="K61" s="90" t="str">
        <f t="shared" si="0"/>
        <v/>
      </c>
      <c r="L61" s="90" t="str">
        <f t="shared" si="0"/>
        <v/>
      </c>
      <c r="M61" s="90" t="str">
        <f t="shared" si="0"/>
        <v/>
      </c>
      <c r="N61" s="90" t="str">
        <f t="shared" si="0"/>
        <v/>
      </c>
      <c r="O61" s="90" t="str">
        <f t="shared" si="0"/>
        <v/>
      </c>
      <c r="P61" s="90" t="str">
        <f t="shared" si="0"/>
        <v>*</v>
      </c>
      <c r="Q61" s="90" t="str">
        <f t="shared" si="0"/>
        <v/>
      </c>
      <c r="R61" s="90" t="str">
        <f t="shared" si="0"/>
        <v>*</v>
      </c>
      <c r="S61" s="90" t="str">
        <f t="shared" si="0"/>
        <v/>
      </c>
      <c r="T61" s="90" t="str">
        <f t="shared" si="0"/>
        <v/>
      </c>
      <c r="U61" s="90" t="str">
        <f t="shared" si="0"/>
        <v/>
      </c>
      <c r="V61" s="90" t="str">
        <f t="shared" si="0"/>
        <v/>
      </c>
      <c r="W61" s="90" t="str">
        <f t="shared" si="0"/>
        <v/>
      </c>
      <c r="X61" s="90" t="str">
        <f t="shared" si="0"/>
        <v/>
      </c>
      <c r="Y61" s="90" t="str">
        <f t="shared" si="0"/>
        <v>*</v>
      </c>
      <c r="Z61" s="90" t="str">
        <f t="shared" si="0"/>
        <v/>
      </c>
      <c r="AA61" s="90" t="str">
        <f t="shared" si="0"/>
        <v>*</v>
      </c>
      <c r="AB61" s="90" t="str">
        <f t="shared" si="0"/>
        <v>*</v>
      </c>
      <c r="AC61" s="90" t="str">
        <f t="shared" si="0"/>
        <v/>
      </c>
      <c r="AD61" s="90" t="str">
        <f t="shared" si="0"/>
        <v>*</v>
      </c>
      <c r="AE61" s="90" t="str">
        <f t="shared" si="0"/>
        <v/>
      </c>
      <c r="AF61" s="90" t="str">
        <f t="shared" si="0"/>
        <v/>
      </c>
      <c r="AG61" s="90" t="str">
        <f t="shared" si="0"/>
        <v/>
      </c>
      <c r="AH61" s="90" t="str">
        <f t="shared" si="0"/>
        <v/>
      </c>
      <c r="AI61" s="90" t="str">
        <f t="shared" si="0"/>
        <v/>
      </c>
      <c r="AJ61" s="90" t="str">
        <f t="shared" si="0"/>
        <v/>
      </c>
      <c r="AK61" s="90" t="str">
        <f t="shared" si="0"/>
        <v>*</v>
      </c>
      <c r="AL61" s="90" t="str">
        <f t="shared" si="0"/>
        <v/>
      </c>
      <c r="AM61" s="90" t="str">
        <f t="shared" si="0"/>
        <v>*</v>
      </c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</row>
    <row r="62" spans="1:57" s="18" customFormat="1" ht="21" hidden="1" customHeight="1">
      <c r="A62" s="107" t="s">
        <v>266</v>
      </c>
      <c r="B62" s="108" t="s">
        <v>25</v>
      </c>
      <c r="C62" s="90" t="str">
        <f t="shared" si="0"/>
        <v>*</v>
      </c>
      <c r="D62" s="90" t="str">
        <f t="shared" si="0"/>
        <v>*</v>
      </c>
      <c r="E62" s="90" t="str">
        <f t="shared" si="0"/>
        <v/>
      </c>
      <c r="F62" s="90" t="str">
        <f t="shared" si="0"/>
        <v>*</v>
      </c>
      <c r="G62" s="90" t="str">
        <f t="shared" si="0"/>
        <v>*</v>
      </c>
      <c r="H62" s="90" t="str">
        <f t="shared" si="0"/>
        <v/>
      </c>
      <c r="I62" s="90" t="str">
        <f t="shared" si="0"/>
        <v>*</v>
      </c>
      <c r="J62" s="90" t="str">
        <f t="shared" si="0"/>
        <v>*</v>
      </c>
      <c r="K62" s="90" t="str">
        <f t="shared" si="0"/>
        <v>*</v>
      </c>
      <c r="L62" s="90" t="str">
        <f t="shared" si="0"/>
        <v>*</v>
      </c>
      <c r="M62" s="90" t="str">
        <f t="shared" si="0"/>
        <v>*</v>
      </c>
      <c r="N62" s="90" t="str">
        <f t="shared" si="0"/>
        <v>*</v>
      </c>
      <c r="O62" s="90" t="str">
        <f t="shared" si="0"/>
        <v/>
      </c>
      <c r="P62" s="90" t="str">
        <f t="shared" si="0"/>
        <v>*</v>
      </c>
      <c r="Q62" s="90" t="str">
        <f t="shared" si="0"/>
        <v>*</v>
      </c>
      <c r="R62" s="90" t="str">
        <f t="shared" si="0"/>
        <v>*</v>
      </c>
      <c r="S62" s="90" t="str">
        <f t="shared" si="0"/>
        <v>*</v>
      </c>
      <c r="T62" s="90" t="str">
        <f t="shared" si="0"/>
        <v>*</v>
      </c>
      <c r="U62" s="90" t="str">
        <f t="shared" si="0"/>
        <v>*</v>
      </c>
      <c r="V62" s="90" t="str">
        <f t="shared" si="0"/>
        <v>*</v>
      </c>
      <c r="W62" s="90" t="str">
        <f t="shared" si="0"/>
        <v>*</v>
      </c>
      <c r="X62" s="90" t="str">
        <f t="shared" si="0"/>
        <v>*</v>
      </c>
      <c r="Y62" s="90" t="str">
        <f t="shared" si="0"/>
        <v>*</v>
      </c>
      <c r="Z62" s="90" t="str">
        <f t="shared" si="0"/>
        <v>*</v>
      </c>
      <c r="AA62" s="90" t="str">
        <f t="shared" si="0"/>
        <v>*</v>
      </c>
      <c r="AB62" s="90" t="str">
        <f t="shared" si="0"/>
        <v>*</v>
      </c>
      <c r="AC62" s="90" t="str">
        <f t="shared" si="0"/>
        <v>*</v>
      </c>
      <c r="AD62" s="90" t="str">
        <f t="shared" si="0"/>
        <v>*</v>
      </c>
      <c r="AE62" s="90" t="str">
        <f t="shared" si="0"/>
        <v>*</v>
      </c>
      <c r="AF62" s="90" t="str">
        <f t="shared" si="0"/>
        <v>*</v>
      </c>
      <c r="AG62" s="90" t="str">
        <f t="shared" si="0"/>
        <v>*</v>
      </c>
      <c r="AH62" s="90" t="str">
        <f t="shared" si="0"/>
        <v>*</v>
      </c>
      <c r="AI62" s="90" t="str">
        <f t="shared" si="0"/>
        <v>*</v>
      </c>
      <c r="AJ62" s="90" t="str">
        <f t="shared" si="0"/>
        <v>*</v>
      </c>
      <c r="AK62" s="90" t="str">
        <f t="shared" si="0"/>
        <v>*</v>
      </c>
      <c r="AL62" s="90" t="str">
        <f t="shared" si="0"/>
        <v>*</v>
      </c>
      <c r="AM62" s="90" t="str">
        <f t="shared" si="0"/>
        <v>*</v>
      </c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</row>
    <row r="63" spans="1:57" s="18" customFormat="1" ht="21" hidden="1" customHeight="1">
      <c r="A63" s="107" t="s">
        <v>267</v>
      </c>
      <c r="B63" s="108" t="s">
        <v>26</v>
      </c>
      <c r="C63" s="90" t="str">
        <f t="shared" si="0"/>
        <v>*</v>
      </c>
      <c r="D63" s="90" t="str">
        <f t="shared" si="0"/>
        <v>*</v>
      </c>
      <c r="E63" s="90" t="str">
        <f t="shared" si="0"/>
        <v>*</v>
      </c>
      <c r="F63" s="90" t="str">
        <f t="shared" si="0"/>
        <v>*</v>
      </c>
      <c r="G63" s="90" t="str">
        <f t="shared" si="0"/>
        <v>*</v>
      </c>
      <c r="H63" s="90" t="str">
        <f t="shared" si="0"/>
        <v>*</v>
      </c>
      <c r="I63" s="90" t="str">
        <f t="shared" si="0"/>
        <v/>
      </c>
      <c r="J63" s="90" t="str">
        <f t="shared" si="0"/>
        <v>*</v>
      </c>
      <c r="K63" s="90" t="str">
        <f t="shared" si="0"/>
        <v>*</v>
      </c>
      <c r="L63" s="90" t="str">
        <f t="shared" si="0"/>
        <v/>
      </c>
      <c r="M63" s="90" t="str">
        <f t="shared" si="0"/>
        <v>*</v>
      </c>
      <c r="N63" s="90" t="str">
        <f t="shared" si="0"/>
        <v>*</v>
      </c>
      <c r="O63" s="90" t="str">
        <f t="shared" si="0"/>
        <v>*</v>
      </c>
      <c r="P63" s="90" t="str">
        <f t="shared" si="0"/>
        <v>*</v>
      </c>
      <c r="Q63" s="90" t="str">
        <f t="shared" si="0"/>
        <v>*</v>
      </c>
      <c r="R63" s="90" t="str">
        <f t="shared" si="0"/>
        <v>*</v>
      </c>
      <c r="S63" s="90" t="str">
        <f t="shared" si="0"/>
        <v>*</v>
      </c>
      <c r="T63" s="90" t="str">
        <f t="shared" si="0"/>
        <v>*</v>
      </c>
      <c r="U63" s="90" t="str">
        <f t="shared" si="0"/>
        <v>*</v>
      </c>
      <c r="V63" s="90" t="str">
        <f t="shared" si="0"/>
        <v>*</v>
      </c>
      <c r="W63" s="90" t="str">
        <f t="shared" si="0"/>
        <v>*</v>
      </c>
      <c r="X63" s="90" t="str">
        <f t="shared" si="0"/>
        <v/>
      </c>
      <c r="Y63" s="90" t="str">
        <f t="shared" si="0"/>
        <v>*</v>
      </c>
      <c r="Z63" s="90" t="str">
        <f t="shared" si="0"/>
        <v>*</v>
      </c>
      <c r="AA63" s="90" t="str">
        <f t="shared" si="0"/>
        <v>*</v>
      </c>
      <c r="AB63" s="90" t="str">
        <f t="shared" si="0"/>
        <v>*</v>
      </c>
      <c r="AC63" s="90" t="str">
        <f t="shared" si="0"/>
        <v>*</v>
      </c>
      <c r="AD63" s="90" t="str">
        <f t="shared" si="0"/>
        <v>*</v>
      </c>
      <c r="AE63" s="90" t="str">
        <f t="shared" si="0"/>
        <v>*</v>
      </c>
      <c r="AF63" s="90" t="str">
        <f t="shared" si="0"/>
        <v>*</v>
      </c>
      <c r="AG63" s="90" t="str">
        <f t="shared" si="0"/>
        <v>*</v>
      </c>
      <c r="AH63" s="90" t="str">
        <f t="shared" si="0"/>
        <v>*</v>
      </c>
      <c r="AI63" s="90" t="str">
        <f t="shared" si="0"/>
        <v>*</v>
      </c>
      <c r="AJ63" s="90" t="str">
        <f t="shared" si="0"/>
        <v/>
      </c>
      <c r="AK63" s="90" t="str">
        <f t="shared" si="0"/>
        <v>*</v>
      </c>
      <c r="AL63" s="90" t="str">
        <f t="shared" si="0"/>
        <v>*</v>
      </c>
      <c r="AM63" s="90" t="str">
        <f t="shared" si="0"/>
        <v>*</v>
      </c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</row>
    <row r="64" spans="1:57" s="18" customFormat="1" ht="21" hidden="1" customHeight="1">
      <c r="A64" s="107" t="s">
        <v>268</v>
      </c>
      <c r="B64" s="108" t="s">
        <v>27</v>
      </c>
      <c r="C64" s="90" t="str">
        <f t="shared" si="0"/>
        <v/>
      </c>
      <c r="D64" s="90" t="str">
        <f t="shared" si="0"/>
        <v>*</v>
      </c>
      <c r="E64" s="90" t="str">
        <f t="shared" si="0"/>
        <v>*</v>
      </c>
      <c r="F64" s="90" t="str">
        <f t="shared" si="0"/>
        <v>*</v>
      </c>
      <c r="G64" s="90" t="str">
        <f t="shared" si="0"/>
        <v>*</v>
      </c>
      <c r="H64" s="90" t="str">
        <f t="shared" si="0"/>
        <v>*</v>
      </c>
      <c r="I64" s="90" t="str">
        <f t="shared" si="0"/>
        <v>*</v>
      </c>
      <c r="J64" s="90" t="str">
        <f t="shared" si="0"/>
        <v>*</v>
      </c>
      <c r="K64" s="90" t="str">
        <f t="shared" si="0"/>
        <v/>
      </c>
      <c r="L64" s="90" t="str">
        <f t="shared" si="0"/>
        <v>*</v>
      </c>
      <c r="M64" s="90" t="str">
        <f t="shared" si="0"/>
        <v>*</v>
      </c>
      <c r="N64" s="90" t="str">
        <f t="shared" si="0"/>
        <v>*</v>
      </c>
      <c r="O64" s="90" t="str">
        <f t="shared" si="0"/>
        <v>*</v>
      </c>
      <c r="P64" s="90" t="str">
        <f t="shared" si="0"/>
        <v>*</v>
      </c>
      <c r="Q64" s="90" t="str">
        <f t="shared" si="0"/>
        <v>*</v>
      </c>
      <c r="R64" s="90" t="str">
        <f t="shared" si="0"/>
        <v>*</v>
      </c>
      <c r="S64" s="90" t="str">
        <f t="shared" si="0"/>
        <v>*</v>
      </c>
      <c r="T64" s="90" t="str">
        <f t="shared" si="0"/>
        <v>*</v>
      </c>
      <c r="U64" s="90" t="str">
        <f t="shared" si="0"/>
        <v>*</v>
      </c>
      <c r="V64" s="90" t="str">
        <f t="shared" si="0"/>
        <v>*</v>
      </c>
      <c r="W64" s="90" t="str">
        <f t="shared" si="0"/>
        <v>*</v>
      </c>
      <c r="X64" s="90" t="str">
        <f t="shared" si="0"/>
        <v>*</v>
      </c>
      <c r="Y64" s="90" t="str">
        <f t="shared" si="0"/>
        <v>*</v>
      </c>
      <c r="Z64" s="90" t="str">
        <f t="shared" si="0"/>
        <v>*</v>
      </c>
      <c r="AA64" s="90" t="str">
        <f t="shared" si="0"/>
        <v>*</v>
      </c>
      <c r="AB64" s="90" t="str">
        <f t="shared" si="0"/>
        <v>*</v>
      </c>
      <c r="AC64" s="90" t="str">
        <f t="shared" si="0"/>
        <v>*</v>
      </c>
      <c r="AD64" s="90" t="str">
        <f t="shared" si="0"/>
        <v>*</v>
      </c>
      <c r="AE64" s="90" t="str">
        <f t="shared" si="0"/>
        <v>*</v>
      </c>
      <c r="AF64" s="90" t="str">
        <f t="shared" si="0"/>
        <v>*</v>
      </c>
      <c r="AG64" s="90" t="str">
        <f t="shared" si="0"/>
        <v>*</v>
      </c>
      <c r="AH64" s="90" t="str">
        <f t="shared" si="0"/>
        <v>*</v>
      </c>
      <c r="AI64" s="90" t="str">
        <f t="shared" si="0"/>
        <v>*</v>
      </c>
      <c r="AJ64" s="90" t="str">
        <f t="shared" si="0"/>
        <v>*</v>
      </c>
      <c r="AK64" s="90" t="str">
        <f t="shared" si="0"/>
        <v>*</v>
      </c>
      <c r="AL64" s="90" t="str">
        <f t="shared" si="0"/>
        <v>*</v>
      </c>
      <c r="AM64" s="90" t="str">
        <f t="shared" si="0"/>
        <v>*</v>
      </c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</row>
    <row r="65" spans="1:55" s="18" customFormat="1" ht="21" hidden="1" customHeight="1">
      <c r="A65" s="107" t="s">
        <v>269</v>
      </c>
      <c r="B65" s="108" t="s">
        <v>28</v>
      </c>
      <c r="C65" s="90" t="str">
        <f t="shared" si="0"/>
        <v/>
      </c>
      <c r="D65" s="90" t="str">
        <f t="shared" si="0"/>
        <v>*</v>
      </c>
      <c r="E65" s="90" t="str">
        <f t="shared" si="0"/>
        <v>*</v>
      </c>
      <c r="F65" s="90" t="str">
        <f t="shared" si="0"/>
        <v>*</v>
      </c>
      <c r="G65" s="90" t="str">
        <f t="shared" si="0"/>
        <v>*</v>
      </c>
      <c r="H65" s="90" t="str">
        <f t="shared" si="0"/>
        <v>*</v>
      </c>
      <c r="I65" s="90" t="str">
        <f t="shared" si="0"/>
        <v>*</v>
      </c>
      <c r="J65" s="90" t="str">
        <f t="shared" si="0"/>
        <v>*</v>
      </c>
      <c r="K65" s="90" t="str">
        <f t="shared" si="0"/>
        <v>*</v>
      </c>
      <c r="L65" s="90" t="str">
        <f t="shared" si="0"/>
        <v/>
      </c>
      <c r="M65" s="90" t="str">
        <f t="shared" si="0"/>
        <v>*</v>
      </c>
      <c r="N65" s="90" t="str">
        <f t="shared" si="0"/>
        <v/>
      </c>
      <c r="O65" s="90" t="str">
        <f t="shared" si="0"/>
        <v>*</v>
      </c>
      <c r="P65" s="90" t="str">
        <f t="shared" si="0"/>
        <v>*</v>
      </c>
      <c r="Q65" s="90" t="str">
        <f t="shared" si="0"/>
        <v>*</v>
      </c>
      <c r="R65" s="90" t="str">
        <f t="shared" si="0"/>
        <v>*</v>
      </c>
      <c r="S65" s="90" t="str">
        <f t="shared" si="0"/>
        <v>*</v>
      </c>
      <c r="T65" s="90" t="str">
        <f t="shared" si="0"/>
        <v>*</v>
      </c>
      <c r="U65" s="90" t="str">
        <f t="shared" si="0"/>
        <v>*</v>
      </c>
      <c r="V65" s="90" t="str">
        <f t="shared" si="0"/>
        <v>*</v>
      </c>
      <c r="W65" s="90" t="str">
        <f t="shared" si="0"/>
        <v>*</v>
      </c>
      <c r="X65" s="90" t="str">
        <f t="shared" si="0"/>
        <v>*</v>
      </c>
      <c r="Y65" s="90" t="str">
        <f t="shared" si="0"/>
        <v>*</v>
      </c>
      <c r="Z65" s="90" t="str">
        <f t="shared" si="0"/>
        <v>*</v>
      </c>
      <c r="AA65" s="90" t="str">
        <f t="shared" si="0"/>
        <v>*</v>
      </c>
      <c r="AB65" s="90" t="str">
        <f t="shared" si="0"/>
        <v>*</v>
      </c>
      <c r="AC65" s="90" t="str">
        <f t="shared" si="0"/>
        <v>*</v>
      </c>
      <c r="AD65" s="90" t="str">
        <f t="shared" si="0"/>
        <v>*</v>
      </c>
      <c r="AE65" s="90" t="str">
        <f t="shared" si="0"/>
        <v>*</v>
      </c>
      <c r="AF65" s="90" t="str">
        <f t="shared" si="0"/>
        <v>*</v>
      </c>
      <c r="AG65" s="90" t="str">
        <f t="shared" si="0"/>
        <v>*</v>
      </c>
      <c r="AH65" s="90" t="str">
        <f t="shared" si="0"/>
        <v>*</v>
      </c>
      <c r="AI65" s="90" t="str">
        <f t="shared" si="0"/>
        <v>*</v>
      </c>
      <c r="AJ65" s="90" t="str">
        <f t="shared" si="0"/>
        <v>*</v>
      </c>
      <c r="AK65" s="90" t="str">
        <f t="shared" si="0"/>
        <v>*</v>
      </c>
      <c r="AL65" s="90" t="str">
        <f t="shared" si="0"/>
        <v>*</v>
      </c>
      <c r="AM65" s="90" t="str">
        <f t="shared" si="0"/>
        <v>*</v>
      </c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</row>
    <row r="66" spans="1:55" s="18" customFormat="1" ht="21" hidden="1" customHeight="1">
      <c r="A66" s="107" t="s">
        <v>270</v>
      </c>
      <c r="B66" s="108" t="s">
        <v>271</v>
      </c>
      <c r="C66" s="90" t="str">
        <f t="shared" si="0"/>
        <v>*</v>
      </c>
      <c r="D66" s="90" t="str">
        <f t="shared" si="0"/>
        <v>*</v>
      </c>
      <c r="E66" s="90" t="str">
        <f t="shared" si="0"/>
        <v>*</v>
      </c>
      <c r="F66" s="90" t="str">
        <f t="shared" si="0"/>
        <v>*</v>
      </c>
      <c r="G66" s="90" t="str">
        <f t="shared" si="0"/>
        <v>*</v>
      </c>
      <c r="H66" s="90" t="str">
        <f t="shared" si="0"/>
        <v>*</v>
      </c>
      <c r="I66" s="90" t="str">
        <f t="shared" si="0"/>
        <v>*</v>
      </c>
      <c r="J66" s="90" t="str">
        <f t="shared" si="0"/>
        <v>*</v>
      </c>
      <c r="K66" s="90" t="str">
        <f t="shared" si="0"/>
        <v>*</v>
      </c>
      <c r="L66" s="90" t="str">
        <f t="shared" si="0"/>
        <v>*</v>
      </c>
      <c r="M66" s="90" t="str">
        <f t="shared" si="0"/>
        <v>*</v>
      </c>
      <c r="N66" s="90" t="str">
        <f t="shared" si="0"/>
        <v>*</v>
      </c>
      <c r="O66" s="90" t="str">
        <f t="shared" si="0"/>
        <v>*</v>
      </c>
      <c r="P66" s="90" t="str">
        <f t="shared" si="0"/>
        <v>*</v>
      </c>
      <c r="Q66" s="90" t="str">
        <f t="shared" si="0"/>
        <v>*</v>
      </c>
      <c r="R66" s="90" t="str">
        <f t="shared" si="0"/>
        <v>*</v>
      </c>
      <c r="S66" s="90" t="str">
        <f t="shared" si="0"/>
        <v>*</v>
      </c>
      <c r="T66" s="90" t="str">
        <f t="shared" si="0"/>
        <v>*</v>
      </c>
      <c r="U66" s="90" t="str">
        <f t="shared" si="0"/>
        <v>*</v>
      </c>
      <c r="V66" s="90" t="str">
        <f t="shared" si="0"/>
        <v>*</v>
      </c>
      <c r="W66" s="90" t="str">
        <f t="shared" si="0"/>
        <v>*</v>
      </c>
      <c r="X66" s="90" t="str">
        <f t="shared" si="0"/>
        <v>*</v>
      </c>
      <c r="Y66" s="90" t="str">
        <f t="shared" si="0"/>
        <v>*</v>
      </c>
      <c r="Z66" s="90" t="str">
        <f t="shared" si="0"/>
        <v>*</v>
      </c>
      <c r="AA66" s="90" t="str">
        <f t="shared" si="0"/>
        <v>*</v>
      </c>
      <c r="AB66" s="90" t="str">
        <f t="shared" si="0"/>
        <v>*</v>
      </c>
      <c r="AC66" s="90" t="str">
        <f t="shared" si="0"/>
        <v>*</v>
      </c>
      <c r="AD66" s="90" t="str">
        <f t="shared" si="0"/>
        <v>*</v>
      </c>
      <c r="AE66" s="90" t="str">
        <f t="shared" si="0"/>
        <v>*</v>
      </c>
      <c r="AF66" s="90" t="str">
        <f t="shared" si="0"/>
        <v>*</v>
      </c>
      <c r="AG66" s="90" t="str">
        <f t="shared" si="0"/>
        <v>*</v>
      </c>
      <c r="AH66" s="90" t="str">
        <f t="shared" si="0"/>
        <v>*</v>
      </c>
      <c r="AI66" s="90" t="str">
        <f t="shared" si="0"/>
        <v>*</v>
      </c>
      <c r="AJ66" s="90" t="str">
        <f t="shared" ref="AJ66:AM66" si="1">IF(AJ40=AJ13,"","*")</f>
        <v>*</v>
      </c>
      <c r="AK66" s="90" t="str">
        <f t="shared" si="1"/>
        <v>*</v>
      </c>
      <c r="AL66" s="90" t="str">
        <f t="shared" si="1"/>
        <v>*</v>
      </c>
      <c r="AM66" s="90" t="str">
        <f t="shared" si="1"/>
        <v>*</v>
      </c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</row>
    <row r="67" spans="1:55" ht="21" hidden="1" customHeight="1">
      <c r="A67" s="109" t="s">
        <v>272</v>
      </c>
      <c r="B67" s="94" t="s">
        <v>7</v>
      </c>
      <c r="C67" s="90" t="e">
        <f>IF(C41=#REF!,"","*")</f>
        <v>#REF!</v>
      </c>
      <c r="D67" s="90" t="e">
        <f>IF(D41=#REF!,"","*")</f>
        <v>#REF!</v>
      </c>
      <c r="E67" s="90" t="e">
        <f>IF(E41=#REF!,"","*")</f>
        <v>#REF!</v>
      </c>
      <c r="F67" s="90" t="e">
        <f>IF(F41=#REF!,"","*")</f>
        <v>#REF!</v>
      </c>
      <c r="G67" s="90" t="e">
        <f>IF(G41=#REF!,"","*")</f>
        <v>#REF!</v>
      </c>
      <c r="H67" s="90" t="e">
        <f>IF(H41=#REF!,"","*")</f>
        <v>#REF!</v>
      </c>
      <c r="I67" s="90" t="e">
        <f>IF(I41=#REF!,"","*")</f>
        <v>#REF!</v>
      </c>
      <c r="J67" s="90" t="e">
        <f>IF(J41=#REF!,"","*")</f>
        <v>#REF!</v>
      </c>
      <c r="K67" s="90" t="e">
        <f>IF(K41=#REF!,"","*")</f>
        <v>#REF!</v>
      </c>
      <c r="L67" s="90" t="e">
        <f>IF(L41=#REF!,"","*")</f>
        <v>#REF!</v>
      </c>
      <c r="M67" s="90" t="e">
        <f>IF(M41=#REF!,"","*")</f>
        <v>#REF!</v>
      </c>
      <c r="N67" s="90" t="e">
        <f>IF(N41=#REF!,"","*")</f>
        <v>#REF!</v>
      </c>
      <c r="O67" s="90" t="e">
        <f>IF(O41=#REF!,"","*")</f>
        <v>#REF!</v>
      </c>
      <c r="P67" s="90" t="e">
        <f>IF(P41=#REF!,"","*")</f>
        <v>#REF!</v>
      </c>
      <c r="Q67" s="90" t="e">
        <f>IF(Q41=#REF!,"","*")</f>
        <v>#REF!</v>
      </c>
      <c r="R67" s="90" t="e">
        <f>IF(R41=#REF!,"","*")</f>
        <v>#REF!</v>
      </c>
      <c r="S67" s="90" t="e">
        <f>IF(S41=#REF!,"","*")</f>
        <v>#REF!</v>
      </c>
      <c r="T67" s="90" t="e">
        <f>IF(T41=#REF!,"","*")</f>
        <v>#REF!</v>
      </c>
      <c r="U67" s="90" t="e">
        <f>IF(U41=#REF!,"","*")</f>
        <v>#REF!</v>
      </c>
      <c r="V67" s="90" t="e">
        <f>IF(V41=#REF!,"","*")</f>
        <v>#REF!</v>
      </c>
      <c r="W67" s="90" t="e">
        <f>IF(W41=#REF!,"","*")</f>
        <v>#REF!</v>
      </c>
      <c r="X67" s="90" t="e">
        <f>IF(X41=#REF!,"","*")</f>
        <v>#REF!</v>
      </c>
      <c r="Y67" s="90" t="e">
        <f>IF(Y41=#REF!,"","*")</f>
        <v>#REF!</v>
      </c>
      <c r="Z67" s="90" t="e">
        <f>IF(Z41=#REF!,"","*")</f>
        <v>#REF!</v>
      </c>
      <c r="AA67" s="90" t="e">
        <f>IF(AA41=#REF!,"","*")</f>
        <v>#REF!</v>
      </c>
      <c r="AB67" s="90" t="e">
        <f>IF(AB41=#REF!,"","*")</f>
        <v>#REF!</v>
      </c>
      <c r="AC67" s="90" t="e">
        <f>IF(AC41=#REF!,"","*")</f>
        <v>#REF!</v>
      </c>
      <c r="AD67" s="90" t="e">
        <f>IF(AD41=#REF!,"","*")</f>
        <v>#REF!</v>
      </c>
      <c r="AE67" s="90" t="e">
        <f>IF(AE41=#REF!,"","*")</f>
        <v>#REF!</v>
      </c>
      <c r="AF67" s="90" t="e">
        <f>IF(AF41=#REF!,"","*")</f>
        <v>#REF!</v>
      </c>
      <c r="AG67" s="90" t="e">
        <f>IF(AG41=#REF!,"","*")</f>
        <v>#REF!</v>
      </c>
      <c r="AH67" s="90" t="e">
        <f>IF(AH41=#REF!,"","*")</f>
        <v>#REF!</v>
      </c>
      <c r="AI67" s="90" t="e">
        <f>IF(AI41=#REF!,"","*")</f>
        <v>#REF!</v>
      </c>
      <c r="AJ67" s="90" t="e">
        <f>IF(AJ41=#REF!,"","*")</f>
        <v>#REF!</v>
      </c>
      <c r="AK67" s="90" t="e">
        <f>IF(AK41=#REF!,"","*")</f>
        <v>#REF!</v>
      </c>
      <c r="AL67" s="90" t="e">
        <f>IF(AL41=#REF!,"","*")</f>
        <v>#REF!</v>
      </c>
      <c r="AM67" s="90" t="e">
        <f>IF(AM41=#REF!,"","*")</f>
        <v>#REF!</v>
      </c>
    </row>
    <row r="68" spans="1:55" ht="21" hidden="1" customHeight="1">
      <c r="A68" s="109" t="s">
        <v>273</v>
      </c>
      <c r="B68" s="94" t="s">
        <v>8</v>
      </c>
      <c r="C68" s="90" t="str">
        <f t="shared" ref="C68:AM74" si="2">IF(C42=C14,"","*")</f>
        <v>*</v>
      </c>
      <c r="D68" s="90" t="str">
        <f t="shared" si="2"/>
        <v>*</v>
      </c>
      <c r="E68" s="90" t="str">
        <f t="shared" si="2"/>
        <v>*</v>
      </c>
      <c r="F68" s="90" t="str">
        <f t="shared" si="2"/>
        <v>*</v>
      </c>
      <c r="G68" s="90" t="str">
        <f t="shared" si="2"/>
        <v/>
      </c>
      <c r="H68" s="90" t="str">
        <f t="shared" si="2"/>
        <v/>
      </c>
      <c r="I68" s="90" t="str">
        <f t="shared" si="2"/>
        <v/>
      </c>
      <c r="J68" s="90" t="str">
        <f t="shared" si="2"/>
        <v>*</v>
      </c>
      <c r="K68" s="90" t="str">
        <f t="shared" si="2"/>
        <v>*</v>
      </c>
      <c r="L68" s="90" t="str">
        <f t="shared" si="2"/>
        <v>*</v>
      </c>
      <c r="M68" s="90" t="str">
        <f t="shared" si="2"/>
        <v/>
      </c>
      <c r="N68" s="90" t="str">
        <f t="shared" si="2"/>
        <v/>
      </c>
      <c r="O68" s="90" t="str">
        <f t="shared" si="2"/>
        <v/>
      </c>
      <c r="P68" s="90" t="str">
        <f t="shared" si="2"/>
        <v>*</v>
      </c>
      <c r="Q68" s="90" t="str">
        <f t="shared" si="2"/>
        <v>*</v>
      </c>
      <c r="R68" s="90" t="str">
        <f t="shared" si="2"/>
        <v>*</v>
      </c>
      <c r="S68" s="90" t="str">
        <f t="shared" si="2"/>
        <v>*</v>
      </c>
      <c r="T68" s="90" t="str">
        <f t="shared" si="2"/>
        <v>*</v>
      </c>
      <c r="U68" s="90" t="str">
        <f t="shared" si="2"/>
        <v/>
      </c>
      <c r="V68" s="90" t="str">
        <f t="shared" si="2"/>
        <v>*</v>
      </c>
      <c r="W68" s="90" t="str">
        <f t="shared" si="2"/>
        <v>*</v>
      </c>
      <c r="X68" s="90" t="str">
        <f t="shared" si="2"/>
        <v>*</v>
      </c>
      <c r="Y68" s="90" t="str">
        <f t="shared" si="2"/>
        <v/>
      </c>
      <c r="Z68" s="90" t="str">
        <f t="shared" si="2"/>
        <v/>
      </c>
      <c r="AA68" s="90" t="str">
        <f t="shared" si="2"/>
        <v/>
      </c>
      <c r="AB68" s="90" t="str">
        <f t="shared" si="2"/>
        <v>*</v>
      </c>
      <c r="AC68" s="90" t="str">
        <f t="shared" si="2"/>
        <v>*</v>
      </c>
      <c r="AD68" s="90" t="str">
        <f t="shared" si="2"/>
        <v>*</v>
      </c>
      <c r="AE68" s="90" t="str">
        <f t="shared" si="2"/>
        <v>*</v>
      </c>
      <c r="AF68" s="90" t="str">
        <f t="shared" si="2"/>
        <v>*</v>
      </c>
      <c r="AG68" s="90" t="str">
        <f t="shared" si="2"/>
        <v/>
      </c>
      <c r="AH68" s="90" t="str">
        <f t="shared" si="2"/>
        <v>*</v>
      </c>
      <c r="AI68" s="90" t="str">
        <f t="shared" si="2"/>
        <v>*</v>
      </c>
      <c r="AJ68" s="90" t="str">
        <f t="shared" si="2"/>
        <v>*</v>
      </c>
      <c r="AK68" s="90" t="str">
        <f t="shared" si="2"/>
        <v/>
      </c>
      <c r="AL68" s="90" t="str">
        <f t="shared" si="2"/>
        <v/>
      </c>
      <c r="AM68" s="90" t="str">
        <f t="shared" si="2"/>
        <v/>
      </c>
    </row>
    <row r="69" spans="1:55" ht="21" hidden="1" customHeight="1">
      <c r="A69" s="109" t="s">
        <v>274</v>
      </c>
      <c r="B69" s="94" t="s">
        <v>9</v>
      </c>
      <c r="C69" s="90" t="str">
        <f t="shared" si="2"/>
        <v/>
      </c>
      <c r="D69" s="90" t="str">
        <f t="shared" si="2"/>
        <v/>
      </c>
      <c r="E69" s="90" t="str">
        <f t="shared" si="2"/>
        <v/>
      </c>
      <c r="F69" s="90" t="str">
        <f t="shared" si="2"/>
        <v/>
      </c>
      <c r="G69" s="90" t="str">
        <f t="shared" si="2"/>
        <v/>
      </c>
      <c r="H69" s="90" t="str">
        <f t="shared" si="2"/>
        <v/>
      </c>
      <c r="I69" s="90" t="str">
        <f t="shared" si="2"/>
        <v/>
      </c>
      <c r="J69" s="90" t="str">
        <f t="shared" si="2"/>
        <v/>
      </c>
      <c r="K69" s="90" t="str">
        <f t="shared" si="2"/>
        <v/>
      </c>
      <c r="L69" s="90" t="str">
        <f t="shared" si="2"/>
        <v/>
      </c>
      <c r="M69" s="90" t="str">
        <f t="shared" si="2"/>
        <v/>
      </c>
      <c r="N69" s="90" t="str">
        <f t="shared" si="2"/>
        <v/>
      </c>
      <c r="O69" s="90" t="str">
        <f t="shared" si="2"/>
        <v/>
      </c>
      <c r="P69" s="90" t="str">
        <f t="shared" si="2"/>
        <v/>
      </c>
      <c r="Q69" s="90" t="str">
        <f t="shared" si="2"/>
        <v/>
      </c>
      <c r="R69" s="90" t="str">
        <f t="shared" si="2"/>
        <v/>
      </c>
      <c r="S69" s="90" t="str">
        <f t="shared" si="2"/>
        <v/>
      </c>
      <c r="T69" s="90" t="str">
        <f t="shared" si="2"/>
        <v/>
      </c>
      <c r="U69" s="90" t="str">
        <f t="shared" si="2"/>
        <v/>
      </c>
      <c r="V69" s="90" t="str">
        <f t="shared" si="2"/>
        <v/>
      </c>
      <c r="W69" s="90" t="str">
        <f t="shared" si="2"/>
        <v/>
      </c>
      <c r="X69" s="90" t="str">
        <f t="shared" si="2"/>
        <v/>
      </c>
      <c r="Y69" s="90" t="str">
        <f t="shared" si="2"/>
        <v/>
      </c>
      <c r="Z69" s="90" t="str">
        <f t="shared" si="2"/>
        <v/>
      </c>
      <c r="AA69" s="90" t="str">
        <f t="shared" si="2"/>
        <v/>
      </c>
      <c r="AB69" s="90" t="str">
        <f t="shared" si="2"/>
        <v/>
      </c>
      <c r="AC69" s="90" t="str">
        <f t="shared" si="2"/>
        <v/>
      </c>
      <c r="AD69" s="90" t="str">
        <f t="shared" si="2"/>
        <v/>
      </c>
      <c r="AE69" s="90" t="str">
        <f t="shared" si="2"/>
        <v/>
      </c>
      <c r="AF69" s="90" t="str">
        <f t="shared" si="2"/>
        <v/>
      </c>
      <c r="AG69" s="90" t="str">
        <f t="shared" si="2"/>
        <v/>
      </c>
      <c r="AH69" s="90" t="str">
        <f t="shared" si="2"/>
        <v/>
      </c>
      <c r="AI69" s="90" t="str">
        <f t="shared" si="2"/>
        <v/>
      </c>
      <c r="AJ69" s="90" t="str">
        <f t="shared" si="2"/>
        <v/>
      </c>
      <c r="AK69" s="90" t="str">
        <f t="shared" si="2"/>
        <v/>
      </c>
      <c r="AL69" s="90" t="str">
        <f t="shared" si="2"/>
        <v/>
      </c>
      <c r="AM69" s="90" t="str">
        <f t="shared" si="2"/>
        <v/>
      </c>
    </row>
    <row r="70" spans="1:55" ht="21" hidden="1" customHeight="1">
      <c r="A70" s="109" t="s">
        <v>275</v>
      </c>
      <c r="B70" s="94" t="s">
        <v>10</v>
      </c>
      <c r="C70" s="90" t="str">
        <f t="shared" si="2"/>
        <v>*</v>
      </c>
      <c r="D70" s="90" t="str">
        <f t="shared" si="2"/>
        <v/>
      </c>
      <c r="E70" s="90" t="str">
        <f t="shared" si="2"/>
        <v/>
      </c>
      <c r="F70" s="90" t="str">
        <f t="shared" si="2"/>
        <v/>
      </c>
      <c r="G70" s="90" t="str">
        <f t="shared" si="2"/>
        <v/>
      </c>
      <c r="H70" s="90" t="str">
        <f t="shared" si="2"/>
        <v/>
      </c>
      <c r="I70" s="90" t="str">
        <f t="shared" si="2"/>
        <v/>
      </c>
      <c r="J70" s="90" t="str">
        <f t="shared" si="2"/>
        <v/>
      </c>
      <c r="K70" s="90" t="str">
        <f t="shared" si="2"/>
        <v/>
      </c>
      <c r="L70" s="90" t="str">
        <f t="shared" si="2"/>
        <v/>
      </c>
      <c r="M70" s="90" t="str">
        <f t="shared" si="2"/>
        <v/>
      </c>
      <c r="N70" s="90" t="str">
        <f t="shared" si="2"/>
        <v/>
      </c>
      <c r="O70" s="90" t="str">
        <f t="shared" si="2"/>
        <v/>
      </c>
      <c r="P70" s="90" t="str">
        <f t="shared" si="2"/>
        <v/>
      </c>
      <c r="Q70" s="90" t="str">
        <f t="shared" si="2"/>
        <v/>
      </c>
      <c r="R70" s="90" t="str">
        <f t="shared" si="2"/>
        <v/>
      </c>
      <c r="S70" s="90" t="str">
        <f t="shared" si="2"/>
        <v/>
      </c>
      <c r="T70" s="90" t="str">
        <f t="shared" si="2"/>
        <v/>
      </c>
      <c r="U70" s="90" t="str">
        <f t="shared" si="2"/>
        <v/>
      </c>
      <c r="V70" s="90" t="str">
        <f t="shared" si="2"/>
        <v/>
      </c>
      <c r="W70" s="90" t="str">
        <f t="shared" si="2"/>
        <v/>
      </c>
      <c r="X70" s="90" t="str">
        <f t="shared" si="2"/>
        <v/>
      </c>
      <c r="Y70" s="90" t="str">
        <f t="shared" si="2"/>
        <v/>
      </c>
      <c r="Z70" s="90" t="str">
        <f t="shared" si="2"/>
        <v/>
      </c>
      <c r="AA70" s="90" t="str">
        <f t="shared" si="2"/>
        <v/>
      </c>
      <c r="AB70" s="90" t="str">
        <f t="shared" si="2"/>
        <v/>
      </c>
      <c r="AC70" s="90" t="str">
        <f t="shared" si="2"/>
        <v/>
      </c>
      <c r="AD70" s="90" t="str">
        <f t="shared" si="2"/>
        <v/>
      </c>
      <c r="AE70" s="90" t="str">
        <f t="shared" si="2"/>
        <v/>
      </c>
      <c r="AF70" s="90" t="str">
        <f t="shared" si="2"/>
        <v/>
      </c>
      <c r="AG70" s="90" t="str">
        <f t="shared" si="2"/>
        <v/>
      </c>
      <c r="AH70" s="90" t="str">
        <f t="shared" si="2"/>
        <v/>
      </c>
      <c r="AI70" s="90" t="str">
        <f t="shared" si="2"/>
        <v/>
      </c>
      <c r="AJ70" s="90" t="str">
        <f t="shared" si="2"/>
        <v/>
      </c>
      <c r="AK70" s="90" t="str">
        <f t="shared" si="2"/>
        <v/>
      </c>
      <c r="AL70" s="90" t="str">
        <f t="shared" si="2"/>
        <v/>
      </c>
      <c r="AM70" s="90" t="str">
        <f t="shared" si="2"/>
        <v/>
      </c>
    </row>
    <row r="71" spans="1:55" ht="21" hidden="1" customHeight="1">
      <c r="A71" s="109" t="s">
        <v>276</v>
      </c>
      <c r="B71" s="94" t="s">
        <v>11</v>
      </c>
      <c r="C71" s="90" t="str">
        <f t="shared" si="2"/>
        <v/>
      </c>
      <c r="D71" s="90" t="str">
        <f t="shared" si="2"/>
        <v>*</v>
      </c>
      <c r="E71" s="90" t="str">
        <f t="shared" si="2"/>
        <v>*</v>
      </c>
      <c r="F71" s="90" t="str">
        <f t="shared" si="2"/>
        <v/>
      </c>
      <c r="G71" s="90" t="str">
        <f t="shared" si="2"/>
        <v>*</v>
      </c>
      <c r="H71" s="90" t="str">
        <f t="shared" si="2"/>
        <v>*</v>
      </c>
      <c r="I71" s="90" t="str">
        <f t="shared" si="2"/>
        <v/>
      </c>
      <c r="J71" s="90" t="str">
        <f t="shared" si="2"/>
        <v/>
      </c>
      <c r="K71" s="90" t="str">
        <f t="shared" si="2"/>
        <v/>
      </c>
      <c r="L71" s="90" t="str">
        <f t="shared" si="2"/>
        <v/>
      </c>
      <c r="M71" s="90" t="str">
        <f t="shared" si="2"/>
        <v>*</v>
      </c>
      <c r="N71" s="90" t="str">
        <f t="shared" si="2"/>
        <v>*</v>
      </c>
      <c r="O71" s="90" t="str">
        <f t="shared" si="2"/>
        <v/>
      </c>
      <c r="P71" s="90" t="str">
        <f t="shared" si="2"/>
        <v>*</v>
      </c>
      <c r="Q71" s="90" t="str">
        <f t="shared" si="2"/>
        <v>*</v>
      </c>
      <c r="R71" s="90" t="str">
        <f t="shared" si="2"/>
        <v>*</v>
      </c>
      <c r="S71" s="90" t="str">
        <f t="shared" si="2"/>
        <v>*</v>
      </c>
      <c r="T71" s="90" t="str">
        <f t="shared" si="2"/>
        <v>*</v>
      </c>
      <c r="U71" s="90" t="str">
        <f t="shared" si="2"/>
        <v/>
      </c>
      <c r="V71" s="90" t="str">
        <f t="shared" si="2"/>
        <v>*</v>
      </c>
      <c r="W71" s="90" t="str">
        <f t="shared" si="2"/>
        <v>*</v>
      </c>
      <c r="X71" s="90" t="str">
        <f t="shared" si="2"/>
        <v/>
      </c>
      <c r="Y71" s="90" t="str">
        <f t="shared" si="2"/>
        <v>*</v>
      </c>
      <c r="Z71" s="90" t="str">
        <f t="shared" si="2"/>
        <v>*</v>
      </c>
      <c r="AA71" s="90" t="str">
        <f t="shared" si="2"/>
        <v>*</v>
      </c>
      <c r="AB71" s="90" t="str">
        <f t="shared" si="2"/>
        <v>*</v>
      </c>
      <c r="AC71" s="90" t="str">
        <f t="shared" si="2"/>
        <v>*</v>
      </c>
      <c r="AD71" s="90" t="str">
        <f t="shared" si="2"/>
        <v>*</v>
      </c>
      <c r="AE71" s="90" t="str">
        <f t="shared" si="2"/>
        <v>*</v>
      </c>
      <c r="AF71" s="90" t="str">
        <f t="shared" si="2"/>
        <v>*</v>
      </c>
      <c r="AG71" s="90" t="str">
        <f t="shared" si="2"/>
        <v/>
      </c>
      <c r="AH71" s="90" t="str">
        <f t="shared" si="2"/>
        <v>*</v>
      </c>
      <c r="AI71" s="90" t="str">
        <f t="shared" si="2"/>
        <v>*</v>
      </c>
      <c r="AJ71" s="90" t="str">
        <f t="shared" si="2"/>
        <v/>
      </c>
      <c r="AK71" s="90" t="str">
        <f t="shared" si="2"/>
        <v>*</v>
      </c>
      <c r="AL71" s="90" t="str">
        <f t="shared" si="2"/>
        <v>*</v>
      </c>
      <c r="AM71" s="90" t="str">
        <f t="shared" si="2"/>
        <v>*</v>
      </c>
    </row>
    <row r="72" spans="1:55" ht="21" hidden="1" customHeight="1">
      <c r="A72" s="109" t="s">
        <v>277</v>
      </c>
      <c r="B72" s="94" t="s">
        <v>12</v>
      </c>
      <c r="C72" s="90" t="str">
        <f t="shared" si="2"/>
        <v>*</v>
      </c>
      <c r="D72" s="90" t="str">
        <f t="shared" si="2"/>
        <v>*</v>
      </c>
      <c r="E72" s="90" t="str">
        <f t="shared" si="2"/>
        <v>*</v>
      </c>
      <c r="F72" s="90" t="str">
        <f t="shared" si="2"/>
        <v>*</v>
      </c>
      <c r="G72" s="90" t="str">
        <f t="shared" si="2"/>
        <v>*</v>
      </c>
      <c r="H72" s="90" t="str">
        <f t="shared" si="2"/>
        <v>*</v>
      </c>
      <c r="I72" s="90" t="str">
        <f t="shared" si="2"/>
        <v/>
      </c>
      <c r="J72" s="90" t="str">
        <f t="shared" si="2"/>
        <v>*</v>
      </c>
      <c r="K72" s="90" t="str">
        <f t="shared" si="2"/>
        <v>*</v>
      </c>
      <c r="L72" s="90" t="str">
        <f t="shared" si="2"/>
        <v>*</v>
      </c>
      <c r="M72" s="90" t="str">
        <f t="shared" si="2"/>
        <v>*</v>
      </c>
      <c r="N72" s="90" t="str">
        <f t="shared" si="2"/>
        <v>*</v>
      </c>
      <c r="O72" s="90" t="str">
        <f t="shared" si="2"/>
        <v>*</v>
      </c>
      <c r="P72" s="90" t="str">
        <f t="shared" si="2"/>
        <v>*</v>
      </c>
      <c r="Q72" s="90" t="str">
        <f t="shared" si="2"/>
        <v>*</v>
      </c>
      <c r="R72" s="90" t="str">
        <f t="shared" si="2"/>
        <v>*</v>
      </c>
      <c r="S72" s="90" t="str">
        <f t="shared" si="2"/>
        <v>*</v>
      </c>
      <c r="T72" s="90" t="str">
        <f t="shared" si="2"/>
        <v>*</v>
      </c>
      <c r="U72" s="90" t="str">
        <f t="shared" si="2"/>
        <v>*</v>
      </c>
      <c r="V72" s="90" t="str">
        <f t="shared" si="2"/>
        <v>*</v>
      </c>
      <c r="W72" s="90" t="str">
        <f t="shared" si="2"/>
        <v>*</v>
      </c>
      <c r="X72" s="90" t="str">
        <f t="shared" si="2"/>
        <v>*</v>
      </c>
      <c r="Y72" s="90" t="str">
        <f t="shared" si="2"/>
        <v>*</v>
      </c>
      <c r="Z72" s="90" t="str">
        <f t="shared" si="2"/>
        <v>*</v>
      </c>
      <c r="AA72" s="90" t="str">
        <f t="shared" si="2"/>
        <v>*</v>
      </c>
      <c r="AB72" s="90" t="str">
        <f t="shared" si="2"/>
        <v>*</v>
      </c>
      <c r="AC72" s="90" t="str">
        <f t="shared" si="2"/>
        <v>*</v>
      </c>
      <c r="AD72" s="90" t="str">
        <f t="shared" si="2"/>
        <v>*</v>
      </c>
      <c r="AE72" s="90" t="str">
        <f t="shared" si="2"/>
        <v>*</v>
      </c>
      <c r="AF72" s="90" t="str">
        <f t="shared" si="2"/>
        <v>*</v>
      </c>
      <c r="AG72" s="90" t="str">
        <f t="shared" si="2"/>
        <v>*</v>
      </c>
      <c r="AH72" s="90" t="str">
        <f t="shared" si="2"/>
        <v>*</v>
      </c>
      <c r="AI72" s="90" t="str">
        <f t="shared" si="2"/>
        <v>*</v>
      </c>
      <c r="AJ72" s="90" t="str">
        <f t="shared" si="2"/>
        <v>*</v>
      </c>
      <c r="AK72" s="90" t="str">
        <f t="shared" si="2"/>
        <v>*</v>
      </c>
      <c r="AL72" s="90" t="str">
        <f t="shared" si="2"/>
        <v>*</v>
      </c>
      <c r="AM72" s="90" t="str">
        <f t="shared" si="2"/>
        <v>*</v>
      </c>
    </row>
    <row r="73" spans="1:55" ht="21" hidden="1" customHeight="1">
      <c r="A73" s="109" t="s">
        <v>278</v>
      </c>
      <c r="B73" s="94" t="s">
        <v>13</v>
      </c>
      <c r="C73" s="90" t="str">
        <f t="shared" si="2"/>
        <v/>
      </c>
      <c r="D73" s="90" t="str">
        <f t="shared" si="2"/>
        <v/>
      </c>
      <c r="E73" s="90" t="str">
        <f t="shared" si="2"/>
        <v>*</v>
      </c>
      <c r="F73" s="90" t="str">
        <f t="shared" si="2"/>
        <v>*</v>
      </c>
      <c r="G73" s="90" t="str">
        <f t="shared" si="2"/>
        <v/>
      </c>
      <c r="H73" s="90" t="str">
        <f t="shared" si="2"/>
        <v>*</v>
      </c>
      <c r="I73" s="90" t="str">
        <f t="shared" si="2"/>
        <v>*</v>
      </c>
      <c r="J73" s="90" t="str">
        <f t="shared" si="2"/>
        <v>*</v>
      </c>
      <c r="K73" s="90" t="str">
        <f t="shared" si="2"/>
        <v/>
      </c>
      <c r="L73" s="90" t="str">
        <f t="shared" si="2"/>
        <v>*</v>
      </c>
      <c r="M73" s="90" t="str">
        <f t="shared" si="2"/>
        <v>*</v>
      </c>
      <c r="N73" s="90" t="str">
        <f t="shared" si="2"/>
        <v/>
      </c>
      <c r="O73" s="90" t="str">
        <f t="shared" si="2"/>
        <v>*</v>
      </c>
      <c r="P73" s="90" t="str">
        <f t="shared" si="2"/>
        <v>*</v>
      </c>
      <c r="Q73" s="90" t="str">
        <f t="shared" si="2"/>
        <v>*</v>
      </c>
      <c r="R73" s="90" t="str">
        <f t="shared" si="2"/>
        <v>*</v>
      </c>
      <c r="S73" s="90" t="str">
        <f t="shared" si="2"/>
        <v>*</v>
      </c>
      <c r="T73" s="90" t="str">
        <f t="shared" si="2"/>
        <v>*</v>
      </c>
      <c r="U73" s="90" t="str">
        <f t="shared" si="2"/>
        <v>*</v>
      </c>
      <c r="V73" s="90" t="str">
        <f t="shared" si="2"/>
        <v>*</v>
      </c>
      <c r="W73" s="90" t="str">
        <f t="shared" si="2"/>
        <v>*</v>
      </c>
      <c r="X73" s="90" t="str">
        <f t="shared" si="2"/>
        <v>*</v>
      </c>
      <c r="Y73" s="90" t="str">
        <f t="shared" si="2"/>
        <v>*</v>
      </c>
      <c r="Z73" s="90" t="str">
        <f t="shared" si="2"/>
        <v>*</v>
      </c>
      <c r="AA73" s="90" t="str">
        <f t="shared" si="2"/>
        <v>*</v>
      </c>
      <c r="AB73" s="90" t="str">
        <f t="shared" si="2"/>
        <v>*</v>
      </c>
      <c r="AC73" s="90" t="str">
        <f t="shared" si="2"/>
        <v>*</v>
      </c>
      <c r="AD73" s="90" t="str">
        <f t="shared" si="2"/>
        <v>*</v>
      </c>
      <c r="AE73" s="90" t="str">
        <f t="shared" si="2"/>
        <v>*</v>
      </c>
      <c r="AF73" s="90" t="str">
        <f t="shared" si="2"/>
        <v>*</v>
      </c>
      <c r="AG73" s="90" t="str">
        <f t="shared" si="2"/>
        <v>*</v>
      </c>
      <c r="AH73" s="90" t="str">
        <f t="shared" si="2"/>
        <v>*</v>
      </c>
      <c r="AI73" s="90" t="str">
        <f t="shared" si="2"/>
        <v>*</v>
      </c>
      <c r="AJ73" s="90" t="str">
        <f t="shared" si="2"/>
        <v>*</v>
      </c>
      <c r="AK73" s="90" t="str">
        <f t="shared" si="2"/>
        <v>*</v>
      </c>
      <c r="AL73" s="90" t="str">
        <f t="shared" si="2"/>
        <v>*</v>
      </c>
      <c r="AM73" s="90" t="str">
        <f t="shared" si="2"/>
        <v>*</v>
      </c>
    </row>
    <row r="74" spans="1:55" ht="21" hidden="1" customHeight="1">
      <c r="A74" s="109" t="s">
        <v>279</v>
      </c>
      <c r="B74" s="94" t="s">
        <v>14</v>
      </c>
      <c r="C74" s="90" t="str">
        <f t="shared" si="2"/>
        <v/>
      </c>
      <c r="D74" s="90" t="str">
        <f t="shared" si="2"/>
        <v/>
      </c>
      <c r="E74" s="90" t="str">
        <f t="shared" si="2"/>
        <v/>
      </c>
      <c r="F74" s="90" t="str">
        <f t="shared" si="2"/>
        <v/>
      </c>
      <c r="G74" s="90" t="str">
        <f t="shared" si="2"/>
        <v/>
      </c>
      <c r="H74" s="90" t="str">
        <f t="shared" si="2"/>
        <v/>
      </c>
      <c r="I74" s="90" t="str">
        <f t="shared" si="2"/>
        <v/>
      </c>
      <c r="J74" s="90" t="str">
        <f t="shared" si="2"/>
        <v/>
      </c>
      <c r="K74" s="90" t="str">
        <f t="shared" si="2"/>
        <v/>
      </c>
      <c r="L74" s="90" t="str">
        <f t="shared" si="2"/>
        <v/>
      </c>
      <c r="M74" s="90" t="str">
        <f t="shared" si="2"/>
        <v/>
      </c>
      <c r="N74" s="90" t="str">
        <f t="shared" si="2"/>
        <v/>
      </c>
      <c r="O74" s="90" t="str">
        <f t="shared" si="2"/>
        <v/>
      </c>
      <c r="P74" s="90" t="str">
        <f t="shared" si="2"/>
        <v/>
      </c>
      <c r="Q74" s="90" t="str">
        <f t="shared" si="2"/>
        <v/>
      </c>
      <c r="R74" s="90" t="str">
        <f t="shared" si="2"/>
        <v/>
      </c>
      <c r="S74" s="90" t="str">
        <f t="shared" si="2"/>
        <v/>
      </c>
      <c r="T74" s="90" t="str">
        <f t="shared" si="2"/>
        <v/>
      </c>
      <c r="U74" s="90" t="str">
        <f t="shared" si="2"/>
        <v/>
      </c>
      <c r="V74" s="90" t="str">
        <f t="shared" si="2"/>
        <v/>
      </c>
      <c r="W74" s="90" t="str">
        <f t="shared" si="2"/>
        <v/>
      </c>
      <c r="X74" s="90" t="str">
        <f t="shared" si="2"/>
        <v/>
      </c>
      <c r="Y74" s="90" t="str">
        <f t="shared" si="2"/>
        <v/>
      </c>
      <c r="Z74" s="90" t="str">
        <f t="shared" si="2"/>
        <v/>
      </c>
      <c r="AA74" s="90" t="str">
        <f t="shared" si="2"/>
        <v/>
      </c>
      <c r="AB74" s="90" t="str">
        <f t="shared" si="2"/>
        <v/>
      </c>
      <c r="AC74" s="90" t="str">
        <f t="shared" si="2"/>
        <v/>
      </c>
      <c r="AD74" s="90" t="str">
        <f t="shared" si="2"/>
        <v/>
      </c>
      <c r="AE74" s="90" t="str">
        <f t="shared" si="2"/>
        <v/>
      </c>
      <c r="AF74" s="90" t="str">
        <f t="shared" si="2"/>
        <v/>
      </c>
      <c r="AG74" s="90" t="str">
        <f t="shared" si="2"/>
        <v/>
      </c>
      <c r="AH74" s="90" t="str">
        <f t="shared" si="2"/>
        <v/>
      </c>
      <c r="AI74" s="90" t="str">
        <f t="shared" si="2"/>
        <v/>
      </c>
      <c r="AJ74" s="90" t="str">
        <f t="shared" ref="AJ74:AM74" si="3">IF(AJ48=AJ20,"","*")</f>
        <v/>
      </c>
      <c r="AK74" s="90" t="str">
        <f t="shared" si="3"/>
        <v/>
      </c>
      <c r="AL74" s="90" t="str">
        <f t="shared" si="3"/>
        <v/>
      </c>
      <c r="AM74" s="90" t="str">
        <f t="shared" si="3"/>
        <v/>
      </c>
    </row>
    <row r="75" spans="1:55" ht="21" hidden="1" customHeight="1">
      <c r="A75" s="109" t="s">
        <v>280</v>
      </c>
      <c r="B75" s="94" t="s">
        <v>15</v>
      </c>
      <c r="C75" s="90" t="str">
        <f t="shared" ref="C75:AM81" si="4">IF(C49=C21,"","*")</f>
        <v>*</v>
      </c>
      <c r="D75" s="90" t="str">
        <f t="shared" si="4"/>
        <v>*</v>
      </c>
      <c r="E75" s="90" t="str">
        <f t="shared" si="4"/>
        <v>*</v>
      </c>
      <c r="F75" s="90" t="str">
        <f t="shared" si="4"/>
        <v>*</v>
      </c>
      <c r="G75" s="90" t="str">
        <f t="shared" si="4"/>
        <v>*</v>
      </c>
      <c r="H75" s="90" t="str">
        <f t="shared" si="4"/>
        <v>*</v>
      </c>
      <c r="I75" s="90" t="str">
        <f t="shared" si="4"/>
        <v>*</v>
      </c>
      <c r="J75" s="90" t="str">
        <f t="shared" si="4"/>
        <v>*</v>
      </c>
      <c r="K75" s="90" t="str">
        <f t="shared" si="4"/>
        <v>*</v>
      </c>
      <c r="L75" s="90" t="str">
        <f t="shared" si="4"/>
        <v>*</v>
      </c>
      <c r="M75" s="90" t="str">
        <f t="shared" si="4"/>
        <v>*</v>
      </c>
      <c r="N75" s="90" t="str">
        <f t="shared" si="4"/>
        <v>*</v>
      </c>
      <c r="O75" s="90" t="str">
        <f t="shared" si="4"/>
        <v>*</v>
      </c>
      <c r="P75" s="90" t="str">
        <f t="shared" si="4"/>
        <v>*</v>
      </c>
      <c r="Q75" s="90" t="str">
        <f t="shared" si="4"/>
        <v>*</v>
      </c>
      <c r="R75" s="90" t="str">
        <f t="shared" si="4"/>
        <v>*</v>
      </c>
      <c r="S75" s="90" t="str">
        <f t="shared" si="4"/>
        <v>*</v>
      </c>
      <c r="T75" s="90" t="str">
        <f t="shared" si="4"/>
        <v>*</v>
      </c>
      <c r="U75" s="90" t="str">
        <f t="shared" si="4"/>
        <v>*</v>
      </c>
      <c r="V75" s="90" t="str">
        <f t="shared" si="4"/>
        <v>*</v>
      </c>
      <c r="W75" s="90" t="str">
        <f t="shared" si="4"/>
        <v>*</v>
      </c>
      <c r="X75" s="90" t="str">
        <f t="shared" si="4"/>
        <v>*</v>
      </c>
      <c r="Y75" s="90" t="str">
        <f t="shared" si="4"/>
        <v>*</v>
      </c>
      <c r="Z75" s="90" t="str">
        <f t="shared" si="4"/>
        <v>*</v>
      </c>
      <c r="AA75" s="90" t="str">
        <f t="shared" si="4"/>
        <v>*</v>
      </c>
      <c r="AB75" s="90" t="str">
        <f t="shared" si="4"/>
        <v>*</v>
      </c>
      <c r="AC75" s="90" t="str">
        <f t="shared" si="4"/>
        <v>*</v>
      </c>
      <c r="AD75" s="90" t="str">
        <f t="shared" si="4"/>
        <v>*</v>
      </c>
      <c r="AE75" s="90" t="str">
        <f t="shared" si="4"/>
        <v>*</v>
      </c>
      <c r="AF75" s="90" t="str">
        <f t="shared" si="4"/>
        <v>*</v>
      </c>
      <c r="AG75" s="90" t="str">
        <f t="shared" si="4"/>
        <v>*</v>
      </c>
      <c r="AH75" s="90" t="str">
        <f t="shared" si="4"/>
        <v>*</v>
      </c>
      <c r="AI75" s="90" t="str">
        <f t="shared" si="4"/>
        <v>*</v>
      </c>
      <c r="AJ75" s="90" t="str">
        <f t="shared" si="4"/>
        <v>*</v>
      </c>
      <c r="AK75" s="90" t="str">
        <f t="shared" si="4"/>
        <v>*</v>
      </c>
      <c r="AL75" s="90" t="str">
        <f t="shared" si="4"/>
        <v>*</v>
      </c>
      <c r="AM75" s="90" t="str">
        <f t="shared" si="4"/>
        <v>*</v>
      </c>
    </row>
    <row r="76" spans="1:55" ht="21" hidden="1" customHeight="1">
      <c r="A76" s="109" t="s">
        <v>281</v>
      </c>
      <c r="B76" s="94" t="s">
        <v>16</v>
      </c>
      <c r="C76" s="90" t="str">
        <f t="shared" si="4"/>
        <v>*</v>
      </c>
      <c r="D76" s="90" t="str">
        <f t="shared" si="4"/>
        <v>*</v>
      </c>
      <c r="E76" s="90" t="str">
        <f t="shared" si="4"/>
        <v/>
      </c>
      <c r="F76" s="90" t="str">
        <f t="shared" si="4"/>
        <v>*</v>
      </c>
      <c r="G76" s="90" t="str">
        <f t="shared" si="4"/>
        <v>*</v>
      </c>
      <c r="H76" s="90" t="str">
        <f t="shared" si="4"/>
        <v>*</v>
      </c>
      <c r="I76" s="90" t="str">
        <f t="shared" si="4"/>
        <v/>
      </c>
      <c r="J76" s="90" t="str">
        <f t="shared" si="4"/>
        <v/>
      </c>
      <c r="K76" s="90" t="str">
        <f t="shared" si="4"/>
        <v/>
      </c>
      <c r="L76" s="90" t="str">
        <f t="shared" si="4"/>
        <v/>
      </c>
      <c r="M76" s="90" t="str">
        <f t="shared" si="4"/>
        <v>*</v>
      </c>
      <c r="N76" s="90" t="str">
        <f t="shared" si="4"/>
        <v>*</v>
      </c>
      <c r="O76" s="90" t="str">
        <f t="shared" si="4"/>
        <v>*</v>
      </c>
      <c r="P76" s="90" t="str">
        <f t="shared" si="4"/>
        <v>*</v>
      </c>
      <c r="Q76" s="90" t="str">
        <f t="shared" si="4"/>
        <v>*</v>
      </c>
      <c r="R76" s="90" t="str">
        <f t="shared" si="4"/>
        <v>*</v>
      </c>
      <c r="S76" s="90" t="str">
        <f t="shared" si="4"/>
        <v>*</v>
      </c>
      <c r="T76" s="90" t="str">
        <f t="shared" si="4"/>
        <v>*</v>
      </c>
      <c r="U76" s="90" t="str">
        <f t="shared" si="4"/>
        <v>*</v>
      </c>
      <c r="V76" s="90" t="str">
        <f t="shared" si="4"/>
        <v/>
      </c>
      <c r="W76" s="90" t="str">
        <f t="shared" si="4"/>
        <v/>
      </c>
      <c r="X76" s="90" t="str">
        <f t="shared" si="4"/>
        <v/>
      </c>
      <c r="Y76" s="90" t="str">
        <f t="shared" si="4"/>
        <v>*</v>
      </c>
      <c r="Z76" s="90" t="str">
        <f t="shared" si="4"/>
        <v>*</v>
      </c>
      <c r="AA76" s="90" t="str">
        <f t="shared" si="4"/>
        <v>*</v>
      </c>
      <c r="AB76" s="90" t="str">
        <f t="shared" si="4"/>
        <v>*</v>
      </c>
      <c r="AC76" s="90" t="str">
        <f t="shared" si="4"/>
        <v>*</v>
      </c>
      <c r="AD76" s="90" t="str">
        <f t="shared" si="4"/>
        <v>*</v>
      </c>
      <c r="AE76" s="90" t="str">
        <f t="shared" si="4"/>
        <v>*</v>
      </c>
      <c r="AF76" s="90" t="str">
        <f t="shared" si="4"/>
        <v>*</v>
      </c>
      <c r="AG76" s="90" t="str">
        <f t="shared" si="4"/>
        <v>*</v>
      </c>
      <c r="AH76" s="90" t="str">
        <f t="shared" si="4"/>
        <v/>
      </c>
      <c r="AI76" s="90" t="str">
        <f t="shared" si="4"/>
        <v/>
      </c>
      <c r="AJ76" s="90" t="str">
        <f t="shared" si="4"/>
        <v/>
      </c>
      <c r="AK76" s="90" t="str">
        <f t="shared" si="4"/>
        <v>*</v>
      </c>
      <c r="AL76" s="90" t="str">
        <f t="shared" si="4"/>
        <v>*</v>
      </c>
      <c r="AM76" s="90" t="str">
        <f t="shared" si="4"/>
        <v>*</v>
      </c>
    </row>
    <row r="77" spans="1:55" ht="21" hidden="1" customHeight="1">
      <c r="A77" s="109" t="s">
        <v>282</v>
      </c>
      <c r="B77" s="94" t="s">
        <v>17</v>
      </c>
      <c r="C77" s="90" t="str">
        <f t="shared" si="4"/>
        <v>*</v>
      </c>
      <c r="D77" s="90" t="str">
        <f t="shared" si="4"/>
        <v>*</v>
      </c>
      <c r="E77" s="90" t="str">
        <f t="shared" si="4"/>
        <v>*</v>
      </c>
      <c r="F77" s="90" t="str">
        <f t="shared" si="4"/>
        <v>*</v>
      </c>
      <c r="G77" s="90" t="str">
        <f t="shared" si="4"/>
        <v>*</v>
      </c>
      <c r="H77" s="90" t="str">
        <f t="shared" si="4"/>
        <v>*</v>
      </c>
      <c r="I77" s="90" t="str">
        <f t="shared" si="4"/>
        <v/>
      </c>
      <c r="J77" s="90" t="str">
        <f t="shared" si="4"/>
        <v>*</v>
      </c>
      <c r="K77" s="90" t="str">
        <f t="shared" si="4"/>
        <v>*</v>
      </c>
      <c r="L77" s="90" t="str">
        <f t="shared" si="4"/>
        <v/>
      </c>
      <c r="M77" s="90" t="str">
        <f t="shared" si="4"/>
        <v>*</v>
      </c>
      <c r="N77" s="90" t="str">
        <f t="shared" si="4"/>
        <v>*</v>
      </c>
      <c r="O77" s="90" t="str">
        <f t="shared" si="4"/>
        <v>*</v>
      </c>
      <c r="P77" s="90" t="str">
        <f t="shared" si="4"/>
        <v>*</v>
      </c>
      <c r="Q77" s="90" t="str">
        <f t="shared" si="4"/>
        <v>*</v>
      </c>
      <c r="R77" s="90" t="str">
        <f t="shared" si="4"/>
        <v>*</v>
      </c>
      <c r="S77" s="90" t="str">
        <f t="shared" si="4"/>
        <v>*</v>
      </c>
      <c r="T77" s="90" t="str">
        <f t="shared" si="4"/>
        <v>*</v>
      </c>
      <c r="U77" s="90" t="str">
        <f t="shared" si="4"/>
        <v>*</v>
      </c>
      <c r="V77" s="90" t="str">
        <f t="shared" si="4"/>
        <v>*</v>
      </c>
      <c r="W77" s="90" t="str">
        <f t="shared" si="4"/>
        <v>*</v>
      </c>
      <c r="X77" s="90" t="str">
        <f t="shared" si="4"/>
        <v>*</v>
      </c>
      <c r="Y77" s="90" t="str">
        <f t="shared" si="4"/>
        <v>*</v>
      </c>
      <c r="Z77" s="90" t="str">
        <f t="shared" si="4"/>
        <v>*</v>
      </c>
      <c r="AA77" s="90" t="str">
        <f t="shared" si="4"/>
        <v>*</v>
      </c>
      <c r="AB77" s="90" t="str">
        <f t="shared" si="4"/>
        <v>*</v>
      </c>
      <c r="AC77" s="90" t="str">
        <f t="shared" si="4"/>
        <v>*</v>
      </c>
      <c r="AD77" s="90" t="str">
        <f t="shared" si="4"/>
        <v>*</v>
      </c>
      <c r="AE77" s="90" t="str">
        <f t="shared" si="4"/>
        <v>*</v>
      </c>
      <c r="AF77" s="90" t="str">
        <f t="shared" si="4"/>
        <v>*</v>
      </c>
      <c r="AG77" s="90" t="str">
        <f t="shared" si="4"/>
        <v>*</v>
      </c>
      <c r="AH77" s="90" t="str">
        <f t="shared" si="4"/>
        <v>*</v>
      </c>
      <c r="AI77" s="90" t="str">
        <f t="shared" si="4"/>
        <v>*</v>
      </c>
      <c r="AJ77" s="90" t="str">
        <f t="shared" si="4"/>
        <v>*</v>
      </c>
      <c r="AK77" s="90" t="str">
        <f t="shared" si="4"/>
        <v>*</v>
      </c>
      <c r="AL77" s="90" t="str">
        <f t="shared" si="4"/>
        <v>*</v>
      </c>
      <c r="AM77" s="90" t="str">
        <f t="shared" si="4"/>
        <v>*</v>
      </c>
    </row>
    <row r="78" spans="1:55" ht="21" hidden="1" customHeight="1">
      <c r="A78" s="109" t="s">
        <v>283</v>
      </c>
      <c r="B78" s="94" t="s">
        <v>18</v>
      </c>
      <c r="C78" s="90" t="str">
        <f t="shared" si="4"/>
        <v/>
      </c>
      <c r="D78" s="90" t="str">
        <f t="shared" si="4"/>
        <v/>
      </c>
      <c r="E78" s="90" t="str">
        <f t="shared" si="4"/>
        <v/>
      </c>
      <c r="F78" s="90" t="str">
        <f t="shared" si="4"/>
        <v/>
      </c>
      <c r="G78" s="90" t="str">
        <f t="shared" si="4"/>
        <v/>
      </c>
      <c r="H78" s="90" t="str">
        <f t="shared" si="4"/>
        <v/>
      </c>
      <c r="I78" s="90" t="str">
        <f t="shared" si="4"/>
        <v/>
      </c>
      <c r="J78" s="90" t="str">
        <f t="shared" si="4"/>
        <v>*</v>
      </c>
      <c r="K78" s="90" t="str">
        <f t="shared" si="4"/>
        <v>*</v>
      </c>
      <c r="L78" s="90" t="str">
        <f t="shared" si="4"/>
        <v/>
      </c>
      <c r="M78" s="90" t="str">
        <f t="shared" si="4"/>
        <v>*</v>
      </c>
      <c r="N78" s="90" t="str">
        <f t="shared" si="4"/>
        <v>*</v>
      </c>
      <c r="O78" s="90" t="str">
        <f t="shared" si="4"/>
        <v/>
      </c>
      <c r="P78" s="90" t="str">
        <f t="shared" si="4"/>
        <v>*</v>
      </c>
      <c r="Q78" s="90" t="str">
        <f t="shared" si="4"/>
        <v>*</v>
      </c>
      <c r="R78" s="90" t="str">
        <f t="shared" si="4"/>
        <v>*</v>
      </c>
      <c r="S78" s="90" t="str">
        <f t="shared" si="4"/>
        <v>*</v>
      </c>
      <c r="T78" s="90" t="str">
        <f t="shared" si="4"/>
        <v>*</v>
      </c>
      <c r="U78" s="90" t="str">
        <f t="shared" si="4"/>
        <v/>
      </c>
      <c r="V78" s="90" t="str">
        <f t="shared" si="4"/>
        <v>*</v>
      </c>
      <c r="W78" s="90" t="str">
        <f t="shared" si="4"/>
        <v>*</v>
      </c>
      <c r="X78" s="90" t="str">
        <f t="shared" si="4"/>
        <v/>
      </c>
      <c r="Y78" s="90" t="str">
        <f t="shared" si="4"/>
        <v>*</v>
      </c>
      <c r="Z78" s="90" t="str">
        <f t="shared" si="4"/>
        <v>*</v>
      </c>
      <c r="AA78" s="90" t="str">
        <f t="shared" si="4"/>
        <v>*</v>
      </c>
      <c r="AB78" s="90" t="str">
        <f t="shared" si="4"/>
        <v>*</v>
      </c>
      <c r="AC78" s="90" t="str">
        <f t="shared" si="4"/>
        <v>*</v>
      </c>
      <c r="AD78" s="90" t="str">
        <f t="shared" si="4"/>
        <v>*</v>
      </c>
      <c r="AE78" s="90" t="str">
        <f t="shared" si="4"/>
        <v>*</v>
      </c>
      <c r="AF78" s="90" t="str">
        <f t="shared" si="4"/>
        <v>*</v>
      </c>
      <c r="AG78" s="90" t="str">
        <f t="shared" si="4"/>
        <v/>
      </c>
      <c r="AH78" s="90" t="str">
        <f t="shared" si="4"/>
        <v>*</v>
      </c>
      <c r="AI78" s="90" t="str">
        <f t="shared" si="4"/>
        <v>*</v>
      </c>
      <c r="AJ78" s="90" t="str">
        <f t="shared" si="4"/>
        <v/>
      </c>
      <c r="AK78" s="90" t="str">
        <f t="shared" si="4"/>
        <v>*</v>
      </c>
      <c r="AL78" s="90" t="str">
        <f t="shared" si="4"/>
        <v>*</v>
      </c>
      <c r="AM78" s="90" t="str">
        <f t="shared" si="4"/>
        <v>*</v>
      </c>
    </row>
    <row r="79" spans="1:55" ht="21" hidden="1" customHeight="1">
      <c r="A79" s="109" t="s">
        <v>284</v>
      </c>
      <c r="B79" s="94" t="s">
        <v>19</v>
      </c>
      <c r="C79" s="90" t="str">
        <f t="shared" si="4"/>
        <v/>
      </c>
      <c r="D79" s="90" t="str">
        <f t="shared" si="4"/>
        <v/>
      </c>
      <c r="E79" s="90" t="str">
        <f t="shared" si="4"/>
        <v/>
      </c>
      <c r="F79" s="90" t="str">
        <f t="shared" si="4"/>
        <v/>
      </c>
      <c r="G79" s="90" t="str">
        <f t="shared" si="4"/>
        <v/>
      </c>
      <c r="H79" s="90" t="str">
        <f t="shared" si="4"/>
        <v/>
      </c>
      <c r="I79" s="90" t="str">
        <f t="shared" si="4"/>
        <v/>
      </c>
      <c r="J79" s="90" t="str">
        <f t="shared" si="4"/>
        <v/>
      </c>
      <c r="K79" s="90" t="str">
        <f t="shared" si="4"/>
        <v/>
      </c>
      <c r="L79" s="90" t="str">
        <f t="shared" si="4"/>
        <v/>
      </c>
      <c r="M79" s="90" t="str">
        <f t="shared" si="4"/>
        <v/>
      </c>
      <c r="N79" s="90" t="str">
        <f t="shared" si="4"/>
        <v/>
      </c>
      <c r="O79" s="90" t="str">
        <f t="shared" si="4"/>
        <v/>
      </c>
      <c r="P79" s="90" t="str">
        <f t="shared" si="4"/>
        <v/>
      </c>
      <c r="Q79" s="90" t="str">
        <f t="shared" si="4"/>
        <v/>
      </c>
      <c r="R79" s="90" t="str">
        <f t="shared" si="4"/>
        <v/>
      </c>
      <c r="S79" s="90" t="str">
        <f t="shared" si="4"/>
        <v/>
      </c>
      <c r="T79" s="90" t="str">
        <f t="shared" si="4"/>
        <v/>
      </c>
      <c r="U79" s="90" t="str">
        <f t="shared" si="4"/>
        <v/>
      </c>
      <c r="V79" s="90" t="str">
        <f t="shared" si="4"/>
        <v/>
      </c>
      <c r="W79" s="90" t="str">
        <f t="shared" si="4"/>
        <v/>
      </c>
      <c r="X79" s="90" t="str">
        <f t="shared" si="4"/>
        <v/>
      </c>
      <c r="Y79" s="90" t="str">
        <f t="shared" si="4"/>
        <v/>
      </c>
      <c r="Z79" s="90" t="str">
        <f t="shared" si="4"/>
        <v/>
      </c>
      <c r="AA79" s="90" t="str">
        <f t="shared" si="4"/>
        <v/>
      </c>
      <c r="AB79" s="90" t="str">
        <f t="shared" si="4"/>
        <v/>
      </c>
      <c r="AC79" s="90" t="str">
        <f t="shared" si="4"/>
        <v/>
      </c>
      <c r="AD79" s="90" t="str">
        <f t="shared" si="4"/>
        <v/>
      </c>
      <c r="AE79" s="90" t="str">
        <f t="shared" si="4"/>
        <v/>
      </c>
      <c r="AF79" s="90" t="str">
        <f t="shared" si="4"/>
        <v/>
      </c>
      <c r="AG79" s="90" t="str">
        <f t="shared" si="4"/>
        <v/>
      </c>
      <c r="AH79" s="90" t="str">
        <f t="shared" si="4"/>
        <v/>
      </c>
      <c r="AI79" s="90" t="str">
        <f t="shared" si="4"/>
        <v/>
      </c>
      <c r="AJ79" s="90" t="str">
        <f t="shared" si="4"/>
        <v/>
      </c>
      <c r="AK79" s="90" t="str">
        <f t="shared" si="4"/>
        <v/>
      </c>
      <c r="AL79" s="90" t="str">
        <f t="shared" si="4"/>
        <v/>
      </c>
      <c r="AM79" s="90" t="str">
        <f t="shared" si="4"/>
        <v/>
      </c>
    </row>
    <row r="80" spans="1:55" ht="21" hidden="1" customHeight="1">
      <c r="A80" s="109" t="s">
        <v>285</v>
      </c>
      <c r="B80" s="94" t="s">
        <v>20</v>
      </c>
      <c r="C80" s="90" t="str">
        <f t="shared" si="4"/>
        <v/>
      </c>
      <c r="D80" s="90" t="str">
        <f t="shared" si="4"/>
        <v>*</v>
      </c>
      <c r="E80" s="90" t="str">
        <f t="shared" si="4"/>
        <v/>
      </c>
      <c r="F80" s="90" t="str">
        <f t="shared" si="4"/>
        <v>*</v>
      </c>
      <c r="G80" s="90" t="str">
        <f t="shared" si="4"/>
        <v/>
      </c>
      <c r="H80" s="90" t="str">
        <f t="shared" si="4"/>
        <v/>
      </c>
      <c r="I80" s="90" t="str">
        <f t="shared" si="4"/>
        <v/>
      </c>
      <c r="J80" s="90" t="str">
        <f t="shared" si="4"/>
        <v>*</v>
      </c>
      <c r="K80" s="90" t="str">
        <f t="shared" si="4"/>
        <v/>
      </c>
      <c r="L80" s="90" t="str">
        <f t="shared" si="4"/>
        <v>*</v>
      </c>
      <c r="M80" s="90" t="str">
        <f t="shared" si="4"/>
        <v/>
      </c>
      <c r="N80" s="90" t="str">
        <f t="shared" si="4"/>
        <v/>
      </c>
      <c r="O80" s="90" t="str">
        <f t="shared" si="4"/>
        <v/>
      </c>
      <c r="P80" s="90" t="str">
        <f t="shared" si="4"/>
        <v>*</v>
      </c>
      <c r="Q80" s="90" t="str">
        <f t="shared" si="4"/>
        <v/>
      </c>
      <c r="R80" s="90" t="str">
        <f t="shared" si="4"/>
        <v>*</v>
      </c>
      <c r="S80" s="90" t="str">
        <f t="shared" si="4"/>
        <v/>
      </c>
      <c r="T80" s="90" t="str">
        <f t="shared" si="4"/>
        <v/>
      </c>
      <c r="U80" s="90" t="str">
        <f t="shared" si="4"/>
        <v/>
      </c>
      <c r="V80" s="90" t="str">
        <f t="shared" si="4"/>
        <v>*</v>
      </c>
      <c r="W80" s="90" t="str">
        <f t="shared" si="4"/>
        <v/>
      </c>
      <c r="X80" s="90" t="str">
        <f t="shared" si="4"/>
        <v>*</v>
      </c>
      <c r="Y80" s="90" t="str">
        <f t="shared" si="4"/>
        <v/>
      </c>
      <c r="Z80" s="90" t="str">
        <f t="shared" si="4"/>
        <v/>
      </c>
      <c r="AA80" s="90" t="str">
        <f t="shared" si="4"/>
        <v/>
      </c>
      <c r="AB80" s="90" t="str">
        <f t="shared" si="4"/>
        <v>*</v>
      </c>
      <c r="AC80" s="90" t="str">
        <f t="shared" si="4"/>
        <v/>
      </c>
      <c r="AD80" s="90" t="str">
        <f t="shared" si="4"/>
        <v>*</v>
      </c>
      <c r="AE80" s="90" t="str">
        <f t="shared" si="4"/>
        <v/>
      </c>
      <c r="AF80" s="90" t="str">
        <f t="shared" si="4"/>
        <v/>
      </c>
      <c r="AG80" s="90" t="str">
        <f t="shared" si="4"/>
        <v/>
      </c>
      <c r="AH80" s="90" t="str">
        <f t="shared" si="4"/>
        <v>*</v>
      </c>
      <c r="AI80" s="90" t="str">
        <f t="shared" si="4"/>
        <v/>
      </c>
      <c r="AJ80" s="90" t="str">
        <f t="shared" si="4"/>
        <v>*</v>
      </c>
      <c r="AK80" s="90" t="str">
        <f t="shared" si="4"/>
        <v/>
      </c>
      <c r="AL80" s="90" t="str">
        <f t="shared" si="4"/>
        <v/>
      </c>
      <c r="AM80" s="90" t="str">
        <f t="shared" si="4"/>
        <v/>
      </c>
    </row>
    <row r="81" spans="1:39" ht="21" hidden="1" customHeight="1">
      <c r="A81" s="109" t="s">
        <v>286</v>
      </c>
      <c r="B81" s="94" t="s">
        <v>21</v>
      </c>
      <c r="C81" s="90" t="str">
        <f t="shared" si="4"/>
        <v/>
      </c>
      <c r="D81" s="90" t="str">
        <f t="shared" si="4"/>
        <v>*</v>
      </c>
      <c r="E81" s="90" t="str">
        <f t="shared" si="4"/>
        <v/>
      </c>
      <c r="F81" s="90" t="str">
        <f t="shared" si="4"/>
        <v>*</v>
      </c>
      <c r="G81" s="90" t="str">
        <f t="shared" si="4"/>
        <v/>
      </c>
      <c r="H81" s="90" t="str">
        <f t="shared" si="4"/>
        <v/>
      </c>
      <c r="I81" s="90" t="str">
        <f t="shared" si="4"/>
        <v/>
      </c>
      <c r="J81" s="90" t="str">
        <f t="shared" si="4"/>
        <v>*</v>
      </c>
      <c r="K81" s="90" t="str">
        <f t="shared" si="4"/>
        <v/>
      </c>
      <c r="L81" s="90" t="str">
        <f t="shared" si="4"/>
        <v>*</v>
      </c>
      <c r="M81" s="90" t="str">
        <f t="shared" si="4"/>
        <v>*</v>
      </c>
      <c r="N81" s="90" t="str">
        <f t="shared" si="4"/>
        <v/>
      </c>
      <c r="O81" s="90" t="str">
        <f t="shared" si="4"/>
        <v>*</v>
      </c>
      <c r="P81" s="90" t="str">
        <f t="shared" si="4"/>
        <v>*</v>
      </c>
      <c r="Q81" s="90" t="str">
        <f t="shared" si="4"/>
        <v/>
      </c>
      <c r="R81" s="90" t="str">
        <f t="shared" si="4"/>
        <v>*</v>
      </c>
      <c r="S81" s="90" t="str">
        <f t="shared" si="4"/>
        <v/>
      </c>
      <c r="T81" s="90" t="str">
        <f t="shared" si="4"/>
        <v/>
      </c>
      <c r="U81" s="90" t="str">
        <f t="shared" si="4"/>
        <v/>
      </c>
      <c r="V81" s="90" t="str">
        <f t="shared" si="4"/>
        <v>*</v>
      </c>
      <c r="W81" s="90" t="str">
        <f t="shared" si="4"/>
        <v/>
      </c>
      <c r="X81" s="90" t="str">
        <f t="shared" si="4"/>
        <v>*</v>
      </c>
      <c r="Y81" s="90" t="str">
        <f t="shared" si="4"/>
        <v>*</v>
      </c>
      <c r="Z81" s="90" t="str">
        <f t="shared" si="4"/>
        <v/>
      </c>
      <c r="AA81" s="90" t="str">
        <f t="shared" si="4"/>
        <v>*</v>
      </c>
      <c r="AB81" s="90" t="str">
        <f t="shared" si="4"/>
        <v>*</v>
      </c>
      <c r="AC81" s="90" t="str">
        <f t="shared" si="4"/>
        <v/>
      </c>
      <c r="AD81" s="90" t="str">
        <f t="shared" si="4"/>
        <v>*</v>
      </c>
      <c r="AE81" s="90" t="str">
        <f t="shared" si="4"/>
        <v/>
      </c>
      <c r="AF81" s="90" t="str">
        <f t="shared" si="4"/>
        <v/>
      </c>
      <c r="AG81" s="90" t="str">
        <f t="shared" si="4"/>
        <v/>
      </c>
      <c r="AH81" s="90" t="str">
        <f t="shared" si="4"/>
        <v>*</v>
      </c>
      <c r="AI81" s="90" t="str">
        <f t="shared" si="4"/>
        <v/>
      </c>
      <c r="AJ81" s="90" t="str">
        <f t="shared" ref="AJ81:AM81" si="5">IF(AJ55=AJ27,"","*")</f>
        <v>*</v>
      </c>
      <c r="AK81" s="90" t="str">
        <f t="shared" si="5"/>
        <v>*</v>
      </c>
      <c r="AL81" s="90" t="str">
        <f t="shared" si="5"/>
        <v/>
      </c>
      <c r="AM81" s="90" t="str">
        <f t="shared" si="5"/>
        <v>*</v>
      </c>
    </row>
    <row r="82" spans="1:39" ht="21" hidden="1" customHeight="1">
      <c r="A82" s="109" t="s">
        <v>287</v>
      </c>
      <c r="B82" s="108" t="s">
        <v>288</v>
      </c>
      <c r="C82" s="90" t="e">
        <f>IF(C56=#REF!,"","*")</f>
        <v>#REF!</v>
      </c>
      <c r="D82" s="90" t="e">
        <f>IF(D56=#REF!,"","*")</f>
        <v>#REF!</v>
      </c>
      <c r="E82" s="90" t="e">
        <f>IF(E56=#REF!,"","*")</f>
        <v>#REF!</v>
      </c>
      <c r="F82" s="90" t="e">
        <f>IF(F56=#REF!,"","*")</f>
        <v>#REF!</v>
      </c>
      <c r="G82" s="90" t="e">
        <f>IF(G56=#REF!,"","*")</f>
        <v>#REF!</v>
      </c>
      <c r="H82" s="90" t="e">
        <f>IF(H56=#REF!,"","*")</f>
        <v>#REF!</v>
      </c>
      <c r="I82" s="90" t="e">
        <f>IF(I56=#REF!,"","*")</f>
        <v>#REF!</v>
      </c>
      <c r="J82" s="90" t="e">
        <f>IF(J56=#REF!,"","*")</f>
        <v>#REF!</v>
      </c>
      <c r="K82" s="90" t="e">
        <f>IF(K56=#REF!,"","*")</f>
        <v>#REF!</v>
      </c>
      <c r="L82" s="90" t="e">
        <f>IF(L56=#REF!,"","*")</f>
        <v>#REF!</v>
      </c>
      <c r="M82" s="90" t="e">
        <f>IF(M56=#REF!,"","*")</f>
        <v>#REF!</v>
      </c>
      <c r="N82" s="90" t="e">
        <f>IF(N56=#REF!,"","*")</f>
        <v>#REF!</v>
      </c>
      <c r="O82" s="90" t="e">
        <f>IF(O56=#REF!,"","*")</f>
        <v>#REF!</v>
      </c>
      <c r="P82" s="90" t="e">
        <f>IF(P56=#REF!,"","*")</f>
        <v>#REF!</v>
      </c>
      <c r="Q82" s="90" t="e">
        <f>IF(Q56=#REF!,"","*")</f>
        <v>#REF!</v>
      </c>
      <c r="R82" s="90" t="e">
        <f>IF(R56=#REF!,"","*")</f>
        <v>#REF!</v>
      </c>
      <c r="S82" s="90" t="e">
        <f>IF(S56=#REF!,"","*")</f>
        <v>#REF!</v>
      </c>
      <c r="T82" s="90" t="e">
        <f>IF(T56=#REF!,"","*")</f>
        <v>#REF!</v>
      </c>
      <c r="U82" s="90" t="e">
        <f>IF(U56=#REF!,"","*")</f>
        <v>#REF!</v>
      </c>
      <c r="V82" s="90" t="e">
        <f>IF(V56=#REF!,"","*")</f>
        <v>#REF!</v>
      </c>
      <c r="W82" s="90" t="e">
        <f>IF(W56=#REF!,"","*")</f>
        <v>#REF!</v>
      </c>
      <c r="X82" s="90" t="e">
        <f>IF(X56=#REF!,"","*")</f>
        <v>#REF!</v>
      </c>
      <c r="Y82" s="90" t="e">
        <f>IF(Y56=#REF!,"","*")</f>
        <v>#REF!</v>
      </c>
      <c r="Z82" s="90" t="e">
        <f>IF(Z56=#REF!,"","*")</f>
        <v>#REF!</v>
      </c>
      <c r="AA82" s="90" t="e">
        <f>IF(AA56=#REF!,"","*")</f>
        <v>#REF!</v>
      </c>
      <c r="AB82" s="90" t="e">
        <f>IF(AB56=#REF!,"","*")</f>
        <v>#REF!</v>
      </c>
      <c r="AC82" s="90" t="e">
        <f>IF(AC56=#REF!,"","*")</f>
        <v>#REF!</v>
      </c>
      <c r="AD82" s="90" t="e">
        <f>IF(AD56=#REF!,"","*")</f>
        <v>#REF!</v>
      </c>
      <c r="AE82" s="90" t="e">
        <f>IF(AE56=#REF!,"","*")</f>
        <v>#REF!</v>
      </c>
      <c r="AF82" s="90" t="e">
        <f>IF(AF56=#REF!,"","*")</f>
        <v>#REF!</v>
      </c>
      <c r="AG82" s="90" t="e">
        <f>IF(AG56=#REF!,"","*")</f>
        <v>#REF!</v>
      </c>
      <c r="AH82" s="90" t="e">
        <f>IF(AH56=#REF!,"","*")</f>
        <v>#REF!</v>
      </c>
      <c r="AI82" s="90" t="e">
        <f>IF(AI56=#REF!,"","*")</f>
        <v>#REF!</v>
      </c>
      <c r="AJ82" s="90" t="e">
        <f>IF(AJ56=#REF!,"","*")</f>
        <v>#REF!</v>
      </c>
      <c r="AK82" s="90" t="e">
        <f>IF(AK56=#REF!,"","*")</f>
        <v>#REF!</v>
      </c>
      <c r="AL82" s="90" t="e">
        <f>IF(AL56=#REF!,"","*")</f>
        <v>#REF!</v>
      </c>
      <c r="AM82" s="90" t="e">
        <f>IF(AM56=#REF!,"","*")</f>
        <v>#REF!</v>
      </c>
    </row>
    <row r="83" spans="1:39" ht="21" hidden="1" customHeight="1">
      <c r="A83" s="109" t="s">
        <v>289</v>
      </c>
      <c r="B83" s="94" t="s">
        <v>22</v>
      </c>
      <c r="C83" s="90" t="str">
        <f t="shared" ref="C83:AM84" si="6">IF(C57=C28,"","*")</f>
        <v/>
      </c>
      <c r="D83" s="90" t="str">
        <f t="shared" si="6"/>
        <v/>
      </c>
      <c r="E83" s="90" t="str">
        <f t="shared" si="6"/>
        <v/>
      </c>
      <c r="F83" s="90" t="str">
        <f t="shared" si="6"/>
        <v/>
      </c>
      <c r="G83" s="90" t="str">
        <f t="shared" si="6"/>
        <v/>
      </c>
      <c r="H83" s="90" t="str">
        <f t="shared" si="6"/>
        <v/>
      </c>
      <c r="I83" s="90" t="str">
        <f t="shared" si="6"/>
        <v/>
      </c>
      <c r="J83" s="90" t="str">
        <f t="shared" si="6"/>
        <v/>
      </c>
      <c r="K83" s="90" t="str">
        <f t="shared" si="6"/>
        <v/>
      </c>
      <c r="L83" s="90" t="str">
        <f t="shared" si="6"/>
        <v/>
      </c>
      <c r="M83" s="90" t="str">
        <f t="shared" si="6"/>
        <v/>
      </c>
      <c r="N83" s="90" t="str">
        <f t="shared" si="6"/>
        <v/>
      </c>
      <c r="O83" s="90" t="str">
        <f t="shared" si="6"/>
        <v/>
      </c>
      <c r="P83" s="90" t="str">
        <f t="shared" si="6"/>
        <v/>
      </c>
      <c r="Q83" s="90" t="str">
        <f t="shared" si="6"/>
        <v/>
      </c>
      <c r="R83" s="90" t="str">
        <f t="shared" si="6"/>
        <v/>
      </c>
      <c r="S83" s="90" t="str">
        <f t="shared" si="6"/>
        <v/>
      </c>
      <c r="T83" s="90" t="str">
        <f t="shared" si="6"/>
        <v/>
      </c>
      <c r="U83" s="90" t="str">
        <f t="shared" si="6"/>
        <v/>
      </c>
      <c r="V83" s="90" t="str">
        <f t="shared" si="6"/>
        <v/>
      </c>
      <c r="W83" s="90" t="str">
        <f t="shared" si="6"/>
        <v/>
      </c>
      <c r="X83" s="90" t="str">
        <f t="shared" si="6"/>
        <v/>
      </c>
      <c r="Y83" s="90" t="str">
        <f t="shared" si="6"/>
        <v/>
      </c>
      <c r="Z83" s="90" t="str">
        <f t="shared" si="6"/>
        <v/>
      </c>
      <c r="AA83" s="90" t="str">
        <f t="shared" si="6"/>
        <v/>
      </c>
      <c r="AB83" s="90" t="str">
        <f t="shared" si="6"/>
        <v/>
      </c>
      <c r="AC83" s="90" t="str">
        <f t="shared" si="6"/>
        <v/>
      </c>
      <c r="AD83" s="90" t="str">
        <f t="shared" si="6"/>
        <v/>
      </c>
      <c r="AE83" s="90" t="str">
        <f t="shared" si="6"/>
        <v/>
      </c>
      <c r="AF83" s="90" t="str">
        <f t="shared" si="6"/>
        <v/>
      </c>
      <c r="AG83" s="90" t="str">
        <f t="shared" si="6"/>
        <v/>
      </c>
      <c r="AH83" s="90" t="str">
        <f t="shared" si="6"/>
        <v/>
      </c>
      <c r="AI83" s="90" t="str">
        <f t="shared" si="6"/>
        <v/>
      </c>
      <c r="AJ83" s="90" t="str">
        <f t="shared" si="6"/>
        <v/>
      </c>
      <c r="AK83" s="90" t="str">
        <f t="shared" si="6"/>
        <v/>
      </c>
      <c r="AL83" s="90" t="str">
        <f t="shared" si="6"/>
        <v/>
      </c>
      <c r="AM83" s="90" t="str">
        <f t="shared" si="6"/>
        <v/>
      </c>
    </row>
    <row r="84" spans="1:39" ht="21" hidden="1" customHeight="1">
      <c r="A84" s="110" t="s">
        <v>290</v>
      </c>
      <c r="B84" s="95" t="s">
        <v>23</v>
      </c>
      <c r="C84" s="90" t="str">
        <f t="shared" si="6"/>
        <v/>
      </c>
      <c r="D84" s="90" t="str">
        <f t="shared" si="6"/>
        <v/>
      </c>
      <c r="E84" s="90" t="str">
        <f t="shared" si="6"/>
        <v/>
      </c>
      <c r="F84" s="90" t="str">
        <f t="shared" si="6"/>
        <v/>
      </c>
      <c r="G84" s="90" t="str">
        <f t="shared" si="6"/>
        <v/>
      </c>
      <c r="H84" s="90" t="str">
        <f t="shared" si="6"/>
        <v/>
      </c>
      <c r="I84" s="90" t="str">
        <f t="shared" si="6"/>
        <v/>
      </c>
      <c r="J84" s="90" t="str">
        <f t="shared" si="6"/>
        <v/>
      </c>
      <c r="K84" s="90" t="str">
        <f t="shared" si="6"/>
        <v/>
      </c>
      <c r="L84" s="90" t="str">
        <f t="shared" si="6"/>
        <v/>
      </c>
      <c r="M84" s="90" t="str">
        <f t="shared" si="6"/>
        <v/>
      </c>
      <c r="N84" s="90" t="str">
        <f t="shared" si="6"/>
        <v/>
      </c>
      <c r="O84" s="90" t="str">
        <f t="shared" si="6"/>
        <v/>
      </c>
      <c r="P84" s="90" t="str">
        <f t="shared" si="6"/>
        <v/>
      </c>
      <c r="Q84" s="90" t="str">
        <f t="shared" si="6"/>
        <v/>
      </c>
      <c r="R84" s="90" t="str">
        <f t="shared" si="6"/>
        <v/>
      </c>
      <c r="S84" s="90" t="str">
        <f t="shared" si="6"/>
        <v/>
      </c>
      <c r="T84" s="90" t="str">
        <f t="shared" si="6"/>
        <v/>
      </c>
      <c r="U84" s="90" t="str">
        <f t="shared" si="6"/>
        <v/>
      </c>
      <c r="V84" s="90" t="str">
        <f t="shared" si="6"/>
        <v/>
      </c>
      <c r="W84" s="90" t="str">
        <f t="shared" si="6"/>
        <v/>
      </c>
      <c r="X84" s="90" t="str">
        <f t="shared" si="6"/>
        <v/>
      </c>
      <c r="Y84" s="90" t="str">
        <f t="shared" si="6"/>
        <v/>
      </c>
      <c r="Z84" s="90" t="str">
        <f t="shared" si="6"/>
        <v/>
      </c>
      <c r="AA84" s="90" t="str">
        <f t="shared" si="6"/>
        <v/>
      </c>
      <c r="AB84" s="90" t="str">
        <f t="shared" si="6"/>
        <v/>
      </c>
      <c r="AC84" s="90" t="str">
        <f t="shared" si="6"/>
        <v/>
      </c>
      <c r="AD84" s="90" t="str">
        <f t="shared" si="6"/>
        <v/>
      </c>
      <c r="AE84" s="90" t="str">
        <f t="shared" si="6"/>
        <v/>
      </c>
      <c r="AF84" s="90" t="str">
        <f t="shared" si="6"/>
        <v/>
      </c>
      <c r="AG84" s="90" t="str">
        <f t="shared" si="6"/>
        <v/>
      </c>
      <c r="AH84" s="90" t="str">
        <f t="shared" si="6"/>
        <v/>
      </c>
      <c r="AI84" s="90" t="str">
        <f t="shared" si="6"/>
        <v/>
      </c>
      <c r="AJ84" s="90" t="str">
        <f t="shared" si="6"/>
        <v/>
      </c>
      <c r="AK84" s="90" t="str">
        <f t="shared" si="6"/>
        <v/>
      </c>
      <c r="AL84" s="90" t="str">
        <f t="shared" si="6"/>
        <v/>
      </c>
      <c r="AM84" s="90" t="str">
        <f t="shared" si="6"/>
        <v/>
      </c>
    </row>
    <row r="85" spans="1:39" hidden="1"/>
  </sheetData>
  <mergeCells count="50">
    <mergeCell ref="AM5:AM6"/>
    <mergeCell ref="AB5:AB6"/>
    <mergeCell ref="AC5:AC6"/>
    <mergeCell ref="AD5:AD6"/>
    <mergeCell ref="AE5:AE6"/>
    <mergeCell ref="AF5:AF6"/>
    <mergeCell ref="AG5:AG6"/>
    <mergeCell ref="AH5:AH6"/>
    <mergeCell ref="AI5:AI6"/>
    <mergeCell ref="AJ5:AJ6"/>
    <mergeCell ref="AK5:AK6"/>
    <mergeCell ref="AL5:AL6"/>
    <mergeCell ref="N5:N6"/>
    <mergeCell ref="AA5:AA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I5:I6"/>
    <mergeCell ref="A3:B6"/>
    <mergeCell ref="C3:C6"/>
    <mergeCell ref="D3:O3"/>
    <mergeCell ref="P3:AA3"/>
    <mergeCell ref="D5:D6"/>
    <mergeCell ref="E5:E6"/>
    <mergeCell ref="F5:F6"/>
    <mergeCell ref="G5:G6"/>
    <mergeCell ref="H5:H6"/>
    <mergeCell ref="O5:O6"/>
    <mergeCell ref="Y4:AA4"/>
    <mergeCell ref="J5:J6"/>
    <mergeCell ref="K5:K6"/>
    <mergeCell ref="L5:L6"/>
    <mergeCell ref="M5:M6"/>
    <mergeCell ref="AB3:AM3"/>
    <mergeCell ref="G4:I4"/>
    <mergeCell ref="J4:L4"/>
    <mergeCell ref="M4:O4"/>
    <mergeCell ref="S4:U4"/>
    <mergeCell ref="V4:X4"/>
    <mergeCell ref="AE4:AG4"/>
    <mergeCell ref="AH4:AJ4"/>
    <mergeCell ref="AK4:AM4"/>
  </mergeCells>
  <phoneticPr fontId="6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BE86"/>
  <sheetViews>
    <sheetView zoomScaleNormal="100" zoomScaleSheetLayoutView="75" workbookViewId="0">
      <pane xSplit="2" ySplit="6" topLeftCell="C7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0.33203125" style="3" customWidth="1"/>
    <col min="2" max="2" width="20.1640625" style="3" customWidth="1"/>
    <col min="3" max="3" width="11.6640625" style="3" customWidth="1"/>
    <col min="4" max="39" width="11.33203125" style="3" customWidth="1"/>
    <col min="40" max="16384" width="12" style="3"/>
  </cols>
  <sheetData>
    <row r="1" spans="1:57" ht="21">
      <c r="A1" s="80" t="s">
        <v>244</v>
      </c>
      <c r="B1" s="88"/>
    </row>
    <row r="2" spans="1:57" ht="25.5" customHeight="1">
      <c r="A2" s="26" t="s">
        <v>117</v>
      </c>
      <c r="B2" s="89"/>
    </row>
    <row r="3" spans="1:57" s="97" customFormat="1" ht="16.5" customHeight="1">
      <c r="A3" s="441" t="s">
        <v>259</v>
      </c>
      <c r="B3" s="442"/>
      <c r="C3" s="436" t="s">
        <v>245</v>
      </c>
      <c r="D3" s="437" t="s">
        <v>246</v>
      </c>
      <c r="E3" s="447"/>
      <c r="F3" s="447"/>
      <c r="G3" s="447"/>
      <c r="H3" s="447"/>
      <c r="I3" s="447"/>
      <c r="J3" s="447"/>
      <c r="K3" s="447"/>
      <c r="L3" s="447"/>
      <c r="M3" s="447"/>
      <c r="N3" s="447"/>
      <c r="O3" s="450"/>
      <c r="P3" s="437" t="s">
        <v>247</v>
      </c>
      <c r="Q3" s="447"/>
      <c r="R3" s="447"/>
      <c r="S3" s="447"/>
      <c r="T3" s="447"/>
      <c r="U3" s="447"/>
      <c r="V3" s="447"/>
      <c r="W3" s="447"/>
      <c r="X3" s="447"/>
      <c r="Y3" s="447"/>
      <c r="Z3" s="447"/>
      <c r="AA3" s="450"/>
      <c r="AB3" s="437" t="s">
        <v>248</v>
      </c>
      <c r="AC3" s="447"/>
      <c r="AD3" s="447"/>
      <c r="AE3" s="447"/>
      <c r="AF3" s="447"/>
      <c r="AG3" s="447"/>
      <c r="AH3" s="447"/>
      <c r="AI3" s="447"/>
      <c r="AJ3" s="447"/>
      <c r="AK3" s="447"/>
      <c r="AL3" s="447"/>
      <c r="AM3" s="447"/>
    </row>
    <row r="4" spans="1:57" s="101" customFormat="1" ht="29.25" customHeight="1">
      <c r="A4" s="443"/>
      <c r="B4" s="444"/>
      <c r="C4" s="436"/>
      <c r="D4" s="81" t="s">
        <v>249</v>
      </c>
      <c r="E4" s="98"/>
      <c r="F4" s="99"/>
      <c r="G4" s="436" t="s">
        <v>250</v>
      </c>
      <c r="H4" s="436"/>
      <c r="I4" s="436"/>
      <c r="J4" s="436" t="s">
        <v>251</v>
      </c>
      <c r="K4" s="436"/>
      <c r="L4" s="436"/>
      <c r="M4" s="436" t="s">
        <v>252</v>
      </c>
      <c r="N4" s="436"/>
      <c r="O4" s="436"/>
      <c r="P4" s="81" t="s">
        <v>249</v>
      </c>
      <c r="Q4" s="100"/>
      <c r="R4" s="99"/>
      <c r="S4" s="436" t="s">
        <v>250</v>
      </c>
      <c r="T4" s="436"/>
      <c r="U4" s="436"/>
      <c r="V4" s="436" t="s">
        <v>251</v>
      </c>
      <c r="W4" s="436"/>
      <c r="X4" s="436"/>
      <c r="Y4" s="436" t="s">
        <v>252</v>
      </c>
      <c r="Z4" s="436"/>
      <c r="AA4" s="436"/>
      <c r="AB4" s="81" t="s">
        <v>249</v>
      </c>
      <c r="AC4" s="100"/>
      <c r="AD4" s="99"/>
      <c r="AE4" s="436" t="s">
        <v>250</v>
      </c>
      <c r="AF4" s="436"/>
      <c r="AG4" s="436"/>
      <c r="AH4" s="436" t="s">
        <v>251</v>
      </c>
      <c r="AI4" s="436"/>
      <c r="AJ4" s="436"/>
      <c r="AK4" s="436" t="s">
        <v>252</v>
      </c>
      <c r="AL4" s="436"/>
      <c r="AM4" s="448"/>
    </row>
    <row r="5" spans="1:57" s="102" customFormat="1" ht="16.5" customHeight="1">
      <c r="A5" s="443"/>
      <c r="B5" s="444"/>
      <c r="C5" s="436"/>
      <c r="D5" s="432" t="s">
        <v>253</v>
      </c>
      <c r="E5" s="432" t="s">
        <v>254</v>
      </c>
      <c r="F5" s="432" t="s">
        <v>255</v>
      </c>
      <c r="G5" s="432" t="s">
        <v>253</v>
      </c>
      <c r="H5" s="432" t="s">
        <v>254</v>
      </c>
      <c r="I5" s="432" t="s">
        <v>255</v>
      </c>
      <c r="J5" s="432" t="s">
        <v>253</v>
      </c>
      <c r="K5" s="432" t="s">
        <v>254</v>
      </c>
      <c r="L5" s="432" t="s">
        <v>255</v>
      </c>
      <c r="M5" s="432" t="s">
        <v>253</v>
      </c>
      <c r="N5" s="432" t="s">
        <v>254</v>
      </c>
      <c r="O5" s="432" t="s">
        <v>255</v>
      </c>
      <c r="P5" s="432" t="s">
        <v>253</v>
      </c>
      <c r="Q5" s="432" t="s">
        <v>254</v>
      </c>
      <c r="R5" s="432" t="s">
        <v>255</v>
      </c>
      <c r="S5" s="432" t="s">
        <v>253</v>
      </c>
      <c r="T5" s="432" t="s">
        <v>254</v>
      </c>
      <c r="U5" s="432" t="s">
        <v>255</v>
      </c>
      <c r="V5" s="432" t="s">
        <v>253</v>
      </c>
      <c r="W5" s="432" t="s">
        <v>254</v>
      </c>
      <c r="X5" s="432" t="s">
        <v>255</v>
      </c>
      <c r="Y5" s="432" t="s">
        <v>253</v>
      </c>
      <c r="Z5" s="432" t="s">
        <v>254</v>
      </c>
      <c r="AA5" s="432" t="s">
        <v>255</v>
      </c>
      <c r="AB5" s="432" t="s">
        <v>253</v>
      </c>
      <c r="AC5" s="432" t="s">
        <v>254</v>
      </c>
      <c r="AD5" s="432" t="s">
        <v>255</v>
      </c>
      <c r="AE5" s="432" t="s">
        <v>253</v>
      </c>
      <c r="AF5" s="432" t="s">
        <v>254</v>
      </c>
      <c r="AG5" s="432" t="s">
        <v>255</v>
      </c>
      <c r="AH5" s="432" t="s">
        <v>253</v>
      </c>
      <c r="AI5" s="432" t="s">
        <v>254</v>
      </c>
      <c r="AJ5" s="432" t="s">
        <v>255</v>
      </c>
      <c r="AK5" s="432" t="s">
        <v>253</v>
      </c>
      <c r="AL5" s="432" t="s">
        <v>254</v>
      </c>
      <c r="AM5" s="434" t="s">
        <v>255</v>
      </c>
    </row>
    <row r="6" spans="1:57" s="97" customFormat="1" ht="12">
      <c r="A6" s="445"/>
      <c r="B6" s="446"/>
      <c r="C6" s="436"/>
      <c r="D6" s="449"/>
      <c r="E6" s="449"/>
      <c r="F6" s="449"/>
      <c r="G6" s="449"/>
      <c r="H6" s="449"/>
      <c r="I6" s="449"/>
      <c r="J6" s="449"/>
      <c r="K6" s="449"/>
      <c r="L6" s="449"/>
      <c r="M6" s="449"/>
      <c r="N6" s="449"/>
      <c r="O6" s="449"/>
      <c r="P6" s="449"/>
      <c r="Q6" s="449"/>
      <c r="R6" s="449"/>
      <c r="S6" s="449"/>
      <c r="T6" s="449"/>
      <c r="U6" s="449"/>
      <c r="V6" s="449"/>
      <c r="W6" s="449"/>
      <c r="X6" s="449"/>
      <c r="Y6" s="449"/>
      <c r="Z6" s="449"/>
      <c r="AA6" s="449"/>
      <c r="AB6" s="449"/>
      <c r="AC6" s="449"/>
      <c r="AD6" s="449"/>
      <c r="AE6" s="449"/>
      <c r="AF6" s="449"/>
      <c r="AG6" s="449"/>
      <c r="AH6" s="449"/>
      <c r="AI6" s="449"/>
      <c r="AJ6" s="449"/>
      <c r="AK6" s="449"/>
      <c r="AL6" s="449"/>
      <c r="AM6" s="451"/>
    </row>
    <row r="7" spans="1:57" s="13" customFormat="1" ht="15.95" customHeight="1">
      <c r="A7" s="106" t="s">
        <v>264</v>
      </c>
      <c r="B7" s="36" t="s">
        <v>39</v>
      </c>
      <c r="C7" s="90">
        <v>32</v>
      </c>
      <c r="D7" s="90">
        <v>147</v>
      </c>
      <c r="E7" s="90">
        <v>65</v>
      </c>
      <c r="F7" s="90">
        <v>82</v>
      </c>
      <c r="G7" s="90">
        <v>41</v>
      </c>
      <c r="H7" s="90">
        <v>27</v>
      </c>
      <c r="I7" s="90">
        <v>14</v>
      </c>
      <c r="J7" s="90">
        <v>16</v>
      </c>
      <c r="K7" s="90">
        <v>6</v>
      </c>
      <c r="L7" s="90">
        <v>10</v>
      </c>
      <c r="M7" s="90">
        <v>90</v>
      </c>
      <c r="N7" s="90">
        <v>32</v>
      </c>
      <c r="O7" s="90">
        <v>58</v>
      </c>
      <c r="P7" s="90">
        <v>24747</v>
      </c>
      <c r="Q7" s="90">
        <v>10499</v>
      </c>
      <c r="R7" s="90">
        <v>14248</v>
      </c>
      <c r="S7" s="90">
        <v>6422</v>
      </c>
      <c r="T7" s="90">
        <v>3213</v>
      </c>
      <c r="U7" s="90">
        <v>3209</v>
      </c>
      <c r="V7" s="90">
        <v>2642</v>
      </c>
      <c r="W7" s="90">
        <v>1373</v>
      </c>
      <c r="X7" s="90">
        <v>1269</v>
      </c>
      <c r="Y7" s="90">
        <v>15683</v>
      </c>
      <c r="Z7" s="90">
        <v>5913</v>
      </c>
      <c r="AA7" s="90">
        <v>9770</v>
      </c>
      <c r="AB7" s="90">
        <v>180984.5</v>
      </c>
      <c r="AC7" s="90">
        <v>78285.5</v>
      </c>
      <c r="AD7" s="90">
        <v>102699</v>
      </c>
      <c r="AE7" s="90">
        <v>39815</v>
      </c>
      <c r="AF7" s="90">
        <v>20748.5</v>
      </c>
      <c r="AG7" s="90">
        <v>19066.5</v>
      </c>
      <c r="AH7" s="90">
        <v>22017</v>
      </c>
      <c r="AI7" s="90">
        <v>12180</v>
      </c>
      <c r="AJ7" s="90">
        <v>9837</v>
      </c>
      <c r="AK7" s="90">
        <v>119152.5</v>
      </c>
      <c r="AL7" s="90">
        <v>45357</v>
      </c>
      <c r="AM7" s="90">
        <v>73795.5</v>
      </c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</row>
    <row r="8" spans="1:57" s="18" customFormat="1" ht="15.95" customHeight="1">
      <c r="A8" s="49" t="s">
        <v>147</v>
      </c>
      <c r="B8" s="111" t="s">
        <v>24</v>
      </c>
      <c r="C8" s="93">
        <v>1</v>
      </c>
      <c r="D8" s="93" t="s">
        <v>261</v>
      </c>
      <c r="E8" s="93" t="s">
        <v>261</v>
      </c>
      <c r="F8" s="93" t="s">
        <v>261</v>
      </c>
      <c r="G8" s="93" t="s">
        <v>261</v>
      </c>
      <c r="H8" s="93" t="s">
        <v>261</v>
      </c>
      <c r="I8" s="93" t="s">
        <v>261</v>
      </c>
      <c r="J8" s="93" t="s">
        <v>261</v>
      </c>
      <c r="K8" s="93" t="s">
        <v>261</v>
      </c>
      <c r="L8" s="93" t="s">
        <v>261</v>
      </c>
      <c r="M8" s="93" t="s">
        <v>261</v>
      </c>
      <c r="N8" s="93" t="s">
        <v>261</v>
      </c>
      <c r="O8" s="93" t="s">
        <v>261</v>
      </c>
      <c r="P8" s="93">
        <v>59</v>
      </c>
      <c r="Q8" s="93" t="s">
        <v>261</v>
      </c>
      <c r="R8" s="93">
        <v>59</v>
      </c>
      <c r="S8" s="93" t="s">
        <v>261</v>
      </c>
      <c r="T8" s="93" t="s">
        <v>261</v>
      </c>
      <c r="U8" s="93" t="s">
        <v>261</v>
      </c>
      <c r="V8" s="93" t="s">
        <v>261</v>
      </c>
      <c r="W8" s="93" t="s">
        <v>261</v>
      </c>
      <c r="X8" s="93" t="s">
        <v>261</v>
      </c>
      <c r="Y8" s="93">
        <v>59</v>
      </c>
      <c r="Z8" s="93" t="s">
        <v>261</v>
      </c>
      <c r="AA8" s="93">
        <v>59</v>
      </c>
      <c r="AB8" s="93">
        <v>209</v>
      </c>
      <c r="AC8" s="93" t="s">
        <v>262</v>
      </c>
      <c r="AD8" s="93">
        <v>209</v>
      </c>
      <c r="AE8" s="93" t="s">
        <v>262</v>
      </c>
      <c r="AF8" s="93" t="s">
        <v>262</v>
      </c>
      <c r="AG8" s="93" t="s">
        <v>262</v>
      </c>
      <c r="AH8" s="93" t="s">
        <v>262</v>
      </c>
      <c r="AI8" s="93" t="s">
        <v>262</v>
      </c>
      <c r="AJ8" s="93" t="s">
        <v>262</v>
      </c>
      <c r="AK8" s="93">
        <v>209</v>
      </c>
      <c r="AL8" s="93" t="s">
        <v>262</v>
      </c>
      <c r="AM8" s="93">
        <v>209</v>
      </c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</row>
    <row r="9" spans="1:57" s="18" customFormat="1" ht="15.95" customHeight="1">
      <c r="A9" s="49" t="s">
        <v>148</v>
      </c>
      <c r="B9" s="111" t="s">
        <v>25</v>
      </c>
      <c r="C9" s="93">
        <v>5</v>
      </c>
      <c r="D9" s="93">
        <v>14</v>
      </c>
      <c r="E9" s="93">
        <v>8</v>
      </c>
      <c r="F9" s="93">
        <v>6</v>
      </c>
      <c r="G9" s="93">
        <v>1</v>
      </c>
      <c r="H9" s="93">
        <v>1</v>
      </c>
      <c r="I9" s="93" t="s">
        <v>261</v>
      </c>
      <c r="J9" s="93">
        <v>3</v>
      </c>
      <c r="K9" s="93">
        <v>2</v>
      </c>
      <c r="L9" s="93">
        <v>1</v>
      </c>
      <c r="M9" s="93">
        <v>10</v>
      </c>
      <c r="N9" s="93">
        <v>5</v>
      </c>
      <c r="O9" s="93">
        <v>5</v>
      </c>
      <c r="P9" s="93">
        <v>3324</v>
      </c>
      <c r="Q9" s="93">
        <v>1874</v>
      </c>
      <c r="R9" s="93">
        <v>1450</v>
      </c>
      <c r="S9" s="93">
        <v>255</v>
      </c>
      <c r="T9" s="93">
        <v>255</v>
      </c>
      <c r="U9" s="93" t="s">
        <v>261</v>
      </c>
      <c r="V9" s="93">
        <v>816</v>
      </c>
      <c r="W9" s="93">
        <v>646</v>
      </c>
      <c r="X9" s="93">
        <v>170</v>
      </c>
      <c r="Y9" s="93">
        <v>2253</v>
      </c>
      <c r="Z9" s="93">
        <v>973</v>
      </c>
      <c r="AA9" s="93">
        <v>1280</v>
      </c>
      <c r="AB9" s="93">
        <v>31443</v>
      </c>
      <c r="AC9" s="93">
        <v>17888</v>
      </c>
      <c r="AD9" s="93">
        <v>13555</v>
      </c>
      <c r="AE9" s="93">
        <v>2550</v>
      </c>
      <c r="AF9" s="93">
        <v>2550</v>
      </c>
      <c r="AG9" s="93" t="s">
        <v>262</v>
      </c>
      <c r="AH9" s="93">
        <v>7805</v>
      </c>
      <c r="AI9" s="93">
        <v>6190</v>
      </c>
      <c r="AJ9" s="93">
        <v>1615</v>
      </c>
      <c r="AK9" s="93">
        <v>21088</v>
      </c>
      <c r="AL9" s="93">
        <v>9148</v>
      </c>
      <c r="AM9" s="93">
        <v>11940</v>
      </c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</row>
    <row r="10" spans="1:57" s="18" customFormat="1" ht="15.95" customHeight="1">
      <c r="A10" s="49" t="s">
        <v>149</v>
      </c>
      <c r="B10" s="111" t="s">
        <v>26</v>
      </c>
      <c r="C10" s="93">
        <v>2</v>
      </c>
      <c r="D10" s="93">
        <v>18</v>
      </c>
      <c r="E10" s="93">
        <v>12</v>
      </c>
      <c r="F10" s="93">
        <v>6</v>
      </c>
      <c r="G10" s="93">
        <v>3</v>
      </c>
      <c r="H10" s="93">
        <v>3</v>
      </c>
      <c r="I10" s="93" t="s">
        <v>261</v>
      </c>
      <c r="J10" s="93">
        <v>1</v>
      </c>
      <c r="K10" s="93">
        <v>1</v>
      </c>
      <c r="L10" s="93" t="s">
        <v>261</v>
      </c>
      <c r="M10" s="93">
        <v>14</v>
      </c>
      <c r="N10" s="93">
        <v>8</v>
      </c>
      <c r="O10" s="93">
        <v>6</v>
      </c>
      <c r="P10" s="93">
        <v>5339</v>
      </c>
      <c r="Q10" s="93">
        <v>2914</v>
      </c>
      <c r="R10" s="93">
        <v>2425</v>
      </c>
      <c r="S10" s="93">
        <v>1308</v>
      </c>
      <c r="T10" s="93">
        <v>685</v>
      </c>
      <c r="U10" s="93">
        <v>623</v>
      </c>
      <c r="V10" s="93">
        <v>255</v>
      </c>
      <c r="W10" s="93">
        <v>238</v>
      </c>
      <c r="X10" s="93">
        <v>17</v>
      </c>
      <c r="Y10" s="93">
        <v>3776</v>
      </c>
      <c r="Z10" s="93">
        <v>1991</v>
      </c>
      <c r="AA10" s="93">
        <v>1785</v>
      </c>
      <c r="AB10" s="93">
        <v>46655</v>
      </c>
      <c r="AC10" s="93">
        <v>25044</v>
      </c>
      <c r="AD10" s="93">
        <v>21611</v>
      </c>
      <c r="AE10" s="93">
        <v>11411</v>
      </c>
      <c r="AF10" s="93">
        <v>5791.5</v>
      </c>
      <c r="AG10" s="93">
        <v>5619.5</v>
      </c>
      <c r="AH10" s="93">
        <v>2260</v>
      </c>
      <c r="AI10" s="93">
        <v>2142</v>
      </c>
      <c r="AJ10" s="93">
        <v>118</v>
      </c>
      <c r="AK10" s="93">
        <v>32984</v>
      </c>
      <c r="AL10" s="93">
        <v>17110.5</v>
      </c>
      <c r="AM10" s="93">
        <v>15873.5</v>
      </c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</row>
    <row r="11" spans="1:57" s="18" customFormat="1" ht="15.95" customHeight="1">
      <c r="A11" s="49" t="s">
        <v>150</v>
      </c>
      <c r="B11" s="111" t="s">
        <v>27</v>
      </c>
      <c r="C11" s="93">
        <v>2</v>
      </c>
      <c r="D11" s="93">
        <v>9</v>
      </c>
      <c r="E11" s="93">
        <v>3</v>
      </c>
      <c r="F11" s="93">
        <v>6</v>
      </c>
      <c r="G11" s="93">
        <v>1</v>
      </c>
      <c r="H11" s="93" t="s">
        <v>261</v>
      </c>
      <c r="I11" s="93">
        <v>1</v>
      </c>
      <c r="J11" s="93">
        <v>1</v>
      </c>
      <c r="K11" s="93">
        <v>1</v>
      </c>
      <c r="L11" s="93" t="s">
        <v>261</v>
      </c>
      <c r="M11" s="93">
        <v>7</v>
      </c>
      <c r="N11" s="93">
        <v>2</v>
      </c>
      <c r="O11" s="93">
        <v>5</v>
      </c>
      <c r="P11" s="93">
        <v>2274</v>
      </c>
      <c r="Q11" s="93">
        <v>685</v>
      </c>
      <c r="R11" s="93">
        <v>1589</v>
      </c>
      <c r="S11" s="93">
        <v>317</v>
      </c>
      <c r="T11" s="93" t="s">
        <v>261</v>
      </c>
      <c r="U11" s="93">
        <v>317</v>
      </c>
      <c r="V11" s="93">
        <v>456</v>
      </c>
      <c r="W11" s="93">
        <v>162</v>
      </c>
      <c r="X11" s="93">
        <v>294</v>
      </c>
      <c r="Y11" s="93">
        <v>1501</v>
      </c>
      <c r="Z11" s="93">
        <v>523</v>
      </c>
      <c r="AA11" s="93">
        <v>978</v>
      </c>
      <c r="AB11" s="93">
        <v>18704</v>
      </c>
      <c r="AC11" s="93">
        <v>5562</v>
      </c>
      <c r="AD11" s="93">
        <v>13142</v>
      </c>
      <c r="AE11" s="93">
        <v>2599</v>
      </c>
      <c r="AF11" s="93" t="s">
        <v>262</v>
      </c>
      <c r="AG11" s="93">
        <v>2599</v>
      </c>
      <c r="AH11" s="93">
        <v>3793</v>
      </c>
      <c r="AI11" s="93">
        <v>1296</v>
      </c>
      <c r="AJ11" s="93">
        <v>2497</v>
      </c>
      <c r="AK11" s="93">
        <v>12312</v>
      </c>
      <c r="AL11" s="93">
        <v>4266</v>
      </c>
      <c r="AM11" s="93">
        <v>8046</v>
      </c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</row>
    <row r="12" spans="1:57" s="18" customFormat="1" ht="15.95" customHeight="1">
      <c r="A12" s="49" t="s">
        <v>151</v>
      </c>
      <c r="B12" s="111" t="s">
        <v>28</v>
      </c>
      <c r="C12" s="93">
        <v>1</v>
      </c>
      <c r="D12" s="93">
        <v>4</v>
      </c>
      <c r="E12" s="93">
        <v>3</v>
      </c>
      <c r="F12" s="93">
        <v>1</v>
      </c>
      <c r="G12" s="93">
        <v>2</v>
      </c>
      <c r="H12" s="93">
        <v>1</v>
      </c>
      <c r="I12" s="93">
        <v>1</v>
      </c>
      <c r="J12" s="93" t="s">
        <v>261</v>
      </c>
      <c r="K12" s="93" t="s">
        <v>261</v>
      </c>
      <c r="L12" s="93" t="s">
        <v>261</v>
      </c>
      <c r="M12" s="93">
        <v>2</v>
      </c>
      <c r="N12" s="93">
        <v>2</v>
      </c>
      <c r="O12" s="93" t="s">
        <v>261</v>
      </c>
      <c r="P12" s="93">
        <v>699</v>
      </c>
      <c r="Q12" s="93">
        <v>509</v>
      </c>
      <c r="R12" s="93">
        <v>190</v>
      </c>
      <c r="S12" s="93">
        <v>332</v>
      </c>
      <c r="T12" s="93">
        <v>237</v>
      </c>
      <c r="U12" s="93">
        <v>95</v>
      </c>
      <c r="V12" s="93">
        <v>95</v>
      </c>
      <c r="W12" s="93" t="s">
        <v>261</v>
      </c>
      <c r="X12" s="93">
        <v>95</v>
      </c>
      <c r="Y12" s="93">
        <v>272</v>
      </c>
      <c r="Z12" s="93">
        <v>272</v>
      </c>
      <c r="AA12" s="93" t="s">
        <v>261</v>
      </c>
      <c r="AB12" s="93">
        <v>5824</v>
      </c>
      <c r="AC12" s="93">
        <v>4105</v>
      </c>
      <c r="AD12" s="93">
        <v>1719</v>
      </c>
      <c r="AE12" s="93">
        <v>2660</v>
      </c>
      <c r="AF12" s="93">
        <v>1900</v>
      </c>
      <c r="AG12" s="93">
        <v>760</v>
      </c>
      <c r="AH12" s="93">
        <v>959</v>
      </c>
      <c r="AI12" s="93" t="s">
        <v>262</v>
      </c>
      <c r="AJ12" s="93">
        <v>959</v>
      </c>
      <c r="AK12" s="93">
        <v>2205</v>
      </c>
      <c r="AL12" s="93">
        <v>2205</v>
      </c>
      <c r="AM12" s="93" t="s">
        <v>262</v>
      </c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</row>
    <row r="13" spans="1:57" ht="15.95" customHeight="1">
      <c r="A13" s="50" t="s">
        <v>152</v>
      </c>
      <c r="B13" s="112" t="s">
        <v>7</v>
      </c>
      <c r="C13" s="20">
        <v>1</v>
      </c>
      <c r="D13" s="20">
        <v>1</v>
      </c>
      <c r="E13" s="20">
        <v>1</v>
      </c>
      <c r="F13" s="20" t="s">
        <v>261</v>
      </c>
      <c r="G13" s="20" t="s">
        <v>261</v>
      </c>
      <c r="H13" s="20" t="s">
        <v>261</v>
      </c>
      <c r="I13" s="20" t="s">
        <v>261</v>
      </c>
      <c r="J13" s="20" t="s">
        <v>261</v>
      </c>
      <c r="K13" s="20" t="s">
        <v>261</v>
      </c>
      <c r="L13" s="20" t="s">
        <v>261</v>
      </c>
      <c r="M13" s="20">
        <v>1</v>
      </c>
      <c r="N13" s="20">
        <v>1</v>
      </c>
      <c r="O13" s="20" t="s">
        <v>261</v>
      </c>
      <c r="P13" s="20">
        <v>654</v>
      </c>
      <c r="Q13" s="20">
        <v>654</v>
      </c>
      <c r="R13" s="20" t="s">
        <v>261</v>
      </c>
      <c r="S13" s="20">
        <v>159</v>
      </c>
      <c r="T13" s="20">
        <v>159</v>
      </c>
      <c r="U13" s="20" t="s">
        <v>261</v>
      </c>
      <c r="V13" s="20" t="s">
        <v>261</v>
      </c>
      <c r="W13" s="20" t="s">
        <v>261</v>
      </c>
      <c r="X13" s="20" t="s">
        <v>261</v>
      </c>
      <c r="Y13" s="20">
        <v>495</v>
      </c>
      <c r="Z13" s="20">
        <v>495</v>
      </c>
      <c r="AA13" s="20" t="s">
        <v>261</v>
      </c>
      <c r="AB13" s="20">
        <v>3817</v>
      </c>
      <c r="AC13" s="20">
        <v>3817</v>
      </c>
      <c r="AD13" s="20" t="s">
        <v>262</v>
      </c>
      <c r="AE13" s="20">
        <v>1272</v>
      </c>
      <c r="AF13" s="20">
        <v>1272</v>
      </c>
      <c r="AG13" s="20" t="s">
        <v>262</v>
      </c>
      <c r="AH13" s="20" t="s">
        <v>262</v>
      </c>
      <c r="AI13" s="20" t="s">
        <v>262</v>
      </c>
      <c r="AJ13" s="20" t="s">
        <v>262</v>
      </c>
      <c r="AK13" s="20">
        <v>2545</v>
      </c>
      <c r="AL13" s="20">
        <v>2545</v>
      </c>
      <c r="AM13" s="20" t="s">
        <v>262</v>
      </c>
    </row>
    <row r="14" spans="1:57" ht="15.95" customHeight="1">
      <c r="A14" s="50" t="s">
        <v>153</v>
      </c>
      <c r="B14" s="112" t="s">
        <v>8</v>
      </c>
      <c r="C14" s="20" t="s">
        <v>261</v>
      </c>
      <c r="D14" s="20" t="s">
        <v>261</v>
      </c>
      <c r="E14" s="20" t="s">
        <v>261</v>
      </c>
      <c r="F14" s="20" t="s">
        <v>261</v>
      </c>
      <c r="G14" s="20" t="s">
        <v>261</v>
      </c>
      <c r="H14" s="20" t="s">
        <v>261</v>
      </c>
      <c r="I14" s="20" t="s">
        <v>261</v>
      </c>
      <c r="J14" s="20" t="s">
        <v>261</v>
      </c>
      <c r="K14" s="20" t="s">
        <v>261</v>
      </c>
      <c r="L14" s="20" t="s">
        <v>261</v>
      </c>
      <c r="M14" s="20" t="s">
        <v>261</v>
      </c>
      <c r="N14" s="20" t="s">
        <v>261</v>
      </c>
      <c r="O14" s="20" t="s">
        <v>261</v>
      </c>
      <c r="P14" s="20" t="s">
        <v>261</v>
      </c>
      <c r="Q14" s="20" t="s">
        <v>261</v>
      </c>
      <c r="R14" s="20" t="s">
        <v>261</v>
      </c>
      <c r="S14" s="20" t="s">
        <v>261</v>
      </c>
      <c r="T14" s="20" t="s">
        <v>261</v>
      </c>
      <c r="U14" s="20" t="s">
        <v>261</v>
      </c>
      <c r="V14" s="20" t="s">
        <v>261</v>
      </c>
      <c r="W14" s="20" t="s">
        <v>261</v>
      </c>
      <c r="X14" s="20" t="s">
        <v>261</v>
      </c>
      <c r="Y14" s="20" t="s">
        <v>261</v>
      </c>
      <c r="Z14" s="20" t="s">
        <v>261</v>
      </c>
      <c r="AA14" s="20" t="s">
        <v>261</v>
      </c>
      <c r="AB14" s="20" t="s">
        <v>262</v>
      </c>
      <c r="AC14" s="20" t="s">
        <v>262</v>
      </c>
      <c r="AD14" s="20" t="s">
        <v>262</v>
      </c>
      <c r="AE14" s="20" t="s">
        <v>262</v>
      </c>
      <c r="AF14" s="20" t="s">
        <v>262</v>
      </c>
      <c r="AG14" s="20" t="s">
        <v>262</v>
      </c>
      <c r="AH14" s="20" t="s">
        <v>262</v>
      </c>
      <c r="AI14" s="20" t="s">
        <v>262</v>
      </c>
      <c r="AJ14" s="20" t="s">
        <v>262</v>
      </c>
      <c r="AK14" s="20" t="s">
        <v>262</v>
      </c>
      <c r="AL14" s="20" t="s">
        <v>262</v>
      </c>
      <c r="AM14" s="20" t="s">
        <v>262</v>
      </c>
    </row>
    <row r="15" spans="1:57" ht="15.95" customHeight="1">
      <c r="A15" s="50" t="s">
        <v>154</v>
      </c>
      <c r="B15" s="112" t="s">
        <v>9</v>
      </c>
      <c r="C15" s="20" t="s">
        <v>261</v>
      </c>
      <c r="D15" s="20" t="s">
        <v>261</v>
      </c>
      <c r="E15" s="20" t="s">
        <v>261</v>
      </c>
      <c r="F15" s="20" t="s">
        <v>261</v>
      </c>
      <c r="G15" s="20" t="s">
        <v>261</v>
      </c>
      <c r="H15" s="20" t="s">
        <v>261</v>
      </c>
      <c r="I15" s="20" t="s">
        <v>261</v>
      </c>
      <c r="J15" s="20" t="s">
        <v>261</v>
      </c>
      <c r="K15" s="20" t="s">
        <v>261</v>
      </c>
      <c r="L15" s="20" t="s">
        <v>261</v>
      </c>
      <c r="M15" s="20" t="s">
        <v>261</v>
      </c>
      <c r="N15" s="20" t="s">
        <v>261</v>
      </c>
      <c r="O15" s="20" t="s">
        <v>261</v>
      </c>
      <c r="P15" s="20" t="s">
        <v>261</v>
      </c>
      <c r="Q15" s="20" t="s">
        <v>261</v>
      </c>
      <c r="R15" s="20" t="s">
        <v>261</v>
      </c>
      <c r="S15" s="20" t="s">
        <v>261</v>
      </c>
      <c r="T15" s="20" t="s">
        <v>261</v>
      </c>
      <c r="U15" s="20" t="s">
        <v>261</v>
      </c>
      <c r="V15" s="20" t="s">
        <v>261</v>
      </c>
      <c r="W15" s="20" t="s">
        <v>261</v>
      </c>
      <c r="X15" s="20" t="s">
        <v>261</v>
      </c>
      <c r="Y15" s="20" t="s">
        <v>261</v>
      </c>
      <c r="Z15" s="20" t="s">
        <v>261</v>
      </c>
      <c r="AA15" s="20" t="s">
        <v>261</v>
      </c>
      <c r="AB15" s="20" t="s">
        <v>262</v>
      </c>
      <c r="AC15" s="20" t="s">
        <v>262</v>
      </c>
      <c r="AD15" s="20" t="s">
        <v>262</v>
      </c>
      <c r="AE15" s="20" t="s">
        <v>262</v>
      </c>
      <c r="AF15" s="20" t="s">
        <v>262</v>
      </c>
      <c r="AG15" s="20" t="s">
        <v>262</v>
      </c>
      <c r="AH15" s="20" t="s">
        <v>262</v>
      </c>
      <c r="AI15" s="20" t="s">
        <v>262</v>
      </c>
      <c r="AJ15" s="20" t="s">
        <v>262</v>
      </c>
      <c r="AK15" s="20" t="s">
        <v>262</v>
      </c>
      <c r="AL15" s="20" t="s">
        <v>262</v>
      </c>
      <c r="AM15" s="20" t="s">
        <v>262</v>
      </c>
    </row>
    <row r="16" spans="1:57" ht="15.95" customHeight="1">
      <c r="A16" s="50" t="s">
        <v>155</v>
      </c>
      <c r="B16" s="112" t="s">
        <v>10</v>
      </c>
      <c r="C16" s="20" t="s">
        <v>261</v>
      </c>
      <c r="D16" s="20" t="s">
        <v>261</v>
      </c>
      <c r="E16" s="20" t="s">
        <v>261</v>
      </c>
      <c r="F16" s="20" t="s">
        <v>261</v>
      </c>
      <c r="G16" s="20" t="s">
        <v>261</v>
      </c>
      <c r="H16" s="20" t="s">
        <v>261</v>
      </c>
      <c r="I16" s="20" t="s">
        <v>261</v>
      </c>
      <c r="J16" s="20" t="s">
        <v>261</v>
      </c>
      <c r="K16" s="20" t="s">
        <v>261</v>
      </c>
      <c r="L16" s="20" t="s">
        <v>261</v>
      </c>
      <c r="M16" s="20" t="s">
        <v>261</v>
      </c>
      <c r="N16" s="20" t="s">
        <v>261</v>
      </c>
      <c r="O16" s="20" t="s">
        <v>261</v>
      </c>
      <c r="P16" s="20" t="s">
        <v>261</v>
      </c>
      <c r="Q16" s="20" t="s">
        <v>261</v>
      </c>
      <c r="R16" s="20" t="s">
        <v>261</v>
      </c>
      <c r="S16" s="20" t="s">
        <v>261</v>
      </c>
      <c r="T16" s="20" t="s">
        <v>261</v>
      </c>
      <c r="U16" s="20" t="s">
        <v>261</v>
      </c>
      <c r="V16" s="20" t="s">
        <v>261</v>
      </c>
      <c r="W16" s="20" t="s">
        <v>261</v>
      </c>
      <c r="X16" s="20" t="s">
        <v>261</v>
      </c>
      <c r="Y16" s="20" t="s">
        <v>261</v>
      </c>
      <c r="Z16" s="20" t="s">
        <v>261</v>
      </c>
      <c r="AA16" s="20" t="s">
        <v>261</v>
      </c>
      <c r="AB16" s="20" t="s">
        <v>262</v>
      </c>
      <c r="AC16" s="20" t="s">
        <v>262</v>
      </c>
      <c r="AD16" s="20" t="s">
        <v>262</v>
      </c>
      <c r="AE16" s="20" t="s">
        <v>262</v>
      </c>
      <c r="AF16" s="20" t="s">
        <v>262</v>
      </c>
      <c r="AG16" s="20" t="s">
        <v>262</v>
      </c>
      <c r="AH16" s="20" t="s">
        <v>262</v>
      </c>
      <c r="AI16" s="20" t="s">
        <v>262</v>
      </c>
      <c r="AJ16" s="20" t="s">
        <v>262</v>
      </c>
      <c r="AK16" s="20" t="s">
        <v>262</v>
      </c>
      <c r="AL16" s="20" t="s">
        <v>262</v>
      </c>
      <c r="AM16" s="20" t="s">
        <v>262</v>
      </c>
    </row>
    <row r="17" spans="1:39" ht="15.95" customHeight="1">
      <c r="A17" s="50" t="s">
        <v>156</v>
      </c>
      <c r="B17" s="112" t="s">
        <v>11</v>
      </c>
      <c r="C17" s="20">
        <v>1</v>
      </c>
      <c r="D17" s="20">
        <v>4</v>
      </c>
      <c r="E17" s="20">
        <v>3</v>
      </c>
      <c r="F17" s="20">
        <v>1</v>
      </c>
      <c r="G17" s="20">
        <v>1</v>
      </c>
      <c r="H17" s="20">
        <v>1</v>
      </c>
      <c r="I17" s="20" t="s">
        <v>261</v>
      </c>
      <c r="J17" s="20" t="s">
        <v>261</v>
      </c>
      <c r="K17" s="20" t="s">
        <v>261</v>
      </c>
      <c r="L17" s="20" t="s">
        <v>261</v>
      </c>
      <c r="M17" s="20">
        <v>3</v>
      </c>
      <c r="N17" s="20">
        <v>2</v>
      </c>
      <c r="O17" s="20">
        <v>1</v>
      </c>
      <c r="P17" s="20">
        <v>869</v>
      </c>
      <c r="Q17" s="20">
        <v>501</v>
      </c>
      <c r="R17" s="20">
        <v>368</v>
      </c>
      <c r="S17" s="20">
        <v>196</v>
      </c>
      <c r="T17" s="20">
        <v>196</v>
      </c>
      <c r="U17" s="20" t="s">
        <v>261</v>
      </c>
      <c r="V17" s="20">
        <v>96</v>
      </c>
      <c r="W17" s="20">
        <v>96</v>
      </c>
      <c r="X17" s="20" t="s">
        <v>261</v>
      </c>
      <c r="Y17" s="20">
        <v>577</v>
      </c>
      <c r="Z17" s="20">
        <v>209</v>
      </c>
      <c r="AA17" s="20">
        <v>368</v>
      </c>
      <c r="AB17" s="20">
        <v>7550</v>
      </c>
      <c r="AC17" s="20">
        <v>4136.5</v>
      </c>
      <c r="AD17" s="20">
        <v>3413.5</v>
      </c>
      <c r="AE17" s="20">
        <v>1186</v>
      </c>
      <c r="AF17" s="20">
        <v>1186</v>
      </c>
      <c r="AG17" s="20" t="s">
        <v>262</v>
      </c>
      <c r="AH17" s="20">
        <v>981</v>
      </c>
      <c r="AI17" s="20">
        <v>981</v>
      </c>
      <c r="AJ17" s="20" t="s">
        <v>262</v>
      </c>
      <c r="AK17" s="20">
        <v>5383</v>
      </c>
      <c r="AL17" s="20">
        <v>1969.5</v>
      </c>
      <c r="AM17" s="20">
        <v>3413.5</v>
      </c>
    </row>
    <row r="18" spans="1:39" ht="15.95" customHeight="1">
      <c r="A18" s="50" t="s">
        <v>157</v>
      </c>
      <c r="B18" s="112" t="s">
        <v>12</v>
      </c>
      <c r="C18" s="20">
        <v>5</v>
      </c>
      <c r="D18" s="20">
        <v>34</v>
      </c>
      <c r="E18" s="20">
        <v>11</v>
      </c>
      <c r="F18" s="20">
        <v>23</v>
      </c>
      <c r="G18" s="20">
        <v>8</v>
      </c>
      <c r="H18" s="20">
        <v>5</v>
      </c>
      <c r="I18" s="20">
        <v>3</v>
      </c>
      <c r="J18" s="20">
        <v>2</v>
      </c>
      <c r="K18" s="20" t="s">
        <v>261</v>
      </c>
      <c r="L18" s="20">
        <v>2</v>
      </c>
      <c r="M18" s="20">
        <v>24</v>
      </c>
      <c r="N18" s="20">
        <v>6</v>
      </c>
      <c r="O18" s="20">
        <v>18</v>
      </c>
      <c r="P18" s="20">
        <v>5108</v>
      </c>
      <c r="Q18" s="20">
        <v>1234</v>
      </c>
      <c r="R18" s="20">
        <v>3874</v>
      </c>
      <c r="S18" s="20">
        <v>1426</v>
      </c>
      <c r="T18" s="20">
        <v>418</v>
      </c>
      <c r="U18" s="20">
        <v>1008</v>
      </c>
      <c r="V18" s="20">
        <v>360</v>
      </c>
      <c r="W18" s="20">
        <v>45</v>
      </c>
      <c r="X18" s="20">
        <v>315</v>
      </c>
      <c r="Y18" s="20">
        <v>3322</v>
      </c>
      <c r="Z18" s="20">
        <v>771</v>
      </c>
      <c r="AA18" s="20">
        <v>2551</v>
      </c>
      <c r="AB18" s="20">
        <v>22899</v>
      </c>
      <c r="AC18" s="20">
        <v>6293</v>
      </c>
      <c r="AD18" s="20">
        <v>16606</v>
      </c>
      <c r="AE18" s="20">
        <v>3198</v>
      </c>
      <c r="AF18" s="20">
        <v>1830</v>
      </c>
      <c r="AG18" s="20">
        <v>1368</v>
      </c>
      <c r="AH18" s="20">
        <v>1866</v>
      </c>
      <c r="AI18" s="20">
        <v>175</v>
      </c>
      <c r="AJ18" s="20">
        <v>1691</v>
      </c>
      <c r="AK18" s="20">
        <v>17835</v>
      </c>
      <c r="AL18" s="20">
        <v>4288</v>
      </c>
      <c r="AM18" s="20">
        <v>13547</v>
      </c>
    </row>
    <row r="19" spans="1:39" ht="15.95" customHeight="1">
      <c r="A19" s="50" t="s">
        <v>158</v>
      </c>
      <c r="B19" s="112" t="s">
        <v>13</v>
      </c>
      <c r="C19" s="20">
        <v>2</v>
      </c>
      <c r="D19" s="20">
        <v>13</v>
      </c>
      <c r="E19" s="20">
        <v>3</v>
      </c>
      <c r="F19" s="20">
        <v>10</v>
      </c>
      <c r="G19" s="20">
        <v>4</v>
      </c>
      <c r="H19" s="20">
        <v>1</v>
      </c>
      <c r="I19" s="20">
        <v>3</v>
      </c>
      <c r="J19" s="20">
        <v>2</v>
      </c>
      <c r="K19" s="20" t="s">
        <v>261</v>
      </c>
      <c r="L19" s="20">
        <v>2</v>
      </c>
      <c r="M19" s="20">
        <v>7</v>
      </c>
      <c r="N19" s="20">
        <v>2</v>
      </c>
      <c r="O19" s="20">
        <v>5</v>
      </c>
      <c r="P19" s="20">
        <v>2666</v>
      </c>
      <c r="Q19" s="20">
        <v>454</v>
      </c>
      <c r="R19" s="20">
        <v>2212</v>
      </c>
      <c r="S19" s="20">
        <v>856</v>
      </c>
      <c r="T19" s="20">
        <v>112</v>
      </c>
      <c r="U19" s="20">
        <v>744</v>
      </c>
      <c r="V19" s="20">
        <v>429</v>
      </c>
      <c r="W19" s="20">
        <v>136</v>
      </c>
      <c r="X19" s="20">
        <v>293</v>
      </c>
      <c r="Y19" s="20">
        <v>1381</v>
      </c>
      <c r="Z19" s="20">
        <v>206</v>
      </c>
      <c r="AA19" s="20">
        <v>1175</v>
      </c>
      <c r="AB19" s="20">
        <v>21836</v>
      </c>
      <c r="AC19" s="20">
        <v>3793</v>
      </c>
      <c r="AD19" s="20">
        <v>18043</v>
      </c>
      <c r="AE19" s="20">
        <v>6848</v>
      </c>
      <c r="AF19" s="20">
        <v>896</v>
      </c>
      <c r="AG19" s="20">
        <v>5952</v>
      </c>
      <c r="AH19" s="20">
        <v>3639</v>
      </c>
      <c r="AI19" s="20">
        <v>1162</v>
      </c>
      <c r="AJ19" s="20">
        <v>2477</v>
      </c>
      <c r="AK19" s="20">
        <v>11349</v>
      </c>
      <c r="AL19" s="20">
        <v>1735</v>
      </c>
      <c r="AM19" s="20">
        <v>9614</v>
      </c>
    </row>
    <row r="20" spans="1:39" ht="15.95" customHeight="1">
      <c r="A20" s="50" t="s">
        <v>159</v>
      </c>
      <c r="B20" s="112" t="s">
        <v>14</v>
      </c>
      <c r="C20" s="20" t="s">
        <v>261</v>
      </c>
      <c r="D20" s="20" t="s">
        <v>261</v>
      </c>
      <c r="E20" s="20" t="s">
        <v>261</v>
      </c>
      <c r="F20" s="20" t="s">
        <v>261</v>
      </c>
      <c r="G20" s="20" t="s">
        <v>261</v>
      </c>
      <c r="H20" s="20" t="s">
        <v>261</v>
      </c>
      <c r="I20" s="20" t="s">
        <v>261</v>
      </c>
      <c r="J20" s="20" t="s">
        <v>261</v>
      </c>
      <c r="K20" s="20" t="s">
        <v>261</v>
      </c>
      <c r="L20" s="20" t="s">
        <v>261</v>
      </c>
      <c r="M20" s="20" t="s">
        <v>261</v>
      </c>
      <c r="N20" s="20" t="s">
        <v>261</v>
      </c>
      <c r="O20" s="20" t="s">
        <v>261</v>
      </c>
      <c r="P20" s="20" t="s">
        <v>261</v>
      </c>
      <c r="Q20" s="20" t="s">
        <v>261</v>
      </c>
      <c r="R20" s="20" t="s">
        <v>261</v>
      </c>
      <c r="S20" s="20" t="s">
        <v>261</v>
      </c>
      <c r="T20" s="20" t="s">
        <v>261</v>
      </c>
      <c r="U20" s="20" t="s">
        <v>261</v>
      </c>
      <c r="V20" s="20" t="s">
        <v>261</v>
      </c>
      <c r="W20" s="20" t="s">
        <v>261</v>
      </c>
      <c r="X20" s="20" t="s">
        <v>261</v>
      </c>
      <c r="Y20" s="20" t="s">
        <v>261</v>
      </c>
      <c r="Z20" s="20" t="s">
        <v>261</v>
      </c>
      <c r="AA20" s="20" t="s">
        <v>261</v>
      </c>
      <c r="AB20" s="20" t="s">
        <v>262</v>
      </c>
      <c r="AC20" s="20" t="s">
        <v>262</v>
      </c>
      <c r="AD20" s="20" t="s">
        <v>262</v>
      </c>
      <c r="AE20" s="20" t="s">
        <v>262</v>
      </c>
      <c r="AF20" s="20" t="s">
        <v>262</v>
      </c>
      <c r="AG20" s="20" t="s">
        <v>262</v>
      </c>
      <c r="AH20" s="20" t="s">
        <v>262</v>
      </c>
      <c r="AI20" s="20" t="s">
        <v>262</v>
      </c>
      <c r="AJ20" s="20" t="s">
        <v>262</v>
      </c>
      <c r="AK20" s="20" t="s">
        <v>262</v>
      </c>
      <c r="AL20" s="20" t="s">
        <v>262</v>
      </c>
      <c r="AM20" s="20" t="s">
        <v>262</v>
      </c>
    </row>
    <row r="21" spans="1:39" ht="15.95" customHeight="1">
      <c r="A21" s="50" t="s">
        <v>160</v>
      </c>
      <c r="B21" s="112" t="s">
        <v>15</v>
      </c>
      <c r="C21" s="20">
        <v>2</v>
      </c>
      <c r="D21" s="20">
        <v>27</v>
      </c>
      <c r="E21" s="20">
        <v>10</v>
      </c>
      <c r="F21" s="20">
        <v>17</v>
      </c>
      <c r="G21" s="20">
        <v>14</v>
      </c>
      <c r="H21" s="20">
        <v>9</v>
      </c>
      <c r="I21" s="20">
        <v>5</v>
      </c>
      <c r="J21" s="20">
        <v>5</v>
      </c>
      <c r="K21" s="20">
        <v>1</v>
      </c>
      <c r="L21" s="20">
        <v>4</v>
      </c>
      <c r="M21" s="20">
        <v>8</v>
      </c>
      <c r="N21" s="20" t="s">
        <v>261</v>
      </c>
      <c r="O21" s="20">
        <v>8</v>
      </c>
      <c r="P21" s="20">
        <v>825</v>
      </c>
      <c r="Q21" s="20">
        <v>393</v>
      </c>
      <c r="R21" s="20">
        <v>432</v>
      </c>
      <c r="S21" s="20">
        <v>552</v>
      </c>
      <c r="T21" s="20">
        <v>350</v>
      </c>
      <c r="U21" s="20">
        <v>202</v>
      </c>
      <c r="V21" s="20">
        <v>98</v>
      </c>
      <c r="W21" s="20">
        <v>18</v>
      </c>
      <c r="X21" s="20">
        <v>80</v>
      </c>
      <c r="Y21" s="20">
        <v>175</v>
      </c>
      <c r="Z21" s="20">
        <v>25</v>
      </c>
      <c r="AA21" s="20">
        <v>150</v>
      </c>
      <c r="AB21" s="20">
        <v>4971</v>
      </c>
      <c r="AC21" s="20">
        <v>2403</v>
      </c>
      <c r="AD21" s="20">
        <v>2568</v>
      </c>
      <c r="AE21" s="20">
        <v>3530</v>
      </c>
      <c r="AF21" s="20">
        <v>2105</v>
      </c>
      <c r="AG21" s="20">
        <v>1425</v>
      </c>
      <c r="AH21" s="20">
        <v>554</v>
      </c>
      <c r="AI21" s="20">
        <v>114</v>
      </c>
      <c r="AJ21" s="20">
        <v>440</v>
      </c>
      <c r="AK21" s="20">
        <v>887</v>
      </c>
      <c r="AL21" s="20">
        <v>184</v>
      </c>
      <c r="AM21" s="20">
        <v>703</v>
      </c>
    </row>
    <row r="22" spans="1:39" ht="15.95" customHeight="1">
      <c r="A22" s="50" t="s">
        <v>161</v>
      </c>
      <c r="B22" s="112" t="s">
        <v>16</v>
      </c>
      <c r="C22" s="20">
        <v>5</v>
      </c>
      <c r="D22" s="20">
        <v>9</v>
      </c>
      <c r="E22" s="20">
        <v>8</v>
      </c>
      <c r="F22" s="20">
        <v>1</v>
      </c>
      <c r="G22" s="20">
        <v>5</v>
      </c>
      <c r="H22" s="20">
        <v>5</v>
      </c>
      <c r="I22" s="20" t="s">
        <v>261</v>
      </c>
      <c r="J22" s="20" t="s">
        <v>261</v>
      </c>
      <c r="K22" s="20" t="s">
        <v>261</v>
      </c>
      <c r="L22" s="20" t="s">
        <v>261</v>
      </c>
      <c r="M22" s="20">
        <v>4</v>
      </c>
      <c r="N22" s="20">
        <v>3</v>
      </c>
      <c r="O22" s="20">
        <v>1</v>
      </c>
      <c r="P22" s="20">
        <v>1713</v>
      </c>
      <c r="Q22" s="20">
        <v>1152</v>
      </c>
      <c r="R22" s="20">
        <v>561</v>
      </c>
      <c r="S22" s="20">
        <v>948</v>
      </c>
      <c r="T22" s="20">
        <v>786</v>
      </c>
      <c r="U22" s="20">
        <v>162</v>
      </c>
      <c r="V22" s="20" t="s">
        <v>261</v>
      </c>
      <c r="W22" s="20" t="s">
        <v>261</v>
      </c>
      <c r="X22" s="20" t="s">
        <v>261</v>
      </c>
      <c r="Y22" s="20">
        <v>765</v>
      </c>
      <c r="Z22" s="20">
        <v>366</v>
      </c>
      <c r="AA22" s="20">
        <v>399</v>
      </c>
      <c r="AB22" s="20">
        <v>7347</v>
      </c>
      <c r="AC22" s="20">
        <v>4420</v>
      </c>
      <c r="AD22" s="20">
        <v>2927</v>
      </c>
      <c r="AE22" s="20">
        <v>4049</v>
      </c>
      <c r="AF22" s="20">
        <v>3170</v>
      </c>
      <c r="AG22" s="20">
        <v>879</v>
      </c>
      <c r="AH22" s="20" t="s">
        <v>262</v>
      </c>
      <c r="AI22" s="20" t="s">
        <v>262</v>
      </c>
      <c r="AJ22" s="20" t="s">
        <v>262</v>
      </c>
      <c r="AK22" s="20">
        <v>3298</v>
      </c>
      <c r="AL22" s="20">
        <v>1250</v>
      </c>
      <c r="AM22" s="20">
        <v>2048</v>
      </c>
    </row>
    <row r="23" spans="1:39" ht="15.95" customHeight="1">
      <c r="A23" s="50" t="s">
        <v>162</v>
      </c>
      <c r="B23" s="112" t="s">
        <v>17</v>
      </c>
      <c r="C23" s="20">
        <v>2</v>
      </c>
      <c r="D23" s="20">
        <v>11</v>
      </c>
      <c r="E23" s="20">
        <v>1</v>
      </c>
      <c r="F23" s="20">
        <v>10</v>
      </c>
      <c r="G23" s="20">
        <v>1</v>
      </c>
      <c r="H23" s="20" t="s">
        <v>261</v>
      </c>
      <c r="I23" s="20">
        <v>1</v>
      </c>
      <c r="J23" s="20" t="s">
        <v>261</v>
      </c>
      <c r="K23" s="20" t="s">
        <v>261</v>
      </c>
      <c r="L23" s="20" t="s">
        <v>261</v>
      </c>
      <c r="M23" s="20">
        <v>10</v>
      </c>
      <c r="N23" s="20">
        <v>1</v>
      </c>
      <c r="O23" s="20">
        <v>9</v>
      </c>
      <c r="P23" s="20">
        <v>1038</v>
      </c>
      <c r="Q23" s="20">
        <v>82</v>
      </c>
      <c r="R23" s="20">
        <v>956</v>
      </c>
      <c r="S23" s="20">
        <v>58</v>
      </c>
      <c r="T23" s="20" t="s">
        <v>261</v>
      </c>
      <c r="U23" s="20">
        <v>58</v>
      </c>
      <c r="V23" s="20" t="s">
        <v>261</v>
      </c>
      <c r="W23" s="20" t="s">
        <v>261</v>
      </c>
      <c r="X23" s="20" t="s">
        <v>261</v>
      </c>
      <c r="Y23" s="20">
        <v>980</v>
      </c>
      <c r="Z23" s="20">
        <v>82</v>
      </c>
      <c r="AA23" s="20">
        <v>898</v>
      </c>
      <c r="AB23" s="20">
        <v>8435</v>
      </c>
      <c r="AC23" s="20">
        <v>656</v>
      </c>
      <c r="AD23" s="20">
        <v>7779</v>
      </c>
      <c r="AE23" s="20">
        <v>464</v>
      </c>
      <c r="AF23" s="20" t="s">
        <v>262</v>
      </c>
      <c r="AG23" s="20">
        <v>464</v>
      </c>
      <c r="AH23" s="20" t="s">
        <v>262</v>
      </c>
      <c r="AI23" s="20" t="s">
        <v>262</v>
      </c>
      <c r="AJ23" s="20" t="s">
        <v>262</v>
      </c>
      <c r="AK23" s="20">
        <v>7971</v>
      </c>
      <c r="AL23" s="20">
        <v>656</v>
      </c>
      <c r="AM23" s="20">
        <v>7315</v>
      </c>
    </row>
    <row r="24" spans="1:39" ht="15.95" customHeight="1">
      <c r="A24" s="50" t="s">
        <v>163</v>
      </c>
      <c r="B24" s="112" t="s">
        <v>18</v>
      </c>
      <c r="C24" s="20">
        <v>1</v>
      </c>
      <c r="D24" s="20">
        <v>2</v>
      </c>
      <c r="E24" s="20">
        <v>2</v>
      </c>
      <c r="F24" s="20" t="s">
        <v>261</v>
      </c>
      <c r="G24" s="20">
        <v>1</v>
      </c>
      <c r="H24" s="20">
        <v>1</v>
      </c>
      <c r="I24" s="20" t="s">
        <v>261</v>
      </c>
      <c r="J24" s="20">
        <v>1</v>
      </c>
      <c r="K24" s="20">
        <v>1</v>
      </c>
      <c r="L24" s="20" t="s">
        <v>261</v>
      </c>
      <c r="M24" s="20" t="s">
        <v>261</v>
      </c>
      <c r="N24" s="20" t="s">
        <v>261</v>
      </c>
      <c r="O24" s="20" t="s">
        <v>261</v>
      </c>
      <c r="P24" s="20">
        <v>74</v>
      </c>
      <c r="Q24" s="20">
        <v>47</v>
      </c>
      <c r="R24" s="20">
        <v>27</v>
      </c>
      <c r="S24" s="20">
        <v>15</v>
      </c>
      <c r="T24" s="20">
        <v>15</v>
      </c>
      <c r="U24" s="20" t="s">
        <v>261</v>
      </c>
      <c r="V24" s="20">
        <v>32</v>
      </c>
      <c r="W24" s="20">
        <v>32</v>
      </c>
      <c r="X24" s="20" t="s">
        <v>261</v>
      </c>
      <c r="Y24" s="20">
        <v>27</v>
      </c>
      <c r="Z24" s="20" t="s">
        <v>261</v>
      </c>
      <c r="AA24" s="20">
        <v>27</v>
      </c>
      <c r="AB24" s="20">
        <v>503</v>
      </c>
      <c r="AC24" s="20">
        <v>168</v>
      </c>
      <c r="AD24" s="20">
        <v>335</v>
      </c>
      <c r="AE24" s="20">
        <v>48</v>
      </c>
      <c r="AF24" s="20">
        <v>48</v>
      </c>
      <c r="AG24" s="20" t="s">
        <v>262</v>
      </c>
      <c r="AH24" s="20">
        <v>120</v>
      </c>
      <c r="AI24" s="20">
        <v>120</v>
      </c>
      <c r="AJ24" s="20" t="s">
        <v>262</v>
      </c>
      <c r="AK24" s="20">
        <v>335</v>
      </c>
      <c r="AL24" s="20" t="s">
        <v>262</v>
      </c>
      <c r="AM24" s="20">
        <v>335</v>
      </c>
    </row>
    <row r="25" spans="1:39" ht="15.95" customHeight="1">
      <c r="A25" s="50" t="s">
        <v>164</v>
      </c>
      <c r="B25" s="112" t="s">
        <v>19</v>
      </c>
      <c r="C25" s="20" t="s">
        <v>261</v>
      </c>
      <c r="D25" s="20" t="s">
        <v>261</v>
      </c>
      <c r="E25" s="20" t="s">
        <v>261</v>
      </c>
      <c r="F25" s="20" t="s">
        <v>261</v>
      </c>
      <c r="G25" s="20" t="s">
        <v>261</v>
      </c>
      <c r="H25" s="20" t="s">
        <v>261</v>
      </c>
      <c r="I25" s="20" t="s">
        <v>261</v>
      </c>
      <c r="J25" s="20" t="s">
        <v>261</v>
      </c>
      <c r="K25" s="20" t="s">
        <v>261</v>
      </c>
      <c r="L25" s="20" t="s">
        <v>261</v>
      </c>
      <c r="M25" s="20" t="s">
        <v>261</v>
      </c>
      <c r="N25" s="20" t="s">
        <v>261</v>
      </c>
      <c r="O25" s="20" t="s">
        <v>261</v>
      </c>
      <c r="P25" s="20" t="s">
        <v>261</v>
      </c>
      <c r="Q25" s="20" t="s">
        <v>261</v>
      </c>
      <c r="R25" s="20" t="s">
        <v>261</v>
      </c>
      <c r="S25" s="20" t="s">
        <v>261</v>
      </c>
      <c r="T25" s="20" t="s">
        <v>261</v>
      </c>
      <c r="U25" s="20" t="s">
        <v>261</v>
      </c>
      <c r="V25" s="20" t="s">
        <v>261</v>
      </c>
      <c r="W25" s="20" t="s">
        <v>261</v>
      </c>
      <c r="X25" s="20" t="s">
        <v>261</v>
      </c>
      <c r="Y25" s="20" t="s">
        <v>261</v>
      </c>
      <c r="Z25" s="20" t="s">
        <v>261</v>
      </c>
      <c r="AA25" s="20" t="s">
        <v>261</v>
      </c>
      <c r="AB25" s="20" t="s">
        <v>262</v>
      </c>
      <c r="AC25" s="20" t="s">
        <v>262</v>
      </c>
      <c r="AD25" s="20" t="s">
        <v>262</v>
      </c>
      <c r="AE25" s="20" t="s">
        <v>262</v>
      </c>
      <c r="AF25" s="20" t="s">
        <v>262</v>
      </c>
      <c r="AG25" s="20" t="s">
        <v>262</v>
      </c>
      <c r="AH25" s="20" t="s">
        <v>262</v>
      </c>
      <c r="AI25" s="20" t="s">
        <v>262</v>
      </c>
      <c r="AJ25" s="20" t="s">
        <v>262</v>
      </c>
      <c r="AK25" s="20" t="s">
        <v>262</v>
      </c>
      <c r="AL25" s="20" t="s">
        <v>262</v>
      </c>
      <c r="AM25" s="20" t="s">
        <v>262</v>
      </c>
    </row>
    <row r="26" spans="1:39" ht="15.95" customHeight="1">
      <c r="A26" s="50" t="s">
        <v>165</v>
      </c>
      <c r="B26" s="112" t="s">
        <v>20</v>
      </c>
      <c r="C26" s="20">
        <v>1</v>
      </c>
      <c r="D26" s="20">
        <v>1</v>
      </c>
      <c r="E26" s="20" t="s">
        <v>261</v>
      </c>
      <c r="F26" s="20">
        <v>1</v>
      </c>
      <c r="G26" s="20" t="s">
        <v>261</v>
      </c>
      <c r="H26" s="20" t="s">
        <v>261</v>
      </c>
      <c r="I26" s="20" t="s">
        <v>261</v>
      </c>
      <c r="J26" s="20">
        <v>1</v>
      </c>
      <c r="K26" s="20" t="s">
        <v>261</v>
      </c>
      <c r="L26" s="20">
        <v>1</v>
      </c>
      <c r="M26" s="20" t="s">
        <v>261</v>
      </c>
      <c r="N26" s="20" t="s">
        <v>261</v>
      </c>
      <c r="O26" s="20" t="s">
        <v>261</v>
      </c>
      <c r="P26" s="20">
        <v>5</v>
      </c>
      <c r="Q26" s="20" t="s">
        <v>261</v>
      </c>
      <c r="R26" s="20">
        <v>5</v>
      </c>
      <c r="S26" s="20" t="s">
        <v>261</v>
      </c>
      <c r="T26" s="20" t="s">
        <v>261</v>
      </c>
      <c r="U26" s="20" t="s">
        <v>261</v>
      </c>
      <c r="V26" s="20">
        <v>5</v>
      </c>
      <c r="W26" s="20" t="s">
        <v>261</v>
      </c>
      <c r="X26" s="20">
        <v>5</v>
      </c>
      <c r="Y26" s="20" t="s">
        <v>261</v>
      </c>
      <c r="Z26" s="20" t="s">
        <v>261</v>
      </c>
      <c r="AA26" s="20" t="s">
        <v>261</v>
      </c>
      <c r="AB26" s="20">
        <v>40</v>
      </c>
      <c r="AC26" s="20" t="s">
        <v>262</v>
      </c>
      <c r="AD26" s="20">
        <v>40</v>
      </c>
      <c r="AE26" s="20" t="s">
        <v>262</v>
      </c>
      <c r="AF26" s="20" t="s">
        <v>262</v>
      </c>
      <c r="AG26" s="20" t="s">
        <v>262</v>
      </c>
      <c r="AH26" s="20">
        <v>40</v>
      </c>
      <c r="AI26" s="20" t="s">
        <v>262</v>
      </c>
      <c r="AJ26" s="20">
        <v>40</v>
      </c>
      <c r="AK26" s="20" t="s">
        <v>262</v>
      </c>
      <c r="AL26" s="20" t="s">
        <v>262</v>
      </c>
      <c r="AM26" s="20" t="s">
        <v>262</v>
      </c>
    </row>
    <row r="27" spans="1:39" ht="15.95" customHeight="1">
      <c r="A27" s="50" t="s">
        <v>166</v>
      </c>
      <c r="B27" s="112" t="s">
        <v>21</v>
      </c>
      <c r="C27" s="20">
        <v>1</v>
      </c>
      <c r="D27" s="20" t="s">
        <v>261</v>
      </c>
      <c r="E27" s="20" t="s">
        <v>261</v>
      </c>
      <c r="F27" s="20" t="s">
        <v>261</v>
      </c>
      <c r="G27" s="20" t="s">
        <v>261</v>
      </c>
      <c r="H27" s="20" t="s">
        <v>261</v>
      </c>
      <c r="I27" s="20" t="s">
        <v>261</v>
      </c>
      <c r="J27" s="20" t="s">
        <v>261</v>
      </c>
      <c r="K27" s="20" t="s">
        <v>261</v>
      </c>
      <c r="L27" s="20" t="s">
        <v>261</v>
      </c>
      <c r="M27" s="20" t="s">
        <v>261</v>
      </c>
      <c r="N27" s="20" t="s">
        <v>261</v>
      </c>
      <c r="O27" s="20" t="s">
        <v>261</v>
      </c>
      <c r="P27" s="20">
        <v>100</v>
      </c>
      <c r="Q27" s="20" t="s">
        <v>261</v>
      </c>
      <c r="R27" s="20">
        <v>100</v>
      </c>
      <c r="S27" s="20" t="s">
        <v>261</v>
      </c>
      <c r="T27" s="20" t="s">
        <v>261</v>
      </c>
      <c r="U27" s="20" t="s">
        <v>261</v>
      </c>
      <c r="V27" s="20" t="s">
        <v>261</v>
      </c>
      <c r="W27" s="20" t="s">
        <v>261</v>
      </c>
      <c r="X27" s="20" t="s">
        <v>261</v>
      </c>
      <c r="Y27" s="20">
        <v>100</v>
      </c>
      <c r="Z27" s="20" t="s">
        <v>261</v>
      </c>
      <c r="AA27" s="20">
        <v>100</v>
      </c>
      <c r="AB27" s="20">
        <v>751.5</v>
      </c>
      <c r="AC27" s="20" t="s">
        <v>262</v>
      </c>
      <c r="AD27" s="20">
        <v>751.5</v>
      </c>
      <c r="AE27" s="20" t="s">
        <v>262</v>
      </c>
      <c r="AF27" s="20" t="s">
        <v>262</v>
      </c>
      <c r="AG27" s="20" t="s">
        <v>262</v>
      </c>
      <c r="AH27" s="20" t="s">
        <v>262</v>
      </c>
      <c r="AI27" s="20" t="s">
        <v>262</v>
      </c>
      <c r="AJ27" s="20" t="s">
        <v>262</v>
      </c>
      <c r="AK27" s="20">
        <v>751.5</v>
      </c>
      <c r="AL27" s="20" t="s">
        <v>262</v>
      </c>
      <c r="AM27" s="20">
        <v>751.5</v>
      </c>
    </row>
    <row r="28" spans="1:39" ht="15.95" customHeight="1">
      <c r="A28" s="50" t="s">
        <v>167</v>
      </c>
      <c r="B28" s="112" t="s">
        <v>22</v>
      </c>
      <c r="C28" s="20" t="s">
        <v>261</v>
      </c>
      <c r="D28" s="20" t="s">
        <v>261</v>
      </c>
      <c r="E28" s="20" t="s">
        <v>261</v>
      </c>
      <c r="F28" s="20" t="s">
        <v>261</v>
      </c>
      <c r="G28" s="20" t="s">
        <v>261</v>
      </c>
      <c r="H28" s="20" t="s">
        <v>261</v>
      </c>
      <c r="I28" s="20" t="s">
        <v>261</v>
      </c>
      <c r="J28" s="20" t="s">
        <v>261</v>
      </c>
      <c r="K28" s="20" t="s">
        <v>261</v>
      </c>
      <c r="L28" s="20" t="s">
        <v>261</v>
      </c>
      <c r="M28" s="20" t="s">
        <v>261</v>
      </c>
      <c r="N28" s="20" t="s">
        <v>261</v>
      </c>
      <c r="O28" s="20" t="s">
        <v>261</v>
      </c>
      <c r="P28" s="20" t="s">
        <v>261</v>
      </c>
      <c r="Q28" s="20" t="s">
        <v>261</v>
      </c>
      <c r="R28" s="20" t="s">
        <v>261</v>
      </c>
      <c r="S28" s="20" t="s">
        <v>261</v>
      </c>
      <c r="T28" s="20" t="s">
        <v>261</v>
      </c>
      <c r="U28" s="20" t="s">
        <v>261</v>
      </c>
      <c r="V28" s="20" t="s">
        <v>261</v>
      </c>
      <c r="W28" s="20" t="s">
        <v>261</v>
      </c>
      <c r="X28" s="20" t="s">
        <v>261</v>
      </c>
      <c r="Y28" s="20" t="s">
        <v>261</v>
      </c>
      <c r="Z28" s="20" t="s">
        <v>261</v>
      </c>
      <c r="AA28" s="20" t="s">
        <v>261</v>
      </c>
      <c r="AB28" s="20" t="s">
        <v>262</v>
      </c>
      <c r="AC28" s="20" t="s">
        <v>262</v>
      </c>
      <c r="AD28" s="20" t="s">
        <v>262</v>
      </c>
      <c r="AE28" s="20" t="s">
        <v>262</v>
      </c>
      <c r="AF28" s="20" t="s">
        <v>262</v>
      </c>
      <c r="AG28" s="20" t="s">
        <v>262</v>
      </c>
      <c r="AH28" s="20" t="s">
        <v>262</v>
      </c>
      <c r="AI28" s="20" t="s">
        <v>262</v>
      </c>
      <c r="AJ28" s="20" t="s">
        <v>262</v>
      </c>
      <c r="AK28" s="20" t="s">
        <v>262</v>
      </c>
      <c r="AL28" s="20" t="s">
        <v>262</v>
      </c>
      <c r="AM28" s="20" t="s">
        <v>262</v>
      </c>
    </row>
    <row r="29" spans="1:39" ht="15.95" customHeight="1">
      <c r="A29" s="51" t="s">
        <v>168</v>
      </c>
      <c r="B29" s="113" t="s">
        <v>23</v>
      </c>
      <c r="C29" s="22" t="s">
        <v>261</v>
      </c>
      <c r="D29" s="22" t="s">
        <v>261</v>
      </c>
      <c r="E29" s="22" t="s">
        <v>261</v>
      </c>
      <c r="F29" s="22" t="s">
        <v>261</v>
      </c>
      <c r="G29" s="22" t="s">
        <v>261</v>
      </c>
      <c r="H29" s="22" t="s">
        <v>261</v>
      </c>
      <c r="I29" s="22" t="s">
        <v>261</v>
      </c>
      <c r="J29" s="22" t="s">
        <v>261</v>
      </c>
      <c r="K29" s="22" t="s">
        <v>261</v>
      </c>
      <c r="L29" s="22" t="s">
        <v>261</v>
      </c>
      <c r="M29" s="22" t="s">
        <v>261</v>
      </c>
      <c r="N29" s="22" t="s">
        <v>261</v>
      </c>
      <c r="O29" s="22" t="s">
        <v>261</v>
      </c>
      <c r="P29" s="22" t="s">
        <v>261</v>
      </c>
      <c r="Q29" s="22" t="s">
        <v>261</v>
      </c>
      <c r="R29" s="22" t="s">
        <v>261</v>
      </c>
      <c r="S29" s="22" t="s">
        <v>261</v>
      </c>
      <c r="T29" s="22" t="s">
        <v>261</v>
      </c>
      <c r="U29" s="22" t="s">
        <v>261</v>
      </c>
      <c r="V29" s="22" t="s">
        <v>261</v>
      </c>
      <c r="W29" s="22" t="s">
        <v>261</v>
      </c>
      <c r="X29" s="22" t="s">
        <v>261</v>
      </c>
      <c r="Y29" s="22" t="s">
        <v>261</v>
      </c>
      <c r="Z29" s="22" t="s">
        <v>261</v>
      </c>
      <c r="AA29" s="22" t="s">
        <v>261</v>
      </c>
      <c r="AB29" s="22" t="s">
        <v>262</v>
      </c>
      <c r="AC29" s="22" t="s">
        <v>262</v>
      </c>
      <c r="AD29" s="22" t="s">
        <v>262</v>
      </c>
      <c r="AE29" s="22" t="s">
        <v>262</v>
      </c>
      <c r="AF29" s="22" t="s">
        <v>262</v>
      </c>
      <c r="AG29" s="22" t="s">
        <v>262</v>
      </c>
      <c r="AH29" s="22" t="s">
        <v>262</v>
      </c>
      <c r="AI29" s="22" t="s">
        <v>262</v>
      </c>
      <c r="AJ29" s="22" t="s">
        <v>262</v>
      </c>
      <c r="AK29" s="22" t="s">
        <v>262</v>
      </c>
      <c r="AL29" s="22" t="s">
        <v>262</v>
      </c>
      <c r="AM29" s="22" t="s">
        <v>262</v>
      </c>
    </row>
    <row r="30" spans="1:39">
      <c r="A30" s="96" t="s">
        <v>77</v>
      </c>
      <c r="B30" s="61"/>
    </row>
    <row r="31" spans="1:39">
      <c r="A31" s="97" t="s">
        <v>2</v>
      </c>
    </row>
    <row r="33" spans="1:57" ht="14.25">
      <c r="A33" s="3" t="s">
        <v>291</v>
      </c>
    </row>
    <row r="34" spans="1:57" s="13" customFormat="1" ht="21.75" hidden="1" customHeight="1">
      <c r="A34" s="106" t="s">
        <v>264</v>
      </c>
      <c r="B34" s="36" t="s">
        <v>39</v>
      </c>
      <c r="C34" s="90">
        <v>30</v>
      </c>
      <c r="D34" s="90">
        <v>147</v>
      </c>
      <c r="E34" s="90">
        <v>65</v>
      </c>
      <c r="F34" s="90">
        <v>82</v>
      </c>
      <c r="G34" s="90">
        <v>41</v>
      </c>
      <c r="H34" s="90">
        <v>27</v>
      </c>
      <c r="I34" s="90">
        <v>14</v>
      </c>
      <c r="J34" s="90">
        <v>16</v>
      </c>
      <c r="K34" s="90">
        <v>6</v>
      </c>
      <c r="L34" s="90">
        <v>10</v>
      </c>
      <c r="M34" s="90">
        <v>90</v>
      </c>
      <c r="N34" s="90">
        <v>32</v>
      </c>
      <c r="O34" s="90">
        <v>58</v>
      </c>
      <c r="P34" s="90">
        <v>24747</v>
      </c>
      <c r="Q34" s="90">
        <v>10499</v>
      </c>
      <c r="R34" s="90">
        <v>14248</v>
      </c>
      <c r="S34" s="90">
        <v>6422</v>
      </c>
      <c r="T34" s="90">
        <v>3213</v>
      </c>
      <c r="U34" s="90">
        <v>3209</v>
      </c>
      <c r="V34" s="90">
        <v>2642</v>
      </c>
      <c r="W34" s="90">
        <v>1373</v>
      </c>
      <c r="X34" s="90">
        <v>1269</v>
      </c>
      <c r="Y34" s="90">
        <v>15683</v>
      </c>
      <c r="Z34" s="90">
        <v>5913</v>
      </c>
      <c r="AA34" s="90">
        <v>9770</v>
      </c>
      <c r="AB34" s="90">
        <v>180984.5</v>
      </c>
      <c r="AC34" s="90">
        <v>78285.5</v>
      </c>
      <c r="AD34" s="90">
        <v>102699</v>
      </c>
      <c r="AE34" s="90">
        <v>39815</v>
      </c>
      <c r="AF34" s="90">
        <v>20748.5</v>
      </c>
      <c r="AG34" s="90">
        <v>19066.5</v>
      </c>
      <c r="AH34" s="90">
        <v>22017</v>
      </c>
      <c r="AI34" s="90">
        <v>12180</v>
      </c>
      <c r="AJ34" s="90">
        <v>9837</v>
      </c>
      <c r="AK34" s="90">
        <v>119152.5</v>
      </c>
      <c r="AL34" s="90">
        <v>45357</v>
      </c>
      <c r="AM34" s="90">
        <v>73795.5</v>
      </c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</row>
    <row r="35" spans="1:57" s="18" customFormat="1" ht="21" hidden="1" customHeight="1">
      <c r="A35" s="107" t="s">
        <v>265</v>
      </c>
      <c r="B35" s="108" t="s">
        <v>24</v>
      </c>
      <c r="C35" s="93">
        <v>1</v>
      </c>
      <c r="D35" s="93" t="s">
        <v>261</v>
      </c>
      <c r="E35" s="93" t="s">
        <v>261</v>
      </c>
      <c r="F35" s="93" t="s">
        <v>261</v>
      </c>
      <c r="G35" s="93" t="s">
        <v>261</v>
      </c>
      <c r="H35" s="93" t="s">
        <v>261</v>
      </c>
      <c r="I35" s="93" t="s">
        <v>261</v>
      </c>
      <c r="J35" s="93" t="s">
        <v>261</v>
      </c>
      <c r="K35" s="93" t="s">
        <v>261</v>
      </c>
      <c r="L35" s="93" t="s">
        <v>261</v>
      </c>
      <c r="M35" s="93" t="s">
        <v>261</v>
      </c>
      <c r="N35" s="93" t="s">
        <v>261</v>
      </c>
      <c r="O35" s="93" t="s">
        <v>261</v>
      </c>
      <c r="P35" s="93">
        <v>59</v>
      </c>
      <c r="Q35" s="93" t="s">
        <v>261</v>
      </c>
      <c r="R35" s="93">
        <v>59</v>
      </c>
      <c r="S35" s="93" t="s">
        <v>261</v>
      </c>
      <c r="T35" s="93" t="s">
        <v>261</v>
      </c>
      <c r="U35" s="93" t="s">
        <v>261</v>
      </c>
      <c r="V35" s="93" t="s">
        <v>261</v>
      </c>
      <c r="W35" s="93" t="s">
        <v>261</v>
      </c>
      <c r="X35" s="93" t="s">
        <v>261</v>
      </c>
      <c r="Y35" s="93">
        <v>59</v>
      </c>
      <c r="Z35" s="93" t="s">
        <v>261</v>
      </c>
      <c r="AA35" s="93">
        <v>59</v>
      </c>
      <c r="AB35" s="93">
        <v>209</v>
      </c>
      <c r="AC35" s="93" t="s">
        <v>262</v>
      </c>
      <c r="AD35" s="93">
        <v>209</v>
      </c>
      <c r="AE35" s="93" t="s">
        <v>262</v>
      </c>
      <c r="AF35" s="93" t="s">
        <v>262</v>
      </c>
      <c r="AG35" s="93" t="s">
        <v>262</v>
      </c>
      <c r="AH35" s="93" t="s">
        <v>262</v>
      </c>
      <c r="AI35" s="93" t="s">
        <v>262</v>
      </c>
      <c r="AJ35" s="93" t="s">
        <v>262</v>
      </c>
      <c r="AK35" s="93">
        <v>209</v>
      </c>
      <c r="AL35" s="93" t="s">
        <v>262</v>
      </c>
      <c r="AM35" s="93">
        <v>209</v>
      </c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</row>
    <row r="36" spans="1:57" s="18" customFormat="1" ht="21" hidden="1" customHeight="1">
      <c r="A36" s="107" t="s">
        <v>266</v>
      </c>
      <c r="B36" s="108" t="s">
        <v>25</v>
      </c>
      <c r="C36" s="93">
        <v>5</v>
      </c>
      <c r="D36" s="93">
        <v>14</v>
      </c>
      <c r="E36" s="93">
        <v>8</v>
      </c>
      <c r="F36" s="93">
        <v>6</v>
      </c>
      <c r="G36" s="93">
        <v>1</v>
      </c>
      <c r="H36" s="93">
        <v>1</v>
      </c>
      <c r="I36" s="93" t="s">
        <v>261</v>
      </c>
      <c r="J36" s="93">
        <v>3</v>
      </c>
      <c r="K36" s="93">
        <v>2</v>
      </c>
      <c r="L36" s="93">
        <v>1</v>
      </c>
      <c r="M36" s="93">
        <v>10</v>
      </c>
      <c r="N36" s="93">
        <v>5</v>
      </c>
      <c r="O36" s="93">
        <v>5</v>
      </c>
      <c r="P36" s="93">
        <v>3324</v>
      </c>
      <c r="Q36" s="93">
        <v>1874</v>
      </c>
      <c r="R36" s="93">
        <v>1450</v>
      </c>
      <c r="S36" s="93">
        <v>255</v>
      </c>
      <c r="T36" s="93">
        <v>255</v>
      </c>
      <c r="U36" s="93" t="s">
        <v>261</v>
      </c>
      <c r="V36" s="93">
        <v>816</v>
      </c>
      <c r="W36" s="93">
        <v>646</v>
      </c>
      <c r="X36" s="93">
        <v>170</v>
      </c>
      <c r="Y36" s="93">
        <v>2253</v>
      </c>
      <c r="Z36" s="93">
        <v>973</v>
      </c>
      <c r="AA36" s="93">
        <v>1280</v>
      </c>
      <c r="AB36" s="93">
        <v>31443</v>
      </c>
      <c r="AC36" s="93">
        <v>17888</v>
      </c>
      <c r="AD36" s="93">
        <v>13555</v>
      </c>
      <c r="AE36" s="93">
        <v>2550</v>
      </c>
      <c r="AF36" s="93">
        <v>2550</v>
      </c>
      <c r="AG36" s="93" t="s">
        <v>262</v>
      </c>
      <c r="AH36" s="93">
        <v>7805</v>
      </c>
      <c r="AI36" s="93">
        <v>6190</v>
      </c>
      <c r="AJ36" s="93">
        <v>1615</v>
      </c>
      <c r="AK36" s="93">
        <v>21088</v>
      </c>
      <c r="AL36" s="93">
        <v>9148</v>
      </c>
      <c r="AM36" s="93">
        <v>11940</v>
      </c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</row>
    <row r="37" spans="1:57" s="18" customFormat="1" ht="21" hidden="1" customHeight="1">
      <c r="A37" s="107" t="s">
        <v>267</v>
      </c>
      <c r="B37" s="108" t="s">
        <v>26</v>
      </c>
      <c r="C37" s="93">
        <v>2</v>
      </c>
      <c r="D37" s="93">
        <v>18</v>
      </c>
      <c r="E37" s="93">
        <v>12</v>
      </c>
      <c r="F37" s="93">
        <v>6</v>
      </c>
      <c r="G37" s="93">
        <v>3</v>
      </c>
      <c r="H37" s="93">
        <v>3</v>
      </c>
      <c r="I37" s="93" t="s">
        <v>261</v>
      </c>
      <c r="J37" s="93">
        <v>1</v>
      </c>
      <c r="K37" s="93">
        <v>1</v>
      </c>
      <c r="L37" s="93" t="s">
        <v>261</v>
      </c>
      <c r="M37" s="93">
        <v>14</v>
      </c>
      <c r="N37" s="93">
        <v>8</v>
      </c>
      <c r="O37" s="93">
        <v>6</v>
      </c>
      <c r="P37" s="93">
        <v>5339</v>
      </c>
      <c r="Q37" s="93">
        <v>2914</v>
      </c>
      <c r="R37" s="93">
        <v>2425</v>
      </c>
      <c r="S37" s="93">
        <v>1308</v>
      </c>
      <c r="T37" s="93">
        <v>685</v>
      </c>
      <c r="U37" s="93">
        <v>623</v>
      </c>
      <c r="V37" s="93">
        <v>255</v>
      </c>
      <c r="W37" s="93">
        <v>238</v>
      </c>
      <c r="X37" s="93">
        <v>17</v>
      </c>
      <c r="Y37" s="93">
        <v>3776</v>
      </c>
      <c r="Z37" s="93">
        <v>1991</v>
      </c>
      <c r="AA37" s="93">
        <v>1785</v>
      </c>
      <c r="AB37" s="93">
        <v>46655</v>
      </c>
      <c r="AC37" s="93">
        <v>25044</v>
      </c>
      <c r="AD37" s="93">
        <v>21611</v>
      </c>
      <c r="AE37" s="93">
        <v>11411</v>
      </c>
      <c r="AF37" s="93">
        <v>5791.5</v>
      </c>
      <c r="AG37" s="93">
        <v>5619.5</v>
      </c>
      <c r="AH37" s="93">
        <v>2260</v>
      </c>
      <c r="AI37" s="93">
        <v>2142</v>
      </c>
      <c r="AJ37" s="93">
        <v>118</v>
      </c>
      <c r="AK37" s="93">
        <v>32984</v>
      </c>
      <c r="AL37" s="93">
        <v>17110.5</v>
      </c>
      <c r="AM37" s="93">
        <v>15873.5</v>
      </c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</row>
    <row r="38" spans="1:57" s="18" customFormat="1" ht="21" hidden="1" customHeight="1">
      <c r="A38" s="107" t="s">
        <v>268</v>
      </c>
      <c r="B38" s="108" t="s">
        <v>27</v>
      </c>
      <c r="C38" s="93">
        <v>2</v>
      </c>
      <c r="D38" s="93">
        <v>9</v>
      </c>
      <c r="E38" s="93">
        <v>3</v>
      </c>
      <c r="F38" s="93">
        <v>6</v>
      </c>
      <c r="G38" s="93">
        <v>1</v>
      </c>
      <c r="H38" s="93" t="s">
        <v>261</v>
      </c>
      <c r="I38" s="93">
        <v>1</v>
      </c>
      <c r="J38" s="93">
        <v>1</v>
      </c>
      <c r="K38" s="93">
        <v>1</v>
      </c>
      <c r="L38" s="93" t="s">
        <v>261</v>
      </c>
      <c r="M38" s="93">
        <v>7</v>
      </c>
      <c r="N38" s="93">
        <v>2</v>
      </c>
      <c r="O38" s="93">
        <v>5</v>
      </c>
      <c r="P38" s="93">
        <v>2274</v>
      </c>
      <c r="Q38" s="93">
        <v>685</v>
      </c>
      <c r="R38" s="93">
        <v>1589</v>
      </c>
      <c r="S38" s="93">
        <v>317</v>
      </c>
      <c r="T38" s="93" t="s">
        <v>261</v>
      </c>
      <c r="U38" s="93">
        <v>317</v>
      </c>
      <c r="V38" s="93">
        <v>456</v>
      </c>
      <c r="W38" s="93">
        <v>162</v>
      </c>
      <c r="X38" s="93">
        <v>294</v>
      </c>
      <c r="Y38" s="93">
        <v>1501</v>
      </c>
      <c r="Z38" s="93">
        <v>523</v>
      </c>
      <c r="AA38" s="93">
        <v>978</v>
      </c>
      <c r="AB38" s="93">
        <v>18704</v>
      </c>
      <c r="AC38" s="93">
        <v>5562</v>
      </c>
      <c r="AD38" s="93">
        <v>13142</v>
      </c>
      <c r="AE38" s="93">
        <v>2599</v>
      </c>
      <c r="AF38" s="93" t="s">
        <v>262</v>
      </c>
      <c r="AG38" s="93">
        <v>2599</v>
      </c>
      <c r="AH38" s="93">
        <v>3793</v>
      </c>
      <c r="AI38" s="93">
        <v>1296</v>
      </c>
      <c r="AJ38" s="93">
        <v>2497</v>
      </c>
      <c r="AK38" s="93">
        <v>12312</v>
      </c>
      <c r="AL38" s="93">
        <v>4266</v>
      </c>
      <c r="AM38" s="93">
        <v>8046</v>
      </c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</row>
    <row r="39" spans="1:57" s="18" customFormat="1" ht="21" hidden="1" customHeight="1">
      <c r="A39" s="107" t="s">
        <v>269</v>
      </c>
      <c r="B39" s="108" t="s">
        <v>28</v>
      </c>
      <c r="C39" s="93">
        <v>1</v>
      </c>
      <c r="D39" s="93">
        <v>4</v>
      </c>
      <c r="E39" s="93">
        <v>3</v>
      </c>
      <c r="F39" s="93">
        <v>1</v>
      </c>
      <c r="G39" s="93">
        <v>2</v>
      </c>
      <c r="H39" s="93">
        <v>1</v>
      </c>
      <c r="I39" s="93">
        <v>1</v>
      </c>
      <c r="J39" s="93" t="s">
        <v>261</v>
      </c>
      <c r="K39" s="93" t="s">
        <v>261</v>
      </c>
      <c r="L39" s="93" t="s">
        <v>261</v>
      </c>
      <c r="M39" s="93">
        <v>2</v>
      </c>
      <c r="N39" s="93">
        <v>2</v>
      </c>
      <c r="O39" s="93" t="s">
        <v>261</v>
      </c>
      <c r="P39" s="93">
        <v>699</v>
      </c>
      <c r="Q39" s="93">
        <v>509</v>
      </c>
      <c r="R39" s="93">
        <v>190</v>
      </c>
      <c r="S39" s="93">
        <v>332</v>
      </c>
      <c r="T39" s="93">
        <v>237</v>
      </c>
      <c r="U39" s="93">
        <v>95</v>
      </c>
      <c r="V39" s="93">
        <v>95</v>
      </c>
      <c r="W39" s="93" t="s">
        <v>261</v>
      </c>
      <c r="X39" s="93">
        <v>95</v>
      </c>
      <c r="Y39" s="93">
        <v>272</v>
      </c>
      <c r="Z39" s="93">
        <v>272</v>
      </c>
      <c r="AA39" s="93" t="s">
        <v>261</v>
      </c>
      <c r="AB39" s="93">
        <v>5824</v>
      </c>
      <c r="AC39" s="93">
        <v>4105</v>
      </c>
      <c r="AD39" s="93">
        <v>1719</v>
      </c>
      <c r="AE39" s="93">
        <v>2660</v>
      </c>
      <c r="AF39" s="93">
        <v>1900</v>
      </c>
      <c r="AG39" s="93">
        <v>760</v>
      </c>
      <c r="AH39" s="93">
        <v>959</v>
      </c>
      <c r="AI39" s="93" t="s">
        <v>262</v>
      </c>
      <c r="AJ39" s="93">
        <v>959</v>
      </c>
      <c r="AK39" s="93">
        <v>2205</v>
      </c>
      <c r="AL39" s="93">
        <v>2205</v>
      </c>
      <c r="AM39" s="93" t="s">
        <v>262</v>
      </c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</row>
    <row r="40" spans="1:57" s="18" customFormat="1" ht="21" hidden="1" customHeight="1">
      <c r="A40" s="107" t="s">
        <v>270</v>
      </c>
      <c r="B40" s="108" t="s">
        <v>271</v>
      </c>
      <c r="C40" s="93">
        <v>19</v>
      </c>
      <c r="D40" s="93">
        <v>102</v>
      </c>
      <c r="E40" s="93">
        <v>39</v>
      </c>
      <c r="F40" s="93">
        <v>63</v>
      </c>
      <c r="G40" s="93">
        <v>34</v>
      </c>
      <c r="H40" s="93">
        <v>22</v>
      </c>
      <c r="I40" s="93">
        <v>12</v>
      </c>
      <c r="J40" s="93">
        <v>11</v>
      </c>
      <c r="K40" s="93">
        <v>2</v>
      </c>
      <c r="L40" s="93">
        <v>9</v>
      </c>
      <c r="M40" s="93">
        <v>57</v>
      </c>
      <c r="N40" s="93">
        <v>15</v>
      </c>
      <c r="O40" s="93">
        <v>42</v>
      </c>
      <c r="P40" s="93">
        <v>13052</v>
      </c>
      <c r="Q40" s="93">
        <v>4517</v>
      </c>
      <c r="R40" s="93">
        <v>8535</v>
      </c>
      <c r="S40" s="93">
        <v>4210</v>
      </c>
      <c r="T40" s="93">
        <v>2036</v>
      </c>
      <c r="U40" s="93">
        <v>2174</v>
      </c>
      <c r="V40" s="93">
        <v>1020</v>
      </c>
      <c r="W40" s="93">
        <v>327</v>
      </c>
      <c r="X40" s="93">
        <v>693</v>
      </c>
      <c r="Y40" s="93">
        <v>7822</v>
      </c>
      <c r="Z40" s="93">
        <v>2154</v>
      </c>
      <c r="AA40" s="93">
        <v>5668</v>
      </c>
      <c r="AB40" s="93">
        <v>78149.5</v>
      </c>
      <c r="AC40" s="93">
        <v>25686.5</v>
      </c>
      <c r="AD40" s="93">
        <v>52463</v>
      </c>
      <c r="AE40" s="93">
        <v>20595</v>
      </c>
      <c r="AF40" s="93">
        <v>10507</v>
      </c>
      <c r="AG40" s="93">
        <v>10088</v>
      </c>
      <c r="AH40" s="93">
        <v>7200</v>
      </c>
      <c r="AI40" s="93">
        <v>2552</v>
      </c>
      <c r="AJ40" s="93">
        <v>4648</v>
      </c>
      <c r="AK40" s="93">
        <v>50354.5</v>
      </c>
      <c r="AL40" s="93">
        <v>12627.5</v>
      </c>
      <c r="AM40" s="93">
        <v>37727</v>
      </c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</row>
    <row r="41" spans="1:57" ht="21" hidden="1" customHeight="1">
      <c r="A41" s="109" t="s">
        <v>272</v>
      </c>
      <c r="B41" s="94" t="s">
        <v>7</v>
      </c>
      <c r="C41" s="20">
        <v>1</v>
      </c>
      <c r="D41" s="20">
        <v>1</v>
      </c>
      <c r="E41" s="20">
        <v>1</v>
      </c>
      <c r="F41" s="20" t="s">
        <v>261</v>
      </c>
      <c r="G41" s="20" t="s">
        <v>261</v>
      </c>
      <c r="H41" s="20" t="s">
        <v>261</v>
      </c>
      <c r="I41" s="20" t="s">
        <v>261</v>
      </c>
      <c r="J41" s="20" t="s">
        <v>261</v>
      </c>
      <c r="K41" s="20" t="s">
        <v>261</v>
      </c>
      <c r="L41" s="20" t="s">
        <v>261</v>
      </c>
      <c r="M41" s="20">
        <v>1</v>
      </c>
      <c r="N41" s="20">
        <v>1</v>
      </c>
      <c r="O41" s="20" t="s">
        <v>261</v>
      </c>
      <c r="P41" s="20">
        <v>654</v>
      </c>
      <c r="Q41" s="20">
        <v>654</v>
      </c>
      <c r="R41" s="20" t="s">
        <v>261</v>
      </c>
      <c r="S41" s="20">
        <v>159</v>
      </c>
      <c r="T41" s="20">
        <v>159</v>
      </c>
      <c r="U41" s="20" t="s">
        <v>261</v>
      </c>
      <c r="V41" s="20" t="s">
        <v>261</v>
      </c>
      <c r="W41" s="20" t="s">
        <v>261</v>
      </c>
      <c r="X41" s="20" t="s">
        <v>261</v>
      </c>
      <c r="Y41" s="20">
        <v>495</v>
      </c>
      <c r="Z41" s="20">
        <v>495</v>
      </c>
      <c r="AA41" s="20" t="s">
        <v>261</v>
      </c>
      <c r="AB41" s="20">
        <v>3817</v>
      </c>
      <c r="AC41" s="20">
        <v>3817</v>
      </c>
      <c r="AD41" s="20" t="s">
        <v>262</v>
      </c>
      <c r="AE41" s="20">
        <v>1272</v>
      </c>
      <c r="AF41" s="20">
        <v>1272</v>
      </c>
      <c r="AG41" s="20" t="s">
        <v>262</v>
      </c>
      <c r="AH41" s="20" t="s">
        <v>262</v>
      </c>
      <c r="AI41" s="20" t="s">
        <v>262</v>
      </c>
      <c r="AJ41" s="20" t="s">
        <v>262</v>
      </c>
      <c r="AK41" s="20">
        <v>2545</v>
      </c>
      <c r="AL41" s="20">
        <v>2545</v>
      </c>
      <c r="AM41" s="20" t="s">
        <v>262</v>
      </c>
    </row>
    <row r="42" spans="1:57" ht="21" hidden="1" customHeight="1">
      <c r="A42" s="109" t="s">
        <v>273</v>
      </c>
      <c r="B42" s="94" t="s">
        <v>8</v>
      </c>
      <c r="C42" s="20" t="s">
        <v>261</v>
      </c>
      <c r="D42" s="20" t="s">
        <v>261</v>
      </c>
      <c r="E42" s="20" t="s">
        <v>261</v>
      </c>
      <c r="F42" s="20" t="s">
        <v>261</v>
      </c>
      <c r="G42" s="20" t="s">
        <v>261</v>
      </c>
      <c r="H42" s="20" t="s">
        <v>261</v>
      </c>
      <c r="I42" s="20" t="s">
        <v>261</v>
      </c>
      <c r="J42" s="20" t="s">
        <v>261</v>
      </c>
      <c r="K42" s="20" t="s">
        <v>261</v>
      </c>
      <c r="L42" s="20" t="s">
        <v>261</v>
      </c>
      <c r="M42" s="20" t="s">
        <v>261</v>
      </c>
      <c r="N42" s="20" t="s">
        <v>261</v>
      </c>
      <c r="O42" s="20" t="s">
        <v>261</v>
      </c>
      <c r="P42" s="20" t="s">
        <v>261</v>
      </c>
      <c r="Q42" s="20" t="s">
        <v>261</v>
      </c>
      <c r="R42" s="20" t="s">
        <v>261</v>
      </c>
      <c r="S42" s="20" t="s">
        <v>261</v>
      </c>
      <c r="T42" s="20" t="s">
        <v>261</v>
      </c>
      <c r="U42" s="20" t="s">
        <v>261</v>
      </c>
      <c r="V42" s="20" t="s">
        <v>261</v>
      </c>
      <c r="W42" s="20" t="s">
        <v>261</v>
      </c>
      <c r="X42" s="20" t="s">
        <v>261</v>
      </c>
      <c r="Y42" s="20" t="s">
        <v>261</v>
      </c>
      <c r="Z42" s="20" t="s">
        <v>261</v>
      </c>
      <c r="AA42" s="20" t="s">
        <v>261</v>
      </c>
      <c r="AB42" s="20" t="s">
        <v>262</v>
      </c>
      <c r="AC42" s="20" t="s">
        <v>262</v>
      </c>
      <c r="AD42" s="20" t="s">
        <v>262</v>
      </c>
      <c r="AE42" s="20" t="s">
        <v>262</v>
      </c>
      <c r="AF42" s="20" t="s">
        <v>262</v>
      </c>
      <c r="AG42" s="20" t="s">
        <v>262</v>
      </c>
      <c r="AH42" s="20" t="s">
        <v>262</v>
      </c>
      <c r="AI42" s="20" t="s">
        <v>262</v>
      </c>
      <c r="AJ42" s="20" t="s">
        <v>262</v>
      </c>
      <c r="AK42" s="20" t="s">
        <v>262</v>
      </c>
      <c r="AL42" s="20" t="s">
        <v>262</v>
      </c>
      <c r="AM42" s="20" t="s">
        <v>262</v>
      </c>
    </row>
    <row r="43" spans="1:57" ht="21" hidden="1" customHeight="1">
      <c r="A43" s="109" t="s">
        <v>274</v>
      </c>
      <c r="B43" s="94" t="s">
        <v>9</v>
      </c>
      <c r="C43" s="20" t="s">
        <v>261</v>
      </c>
      <c r="D43" s="20" t="s">
        <v>261</v>
      </c>
      <c r="E43" s="20" t="s">
        <v>261</v>
      </c>
      <c r="F43" s="20" t="s">
        <v>261</v>
      </c>
      <c r="G43" s="20" t="s">
        <v>261</v>
      </c>
      <c r="H43" s="20" t="s">
        <v>261</v>
      </c>
      <c r="I43" s="20" t="s">
        <v>261</v>
      </c>
      <c r="J43" s="20" t="s">
        <v>261</v>
      </c>
      <c r="K43" s="20" t="s">
        <v>261</v>
      </c>
      <c r="L43" s="20" t="s">
        <v>261</v>
      </c>
      <c r="M43" s="20" t="s">
        <v>261</v>
      </c>
      <c r="N43" s="20" t="s">
        <v>261</v>
      </c>
      <c r="O43" s="20" t="s">
        <v>261</v>
      </c>
      <c r="P43" s="20" t="s">
        <v>261</v>
      </c>
      <c r="Q43" s="20" t="s">
        <v>261</v>
      </c>
      <c r="R43" s="20" t="s">
        <v>261</v>
      </c>
      <c r="S43" s="20" t="s">
        <v>261</v>
      </c>
      <c r="T43" s="20" t="s">
        <v>261</v>
      </c>
      <c r="U43" s="20" t="s">
        <v>261</v>
      </c>
      <c r="V43" s="20" t="s">
        <v>261</v>
      </c>
      <c r="W43" s="20" t="s">
        <v>261</v>
      </c>
      <c r="X43" s="20" t="s">
        <v>261</v>
      </c>
      <c r="Y43" s="20" t="s">
        <v>261</v>
      </c>
      <c r="Z43" s="20" t="s">
        <v>261</v>
      </c>
      <c r="AA43" s="20" t="s">
        <v>261</v>
      </c>
      <c r="AB43" s="20" t="s">
        <v>262</v>
      </c>
      <c r="AC43" s="20" t="s">
        <v>262</v>
      </c>
      <c r="AD43" s="20" t="s">
        <v>262</v>
      </c>
      <c r="AE43" s="20" t="s">
        <v>262</v>
      </c>
      <c r="AF43" s="20" t="s">
        <v>262</v>
      </c>
      <c r="AG43" s="20" t="s">
        <v>262</v>
      </c>
      <c r="AH43" s="20" t="s">
        <v>262</v>
      </c>
      <c r="AI43" s="20" t="s">
        <v>262</v>
      </c>
      <c r="AJ43" s="20" t="s">
        <v>262</v>
      </c>
      <c r="AK43" s="20" t="s">
        <v>262</v>
      </c>
      <c r="AL43" s="20" t="s">
        <v>262</v>
      </c>
      <c r="AM43" s="20" t="s">
        <v>262</v>
      </c>
    </row>
    <row r="44" spans="1:57" ht="21" hidden="1" customHeight="1">
      <c r="A44" s="109" t="s">
        <v>275</v>
      </c>
      <c r="B44" s="94" t="s">
        <v>10</v>
      </c>
      <c r="C44" s="20" t="s">
        <v>261</v>
      </c>
      <c r="D44" s="20" t="s">
        <v>261</v>
      </c>
      <c r="E44" s="20" t="s">
        <v>261</v>
      </c>
      <c r="F44" s="20" t="s">
        <v>261</v>
      </c>
      <c r="G44" s="20" t="s">
        <v>261</v>
      </c>
      <c r="H44" s="20" t="s">
        <v>261</v>
      </c>
      <c r="I44" s="20" t="s">
        <v>261</v>
      </c>
      <c r="J44" s="20" t="s">
        <v>261</v>
      </c>
      <c r="K44" s="20" t="s">
        <v>261</v>
      </c>
      <c r="L44" s="20" t="s">
        <v>261</v>
      </c>
      <c r="M44" s="20" t="s">
        <v>261</v>
      </c>
      <c r="N44" s="20" t="s">
        <v>261</v>
      </c>
      <c r="O44" s="20" t="s">
        <v>261</v>
      </c>
      <c r="P44" s="20" t="s">
        <v>261</v>
      </c>
      <c r="Q44" s="20" t="s">
        <v>261</v>
      </c>
      <c r="R44" s="20" t="s">
        <v>261</v>
      </c>
      <c r="S44" s="20" t="s">
        <v>261</v>
      </c>
      <c r="T44" s="20" t="s">
        <v>261</v>
      </c>
      <c r="U44" s="20" t="s">
        <v>261</v>
      </c>
      <c r="V44" s="20" t="s">
        <v>261</v>
      </c>
      <c r="W44" s="20" t="s">
        <v>261</v>
      </c>
      <c r="X44" s="20" t="s">
        <v>261</v>
      </c>
      <c r="Y44" s="20" t="s">
        <v>261</v>
      </c>
      <c r="Z44" s="20" t="s">
        <v>261</v>
      </c>
      <c r="AA44" s="20" t="s">
        <v>261</v>
      </c>
      <c r="AB44" s="20" t="s">
        <v>262</v>
      </c>
      <c r="AC44" s="20" t="s">
        <v>262</v>
      </c>
      <c r="AD44" s="20" t="s">
        <v>262</v>
      </c>
      <c r="AE44" s="20" t="s">
        <v>262</v>
      </c>
      <c r="AF44" s="20" t="s">
        <v>262</v>
      </c>
      <c r="AG44" s="20" t="s">
        <v>262</v>
      </c>
      <c r="AH44" s="20" t="s">
        <v>262</v>
      </c>
      <c r="AI44" s="20" t="s">
        <v>262</v>
      </c>
      <c r="AJ44" s="20" t="s">
        <v>262</v>
      </c>
      <c r="AK44" s="20" t="s">
        <v>262</v>
      </c>
      <c r="AL44" s="20" t="s">
        <v>262</v>
      </c>
      <c r="AM44" s="20" t="s">
        <v>262</v>
      </c>
    </row>
    <row r="45" spans="1:57" ht="21" hidden="1" customHeight="1">
      <c r="A45" s="109" t="s">
        <v>276</v>
      </c>
      <c r="B45" s="94" t="s">
        <v>11</v>
      </c>
      <c r="C45" s="20">
        <v>1</v>
      </c>
      <c r="D45" s="20">
        <v>4</v>
      </c>
      <c r="E45" s="20">
        <v>3</v>
      </c>
      <c r="F45" s="20">
        <v>1</v>
      </c>
      <c r="G45" s="20">
        <v>1</v>
      </c>
      <c r="H45" s="20">
        <v>1</v>
      </c>
      <c r="I45" s="20" t="s">
        <v>261</v>
      </c>
      <c r="J45" s="20" t="s">
        <v>261</v>
      </c>
      <c r="K45" s="20" t="s">
        <v>261</v>
      </c>
      <c r="L45" s="20" t="s">
        <v>261</v>
      </c>
      <c r="M45" s="20">
        <v>3</v>
      </c>
      <c r="N45" s="20">
        <v>2</v>
      </c>
      <c r="O45" s="20">
        <v>1</v>
      </c>
      <c r="P45" s="20">
        <v>869</v>
      </c>
      <c r="Q45" s="20">
        <v>501</v>
      </c>
      <c r="R45" s="20">
        <v>368</v>
      </c>
      <c r="S45" s="20">
        <v>196</v>
      </c>
      <c r="T45" s="20">
        <v>196</v>
      </c>
      <c r="U45" s="20" t="s">
        <v>261</v>
      </c>
      <c r="V45" s="20">
        <v>96</v>
      </c>
      <c r="W45" s="20">
        <v>96</v>
      </c>
      <c r="X45" s="20" t="s">
        <v>261</v>
      </c>
      <c r="Y45" s="20">
        <v>577</v>
      </c>
      <c r="Z45" s="20">
        <v>209</v>
      </c>
      <c r="AA45" s="20">
        <v>368</v>
      </c>
      <c r="AB45" s="20">
        <v>7550</v>
      </c>
      <c r="AC45" s="20">
        <v>4136.5</v>
      </c>
      <c r="AD45" s="20">
        <v>3413.5</v>
      </c>
      <c r="AE45" s="20">
        <v>1186</v>
      </c>
      <c r="AF45" s="20">
        <v>1186</v>
      </c>
      <c r="AG45" s="20" t="s">
        <v>262</v>
      </c>
      <c r="AH45" s="20">
        <v>981</v>
      </c>
      <c r="AI45" s="20">
        <v>981</v>
      </c>
      <c r="AJ45" s="20" t="s">
        <v>262</v>
      </c>
      <c r="AK45" s="20">
        <v>5383</v>
      </c>
      <c r="AL45" s="20">
        <v>1969.5</v>
      </c>
      <c r="AM45" s="20">
        <v>3413.5</v>
      </c>
    </row>
    <row r="46" spans="1:57" ht="21" hidden="1" customHeight="1">
      <c r="A46" s="109" t="s">
        <v>277</v>
      </c>
      <c r="B46" s="94" t="s">
        <v>12</v>
      </c>
      <c r="C46" s="20">
        <v>5</v>
      </c>
      <c r="D46" s="20">
        <v>34</v>
      </c>
      <c r="E46" s="20">
        <v>11</v>
      </c>
      <c r="F46" s="20">
        <v>23</v>
      </c>
      <c r="G46" s="20">
        <v>8</v>
      </c>
      <c r="H46" s="20">
        <v>5</v>
      </c>
      <c r="I46" s="20">
        <v>3</v>
      </c>
      <c r="J46" s="20">
        <v>2</v>
      </c>
      <c r="K46" s="20" t="s">
        <v>261</v>
      </c>
      <c r="L46" s="20">
        <v>2</v>
      </c>
      <c r="M46" s="20">
        <v>24</v>
      </c>
      <c r="N46" s="20">
        <v>6</v>
      </c>
      <c r="O46" s="20">
        <v>18</v>
      </c>
      <c r="P46" s="20">
        <v>5108</v>
      </c>
      <c r="Q46" s="20">
        <v>1234</v>
      </c>
      <c r="R46" s="20">
        <v>3874</v>
      </c>
      <c r="S46" s="20">
        <v>1426</v>
      </c>
      <c r="T46" s="20">
        <v>418</v>
      </c>
      <c r="U46" s="20">
        <v>1008</v>
      </c>
      <c r="V46" s="20">
        <v>360</v>
      </c>
      <c r="W46" s="20">
        <v>45</v>
      </c>
      <c r="X46" s="20">
        <v>315</v>
      </c>
      <c r="Y46" s="20">
        <v>3322</v>
      </c>
      <c r="Z46" s="20">
        <v>771</v>
      </c>
      <c r="AA46" s="20">
        <v>2551</v>
      </c>
      <c r="AB46" s="20">
        <v>22899</v>
      </c>
      <c r="AC46" s="20">
        <v>6293</v>
      </c>
      <c r="AD46" s="20">
        <v>16606</v>
      </c>
      <c r="AE46" s="20">
        <v>3198</v>
      </c>
      <c r="AF46" s="20">
        <v>1830</v>
      </c>
      <c r="AG46" s="20">
        <v>1368</v>
      </c>
      <c r="AH46" s="20">
        <v>1866</v>
      </c>
      <c r="AI46" s="20">
        <v>175</v>
      </c>
      <c r="AJ46" s="20">
        <v>1691</v>
      </c>
      <c r="AK46" s="20">
        <v>17835</v>
      </c>
      <c r="AL46" s="20">
        <v>4288</v>
      </c>
      <c r="AM46" s="20">
        <v>13547</v>
      </c>
    </row>
    <row r="47" spans="1:57" ht="21" hidden="1" customHeight="1">
      <c r="A47" s="109" t="s">
        <v>278</v>
      </c>
      <c r="B47" s="94" t="s">
        <v>13</v>
      </c>
      <c r="C47" s="20">
        <v>2</v>
      </c>
      <c r="D47" s="20">
        <v>13</v>
      </c>
      <c r="E47" s="20">
        <v>3</v>
      </c>
      <c r="F47" s="20">
        <v>10</v>
      </c>
      <c r="G47" s="20">
        <v>4</v>
      </c>
      <c r="H47" s="20">
        <v>1</v>
      </c>
      <c r="I47" s="20">
        <v>3</v>
      </c>
      <c r="J47" s="20">
        <v>2</v>
      </c>
      <c r="K47" s="20" t="s">
        <v>261</v>
      </c>
      <c r="L47" s="20">
        <v>2</v>
      </c>
      <c r="M47" s="20">
        <v>7</v>
      </c>
      <c r="N47" s="20">
        <v>2</v>
      </c>
      <c r="O47" s="20">
        <v>5</v>
      </c>
      <c r="P47" s="20">
        <v>2666</v>
      </c>
      <c r="Q47" s="20">
        <v>454</v>
      </c>
      <c r="R47" s="20">
        <v>2212</v>
      </c>
      <c r="S47" s="20">
        <v>856</v>
      </c>
      <c r="T47" s="20">
        <v>112</v>
      </c>
      <c r="U47" s="20">
        <v>744</v>
      </c>
      <c r="V47" s="20">
        <v>429</v>
      </c>
      <c r="W47" s="20">
        <v>136</v>
      </c>
      <c r="X47" s="20">
        <v>293</v>
      </c>
      <c r="Y47" s="20">
        <v>1381</v>
      </c>
      <c r="Z47" s="20">
        <v>206</v>
      </c>
      <c r="AA47" s="20">
        <v>1175</v>
      </c>
      <c r="AB47" s="20">
        <v>21836</v>
      </c>
      <c r="AC47" s="20">
        <v>3793</v>
      </c>
      <c r="AD47" s="20">
        <v>18043</v>
      </c>
      <c r="AE47" s="20">
        <v>6848</v>
      </c>
      <c r="AF47" s="20">
        <v>896</v>
      </c>
      <c r="AG47" s="20">
        <v>5952</v>
      </c>
      <c r="AH47" s="20">
        <v>3639</v>
      </c>
      <c r="AI47" s="20">
        <v>1162</v>
      </c>
      <c r="AJ47" s="20">
        <v>2477</v>
      </c>
      <c r="AK47" s="20">
        <v>11349</v>
      </c>
      <c r="AL47" s="20">
        <v>1735</v>
      </c>
      <c r="AM47" s="20">
        <v>9614</v>
      </c>
    </row>
    <row r="48" spans="1:57" ht="21" hidden="1" customHeight="1">
      <c r="A48" s="109" t="s">
        <v>279</v>
      </c>
      <c r="B48" s="94" t="s">
        <v>14</v>
      </c>
      <c r="C48" s="20" t="s">
        <v>261</v>
      </c>
      <c r="D48" s="20" t="s">
        <v>261</v>
      </c>
      <c r="E48" s="20" t="s">
        <v>261</v>
      </c>
      <c r="F48" s="20" t="s">
        <v>261</v>
      </c>
      <c r="G48" s="20" t="s">
        <v>261</v>
      </c>
      <c r="H48" s="20" t="s">
        <v>261</v>
      </c>
      <c r="I48" s="20" t="s">
        <v>261</v>
      </c>
      <c r="J48" s="20" t="s">
        <v>261</v>
      </c>
      <c r="K48" s="20" t="s">
        <v>261</v>
      </c>
      <c r="L48" s="20" t="s">
        <v>261</v>
      </c>
      <c r="M48" s="20" t="s">
        <v>261</v>
      </c>
      <c r="N48" s="20" t="s">
        <v>261</v>
      </c>
      <c r="O48" s="20" t="s">
        <v>261</v>
      </c>
      <c r="P48" s="20" t="s">
        <v>261</v>
      </c>
      <c r="Q48" s="20" t="s">
        <v>261</v>
      </c>
      <c r="R48" s="20" t="s">
        <v>261</v>
      </c>
      <c r="S48" s="20" t="s">
        <v>261</v>
      </c>
      <c r="T48" s="20" t="s">
        <v>261</v>
      </c>
      <c r="U48" s="20" t="s">
        <v>261</v>
      </c>
      <c r="V48" s="20" t="s">
        <v>261</v>
      </c>
      <c r="W48" s="20" t="s">
        <v>261</v>
      </c>
      <c r="X48" s="20" t="s">
        <v>261</v>
      </c>
      <c r="Y48" s="20" t="s">
        <v>261</v>
      </c>
      <c r="Z48" s="20" t="s">
        <v>261</v>
      </c>
      <c r="AA48" s="20" t="s">
        <v>261</v>
      </c>
      <c r="AB48" s="20" t="s">
        <v>262</v>
      </c>
      <c r="AC48" s="20" t="s">
        <v>262</v>
      </c>
      <c r="AD48" s="20" t="s">
        <v>262</v>
      </c>
      <c r="AE48" s="20" t="s">
        <v>262</v>
      </c>
      <c r="AF48" s="20" t="s">
        <v>262</v>
      </c>
      <c r="AG48" s="20" t="s">
        <v>262</v>
      </c>
      <c r="AH48" s="20" t="s">
        <v>262</v>
      </c>
      <c r="AI48" s="20" t="s">
        <v>262</v>
      </c>
      <c r="AJ48" s="20" t="s">
        <v>262</v>
      </c>
      <c r="AK48" s="20" t="s">
        <v>262</v>
      </c>
      <c r="AL48" s="20" t="s">
        <v>262</v>
      </c>
      <c r="AM48" s="20" t="s">
        <v>262</v>
      </c>
    </row>
    <row r="49" spans="1:57" ht="21" hidden="1" customHeight="1">
      <c r="A49" s="109" t="s">
        <v>280</v>
      </c>
      <c r="B49" s="94" t="s">
        <v>15</v>
      </c>
      <c r="C49" s="20" t="s">
        <v>261</v>
      </c>
      <c r="D49" s="20">
        <v>27</v>
      </c>
      <c r="E49" s="20">
        <v>10</v>
      </c>
      <c r="F49" s="20">
        <v>17</v>
      </c>
      <c r="G49" s="20">
        <v>14</v>
      </c>
      <c r="H49" s="20">
        <v>9</v>
      </c>
      <c r="I49" s="20">
        <v>5</v>
      </c>
      <c r="J49" s="20">
        <v>5</v>
      </c>
      <c r="K49" s="20">
        <v>1</v>
      </c>
      <c r="L49" s="20">
        <v>4</v>
      </c>
      <c r="M49" s="20">
        <v>8</v>
      </c>
      <c r="N49" s="20" t="s">
        <v>261</v>
      </c>
      <c r="O49" s="20">
        <v>8</v>
      </c>
      <c r="P49" s="20">
        <v>825</v>
      </c>
      <c r="Q49" s="20">
        <v>393</v>
      </c>
      <c r="R49" s="20">
        <v>432</v>
      </c>
      <c r="S49" s="20">
        <v>552</v>
      </c>
      <c r="T49" s="20">
        <v>350</v>
      </c>
      <c r="U49" s="20">
        <v>202</v>
      </c>
      <c r="V49" s="20">
        <v>98</v>
      </c>
      <c r="W49" s="20">
        <v>18</v>
      </c>
      <c r="X49" s="20">
        <v>80</v>
      </c>
      <c r="Y49" s="20">
        <v>175</v>
      </c>
      <c r="Z49" s="20">
        <v>25</v>
      </c>
      <c r="AA49" s="20">
        <v>150</v>
      </c>
      <c r="AB49" s="20">
        <v>4971</v>
      </c>
      <c r="AC49" s="20">
        <v>2403</v>
      </c>
      <c r="AD49" s="20">
        <v>2568</v>
      </c>
      <c r="AE49" s="20">
        <v>3530</v>
      </c>
      <c r="AF49" s="20">
        <v>2105</v>
      </c>
      <c r="AG49" s="20">
        <v>1425</v>
      </c>
      <c r="AH49" s="20">
        <v>554</v>
      </c>
      <c r="AI49" s="20">
        <v>114</v>
      </c>
      <c r="AJ49" s="20">
        <v>440</v>
      </c>
      <c r="AK49" s="20">
        <v>887</v>
      </c>
      <c r="AL49" s="20">
        <v>184</v>
      </c>
      <c r="AM49" s="20">
        <v>703</v>
      </c>
    </row>
    <row r="50" spans="1:57" ht="21" hidden="1" customHeight="1">
      <c r="A50" s="109" t="s">
        <v>281</v>
      </c>
      <c r="B50" s="94" t="s">
        <v>16</v>
      </c>
      <c r="C50" s="20">
        <v>5</v>
      </c>
      <c r="D50" s="20">
        <v>9</v>
      </c>
      <c r="E50" s="20">
        <v>8</v>
      </c>
      <c r="F50" s="20">
        <v>1</v>
      </c>
      <c r="G50" s="20">
        <v>5</v>
      </c>
      <c r="H50" s="20">
        <v>5</v>
      </c>
      <c r="I50" s="20" t="s">
        <v>261</v>
      </c>
      <c r="J50" s="20" t="s">
        <v>261</v>
      </c>
      <c r="K50" s="20" t="s">
        <v>261</v>
      </c>
      <c r="L50" s="20" t="s">
        <v>261</v>
      </c>
      <c r="M50" s="20">
        <v>4</v>
      </c>
      <c r="N50" s="20">
        <v>3</v>
      </c>
      <c r="O50" s="20">
        <v>1</v>
      </c>
      <c r="P50" s="20">
        <v>1713</v>
      </c>
      <c r="Q50" s="20">
        <v>1152</v>
      </c>
      <c r="R50" s="20">
        <v>561</v>
      </c>
      <c r="S50" s="20">
        <v>948</v>
      </c>
      <c r="T50" s="20">
        <v>786</v>
      </c>
      <c r="U50" s="20">
        <v>162</v>
      </c>
      <c r="V50" s="20" t="s">
        <v>261</v>
      </c>
      <c r="W50" s="20" t="s">
        <v>261</v>
      </c>
      <c r="X50" s="20" t="s">
        <v>261</v>
      </c>
      <c r="Y50" s="20">
        <v>765</v>
      </c>
      <c r="Z50" s="20">
        <v>366</v>
      </c>
      <c r="AA50" s="20">
        <v>399</v>
      </c>
      <c r="AB50" s="20">
        <v>7347</v>
      </c>
      <c r="AC50" s="20">
        <v>4420</v>
      </c>
      <c r="AD50" s="20">
        <v>2927</v>
      </c>
      <c r="AE50" s="20">
        <v>4049</v>
      </c>
      <c r="AF50" s="20">
        <v>3170</v>
      </c>
      <c r="AG50" s="20">
        <v>879</v>
      </c>
      <c r="AH50" s="20" t="s">
        <v>262</v>
      </c>
      <c r="AI50" s="20" t="s">
        <v>262</v>
      </c>
      <c r="AJ50" s="20" t="s">
        <v>262</v>
      </c>
      <c r="AK50" s="20">
        <v>3298</v>
      </c>
      <c r="AL50" s="20">
        <v>1250</v>
      </c>
      <c r="AM50" s="20">
        <v>2048</v>
      </c>
    </row>
    <row r="51" spans="1:57" ht="21" hidden="1" customHeight="1">
      <c r="A51" s="109" t="s">
        <v>282</v>
      </c>
      <c r="B51" s="94" t="s">
        <v>17</v>
      </c>
      <c r="C51" s="20">
        <v>2</v>
      </c>
      <c r="D51" s="20">
        <v>11</v>
      </c>
      <c r="E51" s="20">
        <v>1</v>
      </c>
      <c r="F51" s="20">
        <v>10</v>
      </c>
      <c r="G51" s="20">
        <v>1</v>
      </c>
      <c r="H51" s="20" t="s">
        <v>261</v>
      </c>
      <c r="I51" s="20">
        <v>1</v>
      </c>
      <c r="J51" s="20" t="s">
        <v>261</v>
      </c>
      <c r="K51" s="20" t="s">
        <v>261</v>
      </c>
      <c r="L51" s="20" t="s">
        <v>261</v>
      </c>
      <c r="M51" s="20">
        <v>10</v>
      </c>
      <c r="N51" s="20">
        <v>1</v>
      </c>
      <c r="O51" s="20">
        <v>9</v>
      </c>
      <c r="P51" s="20">
        <v>1038</v>
      </c>
      <c r="Q51" s="20">
        <v>82</v>
      </c>
      <c r="R51" s="20">
        <v>956</v>
      </c>
      <c r="S51" s="20">
        <v>58</v>
      </c>
      <c r="T51" s="20" t="s">
        <v>261</v>
      </c>
      <c r="U51" s="20">
        <v>58</v>
      </c>
      <c r="V51" s="20" t="s">
        <v>261</v>
      </c>
      <c r="W51" s="20" t="s">
        <v>261</v>
      </c>
      <c r="X51" s="20" t="s">
        <v>261</v>
      </c>
      <c r="Y51" s="20">
        <v>980</v>
      </c>
      <c r="Z51" s="20">
        <v>82</v>
      </c>
      <c r="AA51" s="20">
        <v>898</v>
      </c>
      <c r="AB51" s="20">
        <v>8435</v>
      </c>
      <c r="AC51" s="20">
        <v>656</v>
      </c>
      <c r="AD51" s="20">
        <v>7779</v>
      </c>
      <c r="AE51" s="20">
        <v>464</v>
      </c>
      <c r="AF51" s="20" t="s">
        <v>262</v>
      </c>
      <c r="AG51" s="20">
        <v>464</v>
      </c>
      <c r="AH51" s="20" t="s">
        <v>262</v>
      </c>
      <c r="AI51" s="20" t="s">
        <v>262</v>
      </c>
      <c r="AJ51" s="20" t="s">
        <v>262</v>
      </c>
      <c r="AK51" s="20">
        <v>7971</v>
      </c>
      <c r="AL51" s="20">
        <v>656</v>
      </c>
      <c r="AM51" s="20">
        <v>7315</v>
      </c>
    </row>
    <row r="52" spans="1:57" ht="21" hidden="1" customHeight="1">
      <c r="A52" s="109" t="s">
        <v>283</v>
      </c>
      <c r="B52" s="94" t="s">
        <v>18</v>
      </c>
      <c r="C52" s="20">
        <v>1</v>
      </c>
      <c r="D52" s="20">
        <v>2</v>
      </c>
      <c r="E52" s="20">
        <v>2</v>
      </c>
      <c r="F52" s="20" t="s">
        <v>261</v>
      </c>
      <c r="G52" s="20">
        <v>1</v>
      </c>
      <c r="H52" s="20">
        <v>1</v>
      </c>
      <c r="I52" s="20" t="s">
        <v>261</v>
      </c>
      <c r="J52" s="20">
        <v>1</v>
      </c>
      <c r="K52" s="20">
        <v>1</v>
      </c>
      <c r="L52" s="20" t="s">
        <v>261</v>
      </c>
      <c r="M52" s="20" t="s">
        <v>261</v>
      </c>
      <c r="N52" s="20" t="s">
        <v>261</v>
      </c>
      <c r="O52" s="20" t="s">
        <v>261</v>
      </c>
      <c r="P52" s="20">
        <v>74</v>
      </c>
      <c r="Q52" s="20">
        <v>47</v>
      </c>
      <c r="R52" s="20">
        <v>27</v>
      </c>
      <c r="S52" s="20">
        <v>15</v>
      </c>
      <c r="T52" s="20">
        <v>15</v>
      </c>
      <c r="U52" s="20" t="s">
        <v>261</v>
      </c>
      <c r="V52" s="20">
        <v>32</v>
      </c>
      <c r="W52" s="20">
        <v>32</v>
      </c>
      <c r="X52" s="20" t="s">
        <v>261</v>
      </c>
      <c r="Y52" s="20">
        <v>27</v>
      </c>
      <c r="Z52" s="20" t="s">
        <v>261</v>
      </c>
      <c r="AA52" s="20">
        <v>27</v>
      </c>
      <c r="AB52" s="20">
        <v>503</v>
      </c>
      <c r="AC52" s="20">
        <v>168</v>
      </c>
      <c r="AD52" s="20">
        <v>335</v>
      </c>
      <c r="AE52" s="20">
        <v>48</v>
      </c>
      <c r="AF52" s="20">
        <v>48</v>
      </c>
      <c r="AG52" s="20" t="s">
        <v>262</v>
      </c>
      <c r="AH52" s="20">
        <v>120</v>
      </c>
      <c r="AI52" s="20">
        <v>120</v>
      </c>
      <c r="AJ52" s="20" t="s">
        <v>262</v>
      </c>
      <c r="AK52" s="20">
        <v>335</v>
      </c>
      <c r="AL52" s="20" t="s">
        <v>262</v>
      </c>
      <c r="AM52" s="20">
        <v>335</v>
      </c>
    </row>
    <row r="53" spans="1:57" ht="21" hidden="1" customHeight="1">
      <c r="A53" s="109" t="s">
        <v>284</v>
      </c>
      <c r="B53" s="94" t="s">
        <v>19</v>
      </c>
      <c r="C53" s="20" t="s">
        <v>261</v>
      </c>
      <c r="D53" s="20" t="s">
        <v>261</v>
      </c>
      <c r="E53" s="20" t="s">
        <v>261</v>
      </c>
      <c r="F53" s="20" t="s">
        <v>261</v>
      </c>
      <c r="G53" s="20" t="s">
        <v>261</v>
      </c>
      <c r="H53" s="20" t="s">
        <v>261</v>
      </c>
      <c r="I53" s="20" t="s">
        <v>261</v>
      </c>
      <c r="J53" s="20" t="s">
        <v>261</v>
      </c>
      <c r="K53" s="20" t="s">
        <v>261</v>
      </c>
      <c r="L53" s="20" t="s">
        <v>261</v>
      </c>
      <c r="M53" s="20" t="s">
        <v>261</v>
      </c>
      <c r="N53" s="20" t="s">
        <v>261</v>
      </c>
      <c r="O53" s="20" t="s">
        <v>261</v>
      </c>
      <c r="P53" s="20" t="s">
        <v>261</v>
      </c>
      <c r="Q53" s="20" t="s">
        <v>261</v>
      </c>
      <c r="R53" s="20" t="s">
        <v>261</v>
      </c>
      <c r="S53" s="20" t="s">
        <v>261</v>
      </c>
      <c r="T53" s="20" t="s">
        <v>261</v>
      </c>
      <c r="U53" s="20" t="s">
        <v>261</v>
      </c>
      <c r="V53" s="20" t="s">
        <v>261</v>
      </c>
      <c r="W53" s="20" t="s">
        <v>261</v>
      </c>
      <c r="X53" s="20" t="s">
        <v>261</v>
      </c>
      <c r="Y53" s="20" t="s">
        <v>261</v>
      </c>
      <c r="Z53" s="20" t="s">
        <v>261</v>
      </c>
      <c r="AA53" s="20" t="s">
        <v>261</v>
      </c>
      <c r="AB53" s="20" t="s">
        <v>262</v>
      </c>
      <c r="AC53" s="20" t="s">
        <v>262</v>
      </c>
      <c r="AD53" s="20" t="s">
        <v>262</v>
      </c>
      <c r="AE53" s="20" t="s">
        <v>262</v>
      </c>
      <c r="AF53" s="20" t="s">
        <v>262</v>
      </c>
      <c r="AG53" s="20" t="s">
        <v>262</v>
      </c>
      <c r="AH53" s="20" t="s">
        <v>262</v>
      </c>
      <c r="AI53" s="20" t="s">
        <v>262</v>
      </c>
      <c r="AJ53" s="20" t="s">
        <v>262</v>
      </c>
      <c r="AK53" s="20" t="s">
        <v>262</v>
      </c>
      <c r="AL53" s="20" t="s">
        <v>262</v>
      </c>
      <c r="AM53" s="20" t="s">
        <v>262</v>
      </c>
    </row>
    <row r="54" spans="1:57" ht="21" hidden="1" customHeight="1">
      <c r="A54" s="109" t="s">
        <v>285</v>
      </c>
      <c r="B54" s="94" t="s">
        <v>20</v>
      </c>
      <c r="C54" s="20">
        <v>1</v>
      </c>
      <c r="D54" s="20">
        <v>1</v>
      </c>
      <c r="E54" s="20" t="s">
        <v>261</v>
      </c>
      <c r="F54" s="20">
        <v>1</v>
      </c>
      <c r="G54" s="20" t="s">
        <v>261</v>
      </c>
      <c r="H54" s="20" t="s">
        <v>261</v>
      </c>
      <c r="I54" s="20" t="s">
        <v>261</v>
      </c>
      <c r="J54" s="20">
        <v>1</v>
      </c>
      <c r="K54" s="20" t="s">
        <v>261</v>
      </c>
      <c r="L54" s="20">
        <v>1</v>
      </c>
      <c r="M54" s="20" t="s">
        <v>261</v>
      </c>
      <c r="N54" s="20" t="s">
        <v>261</v>
      </c>
      <c r="O54" s="20" t="s">
        <v>261</v>
      </c>
      <c r="P54" s="20">
        <v>5</v>
      </c>
      <c r="Q54" s="20" t="s">
        <v>261</v>
      </c>
      <c r="R54" s="20">
        <v>5</v>
      </c>
      <c r="S54" s="20" t="s">
        <v>261</v>
      </c>
      <c r="T54" s="20" t="s">
        <v>261</v>
      </c>
      <c r="U54" s="20" t="s">
        <v>261</v>
      </c>
      <c r="V54" s="20">
        <v>5</v>
      </c>
      <c r="W54" s="20" t="s">
        <v>261</v>
      </c>
      <c r="X54" s="20">
        <v>5</v>
      </c>
      <c r="Y54" s="20" t="s">
        <v>261</v>
      </c>
      <c r="Z54" s="20" t="s">
        <v>261</v>
      </c>
      <c r="AA54" s="20" t="s">
        <v>261</v>
      </c>
      <c r="AB54" s="20">
        <v>40</v>
      </c>
      <c r="AC54" s="20" t="s">
        <v>262</v>
      </c>
      <c r="AD54" s="20">
        <v>40</v>
      </c>
      <c r="AE54" s="20" t="s">
        <v>262</v>
      </c>
      <c r="AF54" s="20" t="s">
        <v>262</v>
      </c>
      <c r="AG54" s="20" t="s">
        <v>262</v>
      </c>
      <c r="AH54" s="20">
        <v>40</v>
      </c>
      <c r="AI54" s="20" t="s">
        <v>262</v>
      </c>
      <c r="AJ54" s="20">
        <v>40</v>
      </c>
      <c r="AK54" s="20" t="s">
        <v>262</v>
      </c>
      <c r="AL54" s="20" t="s">
        <v>262</v>
      </c>
      <c r="AM54" s="20" t="s">
        <v>262</v>
      </c>
    </row>
    <row r="55" spans="1:57" ht="21" hidden="1" customHeight="1">
      <c r="A55" s="109" t="s">
        <v>286</v>
      </c>
      <c r="B55" s="94" t="s">
        <v>21</v>
      </c>
      <c r="C55" s="20">
        <v>1</v>
      </c>
      <c r="D55" s="20" t="s">
        <v>261</v>
      </c>
      <c r="E55" s="20" t="s">
        <v>261</v>
      </c>
      <c r="F55" s="20" t="s">
        <v>261</v>
      </c>
      <c r="G55" s="20" t="s">
        <v>261</v>
      </c>
      <c r="H55" s="20" t="s">
        <v>261</v>
      </c>
      <c r="I55" s="20" t="s">
        <v>261</v>
      </c>
      <c r="J55" s="20" t="s">
        <v>261</v>
      </c>
      <c r="K55" s="20" t="s">
        <v>261</v>
      </c>
      <c r="L55" s="20" t="s">
        <v>261</v>
      </c>
      <c r="M55" s="20" t="s">
        <v>261</v>
      </c>
      <c r="N55" s="20" t="s">
        <v>261</v>
      </c>
      <c r="O55" s="20" t="s">
        <v>261</v>
      </c>
      <c r="P55" s="20">
        <v>100</v>
      </c>
      <c r="Q55" s="20" t="s">
        <v>261</v>
      </c>
      <c r="R55" s="20">
        <v>100</v>
      </c>
      <c r="S55" s="20" t="s">
        <v>261</v>
      </c>
      <c r="T55" s="20" t="s">
        <v>261</v>
      </c>
      <c r="U55" s="20" t="s">
        <v>261</v>
      </c>
      <c r="V55" s="20" t="s">
        <v>261</v>
      </c>
      <c r="W55" s="20" t="s">
        <v>261</v>
      </c>
      <c r="X55" s="20" t="s">
        <v>261</v>
      </c>
      <c r="Y55" s="20">
        <v>100</v>
      </c>
      <c r="Z55" s="20" t="s">
        <v>261</v>
      </c>
      <c r="AA55" s="20">
        <v>100</v>
      </c>
      <c r="AB55" s="20">
        <v>751.5</v>
      </c>
      <c r="AC55" s="20" t="s">
        <v>262</v>
      </c>
      <c r="AD55" s="20">
        <v>751.5</v>
      </c>
      <c r="AE55" s="20" t="s">
        <v>262</v>
      </c>
      <c r="AF55" s="20" t="s">
        <v>262</v>
      </c>
      <c r="AG55" s="20" t="s">
        <v>262</v>
      </c>
      <c r="AH55" s="20" t="s">
        <v>262</v>
      </c>
      <c r="AI55" s="20" t="s">
        <v>262</v>
      </c>
      <c r="AJ55" s="20" t="s">
        <v>262</v>
      </c>
      <c r="AK55" s="20">
        <v>751.5</v>
      </c>
      <c r="AL55" s="20" t="s">
        <v>262</v>
      </c>
      <c r="AM55" s="20">
        <v>751.5</v>
      </c>
    </row>
    <row r="56" spans="1:57" ht="21" hidden="1" customHeight="1">
      <c r="A56" s="109" t="s">
        <v>287</v>
      </c>
      <c r="B56" s="108" t="s">
        <v>288</v>
      </c>
      <c r="C56" s="93" t="s">
        <v>261</v>
      </c>
      <c r="D56" s="93" t="s">
        <v>261</v>
      </c>
      <c r="E56" s="93" t="s">
        <v>261</v>
      </c>
      <c r="F56" s="93" t="s">
        <v>261</v>
      </c>
      <c r="G56" s="93" t="s">
        <v>261</v>
      </c>
      <c r="H56" s="93" t="s">
        <v>261</v>
      </c>
      <c r="I56" s="93" t="s">
        <v>261</v>
      </c>
      <c r="J56" s="93" t="s">
        <v>261</v>
      </c>
      <c r="K56" s="93" t="s">
        <v>261</v>
      </c>
      <c r="L56" s="93" t="s">
        <v>261</v>
      </c>
      <c r="M56" s="93" t="s">
        <v>261</v>
      </c>
      <c r="N56" s="93" t="s">
        <v>261</v>
      </c>
      <c r="O56" s="93" t="s">
        <v>261</v>
      </c>
      <c r="P56" s="93" t="s">
        <v>261</v>
      </c>
      <c r="Q56" s="93" t="s">
        <v>261</v>
      </c>
      <c r="R56" s="93" t="s">
        <v>261</v>
      </c>
      <c r="S56" s="93" t="s">
        <v>261</v>
      </c>
      <c r="T56" s="93" t="s">
        <v>261</v>
      </c>
      <c r="U56" s="93" t="s">
        <v>261</v>
      </c>
      <c r="V56" s="93" t="s">
        <v>261</v>
      </c>
      <c r="W56" s="93" t="s">
        <v>261</v>
      </c>
      <c r="X56" s="93" t="s">
        <v>261</v>
      </c>
      <c r="Y56" s="93" t="s">
        <v>261</v>
      </c>
      <c r="Z56" s="93" t="s">
        <v>261</v>
      </c>
      <c r="AA56" s="93" t="s">
        <v>261</v>
      </c>
      <c r="AB56" s="93" t="s">
        <v>262</v>
      </c>
      <c r="AC56" s="93" t="s">
        <v>262</v>
      </c>
      <c r="AD56" s="93" t="s">
        <v>262</v>
      </c>
      <c r="AE56" s="93" t="s">
        <v>262</v>
      </c>
      <c r="AF56" s="93" t="s">
        <v>262</v>
      </c>
      <c r="AG56" s="93" t="s">
        <v>262</v>
      </c>
      <c r="AH56" s="93" t="s">
        <v>262</v>
      </c>
      <c r="AI56" s="93" t="s">
        <v>262</v>
      </c>
      <c r="AJ56" s="93" t="s">
        <v>262</v>
      </c>
      <c r="AK56" s="93" t="s">
        <v>262</v>
      </c>
      <c r="AL56" s="93" t="s">
        <v>262</v>
      </c>
      <c r="AM56" s="93" t="s">
        <v>262</v>
      </c>
    </row>
    <row r="57" spans="1:57" ht="21" hidden="1" customHeight="1">
      <c r="A57" s="109" t="s">
        <v>289</v>
      </c>
      <c r="B57" s="94" t="s">
        <v>22</v>
      </c>
      <c r="C57" s="20" t="s">
        <v>261</v>
      </c>
      <c r="D57" s="20" t="s">
        <v>261</v>
      </c>
      <c r="E57" s="20" t="s">
        <v>261</v>
      </c>
      <c r="F57" s="20" t="s">
        <v>261</v>
      </c>
      <c r="G57" s="20" t="s">
        <v>261</v>
      </c>
      <c r="H57" s="20" t="s">
        <v>261</v>
      </c>
      <c r="I57" s="20" t="s">
        <v>261</v>
      </c>
      <c r="J57" s="20" t="s">
        <v>261</v>
      </c>
      <c r="K57" s="20" t="s">
        <v>261</v>
      </c>
      <c r="L57" s="20" t="s">
        <v>261</v>
      </c>
      <c r="M57" s="20" t="s">
        <v>261</v>
      </c>
      <c r="N57" s="20" t="s">
        <v>261</v>
      </c>
      <c r="O57" s="20" t="s">
        <v>261</v>
      </c>
      <c r="P57" s="20" t="s">
        <v>261</v>
      </c>
      <c r="Q57" s="20" t="s">
        <v>261</v>
      </c>
      <c r="R57" s="20" t="s">
        <v>261</v>
      </c>
      <c r="S57" s="20" t="s">
        <v>261</v>
      </c>
      <c r="T57" s="20" t="s">
        <v>261</v>
      </c>
      <c r="U57" s="20" t="s">
        <v>261</v>
      </c>
      <c r="V57" s="20" t="s">
        <v>261</v>
      </c>
      <c r="W57" s="20" t="s">
        <v>261</v>
      </c>
      <c r="X57" s="20" t="s">
        <v>261</v>
      </c>
      <c r="Y57" s="20" t="s">
        <v>261</v>
      </c>
      <c r="Z57" s="20" t="s">
        <v>261</v>
      </c>
      <c r="AA57" s="20" t="s">
        <v>261</v>
      </c>
      <c r="AB57" s="20" t="s">
        <v>262</v>
      </c>
      <c r="AC57" s="20" t="s">
        <v>262</v>
      </c>
      <c r="AD57" s="20" t="s">
        <v>262</v>
      </c>
      <c r="AE57" s="20" t="s">
        <v>262</v>
      </c>
      <c r="AF57" s="20" t="s">
        <v>262</v>
      </c>
      <c r="AG57" s="20" t="s">
        <v>262</v>
      </c>
      <c r="AH57" s="20" t="s">
        <v>262</v>
      </c>
      <c r="AI57" s="20" t="s">
        <v>262</v>
      </c>
      <c r="AJ57" s="20" t="s">
        <v>262</v>
      </c>
      <c r="AK57" s="20" t="s">
        <v>262</v>
      </c>
      <c r="AL57" s="20" t="s">
        <v>262</v>
      </c>
      <c r="AM57" s="20" t="s">
        <v>262</v>
      </c>
    </row>
    <row r="58" spans="1:57" ht="21" hidden="1" customHeight="1">
      <c r="A58" s="110" t="s">
        <v>290</v>
      </c>
      <c r="B58" s="95" t="s">
        <v>23</v>
      </c>
      <c r="C58" s="22" t="s">
        <v>261</v>
      </c>
      <c r="D58" s="22" t="s">
        <v>261</v>
      </c>
      <c r="E58" s="22" t="s">
        <v>261</v>
      </c>
      <c r="F58" s="22" t="s">
        <v>261</v>
      </c>
      <c r="G58" s="22" t="s">
        <v>261</v>
      </c>
      <c r="H58" s="22" t="s">
        <v>261</v>
      </c>
      <c r="I58" s="22" t="s">
        <v>261</v>
      </c>
      <c r="J58" s="22" t="s">
        <v>261</v>
      </c>
      <c r="K58" s="22" t="s">
        <v>261</v>
      </c>
      <c r="L58" s="22" t="s">
        <v>261</v>
      </c>
      <c r="M58" s="22" t="s">
        <v>261</v>
      </c>
      <c r="N58" s="22" t="s">
        <v>261</v>
      </c>
      <c r="O58" s="22" t="s">
        <v>261</v>
      </c>
      <c r="P58" s="22" t="s">
        <v>261</v>
      </c>
      <c r="Q58" s="22" t="s">
        <v>261</v>
      </c>
      <c r="R58" s="22" t="s">
        <v>261</v>
      </c>
      <c r="S58" s="22" t="s">
        <v>261</v>
      </c>
      <c r="T58" s="22" t="s">
        <v>261</v>
      </c>
      <c r="U58" s="22" t="s">
        <v>261</v>
      </c>
      <c r="V58" s="22" t="s">
        <v>261</v>
      </c>
      <c r="W58" s="22" t="s">
        <v>261</v>
      </c>
      <c r="X58" s="22" t="s">
        <v>261</v>
      </c>
      <c r="Y58" s="22" t="s">
        <v>261</v>
      </c>
      <c r="Z58" s="22" t="s">
        <v>261</v>
      </c>
      <c r="AA58" s="22" t="s">
        <v>261</v>
      </c>
      <c r="AB58" s="22" t="s">
        <v>262</v>
      </c>
      <c r="AC58" s="22" t="s">
        <v>262</v>
      </c>
      <c r="AD58" s="22" t="s">
        <v>262</v>
      </c>
      <c r="AE58" s="22" t="s">
        <v>262</v>
      </c>
      <c r="AF58" s="22" t="s">
        <v>262</v>
      </c>
      <c r="AG58" s="22" t="s">
        <v>262</v>
      </c>
      <c r="AH58" s="22" t="s">
        <v>262</v>
      </c>
      <c r="AI58" s="22" t="s">
        <v>262</v>
      </c>
      <c r="AJ58" s="22" t="s">
        <v>262</v>
      </c>
      <c r="AK58" s="22" t="s">
        <v>262</v>
      </c>
      <c r="AL58" s="22" t="s">
        <v>262</v>
      </c>
      <c r="AM58" s="22" t="s">
        <v>262</v>
      </c>
    </row>
    <row r="59" spans="1:57" hidden="1"/>
    <row r="60" spans="1:57" s="13" customFormat="1" ht="21.75" hidden="1" customHeight="1">
      <c r="A60" s="106" t="s">
        <v>264</v>
      </c>
      <c r="B60" s="36" t="s">
        <v>39</v>
      </c>
      <c r="C60" s="90" t="str">
        <f t="shared" ref="C60:AM65" si="0">IF(C34=C7,"","*")</f>
        <v>*</v>
      </c>
      <c r="D60" s="90" t="str">
        <f t="shared" si="0"/>
        <v/>
      </c>
      <c r="E60" s="90" t="str">
        <f t="shared" si="0"/>
        <v/>
      </c>
      <c r="F60" s="90" t="str">
        <f t="shared" si="0"/>
        <v/>
      </c>
      <c r="G60" s="90" t="str">
        <f t="shared" si="0"/>
        <v/>
      </c>
      <c r="H60" s="90" t="str">
        <f t="shared" si="0"/>
        <v/>
      </c>
      <c r="I60" s="90" t="str">
        <f t="shared" si="0"/>
        <v/>
      </c>
      <c r="J60" s="90" t="str">
        <f t="shared" si="0"/>
        <v/>
      </c>
      <c r="K60" s="90" t="str">
        <f t="shared" si="0"/>
        <v/>
      </c>
      <c r="L60" s="90" t="str">
        <f t="shared" si="0"/>
        <v/>
      </c>
      <c r="M60" s="90" t="str">
        <f t="shared" si="0"/>
        <v/>
      </c>
      <c r="N60" s="90" t="str">
        <f t="shared" si="0"/>
        <v/>
      </c>
      <c r="O60" s="90" t="str">
        <f t="shared" si="0"/>
        <v/>
      </c>
      <c r="P60" s="90" t="str">
        <f t="shared" si="0"/>
        <v/>
      </c>
      <c r="Q60" s="90" t="str">
        <f t="shared" si="0"/>
        <v/>
      </c>
      <c r="R60" s="90" t="str">
        <f t="shared" si="0"/>
        <v/>
      </c>
      <c r="S60" s="90" t="str">
        <f t="shared" si="0"/>
        <v/>
      </c>
      <c r="T60" s="90" t="str">
        <f t="shared" si="0"/>
        <v/>
      </c>
      <c r="U60" s="90" t="str">
        <f t="shared" si="0"/>
        <v/>
      </c>
      <c r="V60" s="90" t="str">
        <f t="shared" si="0"/>
        <v/>
      </c>
      <c r="W60" s="90" t="str">
        <f t="shared" si="0"/>
        <v/>
      </c>
      <c r="X60" s="90" t="str">
        <f t="shared" si="0"/>
        <v/>
      </c>
      <c r="Y60" s="90" t="str">
        <f t="shared" si="0"/>
        <v/>
      </c>
      <c r="Z60" s="90" t="str">
        <f t="shared" si="0"/>
        <v/>
      </c>
      <c r="AA60" s="90" t="str">
        <f t="shared" si="0"/>
        <v/>
      </c>
      <c r="AB60" s="90" t="str">
        <f t="shared" si="0"/>
        <v/>
      </c>
      <c r="AC60" s="90" t="str">
        <f t="shared" si="0"/>
        <v/>
      </c>
      <c r="AD60" s="90" t="str">
        <f t="shared" si="0"/>
        <v/>
      </c>
      <c r="AE60" s="90" t="str">
        <f t="shared" si="0"/>
        <v/>
      </c>
      <c r="AF60" s="90" t="str">
        <f t="shared" si="0"/>
        <v/>
      </c>
      <c r="AG60" s="90" t="str">
        <f t="shared" si="0"/>
        <v/>
      </c>
      <c r="AH60" s="90" t="str">
        <f t="shared" si="0"/>
        <v/>
      </c>
      <c r="AI60" s="90" t="str">
        <f t="shared" si="0"/>
        <v/>
      </c>
      <c r="AJ60" s="90" t="str">
        <f t="shared" si="0"/>
        <v/>
      </c>
      <c r="AK60" s="90" t="str">
        <f t="shared" si="0"/>
        <v/>
      </c>
      <c r="AL60" s="90" t="str">
        <f t="shared" si="0"/>
        <v/>
      </c>
      <c r="AM60" s="90" t="str">
        <f t="shared" si="0"/>
        <v/>
      </c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</row>
    <row r="61" spans="1:57" s="18" customFormat="1" ht="21" hidden="1" customHeight="1">
      <c r="A61" s="107" t="s">
        <v>265</v>
      </c>
      <c r="B61" s="108" t="s">
        <v>24</v>
      </c>
      <c r="C61" s="90" t="str">
        <f t="shared" si="0"/>
        <v/>
      </c>
      <c r="D61" s="90" t="str">
        <f t="shared" si="0"/>
        <v/>
      </c>
      <c r="E61" s="90" t="str">
        <f t="shared" si="0"/>
        <v/>
      </c>
      <c r="F61" s="90" t="str">
        <f t="shared" si="0"/>
        <v/>
      </c>
      <c r="G61" s="90" t="str">
        <f t="shared" si="0"/>
        <v/>
      </c>
      <c r="H61" s="90" t="str">
        <f t="shared" si="0"/>
        <v/>
      </c>
      <c r="I61" s="90" t="str">
        <f t="shared" si="0"/>
        <v/>
      </c>
      <c r="J61" s="90" t="str">
        <f t="shared" si="0"/>
        <v/>
      </c>
      <c r="K61" s="90" t="str">
        <f t="shared" si="0"/>
        <v/>
      </c>
      <c r="L61" s="90" t="str">
        <f t="shared" si="0"/>
        <v/>
      </c>
      <c r="M61" s="90" t="str">
        <f t="shared" si="0"/>
        <v/>
      </c>
      <c r="N61" s="90" t="str">
        <f t="shared" si="0"/>
        <v/>
      </c>
      <c r="O61" s="90" t="str">
        <f t="shared" si="0"/>
        <v/>
      </c>
      <c r="P61" s="90" t="str">
        <f t="shared" si="0"/>
        <v/>
      </c>
      <c r="Q61" s="90" t="str">
        <f t="shared" si="0"/>
        <v/>
      </c>
      <c r="R61" s="90" t="str">
        <f t="shared" si="0"/>
        <v/>
      </c>
      <c r="S61" s="90" t="str">
        <f t="shared" si="0"/>
        <v/>
      </c>
      <c r="T61" s="90" t="str">
        <f t="shared" si="0"/>
        <v/>
      </c>
      <c r="U61" s="90" t="str">
        <f t="shared" si="0"/>
        <v/>
      </c>
      <c r="V61" s="90" t="str">
        <f t="shared" si="0"/>
        <v/>
      </c>
      <c r="W61" s="90" t="str">
        <f t="shared" si="0"/>
        <v/>
      </c>
      <c r="X61" s="90" t="str">
        <f t="shared" si="0"/>
        <v/>
      </c>
      <c r="Y61" s="90" t="str">
        <f t="shared" si="0"/>
        <v/>
      </c>
      <c r="Z61" s="90" t="str">
        <f t="shared" si="0"/>
        <v/>
      </c>
      <c r="AA61" s="90" t="str">
        <f t="shared" si="0"/>
        <v/>
      </c>
      <c r="AB61" s="90" t="str">
        <f t="shared" si="0"/>
        <v/>
      </c>
      <c r="AC61" s="90" t="str">
        <f t="shared" si="0"/>
        <v/>
      </c>
      <c r="AD61" s="90" t="str">
        <f t="shared" si="0"/>
        <v/>
      </c>
      <c r="AE61" s="90" t="str">
        <f t="shared" si="0"/>
        <v/>
      </c>
      <c r="AF61" s="90" t="str">
        <f t="shared" si="0"/>
        <v/>
      </c>
      <c r="AG61" s="90" t="str">
        <f t="shared" si="0"/>
        <v/>
      </c>
      <c r="AH61" s="90" t="str">
        <f t="shared" si="0"/>
        <v/>
      </c>
      <c r="AI61" s="90" t="str">
        <f t="shared" si="0"/>
        <v/>
      </c>
      <c r="AJ61" s="90" t="str">
        <f t="shared" si="0"/>
        <v/>
      </c>
      <c r="AK61" s="90" t="str">
        <f t="shared" si="0"/>
        <v/>
      </c>
      <c r="AL61" s="90" t="str">
        <f t="shared" si="0"/>
        <v/>
      </c>
      <c r="AM61" s="90" t="str">
        <f t="shared" si="0"/>
        <v/>
      </c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</row>
    <row r="62" spans="1:57" s="18" customFormat="1" ht="21" hidden="1" customHeight="1">
      <c r="A62" s="107" t="s">
        <v>266</v>
      </c>
      <c r="B62" s="108" t="s">
        <v>25</v>
      </c>
      <c r="C62" s="90" t="str">
        <f t="shared" si="0"/>
        <v/>
      </c>
      <c r="D62" s="90" t="str">
        <f t="shared" si="0"/>
        <v/>
      </c>
      <c r="E62" s="90" t="str">
        <f t="shared" si="0"/>
        <v/>
      </c>
      <c r="F62" s="90" t="str">
        <f t="shared" si="0"/>
        <v/>
      </c>
      <c r="G62" s="90" t="str">
        <f t="shared" si="0"/>
        <v/>
      </c>
      <c r="H62" s="90" t="str">
        <f t="shared" si="0"/>
        <v/>
      </c>
      <c r="I62" s="90" t="str">
        <f t="shared" si="0"/>
        <v/>
      </c>
      <c r="J62" s="90" t="str">
        <f t="shared" si="0"/>
        <v/>
      </c>
      <c r="K62" s="90" t="str">
        <f t="shared" si="0"/>
        <v/>
      </c>
      <c r="L62" s="90" t="str">
        <f t="shared" si="0"/>
        <v/>
      </c>
      <c r="M62" s="90" t="str">
        <f t="shared" si="0"/>
        <v/>
      </c>
      <c r="N62" s="90" t="str">
        <f t="shared" si="0"/>
        <v/>
      </c>
      <c r="O62" s="90" t="str">
        <f t="shared" si="0"/>
        <v/>
      </c>
      <c r="P62" s="90" t="str">
        <f t="shared" si="0"/>
        <v/>
      </c>
      <c r="Q62" s="90" t="str">
        <f t="shared" si="0"/>
        <v/>
      </c>
      <c r="R62" s="90" t="str">
        <f t="shared" si="0"/>
        <v/>
      </c>
      <c r="S62" s="90" t="str">
        <f t="shared" si="0"/>
        <v/>
      </c>
      <c r="T62" s="90" t="str">
        <f t="shared" si="0"/>
        <v/>
      </c>
      <c r="U62" s="90" t="str">
        <f t="shared" si="0"/>
        <v/>
      </c>
      <c r="V62" s="90" t="str">
        <f t="shared" si="0"/>
        <v/>
      </c>
      <c r="W62" s="90" t="str">
        <f t="shared" si="0"/>
        <v/>
      </c>
      <c r="X62" s="90" t="str">
        <f t="shared" si="0"/>
        <v/>
      </c>
      <c r="Y62" s="90" t="str">
        <f t="shared" si="0"/>
        <v/>
      </c>
      <c r="Z62" s="90" t="str">
        <f t="shared" si="0"/>
        <v/>
      </c>
      <c r="AA62" s="90" t="str">
        <f t="shared" si="0"/>
        <v/>
      </c>
      <c r="AB62" s="90" t="str">
        <f t="shared" si="0"/>
        <v/>
      </c>
      <c r="AC62" s="90" t="str">
        <f t="shared" si="0"/>
        <v/>
      </c>
      <c r="AD62" s="90" t="str">
        <f t="shared" si="0"/>
        <v/>
      </c>
      <c r="AE62" s="90" t="str">
        <f t="shared" si="0"/>
        <v/>
      </c>
      <c r="AF62" s="90" t="str">
        <f t="shared" si="0"/>
        <v/>
      </c>
      <c r="AG62" s="90" t="str">
        <f t="shared" si="0"/>
        <v/>
      </c>
      <c r="AH62" s="90" t="str">
        <f t="shared" si="0"/>
        <v/>
      </c>
      <c r="AI62" s="90" t="str">
        <f t="shared" si="0"/>
        <v/>
      </c>
      <c r="AJ62" s="90" t="str">
        <f t="shared" si="0"/>
        <v/>
      </c>
      <c r="AK62" s="90" t="str">
        <f t="shared" si="0"/>
        <v/>
      </c>
      <c r="AL62" s="90" t="str">
        <f t="shared" si="0"/>
        <v/>
      </c>
      <c r="AM62" s="90" t="str">
        <f t="shared" si="0"/>
        <v/>
      </c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</row>
    <row r="63" spans="1:57" s="18" customFormat="1" ht="21" hidden="1" customHeight="1">
      <c r="A63" s="107" t="s">
        <v>267</v>
      </c>
      <c r="B63" s="108" t="s">
        <v>26</v>
      </c>
      <c r="C63" s="90" t="str">
        <f t="shared" si="0"/>
        <v/>
      </c>
      <c r="D63" s="90" t="str">
        <f t="shared" si="0"/>
        <v/>
      </c>
      <c r="E63" s="90" t="str">
        <f t="shared" si="0"/>
        <v/>
      </c>
      <c r="F63" s="90" t="str">
        <f t="shared" si="0"/>
        <v/>
      </c>
      <c r="G63" s="90" t="str">
        <f t="shared" si="0"/>
        <v/>
      </c>
      <c r="H63" s="90" t="str">
        <f t="shared" si="0"/>
        <v/>
      </c>
      <c r="I63" s="90" t="str">
        <f t="shared" si="0"/>
        <v/>
      </c>
      <c r="J63" s="90" t="str">
        <f t="shared" si="0"/>
        <v/>
      </c>
      <c r="K63" s="90" t="str">
        <f t="shared" si="0"/>
        <v/>
      </c>
      <c r="L63" s="90" t="str">
        <f t="shared" si="0"/>
        <v/>
      </c>
      <c r="M63" s="90" t="str">
        <f t="shared" si="0"/>
        <v/>
      </c>
      <c r="N63" s="90" t="str">
        <f t="shared" si="0"/>
        <v/>
      </c>
      <c r="O63" s="90" t="str">
        <f t="shared" si="0"/>
        <v/>
      </c>
      <c r="P63" s="90" t="str">
        <f t="shared" si="0"/>
        <v/>
      </c>
      <c r="Q63" s="90" t="str">
        <f t="shared" si="0"/>
        <v/>
      </c>
      <c r="R63" s="90" t="str">
        <f t="shared" si="0"/>
        <v/>
      </c>
      <c r="S63" s="90" t="str">
        <f t="shared" si="0"/>
        <v/>
      </c>
      <c r="T63" s="90" t="str">
        <f t="shared" si="0"/>
        <v/>
      </c>
      <c r="U63" s="90" t="str">
        <f t="shared" si="0"/>
        <v/>
      </c>
      <c r="V63" s="90" t="str">
        <f t="shared" si="0"/>
        <v/>
      </c>
      <c r="W63" s="90" t="str">
        <f t="shared" si="0"/>
        <v/>
      </c>
      <c r="X63" s="90" t="str">
        <f t="shared" si="0"/>
        <v/>
      </c>
      <c r="Y63" s="90" t="str">
        <f t="shared" si="0"/>
        <v/>
      </c>
      <c r="Z63" s="90" t="str">
        <f t="shared" si="0"/>
        <v/>
      </c>
      <c r="AA63" s="90" t="str">
        <f t="shared" si="0"/>
        <v/>
      </c>
      <c r="AB63" s="90" t="str">
        <f t="shared" si="0"/>
        <v/>
      </c>
      <c r="AC63" s="90" t="str">
        <f t="shared" si="0"/>
        <v/>
      </c>
      <c r="AD63" s="90" t="str">
        <f t="shared" si="0"/>
        <v/>
      </c>
      <c r="AE63" s="90" t="str">
        <f t="shared" si="0"/>
        <v/>
      </c>
      <c r="AF63" s="90" t="str">
        <f t="shared" si="0"/>
        <v/>
      </c>
      <c r="AG63" s="90" t="str">
        <f t="shared" si="0"/>
        <v/>
      </c>
      <c r="AH63" s="90" t="str">
        <f t="shared" si="0"/>
        <v/>
      </c>
      <c r="AI63" s="90" t="str">
        <f t="shared" si="0"/>
        <v/>
      </c>
      <c r="AJ63" s="90" t="str">
        <f t="shared" si="0"/>
        <v/>
      </c>
      <c r="AK63" s="90" t="str">
        <f t="shared" si="0"/>
        <v/>
      </c>
      <c r="AL63" s="90" t="str">
        <f t="shared" si="0"/>
        <v/>
      </c>
      <c r="AM63" s="90" t="str">
        <f t="shared" si="0"/>
        <v/>
      </c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</row>
    <row r="64" spans="1:57" s="18" customFormat="1" ht="21" hidden="1" customHeight="1">
      <c r="A64" s="107" t="s">
        <v>268</v>
      </c>
      <c r="B64" s="108" t="s">
        <v>27</v>
      </c>
      <c r="C64" s="90" t="str">
        <f t="shared" si="0"/>
        <v/>
      </c>
      <c r="D64" s="90" t="str">
        <f t="shared" si="0"/>
        <v/>
      </c>
      <c r="E64" s="90" t="str">
        <f t="shared" si="0"/>
        <v/>
      </c>
      <c r="F64" s="90" t="str">
        <f t="shared" si="0"/>
        <v/>
      </c>
      <c r="G64" s="90" t="str">
        <f t="shared" si="0"/>
        <v/>
      </c>
      <c r="H64" s="90" t="str">
        <f t="shared" si="0"/>
        <v/>
      </c>
      <c r="I64" s="90" t="str">
        <f t="shared" si="0"/>
        <v/>
      </c>
      <c r="J64" s="90" t="str">
        <f t="shared" si="0"/>
        <v/>
      </c>
      <c r="K64" s="90" t="str">
        <f t="shared" si="0"/>
        <v/>
      </c>
      <c r="L64" s="90" t="str">
        <f t="shared" si="0"/>
        <v/>
      </c>
      <c r="M64" s="90" t="str">
        <f t="shared" si="0"/>
        <v/>
      </c>
      <c r="N64" s="90" t="str">
        <f t="shared" si="0"/>
        <v/>
      </c>
      <c r="O64" s="90" t="str">
        <f t="shared" si="0"/>
        <v/>
      </c>
      <c r="P64" s="90" t="str">
        <f t="shared" si="0"/>
        <v/>
      </c>
      <c r="Q64" s="90" t="str">
        <f t="shared" si="0"/>
        <v/>
      </c>
      <c r="R64" s="90" t="str">
        <f t="shared" si="0"/>
        <v/>
      </c>
      <c r="S64" s="90" t="str">
        <f t="shared" si="0"/>
        <v/>
      </c>
      <c r="T64" s="90" t="str">
        <f t="shared" si="0"/>
        <v/>
      </c>
      <c r="U64" s="90" t="str">
        <f t="shared" si="0"/>
        <v/>
      </c>
      <c r="V64" s="90" t="str">
        <f t="shared" si="0"/>
        <v/>
      </c>
      <c r="W64" s="90" t="str">
        <f t="shared" si="0"/>
        <v/>
      </c>
      <c r="X64" s="90" t="str">
        <f t="shared" si="0"/>
        <v/>
      </c>
      <c r="Y64" s="90" t="str">
        <f t="shared" si="0"/>
        <v/>
      </c>
      <c r="Z64" s="90" t="str">
        <f t="shared" si="0"/>
        <v/>
      </c>
      <c r="AA64" s="90" t="str">
        <f t="shared" si="0"/>
        <v/>
      </c>
      <c r="AB64" s="90" t="str">
        <f t="shared" si="0"/>
        <v/>
      </c>
      <c r="AC64" s="90" t="str">
        <f t="shared" si="0"/>
        <v/>
      </c>
      <c r="AD64" s="90" t="str">
        <f t="shared" si="0"/>
        <v/>
      </c>
      <c r="AE64" s="90" t="str">
        <f t="shared" si="0"/>
        <v/>
      </c>
      <c r="AF64" s="90" t="str">
        <f t="shared" si="0"/>
        <v/>
      </c>
      <c r="AG64" s="90" t="str">
        <f t="shared" si="0"/>
        <v/>
      </c>
      <c r="AH64" s="90" t="str">
        <f t="shared" si="0"/>
        <v/>
      </c>
      <c r="AI64" s="90" t="str">
        <f t="shared" si="0"/>
        <v/>
      </c>
      <c r="AJ64" s="90" t="str">
        <f t="shared" si="0"/>
        <v/>
      </c>
      <c r="AK64" s="90" t="str">
        <f t="shared" si="0"/>
        <v/>
      </c>
      <c r="AL64" s="90" t="str">
        <f t="shared" si="0"/>
        <v/>
      </c>
      <c r="AM64" s="90" t="str">
        <f t="shared" si="0"/>
        <v/>
      </c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</row>
    <row r="65" spans="1:55" s="18" customFormat="1" ht="21" hidden="1" customHeight="1">
      <c r="A65" s="107" t="s">
        <v>269</v>
      </c>
      <c r="B65" s="108" t="s">
        <v>28</v>
      </c>
      <c r="C65" s="90" t="str">
        <f t="shared" si="0"/>
        <v/>
      </c>
      <c r="D65" s="90" t="str">
        <f t="shared" si="0"/>
        <v/>
      </c>
      <c r="E65" s="90" t="str">
        <f t="shared" si="0"/>
        <v/>
      </c>
      <c r="F65" s="90" t="str">
        <f t="shared" si="0"/>
        <v/>
      </c>
      <c r="G65" s="90" t="str">
        <f t="shared" si="0"/>
        <v/>
      </c>
      <c r="H65" s="90" t="str">
        <f t="shared" si="0"/>
        <v/>
      </c>
      <c r="I65" s="90" t="str">
        <f t="shared" si="0"/>
        <v/>
      </c>
      <c r="J65" s="90" t="str">
        <f t="shared" si="0"/>
        <v/>
      </c>
      <c r="K65" s="90" t="str">
        <f t="shared" si="0"/>
        <v/>
      </c>
      <c r="L65" s="90" t="str">
        <f t="shared" si="0"/>
        <v/>
      </c>
      <c r="M65" s="90" t="str">
        <f t="shared" si="0"/>
        <v/>
      </c>
      <c r="N65" s="90" t="str">
        <f t="shared" si="0"/>
        <v/>
      </c>
      <c r="O65" s="90" t="str">
        <f t="shared" si="0"/>
        <v/>
      </c>
      <c r="P65" s="90" t="str">
        <f t="shared" si="0"/>
        <v/>
      </c>
      <c r="Q65" s="90" t="str">
        <f t="shared" si="0"/>
        <v/>
      </c>
      <c r="R65" s="90" t="str">
        <f t="shared" si="0"/>
        <v/>
      </c>
      <c r="S65" s="90" t="str">
        <f t="shared" si="0"/>
        <v/>
      </c>
      <c r="T65" s="90" t="str">
        <f t="shared" si="0"/>
        <v/>
      </c>
      <c r="U65" s="90" t="str">
        <f t="shared" si="0"/>
        <v/>
      </c>
      <c r="V65" s="90" t="str">
        <f t="shared" si="0"/>
        <v/>
      </c>
      <c r="W65" s="90" t="str">
        <f t="shared" si="0"/>
        <v/>
      </c>
      <c r="X65" s="90" t="str">
        <f t="shared" si="0"/>
        <v/>
      </c>
      <c r="Y65" s="90" t="str">
        <f t="shared" si="0"/>
        <v/>
      </c>
      <c r="Z65" s="90" t="str">
        <f t="shared" si="0"/>
        <v/>
      </c>
      <c r="AA65" s="90" t="str">
        <f t="shared" si="0"/>
        <v/>
      </c>
      <c r="AB65" s="90" t="str">
        <f t="shared" si="0"/>
        <v/>
      </c>
      <c r="AC65" s="90" t="str">
        <f t="shared" si="0"/>
        <v/>
      </c>
      <c r="AD65" s="90" t="str">
        <f t="shared" si="0"/>
        <v/>
      </c>
      <c r="AE65" s="90" t="str">
        <f t="shared" si="0"/>
        <v/>
      </c>
      <c r="AF65" s="90" t="str">
        <f t="shared" si="0"/>
        <v/>
      </c>
      <c r="AG65" s="90" t="str">
        <f t="shared" si="0"/>
        <v/>
      </c>
      <c r="AH65" s="90" t="str">
        <f t="shared" si="0"/>
        <v/>
      </c>
      <c r="AI65" s="90" t="str">
        <f t="shared" si="0"/>
        <v/>
      </c>
      <c r="AJ65" s="90" t="str">
        <f t="shared" si="0"/>
        <v/>
      </c>
      <c r="AK65" s="90" t="str">
        <f t="shared" si="0"/>
        <v/>
      </c>
      <c r="AL65" s="90" t="str">
        <f t="shared" si="0"/>
        <v/>
      </c>
      <c r="AM65" s="90" t="str">
        <f t="shared" si="0"/>
        <v/>
      </c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</row>
    <row r="66" spans="1:55" s="18" customFormat="1" ht="21" hidden="1" customHeight="1">
      <c r="A66" s="107" t="s">
        <v>270</v>
      </c>
      <c r="B66" s="108" t="s">
        <v>271</v>
      </c>
      <c r="C66" s="90" t="e">
        <f>IF(C40=#REF!,"","*")</f>
        <v>#REF!</v>
      </c>
      <c r="D66" s="90" t="e">
        <f>IF(D40=#REF!,"","*")</f>
        <v>#REF!</v>
      </c>
      <c r="E66" s="90" t="e">
        <f>IF(E40=#REF!,"","*")</f>
        <v>#REF!</v>
      </c>
      <c r="F66" s="90" t="e">
        <f>IF(F40=#REF!,"","*")</f>
        <v>#REF!</v>
      </c>
      <c r="G66" s="90" t="e">
        <f>IF(G40=#REF!,"","*")</f>
        <v>#REF!</v>
      </c>
      <c r="H66" s="90" t="e">
        <f>IF(H40=#REF!,"","*")</f>
        <v>#REF!</v>
      </c>
      <c r="I66" s="90" t="e">
        <f>IF(I40=#REF!,"","*")</f>
        <v>#REF!</v>
      </c>
      <c r="J66" s="90" t="e">
        <f>IF(J40=#REF!,"","*")</f>
        <v>#REF!</v>
      </c>
      <c r="K66" s="90" t="e">
        <f>IF(K40=#REF!,"","*")</f>
        <v>#REF!</v>
      </c>
      <c r="L66" s="90" t="e">
        <f>IF(L40=#REF!,"","*")</f>
        <v>#REF!</v>
      </c>
      <c r="M66" s="90" t="e">
        <f>IF(M40=#REF!,"","*")</f>
        <v>#REF!</v>
      </c>
      <c r="N66" s="90" t="e">
        <f>IF(N40=#REF!,"","*")</f>
        <v>#REF!</v>
      </c>
      <c r="O66" s="90" t="e">
        <f>IF(O40=#REF!,"","*")</f>
        <v>#REF!</v>
      </c>
      <c r="P66" s="90" t="e">
        <f>IF(P40=#REF!,"","*")</f>
        <v>#REF!</v>
      </c>
      <c r="Q66" s="90" t="e">
        <f>IF(Q40=#REF!,"","*")</f>
        <v>#REF!</v>
      </c>
      <c r="R66" s="90" t="e">
        <f>IF(R40=#REF!,"","*")</f>
        <v>#REF!</v>
      </c>
      <c r="S66" s="90" t="e">
        <f>IF(S40=#REF!,"","*")</f>
        <v>#REF!</v>
      </c>
      <c r="T66" s="90" t="e">
        <f>IF(T40=#REF!,"","*")</f>
        <v>#REF!</v>
      </c>
      <c r="U66" s="90" t="e">
        <f>IF(U40=#REF!,"","*")</f>
        <v>#REF!</v>
      </c>
      <c r="V66" s="90" t="e">
        <f>IF(V40=#REF!,"","*")</f>
        <v>#REF!</v>
      </c>
      <c r="W66" s="90" t="e">
        <f>IF(W40=#REF!,"","*")</f>
        <v>#REF!</v>
      </c>
      <c r="X66" s="90" t="e">
        <f>IF(X40=#REF!,"","*")</f>
        <v>#REF!</v>
      </c>
      <c r="Y66" s="90" t="e">
        <f>IF(Y40=#REF!,"","*")</f>
        <v>#REF!</v>
      </c>
      <c r="Z66" s="90" t="e">
        <f>IF(Z40=#REF!,"","*")</f>
        <v>#REF!</v>
      </c>
      <c r="AA66" s="90" t="e">
        <f>IF(AA40=#REF!,"","*")</f>
        <v>#REF!</v>
      </c>
      <c r="AB66" s="90" t="e">
        <f>IF(AB40=#REF!,"","*")</f>
        <v>#REF!</v>
      </c>
      <c r="AC66" s="90" t="e">
        <f>IF(AC40=#REF!,"","*")</f>
        <v>#REF!</v>
      </c>
      <c r="AD66" s="90" t="e">
        <f>IF(AD40=#REF!,"","*")</f>
        <v>#REF!</v>
      </c>
      <c r="AE66" s="90" t="e">
        <f>IF(AE40=#REF!,"","*")</f>
        <v>#REF!</v>
      </c>
      <c r="AF66" s="90" t="e">
        <f>IF(AF40=#REF!,"","*")</f>
        <v>#REF!</v>
      </c>
      <c r="AG66" s="90" t="e">
        <f>IF(AG40=#REF!,"","*")</f>
        <v>#REF!</v>
      </c>
      <c r="AH66" s="90" t="e">
        <f>IF(AH40=#REF!,"","*")</f>
        <v>#REF!</v>
      </c>
      <c r="AI66" s="90" t="e">
        <f>IF(AI40=#REF!,"","*")</f>
        <v>#REF!</v>
      </c>
      <c r="AJ66" s="90" t="e">
        <f>IF(AJ40=#REF!,"","*")</f>
        <v>#REF!</v>
      </c>
      <c r="AK66" s="90" t="e">
        <f>IF(AK40=#REF!,"","*")</f>
        <v>#REF!</v>
      </c>
      <c r="AL66" s="90" t="e">
        <f>IF(AL40=#REF!,"","*")</f>
        <v>#REF!</v>
      </c>
      <c r="AM66" s="90" t="e">
        <f>IF(AM40=#REF!,"","*")</f>
        <v>#REF!</v>
      </c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</row>
    <row r="67" spans="1:55" ht="21" hidden="1" customHeight="1">
      <c r="A67" s="109" t="s">
        <v>272</v>
      </c>
      <c r="B67" s="94" t="s">
        <v>7</v>
      </c>
      <c r="C67" s="90" t="str">
        <f t="shared" ref="C67:AM73" si="1">IF(C41=C13,"","*")</f>
        <v/>
      </c>
      <c r="D67" s="90" t="str">
        <f t="shared" si="1"/>
        <v/>
      </c>
      <c r="E67" s="90" t="str">
        <f t="shared" si="1"/>
        <v/>
      </c>
      <c r="F67" s="90" t="str">
        <f t="shared" si="1"/>
        <v/>
      </c>
      <c r="G67" s="90" t="str">
        <f t="shared" si="1"/>
        <v/>
      </c>
      <c r="H67" s="90" t="str">
        <f t="shared" si="1"/>
        <v/>
      </c>
      <c r="I67" s="90" t="str">
        <f t="shared" si="1"/>
        <v/>
      </c>
      <c r="J67" s="90" t="str">
        <f t="shared" si="1"/>
        <v/>
      </c>
      <c r="K67" s="90" t="str">
        <f t="shared" si="1"/>
        <v/>
      </c>
      <c r="L67" s="90" t="str">
        <f t="shared" si="1"/>
        <v/>
      </c>
      <c r="M67" s="90" t="str">
        <f t="shared" si="1"/>
        <v/>
      </c>
      <c r="N67" s="90" t="str">
        <f t="shared" si="1"/>
        <v/>
      </c>
      <c r="O67" s="90" t="str">
        <f t="shared" si="1"/>
        <v/>
      </c>
      <c r="P67" s="90" t="str">
        <f t="shared" si="1"/>
        <v/>
      </c>
      <c r="Q67" s="90" t="str">
        <f t="shared" si="1"/>
        <v/>
      </c>
      <c r="R67" s="90" t="str">
        <f t="shared" si="1"/>
        <v/>
      </c>
      <c r="S67" s="90" t="str">
        <f t="shared" si="1"/>
        <v/>
      </c>
      <c r="T67" s="90" t="str">
        <f t="shared" si="1"/>
        <v/>
      </c>
      <c r="U67" s="90" t="str">
        <f t="shared" si="1"/>
        <v/>
      </c>
      <c r="V67" s="90" t="str">
        <f t="shared" si="1"/>
        <v/>
      </c>
      <c r="W67" s="90" t="str">
        <f t="shared" si="1"/>
        <v/>
      </c>
      <c r="X67" s="90" t="str">
        <f t="shared" si="1"/>
        <v/>
      </c>
      <c r="Y67" s="90" t="str">
        <f t="shared" si="1"/>
        <v/>
      </c>
      <c r="Z67" s="90" t="str">
        <f t="shared" si="1"/>
        <v/>
      </c>
      <c r="AA67" s="90" t="str">
        <f t="shared" si="1"/>
        <v/>
      </c>
      <c r="AB67" s="90" t="str">
        <f t="shared" si="1"/>
        <v/>
      </c>
      <c r="AC67" s="90" t="str">
        <f t="shared" si="1"/>
        <v/>
      </c>
      <c r="AD67" s="90" t="str">
        <f t="shared" si="1"/>
        <v/>
      </c>
      <c r="AE67" s="90" t="str">
        <f t="shared" si="1"/>
        <v/>
      </c>
      <c r="AF67" s="90" t="str">
        <f t="shared" si="1"/>
        <v/>
      </c>
      <c r="AG67" s="90" t="str">
        <f t="shared" si="1"/>
        <v/>
      </c>
      <c r="AH67" s="90" t="str">
        <f t="shared" si="1"/>
        <v/>
      </c>
      <c r="AI67" s="90" t="str">
        <f t="shared" si="1"/>
        <v/>
      </c>
      <c r="AJ67" s="90" t="str">
        <f t="shared" si="1"/>
        <v/>
      </c>
      <c r="AK67" s="90" t="str">
        <f t="shared" si="1"/>
        <v/>
      </c>
      <c r="AL67" s="90" t="str">
        <f t="shared" si="1"/>
        <v/>
      </c>
      <c r="AM67" s="90" t="str">
        <f t="shared" si="1"/>
        <v/>
      </c>
    </row>
    <row r="68" spans="1:55" ht="21" hidden="1" customHeight="1">
      <c r="A68" s="109" t="s">
        <v>273</v>
      </c>
      <c r="B68" s="94" t="s">
        <v>8</v>
      </c>
      <c r="C68" s="90" t="str">
        <f t="shared" si="1"/>
        <v/>
      </c>
      <c r="D68" s="90" t="str">
        <f t="shared" si="1"/>
        <v/>
      </c>
      <c r="E68" s="90" t="str">
        <f t="shared" si="1"/>
        <v/>
      </c>
      <c r="F68" s="90" t="str">
        <f t="shared" si="1"/>
        <v/>
      </c>
      <c r="G68" s="90" t="str">
        <f t="shared" si="1"/>
        <v/>
      </c>
      <c r="H68" s="90" t="str">
        <f t="shared" si="1"/>
        <v/>
      </c>
      <c r="I68" s="90" t="str">
        <f t="shared" si="1"/>
        <v/>
      </c>
      <c r="J68" s="90" t="str">
        <f t="shared" si="1"/>
        <v/>
      </c>
      <c r="K68" s="90" t="str">
        <f t="shared" si="1"/>
        <v/>
      </c>
      <c r="L68" s="90" t="str">
        <f t="shared" si="1"/>
        <v/>
      </c>
      <c r="M68" s="90" t="str">
        <f t="shared" si="1"/>
        <v/>
      </c>
      <c r="N68" s="90" t="str">
        <f t="shared" si="1"/>
        <v/>
      </c>
      <c r="O68" s="90" t="str">
        <f t="shared" si="1"/>
        <v/>
      </c>
      <c r="P68" s="90" t="str">
        <f t="shared" si="1"/>
        <v/>
      </c>
      <c r="Q68" s="90" t="str">
        <f t="shared" si="1"/>
        <v/>
      </c>
      <c r="R68" s="90" t="str">
        <f t="shared" si="1"/>
        <v/>
      </c>
      <c r="S68" s="90" t="str">
        <f t="shared" si="1"/>
        <v/>
      </c>
      <c r="T68" s="90" t="str">
        <f t="shared" si="1"/>
        <v/>
      </c>
      <c r="U68" s="90" t="str">
        <f t="shared" si="1"/>
        <v/>
      </c>
      <c r="V68" s="90" t="str">
        <f t="shared" si="1"/>
        <v/>
      </c>
      <c r="W68" s="90" t="str">
        <f t="shared" si="1"/>
        <v/>
      </c>
      <c r="X68" s="90" t="str">
        <f t="shared" si="1"/>
        <v/>
      </c>
      <c r="Y68" s="90" t="str">
        <f t="shared" si="1"/>
        <v/>
      </c>
      <c r="Z68" s="90" t="str">
        <f t="shared" si="1"/>
        <v/>
      </c>
      <c r="AA68" s="90" t="str">
        <f t="shared" si="1"/>
        <v/>
      </c>
      <c r="AB68" s="90" t="str">
        <f t="shared" si="1"/>
        <v/>
      </c>
      <c r="AC68" s="90" t="str">
        <f t="shared" si="1"/>
        <v/>
      </c>
      <c r="AD68" s="90" t="str">
        <f t="shared" si="1"/>
        <v/>
      </c>
      <c r="AE68" s="90" t="str">
        <f t="shared" si="1"/>
        <v/>
      </c>
      <c r="AF68" s="90" t="str">
        <f t="shared" si="1"/>
        <v/>
      </c>
      <c r="AG68" s="90" t="str">
        <f t="shared" si="1"/>
        <v/>
      </c>
      <c r="AH68" s="90" t="str">
        <f t="shared" si="1"/>
        <v/>
      </c>
      <c r="AI68" s="90" t="str">
        <f t="shared" si="1"/>
        <v/>
      </c>
      <c r="AJ68" s="90" t="str">
        <f t="shared" si="1"/>
        <v/>
      </c>
      <c r="AK68" s="90" t="str">
        <f t="shared" si="1"/>
        <v/>
      </c>
      <c r="AL68" s="90" t="str">
        <f t="shared" si="1"/>
        <v/>
      </c>
      <c r="AM68" s="90" t="str">
        <f t="shared" si="1"/>
        <v/>
      </c>
    </row>
    <row r="69" spans="1:55" ht="21" hidden="1" customHeight="1">
      <c r="A69" s="109" t="s">
        <v>274</v>
      </c>
      <c r="B69" s="94" t="s">
        <v>9</v>
      </c>
      <c r="C69" s="90" t="str">
        <f t="shared" si="1"/>
        <v/>
      </c>
      <c r="D69" s="90" t="str">
        <f t="shared" si="1"/>
        <v/>
      </c>
      <c r="E69" s="90" t="str">
        <f t="shared" si="1"/>
        <v/>
      </c>
      <c r="F69" s="90" t="str">
        <f t="shared" si="1"/>
        <v/>
      </c>
      <c r="G69" s="90" t="str">
        <f t="shared" si="1"/>
        <v/>
      </c>
      <c r="H69" s="90" t="str">
        <f t="shared" si="1"/>
        <v/>
      </c>
      <c r="I69" s="90" t="str">
        <f t="shared" si="1"/>
        <v/>
      </c>
      <c r="J69" s="90" t="str">
        <f t="shared" si="1"/>
        <v/>
      </c>
      <c r="K69" s="90" t="str">
        <f t="shared" si="1"/>
        <v/>
      </c>
      <c r="L69" s="90" t="str">
        <f t="shared" si="1"/>
        <v/>
      </c>
      <c r="M69" s="90" t="str">
        <f t="shared" si="1"/>
        <v/>
      </c>
      <c r="N69" s="90" t="str">
        <f t="shared" si="1"/>
        <v/>
      </c>
      <c r="O69" s="90" t="str">
        <f t="shared" si="1"/>
        <v/>
      </c>
      <c r="P69" s="90" t="str">
        <f t="shared" si="1"/>
        <v/>
      </c>
      <c r="Q69" s="90" t="str">
        <f t="shared" si="1"/>
        <v/>
      </c>
      <c r="R69" s="90" t="str">
        <f t="shared" si="1"/>
        <v/>
      </c>
      <c r="S69" s="90" t="str">
        <f t="shared" si="1"/>
        <v/>
      </c>
      <c r="T69" s="90" t="str">
        <f t="shared" si="1"/>
        <v/>
      </c>
      <c r="U69" s="90" t="str">
        <f t="shared" si="1"/>
        <v/>
      </c>
      <c r="V69" s="90" t="str">
        <f t="shared" si="1"/>
        <v/>
      </c>
      <c r="W69" s="90" t="str">
        <f t="shared" si="1"/>
        <v/>
      </c>
      <c r="X69" s="90" t="str">
        <f t="shared" si="1"/>
        <v/>
      </c>
      <c r="Y69" s="90" t="str">
        <f t="shared" si="1"/>
        <v/>
      </c>
      <c r="Z69" s="90" t="str">
        <f t="shared" si="1"/>
        <v/>
      </c>
      <c r="AA69" s="90" t="str">
        <f t="shared" si="1"/>
        <v/>
      </c>
      <c r="AB69" s="90" t="str">
        <f t="shared" si="1"/>
        <v/>
      </c>
      <c r="AC69" s="90" t="str">
        <f t="shared" si="1"/>
        <v/>
      </c>
      <c r="AD69" s="90" t="str">
        <f t="shared" si="1"/>
        <v/>
      </c>
      <c r="AE69" s="90" t="str">
        <f t="shared" si="1"/>
        <v/>
      </c>
      <c r="AF69" s="90" t="str">
        <f t="shared" si="1"/>
        <v/>
      </c>
      <c r="AG69" s="90" t="str">
        <f t="shared" si="1"/>
        <v/>
      </c>
      <c r="AH69" s="90" t="str">
        <f t="shared" si="1"/>
        <v/>
      </c>
      <c r="AI69" s="90" t="str">
        <f t="shared" si="1"/>
        <v/>
      </c>
      <c r="AJ69" s="90" t="str">
        <f t="shared" si="1"/>
        <v/>
      </c>
      <c r="AK69" s="90" t="str">
        <f t="shared" si="1"/>
        <v/>
      </c>
      <c r="AL69" s="90" t="str">
        <f t="shared" si="1"/>
        <v/>
      </c>
      <c r="AM69" s="90" t="str">
        <f t="shared" si="1"/>
        <v/>
      </c>
    </row>
    <row r="70" spans="1:55" ht="21" hidden="1" customHeight="1">
      <c r="A70" s="109" t="s">
        <v>275</v>
      </c>
      <c r="B70" s="94" t="s">
        <v>10</v>
      </c>
      <c r="C70" s="90" t="str">
        <f t="shared" si="1"/>
        <v/>
      </c>
      <c r="D70" s="90" t="str">
        <f t="shared" si="1"/>
        <v/>
      </c>
      <c r="E70" s="90" t="str">
        <f t="shared" si="1"/>
        <v/>
      </c>
      <c r="F70" s="90" t="str">
        <f t="shared" si="1"/>
        <v/>
      </c>
      <c r="G70" s="90" t="str">
        <f t="shared" si="1"/>
        <v/>
      </c>
      <c r="H70" s="90" t="str">
        <f t="shared" si="1"/>
        <v/>
      </c>
      <c r="I70" s="90" t="str">
        <f t="shared" si="1"/>
        <v/>
      </c>
      <c r="J70" s="90" t="str">
        <f t="shared" si="1"/>
        <v/>
      </c>
      <c r="K70" s="90" t="str">
        <f t="shared" si="1"/>
        <v/>
      </c>
      <c r="L70" s="90" t="str">
        <f t="shared" si="1"/>
        <v/>
      </c>
      <c r="M70" s="90" t="str">
        <f t="shared" si="1"/>
        <v/>
      </c>
      <c r="N70" s="90" t="str">
        <f t="shared" si="1"/>
        <v/>
      </c>
      <c r="O70" s="90" t="str">
        <f t="shared" si="1"/>
        <v/>
      </c>
      <c r="P70" s="90" t="str">
        <f t="shared" si="1"/>
        <v/>
      </c>
      <c r="Q70" s="90" t="str">
        <f t="shared" si="1"/>
        <v/>
      </c>
      <c r="R70" s="90" t="str">
        <f t="shared" si="1"/>
        <v/>
      </c>
      <c r="S70" s="90" t="str">
        <f t="shared" si="1"/>
        <v/>
      </c>
      <c r="T70" s="90" t="str">
        <f t="shared" si="1"/>
        <v/>
      </c>
      <c r="U70" s="90" t="str">
        <f t="shared" si="1"/>
        <v/>
      </c>
      <c r="V70" s="90" t="str">
        <f t="shared" si="1"/>
        <v/>
      </c>
      <c r="W70" s="90" t="str">
        <f t="shared" si="1"/>
        <v/>
      </c>
      <c r="X70" s="90" t="str">
        <f t="shared" si="1"/>
        <v/>
      </c>
      <c r="Y70" s="90" t="str">
        <f t="shared" si="1"/>
        <v/>
      </c>
      <c r="Z70" s="90" t="str">
        <f t="shared" si="1"/>
        <v/>
      </c>
      <c r="AA70" s="90" t="str">
        <f t="shared" si="1"/>
        <v/>
      </c>
      <c r="AB70" s="90" t="str">
        <f t="shared" si="1"/>
        <v/>
      </c>
      <c r="AC70" s="90" t="str">
        <f t="shared" si="1"/>
        <v/>
      </c>
      <c r="AD70" s="90" t="str">
        <f t="shared" si="1"/>
        <v/>
      </c>
      <c r="AE70" s="90" t="str">
        <f t="shared" si="1"/>
        <v/>
      </c>
      <c r="AF70" s="90" t="str">
        <f t="shared" si="1"/>
        <v/>
      </c>
      <c r="AG70" s="90" t="str">
        <f t="shared" si="1"/>
        <v/>
      </c>
      <c r="AH70" s="90" t="str">
        <f t="shared" si="1"/>
        <v/>
      </c>
      <c r="AI70" s="90" t="str">
        <f t="shared" si="1"/>
        <v/>
      </c>
      <c r="AJ70" s="90" t="str">
        <f t="shared" si="1"/>
        <v/>
      </c>
      <c r="AK70" s="90" t="str">
        <f t="shared" si="1"/>
        <v/>
      </c>
      <c r="AL70" s="90" t="str">
        <f t="shared" si="1"/>
        <v/>
      </c>
      <c r="AM70" s="90" t="str">
        <f t="shared" si="1"/>
        <v/>
      </c>
    </row>
    <row r="71" spans="1:55" ht="21" hidden="1" customHeight="1">
      <c r="A71" s="109" t="s">
        <v>276</v>
      </c>
      <c r="B71" s="94" t="s">
        <v>11</v>
      </c>
      <c r="C71" s="90" t="str">
        <f t="shared" si="1"/>
        <v/>
      </c>
      <c r="D71" s="90" t="str">
        <f t="shared" si="1"/>
        <v/>
      </c>
      <c r="E71" s="90" t="str">
        <f t="shared" si="1"/>
        <v/>
      </c>
      <c r="F71" s="90" t="str">
        <f t="shared" si="1"/>
        <v/>
      </c>
      <c r="G71" s="90" t="str">
        <f t="shared" si="1"/>
        <v/>
      </c>
      <c r="H71" s="90" t="str">
        <f t="shared" si="1"/>
        <v/>
      </c>
      <c r="I71" s="90" t="str">
        <f t="shared" si="1"/>
        <v/>
      </c>
      <c r="J71" s="90" t="str">
        <f t="shared" si="1"/>
        <v/>
      </c>
      <c r="K71" s="90" t="str">
        <f t="shared" si="1"/>
        <v/>
      </c>
      <c r="L71" s="90" t="str">
        <f t="shared" si="1"/>
        <v/>
      </c>
      <c r="M71" s="90" t="str">
        <f t="shared" si="1"/>
        <v/>
      </c>
      <c r="N71" s="90" t="str">
        <f t="shared" si="1"/>
        <v/>
      </c>
      <c r="O71" s="90" t="str">
        <f t="shared" si="1"/>
        <v/>
      </c>
      <c r="P71" s="90" t="str">
        <f t="shared" si="1"/>
        <v/>
      </c>
      <c r="Q71" s="90" t="str">
        <f t="shared" si="1"/>
        <v/>
      </c>
      <c r="R71" s="90" t="str">
        <f t="shared" si="1"/>
        <v/>
      </c>
      <c r="S71" s="90" t="str">
        <f t="shared" si="1"/>
        <v/>
      </c>
      <c r="T71" s="90" t="str">
        <f t="shared" si="1"/>
        <v/>
      </c>
      <c r="U71" s="90" t="str">
        <f t="shared" si="1"/>
        <v/>
      </c>
      <c r="V71" s="90" t="str">
        <f t="shared" si="1"/>
        <v/>
      </c>
      <c r="W71" s="90" t="str">
        <f t="shared" si="1"/>
        <v/>
      </c>
      <c r="X71" s="90" t="str">
        <f t="shared" si="1"/>
        <v/>
      </c>
      <c r="Y71" s="90" t="str">
        <f t="shared" si="1"/>
        <v/>
      </c>
      <c r="Z71" s="90" t="str">
        <f t="shared" si="1"/>
        <v/>
      </c>
      <c r="AA71" s="90" t="str">
        <f t="shared" si="1"/>
        <v/>
      </c>
      <c r="AB71" s="90" t="str">
        <f t="shared" si="1"/>
        <v/>
      </c>
      <c r="AC71" s="90" t="str">
        <f t="shared" si="1"/>
        <v/>
      </c>
      <c r="AD71" s="90" t="str">
        <f t="shared" si="1"/>
        <v/>
      </c>
      <c r="AE71" s="90" t="str">
        <f t="shared" si="1"/>
        <v/>
      </c>
      <c r="AF71" s="90" t="str">
        <f t="shared" si="1"/>
        <v/>
      </c>
      <c r="AG71" s="90" t="str">
        <f t="shared" si="1"/>
        <v/>
      </c>
      <c r="AH71" s="90" t="str">
        <f t="shared" si="1"/>
        <v/>
      </c>
      <c r="AI71" s="90" t="str">
        <f t="shared" si="1"/>
        <v/>
      </c>
      <c r="AJ71" s="90" t="str">
        <f t="shared" si="1"/>
        <v/>
      </c>
      <c r="AK71" s="90" t="str">
        <f t="shared" si="1"/>
        <v/>
      </c>
      <c r="AL71" s="90" t="str">
        <f t="shared" si="1"/>
        <v/>
      </c>
      <c r="AM71" s="90" t="str">
        <f t="shared" si="1"/>
        <v/>
      </c>
    </row>
    <row r="72" spans="1:55" ht="21" hidden="1" customHeight="1">
      <c r="A72" s="109" t="s">
        <v>277</v>
      </c>
      <c r="B72" s="94" t="s">
        <v>12</v>
      </c>
      <c r="C72" s="90" t="str">
        <f t="shared" si="1"/>
        <v/>
      </c>
      <c r="D72" s="90" t="str">
        <f t="shared" si="1"/>
        <v/>
      </c>
      <c r="E72" s="90" t="str">
        <f t="shared" si="1"/>
        <v/>
      </c>
      <c r="F72" s="90" t="str">
        <f t="shared" si="1"/>
        <v/>
      </c>
      <c r="G72" s="90" t="str">
        <f t="shared" si="1"/>
        <v/>
      </c>
      <c r="H72" s="90" t="str">
        <f t="shared" si="1"/>
        <v/>
      </c>
      <c r="I72" s="90" t="str">
        <f t="shared" si="1"/>
        <v/>
      </c>
      <c r="J72" s="90" t="str">
        <f t="shared" si="1"/>
        <v/>
      </c>
      <c r="K72" s="90" t="str">
        <f t="shared" si="1"/>
        <v/>
      </c>
      <c r="L72" s="90" t="str">
        <f t="shared" si="1"/>
        <v/>
      </c>
      <c r="M72" s="90" t="str">
        <f t="shared" si="1"/>
        <v/>
      </c>
      <c r="N72" s="90" t="str">
        <f t="shared" si="1"/>
        <v/>
      </c>
      <c r="O72" s="90" t="str">
        <f t="shared" si="1"/>
        <v/>
      </c>
      <c r="P72" s="90" t="str">
        <f t="shared" si="1"/>
        <v/>
      </c>
      <c r="Q72" s="90" t="str">
        <f t="shared" si="1"/>
        <v/>
      </c>
      <c r="R72" s="90" t="str">
        <f t="shared" si="1"/>
        <v/>
      </c>
      <c r="S72" s="90" t="str">
        <f t="shared" si="1"/>
        <v/>
      </c>
      <c r="T72" s="90" t="str">
        <f t="shared" si="1"/>
        <v/>
      </c>
      <c r="U72" s="90" t="str">
        <f t="shared" si="1"/>
        <v/>
      </c>
      <c r="V72" s="90" t="str">
        <f t="shared" si="1"/>
        <v/>
      </c>
      <c r="W72" s="90" t="str">
        <f t="shared" si="1"/>
        <v/>
      </c>
      <c r="X72" s="90" t="str">
        <f t="shared" si="1"/>
        <v/>
      </c>
      <c r="Y72" s="90" t="str">
        <f t="shared" si="1"/>
        <v/>
      </c>
      <c r="Z72" s="90" t="str">
        <f t="shared" si="1"/>
        <v/>
      </c>
      <c r="AA72" s="90" t="str">
        <f t="shared" si="1"/>
        <v/>
      </c>
      <c r="AB72" s="90" t="str">
        <f t="shared" si="1"/>
        <v/>
      </c>
      <c r="AC72" s="90" t="str">
        <f t="shared" si="1"/>
        <v/>
      </c>
      <c r="AD72" s="90" t="str">
        <f t="shared" si="1"/>
        <v/>
      </c>
      <c r="AE72" s="90" t="str">
        <f t="shared" si="1"/>
        <v/>
      </c>
      <c r="AF72" s="90" t="str">
        <f t="shared" si="1"/>
        <v/>
      </c>
      <c r="AG72" s="90" t="str">
        <f t="shared" si="1"/>
        <v/>
      </c>
      <c r="AH72" s="90" t="str">
        <f t="shared" si="1"/>
        <v/>
      </c>
      <c r="AI72" s="90" t="str">
        <f t="shared" si="1"/>
        <v/>
      </c>
      <c r="AJ72" s="90" t="str">
        <f t="shared" si="1"/>
        <v/>
      </c>
      <c r="AK72" s="90" t="str">
        <f t="shared" si="1"/>
        <v/>
      </c>
      <c r="AL72" s="90" t="str">
        <f t="shared" si="1"/>
        <v/>
      </c>
      <c r="AM72" s="90" t="str">
        <f t="shared" si="1"/>
        <v/>
      </c>
    </row>
    <row r="73" spans="1:55" ht="21" hidden="1" customHeight="1">
      <c r="A73" s="109" t="s">
        <v>278</v>
      </c>
      <c r="B73" s="94" t="s">
        <v>13</v>
      </c>
      <c r="C73" s="90" t="str">
        <f t="shared" si="1"/>
        <v/>
      </c>
      <c r="D73" s="90" t="str">
        <f t="shared" si="1"/>
        <v/>
      </c>
      <c r="E73" s="90" t="str">
        <f t="shared" si="1"/>
        <v/>
      </c>
      <c r="F73" s="90" t="str">
        <f t="shared" si="1"/>
        <v/>
      </c>
      <c r="G73" s="90" t="str">
        <f t="shared" si="1"/>
        <v/>
      </c>
      <c r="H73" s="90" t="str">
        <f t="shared" si="1"/>
        <v/>
      </c>
      <c r="I73" s="90" t="str">
        <f t="shared" si="1"/>
        <v/>
      </c>
      <c r="J73" s="90" t="str">
        <f t="shared" si="1"/>
        <v/>
      </c>
      <c r="K73" s="90" t="str">
        <f t="shared" si="1"/>
        <v/>
      </c>
      <c r="L73" s="90" t="str">
        <f t="shared" si="1"/>
        <v/>
      </c>
      <c r="M73" s="90" t="str">
        <f t="shared" si="1"/>
        <v/>
      </c>
      <c r="N73" s="90" t="str">
        <f t="shared" si="1"/>
        <v/>
      </c>
      <c r="O73" s="90" t="str">
        <f t="shared" si="1"/>
        <v/>
      </c>
      <c r="P73" s="90" t="str">
        <f t="shared" si="1"/>
        <v/>
      </c>
      <c r="Q73" s="90" t="str">
        <f t="shared" si="1"/>
        <v/>
      </c>
      <c r="R73" s="90" t="str">
        <f t="shared" si="1"/>
        <v/>
      </c>
      <c r="S73" s="90" t="str">
        <f t="shared" si="1"/>
        <v/>
      </c>
      <c r="T73" s="90" t="str">
        <f t="shared" si="1"/>
        <v/>
      </c>
      <c r="U73" s="90" t="str">
        <f t="shared" si="1"/>
        <v/>
      </c>
      <c r="V73" s="90" t="str">
        <f t="shared" si="1"/>
        <v/>
      </c>
      <c r="W73" s="90" t="str">
        <f t="shared" si="1"/>
        <v/>
      </c>
      <c r="X73" s="90" t="str">
        <f t="shared" si="1"/>
        <v/>
      </c>
      <c r="Y73" s="90" t="str">
        <f t="shared" si="1"/>
        <v/>
      </c>
      <c r="Z73" s="90" t="str">
        <f t="shared" si="1"/>
        <v/>
      </c>
      <c r="AA73" s="90" t="str">
        <f t="shared" si="1"/>
        <v/>
      </c>
      <c r="AB73" s="90" t="str">
        <f t="shared" si="1"/>
        <v/>
      </c>
      <c r="AC73" s="90" t="str">
        <f t="shared" si="1"/>
        <v/>
      </c>
      <c r="AD73" s="90" t="str">
        <f t="shared" si="1"/>
        <v/>
      </c>
      <c r="AE73" s="90" t="str">
        <f t="shared" si="1"/>
        <v/>
      </c>
      <c r="AF73" s="90" t="str">
        <f t="shared" si="1"/>
        <v/>
      </c>
      <c r="AG73" s="90" t="str">
        <f t="shared" si="1"/>
        <v/>
      </c>
      <c r="AH73" s="90" t="str">
        <f t="shared" si="1"/>
        <v/>
      </c>
      <c r="AI73" s="90" t="str">
        <f t="shared" si="1"/>
        <v/>
      </c>
      <c r="AJ73" s="90" t="str">
        <f t="shared" ref="AJ73:AM73" si="2">IF(AJ47=AJ19,"","*")</f>
        <v/>
      </c>
      <c r="AK73" s="90" t="str">
        <f t="shared" si="2"/>
        <v/>
      </c>
      <c r="AL73" s="90" t="str">
        <f t="shared" si="2"/>
        <v/>
      </c>
      <c r="AM73" s="90" t="str">
        <f t="shared" si="2"/>
        <v/>
      </c>
    </row>
    <row r="74" spans="1:55" ht="21" hidden="1" customHeight="1">
      <c r="A74" s="109" t="s">
        <v>279</v>
      </c>
      <c r="B74" s="94" t="s">
        <v>14</v>
      </c>
      <c r="C74" s="90" t="str">
        <f t="shared" ref="C74:AM80" si="3">IF(C48=C20,"","*")</f>
        <v/>
      </c>
      <c r="D74" s="90" t="str">
        <f t="shared" si="3"/>
        <v/>
      </c>
      <c r="E74" s="90" t="str">
        <f t="shared" si="3"/>
        <v/>
      </c>
      <c r="F74" s="90" t="str">
        <f t="shared" si="3"/>
        <v/>
      </c>
      <c r="G74" s="90" t="str">
        <f t="shared" si="3"/>
        <v/>
      </c>
      <c r="H74" s="90" t="str">
        <f t="shared" si="3"/>
        <v/>
      </c>
      <c r="I74" s="90" t="str">
        <f t="shared" si="3"/>
        <v/>
      </c>
      <c r="J74" s="90" t="str">
        <f t="shared" si="3"/>
        <v/>
      </c>
      <c r="K74" s="90" t="str">
        <f t="shared" si="3"/>
        <v/>
      </c>
      <c r="L74" s="90" t="str">
        <f t="shared" si="3"/>
        <v/>
      </c>
      <c r="M74" s="90" t="str">
        <f t="shared" si="3"/>
        <v/>
      </c>
      <c r="N74" s="90" t="str">
        <f t="shared" si="3"/>
        <v/>
      </c>
      <c r="O74" s="90" t="str">
        <f t="shared" si="3"/>
        <v/>
      </c>
      <c r="P74" s="90" t="str">
        <f t="shared" si="3"/>
        <v/>
      </c>
      <c r="Q74" s="90" t="str">
        <f t="shared" si="3"/>
        <v/>
      </c>
      <c r="R74" s="90" t="str">
        <f t="shared" si="3"/>
        <v/>
      </c>
      <c r="S74" s="90" t="str">
        <f t="shared" si="3"/>
        <v/>
      </c>
      <c r="T74" s="90" t="str">
        <f t="shared" si="3"/>
        <v/>
      </c>
      <c r="U74" s="90" t="str">
        <f t="shared" si="3"/>
        <v/>
      </c>
      <c r="V74" s="90" t="str">
        <f t="shared" si="3"/>
        <v/>
      </c>
      <c r="W74" s="90" t="str">
        <f t="shared" si="3"/>
        <v/>
      </c>
      <c r="X74" s="90" t="str">
        <f t="shared" si="3"/>
        <v/>
      </c>
      <c r="Y74" s="90" t="str">
        <f t="shared" si="3"/>
        <v/>
      </c>
      <c r="Z74" s="90" t="str">
        <f t="shared" si="3"/>
        <v/>
      </c>
      <c r="AA74" s="90" t="str">
        <f t="shared" si="3"/>
        <v/>
      </c>
      <c r="AB74" s="90" t="str">
        <f t="shared" si="3"/>
        <v/>
      </c>
      <c r="AC74" s="90" t="str">
        <f t="shared" si="3"/>
        <v/>
      </c>
      <c r="AD74" s="90" t="str">
        <f t="shared" si="3"/>
        <v/>
      </c>
      <c r="AE74" s="90" t="str">
        <f t="shared" si="3"/>
        <v/>
      </c>
      <c r="AF74" s="90" t="str">
        <f t="shared" si="3"/>
        <v/>
      </c>
      <c r="AG74" s="90" t="str">
        <f t="shared" si="3"/>
        <v/>
      </c>
      <c r="AH74" s="90" t="str">
        <f t="shared" si="3"/>
        <v/>
      </c>
      <c r="AI74" s="90" t="str">
        <f t="shared" si="3"/>
        <v/>
      </c>
      <c r="AJ74" s="90" t="str">
        <f t="shared" si="3"/>
        <v/>
      </c>
      <c r="AK74" s="90" t="str">
        <f t="shared" si="3"/>
        <v/>
      </c>
      <c r="AL74" s="90" t="str">
        <f t="shared" si="3"/>
        <v/>
      </c>
      <c r="AM74" s="90" t="str">
        <f t="shared" si="3"/>
        <v/>
      </c>
    </row>
    <row r="75" spans="1:55" ht="21" hidden="1" customHeight="1">
      <c r="A75" s="109" t="s">
        <v>280</v>
      </c>
      <c r="B75" s="94" t="s">
        <v>15</v>
      </c>
      <c r="C75" s="90" t="str">
        <f t="shared" si="3"/>
        <v>*</v>
      </c>
      <c r="D75" s="90" t="str">
        <f t="shared" si="3"/>
        <v/>
      </c>
      <c r="E75" s="90" t="str">
        <f t="shared" si="3"/>
        <v/>
      </c>
      <c r="F75" s="90" t="str">
        <f t="shared" si="3"/>
        <v/>
      </c>
      <c r="G75" s="90" t="str">
        <f t="shared" si="3"/>
        <v/>
      </c>
      <c r="H75" s="90" t="str">
        <f t="shared" si="3"/>
        <v/>
      </c>
      <c r="I75" s="90" t="str">
        <f t="shared" si="3"/>
        <v/>
      </c>
      <c r="J75" s="90" t="str">
        <f t="shared" si="3"/>
        <v/>
      </c>
      <c r="K75" s="90" t="str">
        <f t="shared" si="3"/>
        <v/>
      </c>
      <c r="L75" s="90" t="str">
        <f t="shared" si="3"/>
        <v/>
      </c>
      <c r="M75" s="90" t="str">
        <f t="shared" si="3"/>
        <v/>
      </c>
      <c r="N75" s="90" t="str">
        <f t="shared" si="3"/>
        <v/>
      </c>
      <c r="O75" s="90" t="str">
        <f t="shared" si="3"/>
        <v/>
      </c>
      <c r="P75" s="90" t="str">
        <f t="shared" si="3"/>
        <v/>
      </c>
      <c r="Q75" s="90" t="str">
        <f t="shared" si="3"/>
        <v/>
      </c>
      <c r="R75" s="90" t="str">
        <f t="shared" si="3"/>
        <v/>
      </c>
      <c r="S75" s="90" t="str">
        <f t="shared" si="3"/>
        <v/>
      </c>
      <c r="T75" s="90" t="str">
        <f t="shared" si="3"/>
        <v/>
      </c>
      <c r="U75" s="90" t="str">
        <f t="shared" si="3"/>
        <v/>
      </c>
      <c r="V75" s="90" t="str">
        <f t="shared" si="3"/>
        <v/>
      </c>
      <c r="W75" s="90" t="str">
        <f t="shared" si="3"/>
        <v/>
      </c>
      <c r="X75" s="90" t="str">
        <f t="shared" si="3"/>
        <v/>
      </c>
      <c r="Y75" s="90" t="str">
        <f t="shared" si="3"/>
        <v/>
      </c>
      <c r="Z75" s="90" t="str">
        <f t="shared" si="3"/>
        <v/>
      </c>
      <c r="AA75" s="90" t="str">
        <f t="shared" si="3"/>
        <v/>
      </c>
      <c r="AB75" s="90" t="str">
        <f t="shared" si="3"/>
        <v/>
      </c>
      <c r="AC75" s="90" t="str">
        <f t="shared" si="3"/>
        <v/>
      </c>
      <c r="AD75" s="90" t="str">
        <f t="shared" si="3"/>
        <v/>
      </c>
      <c r="AE75" s="90" t="str">
        <f t="shared" si="3"/>
        <v/>
      </c>
      <c r="AF75" s="90" t="str">
        <f t="shared" si="3"/>
        <v/>
      </c>
      <c r="AG75" s="90" t="str">
        <f t="shared" si="3"/>
        <v/>
      </c>
      <c r="AH75" s="90" t="str">
        <f t="shared" si="3"/>
        <v/>
      </c>
      <c r="AI75" s="90" t="str">
        <f t="shared" si="3"/>
        <v/>
      </c>
      <c r="AJ75" s="90" t="str">
        <f t="shared" si="3"/>
        <v/>
      </c>
      <c r="AK75" s="90" t="str">
        <f t="shared" si="3"/>
        <v/>
      </c>
      <c r="AL75" s="90" t="str">
        <f t="shared" si="3"/>
        <v/>
      </c>
      <c r="AM75" s="90" t="str">
        <f t="shared" si="3"/>
        <v/>
      </c>
    </row>
    <row r="76" spans="1:55" ht="21" hidden="1" customHeight="1">
      <c r="A76" s="109" t="s">
        <v>281</v>
      </c>
      <c r="B76" s="94" t="s">
        <v>16</v>
      </c>
      <c r="C76" s="90" t="str">
        <f t="shared" si="3"/>
        <v/>
      </c>
      <c r="D76" s="90" t="str">
        <f t="shared" si="3"/>
        <v/>
      </c>
      <c r="E76" s="90" t="str">
        <f t="shared" si="3"/>
        <v/>
      </c>
      <c r="F76" s="90" t="str">
        <f t="shared" si="3"/>
        <v/>
      </c>
      <c r="G76" s="90" t="str">
        <f t="shared" si="3"/>
        <v/>
      </c>
      <c r="H76" s="90" t="str">
        <f t="shared" si="3"/>
        <v/>
      </c>
      <c r="I76" s="90" t="str">
        <f t="shared" si="3"/>
        <v/>
      </c>
      <c r="J76" s="90" t="str">
        <f t="shared" si="3"/>
        <v/>
      </c>
      <c r="K76" s="90" t="str">
        <f t="shared" si="3"/>
        <v/>
      </c>
      <c r="L76" s="90" t="str">
        <f t="shared" si="3"/>
        <v/>
      </c>
      <c r="M76" s="90" t="str">
        <f t="shared" si="3"/>
        <v/>
      </c>
      <c r="N76" s="90" t="str">
        <f t="shared" si="3"/>
        <v/>
      </c>
      <c r="O76" s="90" t="str">
        <f t="shared" si="3"/>
        <v/>
      </c>
      <c r="P76" s="90" t="str">
        <f t="shared" si="3"/>
        <v/>
      </c>
      <c r="Q76" s="90" t="str">
        <f t="shared" si="3"/>
        <v/>
      </c>
      <c r="R76" s="90" t="str">
        <f t="shared" si="3"/>
        <v/>
      </c>
      <c r="S76" s="90" t="str">
        <f t="shared" si="3"/>
        <v/>
      </c>
      <c r="T76" s="90" t="str">
        <f t="shared" si="3"/>
        <v/>
      </c>
      <c r="U76" s="90" t="str">
        <f t="shared" si="3"/>
        <v/>
      </c>
      <c r="V76" s="90" t="str">
        <f t="shared" si="3"/>
        <v/>
      </c>
      <c r="W76" s="90" t="str">
        <f t="shared" si="3"/>
        <v/>
      </c>
      <c r="X76" s="90" t="str">
        <f t="shared" si="3"/>
        <v/>
      </c>
      <c r="Y76" s="90" t="str">
        <f t="shared" si="3"/>
        <v/>
      </c>
      <c r="Z76" s="90" t="str">
        <f t="shared" si="3"/>
        <v/>
      </c>
      <c r="AA76" s="90" t="str">
        <f t="shared" si="3"/>
        <v/>
      </c>
      <c r="AB76" s="90" t="str">
        <f t="shared" si="3"/>
        <v/>
      </c>
      <c r="AC76" s="90" t="str">
        <f t="shared" si="3"/>
        <v/>
      </c>
      <c r="AD76" s="90" t="str">
        <f t="shared" si="3"/>
        <v/>
      </c>
      <c r="AE76" s="90" t="str">
        <f t="shared" si="3"/>
        <v/>
      </c>
      <c r="AF76" s="90" t="str">
        <f t="shared" si="3"/>
        <v/>
      </c>
      <c r="AG76" s="90" t="str">
        <f t="shared" si="3"/>
        <v/>
      </c>
      <c r="AH76" s="90" t="str">
        <f t="shared" si="3"/>
        <v/>
      </c>
      <c r="AI76" s="90" t="str">
        <f t="shared" si="3"/>
        <v/>
      </c>
      <c r="AJ76" s="90" t="str">
        <f t="shared" si="3"/>
        <v/>
      </c>
      <c r="AK76" s="90" t="str">
        <f t="shared" si="3"/>
        <v/>
      </c>
      <c r="AL76" s="90" t="str">
        <f t="shared" si="3"/>
        <v/>
      </c>
      <c r="AM76" s="90" t="str">
        <f t="shared" si="3"/>
        <v/>
      </c>
    </row>
    <row r="77" spans="1:55" ht="21" hidden="1" customHeight="1">
      <c r="A77" s="109" t="s">
        <v>282</v>
      </c>
      <c r="B77" s="94" t="s">
        <v>17</v>
      </c>
      <c r="C77" s="90" t="str">
        <f t="shared" si="3"/>
        <v/>
      </c>
      <c r="D77" s="90" t="str">
        <f t="shared" si="3"/>
        <v/>
      </c>
      <c r="E77" s="90" t="str">
        <f t="shared" si="3"/>
        <v/>
      </c>
      <c r="F77" s="90" t="str">
        <f t="shared" si="3"/>
        <v/>
      </c>
      <c r="G77" s="90" t="str">
        <f t="shared" si="3"/>
        <v/>
      </c>
      <c r="H77" s="90" t="str">
        <f t="shared" si="3"/>
        <v/>
      </c>
      <c r="I77" s="90" t="str">
        <f t="shared" si="3"/>
        <v/>
      </c>
      <c r="J77" s="90" t="str">
        <f t="shared" si="3"/>
        <v/>
      </c>
      <c r="K77" s="90" t="str">
        <f t="shared" si="3"/>
        <v/>
      </c>
      <c r="L77" s="90" t="str">
        <f t="shared" si="3"/>
        <v/>
      </c>
      <c r="M77" s="90" t="str">
        <f t="shared" si="3"/>
        <v/>
      </c>
      <c r="N77" s="90" t="str">
        <f t="shared" si="3"/>
        <v/>
      </c>
      <c r="O77" s="90" t="str">
        <f t="shared" si="3"/>
        <v/>
      </c>
      <c r="P77" s="90" t="str">
        <f t="shared" si="3"/>
        <v/>
      </c>
      <c r="Q77" s="90" t="str">
        <f t="shared" si="3"/>
        <v/>
      </c>
      <c r="R77" s="90" t="str">
        <f t="shared" si="3"/>
        <v/>
      </c>
      <c r="S77" s="90" t="str">
        <f t="shared" si="3"/>
        <v/>
      </c>
      <c r="T77" s="90" t="str">
        <f t="shared" si="3"/>
        <v/>
      </c>
      <c r="U77" s="90" t="str">
        <f t="shared" si="3"/>
        <v/>
      </c>
      <c r="V77" s="90" t="str">
        <f t="shared" si="3"/>
        <v/>
      </c>
      <c r="W77" s="90" t="str">
        <f t="shared" si="3"/>
        <v/>
      </c>
      <c r="X77" s="90" t="str">
        <f t="shared" si="3"/>
        <v/>
      </c>
      <c r="Y77" s="90" t="str">
        <f t="shared" si="3"/>
        <v/>
      </c>
      <c r="Z77" s="90" t="str">
        <f t="shared" si="3"/>
        <v/>
      </c>
      <c r="AA77" s="90" t="str">
        <f t="shared" si="3"/>
        <v/>
      </c>
      <c r="AB77" s="90" t="str">
        <f t="shared" si="3"/>
        <v/>
      </c>
      <c r="AC77" s="90" t="str">
        <f t="shared" si="3"/>
        <v/>
      </c>
      <c r="AD77" s="90" t="str">
        <f t="shared" si="3"/>
        <v/>
      </c>
      <c r="AE77" s="90" t="str">
        <f t="shared" si="3"/>
        <v/>
      </c>
      <c r="AF77" s="90" t="str">
        <f t="shared" si="3"/>
        <v/>
      </c>
      <c r="AG77" s="90" t="str">
        <f t="shared" si="3"/>
        <v/>
      </c>
      <c r="AH77" s="90" t="str">
        <f t="shared" si="3"/>
        <v/>
      </c>
      <c r="AI77" s="90" t="str">
        <f t="shared" si="3"/>
        <v/>
      </c>
      <c r="AJ77" s="90" t="str">
        <f t="shared" si="3"/>
        <v/>
      </c>
      <c r="AK77" s="90" t="str">
        <f t="shared" si="3"/>
        <v/>
      </c>
      <c r="AL77" s="90" t="str">
        <f t="shared" si="3"/>
        <v/>
      </c>
      <c r="AM77" s="90" t="str">
        <f t="shared" si="3"/>
        <v/>
      </c>
    </row>
    <row r="78" spans="1:55" ht="21" hidden="1" customHeight="1">
      <c r="A78" s="109" t="s">
        <v>283</v>
      </c>
      <c r="B78" s="94" t="s">
        <v>18</v>
      </c>
      <c r="C78" s="90" t="str">
        <f t="shared" si="3"/>
        <v/>
      </c>
      <c r="D78" s="90" t="str">
        <f t="shared" si="3"/>
        <v/>
      </c>
      <c r="E78" s="90" t="str">
        <f t="shared" si="3"/>
        <v/>
      </c>
      <c r="F78" s="90" t="str">
        <f t="shared" si="3"/>
        <v/>
      </c>
      <c r="G78" s="90" t="str">
        <f t="shared" si="3"/>
        <v/>
      </c>
      <c r="H78" s="90" t="str">
        <f t="shared" si="3"/>
        <v/>
      </c>
      <c r="I78" s="90" t="str">
        <f t="shared" si="3"/>
        <v/>
      </c>
      <c r="J78" s="90" t="str">
        <f t="shared" si="3"/>
        <v/>
      </c>
      <c r="K78" s="90" t="str">
        <f t="shared" si="3"/>
        <v/>
      </c>
      <c r="L78" s="90" t="str">
        <f t="shared" si="3"/>
        <v/>
      </c>
      <c r="M78" s="90" t="str">
        <f t="shared" si="3"/>
        <v/>
      </c>
      <c r="N78" s="90" t="str">
        <f t="shared" si="3"/>
        <v/>
      </c>
      <c r="O78" s="90" t="str">
        <f t="shared" si="3"/>
        <v/>
      </c>
      <c r="P78" s="90" t="str">
        <f t="shared" si="3"/>
        <v/>
      </c>
      <c r="Q78" s="90" t="str">
        <f t="shared" si="3"/>
        <v/>
      </c>
      <c r="R78" s="90" t="str">
        <f t="shared" si="3"/>
        <v/>
      </c>
      <c r="S78" s="90" t="str">
        <f t="shared" si="3"/>
        <v/>
      </c>
      <c r="T78" s="90" t="str">
        <f t="shared" si="3"/>
        <v/>
      </c>
      <c r="U78" s="90" t="str">
        <f t="shared" si="3"/>
        <v/>
      </c>
      <c r="V78" s="90" t="str">
        <f t="shared" si="3"/>
        <v/>
      </c>
      <c r="W78" s="90" t="str">
        <f t="shared" si="3"/>
        <v/>
      </c>
      <c r="X78" s="90" t="str">
        <f t="shared" si="3"/>
        <v/>
      </c>
      <c r="Y78" s="90" t="str">
        <f t="shared" si="3"/>
        <v/>
      </c>
      <c r="Z78" s="90" t="str">
        <f t="shared" si="3"/>
        <v/>
      </c>
      <c r="AA78" s="90" t="str">
        <f t="shared" si="3"/>
        <v/>
      </c>
      <c r="AB78" s="90" t="str">
        <f t="shared" si="3"/>
        <v/>
      </c>
      <c r="AC78" s="90" t="str">
        <f t="shared" si="3"/>
        <v/>
      </c>
      <c r="AD78" s="90" t="str">
        <f t="shared" si="3"/>
        <v/>
      </c>
      <c r="AE78" s="90" t="str">
        <f t="shared" si="3"/>
        <v/>
      </c>
      <c r="AF78" s="90" t="str">
        <f t="shared" si="3"/>
        <v/>
      </c>
      <c r="AG78" s="90" t="str">
        <f t="shared" si="3"/>
        <v/>
      </c>
      <c r="AH78" s="90" t="str">
        <f t="shared" si="3"/>
        <v/>
      </c>
      <c r="AI78" s="90" t="str">
        <f t="shared" si="3"/>
        <v/>
      </c>
      <c r="AJ78" s="90" t="str">
        <f t="shared" si="3"/>
        <v/>
      </c>
      <c r="AK78" s="90" t="str">
        <f t="shared" si="3"/>
        <v/>
      </c>
      <c r="AL78" s="90" t="str">
        <f t="shared" si="3"/>
        <v/>
      </c>
      <c r="AM78" s="90" t="str">
        <f t="shared" si="3"/>
        <v/>
      </c>
    </row>
    <row r="79" spans="1:55" ht="21" hidden="1" customHeight="1">
      <c r="A79" s="109" t="s">
        <v>284</v>
      </c>
      <c r="B79" s="94" t="s">
        <v>19</v>
      </c>
      <c r="C79" s="90" t="str">
        <f t="shared" si="3"/>
        <v/>
      </c>
      <c r="D79" s="90" t="str">
        <f t="shared" si="3"/>
        <v/>
      </c>
      <c r="E79" s="90" t="str">
        <f t="shared" si="3"/>
        <v/>
      </c>
      <c r="F79" s="90" t="str">
        <f t="shared" si="3"/>
        <v/>
      </c>
      <c r="G79" s="90" t="str">
        <f t="shared" si="3"/>
        <v/>
      </c>
      <c r="H79" s="90" t="str">
        <f t="shared" si="3"/>
        <v/>
      </c>
      <c r="I79" s="90" t="str">
        <f t="shared" si="3"/>
        <v/>
      </c>
      <c r="J79" s="90" t="str">
        <f t="shared" si="3"/>
        <v/>
      </c>
      <c r="K79" s="90" t="str">
        <f t="shared" si="3"/>
        <v/>
      </c>
      <c r="L79" s="90" t="str">
        <f t="shared" si="3"/>
        <v/>
      </c>
      <c r="M79" s="90" t="str">
        <f t="shared" si="3"/>
        <v/>
      </c>
      <c r="N79" s="90" t="str">
        <f t="shared" si="3"/>
        <v/>
      </c>
      <c r="O79" s="90" t="str">
        <f t="shared" si="3"/>
        <v/>
      </c>
      <c r="P79" s="90" t="str">
        <f t="shared" si="3"/>
        <v/>
      </c>
      <c r="Q79" s="90" t="str">
        <f t="shared" si="3"/>
        <v/>
      </c>
      <c r="R79" s="90" t="str">
        <f t="shared" si="3"/>
        <v/>
      </c>
      <c r="S79" s="90" t="str">
        <f t="shared" si="3"/>
        <v/>
      </c>
      <c r="T79" s="90" t="str">
        <f t="shared" si="3"/>
        <v/>
      </c>
      <c r="U79" s="90" t="str">
        <f t="shared" si="3"/>
        <v/>
      </c>
      <c r="V79" s="90" t="str">
        <f t="shared" si="3"/>
        <v/>
      </c>
      <c r="W79" s="90" t="str">
        <f t="shared" si="3"/>
        <v/>
      </c>
      <c r="X79" s="90" t="str">
        <f t="shared" si="3"/>
        <v/>
      </c>
      <c r="Y79" s="90" t="str">
        <f t="shared" si="3"/>
        <v/>
      </c>
      <c r="Z79" s="90" t="str">
        <f t="shared" si="3"/>
        <v/>
      </c>
      <c r="AA79" s="90" t="str">
        <f t="shared" si="3"/>
        <v/>
      </c>
      <c r="AB79" s="90" t="str">
        <f t="shared" si="3"/>
        <v/>
      </c>
      <c r="AC79" s="90" t="str">
        <f t="shared" si="3"/>
        <v/>
      </c>
      <c r="AD79" s="90" t="str">
        <f t="shared" si="3"/>
        <v/>
      </c>
      <c r="AE79" s="90" t="str">
        <f t="shared" si="3"/>
        <v/>
      </c>
      <c r="AF79" s="90" t="str">
        <f t="shared" si="3"/>
        <v/>
      </c>
      <c r="AG79" s="90" t="str">
        <f t="shared" si="3"/>
        <v/>
      </c>
      <c r="AH79" s="90" t="str">
        <f t="shared" si="3"/>
        <v/>
      </c>
      <c r="AI79" s="90" t="str">
        <f t="shared" si="3"/>
        <v/>
      </c>
      <c r="AJ79" s="90" t="str">
        <f t="shared" si="3"/>
        <v/>
      </c>
      <c r="AK79" s="90" t="str">
        <f t="shared" si="3"/>
        <v/>
      </c>
      <c r="AL79" s="90" t="str">
        <f t="shared" si="3"/>
        <v/>
      </c>
      <c r="AM79" s="90" t="str">
        <f t="shared" si="3"/>
        <v/>
      </c>
    </row>
    <row r="80" spans="1:55" ht="21" hidden="1" customHeight="1">
      <c r="A80" s="109" t="s">
        <v>285</v>
      </c>
      <c r="B80" s="94" t="s">
        <v>20</v>
      </c>
      <c r="C80" s="90" t="str">
        <f t="shared" si="3"/>
        <v/>
      </c>
      <c r="D80" s="90" t="str">
        <f t="shared" si="3"/>
        <v/>
      </c>
      <c r="E80" s="90" t="str">
        <f t="shared" si="3"/>
        <v/>
      </c>
      <c r="F80" s="90" t="str">
        <f t="shared" si="3"/>
        <v/>
      </c>
      <c r="G80" s="90" t="str">
        <f t="shared" si="3"/>
        <v/>
      </c>
      <c r="H80" s="90" t="str">
        <f t="shared" si="3"/>
        <v/>
      </c>
      <c r="I80" s="90" t="str">
        <f t="shared" si="3"/>
        <v/>
      </c>
      <c r="J80" s="90" t="str">
        <f t="shared" si="3"/>
        <v/>
      </c>
      <c r="K80" s="90" t="str">
        <f t="shared" si="3"/>
        <v/>
      </c>
      <c r="L80" s="90" t="str">
        <f t="shared" si="3"/>
        <v/>
      </c>
      <c r="M80" s="90" t="str">
        <f t="shared" si="3"/>
        <v/>
      </c>
      <c r="N80" s="90" t="str">
        <f t="shared" si="3"/>
        <v/>
      </c>
      <c r="O80" s="90" t="str">
        <f t="shared" si="3"/>
        <v/>
      </c>
      <c r="P80" s="90" t="str">
        <f t="shared" si="3"/>
        <v/>
      </c>
      <c r="Q80" s="90" t="str">
        <f t="shared" si="3"/>
        <v/>
      </c>
      <c r="R80" s="90" t="str">
        <f t="shared" si="3"/>
        <v/>
      </c>
      <c r="S80" s="90" t="str">
        <f t="shared" si="3"/>
        <v/>
      </c>
      <c r="T80" s="90" t="str">
        <f t="shared" si="3"/>
        <v/>
      </c>
      <c r="U80" s="90" t="str">
        <f t="shared" si="3"/>
        <v/>
      </c>
      <c r="V80" s="90" t="str">
        <f t="shared" si="3"/>
        <v/>
      </c>
      <c r="W80" s="90" t="str">
        <f t="shared" si="3"/>
        <v/>
      </c>
      <c r="X80" s="90" t="str">
        <f t="shared" si="3"/>
        <v/>
      </c>
      <c r="Y80" s="90" t="str">
        <f t="shared" si="3"/>
        <v/>
      </c>
      <c r="Z80" s="90" t="str">
        <f t="shared" si="3"/>
        <v/>
      </c>
      <c r="AA80" s="90" t="str">
        <f t="shared" si="3"/>
        <v/>
      </c>
      <c r="AB80" s="90" t="str">
        <f t="shared" si="3"/>
        <v/>
      </c>
      <c r="AC80" s="90" t="str">
        <f t="shared" si="3"/>
        <v/>
      </c>
      <c r="AD80" s="90" t="str">
        <f t="shared" si="3"/>
        <v/>
      </c>
      <c r="AE80" s="90" t="str">
        <f t="shared" si="3"/>
        <v/>
      </c>
      <c r="AF80" s="90" t="str">
        <f t="shared" si="3"/>
        <v/>
      </c>
      <c r="AG80" s="90" t="str">
        <f t="shared" si="3"/>
        <v/>
      </c>
      <c r="AH80" s="90" t="str">
        <f t="shared" si="3"/>
        <v/>
      </c>
      <c r="AI80" s="90" t="str">
        <f t="shared" si="3"/>
        <v/>
      </c>
      <c r="AJ80" s="90" t="str">
        <f t="shared" ref="AJ80:AM80" si="4">IF(AJ54=AJ26,"","*")</f>
        <v/>
      </c>
      <c r="AK80" s="90" t="str">
        <f t="shared" si="4"/>
        <v/>
      </c>
      <c r="AL80" s="90" t="str">
        <f t="shared" si="4"/>
        <v/>
      </c>
      <c r="AM80" s="90" t="str">
        <f t="shared" si="4"/>
        <v/>
      </c>
    </row>
    <row r="81" spans="1:39" ht="21" hidden="1" customHeight="1">
      <c r="A81" s="109" t="s">
        <v>286</v>
      </c>
      <c r="B81" s="94" t="s">
        <v>21</v>
      </c>
      <c r="C81" s="90" t="str">
        <f t="shared" ref="C81:AM81" si="5">IF(C55=C27,"","*")</f>
        <v/>
      </c>
      <c r="D81" s="90" t="str">
        <f t="shared" si="5"/>
        <v/>
      </c>
      <c r="E81" s="90" t="str">
        <f t="shared" si="5"/>
        <v/>
      </c>
      <c r="F81" s="90" t="str">
        <f t="shared" si="5"/>
        <v/>
      </c>
      <c r="G81" s="90" t="str">
        <f t="shared" si="5"/>
        <v/>
      </c>
      <c r="H81" s="90" t="str">
        <f t="shared" si="5"/>
        <v/>
      </c>
      <c r="I81" s="90" t="str">
        <f t="shared" si="5"/>
        <v/>
      </c>
      <c r="J81" s="90" t="str">
        <f t="shared" si="5"/>
        <v/>
      </c>
      <c r="K81" s="90" t="str">
        <f t="shared" si="5"/>
        <v/>
      </c>
      <c r="L81" s="90" t="str">
        <f t="shared" si="5"/>
        <v/>
      </c>
      <c r="M81" s="90" t="str">
        <f t="shared" si="5"/>
        <v/>
      </c>
      <c r="N81" s="90" t="str">
        <f t="shared" si="5"/>
        <v/>
      </c>
      <c r="O81" s="90" t="str">
        <f t="shared" si="5"/>
        <v/>
      </c>
      <c r="P81" s="90" t="str">
        <f t="shared" si="5"/>
        <v/>
      </c>
      <c r="Q81" s="90" t="str">
        <f t="shared" si="5"/>
        <v/>
      </c>
      <c r="R81" s="90" t="str">
        <f t="shared" si="5"/>
        <v/>
      </c>
      <c r="S81" s="90" t="str">
        <f t="shared" si="5"/>
        <v/>
      </c>
      <c r="T81" s="90" t="str">
        <f t="shared" si="5"/>
        <v/>
      </c>
      <c r="U81" s="90" t="str">
        <f t="shared" si="5"/>
        <v/>
      </c>
      <c r="V81" s="90" t="str">
        <f t="shared" si="5"/>
        <v/>
      </c>
      <c r="W81" s="90" t="str">
        <f t="shared" si="5"/>
        <v/>
      </c>
      <c r="X81" s="90" t="str">
        <f t="shared" si="5"/>
        <v/>
      </c>
      <c r="Y81" s="90" t="str">
        <f t="shared" si="5"/>
        <v/>
      </c>
      <c r="Z81" s="90" t="str">
        <f t="shared" si="5"/>
        <v/>
      </c>
      <c r="AA81" s="90" t="str">
        <f t="shared" si="5"/>
        <v/>
      </c>
      <c r="AB81" s="90" t="str">
        <f t="shared" si="5"/>
        <v/>
      </c>
      <c r="AC81" s="90" t="str">
        <f t="shared" si="5"/>
        <v/>
      </c>
      <c r="AD81" s="90" t="str">
        <f t="shared" si="5"/>
        <v/>
      </c>
      <c r="AE81" s="90" t="str">
        <f t="shared" si="5"/>
        <v/>
      </c>
      <c r="AF81" s="90" t="str">
        <f t="shared" si="5"/>
        <v/>
      </c>
      <c r="AG81" s="90" t="str">
        <f t="shared" si="5"/>
        <v/>
      </c>
      <c r="AH81" s="90" t="str">
        <f t="shared" si="5"/>
        <v/>
      </c>
      <c r="AI81" s="90" t="str">
        <f t="shared" si="5"/>
        <v/>
      </c>
      <c r="AJ81" s="90" t="str">
        <f t="shared" si="5"/>
        <v/>
      </c>
      <c r="AK81" s="90" t="str">
        <f t="shared" si="5"/>
        <v/>
      </c>
      <c r="AL81" s="90" t="str">
        <f t="shared" si="5"/>
        <v/>
      </c>
      <c r="AM81" s="90" t="str">
        <f t="shared" si="5"/>
        <v/>
      </c>
    </row>
    <row r="82" spans="1:39" ht="21" hidden="1" customHeight="1">
      <c r="A82" s="109" t="s">
        <v>287</v>
      </c>
      <c r="B82" s="108" t="s">
        <v>288</v>
      </c>
      <c r="C82" s="90" t="e">
        <f>IF(C56=#REF!,"","*")</f>
        <v>#REF!</v>
      </c>
      <c r="D82" s="90" t="e">
        <f>IF(D56=#REF!,"","*")</f>
        <v>#REF!</v>
      </c>
      <c r="E82" s="90" t="e">
        <f>IF(E56=#REF!,"","*")</f>
        <v>#REF!</v>
      </c>
      <c r="F82" s="90" t="e">
        <f>IF(F56=#REF!,"","*")</f>
        <v>#REF!</v>
      </c>
      <c r="G82" s="90" t="e">
        <f>IF(G56=#REF!,"","*")</f>
        <v>#REF!</v>
      </c>
      <c r="H82" s="90" t="e">
        <f>IF(H56=#REF!,"","*")</f>
        <v>#REF!</v>
      </c>
      <c r="I82" s="90" t="e">
        <f>IF(I56=#REF!,"","*")</f>
        <v>#REF!</v>
      </c>
      <c r="J82" s="90" t="e">
        <f>IF(J56=#REF!,"","*")</f>
        <v>#REF!</v>
      </c>
      <c r="K82" s="90" t="e">
        <f>IF(K56=#REF!,"","*")</f>
        <v>#REF!</v>
      </c>
      <c r="L82" s="90" t="e">
        <f>IF(L56=#REF!,"","*")</f>
        <v>#REF!</v>
      </c>
      <c r="M82" s="90" t="e">
        <f>IF(M56=#REF!,"","*")</f>
        <v>#REF!</v>
      </c>
      <c r="N82" s="90" t="e">
        <f>IF(N56=#REF!,"","*")</f>
        <v>#REF!</v>
      </c>
      <c r="O82" s="90" t="e">
        <f>IF(O56=#REF!,"","*")</f>
        <v>#REF!</v>
      </c>
      <c r="P82" s="90" t="e">
        <f>IF(P56=#REF!,"","*")</f>
        <v>#REF!</v>
      </c>
      <c r="Q82" s="90" t="e">
        <f>IF(Q56=#REF!,"","*")</f>
        <v>#REF!</v>
      </c>
      <c r="R82" s="90" t="e">
        <f>IF(R56=#REF!,"","*")</f>
        <v>#REF!</v>
      </c>
      <c r="S82" s="90" t="e">
        <f>IF(S56=#REF!,"","*")</f>
        <v>#REF!</v>
      </c>
      <c r="T82" s="90" t="e">
        <f>IF(T56=#REF!,"","*")</f>
        <v>#REF!</v>
      </c>
      <c r="U82" s="90" t="e">
        <f>IF(U56=#REF!,"","*")</f>
        <v>#REF!</v>
      </c>
      <c r="V82" s="90" t="e">
        <f>IF(V56=#REF!,"","*")</f>
        <v>#REF!</v>
      </c>
      <c r="W82" s="90" t="e">
        <f>IF(W56=#REF!,"","*")</f>
        <v>#REF!</v>
      </c>
      <c r="X82" s="90" t="e">
        <f>IF(X56=#REF!,"","*")</f>
        <v>#REF!</v>
      </c>
      <c r="Y82" s="90" t="e">
        <f>IF(Y56=#REF!,"","*")</f>
        <v>#REF!</v>
      </c>
      <c r="Z82" s="90" t="e">
        <f>IF(Z56=#REF!,"","*")</f>
        <v>#REF!</v>
      </c>
      <c r="AA82" s="90" t="e">
        <f>IF(AA56=#REF!,"","*")</f>
        <v>#REF!</v>
      </c>
      <c r="AB82" s="90" t="e">
        <f>IF(AB56=#REF!,"","*")</f>
        <v>#REF!</v>
      </c>
      <c r="AC82" s="90" t="e">
        <f>IF(AC56=#REF!,"","*")</f>
        <v>#REF!</v>
      </c>
      <c r="AD82" s="90" t="e">
        <f>IF(AD56=#REF!,"","*")</f>
        <v>#REF!</v>
      </c>
      <c r="AE82" s="90" t="e">
        <f>IF(AE56=#REF!,"","*")</f>
        <v>#REF!</v>
      </c>
      <c r="AF82" s="90" t="e">
        <f>IF(AF56=#REF!,"","*")</f>
        <v>#REF!</v>
      </c>
      <c r="AG82" s="90" t="e">
        <f>IF(AG56=#REF!,"","*")</f>
        <v>#REF!</v>
      </c>
      <c r="AH82" s="90" t="e">
        <f>IF(AH56=#REF!,"","*")</f>
        <v>#REF!</v>
      </c>
      <c r="AI82" s="90" t="e">
        <f>IF(AI56=#REF!,"","*")</f>
        <v>#REF!</v>
      </c>
      <c r="AJ82" s="90" t="e">
        <f>IF(AJ56=#REF!,"","*")</f>
        <v>#REF!</v>
      </c>
      <c r="AK82" s="90" t="e">
        <f>IF(AK56=#REF!,"","*")</f>
        <v>#REF!</v>
      </c>
      <c r="AL82" s="90" t="e">
        <f>IF(AL56=#REF!,"","*")</f>
        <v>#REF!</v>
      </c>
      <c r="AM82" s="90" t="e">
        <f>IF(AM56=#REF!,"","*")</f>
        <v>#REF!</v>
      </c>
    </row>
    <row r="83" spans="1:39" ht="21" hidden="1" customHeight="1">
      <c r="A83" s="109" t="s">
        <v>289</v>
      </c>
      <c r="B83" s="94" t="s">
        <v>22</v>
      </c>
      <c r="C83" s="90" t="str">
        <f>IF(C57=C28,"","*")</f>
        <v/>
      </c>
      <c r="D83" s="90" t="str">
        <f t="shared" ref="D83:AM84" si="6">IF(D57=D28,"","*")</f>
        <v/>
      </c>
      <c r="E83" s="90" t="str">
        <f t="shared" si="6"/>
        <v/>
      </c>
      <c r="F83" s="90" t="str">
        <f t="shared" si="6"/>
        <v/>
      </c>
      <c r="G83" s="90" t="str">
        <f t="shared" si="6"/>
        <v/>
      </c>
      <c r="H83" s="90" t="str">
        <f t="shared" si="6"/>
        <v/>
      </c>
      <c r="I83" s="90" t="str">
        <f t="shared" si="6"/>
        <v/>
      </c>
      <c r="J83" s="90" t="str">
        <f t="shared" si="6"/>
        <v/>
      </c>
      <c r="K83" s="90" t="str">
        <f t="shared" si="6"/>
        <v/>
      </c>
      <c r="L83" s="90" t="str">
        <f t="shared" si="6"/>
        <v/>
      </c>
      <c r="M83" s="90" t="str">
        <f t="shared" si="6"/>
        <v/>
      </c>
      <c r="N83" s="90" t="str">
        <f t="shared" si="6"/>
        <v/>
      </c>
      <c r="O83" s="90" t="str">
        <f t="shared" si="6"/>
        <v/>
      </c>
      <c r="P83" s="90" t="str">
        <f t="shared" si="6"/>
        <v/>
      </c>
      <c r="Q83" s="90" t="str">
        <f t="shared" si="6"/>
        <v/>
      </c>
      <c r="R83" s="90" t="str">
        <f t="shared" si="6"/>
        <v/>
      </c>
      <c r="S83" s="90" t="str">
        <f t="shared" si="6"/>
        <v/>
      </c>
      <c r="T83" s="90" t="str">
        <f t="shared" si="6"/>
        <v/>
      </c>
      <c r="U83" s="90" t="str">
        <f t="shared" si="6"/>
        <v/>
      </c>
      <c r="V83" s="90" t="str">
        <f t="shared" si="6"/>
        <v/>
      </c>
      <c r="W83" s="90" t="str">
        <f t="shared" si="6"/>
        <v/>
      </c>
      <c r="X83" s="90" t="str">
        <f t="shared" si="6"/>
        <v/>
      </c>
      <c r="Y83" s="90" t="str">
        <f t="shared" si="6"/>
        <v/>
      </c>
      <c r="Z83" s="90" t="str">
        <f t="shared" si="6"/>
        <v/>
      </c>
      <c r="AA83" s="90" t="str">
        <f t="shared" si="6"/>
        <v/>
      </c>
      <c r="AB83" s="90" t="str">
        <f t="shared" si="6"/>
        <v/>
      </c>
      <c r="AC83" s="90" t="str">
        <f t="shared" si="6"/>
        <v/>
      </c>
      <c r="AD83" s="90" t="str">
        <f t="shared" si="6"/>
        <v/>
      </c>
      <c r="AE83" s="90" t="str">
        <f t="shared" si="6"/>
        <v/>
      </c>
      <c r="AF83" s="90" t="str">
        <f t="shared" si="6"/>
        <v/>
      </c>
      <c r="AG83" s="90" t="str">
        <f t="shared" si="6"/>
        <v/>
      </c>
      <c r="AH83" s="90" t="str">
        <f t="shared" si="6"/>
        <v/>
      </c>
      <c r="AI83" s="90" t="str">
        <f t="shared" si="6"/>
        <v/>
      </c>
      <c r="AJ83" s="90" t="str">
        <f t="shared" si="6"/>
        <v/>
      </c>
      <c r="AK83" s="90" t="str">
        <f t="shared" si="6"/>
        <v/>
      </c>
      <c r="AL83" s="90" t="str">
        <f t="shared" si="6"/>
        <v/>
      </c>
      <c r="AM83" s="90" t="str">
        <f t="shared" si="6"/>
        <v/>
      </c>
    </row>
    <row r="84" spans="1:39" ht="21" hidden="1" customHeight="1">
      <c r="A84" s="110" t="s">
        <v>290</v>
      </c>
      <c r="B84" s="95" t="s">
        <v>23</v>
      </c>
      <c r="C84" s="90" t="str">
        <f>IF(C58=C29,"","*")</f>
        <v/>
      </c>
      <c r="D84" s="90" t="str">
        <f t="shared" si="6"/>
        <v/>
      </c>
      <c r="E84" s="90" t="str">
        <f t="shared" si="6"/>
        <v/>
      </c>
      <c r="F84" s="90" t="str">
        <f t="shared" si="6"/>
        <v/>
      </c>
      <c r="G84" s="90" t="str">
        <f t="shared" si="6"/>
        <v/>
      </c>
      <c r="H84" s="90" t="str">
        <f t="shared" si="6"/>
        <v/>
      </c>
      <c r="I84" s="90" t="str">
        <f t="shared" si="6"/>
        <v/>
      </c>
      <c r="J84" s="90" t="str">
        <f t="shared" si="6"/>
        <v/>
      </c>
      <c r="K84" s="90" t="str">
        <f t="shared" si="6"/>
        <v/>
      </c>
      <c r="L84" s="90" t="str">
        <f t="shared" si="6"/>
        <v/>
      </c>
      <c r="M84" s="90" t="str">
        <f t="shared" si="6"/>
        <v/>
      </c>
      <c r="N84" s="90" t="str">
        <f t="shared" si="6"/>
        <v/>
      </c>
      <c r="O84" s="90" t="str">
        <f t="shared" si="6"/>
        <v/>
      </c>
      <c r="P84" s="90" t="str">
        <f t="shared" si="6"/>
        <v/>
      </c>
      <c r="Q84" s="90" t="str">
        <f t="shared" si="6"/>
        <v/>
      </c>
      <c r="R84" s="90" t="str">
        <f t="shared" si="6"/>
        <v/>
      </c>
      <c r="S84" s="90" t="str">
        <f t="shared" si="6"/>
        <v/>
      </c>
      <c r="T84" s="90" t="str">
        <f t="shared" si="6"/>
        <v/>
      </c>
      <c r="U84" s="90" t="str">
        <f t="shared" si="6"/>
        <v/>
      </c>
      <c r="V84" s="90" t="str">
        <f t="shared" si="6"/>
        <v/>
      </c>
      <c r="W84" s="90" t="str">
        <f t="shared" si="6"/>
        <v/>
      </c>
      <c r="X84" s="90" t="str">
        <f t="shared" si="6"/>
        <v/>
      </c>
      <c r="Y84" s="90" t="str">
        <f t="shared" si="6"/>
        <v/>
      </c>
      <c r="Z84" s="90" t="str">
        <f t="shared" si="6"/>
        <v/>
      </c>
      <c r="AA84" s="90" t="str">
        <f t="shared" si="6"/>
        <v/>
      </c>
      <c r="AB84" s="90" t="str">
        <f t="shared" si="6"/>
        <v/>
      </c>
      <c r="AC84" s="90" t="str">
        <f t="shared" si="6"/>
        <v/>
      </c>
      <c r="AD84" s="90" t="str">
        <f t="shared" si="6"/>
        <v/>
      </c>
      <c r="AE84" s="90" t="str">
        <f t="shared" si="6"/>
        <v/>
      </c>
      <c r="AF84" s="90" t="str">
        <f t="shared" si="6"/>
        <v/>
      </c>
      <c r="AG84" s="90" t="str">
        <f t="shared" si="6"/>
        <v/>
      </c>
      <c r="AH84" s="90" t="str">
        <f t="shared" si="6"/>
        <v/>
      </c>
      <c r="AI84" s="90" t="str">
        <f t="shared" si="6"/>
        <v/>
      </c>
      <c r="AJ84" s="90" t="str">
        <f t="shared" si="6"/>
        <v/>
      </c>
      <c r="AK84" s="90" t="str">
        <f t="shared" si="6"/>
        <v/>
      </c>
      <c r="AL84" s="90" t="str">
        <f t="shared" si="6"/>
        <v/>
      </c>
      <c r="AM84" s="90" t="str">
        <f t="shared" si="6"/>
        <v/>
      </c>
    </row>
    <row r="85" spans="1:39" hidden="1"/>
    <row r="86" spans="1:39" hidden="1"/>
  </sheetData>
  <mergeCells count="50">
    <mergeCell ref="AM5:AM6"/>
    <mergeCell ref="AB5:AB6"/>
    <mergeCell ref="AC5:AC6"/>
    <mergeCell ref="AD5:AD6"/>
    <mergeCell ref="AE5:AE6"/>
    <mergeCell ref="AF5:AF6"/>
    <mergeCell ref="AG5:AG6"/>
    <mergeCell ref="AH5:AH6"/>
    <mergeCell ref="AI5:AI6"/>
    <mergeCell ref="AJ5:AJ6"/>
    <mergeCell ref="AK5:AK6"/>
    <mergeCell ref="AL5:AL6"/>
    <mergeCell ref="N5:N6"/>
    <mergeCell ref="AA5:AA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I5:I6"/>
    <mergeCell ref="A3:B6"/>
    <mergeCell ref="C3:C6"/>
    <mergeCell ref="D3:O3"/>
    <mergeCell ref="P3:AA3"/>
    <mergeCell ref="D5:D6"/>
    <mergeCell ref="E5:E6"/>
    <mergeCell ref="F5:F6"/>
    <mergeCell ref="G5:G6"/>
    <mergeCell ref="H5:H6"/>
    <mergeCell ref="O5:O6"/>
    <mergeCell ref="Y4:AA4"/>
    <mergeCell ref="J5:J6"/>
    <mergeCell ref="K5:K6"/>
    <mergeCell ref="L5:L6"/>
    <mergeCell ref="M5:M6"/>
    <mergeCell ref="AB3:AM3"/>
    <mergeCell ref="G4:I4"/>
    <mergeCell ref="J4:L4"/>
    <mergeCell ref="M4:O4"/>
    <mergeCell ref="S4:U4"/>
    <mergeCell ref="V4:X4"/>
    <mergeCell ref="AE4:AG4"/>
    <mergeCell ref="AH4:AJ4"/>
    <mergeCell ref="AK4:AM4"/>
  </mergeCells>
  <phoneticPr fontId="6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BE31"/>
  <sheetViews>
    <sheetView zoomScaleNormal="100" zoomScaleSheetLayoutView="75" workbookViewId="0">
      <pane xSplit="2" ySplit="6" topLeftCell="C7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0.33203125" style="3" customWidth="1"/>
    <col min="2" max="2" width="20.1640625" style="3" customWidth="1"/>
    <col min="3" max="3" width="11.6640625" style="3" customWidth="1"/>
    <col min="4" max="39" width="11.33203125" style="3" customWidth="1"/>
    <col min="40" max="16384" width="12" style="3"/>
  </cols>
  <sheetData>
    <row r="1" spans="1:57" ht="21">
      <c r="A1" s="80" t="s">
        <v>244</v>
      </c>
      <c r="B1" s="88"/>
    </row>
    <row r="2" spans="1:57" ht="25.5" customHeight="1">
      <c r="A2" s="26" t="s">
        <v>116</v>
      </c>
      <c r="B2" s="79"/>
      <c r="C2" s="79"/>
    </row>
    <row r="3" spans="1:57" s="97" customFormat="1" ht="16.5" customHeight="1">
      <c r="A3" s="441" t="s">
        <v>259</v>
      </c>
      <c r="B3" s="442"/>
      <c r="C3" s="436" t="s">
        <v>245</v>
      </c>
      <c r="D3" s="437" t="s">
        <v>246</v>
      </c>
      <c r="E3" s="447"/>
      <c r="F3" s="447"/>
      <c r="G3" s="447"/>
      <c r="H3" s="447"/>
      <c r="I3" s="447"/>
      <c r="J3" s="447"/>
      <c r="K3" s="447"/>
      <c r="L3" s="447"/>
      <c r="M3" s="447"/>
      <c r="N3" s="447"/>
      <c r="O3" s="450"/>
      <c r="P3" s="437" t="s">
        <v>247</v>
      </c>
      <c r="Q3" s="447"/>
      <c r="R3" s="447"/>
      <c r="S3" s="447"/>
      <c r="T3" s="447"/>
      <c r="U3" s="447"/>
      <c r="V3" s="447"/>
      <c r="W3" s="447"/>
      <c r="X3" s="447"/>
      <c r="Y3" s="447"/>
      <c r="Z3" s="447"/>
      <c r="AA3" s="450"/>
      <c r="AB3" s="437" t="s">
        <v>248</v>
      </c>
      <c r="AC3" s="447"/>
      <c r="AD3" s="447"/>
      <c r="AE3" s="447"/>
      <c r="AF3" s="447"/>
      <c r="AG3" s="447"/>
      <c r="AH3" s="447"/>
      <c r="AI3" s="447"/>
      <c r="AJ3" s="447"/>
      <c r="AK3" s="447"/>
      <c r="AL3" s="447"/>
      <c r="AM3" s="447"/>
    </row>
    <row r="4" spans="1:57" s="101" customFormat="1" ht="29.25" customHeight="1">
      <c r="A4" s="443"/>
      <c r="B4" s="444"/>
      <c r="C4" s="436"/>
      <c r="D4" s="81" t="s">
        <v>249</v>
      </c>
      <c r="E4" s="98"/>
      <c r="F4" s="99"/>
      <c r="G4" s="436" t="s">
        <v>250</v>
      </c>
      <c r="H4" s="436"/>
      <c r="I4" s="436"/>
      <c r="J4" s="436" t="s">
        <v>251</v>
      </c>
      <c r="K4" s="436"/>
      <c r="L4" s="436"/>
      <c r="M4" s="436" t="s">
        <v>252</v>
      </c>
      <c r="N4" s="436"/>
      <c r="O4" s="436"/>
      <c r="P4" s="81" t="s">
        <v>249</v>
      </c>
      <c r="Q4" s="100"/>
      <c r="R4" s="99"/>
      <c r="S4" s="436" t="s">
        <v>250</v>
      </c>
      <c r="T4" s="436"/>
      <c r="U4" s="436"/>
      <c r="V4" s="436" t="s">
        <v>251</v>
      </c>
      <c r="W4" s="436"/>
      <c r="X4" s="436"/>
      <c r="Y4" s="436" t="s">
        <v>252</v>
      </c>
      <c r="Z4" s="436"/>
      <c r="AA4" s="436"/>
      <c r="AB4" s="81" t="s">
        <v>249</v>
      </c>
      <c r="AC4" s="100"/>
      <c r="AD4" s="99"/>
      <c r="AE4" s="436" t="s">
        <v>250</v>
      </c>
      <c r="AF4" s="436"/>
      <c r="AG4" s="436"/>
      <c r="AH4" s="436" t="s">
        <v>251</v>
      </c>
      <c r="AI4" s="436"/>
      <c r="AJ4" s="436"/>
      <c r="AK4" s="436" t="s">
        <v>252</v>
      </c>
      <c r="AL4" s="436"/>
      <c r="AM4" s="448"/>
    </row>
    <row r="5" spans="1:57" s="102" customFormat="1" ht="16.5" customHeight="1">
      <c r="A5" s="443"/>
      <c r="B5" s="444"/>
      <c r="C5" s="436"/>
      <c r="D5" s="432" t="s">
        <v>253</v>
      </c>
      <c r="E5" s="432" t="s">
        <v>254</v>
      </c>
      <c r="F5" s="432" t="s">
        <v>255</v>
      </c>
      <c r="G5" s="432" t="s">
        <v>253</v>
      </c>
      <c r="H5" s="432" t="s">
        <v>254</v>
      </c>
      <c r="I5" s="432" t="s">
        <v>255</v>
      </c>
      <c r="J5" s="432" t="s">
        <v>253</v>
      </c>
      <c r="K5" s="432" t="s">
        <v>254</v>
      </c>
      <c r="L5" s="432" t="s">
        <v>255</v>
      </c>
      <c r="M5" s="432" t="s">
        <v>253</v>
      </c>
      <c r="N5" s="432" t="s">
        <v>254</v>
      </c>
      <c r="O5" s="432" t="s">
        <v>255</v>
      </c>
      <c r="P5" s="432" t="s">
        <v>253</v>
      </c>
      <c r="Q5" s="432" t="s">
        <v>254</v>
      </c>
      <c r="R5" s="432" t="s">
        <v>255</v>
      </c>
      <c r="S5" s="432" t="s">
        <v>253</v>
      </c>
      <c r="T5" s="432" t="s">
        <v>254</v>
      </c>
      <c r="U5" s="432" t="s">
        <v>255</v>
      </c>
      <c r="V5" s="432" t="s">
        <v>253</v>
      </c>
      <c r="W5" s="432" t="s">
        <v>254</v>
      </c>
      <c r="X5" s="432" t="s">
        <v>255</v>
      </c>
      <c r="Y5" s="432" t="s">
        <v>253</v>
      </c>
      <c r="Z5" s="432" t="s">
        <v>254</v>
      </c>
      <c r="AA5" s="432" t="s">
        <v>255</v>
      </c>
      <c r="AB5" s="432" t="s">
        <v>253</v>
      </c>
      <c r="AC5" s="432" t="s">
        <v>254</v>
      </c>
      <c r="AD5" s="432" t="s">
        <v>255</v>
      </c>
      <c r="AE5" s="432" t="s">
        <v>253</v>
      </c>
      <c r="AF5" s="432" t="s">
        <v>254</v>
      </c>
      <c r="AG5" s="432" t="s">
        <v>255</v>
      </c>
      <c r="AH5" s="432" t="s">
        <v>253</v>
      </c>
      <c r="AI5" s="432" t="s">
        <v>254</v>
      </c>
      <c r="AJ5" s="432" t="s">
        <v>255</v>
      </c>
      <c r="AK5" s="432" t="s">
        <v>253</v>
      </c>
      <c r="AL5" s="432" t="s">
        <v>254</v>
      </c>
      <c r="AM5" s="434" t="s">
        <v>255</v>
      </c>
    </row>
    <row r="6" spans="1:57" s="97" customFormat="1" ht="12">
      <c r="A6" s="445"/>
      <c r="B6" s="446"/>
      <c r="C6" s="436"/>
      <c r="D6" s="449"/>
      <c r="E6" s="449"/>
      <c r="F6" s="449"/>
      <c r="G6" s="449"/>
      <c r="H6" s="449"/>
      <c r="I6" s="449"/>
      <c r="J6" s="449"/>
      <c r="K6" s="449"/>
      <c r="L6" s="449"/>
      <c r="M6" s="449"/>
      <c r="N6" s="449"/>
      <c r="O6" s="449"/>
      <c r="P6" s="449"/>
      <c r="Q6" s="449"/>
      <c r="R6" s="449"/>
      <c r="S6" s="449"/>
      <c r="T6" s="449"/>
      <c r="U6" s="449"/>
      <c r="V6" s="449"/>
      <c r="W6" s="449"/>
      <c r="X6" s="449"/>
      <c r="Y6" s="449"/>
      <c r="Z6" s="449"/>
      <c r="AA6" s="449"/>
      <c r="AB6" s="449"/>
      <c r="AC6" s="449"/>
      <c r="AD6" s="449"/>
      <c r="AE6" s="449"/>
      <c r="AF6" s="449"/>
      <c r="AG6" s="449"/>
      <c r="AH6" s="449"/>
      <c r="AI6" s="449"/>
      <c r="AJ6" s="449"/>
      <c r="AK6" s="449"/>
      <c r="AL6" s="449"/>
      <c r="AM6" s="451"/>
    </row>
    <row r="7" spans="1:57" s="18" customFormat="1" ht="15.95" customHeight="1">
      <c r="A7" s="114" t="s">
        <v>292</v>
      </c>
      <c r="B7" s="36" t="s">
        <v>39</v>
      </c>
      <c r="C7" s="93">
        <v>21</v>
      </c>
      <c r="D7" s="93">
        <v>139</v>
      </c>
      <c r="E7" s="93">
        <v>60</v>
      </c>
      <c r="F7" s="93">
        <v>79</v>
      </c>
      <c r="G7" s="93">
        <v>43</v>
      </c>
      <c r="H7" s="93">
        <v>26</v>
      </c>
      <c r="I7" s="93">
        <v>17</v>
      </c>
      <c r="J7" s="93">
        <v>19</v>
      </c>
      <c r="K7" s="93">
        <v>9</v>
      </c>
      <c r="L7" s="93">
        <v>10</v>
      </c>
      <c r="M7" s="93">
        <v>77</v>
      </c>
      <c r="N7" s="93">
        <v>25</v>
      </c>
      <c r="O7" s="93">
        <v>52</v>
      </c>
      <c r="P7" s="93">
        <v>19507</v>
      </c>
      <c r="Q7" s="93">
        <v>7837</v>
      </c>
      <c r="R7" s="93">
        <v>11670</v>
      </c>
      <c r="S7" s="93">
        <v>5270</v>
      </c>
      <c r="T7" s="93">
        <v>2907</v>
      </c>
      <c r="U7" s="93">
        <v>2363</v>
      </c>
      <c r="V7" s="93">
        <v>2863</v>
      </c>
      <c r="W7" s="93">
        <v>1202</v>
      </c>
      <c r="X7" s="93">
        <v>1661</v>
      </c>
      <c r="Y7" s="93">
        <v>11374</v>
      </c>
      <c r="Z7" s="93">
        <v>3728</v>
      </c>
      <c r="AA7" s="93">
        <v>7646</v>
      </c>
      <c r="AB7" s="93">
        <v>133910</v>
      </c>
      <c r="AC7" s="93">
        <v>52032.5</v>
      </c>
      <c r="AD7" s="93">
        <v>81877.5</v>
      </c>
      <c r="AE7" s="93">
        <v>32357</v>
      </c>
      <c r="AF7" s="93">
        <v>16455</v>
      </c>
      <c r="AG7" s="93">
        <v>15902</v>
      </c>
      <c r="AH7" s="93">
        <v>21437</v>
      </c>
      <c r="AI7" s="93">
        <v>9847</v>
      </c>
      <c r="AJ7" s="93">
        <v>11590</v>
      </c>
      <c r="AK7" s="93">
        <v>80116</v>
      </c>
      <c r="AL7" s="93">
        <v>25730.5</v>
      </c>
      <c r="AM7" s="93">
        <v>54385.5</v>
      </c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</row>
    <row r="8" spans="1:57" s="18" customFormat="1" ht="15.95" customHeight="1">
      <c r="A8" s="49" t="s">
        <v>147</v>
      </c>
      <c r="B8" s="111" t="s">
        <v>24</v>
      </c>
      <c r="C8" s="93">
        <v>1</v>
      </c>
      <c r="D8" s="93" t="s">
        <v>261</v>
      </c>
      <c r="E8" s="93" t="s">
        <v>261</v>
      </c>
      <c r="F8" s="93" t="s">
        <v>261</v>
      </c>
      <c r="G8" s="93" t="s">
        <v>261</v>
      </c>
      <c r="H8" s="93" t="s">
        <v>261</v>
      </c>
      <c r="I8" s="93" t="s">
        <v>261</v>
      </c>
      <c r="J8" s="93" t="s">
        <v>261</v>
      </c>
      <c r="K8" s="93" t="s">
        <v>261</v>
      </c>
      <c r="L8" s="93" t="s">
        <v>261</v>
      </c>
      <c r="M8" s="93" t="s">
        <v>261</v>
      </c>
      <c r="N8" s="93" t="s">
        <v>261</v>
      </c>
      <c r="O8" s="93" t="s">
        <v>261</v>
      </c>
      <c r="P8" s="93" t="s">
        <v>261</v>
      </c>
      <c r="Q8" s="93" t="s">
        <v>261</v>
      </c>
      <c r="R8" s="93" t="s">
        <v>261</v>
      </c>
      <c r="S8" s="93" t="s">
        <v>261</v>
      </c>
      <c r="T8" s="93" t="s">
        <v>261</v>
      </c>
      <c r="U8" s="93" t="s">
        <v>261</v>
      </c>
      <c r="V8" s="93" t="s">
        <v>261</v>
      </c>
      <c r="W8" s="93" t="s">
        <v>261</v>
      </c>
      <c r="X8" s="93" t="s">
        <v>261</v>
      </c>
      <c r="Y8" s="93" t="s">
        <v>261</v>
      </c>
      <c r="Z8" s="93" t="s">
        <v>261</v>
      </c>
      <c r="AA8" s="93" t="s">
        <v>261</v>
      </c>
      <c r="AB8" s="93" t="s">
        <v>262</v>
      </c>
      <c r="AC8" s="93" t="s">
        <v>262</v>
      </c>
      <c r="AD8" s="93" t="s">
        <v>262</v>
      </c>
      <c r="AE8" s="93" t="s">
        <v>262</v>
      </c>
      <c r="AF8" s="93" t="s">
        <v>262</v>
      </c>
      <c r="AG8" s="93" t="s">
        <v>262</v>
      </c>
      <c r="AH8" s="93" t="s">
        <v>262</v>
      </c>
      <c r="AI8" s="93" t="s">
        <v>262</v>
      </c>
      <c r="AJ8" s="93" t="s">
        <v>262</v>
      </c>
      <c r="AK8" s="93" t="s">
        <v>262</v>
      </c>
      <c r="AL8" s="93" t="s">
        <v>262</v>
      </c>
      <c r="AM8" s="93" t="s">
        <v>262</v>
      </c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</row>
    <row r="9" spans="1:57" s="18" customFormat="1" ht="15.95" customHeight="1">
      <c r="A9" s="49" t="s">
        <v>148</v>
      </c>
      <c r="B9" s="111" t="s">
        <v>25</v>
      </c>
      <c r="C9" s="93">
        <v>1</v>
      </c>
      <c r="D9" s="93">
        <v>12</v>
      </c>
      <c r="E9" s="93">
        <v>5</v>
      </c>
      <c r="F9" s="93">
        <v>7</v>
      </c>
      <c r="G9" s="93">
        <v>1</v>
      </c>
      <c r="H9" s="93">
        <v>1</v>
      </c>
      <c r="I9" s="93" t="s">
        <v>261</v>
      </c>
      <c r="J9" s="93">
        <v>4</v>
      </c>
      <c r="K9" s="93">
        <v>3</v>
      </c>
      <c r="L9" s="93">
        <v>1</v>
      </c>
      <c r="M9" s="93">
        <v>7</v>
      </c>
      <c r="N9" s="93">
        <v>1</v>
      </c>
      <c r="O9" s="93">
        <v>6</v>
      </c>
      <c r="P9" s="93">
        <v>2316</v>
      </c>
      <c r="Q9" s="93">
        <v>863</v>
      </c>
      <c r="R9" s="93">
        <v>1453</v>
      </c>
      <c r="S9" s="93">
        <v>114</v>
      </c>
      <c r="T9" s="93">
        <v>114</v>
      </c>
      <c r="U9" s="93" t="s">
        <v>261</v>
      </c>
      <c r="V9" s="93">
        <v>719</v>
      </c>
      <c r="W9" s="93">
        <v>449</v>
      </c>
      <c r="X9" s="93">
        <v>270</v>
      </c>
      <c r="Y9" s="93">
        <v>1483</v>
      </c>
      <c r="Z9" s="93">
        <v>300</v>
      </c>
      <c r="AA9" s="93">
        <v>1183</v>
      </c>
      <c r="AB9" s="93">
        <v>20310</v>
      </c>
      <c r="AC9" s="93">
        <v>8092</v>
      </c>
      <c r="AD9" s="93">
        <v>12218</v>
      </c>
      <c r="AE9" s="93">
        <v>1124</v>
      </c>
      <c r="AF9" s="93">
        <v>1124</v>
      </c>
      <c r="AG9" s="93" t="s">
        <v>262</v>
      </c>
      <c r="AH9" s="93">
        <v>6240</v>
      </c>
      <c r="AI9" s="93">
        <v>4080</v>
      </c>
      <c r="AJ9" s="93">
        <v>2160</v>
      </c>
      <c r="AK9" s="93">
        <v>12946</v>
      </c>
      <c r="AL9" s="93">
        <v>2888</v>
      </c>
      <c r="AM9" s="93">
        <v>10058</v>
      </c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</row>
    <row r="10" spans="1:57" s="18" customFormat="1" ht="15.95" customHeight="1">
      <c r="A10" s="49" t="s">
        <v>149</v>
      </c>
      <c r="B10" s="111" t="s">
        <v>26</v>
      </c>
      <c r="C10" s="93">
        <v>2</v>
      </c>
      <c r="D10" s="93">
        <v>21</v>
      </c>
      <c r="E10" s="93">
        <v>11</v>
      </c>
      <c r="F10" s="93">
        <v>10</v>
      </c>
      <c r="G10" s="93">
        <v>5</v>
      </c>
      <c r="H10" s="93">
        <v>2</v>
      </c>
      <c r="I10" s="93">
        <v>3</v>
      </c>
      <c r="J10" s="93">
        <v>1</v>
      </c>
      <c r="K10" s="93">
        <v>1</v>
      </c>
      <c r="L10" s="93" t="s">
        <v>261</v>
      </c>
      <c r="M10" s="93">
        <v>15</v>
      </c>
      <c r="N10" s="93">
        <v>8</v>
      </c>
      <c r="O10" s="93">
        <v>7</v>
      </c>
      <c r="P10" s="93">
        <v>4241</v>
      </c>
      <c r="Q10" s="93">
        <v>2194</v>
      </c>
      <c r="R10" s="93">
        <v>2047</v>
      </c>
      <c r="S10" s="93">
        <v>1178</v>
      </c>
      <c r="T10" s="93">
        <v>522</v>
      </c>
      <c r="U10" s="93">
        <v>656</v>
      </c>
      <c r="V10" s="93">
        <v>634</v>
      </c>
      <c r="W10" s="93">
        <v>469</v>
      </c>
      <c r="X10" s="93">
        <v>165</v>
      </c>
      <c r="Y10" s="93">
        <v>2429</v>
      </c>
      <c r="Z10" s="93">
        <v>1203</v>
      </c>
      <c r="AA10" s="93">
        <v>1226</v>
      </c>
      <c r="AB10" s="93">
        <v>37398</v>
      </c>
      <c r="AC10" s="93">
        <v>19324</v>
      </c>
      <c r="AD10" s="93">
        <v>18074</v>
      </c>
      <c r="AE10" s="93">
        <v>10367</v>
      </c>
      <c r="AF10" s="93">
        <v>4472</v>
      </c>
      <c r="AG10" s="93">
        <v>5895</v>
      </c>
      <c r="AH10" s="93">
        <v>5539</v>
      </c>
      <c r="AI10" s="93">
        <v>4092</v>
      </c>
      <c r="AJ10" s="93">
        <v>1447</v>
      </c>
      <c r="AK10" s="93">
        <v>21492</v>
      </c>
      <c r="AL10" s="93">
        <v>10760</v>
      </c>
      <c r="AM10" s="93">
        <v>10732</v>
      </c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</row>
    <row r="11" spans="1:57" s="18" customFormat="1" ht="15.95" customHeight="1">
      <c r="A11" s="49" t="s">
        <v>150</v>
      </c>
      <c r="B11" s="111" t="s">
        <v>27</v>
      </c>
      <c r="C11" s="93">
        <v>2</v>
      </c>
      <c r="D11" s="93">
        <v>5</v>
      </c>
      <c r="E11" s="93">
        <v>1</v>
      </c>
      <c r="F11" s="93">
        <v>4</v>
      </c>
      <c r="G11" s="93" t="s">
        <v>261</v>
      </c>
      <c r="H11" s="93" t="s">
        <v>261</v>
      </c>
      <c r="I11" s="93" t="s">
        <v>261</v>
      </c>
      <c r="J11" s="93">
        <v>2</v>
      </c>
      <c r="K11" s="93" t="s">
        <v>261</v>
      </c>
      <c r="L11" s="93">
        <v>2</v>
      </c>
      <c r="M11" s="93">
        <v>3</v>
      </c>
      <c r="N11" s="93">
        <v>1</v>
      </c>
      <c r="O11" s="93">
        <v>2</v>
      </c>
      <c r="P11" s="93">
        <v>1207</v>
      </c>
      <c r="Q11" s="93">
        <v>283</v>
      </c>
      <c r="R11" s="93">
        <v>924</v>
      </c>
      <c r="S11" s="93">
        <v>102</v>
      </c>
      <c r="T11" s="93" t="s">
        <v>261</v>
      </c>
      <c r="U11" s="93">
        <v>102</v>
      </c>
      <c r="V11" s="93">
        <v>437</v>
      </c>
      <c r="W11" s="93">
        <v>39</v>
      </c>
      <c r="X11" s="93">
        <v>398</v>
      </c>
      <c r="Y11" s="93">
        <v>668</v>
      </c>
      <c r="Z11" s="93">
        <v>244</v>
      </c>
      <c r="AA11" s="93">
        <v>424</v>
      </c>
      <c r="AB11" s="93">
        <v>9925</v>
      </c>
      <c r="AC11" s="93">
        <v>2264</v>
      </c>
      <c r="AD11" s="93">
        <v>7661</v>
      </c>
      <c r="AE11" s="93">
        <v>849</v>
      </c>
      <c r="AF11" s="93" t="s">
        <v>262</v>
      </c>
      <c r="AG11" s="93">
        <v>849</v>
      </c>
      <c r="AH11" s="93">
        <v>3744</v>
      </c>
      <c r="AI11" s="93">
        <v>312</v>
      </c>
      <c r="AJ11" s="93">
        <v>3432</v>
      </c>
      <c r="AK11" s="93">
        <v>5332</v>
      </c>
      <c r="AL11" s="93">
        <v>1952</v>
      </c>
      <c r="AM11" s="93">
        <v>3380</v>
      </c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</row>
    <row r="12" spans="1:57" s="18" customFormat="1" ht="15.95" customHeight="1">
      <c r="A12" s="49" t="s">
        <v>151</v>
      </c>
      <c r="B12" s="111" t="s">
        <v>28</v>
      </c>
      <c r="C12" s="93">
        <v>1</v>
      </c>
      <c r="D12" s="93">
        <v>3</v>
      </c>
      <c r="E12" s="93">
        <v>2</v>
      </c>
      <c r="F12" s="93">
        <v>1</v>
      </c>
      <c r="G12" s="93">
        <v>1</v>
      </c>
      <c r="H12" s="93">
        <v>1</v>
      </c>
      <c r="I12" s="93" t="s">
        <v>261</v>
      </c>
      <c r="J12" s="93">
        <v>1</v>
      </c>
      <c r="K12" s="93" t="s">
        <v>261</v>
      </c>
      <c r="L12" s="93">
        <v>1</v>
      </c>
      <c r="M12" s="93">
        <v>1</v>
      </c>
      <c r="N12" s="93">
        <v>1</v>
      </c>
      <c r="O12" s="93" t="s">
        <v>261</v>
      </c>
      <c r="P12" s="93">
        <v>435</v>
      </c>
      <c r="Q12" s="93">
        <v>312</v>
      </c>
      <c r="R12" s="93">
        <v>123</v>
      </c>
      <c r="S12" s="93">
        <v>222</v>
      </c>
      <c r="T12" s="93">
        <v>158</v>
      </c>
      <c r="U12" s="93">
        <v>64</v>
      </c>
      <c r="V12" s="93">
        <v>47</v>
      </c>
      <c r="W12" s="93" t="s">
        <v>261</v>
      </c>
      <c r="X12" s="93">
        <v>47</v>
      </c>
      <c r="Y12" s="93">
        <v>166</v>
      </c>
      <c r="Z12" s="93">
        <v>154</v>
      </c>
      <c r="AA12" s="93">
        <v>12</v>
      </c>
      <c r="AB12" s="93">
        <v>2807.5</v>
      </c>
      <c r="AC12" s="93">
        <v>1926.5</v>
      </c>
      <c r="AD12" s="93">
        <v>881</v>
      </c>
      <c r="AE12" s="93">
        <v>1300.5</v>
      </c>
      <c r="AF12" s="93">
        <v>884.5</v>
      </c>
      <c r="AG12" s="93">
        <v>416</v>
      </c>
      <c r="AH12" s="93">
        <v>440</v>
      </c>
      <c r="AI12" s="93" t="s">
        <v>262</v>
      </c>
      <c r="AJ12" s="93">
        <v>440</v>
      </c>
      <c r="AK12" s="93">
        <v>1067</v>
      </c>
      <c r="AL12" s="93">
        <v>1042</v>
      </c>
      <c r="AM12" s="93">
        <v>25</v>
      </c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</row>
    <row r="13" spans="1:57" ht="15.95" customHeight="1">
      <c r="A13" s="50" t="s">
        <v>152</v>
      </c>
      <c r="B13" s="112" t="s">
        <v>7</v>
      </c>
      <c r="C13" s="20" t="s">
        <v>261</v>
      </c>
      <c r="D13" s="20">
        <v>4</v>
      </c>
      <c r="E13" s="20">
        <v>4</v>
      </c>
      <c r="F13" s="20" t="s">
        <v>261</v>
      </c>
      <c r="G13" s="20">
        <v>2</v>
      </c>
      <c r="H13" s="20">
        <v>2</v>
      </c>
      <c r="I13" s="20" t="s">
        <v>261</v>
      </c>
      <c r="J13" s="20" t="s">
        <v>261</v>
      </c>
      <c r="K13" s="20" t="s">
        <v>261</v>
      </c>
      <c r="L13" s="20" t="s">
        <v>261</v>
      </c>
      <c r="M13" s="20">
        <v>2</v>
      </c>
      <c r="N13" s="20">
        <v>2</v>
      </c>
      <c r="O13" s="20" t="s">
        <v>261</v>
      </c>
      <c r="P13" s="20">
        <v>320</v>
      </c>
      <c r="Q13" s="20">
        <v>320</v>
      </c>
      <c r="R13" s="20" t="s">
        <v>261</v>
      </c>
      <c r="S13" s="20">
        <v>93</v>
      </c>
      <c r="T13" s="20">
        <v>93</v>
      </c>
      <c r="U13" s="20" t="s">
        <v>261</v>
      </c>
      <c r="V13" s="20" t="s">
        <v>261</v>
      </c>
      <c r="W13" s="20" t="s">
        <v>261</v>
      </c>
      <c r="X13" s="20" t="s">
        <v>261</v>
      </c>
      <c r="Y13" s="20">
        <v>227</v>
      </c>
      <c r="Z13" s="20">
        <v>227</v>
      </c>
      <c r="AA13" s="20" t="s">
        <v>261</v>
      </c>
      <c r="AB13" s="20">
        <v>2440</v>
      </c>
      <c r="AC13" s="20">
        <v>2440</v>
      </c>
      <c r="AD13" s="20" t="s">
        <v>262</v>
      </c>
      <c r="AE13" s="20">
        <v>755.5</v>
      </c>
      <c r="AF13" s="20">
        <v>755.5</v>
      </c>
      <c r="AG13" s="20" t="s">
        <v>262</v>
      </c>
      <c r="AH13" s="20" t="s">
        <v>262</v>
      </c>
      <c r="AI13" s="20" t="s">
        <v>262</v>
      </c>
      <c r="AJ13" s="20" t="s">
        <v>262</v>
      </c>
      <c r="AK13" s="20">
        <v>1684.5</v>
      </c>
      <c r="AL13" s="20">
        <v>1684.5</v>
      </c>
      <c r="AM13" s="20" t="s">
        <v>262</v>
      </c>
    </row>
    <row r="14" spans="1:57" ht="15.95" customHeight="1">
      <c r="A14" s="50" t="s">
        <v>153</v>
      </c>
      <c r="B14" s="112" t="s">
        <v>8</v>
      </c>
      <c r="C14" s="20" t="s">
        <v>261</v>
      </c>
      <c r="D14" s="20" t="s">
        <v>261</v>
      </c>
      <c r="E14" s="20" t="s">
        <v>261</v>
      </c>
      <c r="F14" s="20" t="s">
        <v>261</v>
      </c>
      <c r="G14" s="20" t="s">
        <v>261</v>
      </c>
      <c r="H14" s="20" t="s">
        <v>261</v>
      </c>
      <c r="I14" s="20" t="s">
        <v>261</v>
      </c>
      <c r="J14" s="20" t="s">
        <v>261</v>
      </c>
      <c r="K14" s="20" t="s">
        <v>261</v>
      </c>
      <c r="L14" s="20" t="s">
        <v>261</v>
      </c>
      <c r="M14" s="20" t="s">
        <v>261</v>
      </c>
      <c r="N14" s="20" t="s">
        <v>261</v>
      </c>
      <c r="O14" s="20" t="s">
        <v>261</v>
      </c>
      <c r="P14" s="20" t="s">
        <v>261</v>
      </c>
      <c r="Q14" s="20" t="s">
        <v>261</v>
      </c>
      <c r="R14" s="20" t="s">
        <v>261</v>
      </c>
      <c r="S14" s="20" t="s">
        <v>261</v>
      </c>
      <c r="T14" s="20" t="s">
        <v>261</v>
      </c>
      <c r="U14" s="20" t="s">
        <v>261</v>
      </c>
      <c r="V14" s="20" t="s">
        <v>261</v>
      </c>
      <c r="W14" s="20" t="s">
        <v>261</v>
      </c>
      <c r="X14" s="20" t="s">
        <v>261</v>
      </c>
      <c r="Y14" s="20" t="s">
        <v>261</v>
      </c>
      <c r="Z14" s="20" t="s">
        <v>261</v>
      </c>
      <c r="AA14" s="20" t="s">
        <v>261</v>
      </c>
      <c r="AB14" s="20" t="s">
        <v>262</v>
      </c>
      <c r="AC14" s="20" t="s">
        <v>262</v>
      </c>
      <c r="AD14" s="20" t="s">
        <v>262</v>
      </c>
      <c r="AE14" s="20" t="s">
        <v>262</v>
      </c>
      <c r="AF14" s="20" t="s">
        <v>262</v>
      </c>
      <c r="AG14" s="20" t="s">
        <v>262</v>
      </c>
      <c r="AH14" s="20" t="s">
        <v>262</v>
      </c>
      <c r="AI14" s="20" t="s">
        <v>262</v>
      </c>
      <c r="AJ14" s="20" t="s">
        <v>262</v>
      </c>
      <c r="AK14" s="20" t="s">
        <v>262</v>
      </c>
      <c r="AL14" s="20" t="s">
        <v>262</v>
      </c>
      <c r="AM14" s="20" t="s">
        <v>262</v>
      </c>
    </row>
    <row r="15" spans="1:57" ht="15.95" customHeight="1">
      <c r="A15" s="50" t="s">
        <v>154</v>
      </c>
      <c r="B15" s="112" t="s">
        <v>9</v>
      </c>
      <c r="C15" s="20" t="s">
        <v>261</v>
      </c>
      <c r="D15" s="20" t="s">
        <v>261</v>
      </c>
      <c r="E15" s="20" t="s">
        <v>261</v>
      </c>
      <c r="F15" s="20" t="s">
        <v>261</v>
      </c>
      <c r="G15" s="20" t="s">
        <v>261</v>
      </c>
      <c r="H15" s="20" t="s">
        <v>261</v>
      </c>
      <c r="I15" s="20" t="s">
        <v>261</v>
      </c>
      <c r="J15" s="20" t="s">
        <v>261</v>
      </c>
      <c r="K15" s="20" t="s">
        <v>261</v>
      </c>
      <c r="L15" s="20" t="s">
        <v>261</v>
      </c>
      <c r="M15" s="20" t="s">
        <v>261</v>
      </c>
      <c r="N15" s="20" t="s">
        <v>261</v>
      </c>
      <c r="O15" s="20" t="s">
        <v>261</v>
      </c>
      <c r="P15" s="20" t="s">
        <v>261</v>
      </c>
      <c r="Q15" s="20" t="s">
        <v>261</v>
      </c>
      <c r="R15" s="20" t="s">
        <v>261</v>
      </c>
      <c r="S15" s="20" t="s">
        <v>261</v>
      </c>
      <c r="T15" s="20" t="s">
        <v>261</v>
      </c>
      <c r="U15" s="20" t="s">
        <v>261</v>
      </c>
      <c r="V15" s="20" t="s">
        <v>261</v>
      </c>
      <c r="W15" s="20" t="s">
        <v>261</v>
      </c>
      <c r="X15" s="20" t="s">
        <v>261</v>
      </c>
      <c r="Y15" s="20" t="s">
        <v>261</v>
      </c>
      <c r="Z15" s="20" t="s">
        <v>261</v>
      </c>
      <c r="AA15" s="20" t="s">
        <v>261</v>
      </c>
      <c r="AB15" s="20" t="s">
        <v>262</v>
      </c>
      <c r="AC15" s="20" t="s">
        <v>262</v>
      </c>
      <c r="AD15" s="20" t="s">
        <v>262</v>
      </c>
      <c r="AE15" s="20" t="s">
        <v>262</v>
      </c>
      <c r="AF15" s="20" t="s">
        <v>262</v>
      </c>
      <c r="AG15" s="20" t="s">
        <v>262</v>
      </c>
      <c r="AH15" s="20" t="s">
        <v>262</v>
      </c>
      <c r="AI15" s="20" t="s">
        <v>262</v>
      </c>
      <c r="AJ15" s="20" t="s">
        <v>262</v>
      </c>
      <c r="AK15" s="20" t="s">
        <v>262</v>
      </c>
      <c r="AL15" s="20" t="s">
        <v>262</v>
      </c>
      <c r="AM15" s="20" t="s">
        <v>262</v>
      </c>
    </row>
    <row r="16" spans="1:57" ht="15.95" customHeight="1">
      <c r="A16" s="50" t="s">
        <v>155</v>
      </c>
      <c r="B16" s="112" t="s">
        <v>10</v>
      </c>
      <c r="C16" s="20">
        <v>1</v>
      </c>
      <c r="D16" s="20" t="s">
        <v>261</v>
      </c>
      <c r="E16" s="20" t="s">
        <v>261</v>
      </c>
      <c r="F16" s="20" t="s">
        <v>261</v>
      </c>
      <c r="G16" s="20" t="s">
        <v>261</v>
      </c>
      <c r="H16" s="20" t="s">
        <v>261</v>
      </c>
      <c r="I16" s="20" t="s">
        <v>261</v>
      </c>
      <c r="J16" s="20" t="s">
        <v>261</v>
      </c>
      <c r="K16" s="20" t="s">
        <v>261</v>
      </c>
      <c r="L16" s="20" t="s">
        <v>261</v>
      </c>
      <c r="M16" s="20" t="s">
        <v>261</v>
      </c>
      <c r="N16" s="20" t="s">
        <v>261</v>
      </c>
      <c r="O16" s="20" t="s">
        <v>261</v>
      </c>
      <c r="P16" s="20" t="s">
        <v>261</v>
      </c>
      <c r="Q16" s="20" t="s">
        <v>261</v>
      </c>
      <c r="R16" s="20" t="s">
        <v>261</v>
      </c>
      <c r="S16" s="20" t="s">
        <v>261</v>
      </c>
      <c r="T16" s="20" t="s">
        <v>261</v>
      </c>
      <c r="U16" s="20" t="s">
        <v>261</v>
      </c>
      <c r="V16" s="20" t="s">
        <v>261</v>
      </c>
      <c r="W16" s="20" t="s">
        <v>261</v>
      </c>
      <c r="X16" s="20" t="s">
        <v>261</v>
      </c>
      <c r="Y16" s="20" t="s">
        <v>261</v>
      </c>
      <c r="Z16" s="20" t="s">
        <v>261</v>
      </c>
      <c r="AA16" s="20" t="s">
        <v>261</v>
      </c>
      <c r="AB16" s="20" t="s">
        <v>262</v>
      </c>
      <c r="AC16" s="20" t="s">
        <v>262</v>
      </c>
      <c r="AD16" s="20" t="s">
        <v>262</v>
      </c>
      <c r="AE16" s="20" t="s">
        <v>262</v>
      </c>
      <c r="AF16" s="20" t="s">
        <v>262</v>
      </c>
      <c r="AG16" s="20" t="s">
        <v>262</v>
      </c>
      <c r="AH16" s="20" t="s">
        <v>262</v>
      </c>
      <c r="AI16" s="20" t="s">
        <v>262</v>
      </c>
      <c r="AJ16" s="20" t="s">
        <v>262</v>
      </c>
      <c r="AK16" s="20" t="s">
        <v>262</v>
      </c>
      <c r="AL16" s="20" t="s">
        <v>262</v>
      </c>
      <c r="AM16" s="20" t="s">
        <v>262</v>
      </c>
    </row>
    <row r="17" spans="1:39" ht="15.95" customHeight="1">
      <c r="A17" s="50" t="s">
        <v>156</v>
      </c>
      <c r="B17" s="112" t="s">
        <v>11</v>
      </c>
      <c r="C17" s="20">
        <v>2</v>
      </c>
      <c r="D17" s="20">
        <v>2</v>
      </c>
      <c r="E17" s="20">
        <v>2</v>
      </c>
      <c r="F17" s="20" t="s">
        <v>261</v>
      </c>
      <c r="G17" s="20">
        <v>2</v>
      </c>
      <c r="H17" s="20">
        <v>2</v>
      </c>
      <c r="I17" s="20" t="s">
        <v>261</v>
      </c>
      <c r="J17" s="20" t="s">
        <v>261</v>
      </c>
      <c r="K17" s="20" t="s">
        <v>261</v>
      </c>
      <c r="L17" s="20" t="s">
        <v>261</v>
      </c>
      <c r="M17" s="20" t="s">
        <v>261</v>
      </c>
      <c r="N17" s="20" t="s">
        <v>261</v>
      </c>
      <c r="O17" s="20" t="s">
        <v>261</v>
      </c>
      <c r="P17" s="20">
        <v>302</v>
      </c>
      <c r="Q17" s="20">
        <v>262</v>
      </c>
      <c r="R17" s="20">
        <v>40</v>
      </c>
      <c r="S17" s="20">
        <v>262</v>
      </c>
      <c r="T17" s="20">
        <v>262</v>
      </c>
      <c r="U17" s="20" t="s">
        <v>261</v>
      </c>
      <c r="V17" s="20" t="s">
        <v>261</v>
      </c>
      <c r="W17" s="20" t="s">
        <v>261</v>
      </c>
      <c r="X17" s="20" t="s">
        <v>261</v>
      </c>
      <c r="Y17" s="20">
        <v>40</v>
      </c>
      <c r="Z17" s="20" t="s">
        <v>261</v>
      </c>
      <c r="AA17" s="20">
        <v>40</v>
      </c>
      <c r="AB17" s="20">
        <v>1268</v>
      </c>
      <c r="AC17" s="20">
        <v>1108</v>
      </c>
      <c r="AD17" s="20">
        <v>160</v>
      </c>
      <c r="AE17" s="20">
        <v>1108</v>
      </c>
      <c r="AF17" s="20">
        <v>1108</v>
      </c>
      <c r="AG17" s="20" t="s">
        <v>262</v>
      </c>
      <c r="AH17" s="20" t="s">
        <v>262</v>
      </c>
      <c r="AI17" s="20" t="s">
        <v>262</v>
      </c>
      <c r="AJ17" s="20" t="s">
        <v>262</v>
      </c>
      <c r="AK17" s="20">
        <v>160</v>
      </c>
      <c r="AL17" s="20" t="s">
        <v>262</v>
      </c>
      <c r="AM17" s="20">
        <v>160</v>
      </c>
    </row>
    <row r="18" spans="1:39" ht="15.95" customHeight="1">
      <c r="A18" s="50" t="s">
        <v>157</v>
      </c>
      <c r="B18" s="112" t="s">
        <v>12</v>
      </c>
      <c r="C18" s="20">
        <v>4</v>
      </c>
      <c r="D18" s="20">
        <v>48</v>
      </c>
      <c r="E18" s="20">
        <v>16</v>
      </c>
      <c r="F18" s="20">
        <v>32</v>
      </c>
      <c r="G18" s="20">
        <v>9</v>
      </c>
      <c r="H18" s="20">
        <v>5</v>
      </c>
      <c r="I18" s="20">
        <v>4</v>
      </c>
      <c r="J18" s="20">
        <v>8</v>
      </c>
      <c r="K18" s="20">
        <v>4</v>
      </c>
      <c r="L18" s="20">
        <v>4</v>
      </c>
      <c r="M18" s="20">
        <v>31</v>
      </c>
      <c r="N18" s="20">
        <v>7</v>
      </c>
      <c r="O18" s="20">
        <v>24</v>
      </c>
      <c r="P18" s="20">
        <v>4910</v>
      </c>
      <c r="Q18" s="20">
        <v>1652</v>
      </c>
      <c r="R18" s="20">
        <v>3258</v>
      </c>
      <c r="S18" s="20">
        <v>826</v>
      </c>
      <c r="T18" s="20">
        <v>497</v>
      </c>
      <c r="U18" s="20">
        <v>329</v>
      </c>
      <c r="V18" s="20">
        <v>626</v>
      </c>
      <c r="W18" s="20">
        <v>144</v>
      </c>
      <c r="X18" s="20">
        <v>482</v>
      </c>
      <c r="Y18" s="20">
        <v>3458</v>
      </c>
      <c r="Z18" s="20">
        <v>1011</v>
      </c>
      <c r="AA18" s="20">
        <v>2447</v>
      </c>
      <c r="AB18" s="20">
        <v>26958</v>
      </c>
      <c r="AC18" s="20">
        <v>8101</v>
      </c>
      <c r="AD18" s="20">
        <v>18857</v>
      </c>
      <c r="AE18" s="20">
        <v>3829</v>
      </c>
      <c r="AF18" s="20">
        <v>2161</v>
      </c>
      <c r="AG18" s="20">
        <v>1668</v>
      </c>
      <c r="AH18" s="20">
        <v>2947</v>
      </c>
      <c r="AI18" s="20">
        <v>555</v>
      </c>
      <c r="AJ18" s="20">
        <v>2392</v>
      </c>
      <c r="AK18" s="20">
        <v>20182</v>
      </c>
      <c r="AL18" s="20">
        <v>5385</v>
      </c>
      <c r="AM18" s="20">
        <v>14797</v>
      </c>
    </row>
    <row r="19" spans="1:39" ht="15.95" customHeight="1">
      <c r="A19" s="50" t="s">
        <v>158</v>
      </c>
      <c r="B19" s="112" t="s">
        <v>13</v>
      </c>
      <c r="C19" s="20">
        <v>2</v>
      </c>
      <c r="D19" s="20">
        <v>10</v>
      </c>
      <c r="E19" s="20">
        <v>2</v>
      </c>
      <c r="F19" s="20">
        <v>8</v>
      </c>
      <c r="G19" s="20">
        <v>4</v>
      </c>
      <c r="H19" s="20">
        <v>1</v>
      </c>
      <c r="I19" s="20">
        <v>3</v>
      </c>
      <c r="J19" s="20">
        <v>1</v>
      </c>
      <c r="K19" s="20">
        <v>1</v>
      </c>
      <c r="L19" s="20" t="s">
        <v>261</v>
      </c>
      <c r="M19" s="20">
        <v>5</v>
      </c>
      <c r="N19" s="20" t="s">
        <v>261</v>
      </c>
      <c r="O19" s="20">
        <v>5</v>
      </c>
      <c r="P19" s="20">
        <v>1915</v>
      </c>
      <c r="Q19" s="20">
        <v>176</v>
      </c>
      <c r="R19" s="20">
        <v>1739</v>
      </c>
      <c r="S19" s="20">
        <v>567</v>
      </c>
      <c r="T19" s="20">
        <v>61</v>
      </c>
      <c r="U19" s="20">
        <v>506</v>
      </c>
      <c r="V19" s="20">
        <v>232</v>
      </c>
      <c r="W19" s="20">
        <v>101</v>
      </c>
      <c r="X19" s="20">
        <v>131</v>
      </c>
      <c r="Y19" s="20">
        <v>1116</v>
      </c>
      <c r="Z19" s="20">
        <v>14</v>
      </c>
      <c r="AA19" s="20">
        <v>1102</v>
      </c>
      <c r="AB19" s="20">
        <v>15524</v>
      </c>
      <c r="AC19" s="20">
        <v>1408</v>
      </c>
      <c r="AD19" s="20">
        <v>14116</v>
      </c>
      <c r="AE19" s="20">
        <v>4536</v>
      </c>
      <c r="AF19" s="20">
        <v>488</v>
      </c>
      <c r="AG19" s="20">
        <v>4048</v>
      </c>
      <c r="AH19" s="20">
        <v>1856</v>
      </c>
      <c r="AI19" s="20">
        <v>808</v>
      </c>
      <c r="AJ19" s="20">
        <v>1048</v>
      </c>
      <c r="AK19" s="20">
        <v>9132</v>
      </c>
      <c r="AL19" s="20">
        <v>112</v>
      </c>
      <c r="AM19" s="20">
        <v>9020</v>
      </c>
    </row>
    <row r="20" spans="1:39" ht="15.95" customHeight="1">
      <c r="A20" s="50" t="s">
        <v>159</v>
      </c>
      <c r="B20" s="112" t="s">
        <v>14</v>
      </c>
      <c r="C20" s="20" t="s">
        <v>261</v>
      </c>
      <c r="D20" s="20" t="s">
        <v>261</v>
      </c>
      <c r="E20" s="20" t="s">
        <v>261</v>
      </c>
      <c r="F20" s="20" t="s">
        <v>261</v>
      </c>
      <c r="G20" s="20" t="s">
        <v>261</v>
      </c>
      <c r="H20" s="20" t="s">
        <v>261</v>
      </c>
      <c r="I20" s="20" t="s">
        <v>261</v>
      </c>
      <c r="J20" s="20" t="s">
        <v>261</v>
      </c>
      <c r="K20" s="20" t="s">
        <v>261</v>
      </c>
      <c r="L20" s="20" t="s">
        <v>261</v>
      </c>
      <c r="M20" s="20" t="s">
        <v>261</v>
      </c>
      <c r="N20" s="20" t="s">
        <v>261</v>
      </c>
      <c r="O20" s="20" t="s">
        <v>261</v>
      </c>
      <c r="P20" s="20" t="s">
        <v>261</v>
      </c>
      <c r="Q20" s="20" t="s">
        <v>261</v>
      </c>
      <c r="R20" s="20" t="s">
        <v>261</v>
      </c>
      <c r="S20" s="20" t="s">
        <v>261</v>
      </c>
      <c r="T20" s="20" t="s">
        <v>261</v>
      </c>
      <c r="U20" s="20" t="s">
        <v>261</v>
      </c>
      <c r="V20" s="20" t="s">
        <v>261</v>
      </c>
      <c r="W20" s="20" t="s">
        <v>261</v>
      </c>
      <c r="X20" s="20" t="s">
        <v>261</v>
      </c>
      <c r="Y20" s="20" t="s">
        <v>261</v>
      </c>
      <c r="Z20" s="20" t="s">
        <v>261</v>
      </c>
      <c r="AA20" s="20" t="s">
        <v>261</v>
      </c>
      <c r="AB20" s="20" t="s">
        <v>262</v>
      </c>
      <c r="AC20" s="20" t="s">
        <v>262</v>
      </c>
      <c r="AD20" s="20" t="s">
        <v>262</v>
      </c>
      <c r="AE20" s="20" t="s">
        <v>262</v>
      </c>
      <c r="AF20" s="20" t="s">
        <v>262</v>
      </c>
      <c r="AG20" s="20" t="s">
        <v>262</v>
      </c>
      <c r="AH20" s="20" t="s">
        <v>262</v>
      </c>
      <c r="AI20" s="20" t="s">
        <v>262</v>
      </c>
      <c r="AJ20" s="20" t="s">
        <v>262</v>
      </c>
      <c r="AK20" s="20" t="s">
        <v>262</v>
      </c>
      <c r="AL20" s="20" t="s">
        <v>262</v>
      </c>
      <c r="AM20" s="20" t="s">
        <v>262</v>
      </c>
    </row>
    <row r="21" spans="1:39" ht="15.95" customHeight="1">
      <c r="A21" s="50" t="s">
        <v>160</v>
      </c>
      <c r="B21" s="112" t="s">
        <v>15</v>
      </c>
      <c r="C21" s="20" t="s">
        <v>261</v>
      </c>
      <c r="D21" s="20">
        <v>16</v>
      </c>
      <c r="E21" s="20">
        <v>9</v>
      </c>
      <c r="F21" s="20">
        <v>7</v>
      </c>
      <c r="G21" s="20">
        <v>12</v>
      </c>
      <c r="H21" s="20">
        <v>8</v>
      </c>
      <c r="I21" s="20">
        <v>4</v>
      </c>
      <c r="J21" s="20">
        <v>2</v>
      </c>
      <c r="K21" s="20" t="s">
        <v>261</v>
      </c>
      <c r="L21" s="20">
        <v>2</v>
      </c>
      <c r="M21" s="20">
        <v>2</v>
      </c>
      <c r="N21" s="20">
        <v>1</v>
      </c>
      <c r="O21" s="20">
        <v>1</v>
      </c>
      <c r="P21" s="20">
        <v>660</v>
      </c>
      <c r="Q21" s="20">
        <v>346</v>
      </c>
      <c r="R21" s="20">
        <v>314</v>
      </c>
      <c r="S21" s="20">
        <v>496</v>
      </c>
      <c r="T21" s="20">
        <v>331</v>
      </c>
      <c r="U21" s="20">
        <v>165</v>
      </c>
      <c r="V21" s="20">
        <v>66</v>
      </c>
      <c r="W21" s="20" t="s">
        <v>261</v>
      </c>
      <c r="X21" s="20">
        <v>66</v>
      </c>
      <c r="Y21" s="20">
        <v>98</v>
      </c>
      <c r="Z21" s="20">
        <v>15</v>
      </c>
      <c r="AA21" s="20">
        <v>83</v>
      </c>
      <c r="AB21" s="20">
        <v>4504</v>
      </c>
      <c r="AC21" s="20">
        <v>2397</v>
      </c>
      <c r="AD21" s="20">
        <v>2107</v>
      </c>
      <c r="AE21" s="20">
        <v>3553</v>
      </c>
      <c r="AF21" s="20">
        <v>2269</v>
      </c>
      <c r="AG21" s="20">
        <v>1284</v>
      </c>
      <c r="AH21" s="20">
        <v>351</v>
      </c>
      <c r="AI21" s="20" t="s">
        <v>262</v>
      </c>
      <c r="AJ21" s="20">
        <v>351</v>
      </c>
      <c r="AK21" s="20">
        <v>600</v>
      </c>
      <c r="AL21" s="20">
        <v>128</v>
      </c>
      <c r="AM21" s="20">
        <v>472</v>
      </c>
    </row>
    <row r="22" spans="1:39" ht="15.95" customHeight="1">
      <c r="A22" s="50" t="s">
        <v>161</v>
      </c>
      <c r="B22" s="112" t="s">
        <v>16</v>
      </c>
      <c r="C22" s="20">
        <v>2</v>
      </c>
      <c r="D22" s="20">
        <v>13</v>
      </c>
      <c r="E22" s="20">
        <v>7</v>
      </c>
      <c r="F22" s="20">
        <v>6</v>
      </c>
      <c r="G22" s="20">
        <v>7</v>
      </c>
      <c r="H22" s="20">
        <v>4</v>
      </c>
      <c r="I22" s="20">
        <v>3</v>
      </c>
      <c r="J22" s="20" t="s">
        <v>261</v>
      </c>
      <c r="K22" s="20" t="s">
        <v>261</v>
      </c>
      <c r="L22" s="20" t="s">
        <v>261</v>
      </c>
      <c r="M22" s="20">
        <v>6</v>
      </c>
      <c r="N22" s="20">
        <v>3</v>
      </c>
      <c r="O22" s="20">
        <v>3</v>
      </c>
      <c r="P22" s="20">
        <v>2679</v>
      </c>
      <c r="Q22" s="20">
        <v>1428</v>
      </c>
      <c r="R22" s="20">
        <v>1251</v>
      </c>
      <c r="S22" s="20">
        <v>1410</v>
      </c>
      <c r="T22" s="20">
        <v>869</v>
      </c>
      <c r="U22" s="20">
        <v>541</v>
      </c>
      <c r="V22" s="20">
        <v>102</v>
      </c>
      <c r="W22" s="20" t="s">
        <v>261</v>
      </c>
      <c r="X22" s="20">
        <v>102</v>
      </c>
      <c r="Y22" s="20">
        <v>1167</v>
      </c>
      <c r="Z22" s="20">
        <v>559</v>
      </c>
      <c r="AA22" s="20">
        <v>608</v>
      </c>
      <c r="AB22" s="20">
        <v>8867</v>
      </c>
      <c r="AC22" s="20">
        <v>4943</v>
      </c>
      <c r="AD22" s="20">
        <v>3924</v>
      </c>
      <c r="AE22" s="20">
        <v>4935</v>
      </c>
      <c r="AF22" s="20">
        <v>3193</v>
      </c>
      <c r="AG22" s="20">
        <v>1742</v>
      </c>
      <c r="AH22" s="20">
        <v>320</v>
      </c>
      <c r="AI22" s="20" t="s">
        <v>262</v>
      </c>
      <c r="AJ22" s="20">
        <v>320</v>
      </c>
      <c r="AK22" s="20">
        <v>3612</v>
      </c>
      <c r="AL22" s="20">
        <v>1750</v>
      </c>
      <c r="AM22" s="20">
        <v>1862</v>
      </c>
    </row>
    <row r="23" spans="1:39" ht="15.95" customHeight="1">
      <c r="A23" s="50" t="s">
        <v>162</v>
      </c>
      <c r="B23" s="112" t="s">
        <v>17</v>
      </c>
      <c r="C23" s="20">
        <v>1</v>
      </c>
      <c r="D23" s="20">
        <v>2</v>
      </c>
      <c r="E23" s="20" t="s">
        <v>261</v>
      </c>
      <c r="F23" s="20">
        <v>2</v>
      </c>
      <c r="G23" s="20" t="s">
        <v>261</v>
      </c>
      <c r="H23" s="20" t="s">
        <v>261</v>
      </c>
      <c r="I23" s="20" t="s">
        <v>261</v>
      </c>
      <c r="J23" s="20" t="s">
        <v>261</v>
      </c>
      <c r="K23" s="20" t="s">
        <v>261</v>
      </c>
      <c r="L23" s="20" t="s">
        <v>261</v>
      </c>
      <c r="M23" s="20">
        <v>2</v>
      </c>
      <c r="N23" s="20" t="s">
        <v>261</v>
      </c>
      <c r="O23" s="20">
        <v>2</v>
      </c>
      <c r="P23" s="20">
        <v>344</v>
      </c>
      <c r="Q23" s="20" t="s">
        <v>261</v>
      </c>
      <c r="R23" s="20">
        <v>344</v>
      </c>
      <c r="S23" s="20" t="s">
        <v>261</v>
      </c>
      <c r="T23" s="20" t="s">
        <v>261</v>
      </c>
      <c r="U23" s="20" t="s">
        <v>261</v>
      </c>
      <c r="V23" s="20" t="s">
        <v>261</v>
      </c>
      <c r="W23" s="20" t="s">
        <v>261</v>
      </c>
      <c r="X23" s="20" t="s">
        <v>261</v>
      </c>
      <c r="Y23" s="20">
        <v>344</v>
      </c>
      <c r="Z23" s="20" t="s">
        <v>261</v>
      </c>
      <c r="AA23" s="20">
        <v>344</v>
      </c>
      <c r="AB23" s="20">
        <v>2752</v>
      </c>
      <c r="AC23" s="20" t="s">
        <v>262</v>
      </c>
      <c r="AD23" s="20">
        <v>2752</v>
      </c>
      <c r="AE23" s="20" t="s">
        <v>262</v>
      </c>
      <c r="AF23" s="20" t="s">
        <v>262</v>
      </c>
      <c r="AG23" s="20" t="s">
        <v>262</v>
      </c>
      <c r="AH23" s="20" t="s">
        <v>262</v>
      </c>
      <c r="AI23" s="20" t="s">
        <v>262</v>
      </c>
      <c r="AJ23" s="20" t="s">
        <v>262</v>
      </c>
      <c r="AK23" s="20">
        <v>2752</v>
      </c>
      <c r="AL23" s="20" t="s">
        <v>262</v>
      </c>
      <c r="AM23" s="20">
        <v>2752</v>
      </c>
    </row>
    <row r="24" spans="1:39" ht="15.95" customHeight="1">
      <c r="A24" s="50" t="s">
        <v>163</v>
      </c>
      <c r="B24" s="112" t="s">
        <v>18</v>
      </c>
      <c r="C24" s="20">
        <v>1</v>
      </c>
      <c r="D24" s="20">
        <v>2</v>
      </c>
      <c r="E24" s="20">
        <v>1</v>
      </c>
      <c r="F24" s="20">
        <v>1</v>
      </c>
      <c r="G24" s="20" t="s">
        <v>261</v>
      </c>
      <c r="H24" s="20" t="s">
        <v>261</v>
      </c>
      <c r="I24" s="20" t="s">
        <v>261</v>
      </c>
      <c r="J24" s="20" t="s">
        <v>261</v>
      </c>
      <c r="K24" s="20" t="s">
        <v>261</v>
      </c>
      <c r="L24" s="20" t="s">
        <v>261</v>
      </c>
      <c r="M24" s="20">
        <v>2</v>
      </c>
      <c r="N24" s="20">
        <v>1</v>
      </c>
      <c r="O24" s="20">
        <v>1</v>
      </c>
      <c r="P24" s="20">
        <v>2</v>
      </c>
      <c r="Q24" s="20">
        <v>1</v>
      </c>
      <c r="R24" s="20">
        <v>1</v>
      </c>
      <c r="S24" s="20" t="s">
        <v>261</v>
      </c>
      <c r="T24" s="20" t="s">
        <v>261</v>
      </c>
      <c r="U24" s="20" t="s">
        <v>261</v>
      </c>
      <c r="V24" s="20" t="s">
        <v>261</v>
      </c>
      <c r="W24" s="20" t="s">
        <v>261</v>
      </c>
      <c r="X24" s="20" t="s">
        <v>261</v>
      </c>
      <c r="Y24" s="20">
        <v>2</v>
      </c>
      <c r="Z24" s="20">
        <v>1</v>
      </c>
      <c r="AA24" s="20">
        <v>1</v>
      </c>
      <c r="AB24" s="20">
        <v>58</v>
      </c>
      <c r="AC24" s="20">
        <v>29</v>
      </c>
      <c r="AD24" s="20">
        <v>29</v>
      </c>
      <c r="AE24" s="20" t="s">
        <v>262</v>
      </c>
      <c r="AF24" s="20" t="s">
        <v>262</v>
      </c>
      <c r="AG24" s="20" t="s">
        <v>262</v>
      </c>
      <c r="AH24" s="20" t="s">
        <v>262</v>
      </c>
      <c r="AI24" s="20" t="s">
        <v>262</v>
      </c>
      <c r="AJ24" s="20" t="s">
        <v>262</v>
      </c>
      <c r="AK24" s="20">
        <v>58</v>
      </c>
      <c r="AL24" s="20">
        <v>29</v>
      </c>
      <c r="AM24" s="20">
        <v>29</v>
      </c>
    </row>
    <row r="25" spans="1:39" ht="15.95" customHeight="1">
      <c r="A25" s="50" t="s">
        <v>164</v>
      </c>
      <c r="B25" s="112" t="s">
        <v>19</v>
      </c>
      <c r="C25" s="20" t="s">
        <v>261</v>
      </c>
      <c r="D25" s="20" t="s">
        <v>261</v>
      </c>
      <c r="E25" s="20" t="s">
        <v>261</v>
      </c>
      <c r="F25" s="20" t="s">
        <v>261</v>
      </c>
      <c r="G25" s="20" t="s">
        <v>261</v>
      </c>
      <c r="H25" s="20" t="s">
        <v>261</v>
      </c>
      <c r="I25" s="20" t="s">
        <v>261</v>
      </c>
      <c r="J25" s="20" t="s">
        <v>261</v>
      </c>
      <c r="K25" s="20" t="s">
        <v>261</v>
      </c>
      <c r="L25" s="20" t="s">
        <v>261</v>
      </c>
      <c r="M25" s="20" t="s">
        <v>261</v>
      </c>
      <c r="N25" s="20" t="s">
        <v>261</v>
      </c>
      <c r="O25" s="20" t="s">
        <v>261</v>
      </c>
      <c r="P25" s="20" t="s">
        <v>261</v>
      </c>
      <c r="Q25" s="20" t="s">
        <v>261</v>
      </c>
      <c r="R25" s="20" t="s">
        <v>261</v>
      </c>
      <c r="S25" s="20" t="s">
        <v>261</v>
      </c>
      <c r="T25" s="20" t="s">
        <v>261</v>
      </c>
      <c r="U25" s="20" t="s">
        <v>261</v>
      </c>
      <c r="V25" s="20" t="s">
        <v>261</v>
      </c>
      <c r="W25" s="20" t="s">
        <v>261</v>
      </c>
      <c r="X25" s="20" t="s">
        <v>261</v>
      </c>
      <c r="Y25" s="20" t="s">
        <v>261</v>
      </c>
      <c r="Z25" s="20" t="s">
        <v>261</v>
      </c>
      <c r="AA25" s="20" t="s">
        <v>261</v>
      </c>
      <c r="AB25" s="20" t="s">
        <v>262</v>
      </c>
      <c r="AC25" s="20" t="s">
        <v>262</v>
      </c>
      <c r="AD25" s="20" t="s">
        <v>262</v>
      </c>
      <c r="AE25" s="20" t="s">
        <v>262</v>
      </c>
      <c r="AF25" s="20" t="s">
        <v>262</v>
      </c>
      <c r="AG25" s="20" t="s">
        <v>262</v>
      </c>
      <c r="AH25" s="20" t="s">
        <v>262</v>
      </c>
      <c r="AI25" s="20" t="s">
        <v>262</v>
      </c>
      <c r="AJ25" s="20" t="s">
        <v>262</v>
      </c>
      <c r="AK25" s="20" t="s">
        <v>262</v>
      </c>
      <c r="AL25" s="20" t="s">
        <v>262</v>
      </c>
      <c r="AM25" s="20" t="s">
        <v>262</v>
      </c>
    </row>
    <row r="26" spans="1:39" ht="15.95" customHeight="1">
      <c r="A26" s="50" t="s">
        <v>165</v>
      </c>
      <c r="B26" s="112" t="s">
        <v>20</v>
      </c>
      <c r="C26" s="20" t="s">
        <v>261</v>
      </c>
      <c r="D26" s="20" t="s">
        <v>261</v>
      </c>
      <c r="E26" s="20" t="s">
        <v>261</v>
      </c>
      <c r="F26" s="20" t="s">
        <v>261</v>
      </c>
      <c r="G26" s="20" t="s">
        <v>261</v>
      </c>
      <c r="H26" s="20" t="s">
        <v>261</v>
      </c>
      <c r="I26" s="20" t="s">
        <v>261</v>
      </c>
      <c r="J26" s="20" t="s">
        <v>261</v>
      </c>
      <c r="K26" s="20" t="s">
        <v>261</v>
      </c>
      <c r="L26" s="20" t="s">
        <v>261</v>
      </c>
      <c r="M26" s="20" t="s">
        <v>261</v>
      </c>
      <c r="N26" s="20" t="s">
        <v>261</v>
      </c>
      <c r="O26" s="20" t="s">
        <v>261</v>
      </c>
      <c r="P26" s="20" t="s">
        <v>261</v>
      </c>
      <c r="Q26" s="20" t="s">
        <v>261</v>
      </c>
      <c r="R26" s="20" t="s">
        <v>261</v>
      </c>
      <c r="S26" s="20" t="s">
        <v>261</v>
      </c>
      <c r="T26" s="20" t="s">
        <v>261</v>
      </c>
      <c r="U26" s="20" t="s">
        <v>261</v>
      </c>
      <c r="V26" s="20" t="s">
        <v>261</v>
      </c>
      <c r="W26" s="20" t="s">
        <v>261</v>
      </c>
      <c r="X26" s="20" t="s">
        <v>261</v>
      </c>
      <c r="Y26" s="20" t="s">
        <v>261</v>
      </c>
      <c r="Z26" s="20" t="s">
        <v>261</v>
      </c>
      <c r="AA26" s="20" t="s">
        <v>261</v>
      </c>
      <c r="AB26" s="20" t="s">
        <v>262</v>
      </c>
      <c r="AC26" s="20" t="s">
        <v>262</v>
      </c>
      <c r="AD26" s="20" t="s">
        <v>262</v>
      </c>
      <c r="AE26" s="20" t="s">
        <v>262</v>
      </c>
      <c r="AF26" s="20" t="s">
        <v>262</v>
      </c>
      <c r="AG26" s="20" t="s">
        <v>262</v>
      </c>
      <c r="AH26" s="20" t="s">
        <v>262</v>
      </c>
      <c r="AI26" s="20" t="s">
        <v>262</v>
      </c>
      <c r="AJ26" s="20" t="s">
        <v>262</v>
      </c>
      <c r="AK26" s="20" t="s">
        <v>262</v>
      </c>
      <c r="AL26" s="20" t="s">
        <v>262</v>
      </c>
      <c r="AM26" s="20" t="s">
        <v>262</v>
      </c>
    </row>
    <row r="27" spans="1:39" ht="15.95" customHeight="1">
      <c r="A27" s="50" t="s">
        <v>166</v>
      </c>
      <c r="B27" s="112" t="s">
        <v>21</v>
      </c>
      <c r="C27" s="20">
        <v>1</v>
      </c>
      <c r="D27" s="20">
        <v>1</v>
      </c>
      <c r="E27" s="20" t="s">
        <v>261</v>
      </c>
      <c r="F27" s="20">
        <v>1</v>
      </c>
      <c r="G27" s="20" t="s">
        <v>261</v>
      </c>
      <c r="H27" s="20" t="s">
        <v>261</v>
      </c>
      <c r="I27" s="20" t="s">
        <v>261</v>
      </c>
      <c r="J27" s="20" t="s">
        <v>261</v>
      </c>
      <c r="K27" s="20" t="s">
        <v>261</v>
      </c>
      <c r="L27" s="20" t="s">
        <v>261</v>
      </c>
      <c r="M27" s="20">
        <v>1</v>
      </c>
      <c r="N27" s="20" t="s">
        <v>261</v>
      </c>
      <c r="O27" s="20">
        <v>1</v>
      </c>
      <c r="P27" s="20">
        <v>176</v>
      </c>
      <c r="Q27" s="20" t="s">
        <v>261</v>
      </c>
      <c r="R27" s="20">
        <v>176</v>
      </c>
      <c r="S27" s="20" t="s">
        <v>261</v>
      </c>
      <c r="T27" s="20" t="s">
        <v>261</v>
      </c>
      <c r="U27" s="20" t="s">
        <v>261</v>
      </c>
      <c r="V27" s="20" t="s">
        <v>261</v>
      </c>
      <c r="W27" s="20" t="s">
        <v>261</v>
      </c>
      <c r="X27" s="20" t="s">
        <v>261</v>
      </c>
      <c r="Y27" s="20">
        <v>176</v>
      </c>
      <c r="Z27" s="20" t="s">
        <v>261</v>
      </c>
      <c r="AA27" s="20">
        <v>176</v>
      </c>
      <c r="AB27" s="20">
        <v>1098.5</v>
      </c>
      <c r="AC27" s="20" t="s">
        <v>262</v>
      </c>
      <c r="AD27" s="20">
        <v>1098.5</v>
      </c>
      <c r="AE27" s="20" t="s">
        <v>262</v>
      </c>
      <c r="AF27" s="20" t="s">
        <v>262</v>
      </c>
      <c r="AG27" s="20" t="s">
        <v>262</v>
      </c>
      <c r="AH27" s="20" t="s">
        <v>262</v>
      </c>
      <c r="AI27" s="20" t="s">
        <v>262</v>
      </c>
      <c r="AJ27" s="20" t="s">
        <v>262</v>
      </c>
      <c r="AK27" s="20">
        <v>1098.5</v>
      </c>
      <c r="AL27" s="20" t="s">
        <v>262</v>
      </c>
      <c r="AM27" s="20">
        <v>1098.5</v>
      </c>
    </row>
    <row r="28" spans="1:39" ht="15.95" customHeight="1">
      <c r="A28" s="50" t="s">
        <v>167</v>
      </c>
      <c r="B28" s="112" t="s">
        <v>22</v>
      </c>
      <c r="C28" s="20" t="s">
        <v>261</v>
      </c>
      <c r="D28" s="20" t="s">
        <v>261</v>
      </c>
      <c r="E28" s="20" t="s">
        <v>261</v>
      </c>
      <c r="F28" s="20" t="s">
        <v>261</v>
      </c>
      <c r="G28" s="20" t="s">
        <v>261</v>
      </c>
      <c r="H28" s="20" t="s">
        <v>261</v>
      </c>
      <c r="I28" s="20" t="s">
        <v>261</v>
      </c>
      <c r="J28" s="20" t="s">
        <v>261</v>
      </c>
      <c r="K28" s="20" t="s">
        <v>261</v>
      </c>
      <c r="L28" s="20" t="s">
        <v>261</v>
      </c>
      <c r="M28" s="20" t="s">
        <v>261</v>
      </c>
      <c r="N28" s="20" t="s">
        <v>261</v>
      </c>
      <c r="O28" s="20" t="s">
        <v>261</v>
      </c>
      <c r="P28" s="20" t="s">
        <v>261</v>
      </c>
      <c r="Q28" s="20" t="s">
        <v>261</v>
      </c>
      <c r="R28" s="20" t="s">
        <v>261</v>
      </c>
      <c r="S28" s="20" t="s">
        <v>261</v>
      </c>
      <c r="T28" s="20" t="s">
        <v>261</v>
      </c>
      <c r="U28" s="20" t="s">
        <v>261</v>
      </c>
      <c r="V28" s="20" t="s">
        <v>261</v>
      </c>
      <c r="W28" s="20" t="s">
        <v>261</v>
      </c>
      <c r="X28" s="20" t="s">
        <v>261</v>
      </c>
      <c r="Y28" s="20" t="s">
        <v>261</v>
      </c>
      <c r="Z28" s="20" t="s">
        <v>261</v>
      </c>
      <c r="AA28" s="20" t="s">
        <v>261</v>
      </c>
      <c r="AB28" s="20" t="s">
        <v>262</v>
      </c>
      <c r="AC28" s="20" t="s">
        <v>262</v>
      </c>
      <c r="AD28" s="20" t="s">
        <v>262</v>
      </c>
      <c r="AE28" s="20" t="s">
        <v>262</v>
      </c>
      <c r="AF28" s="20" t="s">
        <v>262</v>
      </c>
      <c r="AG28" s="20" t="s">
        <v>262</v>
      </c>
      <c r="AH28" s="20" t="s">
        <v>262</v>
      </c>
      <c r="AI28" s="20" t="s">
        <v>262</v>
      </c>
      <c r="AJ28" s="20" t="s">
        <v>262</v>
      </c>
      <c r="AK28" s="20" t="s">
        <v>262</v>
      </c>
      <c r="AL28" s="20" t="s">
        <v>262</v>
      </c>
      <c r="AM28" s="20" t="s">
        <v>262</v>
      </c>
    </row>
    <row r="29" spans="1:39" ht="15.95" customHeight="1">
      <c r="A29" s="51" t="s">
        <v>168</v>
      </c>
      <c r="B29" s="113" t="s">
        <v>23</v>
      </c>
      <c r="C29" s="22" t="s">
        <v>261</v>
      </c>
      <c r="D29" s="22" t="s">
        <v>261</v>
      </c>
      <c r="E29" s="22" t="s">
        <v>261</v>
      </c>
      <c r="F29" s="22" t="s">
        <v>261</v>
      </c>
      <c r="G29" s="22" t="s">
        <v>261</v>
      </c>
      <c r="H29" s="22" t="s">
        <v>261</v>
      </c>
      <c r="I29" s="22" t="s">
        <v>261</v>
      </c>
      <c r="J29" s="22" t="s">
        <v>261</v>
      </c>
      <c r="K29" s="22" t="s">
        <v>261</v>
      </c>
      <c r="L29" s="22" t="s">
        <v>261</v>
      </c>
      <c r="M29" s="22" t="s">
        <v>261</v>
      </c>
      <c r="N29" s="22" t="s">
        <v>261</v>
      </c>
      <c r="O29" s="22" t="s">
        <v>261</v>
      </c>
      <c r="P29" s="22" t="s">
        <v>261</v>
      </c>
      <c r="Q29" s="22" t="s">
        <v>261</v>
      </c>
      <c r="R29" s="22" t="s">
        <v>261</v>
      </c>
      <c r="S29" s="22" t="s">
        <v>261</v>
      </c>
      <c r="T29" s="22" t="s">
        <v>261</v>
      </c>
      <c r="U29" s="22" t="s">
        <v>261</v>
      </c>
      <c r="V29" s="22" t="s">
        <v>261</v>
      </c>
      <c r="W29" s="22" t="s">
        <v>261</v>
      </c>
      <c r="X29" s="22" t="s">
        <v>261</v>
      </c>
      <c r="Y29" s="22" t="s">
        <v>261</v>
      </c>
      <c r="Z29" s="22" t="s">
        <v>261</v>
      </c>
      <c r="AA29" s="22" t="s">
        <v>261</v>
      </c>
      <c r="AB29" s="22" t="s">
        <v>262</v>
      </c>
      <c r="AC29" s="22" t="s">
        <v>262</v>
      </c>
      <c r="AD29" s="22" t="s">
        <v>262</v>
      </c>
      <c r="AE29" s="22" t="s">
        <v>262</v>
      </c>
      <c r="AF29" s="22" t="s">
        <v>262</v>
      </c>
      <c r="AG29" s="22" t="s">
        <v>262</v>
      </c>
      <c r="AH29" s="22" t="s">
        <v>262</v>
      </c>
      <c r="AI29" s="22" t="s">
        <v>262</v>
      </c>
      <c r="AJ29" s="22" t="s">
        <v>262</v>
      </c>
      <c r="AK29" s="22" t="s">
        <v>262</v>
      </c>
      <c r="AL29" s="22" t="s">
        <v>262</v>
      </c>
      <c r="AM29" s="22" t="s">
        <v>262</v>
      </c>
    </row>
    <row r="30" spans="1:39">
      <c r="A30" s="96" t="s">
        <v>77</v>
      </c>
      <c r="B30" s="61"/>
    </row>
    <row r="31" spans="1:39">
      <c r="A31" s="97" t="s">
        <v>2</v>
      </c>
    </row>
  </sheetData>
  <mergeCells count="50">
    <mergeCell ref="AM5:AM6"/>
    <mergeCell ref="AB5:AB6"/>
    <mergeCell ref="AC5:AC6"/>
    <mergeCell ref="AD5:AD6"/>
    <mergeCell ref="AE5:AE6"/>
    <mergeCell ref="AF5:AF6"/>
    <mergeCell ref="AG5:AG6"/>
    <mergeCell ref="AH5:AH6"/>
    <mergeCell ref="AI5:AI6"/>
    <mergeCell ref="AJ5:AJ6"/>
    <mergeCell ref="AK5:AK6"/>
    <mergeCell ref="AL5:AL6"/>
    <mergeCell ref="N5:N6"/>
    <mergeCell ref="AA5:AA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I5:I6"/>
    <mergeCell ref="A3:B6"/>
    <mergeCell ref="C3:C6"/>
    <mergeCell ref="D3:O3"/>
    <mergeCell ref="P3:AA3"/>
    <mergeCell ref="D5:D6"/>
    <mergeCell ref="E5:E6"/>
    <mergeCell ref="F5:F6"/>
    <mergeCell ref="G5:G6"/>
    <mergeCell ref="H5:H6"/>
    <mergeCell ref="O5:O6"/>
    <mergeCell ref="Y4:AA4"/>
    <mergeCell ref="J5:J6"/>
    <mergeCell ref="K5:K6"/>
    <mergeCell ref="L5:L6"/>
    <mergeCell ref="M5:M6"/>
    <mergeCell ref="AB3:AM3"/>
    <mergeCell ref="G4:I4"/>
    <mergeCell ref="J4:L4"/>
    <mergeCell ref="M4:O4"/>
    <mergeCell ref="S4:U4"/>
    <mergeCell ref="V4:X4"/>
    <mergeCell ref="AE4:AG4"/>
    <mergeCell ref="AH4:AJ4"/>
    <mergeCell ref="AK4:AM4"/>
  </mergeCells>
  <phoneticPr fontId="6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AM31"/>
  <sheetViews>
    <sheetView zoomScale="90" zoomScaleNormal="90" zoomScaleSheetLayoutView="75" workbookViewId="0">
      <pane xSplit="2" ySplit="6" topLeftCell="C7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0.33203125" style="3" customWidth="1"/>
    <col min="2" max="2" width="20.1640625" style="3" customWidth="1"/>
    <col min="3" max="3" width="11.6640625" style="3" customWidth="1"/>
    <col min="4" max="39" width="11.33203125" style="3" customWidth="1"/>
    <col min="40" max="16384" width="12" style="3"/>
  </cols>
  <sheetData>
    <row r="1" spans="1:39" ht="21">
      <c r="A1" s="80" t="s">
        <v>244</v>
      </c>
      <c r="B1" s="88"/>
    </row>
    <row r="2" spans="1:39" ht="25.5" customHeight="1">
      <c r="A2" s="26" t="s">
        <v>115</v>
      </c>
      <c r="B2" s="79"/>
      <c r="C2" s="79"/>
    </row>
    <row r="3" spans="1:39" s="97" customFormat="1" ht="16.5" customHeight="1">
      <c r="A3" s="441" t="s">
        <v>259</v>
      </c>
      <c r="B3" s="442"/>
      <c r="C3" s="436" t="s">
        <v>245</v>
      </c>
      <c r="D3" s="437" t="s">
        <v>246</v>
      </c>
      <c r="E3" s="447"/>
      <c r="F3" s="447"/>
      <c r="G3" s="447"/>
      <c r="H3" s="447"/>
      <c r="I3" s="447"/>
      <c r="J3" s="447"/>
      <c r="K3" s="447"/>
      <c r="L3" s="447"/>
      <c r="M3" s="447"/>
      <c r="N3" s="447"/>
      <c r="O3" s="450"/>
      <c r="P3" s="437" t="s">
        <v>247</v>
      </c>
      <c r="Q3" s="447"/>
      <c r="R3" s="447"/>
      <c r="S3" s="447"/>
      <c r="T3" s="447"/>
      <c r="U3" s="447"/>
      <c r="V3" s="447"/>
      <c r="W3" s="447"/>
      <c r="X3" s="447"/>
      <c r="Y3" s="447"/>
      <c r="Z3" s="447"/>
      <c r="AA3" s="450"/>
      <c r="AB3" s="437" t="s">
        <v>248</v>
      </c>
      <c r="AC3" s="447"/>
      <c r="AD3" s="447"/>
      <c r="AE3" s="447"/>
      <c r="AF3" s="447"/>
      <c r="AG3" s="447"/>
      <c r="AH3" s="447"/>
      <c r="AI3" s="447"/>
      <c r="AJ3" s="447"/>
      <c r="AK3" s="447"/>
      <c r="AL3" s="447"/>
      <c r="AM3" s="447"/>
    </row>
    <row r="4" spans="1:39" s="101" customFormat="1" ht="29.25" customHeight="1">
      <c r="A4" s="443"/>
      <c r="B4" s="444"/>
      <c r="C4" s="436"/>
      <c r="D4" s="81" t="s">
        <v>249</v>
      </c>
      <c r="E4" s="98"/>
      <c r="F4" s="99"/>
      <c r="G4" s="436" t="s">
        <v>250</v>
      </c>
      <c r="H4" s="436"/>
      <c r="I4" s="436"/>
      <c r="J4" s="436" t="s">
        <v>251</v>
      </c>
      <c r="K4" s="436"/>
      <c r="L4" s="436"/>
      <c r="M4" s="436" t="s">
        <v>252</v>
      </c>
      <c r="N4" s="436"/>
      <c r="O4" s="436"/>
      <c r="P4" s="81" t="s">
        <v>249</v>
      </c>
      <c r="Q4" s="100"/>
      <c r="R4" s="99"/>
      <c r="S4" s="436" t="s">
        <v>250</v>
      </c>
      <c r="T4" s="436"/>
      <c r="U4" s="436"/>
      <c r="V4" s="436" t="s">
        <v>251</v>
      </c>
      <c r="W4" s="436"/>
      <c r="X4" s="436"/>
      <c r="Y4" s="436" t="s">
        <v>252</v>
      </c>
      <c r="Z4" s="436"/>
      <c r="AA4" s="436"/>
      <c r="AB4" s="81" t="s">
        <v>249</v>
      </c>
      <c r="AC4" s="100"/>
      <c r="AD4" s="99"/>
      <c r="AE4" s="436" t="s">
        <v>250</v>
      </c>
      <c r="AF4" s="436"/>
      <c r="AG4" s="436"/>
      <c r="AH4" s="436" t="s">
        <v>251</v>
      </c>
      <c r="AI4" s="436"/>
      <c r="AJ4" s="436"/>
      <c r="AK4" s="436" t="s">
        <v>252</v>
      </c>
      <c r="AL4" s="436"/>
      <c r="AM4" s="448"/>
    </row>
    <row r="5" spans="1:39" s="102" customFormat="1" ht="16.5" customHeight="1">
      <c r="A5" s="443"/>
      <c r="B5" s="444"/>
      <c r="C5" s="436"/>
      <c r="D5" s="432" t="s">
        <v>253</v>
      </c>
      <c r="E5" s="432" t="s">
        <v>254</v>
      </c>
      <c r="F5" s="432" t="s">
        <v>255</v>
      </c>
      <c r="G5" s="432" t="s">
        <v>253</v>
      </c>
      <c r="H5" s="432" t="s">
        <v>254</v>
      </c>
      <c r="I5" s="432" t="s">
        <v>255</v>
      </c>
      <c r="J5" s="432" t="s">
        <v>253</v>
      </c>
      <c r="K5" s="432" t="s">
        <v>254</v>
      </c>
      <c r="L5" s="432" t="s">
        <v>255</v>
      </c>
      <c r="M5" s="432" t="s">
        <v>253</v>
      </c>
      <c r="N5" s="432" t="s">
        <v>254</v>
      </c>
      <c r="O5" s="432" t="s">
        <v>255</v>
      </c>
      <c r="P5" s="432" t="s">
        <v>253</v>
      </c>
      <c r="Q5" s="432" t="s">
        <v>254</v>
      </c>
      <c r="R5" s="432" t="s">
        <v>255</v>
      </c>
      <c r="S5" s="432" t="s">
        <v>253</v>
      </c>
      <c r="T5" s="432" t="s">
        <v>254</v>
      </c>
      <c r="U5" s="432" t="s">
        <v>255</v>
      </c>
      <c r="V5" s="432" t="s">
        <v>253</v>
      </c>
      <c r="W5" s="432" t="s">
        <v>254</v>
      </c>
      <c r="X5" s="432" t="s">
        <v>255</v>
      </c>
      <c r="Y5" s="432" t="s">
        <v>253</v>
      </c>
      <c r="Z5" s="432" t="s">
        <v>254</v>
      </c>
      <c r="AA5" s="432" t="s">
        <v>255</v>
      </c>
      <c r="AB5" s="432" t="s">
        <v>253</v>
      </c>
      <c r="AC5" s="432" t="s">
        <v>254</v>
      </c>
      <c r="AD5" s="432" t="s">
        <v>255</v>
      </c>
      <c r="AE5" s="432" t="s">
        <v>253</v>
      </c>
      <c r="AF5" s="432" t="s">
        <v>254</v>
      </c>
      <c r="AG5" s="432" t="s">
        <v>255</v>
      </c>
      <c r="AH5" s="432" t="s">
        <v>253</v>
      </c>
      <c r="AI5" s="432" t="s">
        <v>254</v>
      </c>
      <c r="AJ5" s="432" t="s">
        <v>255</v>
      </c>
      <c r="AK5" s="432" t="s">
        <v>253</v>
      </c>
      <c r="AL5" s="432" t="s">
        <v>254</v>
      </c>
      <c r="AM5" s="434" t="s">
        <v>255</v>
      </c>
    </row>
    <row r="6" spans="1:39" s="97" customFormat="1" ht="12">
      <c r="A6" s="445"/>
      <c r="B6" s="446"/>
      <c r="C6" s="436"/>
      <c r="D6" s="449"/>
      <c r="E6" s="449"/>
      <c r="F6" s="449"/>
      <c r="G6" s="449"/>
      <c r="H6" s="449"/>
      <c r="I6" s="449"/>
      <c r="J6" s="449"/>
      <c r="K6" s="449"/>
      <c r="L6" s="449"/>
      <c r="M6" s="449"/>
      <c r="N6" s="449"/>
      <c r="O6" s="449"/>
      <c r="P6" s="449"/>
      <c r="Q6" s="449"/>
      <c r="R6" s="449"/>
      <c r="S6" s="449"/>
      <c r="T6" s="449"/>
      <c r="U6" s="449"/>
      <c r="V6" s="449"/>
      <c r="W6" s="449"/>
      <c r="X6" s="449"/>
      <c r="Y6" s="449"/>
      <c r="Z6" s="449"/>
      <c r="AA6" s="449"/>
      <c r="AB6" s="449"/>
      <c r="AC6" s="449"/>
      <c r="AD6" s="449"/>
      <c r="AE6" s="449"/>
      <c r="AF6" s="449"/>
      <c r="AG6" s="449"/>
      <c r="AH6" s="449"/>
      <c r="AI6" s="449"/>
      <c r="AJ6" s="449"/>
      <c r="AK6" s="449"/>
      <c r="AL6" s="449"/>
      <c r="AM6" s="451"/>
    </row>
    <row r="7" spans="1:39" s="18" customFormat="1" ht="15.95" customHeight="1">
      <c r="A7" s="114" t="s">
        <v>292</v>
      </c>
      <c r="B7" s="36" t="s">
        <v>39</v>
      </c>
      <c r="C7" s="93">
        <v>20</v>
      </c>
      <c r="D7" s="93">
        <v>119</v>
      </c>
      <c r="E7" s="93">
        <v>53</v>
      </c>
      <c r="F7" s="93">
        <v>66</v>
      </c>
      <c r="G7" s="93">
        <v>40</v>
      </c>
      <c r="H7" s="93">
        <v>21</v>
      </c>
      <c r="I7" s="93">
        <v>19</v>
      </c>
      <c r="J7" s="93">
        <v>19</v>
      </c>
      <c r="K7" s="93">
        <v>9</v>
      </c>
      <c r="L7" s="93">
        <v>10</v>
      </c>
      <c r="M7" s="93">
        <v>60</v>
      </c>
      <c r="N7" s="93">
        <v>23</v>
      </c>
      <c r="O7" s="93">
        <v>37</v>
      </c>
      <c r="P7" s="93">
        <v>13491</v>
      </c>
      <c r="Q7" s="93">
        <v>5145</v>
      </c>
      <c r="R7" s="93">
        <v>8346</v>
      </c>
      <c r="S7" s="93">
        <v>4148</v>
      </c>
      <c r="T7" s="93">
        <v>1894</v>
      </c>
      <c r="U7" s="93">
        <v>2254</v>
      </c>
      <c r="V7" s="93">
        <v>1904</v>
      </c>
      <c r="W7" s="93">
        <v>943</v>
      </c>
      <c r="X7" s="93">
        <v>961</v>
      </c>
      <c r="Y7" s="93">
        <v>7439</v>
      </c>
      <c r="Z7" s="93">
        <v>2308</v>
      </c>
      <c r="AA7" s="93">
        <v>5131</v>
      </c>
      <c r="AB7" s="93">
        <v>97032.9</v>
      </c>
      <c r="AC7" s="93">
        <v>33892.400000000001</v>
      </c>
      <c r="AD7" s="93">
        <v>63140.5</v>
      </c>
      <c r="AE7" s="93">
        <v>28117.8</v>
      </c>
      <c r="AF7" s="93">
        <v>10569.3</v>
      </c>
      <c r="AG7" s="93">
        <v>17548.5</v>
      </c>
      <c r="AH7" s="93">
        <v>13513.6</v>
      </c>
      <c r="AI7" s="93">
        <v>6729.6</v>
      </c>
      <c r="AJ7" s="93">
        <v>6784</v>
      </c>
      <c r="AK7" s="93">
        <v>55401.5</v>
      </c>
      <c r="AL7" s="93">
        <v>16593.5</v>
      </c>
      <c r="AM7" s="93">
        <v>38808</v>
      </c>
    </row>
    <row r="8" spans="1:39" s="18" customFormat="1" ht="15.95" customHeight="1">
      <c r="A8" s="49" t="s">
        <v>147</v>
      </c>
      <c r="B8" s="111" t="s">
        <v>24</v>
      </c>
      <c r="C8" s="93">
        <v>1</v>
      </c>
      <c r="D8" s="93" t="s">
        <v>261</v>
      </c>
      <c r="E8" s="93" t="s">
        <v>261</v>
      </c>
      <c r="F8" s="93" t="s">
        <v>261</v>
      </c>
      <c r="G8" s="93" t="s">
        <v>261</v>
      </c>
      <c r="H8" s="93" t="s">
        <v>261</v>
      </c>
      <c r="I8" s="93" t="s">
        <v>261</v>
      </c>
      <c r="J8" s="93" t="s">
        <v>261</v>
      </c>
      <c r="K8" s="93" t="s">
        <v>261</v>
      </c>
      <c r="L8" s="93" t="s">
        <v>261</v>
      </c>
      <c r="M8" s="93" t="s">
        <v>261</v>
      </c>
      <c r="N8" s="93" t="s">
        <v>261</v>
      </c>
      <c r="O8" s="93" t="s">
        <v>261</v>
      </c>
      <c r="P8" s="93" t="s">
        <v>261</v>
      </c>
      <c r="Q8" s="93" t="s">
        <v>261</v>
      </c>
      <c r="R8" s="93" t="s">
        <v>261</v>
      </c>
      <c r="S8" s="93" t="s">
        <v>261</v>
      </c>
      <c r="T8" s="93" t="s">
        <v>261</v>
      </c>
      <c r="U8" s="93" t="s">
        <v>261</v>
      </c>
      <c r="V8" s="93" t="s">
        <v>261</v>
      </c>
      <c r="W8" s="93" t="s">
        <v>261</v>
      </c>
      <c r="X8" s="93" t="s">
        <v>261</v>
      </c>
      <c r="Y8" s="93" t="s">
        <v>261</v>
      </c>
      <c r="Z8" s="93" t="s">
        <v>261</v>
      </c>
      <c r="AA8" s="93" t="s">
        <v>261</v>
      </c>
      <c r="AB8" s="93" t="s">
        <v>262</v>
      </c>
      <c r="AC8" s="93" t="s">
        <v>262</v>
      </c>
      <c r="AD8" s="93" t="s">
        <v>262</v>
      </c>
      <c r="AE8" s="93" t="s">
        <v>262</v>
      </c>
      <c r="AF8" s="93" t="s">
        <v>262</v>
      </c>
      <c r="AG8" s="93" t="s">
        <v>262</v>
      </c>
      <c r="AH8" s="93" t="s">
        <v>262</v>
      </c>
      <c r="AI8" s="93" t="s">
        <v>262</v>
      </c>
      <c r="AJ8" s="93" t="s">
        <v>262</v>
      </c>
      <c r="AK8" s="93" t="s">
        <v>262</v>
      </c>
      <c r="AL8" s="93" t="s">
        <v>262</v>
      </c>
      <c r="AM8" s="93" t="s">
        <v>262</v>
      </c>
    </row>
    <row r="9" spans="1:39" s="18" customFormat="1" ht="15.95" customHeight="1">
      <c r="A9" s="49" t="s">
        <v>148</v>
      </c>
      <c r="B9" s="111" t="s">
        <v>25</v>
      </c>
      <c r="C9" s="93">
        <v>1</v>
      </c>
      <c r="D9" s="93">
        <v>9</v>
      </c>
      <c r="E9" s="93">
        <v>2</v>
      </c>
      <c r="F9" s="93">
        <v>7</v>
      </c>
      <c r="G9" s="93" t="s">
        <v>261</v>
      </c>
      <c r="H9" s="93" t="s">
        <v>261</v>
      </c>
      <c r="I9" s="93" t="s">
        <v>261</v>
      </c>
      <c r="J9" s="93">
        <v>1</v>
      </c>
      <c r="K9" s="93" t="s">
        <v>261</v>
      </c>
      <c r="L9" s="93">
        <v>1</v>
      </c>
      <c r="M9" s="93">
        <v>8</v>
      </c>
      <c r="N9" s="93">
        <v>2</v>
      </c>
      <c r="O9" s="93">
        <v>6</v>
      </c>
      <c r="P9" s="93">
        <v>1087</v>
      </c>
      <c r="Q9" s="93">
        <v>192</v>
      </c>
      <c r="R9" s="93">
        <v>895</v>
      </c>
      <c r="S9" s="93">
        <v>15</v>
      </c>
      <c r="T9" s="93" t="s">
        <v>261</v>
      </c>
      <c r="U9" s="93">
        <v>15</v>
      </c>
      <c r="V9" s="93">
        <v>43</v>
      </c>
      <c r="W9" s="93" t="s">
        <v>261</v>
      </c>
      <c r="X9" s="93">
        <v>43</v>
      </c>
      <c r="Y9" s="93">
        <v>1029</v>
      </c>
      <c r="Z9" s="93">
        <v>192</v>
      </c>
      <c r="AA9" s="93">
        <v>837</v>
      </c>
      <c r="AB9" s="93">
        <v>9501.5</v>
      </c>
      <c r="AC9" s="93">
        <v>1578</v>
      </c>
      <c r="AD9" s="93">
        <v>7923.5</v>
      </c>
      <c r="AE9" s="93">
        <v>134</v>
      </c>
      <c r="AF9" s="93" t="s">
        <v>262</v>
      </c>
      <c r="AG9" s="93">
        <v>134</v>
      </c>
      <c r="AH9" s="93">
        <v>344</v>
      </c>
      <c r="AI9" s="93" t="s">
        <v>262</v>
      </c>
      <c r="AJ9" s="93">
        <v>344</v>
      </c>
      <c r="AK9" s="93">
        <v>9023.5</v>
      </c>
      <c r="AL9" s="93">
        <v>1578</v>
      </c>
      <c r="AM9" s="93">
        <v>7445.5</v>
      </c>
    </row>
    <row r="10" spans="1:39" s="18" customFormat="1" ht="15.95" customHeight="1">
      <c r="A10" s="49" t="s">
        <v>149</v>
      </c>
      <c r="B10" s="111" t="s">
        <v>26</v>
      </c>
      <c r="C10" s="93">
        <v>2</v>
      </c>
      <c r="D10" s="93">
        <v>25</v>
      </c>
      <c r="E10" s="93">
        <v>14</v>
      </c>
      <c r="F10" s="93">
        <v>11</v>
      </c>
      <c r="G10" s="93">
        <v>8</v>
      </c>
      <c r="H10" s="93">
        <v>3</v>
      </c>
      <c r="I10" s="93">
        <v>5</v>
      </c>
      <c r="J10" s="93">
        <v>5</v>
      </c>
      <c r="K10" s="93">
        <v>4</v>
      </c>
      <c r="L10" s="93">
        <v>1</v>
      </c>
      <c r="M10" s="93">
        <v>12</v>
      </c>
      <c r="N10" s="93">
        <v>7</v>
      </c>
      <c r="O10" s="93">
        <v>5</v>
      </c>
      <c r="P10" s="93">
        <v>4600</v>
      </c>
      <c r="Q10" s="93">
        <v>1871</v>
      </c>
      <c r="R10" s="93">
        <v>2729</v>
      </c>
      <c r="S10" s="93">
        <v>1768</v>
      </c>
      <c r="T10" s="93">
        <v>537</v>
      </c>
      <c r="U10" s="93">
        <v>1231</v>
      </c>
      <c r="V10" s="93">
        <v>439</v>
      </c>
      <c r="W10" s="93">
        <v>240</v>
      </c>
      <c r="X10" s="93">
        <v>199</v>
      </c>
      <c r="Y10" s="93">
        <v>2393</v>
      </c>
      <c r="Z10" s="93">
        <v>1094</v>
      </c>
      <c r="AA10" s="93">
        <v>1299</v>
      </c>
      <c r="AB10" s="93">
        <v>40585.599999999999</v>
      </c>
      <c r="AC10" s="93">
        <v>16477.099999999999</v>
      </c>
      <c r="AD10" s="93">
        <v>24108.5</v>
      </c>
      <c r="AE10" s="93">
        <v>15500.5</v>
      </c>
      <c r="AF10" s="93">
        <v>4510</v>
      </c>
      <c r="AG10" s="93">
        <v>10990.5</v>
      </c>
      <c r="AH10" s="93">
        <v>3864.6</v>
      </c>
      <c r="AI10" s="93">
        <v>2073.6</v>
      </c>
      <c r="AJ10" s="93">
        <v>1791</v>
      </c>
      <c r="AK10" s="93">
        <v>21220.5</v>
      </c>
      <c r="AL10" s="93">
        <v>9893.5</v>
      </c>
      <c r="AM10" s="93">
        <v>11327</v>
      </c>
    </row>
    <row r="11" spans="1:39" s="18" customFormat="1" ht="15.95" customHeight="1">
      <c r="A11" s="49" t="s">
        <v>150</v>
      </c>
      <c r="B11" s="111" t="s">
        <v>27</v>
      </c>
      <c r="C11" s="93">
        <v>2</v>
      </c>
      <c r="D11" s="93">
        <v>4</v>
      </c>
      <c r="E11" s="93">
        <v>2</v>
      </c>
      <c r="F11" s="93">
        <v>2</v>
      </c>
      <c r="G11" s="93">
        <v>1</v>
      </c>
      <c r="H11" s="93" t="s">
        <v>261</v>
      </c>
      <c r="I11" s="93">
        <v>1</v>
      </c>
      <c r="J11" s="93">
        <v>2</v>
      </c>
      <c r="K11" s="93">
        <v>1</v>
      </c>
      <c r="L11" s="93">
        <v>1</v>
      </c>
      <c r="M11" s="93">
        <v>1</v>
      </c>
      <c r="N11" s="93">
        <v>1</v>
      </c>
      <c r="O11" s="93" t="s">
        <v>261</v>
      </c>
      <c r="P11" s="93">
        <v>723</v>
      </c>
      <c r="Q11" s="93">
        <v>337</v>
      </c>
      <c r="R11" s="93">
        <v>386</v>
      </c>
      <c r="S11" s="93">
        <v>278</v>
      </c>
      <c r="T11" s="93" t="s">
        <v>261</v>
      </c>
      <c r="U11" s="93">
        <v>278</v>
      </c>
      <c r="V11" s="93">
        <v>424</v>
      </c>
      <c r="W11" s="93">
        <v>316</v>
      </c>
      <c r="X11" s="93">
        <v>108</v>
      </c>
      <c r="Y11" s="93">
        <v>21</v>
      </c>
      <c r="Z11" s="93">
        <v>21</v>
      </c>
      <c r="AA11" s="93" t="s">
        <v>261</v>
      </c>
      <c r="AB11" s="93">
        <v>5917</v>
      </c>
      <c r="AC11" s="93">
        <v>2696</v>
      </c>
      <c r="AD11" s="93">
        <v>3221</v>
      </c>
      <c r="AE11" s="93">
        <v>2287</v>
      </c>
      <c r="AF11" s="93" t="s">
        <v>262</v>
      </c>
      <c r="AG11" s="93">
        <v>2287</v>
      </c>
      <c r="AH11" s="93">
        <v>3462</v>
      </c>
      <c r="AI11" s="93">
        <v>2528</v>
      </c>
      <c r="AJ11" s="93">
        <v>934</v>
      </c>
      <c r="AK11" s="93">
        <v>168</v>
      </c>
      <c r="AL11" s="93">
        <v>168</v>
      </c>
      <c r="AM11" s="93" t="s">
        <v>262</v>
      </c>
    </row>
    <row r="12" spans="1:39" s="18" customFormat="1" ht="15.95" customHeight="1">
      <c r="A12" s="49" t="s">
        <v>151</v>
      </c>
      <c r="B12" s="111" t="s">
        <v>28</v>
      </c>
      <c r="C12" s="93">
        <v>1</v>
      </c>
      <c r="D12" s="93">
        <v>10</v>
      </c>
      <c r="E12" s="93">
        <v>6</v>
      </c>
      <c r="F12" s="93">
        <v>4</v>
      </c>
      <c r="G12" s="93">
        <v>7</v>
      </c>
      <c r="H12" s="93">
        <v>4</v>
      </c>
      <c r="I12" s="93">
        <v>3</v>
      </c>
      <c r="J12" s="93" t="s">
        <v>261</v>
      </c>
      <c r="K12" s="93" t="s">
        <v>261</v>
      </c>
      <c r="L12" s="93" t="s">
        <v>261</v>
      </c>
      <c r="M12" s="93">
        <v>3</v>
      </c>
      <c r="N12" s="93">
        <v>2</v>
      </c>
      <c r="O12" s="93">
        <v>1</v>
      </c>
      <c r="P12" s="93">
        <v>573</v>
      </c>
      <c r="Q12" s="93">
        <v>318</v>
      </c>
      <c r="R12" s="93">
        <v>255</v>
      </c>
      <c r="S12" s="93">
        <v>444</v>
      </c>
      <c r="T12" s="93">
        <v>252</v>
      </c>
      <c r="U12" s="93">
        <v>192</v>
      </c>
      <c r="V12" s="93" t="s">
        <v>261</v>
      </c>
      <c r="W12" s="93" t="s">
        <v>261</v>
      </c>
      <c r="X12" s="93" t="s">
        <v>261</v>
      </c>
      <c r="Y12" s="93">
        <v>129</v>
      </c>
      <c r="Z12" s="93">
        <v>66</v>
      </c>
      <c r="AA12" s="93">
        <v>63</v>
      </c>
      <c r="AB12" s="93">
        <v>4512</v>
      </c>
      <c r="AC12" s="93">
        <v>2472</v>
      </c>
      <c r="AD12" s="93">
        <v>2040</v>
      </c>
      <c r="AE12" s="93">
        <v>3504</v>
      </c>
      <c r="AF12" s="93">
        <v>1968</v>
      </c>
      <c r="AG12" s="93">
        <v>1536</v>
      </c>
      <c r="AH12" s="93" t="s">
        <v>262</v>
      </c>
      <c r="AI12" s="93" t="s">
        <v>262</v>
      </c>
      <c r="AJ12" s="93" t="s">
        <v>262</v>
      </c>
      <c r="AK12" s="93">
        <v>1008</v>
      </c>
      <c r="AL12" s="93">
        <v>504</v>
      </c>
      <c r="AM12" s="93">
        <v>504</v>
      </c>
    </row>
    <row r="13" spans="1:39" ht="15.95" customHeight="1">
      <c r="A13" s="50" t="s">
        <v>152</v>
      </c>
      <c r="B13" s="112" t="s">
        <v>7</v>
      </c>
      <c r="C13" s="20">
        <v>1</v>
      </c>
      <c r="D13" s="20" t="s">
        <v>261</v>
      </c>
      <c r="E13" s="20" t="s">
        <v>261</v>
      </c>
      <c r="F13" s="20" t="s">
        <v>261</v>
      </c>
      <c r="G13" s="20" t="s">
        <v>261</v>
      </c>
      <c r="H13" s="20" t="s">
        <v>261</v>
      </c>
      <c r="I13" s="20" t="s">
        <v>261</v>
      </c>
      <c r="J13" s="20" t="s">
        <v>261</v>
      </c>
      <c r="K13" s="20" t="s">
        <v>261</v>
      </c>
      <c r="L13" s="20" t="s">
        <v>261</v>
      </c>
      <c r="M13" s="20" t="s">
        <v>261</v>
      </c>
      <c r="N13" s="20" t="s">
        <v>261</v>
      </c>
      <c r="O13" s="20" t="s">
        <v>261</v>
      </c>
      <c r="P13" s="20" t="s">
        <v>261</v>
      </c>
      <c r="Q13" s="20" t="s">
        <v>261</v>
      </c>
      <c r="R13" s="20" t="s">
        <v>261</v>
      </c>
      <c r="S13" s="20" t="s">
        <v>261</v>
      </c>
      <c r="T13" s="20" t="s">
        <v>261</v>
      </c>
      <c r="U13" s="20" t="s">
        <v>261</v>
      </c>
      <c r="V13" s="20" t="s">
        <v>261</v>
      </c>
      <c r="W13" s="20" t="s">
        <v>261</v>
      </c>
      <c r="X13" s="20" t="s">
        <v>261</v>
      </c>
      <c r="Y13" s="20" t="s">
        <v>261</v>
      </c>
      <c r="Z13" s="20" t="s">
        <v>261</v>
      </c>
      <c r="AA13" s="20" t="s">
        <v>261</v>
      </c>
      <c r="AB13" s="20" t="s">
        <v>262</v>
      </c>
      <c r="AC13" s="20" t="s">
        <v>262</v>
      </c>
      <c r="AD13" s="20" t="s">
        <v>262</v>
      </c>
      <c r="AE13" s="20" t="s">
        <v>262</v>
      </c>
      <c r="AF13" s="20" t="s">
        <v>262</v>
      </c>
      <c r="AG13" s="20" t="s">
        <v>262</v>
      </c>
      <c r="AH13" s="20" t="s">
        <v>262</v>
      </c>
      <c r="AI13" s="20" t="s">
        <v>262</v>
      </c>
      <c r="AJ13" s="20" t="s">
        <v>262</v>
      </c>
      <c r="AK13" s="20" t="s">
        <v>262</v>
      </c>
      <c r="AL13" s="20" t="s">
        <v>262</v>
      </c>
      <c r="AM13" s="20" t="s">
        <v>262</v>
      </c>
    </row>
    <row r="14" spans="1:39" ht="15.95" customHeight="1">
      <c r="A14" s="50" t="s">
        <v>153</v>
      </c>
      <c r="B14" s="112" t="s">
        <v>8</v>
      </c>
      <c r="C14" s="20">
        <v>1</v>
      </c>
      <c r="D14" s="20" t="s">
        <v>261</v>
      </c>
      <c r="E14" s="20" t="s">
        <v>261</v>
      </c>
      <c r="F14" s="20" t="s">
        <v>261</v>
      </c>
      <c r="G14" s="20" t="s">
        <v>261</v>
      </c>
      <c r="H14" s="20" t="s">
        <v>261</v>
      </c>
      <c r="I14" s="20" t="s">
        <v>261</v>
      </c>
      <c r="J14" s="20" t="s">
        <v>261</v>
      </c>
      <c r="K14" s="20" t="s">
        <v>261</v>
      </c>
      <c r="L14" s="20" t="s">
        <v>261</v>
      </c>
      <c r="M14" s="20" t="s">
        <v>261</v>
      </c>
      <c r="N14" s="20" t="s">
        <v>261</v>
      </c>
      <c r="O14" s="20" t="s">
        <v>261</v>
      </c>
      <c r="P14" s="20">
        <v>13</v>
      </c>
      <c r="Q14" s="20">
        <v>13</v>
      </c>
      <c r="R14" s="20" t="s">
        <v>261</v>
      </c>
      <c r="S14" s="20">
        <v>13</v>
      </c>
      <c r="T14" s="20">
        <v>13</v>
      </c>
      <c r="U14" s="20" t="s">
        <v>261</v>
      </c>
      <c r="V14" s="20" t="s">
        <v>261</v>
      </c>
      <c r="W14" s="20" t="s">
        <v>261</v>
      </c>
      <c r="X14" s="20" t="s">
        <v>261</v>
      </c>
      <c r="Y14" s="20" t="s">
        <v>261</v>
      </c>
      <c r="Z14" s="20" t="s">
        <v>261</v>
      </c>
      <c r="AA14" s="20" t="s">
        <v>261</v>
      </c>
      <c r="AB14" s="20">
        <v>105.3</v>
      </c>
      <c r="AC14" s="20">
        <v>105.3</v>
      </c>
      <c r="AD14" s="20" t="s">
        <v>262</v>
      </c>
      <c r="AE14" s="20">
        <v>105.3</v>
      </c>
      <c r="AF14" s="20">
        <v>105.3</v>
      </c>
      <c r="AG14" s="20" t="s">
        <v>262</v>
      </c>
      <c r="AH14" s="20" t="s">
        <v>262</v>
      </c>
      <c r="AI14" s="20" t="s">
        <v>262</v>
      </c>
      <c r="AJ14" s="20" t="s">
        <v>262</v>
      </c>
      <c r="AK14" s="20" t="s">
        <v>262</v>
      </c>
      <c r="AL14" s="20" t="s">
        <v>262</v>
      </c>
      <c r="AM14" s="20" t="s">
        <v>262</v>
      </c>
    </row>
    <row r="15" spans="1:39" ht="15.95" customHeight="1">
      <c r="A15" s="50" t="s">
        <v>154</v>
      </c>
      <c r="B15" s="112" t="s">
        <v>9</v>
      </c>
      <c r="C15" s="20" t="s">
        <v>261</v>
      </c>
      <c r="D15" s="20" t="s">
        <v>261</v>
      </c>
      <c r="E15" s="20" t="s">
        <v>261</v>
      </c>
      <c r="F15" s="20" t="s">
        <v>261</v>
      </c>
      <c r="G15" s="20" t="s">
        <v>261</v>
      </c>
      <c r="H15" s="20" t="s">
        <v>261</v>
      </c>
      <c r="I15" s="20" t="s">
        <v>261</v>
      </c>
      <c r="J15" s="20" t="s">
        <v>261</v>
      </c>
      <c r="K15" s="20" t="s">
        <v>261</v>
      </c>
      <c r="L15" s="20" t="s">
        <v>261</v>
      </c>
      <c r="M15" s="20" t="s">
        <v>261</v>
      </c>
      <c r="N15" s="20" t="s">
        <v>261</v>
      </c>
      <c r="O15" s="20" t="s">
        <v>261</v>
      </c>
      <c r="P15" s="20" t="s">
        <v>261</v>
      </c>
      <c r="Q15" s="20" t="s">
        <v>261</v>
      </c>
      <c r="R15" s="20" t="s">
        <v>261</v>
      </c>
      <c r="S15" s="20" t="s">
        <v>261</v>
      </c>
      <c r="T15" s="20" t="s">
        <v>261</v>
      </c>
      <c r="U15" s="20" t="s">
        <v>261</v>
      </c>
      <c r="V15" s="20" t="s">
        <v>261</v>
      </c>
      <c r="W15" s="20" t="s">
        <v>261</v>
      </c>
      <c r="X15" s="20" t="s">
        <v>261</v>
      </c>
      <c r="Y15" s="20" t="s">
        <v>261</v>
      </c>
      <c r="Z15" s="20" t="s">
        <v>261</v>
      </c>
      <c r="AA15" s="20" t="s">
        <v>261</v>
      </c>
      <c r="AB15" s="20" t="s">
        <v>262</v>
      </c>
      <c r="AC15" s="20" t="s">
        <v>262</v>
      </c>
      <c r="AD15" s="20" t="s">
        <v>262</v>
      </c>
      <c r="AE15" s="20" t="s">
        <v>262</v>
      </c>
      <c r="AF15" s="20" t="s">
        <v>262</v>
      </c>
      <c r="AG15" s="20" t="s">
        <v>262</v>
      </c>
      <c r="AH15" s="20" t="s">
        <v>262</v>
      </c>
      <c r="AI15" s="20" t="s">
        <v>262</v>
      </c>
      <c r="AJ15" s="20" t="s">
        <v>262</v>
      </c>
      <c r="AK15" s="20" t="s">
        <v>262</v>
      </c>
      <c r="AL15" s="20" t="s">
        <v>262</v>
      </c>
      <c r="AM15" s="20" t="s">
        <v>262</v>
      </c>
    </row>
    <row r="16" spans="1:39" ht="15.95" customHeight="1">
      <c r="A16" s="50" t="s">
        <v>155</v>
      </c>
      <c r="B16" s="112" t="s">
        <v>10</v>
      </c>
      <c r="C16" s="20">
        <v>1</v>
      </c>
      <c r="D16" s="20">
        <v>1</v>
      </c>
      <c r="E16" s="20">
        <v>1</v>
      </c>
      <c r="F16" s="20" t="s">
        <v>261</v>
      </c>
      <c r="G16" s="20" t="s">
        <v>261</v>
      </c>
      <c r="H16" s="20" t="s">
        <v>261</v>
      </c>
      <c r="I16" s="20" t="s">
        <v>261</v>
      </c>
      <c r="J16" s="20">
        <v>1</v>
      </c>
      <c r="K16" s="20">
        <v>1</v>
      </c>
      <c r="L16" s="20" t="s">
        <v>261</v>
      </c>
      <c r="M16" s="20" t="s">
        <v>261</v>
      </c>
      <c r="N16" s="20" t="s">
        <v>261</v>
      </c>
      <c r="O16" s="20" t="s">
        <v>261</v>
      </c>
      <c r="P16" s="20">
        <v>1</v>
      </c>
      <c r="Q16" s="20">
        <v>1</v>
      </c>
      <c r="R16" s="20" t="s">
        <v>261</v>
      </c>
      <c r="S16" s="20" t="s">
        <v>261</v>
      </c>
      <c r="T16" s="20" t="s">
        <v>261</v>
      </c>
      <c r="U16" s="20" t="s">
        <v>261</v>
      </c>
      <c r="V16" s="20">
        <v>1</v>
      </c>
      <c r="W16" s="20">
        <v>1</v>
      </c>
      <c r="X16" s="20" t="s">
        <v>261</v>
      </c>
      <c r="Y16" s="20" t="s">
        <v>261</v>
      </c>
      <c r="Z16" s="20" t="s">
        <v>261</v>
      </c>
      <c r="AA16" s="20" t="s">
        <v>261</v>
      </c>
      <c r="AB16" s="20">
        <v>2</v>
      </c>
      <c r="AC16" s="20">
        <v>2</v>
      </c>
      <c r="AD16" s="20" t="s">
        <v>262</v>
      </c>
      <c r="AE16" s="20" t="s">
        <v>262</v>
      </c>
      <c r="AF16" s="20" t="s">
        <v>262</v>
      </c>
      <c r="AG16" s="20" t="s">
        <v>262</v>
      </c>
      <c r="AH16" s="20">
        <v>2</v>
      </c>
      <c r="AI16" s="20">
        <v>2</v>
      </c>
      <c r="AJ16" s="20" t="s">
        <v>262</v>
      </c>
      <c r="AK16" s="20" t="s">
        <v>262</v>
      </c>
      <c r="AL16" s="20" t="s">
        <v>262</v>
      </c>
      <c r="AM16" s="20" t="s">
        <v>262</v>
      </c>
    </row>
    <row r="17" spans="1:39" ht="15.95" customHeight="1">
      <c r="A17" s="50" t="s">
        <v>156</v>
      </c>
      <c r="B17" s="112" t="s">
        <v>11</v>
      </c>
      <c r="C17" s="20">
        <v>2</v>
      </c>
      <c r="D17" s="20">
        <v>1</v>
      </c>
      <c r="E17" s="20" t="s">
        <v>261</v>
      </c>
      <c r="F17" s="20">
        <v>1</v>
      </c>
      <c r="G17" s="20" t="s">
        <v>261</v>
      </c>
      <c r="H17" s="20" t="s">
        <v>261</v>
      </c>
      <c r="I17" s="20" t="s">
        <v>261</v>
      </c>
      <c r="J17" s="20" t="s">
        <v>261</v>
      </c>
      <c r="K17" s="20" t="s">
        <v>261</v>
      </c>
      <c r="L17" s="20" t="s">
        <v>261</v>
      </c>
      <c r="M17" s="20">
        <v>1</v>
      </c>
      <c r="N17" s="20" t="s">
        <v>261</v>
      </c>
      <c r="O17" s="20">
        <v>1</v>
      </c>
      <c r="P17" s="20">
        <v>1</v>
      </c>
      <c r="Q17" s="20" t="s">
        <v>261</v>
      </c>
      <c r="R17" s="20">
        <v>1</v>
      </c>
      <c r="S17" s="20" t="s">
        <v>261</v>
      </c>
      <c r="T17" s="20" t="s">
        <v>261</v>
      </c>
      <c r="U17" s="20" t="s">
        <v>261</v>
      </c>
      <c r="V17" s="20" t="s">
        <v>261</v>
      </c>
      <c r="W17" s="20" t="s">
        <v>261</v>
      </c>
      <c r="X17" s="20" t="s">
        <v>261</v>
      </c>
      <c r="Y17" s="20">
        <v>1</v>
      </c>
      <c r="Z17" s="20" t="s">
        <v>261</v>
      </c>
      <c r="AA17" s="20">
        <v>1</v>
      </c>
      <c r="AB17" s="20">
        <v>4</v>
      </c>
      <c r="AC17" s="20" t="s">
        <v>262</v>
      </c>
      <c r="AD17" s="20">
        <v>4</v>
      </c>
      <c r="AE17" s="20" t="s">
        <v>262</v>
      </c>
      <c r="AF17" s="20" t="s">
        <v>262</v>
      </c>
      <c r="AG17" s="20" t="s">
        <v>262</v>
      </c>
      <c r="AH17" s="20" t="s">
        <v>262</v>
      </c>
      <c r="AI17" s="20" t="s">
        <v>262</v>
      </c>
      <c r="AJ17" s="20" t="s">
        <v>262</v>
      </c>
      <c r="AK17" s="20">
        <v>4</v>
      </c>
      <c r="AL17" s="20" t="s">
        <v>262</v>
      </c>
      <c r="AM17" s="20">
        <v>4</v>
      </c>
    </row>
    <row r="18" spans="1:39" ht="15.95" customHeight="1">
      <c r="A18" s="50" t="s">
        <v>157</v>
      </c>
      <c r="B18" s="112" t="s">
        <v>12</v>
      </c>
      <c r="C18" s="20">
        <v>4</v>
      </c>
      <c r="D18" s="20">
        <v>40</v>
      </c>
      <c r="E18" s="20">
        <v>14</v>
      </c>
      <c r="F18" s="20">
        <v>26</v>
      </c>
      <c r="G18" s="20">
        <v>6</v>
      </c>
      <c r="H18" s="20">
        <v>3</v>
      </c>
      <c r="I18" s="20">
        <v>3</v>
      </c>
      <c r="J18" s="20">
        <v>6</v>
      </c>
      <c r="K18" s="20">
        <v>2</v>
      </c>
      <c r="L18" s="20">
        <v>4</v>
      </c>
      <c r="M18" s="20">
        <v>28</v>
      </c>
      <c r="N18" s="20">
        <v>9</v>
      </c>
      <c r="O18" s="20">
        <v>19</v>
      </c>
      <c r="P18" s="20">
        <v>3294</v>
      </c>
      <c r="Q18" s="20">
        <v>1051</v>
      </c>
      <c r="R18" s="20">
        <v>2243</v>
      </c>
      <c r="S18" s="20">
        <v>361</v>
      </c>
      <c r="T18" s="20">
        <v>271</v>
      </c>
      <c r="U18" s="20">
        <v>90</v>
      </c>
      <c r="V18" s="20">
        <v>440</v>
      </c>
      <c r="W18" s="20">
        <v>95</v>
      </c>
      <c r="X18" s="20">
        <v>345</v>
      </c>
      <c r="Y18" s="20">
        <v>2493</v>
      </c>
      <c r="Z18" s="20">
        <v>685</v>
      </c>
      <c r="AA18" s="20">
        <v>1808</v>
      </c>
      <c r="AB18" s="20">
        <v>19515.5</v>
      </c>
      <c r="AC18" s="20">
        <v>5376</v>
      </c>
      <c r="AD18" s="20">
        <v>14139.5</v>
      </c>
      <c r="AE18" s="20">
        <v>1616</v>
      </c>
      <c r="AF18" s="20">
        <v>1180</v>
      </c>
      <c r="AG18" s="20">
        <v>436</v>
      </c>
      <c r="AH18" s="20">
        <v>2273</v>
      </c>
      <c r="AI18" s="20">
        <v>446</v>
      </c>
      <c r="AJ18" s="20">
        <v>1827</v>
      </c>
      <c r="AK18" s="20">
        <v>15626.5</v>
      </c>
      <c r="AL18" s="20">
        <v>3750</v>
      </c>
      <c r="AM18" s="20">
        <v>11876.5</v>
      </c>
    </row>
    <row r="19" spans="1:39" ht="15.95" customHeight="1">
      <c r="A19" s="50" t="s">
        <v>158</v>
      </c>
      <c r="B19" s="112" t="s">
        <v>13</v>
      </c>
      <c r="C19" s="20">
        <v>2</v>
      </c>
      <c r="D19" s="20">
        <v>5</v>
      </c>
      <c r="E19" s="20" t="s">
        <v>261</v>
      </c>
      <c r="F19" s="20">
        <v>5</v>
      </c>
      <c r="G19" s="20">
        <v>1</v>
      </c>
      <c r="H19" s="20" t="s">
        <v>261</v>
      </c>
      <c r="I19" s="20">
        <v>1</v>
      </c>
      <c r="J19" s="20">
        <v>1</v>
      </c>
      <c r="K19" s="20" t="s">
        <v>261</v>
      </c>
      <c r="L19" s="20">
        <v>1</v>
      </c>
      <c r="M19" s="20">
        <v>3</v>
      </c>
      <c r="N19" s="20" t="s">
        <v>261</v>
      </c>
      <c r="O19" s="20">
        <v>3</v>
      </c>
      <c r="P19" s="20">
        <v>1201</v>
      </c>
      <c r="Q19" s="20">
        <v>126</v>
      </c>
      <c r="R19" s="20">
        <v>1075</v>
      </c>
      <c r="S19" s="20">
        <v>52</v>
      </c>
      <c r="T19" s="20" t="s">
        <v>261</v>
      </c>
      <c r="U19" s="20">
        <v>52</v>
      </c>
      <c r="V19" s="20">
        <v>370</v>
      </c>
      <c r="W19" s="20">
        <v>126</v>
      </c>
      <c r="X19" s="20">
        <v>244</v>
      </c>
      <c r="Y19" s="20">
        <v>779</v>
      </c>
      <c r="Z19" s="20" t="s">
        <v>261</v>
      </c>
      <c r="AA19" s="20">
        <v>779</v>
      </c>
      <c r="AB19" s="20">
        <v>9531</v>
      </c>
      <c r="AC19" s="20">
        <v>986</v>
      </c>
      <c r="AD19" s="20">
        <v>8545</v>
      </c>
      <c r="AE19" s="20">
        <v>416</v>
      </c>
      <c r="AF19" s="20" t="s">
        <v>262</v>
      </c>
      <c r="AG19" s="20">
        <v>416</v>
      </c>
      <c r="AH19" s="20">
        <v>2766</v>
      </c>
      <c r="AI19" s="20">
        <v>986</v>
      </c>
      <c r="AJ19" s="20">
        <v>1780</v>
      </c>
      <c r="AK19" s="20">
        <v>6349</v>
      </c>
      <c r="AL19" s="20" t="s">
        <v>262</v>
      </c>
      <c r="AM19" s="20">
        <v>6349</v>
      </c>
    </row>
    <row r="20" spans="1:39" ht="15.95" customHeight="1">
      <c r="A20" s="50" t="s">
        <v>159</v>
      </c>
      <c r="B20" s="112" t="s">
        <v>14</v>
      </c>
      <c r="C20" s="20" t="s">
        <v>261</v>
      </c>
      <c r="D20" s="20" t="s">
        <v>261</v>
      </c>
      <c r="E20" s="20" t="s">
        <v>261</v>
      </c>
      <c r="F20" s="20" t="s">
        <v>261</v>
      </c>
      <c r="G20" s="20" t="s">
        <v>261</v>
      </c>
      <c r="H20" s="20" t="s">
        <v>261</v>
      </c>
      <c r="I20" s="20" t="s">
        <v>261</v>
      </c>
      <c r="J20" s="20" t="s">
        <v>261</v>
      </c>
      <c r="K20" s="20" t="s">
        <v>261</v>
      </c>
      <c r="L20" s="20" t="s">
        <v>261</v>
      </c>
      <c r="M20" s="20" t="s">
        <v>261</v>
      </c>
      <c r="N20" s="20" t="s">
        <v>261</v>
      </c>
      <c r="O20" s="20" t="s">
        <v>261</v>
      </c>
      <c r="P20" s="20" t="s">
        <v>261</v>
      </c>
      <c r="Q20" s="20" t="s">
        <v>261</v>
      </c>
      <c r="R20" s="20" t="s">
        <v>261</v>
      </c>
      <c r="S20" s="20" t="s">
        <v>261</v>
      </c>
      <c r="T20" s="20" t="s">
        <v>261</v>
      </c>
      <c r="U20" s="20" t="s">
        <v>261</v>
      </c>
      <c r="V20" s="20" t="s">
        <v>261</v>
      </c>
      <c r="W20" s="20" t="s">
        <v>261</v>
      </c>
      <c r="X20" s="20" t="s">
        <v>261</v>
      </c>
      <c r="Y20" s="20" t="s">
        <v>261</v>
      </c>
      <c r="Z20" s="20" t="s">
        <v>261</v>
      </c>
      <c r="AA20" s="20" t="s">
        <v>261</v>
      </c>
      <c r="AB20" s="20" t="s">
        <v>262</v>
      </c>
      <c r="AC20" s="20" t="s">
        <v>262</v>
      </c>
      <c r="AD20" s="20" t="s">
        <v>262</v>
      </c>
      <c r="AE20" s="20" t="s">
        <v>262</v>
      </c>
      <c r="AF20" s="20" t="s">
        <v>262</v>
      </c>
      <c r="AG20" s="20" t="s">
        <v>262</v>
      </c>
      <c r="AH20" s="20" t="s">
        <v>262</v>
      </c>
      <c r="AI20" s="20" t="s">
        <v>262</v>
      </c>
      <c r="AJ20" s="20" t="s">
        <v>262</v>
      </c>
      <c r="AK20" s="20" t="s">
        <v>262</v>
      </c>
      <c r="AL20" s="20" t="s">
        <v>262</v>
      </c>
      <c r="AM20" s="20" t="s">
        <v>262</v>
      </c>
    </row>
    <row r="21" spans="1:39" ht="15.95" customHeight="1">
      <c r="A21" s="50" t="s">
        <v>160</v>
      </c>
      <c r="B21" s="112" t="s">
        <v>15</v>
      </c>
      <c r="C21" s="20">
        <v>1</v>
      </c>
      <c r="D21" s="20">
        <v>13</v>
      </c>
      <c r="E21" s="20">
        <v>6</v>
      </c>
      <c r="F21" s="20">
        <v>7</v>
      </c>
      <c r="G21" s="20">
        <v>10</v>
      </c>
      <c r="H21" s="20">
        <v>6</v>
      </c>
      <c r="I21" s="20">
        <v>4</v>
      </c>
      <c r="J21" s="20">
        <v>2</v>
      </c>
      <c r="K21" s="20" t="s">
        <v>261</v>
      </c>
      <c r="L21" s="20">
        <v>2</v>
      </c>
      <c r="M21" s="20">
        <v>1</v>
      </c>
      <c r="N21" s="20" t="s">
        <v>261</v>
      </c>
      <c r="O21" s="20">
        <v>1</v>
      </c>
      <c r="P21" s="20">
        <v>173</v>
      </c>
      <c r="Q21" s="20">
        <v>63</v>
      </c>
      <c r="R21" s="20">
        <v>110</v>
      </c>
      <c r="S21" s="20">
        <v>122</v>
      </c>
      <c r="T21" s="20">
        <v>53</v>
      </c>
      <c r="U21" s="20">
        <v>69</v>
      </c>
      <c r="V21" s="20">
        <v>32</v>
      </c>
      <c r="W21" s="20">
        <v>10</v>
      </c>
      <c r="X21" s="20">
        <v>22</v>
      </c>
      <c r="Y21" s="20">
        <v>19</v>
      </c>
      <c r="Z21" s="20" t="s">
        <v>261</v>
      </c>
      <c r="AA21" s="20">
        <v>19</v>
      </c>
      <c r="AB21" s="20">
        <v>1315</v>
      </c>
      <c r="AC21" s="20">
        <v>466</v>
      </c>
      <c r="AD21" s="20">
        <v>849</v>
      </c>
      <c r="AE21" s="20">
        <v>975</v>
      </c>
      <c r="AF21" s="20">
        <v>386</v>
      </c>
      <c r="AG21" s="20">
        <v>589</v>
      </c>
      <c r="AH21" s="20">
        <v>188</v>
      </c>
      <c r="AI21" s="20">
        <v>80</v>
      </c>
      <c r="AJ21" s="20">
        <v>108</v>
      </c>
      <c r="AK21" s="20">
        <v>152</v>
      </c>
      <c r="AL21" s="20" t="s">
        <v>262</v>
      </c>
      <c r="AM21" s="20">
        <v>152</v>
      </c>
    </row>
    <row r="22" spans="1:39" ht="15.95" customHeight="1">
      <c r="A22" s="50" t="s">
        <v>161</v>
      </c>
      <c r="B22" s="112" t="s">
        <v>16</v>
      </c>
      <c r="C22" s="20" t="s">
        <v>261</v>
      </c>
      <c r="D22" s="20">
        <v>11</v>
      </c>
      <c r="E22" s="20">
        <v>8</v>
      </c>
      <c r="F22" s="20">
        <v>3</v>
      </c>
      <c r="G22" s="20">
        <v>7</v>
      </c>
      <c r="H22" s="20">
        <v>5</v>
      </c>
      <c r="I22" s="20">
        <v>2</v>
      </c>
      <c r="J22" s="20">
        <v>1</v>
      </c>
      <c r="K22" s="20">
        <v>1</v>
      </c>
      <c r="L22" s="20" t="s">
        <v>261</v>
      </c>
      <c r="M22" s="20">
        <v>3</v>
      </c>
      <c r="N22" s="20">
        <v>2</v>
      </c>
      <c r="O22" s="20">
        <v>1</v>
      </c>
      <c r="P22" s="20">
        <v>1825</v>
      </c>
      <c r="Q22" s="20">
        <v>1173</v>
      </c>
      <c r="R22" s="20">
        <v>652</v>
      </c>
      <c r="S22" s="20">
        <v>1095</v>
      </c>
      <c r="T22" s="20">
        <v>768</v>
      </c>
      <c r="U22" s="20">
        <v>327</v>
      </c>
      <c r="V22" s="20">
        <v>155</v>
      </c>
      <c r="W22" s="20">
        <v>155</v>
      </c>
      <c r="X22" s="20" t="s">
        <v>261</v>
      </c>
      <c r="Y22" s="20">
        <v>575</v>
      </c>
      <c r="Z22" s="20">
        <v>250</v>
      </c>
      <c r="AA22" s="20">
        <v>325</v>
      </c>
      <c r="AB22" s="20">
        <v>6044</v>
      </c>
      <c r="AC22" s="20">
        <v>3734</v>
      </c>
      <c r="AD22" s="20">
        <v>2310</v>
      </c>
      <c r="AE22" s="20">
        <v>3580</v>
      </c>
      <c r="AF22" s="20">
        <v>2420</v>
      </c>
      <c r="AG22" s="20">
        <v>1160</v>
      </c>
      <c r="AH22" s="20">
        <v>614</v>
      </c>
      <c r="AI22" s="20">
        <v>614</v>
      </c>
      <c r="AJ22" s="20" t="s">
        <v>262</v>
      </c>
      <c r="AK22" s="20">
        <v>1850</v>
      </c>
      <c r="AL22" s="20">
        <v>700</v>
      </c>
      <c r="AM22" s="20">
        <v>1150</v>
      </c>
    </row>
    <row r="23" spans="1:39" ht="15.95" customHeight="1">
      <c r="A23" s="50" t="s">
        <v>162</v>
      </c>
      <c r="B23" s="112" t="s">
        <v>17</v>
      </c>
      <c r="C23" s="20" t="s">
        <v>261</v>
      </c>
      <c r="D23" s="20" t="s">
        <v>261</v>
      </c>
      <c r="E23" s="20" t="s">
        <v>261</v>
      </c>
      <c r="F23" s="20" t="s">
        <v>261</v>
      </c>
      <c r="G23" s="20" t="s">
        <v>261</v>
      </c>
      <c r="H23" s="20" t="s">
        <v>261</v>
      </c>
      <c r="I23" s="20" t="s">
        <v>261</v>
      </c>
      <c r="J23" s="20" t="s">
        <v>261</v>
      </c>
      <c r="K23" s="20" t="s">
        <v>261</v>
      </c>
      <c r="L23" s="20" t="s">
        <v>261</v>
      </c>
      <c r="M23" s="20" t="s">
        <v>261</v>
      </c>
      <c r="N23" s="20" t="s">
        <v>261</v>
      </c>
      <c r="O23" s="20" t="s">
        <v>261</v>
      </c>
      <c r="P23" s="20" t="s">
        <v>261</v>
      </c>
      <c r="Q23" s="20" t="s">
        <v>261</v>
      </c>
      <c r="R23" s="20" t="s">
        <v>261</v>
      </c>
      <c r="S23" s="20" t="s">
        <v>261</v>
      </c>
      <c r="T23" s="20" t="s">
        <v>261</v>
      </c>
      <c r="U23" s="20" t="s">
        <v>261</v>
      </c>
      <c r="V23" s="20" t="s">
        <v>261</v>
      </c>
      <c r="W23" s="20" t="s">
        <v>261</v>
      </c>
      <c r="X23" s="20" t="s">
        <v>261</v>
      </c>
      <c r="Y23" s="20" t="s">
        <v>261</v>
      </c>
      <c r="Z23" s="20" t="s">
        <v>261</v>
      </c>
      <c r="AA23" s="20" t="s">
        <v>261</v>
      </c>
      <c r="AB23" s="20" t="s">
        <v>262</v>
      </c>
      <c r="AC23" s="20" t="s">
        <v>262</v>
      </c>
      <c r="AD23" s="20" t="s">
        <v>262</v>
      </c>
      <c r="AE23" s="20" t="s">
        <v>262</v>
      </c>
      <c r="AF23" s="20" t="s">
        <v>262</v>
      </c>
      <c r="AG23" s="20" t="s">
        <v>262</v>
      </c>
      <c r="AH23" s="20" t="s">
        <v>262</v>
      </c>
      <c r="AI23" s="20" t="s">
        <v>262</v>
      </c>
      <c r="AJ23" s="20" t="s">
        <v>262</v>
      </c>
      <c r="AK23" s="20" t="s">
        <v>262</v>
      </c>
      <c r="AL23" s="20" t="s">
        <v>262</v>
      </c>
      <c r="AM23" s="20" t="s">
        <v>262</v>
      </c>
    </row>
    <row r="24" spans="1:39" ht="15.95" customHeight="1">
      <c r="A24" s="50" t="s">
        <v>163</v>
      </c>
      <c r="B24" s="112" t="s">
        <v>18</v>
      </c>
      <c r="C24" s="20" t="s">
        <v>261</v>
      </c>
      <c r="D24" s="20" t="s">
        <v>261</v>
      </c>
      <c r="E24" s="20" t="s">
        <v>261</v>
      </c>
      <c r="F24" s="20" t="s">
        <v>261</v>
      </c>
      <c r="G24" s="20" t="s">
        <v>261</v>
      </c>
      <c r="H24" s="20" t="s">
        <v>261</v>
      </c>
      <c r="I24" s="20" t="s">
        <v>261</v>
      </c>
      <c r="J24" s="20" t="s">
        <v>261</v>
      </c>
      <c r="K24" s="20" t="s">
        <v>261</v>
      </c>
      <c r="L24" s="20" t="s">
        <v>261</v>
      </c>
      <c r="M24" s="20" t="s">
        <v>261</v>
      </c>
      <c r="N24" s="20" t="s">
        <v>261</v>
      </c>
      <c r="O24" s="20" t="s">
        <v>261</v>
      </c>
      <c r="P24" s="20" t="s">
        <v>261</v>
      </c>
      <c r="Q24" s="20" t="s">
        <v>261</v>
      </c>
      <c r="R24" s="20" t="s">
        <v>261</v>
      </c>
      <c r="S24" s="20" t="s">
        <v>261</v>
      </c>
      <c r="T24" s="20" t="s">
        <v>261</v>
      </c>
      <c r="U24" s="20" t="s">
        <v>261</v>
      </c>
      <c r="V24" s="20" t="s">
        <v>261</v>
      </c>
      <c r="W24" s="20" t="s">
        <v>261</v>
      </c>
      <c r="X24" s="20" t="s">
        <v>261</v>
      </c>
      <c r="Y24" s="20" t="s">
        <v>261</v>
      </c>
      <c r="Z24" s="20" t="s">
        <v>261</v>
      </c>
      <c r="AA24" s="20" t="s">
        <v>261</v>
      </c>
      <c r="AB24" s="20" t="s">
        <v>262</v>
      </c>
      <c r="AC24" s="20" t="s">
        <v>262</v>
      </c>
      <c r="AD24" s="20" t="s">
        <v>262</v>
      </c>
      <c r="AE24" s="20" t="s">
        <v>262</v>
      </c>
      <c r="AF24" s="20" t="s">
        <v>262</v>
      </c>
      <c r="AG24" s="20" t="s">
        <v>262</v>
      </c>
      <c r="AH24" s="20" t="s">
        <v>262</v>
      </c>
      <c r="AI24" s="20" t="s">
        <v>262</v>
      </c>
      <c r="AJ24" s="20" t="s">
        <v>262</v>
      </c>
      <c r="AK24" s="20" t="s">
        <v>262</v>
      </c>
      <c r="AL24" s="20" t="s">
        <v>262</v>
      </c>
      <c r="AM24" s="20" t="s">
        <v>262</v>
      </c>
    </row>
    <row r="25" spans="1:39" ht="15.95" customHeight="1">
      <c r="A25" s="50" t="s">
        <v>164</v>
      </c>
      <c r="B25" s="112" t="s">
        <v>19</v>
      </c>
      <c r="C25" s="20" t="s">
        <v>261</v>
      </c>
      <c r="D25" s="20" t="s">
        <v>261</v>
      </c>
      <c r="E25" s="20" t="s">
        <v>261</v>
      </c>
      <c r="F25" s="20" t="s">
        <v>261</v>
      </c>
      <c r="G25" s="20" t="s">
        <v>261</v>
      </c>
      <c r="H25" s="20" t="s">
        <v>261</v>
      </c>
      <c r="I25" s="20" t="s">
        <v>261</v>
      </c>
      <c r="J25" s="20" t="s">
        <v>261</v>
      </c>
      <c r="K25" s="20" t="s">
        <v>261</v>
      </c>
      <c r="L25" s="20" t="s">
        <v>261</v>
      </c>
      <c r="M25" s="20" t="s">
        <v>261</v>
      </c>
      <c r="N25" s="20" t="s">
        <v>261</v>
      </c>
      <c r="O25" s="20" t="s">
        <v>261</v>
      </c>
      <c r="P25" s="20" t="s">
        <v>261</v>
      </c>
      <c r="Q25" s="20" t="s">
        <v>261</v>
      </c>
      <c r="R25" s="20" t="s">
        <v>261</v>
      </c>
      <c r="S25" s="20" t="s">
        <v>261</v>
      </c>
      <c r="T25" s="20" t="s">
        <v>261</v>
      </c>
      <c r="U25" s="20" t="s">
        <v>261</v>
      </c>
      <c r="V25" s="20" t="s">
        <v>261</v>
      </c>
      <c r="W25" s="20" t="s">
        <v>261</v>
      </c>
      <c r="X25" s="20" t="s">
        <v>261</v>
      </c>
      <c r="Y25" s="20" t="s">
        <v>261</v>
      </c>
      <c r="Z25" s="20" t="s">
        <v>261</v>
      </c>
      <c r="AA25" s="20" t="s">
        <v>261</v>
      </c>
      <c r="AB25" s="20" t="s">
        <v>262</v>
      </c>
      <c r="AC25" s="20" t="s">
        <v>262</v>
      </c>
      <c r="AD25" s="20" t="s">
        <v>262</v>
      </c>
      <c r="AE25" s="20" t="s">
        <v>262</v>
      </c>
      <c r="AF25" s="20" t="s">
        <v>262</v>
      </c>
      <c r="AG25" s="20" t="s">
        <v>262</v>
      </c>
      <c r="AH25" s="20" t="s">
        <v>262</v>
      </c>
      <c r="AI25" s="20" t="s">
        <v>262</v>
      </c>
      <c r="AJ25" s="20" t="s">
        <v>262</v>
      </c>
      <c r="AK25" s="20" t="s">
        <v>262</v>
      </c>
      <c r="AL25" s="20" t="s">
        <v>262</v>
      </c>
      <c r="AM25" s="20" t="s">
        <v>262</v>
      </c>
    </row>
    <row r="26" spans="1:39" ht="15.95" customHeight="1">
      <c r="A26" s="50" t="s">
        <v>165</v>
      </c>
      <c r="B26" s="112" t="s">
        <v>20</v>
      </c>
      <c r="C26" s="20" t="s">
        <v>261</v>
      </c>
      <c r="D26" s="20" t="s">
        <v>261</v>
      </c>
      <c r="E26" s="20" t="s">
        <v>261</v>
      </c>
      <c r="F26" s="20" t="s">
        <v>261</v>
      </c>
      <c r="G26" s="20" t="s">
        <v>261</v>
      </c>
      <c r="H26" s="20" t="s">
        <v>261</v>
      </c>
      <c r="I26" s="20" t="s">
        <v>261</v>
      </c>
      <c r="J26" s="20" t="s">
        <v>261</v>
      </c>
      <c r="K26" s="20" t="s">
        <v>261</v>
      </c>
      <c r="L26" s="20" t="s">
        <v>261</v>
      </c>
      <c r="M26" s="20" t="s">
        <v>261</v>
      </c>
      <c r="N26" s="20" t="s">
        <v>261</v>
      </c>
      <c r="O26" s="20" t="s">
        <v>261</v>
      </c>
      <c r="P26" s="20" t="s">
        <v>261</v>
      </c>
      <c r="Q26" s="20" t="s">
        <v>261</v>
      </c>
      <c r="R26" s="20" t="s">
        <v>261</v>
      </c>
      <c r="S26" s="20" t="s">
        <v>261</v>
      </c>
      <c r="T26" s="20" t="s">
        <v>261</v>
      </c>
      <c r="U26" s="20" t="s">
        <v>261</v>
      </c>
      <c r="V26" s="20" t="s">
        <v>261</v>
      </c>
      <c r="W26" s="20" t="s">
        <v>261</v>
      </c>
      <c r="X26" s="20" t="s">
        <v>261</v>
      </c>
      <c r="Y26" s="20" t="s">
        <v>261</v>
      </c>
      <c r="Z26" s="20" t="s">
        <v>261</v>
      </c>
      <c r="AA26" s="20" t="s">
        <v>261</v>
      </c>
      <c r="AB26" s="20" t="s">
        <v>262</v>
      </c>
      <c r="AC26" s="20" t="s">
        <v>262</v>
      </c>
      <c r="AD26" s="20" t="s">
        <v>262</v>
      </c>
      <c r="AE26" s="20" t="s">
        <v>262</v>
      </c>
      <c r="AF26" s="20" t="s">
        <v>262</v>
      </c>
      <c r="AG26" s="20" t="s">
        <v>262</v>
      </c>
      <c r="AH26" s="20" t="s">
        <v>262</v>
      </c>
      <c r="AI26" s="20" t="s">
        <v>262</v>
      </c>
      <c r="AJ26" s="20" t="s">
        <v>262</v>
      </c>
      <c r="AK26" s="20" t="s">
        <v>262</v>
      </c>
      <c r="AL26" s="20" t="s">
        <v>262</v>
      </c>
      <c r="AM26" s="20" t="s">
        <v>262</v>
      </c>
    </row>
    <row r="27" spans="1:39" ht="15.95" customHeight="1">
      <c r="A27" s="50" t="s">
        <v>166</v>
      </c>
      <c r="B27" s="112" t="s">
        <v>21</v>
      </c>
      <c r="C27" s="20">
        <v>1</v>
      </c>
      <c r="D27" s="20" t="s">
        <v>261</v>
      </c>
      <c r="E27" s="20" t="s">
        <v>261</v>
      </c>
      <c r="F27" s="20" t="s">
        <v>261</v>
      </c>
      <c r="G27" s="20" t="s">
        <v>261</v>
      </c>
      <c r="H27" s="20" t="s">
        <v>261</v>
      </c>
      <c r="I27" s="20" t="s">
        <v>261</v>
      </c>
      <c r="J27" s="20" t="s">
        <v>261</v>
      </c>
      <c r="K27" s="20" t="s">
        <v>261</v>
      </c>
      <c r="L27" s="20" t="s">
        <v>261</v>
      </c>
      <c r="M27" s="20" t="s">
        <v>261</v>
      </c>
      <c r="N27" s="20" t="s">
        <v>261</v>
      </c>
      <c r="O27" s="20" t="s">
        <v>261</v>
      </c>
      <c r="P27" s="20" t="s">
        <v>261</v>
      </c>
      <c r="Q27" s="20" t="s">
        <v>261</v>
      </c>
      <c r="R27" s="20" t="s">
        <v>261</v>
      </c>
      <c r="S27" s="20" t="s">
        <v>261</v>
      </c>
      <c r="T27" s="20" t="s">
        <v>261</v>
      </c>
      <c r="U27" s="20" t="s">
        <v>261</v>
      </c>
      <c r="V27" s="20" t="s">
        <v>261</v>
      </c>
      <c r="W27" s="20" t="s">
        <v>261</v>
      </c>
      <c r="X27" s="20" t="s">
        <v>261</v>
      </c>
      <c r="Y27" s="20" t="s">
        <v>261</v>
      </c>
      <c r="Z27" s="20" t="s">
        <v>261</v>
      </c>
      <c r="AA27" s="20" t="s">
        <v>261</v>
      </c>
      <c r="AB27" s="20" t="s">
        <v>262</v>
      </c>
      <c r="AC27" s="20" t="s">
        <v>262</v>
      </c>
      <c r="AD27" s="20" t="s">
        <v>262</v>
      </c>
      <c r="AE27" s="20" t="s">
        <v>262</v>
      </c>
      <c r="AF27" s="20" t="s">
        <v>262</v>
      </c>
      <c r="AG27" s="20" t="s">
        <v>262</v>
      </c>
      <c r="AH27" s="20" t="s">
        <v>262</v>
      </c>
      <c r="AI27" s="20" t="s">
        <v>262</v>
      </c>
      <c r="AJ27" s="20" t="s">
        <v>262</v>
      </c>
      <c r="AK27" s="20" t="s">
        <v>262</v>
      </c>
      <c r="AL27" s="20" t="s">
        <v>262</v>
      </c>
      <c r="AM27" s="20" t="s">
        <v>262</v>
      </c>
    </row>
    <row r="28" spans="1:39" ht="15.95" customHeight="1">
      <c r="A28" s="50" t="s">
        <v>167</v>
      </c>
      <c r="B28" s="112" t="s">
        <v>22</v>
      </c>
      <c r="C28" s="20" t="s">
        <v>261</v>
      </c>
      <c r="D28" s="20" t="s">
        <v>261</v>
      </c>
      <c r="E28" s="20" t="s">
        <v>261</v>
      </c>
      <c r="F28" s="20" t="s">
        <v>261</v>
      </c>
      <c r="G28" s="20" t="s">
        <v>261</v>
      </c>
      <c r="H28" s="20" t="s">
        <v>261</v>
      </c>
      <c r="I28" s="20" t="s">
        <v>261</v>
      </c>
      <c r="J28" s="20" t="s">
        <v>261</v>
      </c>
      <c r="K28" s="20" t="s">
        <v>261</v>
      </c>
      <c r="L28" s="20" t="s">
        <v>261</v>
      </c>
      <c r="M28" s="20" t="s">
        <v>261</v>
      </c>
      <c r="N28" s="20" t="s">
        <v>261</v>
      </c>
      <c r="O28" s="20" t="s">
        <v>261</v>
      </c>
      <c r="P28" s="20" t="s">
        <v>261</v>
      </c>
      <c r="Q28" s="20" t="s">
        <v>261</v>
      </c>
      <c r="R28" s="20" t="s">
        <v>261</v>
      </c>
      <c r="S28" s="20" t="s">
        <v>261</v>
      </c>
      <c r="T28" s="20" t="s">
        <v>261</v>
      </c>
      <c r="U28" s="20" t="s">
        <v>261</v>
      </c>
      <c r="V28" s="20" t="s">
        <v>261</v>
      </c>
      <c r="W28" s="20" t="s">
        <v>261</v>
      </c>
      <c r="X28" s="20" t="s">
        <v>261</v>
      </c>
      <c r="Y28" s="20" t="s">
        <v>261</v>
      </c>
      <c r="Z28" s="20" t="s">
        <v>261</v>
      </c>
      <c r="AA28" s="20" t="s">
        <v>261</v>
      </c>
      <c r="AB28" s="20" t="s">
        <v>262</v>
      </c>
      <c r="AC28" s="20" t="s">
        <v>262</v>
      </c>
      <c r="AD28" s="20" t="s">
        <v>262</v>
      </c>
      <c r="AE28" s="20" t="s">
        <v>262</v>
      </c>
      <c r="AF28" s="20" t="s">
        <v>262</v>
      </c>
      <c r="AG28" s="20" t="s">
        <v>262</v>
      </c>
      <c r="AH28" s="20" t="s">
        <v>262</v>
      </c>
      <c r="AI28" s="20" t="s">
        <v>262</v>
      </c>
      <c r="AJ28" s="20" t="s">
        <v>262</v>
      </c>
      <c r="AK28" s="20" t="s">
        <v>262</v>
      </c>
      <c r="AL28" s="20" t="s">
        <v>262</v>
      </c>
      <c r="AM28" s="20" t="s">
        <v>262</v>
      </c>
    </row>
    <row r="29" spans="1:39" ht="15.95" customHeight="1">
      <c r="A29" s="51" t="s">
        <v>168</v>
      </c>
      <c r="B29" s="113" t="s">
        <v>23</v>
      </c>
      <c r="C29" s="22" t="s">
        <v>261</v>
      </c>
      <c r="D29" s="22" t="s">
        <v>261</v>
      </c>
      <c r="E29" s="22" t="s">
        <v>261</v>
      </c>
      <c r="F29" s="22" t="s">
        <v>261</v>
      </c>
      <c r="G29" s="22" t="s">
        <v>261</v>
      </c>
      <c r="H29" s="22" t="s">
        <v>261</v>
      </c>
      <c r="I29" s="22" t="s">
        <v>261</v>
      </c>
      <c r="J29" s="22" t="s">
        <v>261</v>
      </c>
      <c r="K29" s="22" t="s">
        <v>261</v>
      </c>
      <c r="L29" s="22" t="s">
        <v>261</v>
      </c>
      <c r="M29" s="22" t="s">
        <v>261</v>
      </c>
      <c r="N29" s="22" t="s">
        <v>261</v>
      </c>
      <c r="O29" s="22" t="s">
        <v>261</v>
      </c>
      <c r="P29" s="22" t="s">
        <v>261</v>
      </c>
      <c r="Q29" s="22" t="s">
        <v>261</v>
      </c>
      <c r="R29" s="22" t="s">
        <v>261</v>
      </c>
      <c r="S29" s="22" t="s">
        <v>261</v>
      </c>
      <c r="T29" s="22" t="s">
        <v>261</v>
      </c>
      <c r="U29" s="22" t="s">
        <v>261</v>
      </c>
      <c r="V29" s="22" t="s">
        <v>261</v>
      </c>
      <c r="W29" s="22" t="s">
        <v>261</v>
      </c>
      <c r="X29" s="22" t="s">
        <v>261</v>
      </c>
      <c r="Y29" s="22" t="s">
        <v>261</v>
      </c>
      <c r="Z29" s="22" t="s">
        <v>261</v>
      </c>
      <c r="AA29" s="22" t="s">
        <v>261</v>
      </c>
      <c r="AB29" s="22" t="s">
        <v>262</v>
      </c>
      <c r="AC29" s="22" t="s">
        <v>262</v>
      </c>
      <c r="AD29" s="22" t="s">
        <v>262</v>
      </c>
      <c r="AE29" s="22" t="s">
        <v>262</v>
      </c>
      <c r="AF29" s="22" t="s">
        <v>262</v>
      </c>
      <c r="AG29" s="22" t="s">
        <v>262</v>
      </c>
      <c r="AH29" s="22" t="s">
        <v>262</v>
      </c>
      <c r="AI29" s="22" t="s">
        <v>262</v>
      </c>
      <c r="AJ29" s="22" t="s">
        <v>262</v>
      </c>
      <c r="AK29" s="22" t="s">
        <v>262</v>
      </c>
      <c r="AL29" s="22" t="s">
        <v>262</v>
      </c>
      <c r="AM29" s="22" t="s">
        <v>262</v>
      </c>
    </row>
    <row r="30" spans="1:39">
      <c r="A30" s="96" t="s">
        <v>77</v>
      </c>
      <c r="B30" s="61"/>
    </row>
    <row r="31" spans="1:39">
      <c r="A31" s="97" t="s">
        <v>2</v>
      </c>
    </row>
  </sheetData>
  <mergeCells count="50">
    <mergeCell ref="AM5:AM6"/>
    <mergeCell ref="AB5:AB6"/>
    <mergeCell ref="AC5:AC6"/>
    <mergeCell ref="AD5:AD6"/>
    <mergeCell ref="AE5:AE6"/>
    <mergeCell ref="AF5:AF6"/>
    <mergeCell ref="AG5:AG6"/>
    <mergeCell ref="AH5:AH6"/>
    <mergeCell ref="AI5:AI6"/>
    <mergeCell ref="AJ5:AJ6"/>
    <mergeCell ref="AK5:AK6"/>
    <mergeCell ref="AL5:AL6"/>
    <mergeCell ref="N5:N6"/>
    <mergeCell ref="AA5:AA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I5:I6"/>
    <mergeCell ref="A3:B6"/>
    <mergeCell ref="C3:C6"/>
    <mergeCell ref="D3:O3"/>
    <mergeCell ref="P3:AA3"/>
    <mergeCell ref="D5:D6"/>
    <mergeCell ref="E5:E6"/>
    <mergeCell ref="F5:F6"/>
    <mergeCell ref="G5:G6"/>
    <mergeCell ref="H5:H6"/>
    <mergeCell ref="O5:O6"/>
    <mergeCell ref="Y4:AA4"/>
    <mergeCell ref="J5:J6"/>
    <mergeCell ref="K5:K6"/>
    <mergeCell ref="L5:L6"/>
    <mergeCell ref="M5:M6"/>
    <mergeCell ref="AB3:AM3"/>
    <mergeCell ref="G4:I4"/>
    <mergeCell ref="J4:L4"/>
    <mergeCell ref="M4:O4"/>
    <mergeCell ref="S4:U4"/>
    <mergeCell ref="V4:X4"/>
    <mergeCell ref="AE4:AG4"/>
    <mergeCell ref="AH4:AJ4"/>
    <mergeCell ref="AK4:AM4"/>
  </mergeCells>
  <phoneticPr fontId="6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BZ31"/>
  <sheetViews>
    <sheetView zoomScaleNormal="100" zoomScaleSheetLayoutView="75" workbookViewId="0">
      <pane xSplit="2" ySplit="6" topLeftCell="C7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0.33203125" style="3" customWidth="1"/>
    <col min="2" max="2" width="20.1640625" style="3" customWidth="1"/>
    <col min="3" max="3" width="11.6640625" style="3" customWidth="1"/>
    <col min="4" max="39" width="11.33203125" style="3" customWidth="1"/>
    <col min="40" max="16384" width="12" style="3"/>
  </cols>
  <sheetData>
    <row r="1" spans="1:78" ht="21">
      <c r="A1" s="80" t="s">
        <v>244</v>
      </c>
      <c r="B1" s="88"/>
    </row>
    <row r="2" spans="1:78" ht="25.5" customHeight="1">
      <c r="A2" s="26" t="s">
        <v>114</v>
      </c>
      <c r="B2" s="79"/>
      <c r="C2" s="79"/>
    </row>
    <row r="3" spans="1:78" s="97" customFormat="1" ht="16.5" customHeight="1">
      <c r="A3" s="441" t="s">
        <v>259</v>
      </c>
      <c r="B3" s="442"/>
      <c r="C3" s="436" t="s">
        <v>245</v>
      </c>
      <c r="D3" s="437" t="s">
        <v>246</v>
      </c>
      <c r="E3" s="447"/>
      <c r="F3" s="447"/>
      <c r="G3" s="447"/>
      <c r="H3" s="447"/>
      <c r="I3" s="447"/>
      <c r="J3" s="447"/>
      <c r="K3" s="447"/>
      <c r="L3" s="447"/>
      <c r="M3" s="447"/>
      <c r="N3" s="447"/>
      <c r="O3" s="450"/>
      <c r="P3" s="437" t="s">
        <v>247</v>
      </c>
      <c r="Q3" s="447"/>
      <c r="R3" s="447"/>
      <c r="S3" s="447"/>
      <c r="T3" s="447"/>
      <c r="U3" s="447"/>
      <c r="V3" s="447"/>
      <c r="W3" s="447"/>
      <c r="X3" s="447"/>
      <c r="Y3" s="447"/>
      <c r="Z3" s="447"/>
      <c r="AA3" s="450"/>
      <c r="AB3" s="437" t="s">
        <v>248</v>
      </c>
      <c r="AC3" s="447"/>
      <c r="AD3" s="447"/>
      <c r="AE3" s="447"/>
      <c r="AF3" s="447"/>
      <c r="AG3" s="447"/>
      <c r="AH3" s="447"/>
      <c r="AI3" s="447"/>
      <c r="AJ3" s="447"/>
      <c r="AK3" s="447"/>
      <c r="AL3" s="447"/>
      <c r="AM3" s="447"/>
    </row>
    <row r="4" spans="1:78" s="101" customFormat="1" ht="29.25" customHeight="1">
      <c r="A4" s="443"/>
      <c r="B4" s="444"/>
      <c r="C4" s="436"/>
      <c r="D4" s="81" t="s">
        <v>249</v>
      </c>
      <c r="E4" s="98"/>
      <c r="F4" s="99"/>
      <c r="G4" s="436" t="s">
        <v>250</v>
      </c>
      <c r="H4" s="436"/>
      <c r="I4" s="436"/>
      <c r="J4" s="436" t="s">
        <v>251</v>
      </c>
      <c r="K4" s="436"/>
      <c r="L4" s="436"/>
      <c r="M4" s="436" t="s">
        <v>252</v>
      </c>
      <c r="N4" s="436"/>
      <c r="O4" s="436"/>
      <c r="P4" s="81" t="s">
        <v>249</v>
      </c>
      <c r="Q4" s="100"/>
      <c r="R4" s="99"/>
      <c r="S4" s="436" t="s">
        <v>250</v>
      </c>
      <c r="T4" s="436"/>
      <c r="U4" s="436"/>
      <c r="V4" s="436" t="s">
        <v>251</v>
      </c>
      <c r="W4" s="436"/>
      <c r="X4" s="436"/>
      <c r="Y4" s="436" t="s">
        <v>252</v>
      </c>
      <c r="Z4" s="436"/>
      <c r="AA4" s="436"/>
      <c r="AB4" s="81" t="s">
        <v>249</v>
      </c>
      <c r="AC4" s="100"/>
      <c r="AD4" s="99"/>
      <c r="AE4" s="436" t="s">
        <v>250</v>
      </c>
      <c r="AF4" s="436"/>
      <c r="AG4" s="436"/>
      <c r="AH4" s="436" t="s">
        <v>251</v>
      </c>
      <c r="AI4" s="436"/>
      <c r="AJ4" s="436"/>
      <c r="AK4" s="436" t="s">
        <v>252</v>
      </c>
      <c r="AL4" s="436"/>
      <c r="AM4" s="448"/>
    </row>
    <row r="5" spans="1:78" s="102" customFormat="1" ht="16.5" customHeight="1">
      <c r="A5" s="443"/>
      <c r="B5" s="444"/>
      <c r="C5" s="436"/>
      <c r="D5" s="432" t="s">
        <v>253</v>
      </c>
      <c r="E5" s="432" t="s">
        <v>254</v>
      </c>
      <c r="F5" s="432" t="s">
        <v>255</v>
      </c>
      <c r="G5" s="432" t="s">
        <v>253</v>
      </c>
      <c r="H5" s="432" t="s">
        <v>254</v>
      </c>
      <c r="I5" s="432" t="s">
        <v>255</v>
      </c>
      <c r="J5" s="432" t="s">
        <v>253</v>
      </c>
      <c r="K5" s="432" t="s">
        <v>254</v>
      </c>
      <c r="L5" s="432" t="s">
        <v>255</v>
      </c>
      <c r="M5" s="432" t="s">
        <v>253</v>
      </c>
      <c r="N5" s="432" t="s">
        <v>254</v>
      </c>
      <c r="O5" s="432" t="s">
        <v>255</v>
      </c>
      <c r="P5" s="432" t="s">
        <v>253</v>
      </c>
      <c r="Q5" s="432" t="s">
        <v>254</v>
      </c>
      <c r="R5" s="432" t="s">
        <v>255</v>
      </c>
      <c r="S5" s="432" t="s">
        <v>253</v>
      </c>
      <c r="T5" s="432" t="s">
        <v>254</v>
      </c>
      <c r="U5" s="432" t="s">
        <v>255</v>
      </c>
      <c r="V5" s="432" t="s">
        <v>253</v>
      </c>
      <c r="W5" s="432" t="s">
        <v>254</v>
      </c>
      <c r="X5" s="432" t="s">
        <v>255</v>
      </c>
      <c r="Y5" s="432" t="s">
        <v>253</v>
      </c>
      <c r="Z5" s="432" t="s">
        <v>254</v>
      </c>
      <c r="AA5" s="432" t="s">
        <v>255</v>
      </c>
      <c r="AB5" s="432" t="s">
        <v>253</v>
      </c>
      <c r="AC5" s="432" t="s">
        <v>254</v>
      </c>
      <c r="AD5" s="432" t="s">
        <v>255</v>
      </c>
      <c r="AE5" s="432" t="s">
        <v>253</v>
      </c>
      <c r="AF5" s="432" t="s">
        <v>254</v>
      </c>
      <c r="AG5" s="432" t="s">
        <v>255</v>
      </c>
      <c r="AH5" s="432" t="s">
        <v>253</v>
      </c>
      <c r="AI5" s="432" t="s">
        <v>254</v>
      </c>
      <c r="AJ5" s="432" t="s">
        <v>255</v>
      </c>
      <c r="AK5" s="432" t="s">
        <v>253</v>
      </c>
      <c r="AL5" s="432" t="s">
        <v>254</v>
      </c>
      <c r="AM5" s="434" t="s">
        <v>255</v>
      </c>
    </row>
    <row r="6" spans="1:78" s="97" customFormat="1" ht="12">
      <c r="A6" s="445"/>
      <c r="B6" s="446"/>
      <c r="C6" s="436"/>
      <c r="D6" s="449"/>
      <c r="E6" s="449"/>
      <c r="F6" s="449"/>
      <c r="G6" s="449"/>
      <c r="H6" s="449"/>
      <c r="I6" s="449"/>
      <c r="J6" s="449"/>
      <c r="K6" s="449"/>
      <c r="L6" s="449"/>
      <c r="M6" s="449"/>
      <c r="N6" s="449"/>
      <c r="O6" s="449"/>
      <c r="P6" s="449"/>
      <c r="Q6" s="449"/>
      <c r="R6" s="449"/>
      <c r="S6" s="449"/>
      <c r="T6" s="449"/>
      <c r="U6" s="449"/>
      <c r="V6" s="449"/>
      <c r="W6" s="449"/>
      <c r="X6" s="449"/>
      <c r="Y6" s="449"/>
      <c r="Z6" s="449"/>
      <c r="AA6" s="449"/>
      <c r="AB6" s="449"/>
      <c r="AC6" s="449"/>
      <c r="AD6" s="449"/>
      <c r="AE6" s="449"/>
      <c r="AF6" s="449"/>
      <c r="AG6" s="449"/>
      <c r="AH6" s="449"/>
      <c r="AI6" s="449"/>
      <c r="AJ6" s="449"/>
      <c r="AK6" s="449"/>
      <c r="AL6" s="449"/>
      <c r="AM6" s="451"/>
    </row>
    <row r="7" spans="1:78" s="18" customFormat="1" ht="15.95" customHeight="1">
      <c r="A7" s="114" t="s">
        <v>292</v>
      </c>
      <c r="B7" s="36" t="s">
        <v>39</v>
      </c>
      <c r="C7" s="93">
        <v>15</v>
      </c>
      <c r="D7" s="93">
        <v>62</v>
      </c>
      <c r="E7" s="93">
        <v>25</v>
      </c>
      <c r="F7" s="93">
        <v>37</v>
      </c>
      <c r="G7" s="93">
        <v>15</v>
      </c>
      <c r="H7" s="93">
        <v>6</v>
      </c>
      <c r="I7" s="93">
        <v>9</v>
      </c>
      <c r="J7" s="93">
        <v>10</v>
      </c>
      <c r="K7" s="93">
        <v>7</v>
      </c>
      <c r="L7" s="93">
        <v>3</v>
      </c>
      <c r="M7" s="93">
        <v>37</v>
      </c>
      <c r="N7" s="93">
        <v>12</v>
      </c>
      <c r="O7" s="93">
        <v>25</v>
      </c>
      <c r="P7" s="93">
        <v>7847</v>
      </c>
      <c r="Q7" s="93">
        <v>3494</v>
      </c>
      <c r="R7" s="93">
        <v>4353</v>
      </c>
      <c r="S7" s="93">
        <v>1920</v>
      </c>
      <c r="T7" s="93">
        <v>800</v>
      </c>
      <c r="U7" s="93">
        <v>1120</v>
      </c>
      <c r="V7" s="93">
        <v>825</v>
      </c>
      <c r="W7" s="93">
        <v>513</v>
      </c>
      <c r="X7" s="93">
        <v>312</v>
      </c>
      <c r="Y7" s="93">
        <v>5102</v>
      </c>
      <c r="Z7" s="93">
        <v>2181</v>
      </c>
      <c r="AA7" s="93">
        <v>2921</v>
      </c>
      <c r="AB7" s="93">
        <v>54670.5</v>
      </c>
      <c r="AC7" s="93">
        <v>23030.5</v>
      </c>
      <c r="AD7" s="93">
        <v>31640</v>
      </c>
      <c r="AE7" s="93">
        <v>13548.5</v>
      </c>
      <c r="AF7" s="93">
        <v>5037</v>
      </c>
      <c r="AG7" s="93">
        <v>8511.5</v>
      </c>
      <c r="AH7" s="93">
        <v>4813</v>
      </c>
      <c r="AI7" s="93">
        <v>2940</v>
      </c>
      <c r="AJ7" s="93">
        <v>1873</v>
      </c>
      <c r="AK7" s="93">
        <v>36309</v>
      </c>
      <c r="AL7" s="93">
        <v>15053.5</v>
      </c>
      <c r="AM7" s="93">
        <v>21255.5</v>
      </c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</row>
    <row r="8" spans="1:78" s="18" customFormat="1" ht="15.95" customHeight="1">
      <c r="A8" s="49" t="s">
        <v>147</v>
      </c>
      <c r="B8" s="111" t="s">
        <v>24</v>
      </c>
      <c r="C8" s="93" t="s">
        <v>261</v>
      </c>
      <c r="D8" s="93" t="s">
        <v>261</v>
      </c>
      <c r="E8" s="93" t="s">
        <v>261</v>
      </c>
      <c r="F8" s="93" t="s">
        <v>261</v>
      </c>
      <c r="G8" s="93" t="s">
        <v>261</v>
      </c>
      <c r="H8" s="93" t="s">
        <v>261</v>
      </c>
      <c r="I8" s="93" t="s">
        <v>261</v>
      </c>
      <c r="J8" s="93" t="s">
        <v>261</v>
      </c>
      <c r="K8" s="93" t="s">
        <v>261</v>
      </c>
      <c r="L8" s="93" t="s">
        <v>261</v>
      </c>
      <c r="M8" s="93" t="s">
        <v>261</v>
      </c>
      <c r="N8" s="93" t="s">
        <v>261</v>
      </c>
      <c r="O8" s="93" t="s">
        <v>261</v>
      </c>
      <c r="P8" s="93" t="s">
        <v>261</v>
      </c>
      <c r="Q8" s="93" t="s">
        <v>261</v>
      </c>
      <c r="R8" s="93" t="s">
        <v>261</v>
      </c>
      <c r="S8" s="93" t="s">
        <v>261</v>
      </c>
      <c r="T8" s="93" t="s">
        <v>261</v>
      </c>
      <c r="U8" s="93" t="s">
        <v>261</v>
      </c>
      <c r="V8" s="93" t="s">
        <v>261</v>
      </c>
      <c r="W8" s="93" t="s">
        <v>261</v>
      </c>
      <c r="X8" s="93" t="s">
        <v>261</v>
      </c>
      <c r="Y8" s="93" t="s">
        <v>261</v>
      </c>
      <c r="Z8" s="93" t="s">
        <v>261</v>
      </c>
      <c r="AA8" s="93" t="s">
        <v>261</v>
      </c>
      <c r="AB8" s="93" t="s">
        <v>262</v>
      </c>
      <c r="AC8" s="93" t="s">
        <v>262</v>
      </c>
      <c r="AD8" s="93" t="s">
        <v>262</v>
      </c>
      <c r="AE8" s="93" t="s">
        <v>262</v>
      </c>
      <c r="AF8" s="93" t="s">
        <v>262</v>
      </c>
      <c r="AG8" s="93" t="s">
        <v>262</v>
      </c>
      <c r="AH8" s="93" t="s">
        <v>262</v>
      </c>
      <c r="AI8" s="93" t="s">
        <v>262</v>
      </c>
      <c r="AJ8" s="93" t="s">
        <v>262</v>
      </c>
      <c r="AK8" s="93" t="s">
        <v>262</v>
      </c>
      <c r="AL8" s="93" t="s">
        <v>262</v>
      </c>
      <c r="AM8" s="93" t="s">
        <v>262</v>
      </c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</row>
    <row r="9" spans="1:78" s="18" customFormat="1" ht="15.95" customHeight="1">
      <c r="A9" s="49" t="s">
        <v>148</v>
      </c>
      <c r="B9" s="111" t="s">
        <v>25</v>
      </c>
      <c r="C9" s="93">
        <v>1</v>
      </c>
      <c r="D9" s="93">
        <v>2</v>
      </c>
      <c r="E9" s="93">
        <v>1</v>
      </c>
      <c r="F9" s="93">
        <v>1</v>
      </c>
      <c r="G9" s="93" t="s">
        <v>261</v>
      </c>
      <c r="H9" s="93" t="s">
        <v>261</v>
      </c>
      <c r="I9" s="93" t="s">
        <v>261</v>
      </c>
      <c r="J9" s="93" t="s">
        <v>261</v>
      </c>
      <c r="K9" s="93" t="s">
        <v>261</v>
      </c>
      <c r="L9" s="93" t="s">
        <v>261</v>
      </c>
      <c r="M9" s="93">
        <v>2</v>
      </c>
      <c r="N9" s="93">
        <v>1</v>
      </c>
      <c r="O9" s="93">
        <v>1</v>
      </c>
      <c r="P9" s="93">
        <v>295</v>
      </c>
      <c r="Q9" s="93">
        <v>224</v>
      </c>
      <c r="R9" s="93">
        <v>71</v>
      </c>
      <c r="S9" s="93" t="s">
        <v>261</v>
      </c>
      <c r="T9" s="93" t="s">
        <v>261</v>
      </c>
      <c r="U9" s="93" t="s">
        <v>261</v>
      </c>
      <c r="V9" s="93" t="s">
        <v>261</v>
      </c>
      <c r="W9" s="93" t="s">
        <v>261</v>
      </c>
      <c r="X9" s="93" t="s">
        <v>261</v>
      </c>
      <c r="Y9" s="93">
        <v>295</v>
      </c>
      <c r="Z9" s="93">
        <v>224</v>
      </c>
      <c r="AA9" s="93">
        <v>71</v>
      </c>
      <c r="AB9" s="93">
        <v>2422.5</v>
      </c>
      <c r="AC9" s="93">
        <v>1865</v>
      </c>
      <c r="AD9" s="93">
        <v>557.5</v>
      </c>
      <c r="AE9" s="93" t="s">
        <v>262</v>
      </c>
      <c r="AF9" s="93" t="s">
        <v>262</v>
      </c>
      <c r="AG9" s="93" t="s">
        <v>262</v>
      </c>
      <c r="AH9" s="93" t="s">
        <v>262</v>
      </c>
      <c r="AI9" s="93" t="s">
        <v>262</v>
      </c>
      <c r="AJ9" s="93" t="s">
        <v>262</v>
      </c>
      <c r="AK9" s="93">
        <v>2422.5</v>
      </c>
      <c r="AL9" s="93">
        <v>1865</v>
      </c>
      <c r="AM9" s="93">
        <v>557.5</v>
      </c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</row>
    <row r="10" spans="1:78" s="18" customFormat="1" ht="15.95" customHeight="1">
      <c r="A10" s="49" t="s">
        <v>149</v>
      </c>
      <c r="B10" s="111" t="s">
        <v>26</v>
      </c>
      <c r="C10" s="93">
        <v>2</v>
      </c>
      <c r="D10" s="93">
        <v>19</v>
      </c>
      <c r="E10" s="93">
        <v>8</v>
      </c>
      <c r="F10" s="93">
        <v>11</v>
      </c>
      <c r="G10" s="93">
        <v>5</v>
      </c>
      <c r="H10" s="93">
        <v>1</v>
      </c>
      <c r="I10" s="93">
        <v>4</v>
      </c>
      <c r="J10" s="93">
        <v>2</v>
      </c>
      <c r="K10" s="93">
        <v>2</v>
      </c>
      <c r="L10" s="93" t="s">
        <v>261</v>
      </c>
      <c r="M10" s="93">
        <v>12</v>
      </c>
      <c r="N10" s="93">
        <v>5</v>
      </c>
      <c r="O10" s="93">
        <v>7</v>
      </c>
      <c r="P10" s="93">
        <v>3733</v>
      </c>
      <c r="Q10" s="93">
        <v>1737</v>
      </c>
      <c r="R10" s="93">
        <v>1996</v>
      </c>
      <c r="S10" s="93">
        <v>1251</v>
      </c>
      <c r="T10" s="93">
        <v>451</v>
      </c>
      <c r="U10" s="93">
        <v>800</v>
      </c>
      <c r="V10" s="93">
        <v>325</v>
      </c>
      <c r="W10" s="93">
        <v>210</v>
      </c>
      <c r="X10" s="93">
        <v>115</v>
      </c>
      <c r="Y10" s="93">
        <v>2157</v>
      </c>
      <c r="Z10" s="93">
        <v>1076</v>
      </c>
      <c r="AA10" s="93">
        <v>1081</v>
      </c>
      <c r="AB10" s="93">
        <v>33196</v>
      </c>
      <c r="AC10" s="93">
        <v>15268.5</v>
      </c>
      <c r="AD10" s="93">
        <v>17927.5</v>
      </c>
      <c r="AE10" s="93">
        <v>10816.5</v>
      </c>
      <c r="AF10" s="93">
        <v>3756</v>
      </c>
      <c r="AG10" s="93">
        <v>7060.5</v>
      </c>
      <c r="AH10" s="93">
        <v>2901</v>
      </c>
      <c r="AI10" s="93">
        <v>1890</v>
      </c>
      <c r="AJ10" s="93">
        <v>1011</v>
      </c>
      <c r="AK10" s="93">
        <v>19478.5</v>
      </c>
      <c r="AL10" s="93">
        <v>9622.5</v>
      </c>
      <c r="AM10" s="93">
        <v>9856</v>
      </c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</row>
    <row r="11" spans="1:78" s="18" customFormat="1" ht="15.95" customHeight="1">
      <c r="A11" s="49" t="s">
        <v>150</v>
      </c>
      <c r="B11" s="111" t="s">
        <v>27</v>
      </c>
      <c r="C11" s="93">
        <v>2</v>
      </c>
      <c r="D11" s="93">
        <v>4</v>
      </c>
      <c r="E11" s="93">
        <v>2</v>
      </c>
      <c r="F11" s="93">
        <v>2</v>
      </c>
      <c r="G11" s="93">
        <v>2</v>
      </c>
      <c r="H11" s="93" t="s">
        <v>261</v>
      </c>
      <c r="I11" s="93">
        <v>2</v>
      </c>
      <c r="J11" s="93">
        <v>2</v>
      </c>
      <c r="K11" s="93">
        <v>2</v>
      </c>
      <c r="L11" s="93" t="s">
        <v>261</v>
      </c>
      <c r="M11" s="93" t="s">
        <v>261</v>
      </c>
      <c r="N11" s="93" t="s">
        <v>261</v>
      </c>
      <c r="O11" s="93" t="s">
        <v>261</v>
      </c>
      <c r="P11" s="93">
        <v>44</v>
      </c>
      <c r="Q11" s="93">
        <v>22</v>
      </c>
      <c r="R11" s="93">
        <v>22</v>
      </c>
      <c r="S11" s="93">
        <v>22</v>
      </c>
      <c r="T11" s="93" t="s">
        <v>261</v>
      </c>
      <c r="U11" s="93">
        <v>22</v>
      </c>
      <c r="V11" s="93">
        <v>22</v>
      </c>
      <c r="W11" s="93">
        <v>22</v>
      </c>
      <c r="X11" s="93" t="s">
        <v>261</v>
      </c>
      <c r="Y11" s="93" t="s">
        <v>261</v>
      </c>
      <c r="Z11" s="93" t="s">
        <v>261</v>
      </c>
      <c r="AA11" s="93" t="s">
        <v>261</v>
      </c>
      <c r="AB11" s="93">
        <v>352</v>
      </c>
      <c r="AC11" s="93">
        <v>176</v>
      </c>
      <c r="AD11" s="93">
        <v>176</v>
      </c>
      <c r="AE11" s="93">
        <v>176</v>
      </c>
      <c r="AF11" s="93" t="s">
        <v>262</v>
      </c>
      <c r="AG11" s="93">
        <v>176</v>
      </c>
      <c r="AH11" s="93">
        <v>176</v>
      </c>
      <c r="AI11" s="93">
        <v>176</v>
      </c>
      <c r="AJ11" s="93" t="s">
        <v>262</v>
      </c>
      <c r="AK11" s="93" t="s">
        <v>262</v>
      </c>
      <c r="AL11" s="93" t="s">
        <v>262</v>
      </c>
      <c r="AM11" s="93" t="s">
        <v>262</v>
      </c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</row>
    <row r="12" spans="1:78" s="18" customFormat="1" ht="15.95" customHeight="1">
      <c r="A12" s="49" t="s">
        <v>151</v>
      </c>
      <c r="B12" s="111" t="s">
        <v>28</v>
      </c>
      <c r="C12" s="93">
        <v>1</v>
      </c>
      <c r="D12" s="93">
        <v>2</v>
      </c>
      <c r="E12" s="93">
        <v>2</v>
      </c>
      <c r="F12" s="93" t="s">
        <v>261</v>
      </c>
      <c r="G12" s="93" t="s">
        <v>261</v>
      </c>
      <c r="H12" s="93" t="s">
        <v>261</v>
      </c>
      <c r="I12" s="93" t="s">
        <v>261</v>
      </c>
      <c r="J12" s="93">
        <v>1</v>
      </c>
      <c r="K12" s="93">
        <v>1</v>
      </c>
      <c r="L12" s="93" t="s">
        <v>261</v>
      </c>
      <c r="M12" s="93">
        <v>1</v>
      </c>
      <c r="N12" s="93">
        <v>1</v>
      </c>
      <c r="O12" s="93" t="s">
        <v>261</v>
      </c>
      <c r="P12" s="93">
        <v>653</v>
      </c>
      <c r="Q12" s="93">
        <v>653</v>
      </c>
      <c r="R12" s="93" t="s">
        <v>261</v>
      </c>
      <c r="S12" s="93">
        <v>22</v>
      </c>
      <c r="T12" s="93">
        <v>22</v>
      </c>
      <c r="U12" s="93" t="s">
        <v>261</v>
      </c>
      <c r="V12" s="93">
        <v>191</v>
      </c>
      <c r="W12" s="93">
        <v>191</v>
      </c>
      <c r="X12" s="93" t="s">
        <v>261</v>
      </c>
      <c r="Y12" s="93">
        <v>440</v>
      </c>
      <c r="Z12" s="93">
        <v>440</v>
      </c>
      <c r="AA12" s="93" t="s">
        <v>261</v>
      </c>
      <c r="AB12" s="93">
        <v>2542</v>
      </c>
      <c r="AC12" s="93">
        <v>2542</v>
      </c>
      <c r="AD12" s="93" t="s">
        <v>262</v>
      </c>
      <c r="AE12" s="93">
        <v>160</v>
      </c>
      <c r="AF12" s="93">
        <v>160</v>
      </c>
      <c r="AG12" s="93" t="s">
        <v>262</v>
      </c>
      <c r="AH12" s="93">
        <v>410</v>
      </c>
      <c r="AI12" s="93">
        <v>410</v>
      </c>
      <c r="AJ12" s="93" t="s">
        <v>262</v>
      </c>
      <c r="AK12" s="93">
        <v>1972</v>
      </c>
      <c r="AL12" s="93">
        <v>1972</v>
      </c>
      <c r="AM12" s="93" t="s">
        <v>262</v>
      </c>
      <c r="AN12" s="93"/>
      <c r="AO12" s="93"/>
      <c r="AP12" s="93"/>
      <c r="AQ12" s="93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</row>
    <row r="13" spans="1:78" ht="15.95" customHeight="1">
      <c r="A13" s="50" t="s">
        <v>152</v>
      </c>
      <c r="B13" s="112" t="s">
        <v>7</v>
      </c>
      <c r="C13" s="20" t="s">
        <v>261</v>
      </c>
      <c r="D13" s="20" t="s">
        <v>261</v>
      </c>
      <c r="E13" s="20" t="s">
        <v>261</v>
      </c>
      <c r="F13" s="20" t="s">
        <v>261</v>
      </c>
      <c r="G13" s="20" t="s">
        <v>261</v>
      </c>
      <c r="H13" s="20" t="s">
        <v>261</v>
      </c>
      <c r="I13" s="20" t="s">
        <v>261</v>
      </c>
      <c r="J13" s="20" t="s">
        <v>261</v>
      </c>
      <c r="K13" s="20" t="s">
        <v>261</v>
      </c>
      <c r="L13" s="20" t="s">
        <v>261</v>
      </c>
      <c r="M13" s="20" t="s">
        <v>261</v>
      </c>
      <c r="N13" s="20" t="s">
        <v>261</v>
      </c>
      <c r="O13" s="20" t="s">
        <v>261</v>
      </c>
      <c r="P13" s="20" t="s">
        <v>261</v>
      </c>
      <c r="Q13" s="20" t="s">
        <v>261</v>
      </c>
      <c r="R13" s="20" t="s">
        <v>261</v>
      </c>
      <c r="S13" s="20" t="s">
        <v>261</v>
      </c>
      <c r="T13" s="20" t="s">
        <v>261</v>
      </c>
      <c r="U13" s="20" t="s">
        <v>261</v>
      </c>
      <c r="V13" s="20" t="s">
        <v>261</v>
      </c>
      <c r="W13" s="20" t="s">
        <v>261</v>
      </c>
      <c r="X13" s="20" t="s">
        <v>261</v>
      </c>
      <c r="Y13" s="20" t="s">
        <v>261</v>
      </c>
      <c r="Z13" s="20" t="s">
        <v>261</v>
      </c>
      <c r="AA13" s="20" t="s">
        <v>261</v>
      </c>
      <c r="AB13" s="20" t="s">
        <v>262</v>
      </c>
      <c r="AC13" s="20" t="s">
        <v>262</v>
      </c>
      <c r="AD13" s="20" t="s">
        <v>262</v>
      </c>
      <c r="AE13" s="20" t="s">
        <v>262</v>
      </c>
      <c r="AF13" s="20" t="s">
        <v>262</v>
      </c>
      <c r="AG13" s="20" t="s">
        <v>262</v>
      </c>
      <c r="AH13" s="20" t="s">
        <v>262</v>
      </c>
      <c r="AI13" s="20" t="s">
        <v>262</v>
      </c>
      <c r="AJ13" s="20" t="s">
        <v>262</v>
      </c>
      <c r="AK13" s="20" t="s">
        <v>262</v>
      </c>
      <c r="AL13" s="20" t="s">
        <v>262</v>
      </c>
      <c r="AM13" s="20" t="s">
        <v>262</v>
      </c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</row>
    <row r="14" spans="1:78" ht="15.95" customHeight="1">
      <c r="A14" s="50" t="s">
        <v>153</v>
      </c>
      <c r="B14" s="112" t="s">
        <v>8</v>
      </c>
      <c r="C14" s="20" t="s">
        <v>261</v>
      </c>
      <c r="D14" s="20" t="s">
        <v>261</v>
      </c>
      <c r="E14" s="20" t="s">
        <v>261</v>
      </c>
      <c r="F14" s="20" t="s">
        <v>261</v>
      </c>
      <c r="G14" s="20" t="s">
        <v>261</v>
      </c>
      <c r="H14" s="20" t="s">
        <v>261</v>
      </c>
      <c r="I14" s="20" t="s">
        <v>261</v>
      </c>
      <c r="J14" s="20" t="s">
        <v>261</v>
      </c>
      <c r="K14" s="20" t="s">
        <v>261</v>
      </c>
      <c r="L14" s="20" t="s">
        <v>261</v>
      </c>
      <c r="M14" s="20" t="s">
        <v>261</v>
      </c>
      <c r="N14" s="20" t="s">
        <v>261</v>
      </c>
      <c r="O14" s="20" t="s">
        <v>261</v>
      </c>
      <c r="P14" s="20" t="s">
        <v>261</v>
      </c>
      <c r="Q14" s="20" t="s">
        <v>261</v>
      </c>
      <c r="R14" s="20" t="s">
        <v>261</v>
      </c>
      <c r="S14" s="20" t="s">
        <v>261</v>
      </c>
      <c r="T14" s="20" t="s">
        <v>261</v>
      </c>
      <c r="U14" s="20" t="s">
        <v>261</v>
      </c>
      <c r="V14" s="20" t="s">
        <v>261</v>
      </c>
      <c r="W14" s="20" t="s">
        <v>261</v>
      </c>
      <c r="X14" s="20" t="s">
        <v>261</v>
      </c>
      <c r="Y14" s="20" t="s">
        <v>261</v>
      </c>
      <c r="Z14" s="20" t="s">
        <v>261</v>
      </c>
      <c r="AA14" s="20" t="s">
        <v>261</v>
      </c>
      <c r="AB14" s="20" t="s">
        <v>262</v>
      </c>
      <c r="AC14" s="20" t="s">
        <v>262</v>
      </c>
      <c r="AD14" s="20" t="s">
        <v>262</v>
      </c>
      <c r="AE14" s="20" t="s">
        <v>262</v>
      </c>
      <c r="AF14" s="20" t="s">
        <v>262</v>
      </c>
      <c r="AG14" s="20" t="s">
        <v>262</v>
      </c>
      <c r="AH14" s="20" t="s">
        <v>262</v>
      </c>
      <c r="AI14" s="20" t="s">
        <v>262</v>
      </c>
      <c r="AJ14" s="20" t="s">
        <v>262</v>
      </c>
      <c r="AK14" s="20" t="s">
        <v>262</v>
      </c>
      <c r="AL14" s="20" t="s">
        <v>262</v>
      </c>
      <c r="AM14" s="20" t="s">
        <v>262</v>
      </c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</row>
    <row r="15" spans="1:78" ht="15.95" customHeight="1">
      <c r="A15" s="50" t="s">
        <v>154</v>
      </c>
      <c r="B15" s="112" t="s">
        <v>9</v>
      </c>
      <c r="C15" s="20" t="s">
        <v>261</v>
      </c>
      <c r="D15" s="20" t="s">
        <v>261</v>
      </c>
      <c r="E15" s="20" t="s">
        <v>261</v>
      </c>
      <c r="F15" s="20" t="s">
        <v>261</v>
      </c>
      <c r="G15" s="20" t="s">
        <v>261</v>
      </c>
      <c r="H15" s="20" t="s">
        <v>261</v>
      </c>
      <c r="I15" s="20" t="s">
        <v>261</v>
      </c>
      <c r="J15" s="20" t="s">
        <v>261</v>
      </c>
      <c r="K15" s="20" t="s">
        <v>261</v>
      </c>
      <c r="L15" s="20" t="s">
        <v>261</v>
      </c>
      <c r="M15" s="20" t="s">
        <v>261</v>
      </c>
      <c r="N15" s="20" t="s">
        <v>261</v>
      </c>
      <c r="O15" s="20" t="s">
        <v>261</v>
      </c>
      <c r="P15" s="20" t="s">
        <v>261</v>
      </c>
      <c r="Q15" s="20" t="s">
        <v>261</v>
      </c>
      <c r="R15" s="20" t="s">
        <v>261</v>
      </c>
      <c r="S15" s="20" t="s">
        <v>261</v>
      </c>
      <c r="T15" s="20" t="s">
        <v>261</v>
      </c>
      <c r="U15" s="20" t="s">
        <v>261</v>
      </c>
      <c r="V15" s="20" t="s">
        <v>261</v>
      </c>
      <c r="W15" s="20" t="s">
        <v>261</v>
      </c>
      <c r="X15" s="20" t="s">
        <v>261</v>
      </c>
      <c r="Y15" s="20" t="s">
        <v>261</v>
      </c>
      <c r="Z15" s="20" t="s">
        <v>261</v>
      </c>
      <c r="AA15" s="20" t="s">
        <v>261</v>
      </c>
      <c r="AB15" s="20" t="s">
        <v>262</v>
      </c>
      <c r="AC15" s="20" t="s">
        <v>262</v>
      </c>
      <c r="AD15" s="20" t="s">
        <v>262</v>
      </c>
      <c r="AE15" s="20" t="s">
        <v>262</v>
      </c>
      <c r="AF15" s="20" t="s">
        <v>262</v>
      </c>
      <c r="AG15" s="20" t="s">
        <v>262</v>
      </c>
      <c r="AH15" s="20" t="s">
        <v>262</v>
      </c>
      <c r="AI15" s="20" t="s">
        <v>262</v>
      </c>
      <c r="AJ15" s="20" t="s">
        <v>262</v>
      </c>
      <c r="AK15" s="20" t="s">
        <v>262</v>
      </c>
      <c r="AL15" s="20" t="s">
        <v>262</v>
      </c>
      <c r="AM15" s="20" t="s">
        <v>262</v>
      </c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</row>
    <row r="16" spans="1:78" ht="15.95" customHeight="1">
      <c r="A16" s="50" t="s">
        <v>155</v>
      </c>
      <c r="B16" s="112" t="s">
        <v>10</v>
      </c>
      <c r="C16" s="20" t="s">
        <v>261</v>
      </c>
      <c r="D16" s="20" t="s">
        <v>261</v>
      </c>
      <c r="E16" s="20" t="s">
        <v>261</v>
      </c>
      <c r="F16" s="20" t="s">
        <v>261</v>
      </c>
      <c r="G16" s="20" t="s">
        <v>261</v>
      </c>
      <c r="H16" s="20" t="s">
        <v>261</v>
      </c>
      <c r="I16" s="20" t="s">
        <v>261</v>
      </c>
      <c r="J16" s="20" t="s">
        <v>261</v>
      </c>
      <c r="K16" s="20" t="s">
        <v>261</v>
      </c>
      <c r="L16" s="20" t="s">
        <v>261</v>
      </c>
      <c r="M16" s="20" t="s">
        <v>261</v>
      </c>
      <c r="N16" s="20" t="s">
        <v>261</v>
      </c>
      <c r="O16" s="20" t="s">
        <v>261</v>
      </c>
      <c r="P16" s="20" t="s">
        <v>261</v>
      </c>
      <c r="Q16" s="20" t="s">
        <v>261</v>
      </c>
      <c r="R16" s="20" t="s">
        <v>261</v>
      </c>
      <c r="S16" s="20" t="s">
        <v>261</v>
      </c>
      <c r="T16" s="20" t="s">
        <v>261</v>
      </c>
      <c r="U16" s="20" t="s">
        <v>261</v>
      </c>
      <c r="V16" s="20" t="s">
        <v>261</v>
      </c>
      <c r="W16" s="20" t="s">
        <v>261</v>
      </c>
      <c r="X16" s="20" t="s">
        <v>261</v>
      </c>
      <c r="Y16" s="20" t="s">
        <v>261</v>
      </c>
      <c r="Z16" s="20" t="s">
        <v>261</v>
      </c>
      <c r="AA16" s="20" t="s">
        <v>261</v>
      </c>
      <c r="AB16" s="20" t="s">
        <v>262</v>
      </c>
      <c r="AC16" s="20" t="s">
        <v>262</v>
      </c>
      <c r="AD16" s="20" t="s">
        <v>262</v>
      </c>
      <c r="AE16" s="20" t="s">
        <v>262</v>
      </c>
      <c r="AF16" s="20" t="s">
        <v>262</v>
      </c>
      <c r="AG16" s="20" t="s">
        <v>262</v>
      </c>
      <c r="AH16" s="20" t="s">
        <v>262</v>
      </c>
      <c r="AI16" s="20" t="s">
        <v>262</v>
      </c>
      <c r="AJ16" s="20" t="s">
        <v>262</v>
      </c>
      <c r="AK16" s="20" t="s">
        <v>262</v>
      </c>
      <c r="AL16" s="20" t="s">
        <v>262</v>
      </c>
      <c r="AM16" s="20" t="s">
        <v>262</v>
      </c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</row>
    <row r="17" spans="1:53" ht="15.95" customHeight="1">
      <c r="A17" s="50" t="s">
        <v>156</v>
      </c>
      <c r="B17" s="112" t="s">
        <v>11</v>
      </c>
      <c r="C17" s="20">
        <v>2</v>
      </c>
      <c r="D17" s="20" t="s">
        <v>261</v>
      </c>
      <c r="E17" s="20" t="s">
        <v>261</v>
      </c>
      <c r="F17" s="20" t="s">
        <v>261</v>
      </c>
      <c r="G17" s="20" t="s">
        <v>261</v>
      </c>
      <c r="H17" s="20" t="s">
        <v>261</v>
      </c>
      <c r="I17" s="20" t="s">
        <v>261</v>
      </c>
      <c r="J17" s="20" t="s">
        <v>261</v>
      </c>
      <c r="K17" s="20" t="s">
        <v>261</v>
      </c>
      <c r="L17" s="20" t="s">
        <v>261</v>
      </c>
      <c r="M17" s="20" t="s">
        <v>261</v>
      </c>
      <c r="N17" s="20" t="s">
        <v>261</v>
      </c>
      <c r="O17" s="20" t="s">
        <v>261</v>
      </c>
      <c r="P17" s="20" t="s">
        <v>261</v>
      </c>
      <c r="Q17" s="20" t="s">
        <v>261</v>
      </c>
      <c r="R17" s="20" t="s">
        <v>261</v>
      </c>
      <c r="S17" s="20" t="s">
        <v>261</v>
      </c>
      <c r="T17" s="20" t="s">
        <v>261</v>
      </c>
      <c r="U17" s="20" t="s">
        <v>261</v>
      </c>
      <c r="V17" s="20" t="s">
        <v>261</v>
      </c>
      <c r="W17" s="20" t="s">
        <v>261</v>
      </c>
      <c r="X17" s="20" t="s">
        <v>261</v>
      </c>
      <c r="Y17" s="20" t="s">
        <v>261</v>
      </c>
      <c r="Z17" s="20" t="s">
        <v>261</v>
      </c>
      <c r="AA17" s="20" t="s">
        <v>261</v>
      </c>
      <c r="AB17" s="20" t="s">
        <v>262</v>
      </c>
      <c r="AC17" s="20" t="s">
        <v>262</v>
      </c>
      <c r="AD17" s="20" t="s">
        <v>262</v>
      </c>
      <c r="AE17" s="20" t="s">
        <v>262</v>
      </c>
      <c r="AF17" s="20" t="s">
        <v>262</v>
      </c>
      <c r="AG17" s="20" t="s">
        <v>262</v>
      </c>
      <c r="AH17" s="20" t="s">
        <v>262</v>
      </c>
      <c r="AI17" s="20" t="s">
        <v>262</v>
      </c>
      <c r="AJ17" s="20" t="s">
        <v>262</v>
      </c>
      <c r="AK17" s="20" t="s">
        <v>262</v>
      </c>
      <c r="AL17" s="20" t="s">
        <v>262</v>
      </c>
      <c r="AM17" s="20" t="s">
        <v>262</v>
      </c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</row>
    <row r="18" spans="1:53" ht="15.95" customHeight="1">
      <c r="A18" s="50" t="s">
        <v>157</v>
      </c>
      <c r="B18" s="112" t="s">
        <v>12</v>
      </c>
      <c r="C18" s="20">
        <v>4</v>
      </c>
      <c r="D18" s="20">
        <v>21</v>
      </c>
      <c r="E18" s="20">
        <v>5</v>
      </c>
      <c r="F18" s="20">
        <v>16</v>
      </c>
      <c r="G18" s="20">
        <v>1</v>
      </c>
      <c r="H18" s="20">
        <v>1</v>
      </c>
      <c r="I18" s="20" t="s">
        <v>261</v>
      </c>
      <c r="J18" s="20">
        <v>2</v>
      </c>
      <c r="K18" s="20" t="s">
        <v>261</v>
      </c>
      <c r="L18" s="20">
        <v>2</v>
      </c>
      <c r="M18" s="20">
        <v>18</v>
      </c>
      <c r="N18" s="20">
        <v>4</v>
      </c>
      <c r="O18" s="20">
        <v>14</v>
      </c>
      <c r="P18" s="20">
        <v>2034</v>
      </c>
      <c r="Q18" s="20">
        <v>483</v>
      </c>
      <c r="R18" s="20">
        <v>1551</v>
      </c>
      <c r="S18" s="20">
        <v>160</v>
      </c>
      <c r="T18" s="20">
        <v>145</v>
      </c>
      <c r="U18" s="20">
        <v>15</v>
      </c>
      <c r="V18" s="20">
        <v>98</v>
      </c>
      <c r="W18" s="20" t="s">
        <v>261</v>
      </c>
      <c r="X18" s="20">
        <v>98</v>
      </c>
      <c r="Y18" s="20">
        <v>1776</v>
      </c>
      <c r="Z18" s="20">
        <v>338</v>
      </c>
      <c r="AA18" s="20">
        <v>1438</v>
      </c>
      <c r="AB18" s="20">
        <v>11821</v>
      </c>
      <c r="AC18" s="20">
        <v>1824</v>
      </c>
      <c r="AD18" s="20">
        <v>9997</v>
      </c>
      <c r="AE18" s="20">
        <v>644</v>
      </c>
      <c r="AF18" s="20">
        <v>578</v>
      </c>
      <c r="AG18" s="20">
        <v>66</v>
      </c>
      <c r="AH18" s="20">
        <v>612</v>
      </c>
      <c r="AI18" s="20" t="s">
        <v>262</v>
      </c>
      <c r="AJ18" s="20">
        <v>612</v>
      </c>
      <c r="AK18" s="20">
        <v>10565</v>
      </c>
      <c r="AL18" s="20">
        <v>1246</v>
      </c>
      <c r="AM18" s="20">
        <v>9319</v>
      </c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</row>
    <row r="19" spans="1:53" ht="15.95" customHeight="1">
      <c r="A19" s="50" t="s">
        <v>158</v>
      </c>
      <c r="B19" s="112" t="s">
        <v>13</v>
      </c>
      <c r="C19" s="20">
        <v>2</v>
      </c>
      <c r="D19" s="20">
        <v>3</v>
      </c>
      <c r="E19" s="20">
        <v>1</v>
      </c>
      <c r="F19" s="20">
        <v>2</v>
      </c>
      <c r="G19" s="20" t="s">
        <v>261</v>
      </c>
      <c r="H19" s="20" t="s">
        <v>261</v>
      </c>
      <c r="I19" s="20" t="s">
        <v>261</v>
      </c>
      <c r="J19" s="20">
        <v>2</v>
      </c>
      <c r="K19" s="20">
        <v>1</v>
      </c>
      <c r="L19" s="20">
        <v>1</v>
      </c>
      <c r="M19" s="20">
        <v>1</v>
      </c>
      <c r="N19" s="20" t="s">
        <v>261</v>
      </c>
      <c r="O19" s="20">
        <v>1</v>
      </c>
      <c r="P19" s="20">
        <v>253</v>
      </c>
      <c r="Q19" s="20">
        <v>86</v>
      </c>
      <c r="R19" s="20">
        <v>167</v>
      </c>
      <c r="S19" s="20" t="s">
        <v>261</v>
      </c>
      <c r="T19" s="20" t="s">
        <v>261</v>
      </c>
      <c r="U19" s="20" t="s">
        <v>261</v>
      </c>
      <c r="V19" s="20">
        <v>185</v>
      </c>
      <c r="W19" s="20">
        <v>86</v>
      </c>
      <c r="X19" s="20">
        <v>99</v>
      </c>
      <c r="Y19" s="20">
        <v>68</v>
      </c>
      <c r="Z19" s="20" t="s">
        <v>261</v>
      </c>
      <c r="AA19" s="20">
        <v>68</v>
      </c>
      <c r="AB19" s="20">
        <v>1188</v>
      </c>
      <c r="AC19" s="20">
        <v>432</v>
      </c>
      <c r="AD19" s="20">
        <v>756</v>
      </c>
      <c r="AE19" s="20" t="s">
        <v>262</v>
      </c>
      <c r="AF19" s="20" t="s">
        <v>262</v>
      </c>
      <c r="AG19" s="20" t="s">
        <v>262</v>
      </c>
      <c r="AH19" s="20">
        <v>682</v>
      </c>
      <c r="AI19" s="20">
        <v>432</v>
      </c>
      <c r="AJ19" s="20">
        <v>250</v>
      </c>
      <c r="AK19" s="20">
        <v>506</v>
      </c>
      <c r="AL19" s="20" t="s">
        <v>262</v>
      </c>
      <c r="AM19" s="20">
        <v>506</v>
      </c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</row>
    <row r="20" spans="1:53" ht="15.95" customHeight="1">
      <c r="A20" s="50" t="s">
        <v>159</v>
      </c>
      <c r="B20" s="112" t="s">
        <v>14</v>
      </c>
      <c r="C20" s="20" t="s">
        <v>261</v>
      </c>
      <c r="D20" s="20" t="s">
        <v>261</v>
      </c>
      <c r="E20" s="20" t="s">
        <v>261</v>
      </c>
      <c r="F20" s="20" t="s">
        <v>261</v>
      </c>
      <c r="G20" s="20" t="s">
        <v>261</v>
      </c>
      <c r="H20" s="20" t="s">
        <v>261</v>
      </c>
      <c r="I20" s="20" t="s">
        <v>261</v>
      </c>
      <c r="J20" s="20" t="s">
        <v>261</v>
      </c>
      <c r="K20" s="20" t="s">
        <v>261</v>
      </c>
      <c r="L20" s="20" t="s">
        <v>261</v>
      </c>
      <c r="M20" s="20" t="s">
        <v>261</v>
      </c>
      <c r="N20" s="20" t="s">
        <v>261</v>
      </c>
      <c r="O20" s="20" t="s">
        <v>261</v>
      </c>
      <c r="P20" s="20" t="s">
        <v>261</v>
      </c>
      <c r="Q20" s="20" t="s">
        <v>261</v>
      </c>
      <c r="R20" s="20" t="s">
        <v>261</v>
      </c>
      <c r="S20" s="20" t="s">
        <v>261</v>
      </c>
      <c r="T20" s="20" t="s">
        <v>261</v>
      </c>
      <c r="U20" s="20" t="s">
        <v>261</v>
      </c>
      <c r="V20" s="20" t="s">
        <v>261</v>
      </c>
      <c r="W20" s="20" t="s">
        <v>261</v>
      </c>
      <c r="X20" s="20" t="s">
        <v>261</v>
      </c>
      <c r="Y20" s="20" t="s">
        <v>261</v>
      </c>
      <c r="Z20" s="20" t="s">
        <v>261</v>
      </c>
      <c r="AA20" s="20" t="s">
        <v>261</v>
      </c>
      <c r="AB20" s="20" t="s">
        <v>262</v>
      </c>
      <c r="AC20" s="20" t="s">
        <v>262</v>
      </c>
      <c r="AD20" s="20" t="s">
        <v>262</v>
      </c>
      <c r="AE20" s="20" t="s">
        <v>262</v>
      </c>
      <c r="AF20" s="20" t="s">
        <v>262</v>
      </c>
      <c r="AG20" s="20" t="s">
        <v>262</v>
      </c>
      <c r="AH20" s="20" t="s">
        <v>262</v>
      </c>
      <c r="AI20" s="20" t="s">
        <v>262</v>
      </c>
      <c r="AJ20" s="20" t="s">
        <v>262</v>
      </c>
      <c r="AK20" s="20" t="s">
        <v>262</v>
      </c>
      <c r="AL20" s="20" t="s">
        <v>262</v>
      </c>
      <c r="AM20" s="20" t="s">
        <v>262</v>
      </c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</row>
    <row r="21" spans="1:53" ht="15.95" customHeight="1">
      <c r="A21" s="50" t="s">
        <v>160</v>
      </c>
      <c r="B21" s="112" t="s">
        <v>15</v>
      </c>
      <c r="C21" s="20">
        <v>1</v>
      </c>
      <c r="D21" s="20">
        <v>4</v>
      </c>
      <c r="E21" s="20">
        <v>3</v>
      </c>
      <c r="F21" s="20">
        <v>1</v>
      </c>
      <c r="G21" s="20">
        <v>3</v>
      </c>
      <c r="H21" s="20">
        <v>2</v>
      </c>
      <c r="I21" s="20">
        <v>1</v>
      </c>
      <c r="J21" s="20">
        <v>1</v>
      </c>
      <c r="K21" s="20">
        <v>1</v>
      </c>
      <c r="L21" s="20" t="s">
        <v>261</v>
      </c>
      <c r="M21" s="20" t="s">
        <v>261</v>
      </c>
      <c r="N21" s="20" t="s">
        <v>261</v>
      </c>
      <c r="O21" s="20" t="s">
        <v>261</v>
      </c>
      <c r="P21" s="20">
        <v>13</v>
      </c>
      <c r="Q21" s="20">
        <v>8</v>
      </c>
      <c r="R21" s="20">
        <v>5</v>
      </c>
      <c r="S21" s="20">
        <v>9</v>
      </c>
      <c r="T21" s="20">
        <v>4</v>
      </c>
      <c r="U21" s="20">
        <v>5</v>
      </c>
      <c r="V21" s="20">
        <v>4</v>
      </c>
      <c r="W21" s="20">
        <v>4</v>
      </c>
      <c r="X21" s="20" t="s">
        <v>261</v>
      </c>
      <c r="Y21" s="20" t="s">
        <v>261</v>
      </c>
      <c r="Z21" s="20" t="s">
        <v>261</v>
      </c>
      <c r="AA21" s="20" t="s">
        <v>261</v>
      </c>
      <c r="AB21" s="20">
        <v>104</v>
      </c>
      <c r="AC21" s="20">
        <v>64</v>
      </c>
      <c r="AD21" s="20">
        <v>40</v>
      </c>
      <c r="AE21" s="20">
        <v>72</v>
      </c>
      <c r="AF21" s="20">
        <v>32</v>
      </c>
      <c r="AG21" s="20">
        <v>40</v>
      </c>
      <c r="AH21" s="20">
        <v>32</v>
      </c>
      <c r="AI21" s="20">
        <v>32</v>
      </c>
      <c r="AJ21" s="20" t="s">
        <v>262</v>
      </c>
      <c r="AK21" s="20" t="s">
        <v>262</v>
      </c>
      <c r="AL21" s="20" t="s">
        <v>262</v>
      </c>
      <c r="AM21" s="20" t="s">
        <v>262</v>
      </c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</row>
    <row r="22" spans="1:53" ht="15.95" customHeight="1">
      <c r="A22" s="50" t="s">
        <v>161</v>
      </c>
      <c r="B22" s="112" t="s">
        <v>16</v>
      </c>
      <c r="C22" s="20" t="s">
        <v>261</v>
      </c>
      <c r="D22" s="20">
        <v>7</v>
      </c>
      <c r="E22" s="20">
        <v>3</v>
      </c>
      <c r="F22" s="20">
        <v>4</v>
      </c>
      <c r="G22" s="20">
        <v>4</v>
      </c>
      <c r="H22" s="20">
        <v>2</v>
      </c>
      <c r="I22" s="20">
        <v>2</v>
      </c>
      <c r="J22" s="20" t="s">
        <v>261</v>
      </c>
      <c r="K22" s="20" t="s">
        <v>261</v>
      </c>
      <c r="L22" s="20" t="s">
        <v>261</v>
      </c>
      <c r="M22" s="20">
        <v>3</v>
      </c>
      <c r="N22" s="20">
        <v>1</v>
      </c>
      <c r="O22" s="20">
        <v>2</v>
      </c>
      <c r="P22" s="20">
        <v>822</v>
      </c>
      <c r="Q22" s="20">
        <v>281</v>
      </c>
      <c r="R22" s="20">
        <v>541</v>
      </c>
      <c r="S22" s="20">
        <v>456</v>
      </c>
      <c r="T22" s="20">
        <v>178</v>
      </c>
      <c r="U22" s="20">
        <v>278</v>
      </c>
      <c r="V22" s="20" t="s">
        <v>261</v>
      </c>
      <c r="W22" s="20" t="s">
        <v>261</v>
      </c>
      <c r="X22" s="20" t="s">
        <v>261</v>
      </c>
      <c r="Y22" s="20">
        <v>366</v>
      </c>
      <c r="Z22" s="20">
        <v>103</v>
      </c>
      <c r="AA22" s="20">
        <v>263</v>
      </c>
      <c r="AB22" s="20">
        <v>3045</v>
      </c>
      <c r="AC22" s="20">
        <v>859</v>
      </c>
      <c r="AD22" s="20">
        <v>2186</v>
      </c>
      <c r="AE22" s="20">
        <v>1680</v>
      </c>
      <c r="AF22" s="20">
        <v>511</v>
      </c>
      <c r="AG22" s="20">
        <v>1169</v>
      </c>
      <c r="AH22" s="20" t="s">
        <v>262</v>
      </c>
      <c r="AI22" s="20" t="s">
        <v>262</v>
      </c>
      <c r="AJ22" s="20" t="s">
        <v>262</v>
      </c>
      <c r="AK22" s="20">
        <v>1365</v>
      </c>
      <c r="AL22" s="20">
        <v>348</v>
      </c>
      <c r="AM22" s="20">
        <v>1017</v>
      </c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</row>
    <row r="23" spans="1:53" ht="15.95" customHeight="1">
      <c r="A23" s="50" t="s">
        <v>162</v>
      </c>
      <c r="B23" s="112" t="s">
        <v>17</v>
      </c>
      <c r="C23" s="20" t="s">
        <v>261</v>
      </c>
      <c r="D23" s="20" t="s">
        <v>261</v>
      </c>
      <c r="E23" s="20" t="s">
        <v>261</v>
      </c>
      <c r="F23" s="20" t="s">
        <v>261</v>
      </c>
      <c r="G23" s="20" t="s">
        <v>261</v>
      </c>
      <c r="H23" s="20" t="s">
        <v>261</v>
      </c>
      <c r="I23" s="20" t="s">
        <v>261</v>
      </c>
      <c r="J23" s="20" t="s">
        <v>261</v>
      </c>
      <c r="K23" s="20" t="s">
        <v>261</v>
      </c>
      <c r="L23" s="20" t="s">
        <v>261</v>
      </c>
      <c r="M23" s="20" t="s">
        <v>261</v>
      </c>
      <c r="N23" s="20" t="s">
        <v>261</v>
      </c>
      <c r="O23" s="20" t="s">
        <v>261</v>
      </c>
      <c r="P23" s="20" t="s">
        <v>261</v>
      </c>
      <c r="Q23" s="20" t="s">
        <v>261</v>
      </c>
      <c r="R23" s="20" t="s">
        <v>261</v>
      </c>
      <c r="S23" s="20" t="s">
        <v>261</v>
      </c>
      <c r="T23" s="20" t="s">
        <v>261</v>
      </c>
      <c r="U23" s="20" t="s">
        <v>261</v>
      </c>
      <c r="V23" s="20" t="s">
        <v>261</v>
      </c>
      <c r="W23" s="20" t="s">
        <v>261</v>
      </c>
      <c r="X23" s="20" t="s">
        <v>261</v>
      </c>
      <c r="Y23" s="20" t="s">
        <v>261</v>
      </c>
      <c r="Z23" s="20" t="s">
        <v>261</v>
      </c>
      <c r="AA23" s="20" t="s">
        <v>261</v>
      </c>
      <c r="AB23" s="20" t="s">
        <v>262</v>
      </c>
      <c r="AC23" s="20" t="s">
        <v>262</v>
      </c>
      <c r="AD23" s="20" t="s">
        <v>262</v>
      </c>
      <c r="AE23" s="20" t="s">
        <v>262</v>
      </c>
      <c r="AF23" s="20" t="s">
        <v>262</v>
      </c>
      <c r="AG23" s="20" t="s">
        <v>262</v>
      </c>
      <c r="AH23" s="20" t="s">
        <v>262</v>
      </c>
      <c r="AI23" s="20" t="s">
        <v>262</v>
      </c>
      <c r="AJ23" s="20" t="s">
        <v>262</v>
      </c>
      <c r="AK23" s="20" t="s">
        <v>262</v>
      </c>
      <c r="AL23" s="20" t="s">
        <v>262</v>
      </c>
      <c r="AM23" s="20" t="s">
        <v>262</v>
      </c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</row>
    <row r="24" spans="1:53" ht="15.95" customHeight="1">
      <c r="A24" s="50" t="s">
        <v>163</v>
      </c>
      <c r="B24" s="112" t="s">
        <v>18</v>
      </c>
      <c r="C24" s="20" t="s">
        <v>261</v>
      </c>
      <c r="D24" s="20" t="s">
        <v>261</v>
      </c>
      <c r="E24" s="20" t="s">
        <v>261</v>
      </c>
      <c r="F24" s="20" t="s">
        <v>261</v>
      </c>
      <c r="G24" s="20" t="s">
        <v>261</v>
      </c>
      <c r="H24" s="20" t="s">
        <v>261</v>
      </c>
      <c r="I24" s="20" t="s">
        <v>261</v>
      </c>
      <c r="J24" s="20" t="s">
        <v>261</v>
      </c>
      <c r="K24" s="20" t="s">
        <v>261</v>
      </c>
      <c r="L24" s="20" t="s">
        <v>261</v>
      </c>
      <c r="M24" s="20" t="s">
        <v>261</v>
      </c>
      <c r="N24" s="20" t="s">
        <v>261</v>
      </c>
      <c r="O24" s="20" t="s">
        <v>261</v>
      </c>
      <c r="P24" s="20" t="s">
        <v>261</v>
      </c>
      <c r="Q24" s="20" t="s">
        <v>261</v>
      </c>
      <c r="R24" s="20" t="s">
        <v>261</v>
      </c>
      <c r="S24" s="20" t="s">
        <v>261</v>
      </c>
      <c r="T24" s="20" t="s">
        <v>261</v>
      </c>
      <c r="U24" s="20" t="s">
        <v>261</v>
      </c>
      <c r="V24" s="20" t="s">
        <v>261</v>
      </c>
      <c r="W24" s="20" t="s">
        <v>261</v>
      </c>
      <c r="X24" s="20" t="s">
        <v>261</v>
      </c>
      <c r="Y24" s="20" t="s">
        <v>261</v>
      </c>
      <c r="Z24" s="20" t="s">
        <v>261</v>
      </c>
      <c r="AA24" s="20" t="s">
        <v>261</v>
      </c>
      <c r="AB24" s="20" t="s">
        <v>262</v>
      </c>
      <c r="AC24" s="20" t="s">
        <v>262</v>
      </c>
      <c r="AD24" s="20" t="s">
        <v>262</v>
      </c>
      <c r="AE24" s="20" t="s">
        <v>262</v>
      </c>
      <c r="AF24" s="20" t="s">
        <v>262</v>
      </c>
      <c r="AG24" s="20" t="s">
        <v>262</v>
      </c>
      <c r="AH24" s="20" t="s">
        <v>262</v>
      </c>
      <c r="AI24" s="20" t="s">
        <v>262</v>
      </c>
      <c r="AJ24" s="20" t="s">
        <v>262</v>
      </c>
      <c r="AK24" s="20" t="s">
        <v>262</v>
      </c>
      <c r="AL24" s="20" t="s">
        <v>262</v>
      </c>
      <c r="AM24" s="20" t="s">
        <v>262</v>
      </c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</row>
    <row r="25" spans="1:53" ht="15.95" customHeight="1">
      <c r="A25" s="50" t="s">
        <v>164</v>
      </c>
      <c r="B25" s="112" t="s">
        <v>19</v>
      </c>
      <c r="C25" s="20" t="s">
        <v>261</v>
      </c>
      <c r="D25" s="20" t="s">
        <v>261</v>
      </c>
      <c r="E25" s="20" t="s">
        <v>261</v>
      </c>
      <c r="F25" s="20" t="s">
        <v>261</v>
      </c>
      <c r="G25" s="20" t="s">
        <v>261</v>
      </c>
      <c r="H25" s="20" t="s">
        <v>261</v>
      </c>
      <c r="I25" s="20" t="s">
        <v>261</v>
      </c>
      <c r="J25" s="20" t="s">
        <v>261</v>
      </c>
      <c r="K25" s="20" t="s">
        <v>261</v>
      </c>
      <c r="L25" s="20" t="s">
        <v>261</v>
      </c>
      <c r="M25" s="20" t="s">
        <v>261</v>
      </c>
      <c r="N25" s="20" t="s">
        <v>261</v>
      </c>
      <c r="O25" s="20" t="s">
        <v>261</v>
      </c>
      <c r="P25" s="20" t="s">
        <v>261</v>
      </c>
      <c r="Q25" s="20" t="s">
        <v>261</v>
      </c>
      <c r="R25" s="20" t="s">
        <v>261</v>
      </c>
      <c r="S25" s="20" t="s">
        <v>261</v>
      </c>
      <c r="T25" s="20" t="s">
        <v>261</v>
      </c>
      <c r="U25" s="20" t="s">
        <v>261</v>
      </c>
      <c r="V25" s="20" t="s">
        <v>261</v>
      </c>
      <c r="W25" s="20" t="s">
        <v>261</v>
      </c>
      <c r="X25" s="20" t="s">
        <v>261</v>
      </c>
      <c r="Y25" s="20" t="s">
        <v>261</v>
      </c>
      <c r="Z25" s="20" t="s">
        <v>261</v>
      </c>
      <c r="AA25" s="20" t="s">
        <v>261</v>
      </c>
      <c r="AB25" s="20" t="s">
        <v>262</v>
      </c>
      <c r="AC25" s="20" t="s">
        <v>262</v>
      </c>
      <c r="AD25" s="20" t="s">
        <v>262</v>
      </c>
      <c r="AE25" s="20" t="s">
        <v>262</v>
      </c>
      <c r="AF25" s="20" t="s">
        <v>262</v>
      </c>
      <c r="AG25" s="20" t="s">
        <v>262</v>
      </c>
      <c r="AH25" s="20" t="s">
        <v>262</v>
      </c>
      <c r="AI25" s="20" t="s">
        <v>262</v>
      </c>
      <c r="AJ25" s="20" t="s">
        <v>262</v>
      </c>
      <c r="AK25" s="20" t="s">
        <v>262</v>
      </c>
      <c r="AL25" s="20" t="s">
        <v>262</v>
      </c>
      <c r="AM25" s="20" t="s">
        <v>262</v>
      </c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</row>
    <row r="26" spans="1:53" ht="15.95" customHeight="1">
      <c r="A26" s="50" t="s">
        <v>165</v>
      </c>
      <c r="B26" s="112" t="s">
        <v>20</v>
      </c>
      <c r="C26" s="20" t="s">
        <v>261</v>
      </c>
      <c r="D26" s="20" t="s">
        <v>261</v>
      </c>
      <c r="E26" s="20" t="s">
        <v>261</v>
      </c>
      <c r="F26" s="20" t="s">
        <v>261</v>
      </c>
      <c r="G26" s="20" t="s">
        <v>261</v>
      </c>
      <c r="H26" s="20" t="s">
        <v>261</v>
      </c>
      <c r="I26" s="20" t="s">
        <v>261</v>
      </c>
      <c r="J26" s="20" t="s">
        <v>261</v>
      </c>
      <c r="K26" s="20" t="s">
        <v>261</v>
      </c>
      <c r="L26" s="20" t="s">
        <v>261</v>
      </c>
      <c r="M26" s="20" t="s">
        <v>261</v>
      </c>
      <c r="N26" s="20" t="s">
        <v>261</v>
      </c>
      <c r="O26" s="20" t="s">
        <v>261</v>
      </c>
      <c r="P26" s="20" t="s">
        <v>261</v>
      </c>
      <c r="Q26" s="20" t="s">
        <v>261</v>
      </c>
      <c r="R26" s="20" t="s">
        <v>261</v>
      </c>
      <c r="S26" s="20" t="s">
        <v>261</v>
      </c>
      <c r="T26" s="20" t="s">
        <v>261</v>
      </c>
      <c r="U26" s="20" t="s">
        <v>261</v>
      </c>
      <c r="V26" s="20" t="s">
        <v>261</v>
      </c>
      <c r="W26" s="20" t="s">
        <v>261</v>
      </c>
      <c r="X26" s="20" t="s">
        <v>261</v>
      </c>
      <c r="Y26" s="20" t="s">
        <v>261</v>
      </c>
      <c r="Z26" s="20" t="s">
        <v>261</v>
      </c>
      <c r="AA26" s="20" t="s">
        <v>261</v>
      </c>
      <c r="AB26" s="20" t="s">
        <v>262</v>
      </c>
      <c r="AC26" s="20" t="s">
        <v>262</v>
      </c>
      <c r="AD26" s="20" t="s">
        <v>262</v>
      </c>
      <c r="AE26" s="20" t="s">
        <v>262</v>
      </c>
      <c r="AF26" s="20" t="s">
        <v>262</v>
      </c>
      <c r="AG26" s="20" t="s">
        <v>262</v>
      </c>
      <c r="AH26" s="20" t="s">
        <v>262</v>
      </c>
      <c r="AI26" s="20" t="s">
        <v>262</v>
      </c>
      <c r="AJ26" s="20" t="s">
        <v>262</v>
      </c>
      <c r="AK26" s="20" t="s">
        <v>262</v>
      </c>
      <c r="AL26" s="20" t="s">
        <v>262</v>
      </c>
      <c r="AM26" s="20" t="s">
        <v>262</v>
      </c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</row>
    <row r="27" spans="1:53" ht="15.95" customHeight="1">
      <c r="A27" s="50" t="s">
        <v>166</v>
      </c>
      <c r="B27" s="112" t="s">
        <v>21</v>
      </c>
      <c r="C27" s="20" t="s">
        <v>261</v>
      </c>
      <c r="D27" s="20" t="s">
        <v>261</v>
      </c>
      <c r="E27" s="20" t="s">
        <v>261</v>
      </c>
      <c r="F27" s="20" t="s">
        <v>261</v>
      </c>
      <c r="G27" s="20" t="s">
        <v>261</v>
      </c>
      <c r="H27" s="20" t="s">
        <v>261</v>
      </c>
      <c r="I27" s="20" t="s">
        <v>261</v>
      </c>
      <c r="J27" s="20" t="s">
        <v>261</v>
      </c>
      <c r="K27" s="20" t="s">
        <v>261</v>
      </c>
      <c r="L27" s="20" t="s">
        <v>261</v>
      </c>
      <c r="M27" s="20" t="s">
        <v>261</v>
      </c>
      <c r="N27" s="20" t="s">
        <v>261</v>
      </c>
      <c r="O27" s="20" t="s">
        <v>261</v>
      </c>
      <c r="P27" s="20" t="s">
        <v>261</v>
      </c>
      <c r="Q27" s="20" t="s">
        <v>261</v>
      </c>
      <c r="R27" s="20" t="s">
        <v>261</v>
      </c>
      <c r="S27" s="20" t="s">
        <v>261</v>
      </c>
      <c r="T27" s="20" t="s">
        <v>261</v>
      </c>
      <c r="U27" s="20" t="s">
        <v>261</v>
      </c>
      <c r="V27" s="20" t="s">
        <v>261</v>
      </c>
      <c r="W27" s="20" t="s">
        <v>261</v>
      </c>
      <c r="X27" s="20" t="s">
        <v>261</v>
      </c>
      <c r="Y27" s="20" t="s">
        <v>261</v>
      </c>
      <c r="Z27" s="20" t="s">
        <v>261</v>
      </c>
      <c r="AA27" s="20" t="s">
        <v>261</v>
      </c>
      <c r="AB27" s="20" t="s">
        <v>262</v>
      </c>
      <c r="AC27" s="20" t="s">
        <v>262</v>
      </c>
      <c r="AD27" s="20" t="s">
        <v>262</v>
      </c>
      <c r="AE27" s="20" t="s">
        <v>262</v>
      </c>
      <c r="AF27" s="20" t="s">
        <v>262</v>
      </c>
      <c r="AG27" s="20" t="s">
        <v>262</v>
      </c>
      <c r="AH27" s="20" t="s">
        <v>262</v>
      </c>
      <c r="AI27" s="20" t="s">
        <v>262</v>
      </c>
      <c r="AJ27" s="20" t="s">
        <v>262</v>
      </c>
      <c r="AK27" s="20" t="s">
        <v>262</v>
      </c>
      <c r="AL27" s="20" t="s">
        <v>262</v>
      </c>
      <c r="AM27" s="20" t="s">
        <v>262</v>
      </c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</row>
    <row r="28" spans="1:53" ht="15.95" customHeight="1">
      <c r="A28" s="50" t="s">
        <v>167</v>
      </c>
      <c r="B28" s="112" t="s">
        <v>22</v>
      </c>
      <c r="C28" s="20" t="s">
        <v>261</v>
      </c>
      <c r="D28" s="20" t="s">
        <v>261</v>
      </c>
      <c r="E28" s="20" t="s">
        <v>261</v>
      </c>
      <c r="F28" s="20" t="s">
        <v>261</v>
      </c>
      <c r="G28" s="20" t="s">
        <v>261</v>
      </c>
      <c r="H28" s="20" t="s">
        <v>261</v>
      </c>
      <c r="I28" s="20" t="s">
        <v>261</v>
      </c>
      <c r="J28" s="20" t="s">
        <v>261</v>
      </c>
      <c r="K28" s="20" t="s">
        <v>261</v>
      </c>
      <c r="L28" s="20" t="s">
        <v>261</v>
      </c>
      <c r="M28" s="20" t="s">
        <v>261</v>
      </c>
      <c r="N28" s="20" t="s">
        <v>261</v>
      </c>
      <c r="O28" s="20" t="s">
        <v>261</v>
      </c>
      <c r="P28" s="20" t="s">
        <v>261</v>
      </c>
      <c r="Q28" s="20" t="s">
        <v>261</v>
      </c>
      <c r="R28" s="20" t="s">
        <v>261</v>
      </c>
      <c r="S28" s="20" t="s">
        <v>261</v>
      </c>
      <c r="T28" s="20" t="s">
        <v>261</v>
      </c>
      <c r="U28" s="20" t="s">
        <v>261</v>
      </c>
      <c r="V28" s="20" t="s">
        <v>261</v>
      </c>
      <c r="W28" s="20" t="s">
        <v>261</v>
      </c>
      <c r="X28" s="20" t="s">
        <v>261</v>
      </c>
      <c r="Y28" s="20" t="s">
        <v>261</v>
      </c>
      <c r="Z28" s="20" t="s">
        <v>261</v>
      </c>
      <c r="AA28" s="20" t="s">
        <v>261</v>
      </c>
      <c r="AB28" s="20" t="s">
        <v>262</v>
      </c>
      <c r="AC28" s="20" t="s">
        <v>262</v>
      </c>
      <c r="AD28" s="20" t="s">
        <v>262</v>
      </c>
      <c r="AE28" s="20" t="s">
        <v>262</v>
      </c>
      <c r="AF28" s="20" t="s">
        <v>262</v>
      </c>
      <c r="AG28" s="20" t="s">
        <v>262</v>
      </c>
      <c r="AH28" s="20" t="s">
        <v>262</v>
      </c>
      <c r="AI28" s="20" t="s">
        <v>262</v>
      </c>
      <c r="AJ28" s="20" t="s">
        <v>262</v>
      </c>
      <c r="AK28" s="20" t="s">
        <v>262</v>
      </c>
      <c r="AL28" s="20" t="s">
        <v>262</v>
      </c>
      <c r="AM28" s="20" t="s">
        <v>262</v>
      </c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</row>
    <row r="29" spans="1:53" ht="15.95" customHeight="1">
      <c r="A29" s="51" t="s">
        <v>168</v>
      </c>
      <c r="B29" s="113" t="s">
        <v>23</v>
      </c>
      <c r="C29" s="22" t="s">
        <v>261</v>
      </c>
      <c r="D29" s="22" t="s">
        <v>261</v>
      </c>
      <c r="E29" s="22" t="s">
        <v>261</v>
      </c>
      <c r="F29" s="22" t="s">
        <v>261</v>
      </c>
      <c r="G29" s="22" t="s">
        <v>261</v>
      </c>
      <c r="H29" s="22" t="s">
        <v>261</v>
      </c>
      <c r="I29" s="22" t="s">
        <v>261</v>
      </c>
      <c r="J29" s="22" t="s">
        <v>261</v>
      </c>
      <c r="K29" s="22" t="s">
        <v>261</v>
      </c>
      <c r="L29" s="22" t="s">
        <v>261</v>
      </c>
      <c r="M29" s="22" t="s">
        <v>261</v>
      </c>
      <c r="N29" s="22" t="s">
        <v>261</v>
      </c>
      <c r="O29" s="22" t="s">
        <v>261</v>
      </c>
      <c r="P29" s="22" t="s">
        <v>261</v>
      </c>
      <c r="Q29" s="22" t="s">
        <v>261</v>
      </c>
      <c r="R29" s="22" t="s">
        <v>261</v>
      </c>
      <c r="S29" s="22" t="s">
        <v>261</v>
      </c>
      <c r="T29" s="22" t="s">
        <v>261</v>
      </c>
      <c r="U29" s="22" t="s">
        <v>261</v>
      </c>
      <c r="V29" s="22" t="s">
        <v>261</v>
      </c>
      <c r="W29" s="22" t="s">
        <v>261</v>
      </c>
      <c r="X29" s="22" t="s">
        <v>261</v>
      </c>
      <c r="Y29" s="22" t="s">
        <v>261</v>
      </c>
      <c r="Z29" s="22" t="s">
        <v>261</v>
      </c>
      <c r="AA29" s="22" t="s">
        <v>261</v>
      </c>
      <c r="AB29" s="22" t="s">
        <v>262</v>
      </c>
      <c r="AC29" s="22" t="s">
        <v>262</v>
      </c>
      <c r="AD29" s="22" t="s">
        <v>262</v>
      </c>
      <c r="AE29" s="22" t="s">
        <v>262</v>
      </c>
      <c r="AF29" s="22" t="s">
        <v>262</v>
      </c>
      <c r="AG29" s="22" t="s">
        <v>262</v>
      </c>
      <c r="AH29" s="22" t="s">
        <v>262</v>
      </c>
      <c r="AI29" s="22" t="s">
        <v>262</v>
      </c>
      <c r="AJ29" s="22" t="s">
        <v>262</v>
      </c>
      <c r="AK29" s="22" t="s">
        <v>262</v>
      </c>
      <c r="AL29" s="22" t="s">
        <v>262</v>
      </c>
      <c r="AM29" s="22" t="s">
        <v>262</v>
      </c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</row>
    <row r="30" spans="1:53">
      <c r="A30" s="96" t="s">
        <v>77</v>
      </c>
      <c r="B30" s="61"/>
    </row>
    <row r="31" spans="1:53">
      <c r="A31" s="97" t="s">
        <v>2</v>
      </c>
    </row>
  </sheetData>
  <mergeCells count="50">
    <mergeCell ref="AM5:AM6"/>
    <mergeCell ref="AB5:AB6"/>
    <mergeCell ref="AC5:AC6"/>
    <mergeCell ref="AD5:AD6"/>
    <mergeCell ref="AE5:AE6"/>
    <mergeCell ref="AF5:AF6"/>
    <mergeCell ref="AG5:AG6"/>
    <mergeCell ref="AH5:AH6"/>
    <mergeCell ref="AI5:AI6"/>
    <mergeCell ref="AJ5:AJ6"/>
    <mergeCell ref="AK5:AK6"/>
    <mergeCell ref="AL5:AL6"/>
    <mergeCell ref="N5:N6"/>
    <mergeCell ref="AA5:AA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I5:I6"/>
    <mergeCell ref="A3:B6"/>
    <mergeCell ref="C3:C6"/>
    <mergeCell ref="D3:O3"/>
    <mergeCell ref="P3:AA3"/>
    <mergeCell ref="D5:D6"/>
    <mergeCell ref="E5:E6"/>
    <mergeCell ref="F5:F6"/>
    <mergeCell ref="G5:G6"/>
    <mergeCell ref="H5:H6"/>
    <mergeCell ref="O5:O6"/>
    <mergeCell ref="Y4:AA4"/>
    <mergeCell ref="J5:J6"/>
    <mergeCell ref="K5:K6"/>
    <mergeCell ref="L5:L6"/>
    <mergeCell ref="M5:M6"/>
    <mergeCell ref="AB3:AM3"/>
    <mergeCell ref="G4:I4"/>
    <mergeCell ref="J4:L4"/>
    <mergeCell ref="M4:O4"/>
    <mergeCell ref="S4:U4"/>
    <mergeCell ref="V4:X4"/>
    <mergeCell ref="AE4:AG4"/>
    <mergeCell ref="AH4:AJ4"/>
    <mergeCell ref="AK4:AM4"/>
  </mergeCells>
  <phoneticPr fontId="6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BH34"/>
  <sheetViews>
    <sheetView zoomScaleNormal="100" zoomScaleSheetLayoutView="75" workbookViewId="0">
      <pane xSplit="2" ySplit="6" topLeftCell="C7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0.33203125" style="3" customWidth="1"/>
    <col min="2" max="2" width="20.1640625" style="3" customWidth="1"/>
    <col min="3" max="37" width="9.83203125" style="3" customWidth="1"/>
    <col min="38" max="16384" width="12" style="3"/>
  </cols>
  <sheetData>
    <row r="1" spans="1:60" ht="21">
      <c r="A1" s="80" t="s">
        <v>244</v>
      </c>
      <c r="B1" s="88"/>
    </row>
    <row r="2" spans="1:60" ht="25.5" customHeight="1">
      <c r="A2" s="26" t="s">
        <v>113</v>
      </c>
      <c r="B2" s="79"/>
    </row>
    <row r="3" spans="1:60" s="97" customFormat="1" ht="16.5" customHeight="1">
      <c r="A3" s="441" t="s">
        <v>259</v>
      </c>
      <c r="B3" s="442"/>
      <c r="C3" s="437" t="s">
        <v>246</v>
      </c>
      <c r="D3" s="447"/>
      <c r="E3" s="447"/>
      <c r="F3" s="447"/>
      <c r="G3" s="447"/>
      <c r="H3" s="447"/>
      <c r="I3" s="447"/>
      <c r="J3" s="447"/>
      <c r="K3" s="447"/>
      <c r="L3" s="447"/>
      <c r="M3" s="447"/>
      <c r="N3" s="450"/>
      <c r="O3" s="437" t="s">
        <v>247</v>
      </c>
      <c r="P3" s="447"/>
      <c r="Q3" s="447"/>
      <c r="R3" s="447"/>
      <c r="S3" s="447"/>
      <c r="T3" s="447"/>
      <c r="U3" s="447"/>
      <c r="V3" s="447"/>
      <c r="W3" s="447"/>
      <c r="X3" s="447"/>
      <c r="Y3" s="447"/>
      <c r="Z3" s="450"/>
      <c r="AA3" s="437" t="s">
        <v>248</v>
      </c>
      <c r="AB3" s="447"/>
      <c r="AC3" s="447"/>
      <c r="AD3" s="447"/>
      <c r="AE3" s="447"/>
      <c r="AF3" s="447"/>
      <c r="AG3" s="447"/>
      <c r="AH3" s="447"/>
      <c r="AI3" s="447"/>
      <c r="AJ3" s="447"/>
      <c r="AK3" s="447"/>
      <c r="AL3" s="447"/>
    </row>
    <row r="4" spans="1:60" s="101" customFormat="1" ht="29.25" customHeight="1">
      <c r="A4" s="443"/>
      <c r="B4" s="444"/>
      <c r="C4" s="81" t="s">
        <v>249</v>
      </c>
      <c r="D4" s="98"/>
      <c r="E4" s="99"/>
      <c r="F4" s="436" t="s">
        <v>250</v>
      </c>
      <c r="G4" s="436"/>
      <c r="H4" s="436"/>
      <c r="I4" s="436" t="s">
        <v>251</v>
      </c>
      <c r="J4" s="436"/>
      <c r="K4" s="436"/>
      <c r="L4" s="436" t="s">
        <v>252</v>
      </c>
      <c r="M4" s="436"/>
      <c r="N4" s="436"/>
      <c r="O4" s="81" t="s">
        <v>249</v>
      </c>
      <c r="P4" s="100"/>
      <c r="Q4" s="99"/>
      <c r="R4" s="436" t="s">
        <v>250</v>
      </c>
      <c r="S4" s="436"/>
      <c r="T4" s="436"/>
      <c r="U4" s="436" t="s">
        <v>251</v>
      </c>
      <c r="V4" s="436"/>
      <c r="W4" s="436"/>
      <c r="X4" s="436" t="s">
        <v>252</v>
      </c>
      <c r="Y4" s="436"/>
      <c r="Z4" s="436"/>
      <c r="AA4" s="81" t="s">
        <v>249</v>
      </c>
      <c r="AB4" s="100"/>
      <c r="AC4" s="99"/>
      <c r="AD4" s="436" t="s">
        <v>250</v>
      </c>
      <c r="AE4" s="436"/>
      <c r="AF4" s="436"/>
      <c r="AG4" s="436" t="s">
        <v>251</v>
      </c>
      <c r="AH4" s="436"/>
      <c r="AI4" s="436"/>
      <c r="AJ4" s="436" t="s">
        <v>252</v>
      </c>
      <c r="AK4" s="436"/>
      <c r="AL4" s="448"/>
    </row>
    <row r="5" spans="1:60" s="102" customFormat="1" ht="16.5" customHeight="1">
      <c r="A5" s="443"/>
      <c r="B5" s="444"/>
      <c r="C5" s="432" t="s">
        <v>253</v>
      </c>
      <c r="D5" s="432" t="s">
        <v>254</v>
      </c>
      <c r="E5" s="432" t="s">
        <v>255</v>
      </c>
      <c r="F5" s="432" t="s">
        <v>253</v>
      </c>
      <c r="G5" s="432" t="s">
        <v>254</v>
      </c>
      <c r="H5" s="432" t="s">
        <v>255</v>
      </c>
      <c r="I5" s="432" t="s">
        <v>253</v>
      </c>
      <c r="J5" s="432" t="s">
        <v>254</v>
      </c>
      <c r="K5" s="432" t="s">
        <v>255</v>
      </c>
      <c r="L5" s="432" t="s">
        <v>253</v>
      </c>
      <c r="M5" s="432" t="s">
        <v>254</v>
      </c>
      <c r="N5" s="432" t="s">
        <v>255</v>
      </c>
      <c r="O5" s="432" t="s">
        <v>253</v>
      </c>
      <c r="P5" s="432" t="s">
        <v>254</v>
      </c>
      <c r="Q5" s="432" t="s">
        <v>255</v>
      </c>
      <c r="R5" s="432" t="s">
        <v>253</v>
      </c>
      <c r="S5" s="432" t="s">
        <v>254</v>
      </c>
      <c r="T5" s="432" t="s">
        <v>255</v>
      </c>
      <c r="U5" s="432" t="s">
        <v>253</v>
      </c>
      <c r="V5" s="432" t="s">
        <v>254</v>
      </c>
      <c r="W5" s="432" t="s">
        <v>255</v>
      </c>
      <c r="X5" s="432" t="s">
        <v>253</v>
      </c>
      <c r="Y5" s="432" t="s">
        <v>254</v>
      </c>
      <c r="Z5" s="432" t="s">
        <v>255</v>
      </c>
      <c r="AA5" s="432" t="s">
        <v>253</v>
      </c>
      <c r="AB5" s="432" t="s">
        <v>254</v>
      </c>
      <c r="AC5" s="432" t="s">
        <v>255</v>
      </c>
      <c r="AD5" s="432" t="s">
        <v>253</v>
      </c>
      <c r="AE5" s="432" t="s">
        <v>254</v>
      </c>
      <c r="AF5" s="432" t="s">
        <v>255</v>
      </c>
      <c r="AG5" s="432" t="s">
        <v>253</v>
      </c>
      <c r="AH5" s="432" t="s">
        <v>254</v>
      </c>
      <c r="AI5" s="432" t="s">
        <v>255</v>
      </c>
      <c r="AJ5" s="432" t="s">
        <v>253</v>
      </c>
      <c r="AK5" s="432" t="s">
        <v>254</v>
      </c>
      <c r="AL5" s="434" t="s">
        <v>255</v>
      </c>
    </row>
    <row r="6" spans="1:60" s="97" customFormat="1" ht="12">
      <c r="A6" s="445"/>
      <c r="B6" s="446"/>
      <c r="C6" s="449"/>
      <c r="D6" s="449"/>
      <c r="E6" s="449"/>
      <c r="F6" s="449"/>
      <c r="G6" s="449"/>
      <c r="H6" s="449"/>
      <c r="I6" s="449"/>
      <c r="J6" s="449"/>
      <c r="K6" s="449"/>
      <c r="L6" s="449"/>
      <c r="M6" s="449"/>
      <c r="N6" s="449"/>
      <c r="O6" s="449"/>
      <c r="P6" s="449"/>
      <c r="Q6" s="449"/>
      <c r="R6" s="449"/>
      <c r="S6" s="449"/>
      <c r="T6" s="449"/>
      <c r="U6" s="449"/>
      <c r="V6" s="449"/>
      <c r="W6" s="449"/>
      <c r="X6" s="449"/>
      <c r="Y6" s="449"/>
      <c r="Z6" s="449"/>
      <c r="AA6" s="449"/>
      <c r="AB6" s="449"/>
      <c r="AC6" s="449"/>
      <c r="AD6" s="449"/>
      <c r="AE6" s="449"/>
      <c r="AF6" s="449"/>
      <c r="AG6" s="449"/>
      <c r="AH6" s="449"/>
      <c r="AI6" s="449"/>
      <c r="AJ6" s="449"/>
      <c r="AK6" s="449"/>
      <c r="AL6" s="451"/>
    </row>
    <row r="7" spans="1:60" s="18" customFormat="1" ht="15.95" customHeight="1">
      <c r="A7" s="114" t="s">
        <v>292</v>
      </c>
      <c r="B7" s="36" t="s">
        <v>39</v>
      </c>
      <c r="C7" s="93">
        <v>37</v>
      </c>
      <c r="D7" s="93">
        <v>13</v>
      </c>
      <c r="E7" s="93">
        <v>24</v>
      </c>
      <c r="F7" s="93">
        <v>9</v>
      </c>
      <c r="G7" s="93">
        <v>4</v>
      </c>
      <c r="H7" s="93">
        <v>5</v>
      </c>
      <c r="I7" s="93">
        <v>8</v>
      </c>
      <c r="J7" s="93">
        <v>4</v>
      </c>
      <c r="K7" s="93">
        <v>4</v>
      </c>
      <c r="L7" s="93">
        <v>20</v>
      </c>
      <c r="M7" s="93">
        <v>5</v>
      </c>
      <c r="N7" s="93">
        <v>15</v>
      </c>
      <c r="O7" s="93">
        <v>5109</v>
      </c>
      <c r="P7" s="93">
        <v>2244</v>
      </c>
      <c r="Q7" s="93">
        <v>2865</v>
      </c>
      <c r="R7" s="93">
        <v>1248</v>
      </c>
      <c r="S7" s="93">
        <v>583</v>
      </c>
      <c r="T7" s="93">
        <v>665</v>
      </c>
      <c r="U7" s="93">
        <v>860</v>
      </c>
      <c r="V7" s="93">
        <v>515</v>
      </c>
      <c r="W7" s="93">
        <v>345</v>
      </c>
      <c r="X7" s="93">
        <v>3001</v>
      </c>
      <c r="Y7" s="93">
        <v>1146</v>
      </c>
      <c r="Z7" s="93">
        <v>1855</v>
      </c>
      <c r="AA7" s="93">
        <v>40944</v>
      </c>
      <c r="AB7" s="93">
        <v>18569</v>
      </c>
      <c r="AC7" s="93">
        <v>22375</v>
      </c>
      <c r="AD7" s="93">
        <v>10016</v>
      </c>
      <c r="AE7" s="93">
        <v>4623</v>
      </c>
      <c r="AF7" s="93">
        <v>5393</v>
      </c>
      <c r="AG7" s="93">
        <v>6385</v>
      </c>
      <c r="AH7" s="93">
        <v>3767</v>
      </c>
      <c r="AI7" s="93">
        <v>2618</v>
      </c>
      <c r="AJ7" s="93">
        <v>24543</v>
      </c>
      <c r="AK7" s="93">
        <v>10179</v>
      </c>
      <c r="AL7" s="30">
        <v>14364</v>
      </c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</row>
    <row r="8" spans="1:60" ht="15.95" customHeight="1">
      <c r="A8" s="53" t="s">
        <v>169</v>
      </c>
      <c r="B8" s="94" t="s">
        <v>41</v>
      </c>
      <c r="C8" s="20">
        <v>0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0</v>
      </c>
      <c r="AG8" s="20">
        <v>0</v>
      </c>
      <c r="AH8" s="20">
        <v>0</v>
      </c>
      <c r="AI8" s="20">
        <v>0</v>
      </c>
      <c r="AJ8" s="20">
        <v>0</v>
      </c>
      <c r="AK8" s="20">
        <v>0</v>
      </c>
      <c r="AL8" s="3">
        <v>0</v>
      </c>
    </row>
    <row r="9" spans="1:60" ht="15.95" customHeight="1">
      <c r="A9" s="53" t="s">
        <v>152</v>
      </c>
      <c r="B9" s="94" t="s">
        <v>7</v>
      </c>
      <c r="C9" s="20">
        <v>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0">
        <v>0</v>
      </c>
      <c r="AE9" s="20">
        <v>0</v>
      </c>
      <c r="AF9" s="20">
        <v>0</v>
      </c>
      <c r="AG9" s="20">
        <v>0</v>
      </c>
      <c r="AH9" s="20">
        <v>0</v>
      </c>
      <c r="AI9" s="20">
        <v>0</v>
      </c>
      <c r="AJ9" s="20">
        <v>0</v>
      </c>
      <c r="AK9" s="20">
        <v>0</v>
      </c>
      <c r="AL9" s="3">
        <v>0</v>
      </c>
    </row>
    <row r="10" spans="1:60" ht="15.95" customHeight="1">
      <c r="A10" s="53" t="s">
        <v>153</v>
      </c>
      <c r="B10" s="94" t="s">
        <v>8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3">
        <v>0</v>
      </c>
    </row>
    <row r="11" spans="1:60" ht="15.95" customHeight="1">
      <c r="A11" s="53" t="s">
        <v>154</v>
      </c>
      <c r="B11" s="94" t="s">
        <v>9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  <c r="AC11" s="20">
        <v>0</v>
      </c>
      <c r="AD11" s="20">
        <v>0</v>
      </c>
      <c r="AE11" s="20">
        <v>0</v>
      </c>
      <c r="AF11" s="20">
        <v>0</v>
      </c>
      <c r="AG11" s="20">
        <v>0</v>
      </c>
      <c r="AH11" s="20">
        <v>0</v>
      </c>
      <c r="AI11" s="20">
        <v>0</v>
      </c>
      <c r="AJ11" s="20">
        <v>0</v>
      </c>
      <c r="AK11" s="20">
        <v>0</v>
      </c>
      <c r="AL11" s="3">
        <v>0</v>
      </c>
    </row>
    <row r="12" spans="1:60" ht="15.95" customHeight="1">
      <c r="A12" s="53" t="s">
        <v>155</v>
      </c>
      <c r="B12" s="94" t="s">
        <v>10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3">
        <v>0</v>
      </c>
    </row>
    <row r="13" spans="1:60" ht="15.95" customHeight="1">
      <c r="A13" s="53" t="s">
        <v>170</v>
      </c>
      <c r="B13" s="94" t="s">
        <v>42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3">
        <v>0</v>
      </c>
    </row>
    <row r="14" spans="1:60" ht="15.95" customHeight="1">
      <c r="A14" s="53" t="s">
        <v>156</v>
      </c>
      <c r="B14" s="94" t="s">
        <v>11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3">
        <v>0</v>
      </c>
    </row>
    <row r="15" spans="1:60" ht="15.95" customHeight="1">
      <c r="A15" s="53" t="s">
        <v>157</v>
      </c>
      <c r="B15" s="94" t="s">
        <v>12</v>
      </c>
      <c r="C15" s="20">
        <v>17</v>
      </c>
      <c r="D15" s="20">
        <v>6</v>
      </c>
      <c r="E15" s="20">
        <v>11</v>
      </c>
      <c r="F15" s="20">
        <v>3</v>
      </c>
      <c r="G15" s="20">
        <v>2</v>
      </c>
      <c r="H15" s="20">
        <v>1</v>
      </c>
      <c r="I15" s="20">
        <v>7</v>
      </c>
      <c r="J15" s="20">
        <v>4</v>
      </c>
      <c r="K15" s="20">
        <v>3</v>
      </c>
      <c r="L15" s="20">
        <v>7</v>
      </c>
      <c r="M15" s="20">
        <v>0</v>
      </c>
      <c r="N15" s="20">
        <v>7</v>
      </c>
      <c r="O15" s="20">
        <v>1168</v>
      </c>
      <c r="P15" s="20">
        <v>276</v>
      </c>
      <c r="Q15" s="20">
        <v>892</v>
      </c>
      <c r="R15" s="20">
        <v>180</v>
      </c>
      <c r="S15" s="20">
        <v>98</v>
      </c>
      <c r="T15" s="20">
        <v>82</v>
      </c>
      <c r="U15" s="20">
        <v>280</v>
      </c>
      <c r="V15" s="20">
        <v>148</v>
      </c>
      <c r="W15" s="20">
        <v>132</v>
      </c>
      <c r="X15" s="20">
        <v>708</v>
      </c>
      <c r="Y15" s="20">
        <v>30</v>
      </c>
      <c r="Z15" s="20">
        <v>678</v>
      </c>
      <c r="AA15" s="20">
        <v>6700</v>
      </c>
      <c r="AB15" s="20">
        <v>1150</v>
      </c>
      <c r="AC15" s="20">
        <v>5550</v>
      </c>
      <c r="AD15" s="20">
        <v>672</v>
      </c>
      <c r="AE15" s="20">
        <v>344</v>
      </c>
      <c r="AF15" s="20">
        <v>328</v>
      </c>
      <c r="AG15" s="20">
        <v>1094</v>
      </c>
      <c r="AH15" s="20">
        <v>460</v>
      </c>
      <c r="AI15" s="20">
        <v>634</v>
      </c>
      <c r="AJ15" s="20">
        <v>4934</v>
      </c>
      <c r="AK15" s="20">
        <v>346</v>
      </c>
      <c r="AL15" s="3">
        <v>4588</v>
      </c>
    </row>
    <row r="16" spans="1:60" ht="15.95" customHeight="1">
      <c r="A16" s="53" t="s">
        <v>158</v>
      </c>
      <c r="B16" s="94" t="s">
        <v>13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3">
        <v>0</v>
      </c>
    </row>
    <row r="17" spans="1:60" ht="15.95" customHeight="1">
      <c r="A17" s="53" t="s">
        <v>159</v>
      </c>
      <c r="B17" s="94" t="s">
        <v>14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3">
        <v>0</v>
      </c>
    </row>
    <row r="18" spans="1:60" ht="15.95" customHeight="1">
      <c r="A18" s="53" t="s">
        <v>171</v>
      </c>
      <c r="B18" s="94" t="s">
        <v>43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3">
        <v>0</v>
      </c>
    </row>
    <row r="19" spans="1:60" ht="15.95" customHeight="1">
      <c r="A19" s="53" t="s">
        <v>172</v>
      </c>
      <c r="B19" s="94" t="s">
        <v>44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2</v>
      </c>
      <c r="P19" s="20">
        <v>2</v>
      </c>
      <c r="Q19" s="20">
        <v>0</v>
      </c>
      <c r="R19" s="20">
        <v>2</v>
      </c>
      <c r="S19" s="20">
        <v>2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8</v>
      </c>
      <c r="AB19" s="20">
        <v>8</v>
      </c>
      <c r="AC19" s="20">
        <v>0</v>
      </c>
      <c r="AD19" s="20">
        <v>8</v>
      </c>
      <c r="AE19" s="20">
        <v>8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3">
        <v>0</v>
      </c>
    </row>
    <row r="20" spans="1:60" ht="15.95" customHeight="1">
      <c r="A20" s="53" t="s">
        <v>160</v>
      </c>
      <c r="B20" s="94" t="s">
        <v>15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3">
        <v>0</v>
      </c>
    </row>
    <row r="21" spans="1:60" ht="15.95" customHeight="1">
      <c r="A21" s="53" t="s">
        <v>161</v>
      </c>
      <c r="B21" s="94" t="s">
        <v>16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3">
        <v>0</v>
      </c>
    </row>
    <row r="22" spans="1:60" ht="15.95" customHeight="1">
      <c r="A22" s="53" t="s">
        <v>162</v>
      </c>
      <c r="B22" s="94" t="s">
        <v>17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3">
        <v>0</v>
      </c>
    </row>
    <row r="23" spans="1:60" ht="15.95" customHeight="1">
      <c r="A23" s="53" t="s">
        <v>163</v>
      </c>
      <c r="B23" s="94" t="s">
        <v>18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3">
        <v>0</v>
      </c>
    </row>
    <row r="24" spans="1:60" ht="15.95" customHeight="1">
      <c r="A24" s="53" t="s">
        <v>164</v>
      </c>
      <c r="B24" s="94" t="s">
        <v>19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3">
        <v>0</v>
      </c>
    </row>
    <row r="25" spans="1:60" ht="15.95" customHeight="1">
      <c r="A25" s="53" t="s">
        <v>165</v>
      </c>
      <c r="B25" s="94" t="s">
        <v>20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3">
        <v>0</v>
      </c>
    </row>
    <row r="26" spans="1:60" ht="15.95" customHeight="1">
      <c r="A26" s="53" t="s">
        <v>173</v>
      </c>
      <c r="B26" s="94" t="s">
        <v>4</v>
      </c>
      <c r="C26" s="20">
        <v>14</v>
      </c>
      <c r="D26" s="20">
        <v>6</v>
      </c>
      <c r="E26" s="20">
        <v>8</v>
      </c>
      <c r="F26" s="20">
        <v>5</v>
      </c>
      <c r="G26" s="20">
        <v>2</v>
      </c>
      <c r="H26" s="20">
        <v>3</v>
      </c>
      <c r="I26" s="20">
        <v>1</v>
      </c>
      <c r="J26" s="20">
        <v>0</v>
      </c>
      <c r="K26" s="20">
        <v>1</v>
      </c>
      <c r="L26" s="20">
        <v>8</v>
      </c>
      <c r="M26" s="20">
        <v>4</v>
      </c>
      <c r="N26" s="20">
        <v>4</v>
      </c>
      <c r="O26" s="20">
        <v>2977</v>
      </c>
      <c r="P26" s="20">
        <v>1777</v>
      </c>
      <c r="Q26" s="20">
        <v>1200</v>
      </c>
      <c r="R26" s="20">
        <v>839</v>
      </c>
      <c r="S26" s="20">
        <v>483</v>
      </c>
      <c r="T26" s="20">
        <v>356</v>
      </c>
      <c r="U26" s="20">
        <v>580</v>
      </c>
      <c r="V26" s="20">
        <v>367</v>
      </c>
      <c r="W26" s="20">
        <v>213</v>
      </c>
      <c r="X26" s="20">
        <v>1558</v>
      </c>
      <c r="Y26" s="20">
        <v>927</v>
      </c>
      <c r="Z26" s="20">
        <v>631</v>
      </c>
      <c r="AA26" s="20">
        <v>26684</v>
      </c>
      <c r="AB26" s="20">
        <v>15926</v>
      </c>
      <c r="AC26" s="20">
        <v>10758</v>
      </c>
      <c r="AD26" s="20">
        <v>7520</v>
      </c>
      <c r="AE26" s="20">
        <v>4271</v>
      </c>
      <c r="AF26" s="20">
        <v>3249</v>
      </c>
      <c r="AG26" s="20">
        <v>5291</v>
      </c>
      <c r="AH26" s="20">
        <v>3307</v>
      </c>
      <c r="AI26" s="20">
        <v>1984</v>
      </c>
      <c r="AJ26" s="20">
        <v>13873</v>
      </c>
      <c r="AK26" s="20">
        <v>8348</v>
      </c>
      <c r="AL26" s="3">
        <v>5525</v>
      </c>
    </row>
    <row r="27" spans="1:60" ht="15.95" customHeight="1">
      <c r="A27" s="53" t="s">
        <v>166</v>
      </c>
      <c r="B27" s="94" t="s">
        <v>21</v>
      </c>
      <c r="C27" s="20">
        <v>5</v>
      </c>
      <c r="D27" s="20">
        <v>1</v>
      </c>
      <c r="E27" s="20">
        <v>4</v>
      </c>
      <c r="F27" s="20">
        <v>1</v>
      </c>
      <c r="G27" s="20">
        <v>0</v>
      </c>
      <c r="H27" s="20">
        <v>1</v>
      </c>
      <c r="I27" s="20">
        <v>0</v>
      </c>
      <c r="J27" s="20">
        <v>0</v>
      </c>
      <c r="K27" s="20">
        <v>0</v>
      </c>
      <c r="L27" s="20">
        <v>4</v>
      </c>
      <c r="M27" s="20">
        <v>1</v>
      </c>
      <c r="N27" s="20">
        <v>3</v>
      </c>
      <c r="O27" s="20">
        <v>955</v>
      </c>
      <c r="P27" s="20">
        <v>189</v>
      </c>
      <c r="Q27" s="20">
        <v>766</v>
      </c>
      <c r="R27" s="20">
        <v>227</v>
      </c>
      <c r="S27" s="20">
        <v>0</v>
      </c>
      <c r="T27" s="20">
        <v>227</v>
      </c>
      <c r="U27" s="20">
        <v>0</v>
      </c>
      <c r="V27" s="20">
        <v>0</v>
      </c>
      <c r="W27" s="20">
        <v>0</v>
      </c>
      <c r="X27" s="20">
        <v>728</v>
      </c>
      <c r="Y27" s="20">
        <v>189</v>
      </c>
      <c r="Z27" s="20">
        <v>539</v>
      </c>
      <c r="AA27" s="20">
        <v>7504</v>
      </c>
      <c r="AB27" s="20">
        <v>1485</v>
      </c>
      <c r="AC27" s="20">
        <v>6019</v>
      </c>
      <c r="AD27" s="20">
        <v>1816</v>
      </c>
      <c r="AE27" s="20">
        <v>0</v>
      </c>
      <c r="AF27" s="20">
        <v>1816</v>
      </c>
      <c r="AG27" s="20">
        <v>0</v>
      </c>
      <c r="AH27" s="20">
        <v>0</v>
      </c>
      <c r="AI27" s="20">
        <v>0</v>
      </c>
      <c r="AJ27" s="20">
        <v>5688</v>
      </c>
      <c r="AK27" s="20">
        <v>1485</v>
      </c>
      <c r="AL27" s="3">
        <v>4203</v>
      </c>
    </row>
    <row r="28" spans="1:60" ht="15.95" customHeight="1">
      <c r="A28" s="53" t="s">
        <v>174</v>
      </c>
      <c r="B28" s="94" t="s">
        <v>5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3">
        <v>0</v>
      </c>
    </row>
    <row r="29" spans="1:60" s="18" customFormat="1" ht="15.95" customHeight="1">
      <c r="A29" s="52" t="s">
        <v>148</v>
      </c>
      <c r="B29" s="92" t="s">
        <v>3</v>
      </c>
      <c r="C29" s="93">
        <v>1</v>
      </c>
      <c r="D29" s="93">
        <v>0</v>
      </c>
      <c r="E29" s="93">
        <v>1</v>
      </c>
      <c r="F29" s="93">
        <v>0</v>
      </c>
      <c r="G29" s="93">
        <v>0</v>
      </c>
      <c r="H29" s="93">
        <v>0</v>
      </c>
      <c r="I29" s="93">
        <v>0</v>
      </c>
      <c r="J29" s="93">
        <v>0</v>
      </c>
      <c r="K29" s="93">
        <v>0</v>
      </c>
      <c r="L29" s="93">
        <v>1</v>
      </c>
      <c r="M29" s="93">
        <v>0</v>
      </c>
      <c r="N29" s="93">
        <v>1</v>
      </c>
      <c r="O29" s="93">
        <v>7</v>
      </c>
      <c r="P29" s="93">
        <v>0</v>
      </c>
      <c r="Q29" s="93">
        <v>7</v>
      </c>
      <c r="R29" s="93">
        <v>0</v>
      </c>
      <c r="S29" s="93">
        <v>0</v>
      </c>
      <c r="T29" s="93">
        <v>0</v>
      </c>
      <c r="U29" s="93">
        <v>0</v>
      </c>
      <c r="V29" s="93">
        <v>0</v>
      </c>
      <c r="W29" s="93">
        <v>0</v>
      </c>
      <c r="X29" s="93">
        <v>7</v>
      </c>
      <c r="Y29" s="93">
        <v>0</v>
      </c>
      <c r="Z29" s="93">
        <v>7</v>
      </c>
      <c r="AA29" s="93">
        <v>48</v>
      </c>
      <c r="AB29" s="93">
        <v>0</v>
      </c>
      <c r="AC29" s="93">
        <v>48</v>
      </c>
      <c r="AD29" s="93">
        <v>0</v>
      </c>
      <c r="AE29" s="93">
        <v>0</v>
      </c>
      <c r="AF29" s="93">
        <v>0</v>
      </c>
      <c r="AG29" s="93">
        <v>0</v>
      </c>
      <c r="AH29" s="93">
        <v>0</v>
      </c>
      <c r="AI29" s="93">
        <v>0</v>
      </c>
      <c r="AJ29" s="93">
        <v>48</v>
      </c>
      <c r="AK29" s="93">
        <v>0</v>
      </c>
      <c r="AL29" s="30">
        <v>48</v>
      </c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</row>
    <row r="30" spans="1:60" s="18" customFormat="1" ht="15.95" customHeight="1">
      <c r="A30" s="52" t="s">
        <v>151</v>
      </c>
      <c r="B30" s="92" t="s">
        <v>6</v>
      </c>
      <c r="C30" s="93">
        <v>0</v>
      </c>
      <c r="D30" s="93">
        <v>0</v>
      </c>
      <c r="E30" s="93">
        <v>0</v>
      </c>
      <c r="F30" s="93">
        <v>0</v>
      </c>
      <c r="G30" s="93">
        <v>0</v>
      </c>
      <c r="H30" s="93">
        <v>0</v>
      </c>
      <c r="I30" s="93">
        <v>0</v>
      </c>
      <c r="J30" s="93">
        <v>0</v>
      </c>
      <c r="K30" s="93">
        <v>0</v>
      </c>
      <c r="L30" s="93">
        <v>0</v>
      </c>
      <c r="M30" s="93">
        <v>0</v>
      </c>
      <c r="N30" s="93">
        <v>0</v>
      </c>
      <c r="O30" s="93">
        <v>0</v>
      </c>
      <c r="P30" s="93">
        <v>0</v>
      </c>
      <c r="Q30" s="93">
        <v>0</v>
      </c>
      <c r="R30" s="93">
        <v>0</v>
      </c>
      <c r="S30" s="93">
        <v>0</v>
      </c>
      <c r="T30" s="93">
        <v>0</v>
      </c>
      <c r="U30" s="93">
        <v>0</v>
      </c>
      <c r="V30" s="93">
        <v>0</v>
      </c>
      <c r="W30" s="93">
        <v>0</v>
      </c>
      <c r="X30" s="93">
        <v>0</v>
      </c>
      <c r="Y30" s="93">
        <v>0</v>
      </c>
      <c r="Z30" s="93">
        <v>0</v>
      </c>
      <c r="AA30" s="93">
        <v>0</v>
      </c>
      <c r="AB30" s="93">
        <v>0</v>
      </c>
      <c r="AC30" s="93">
        <v>0</v>
      </c>
      <c r="AD30" s="93">
        <v>0</v>
      </c>
      <c r="AE30" s="93">
        <v>0</v>
      </c>
      <c r="AF30" s="93">
        <v>0</v>
      </c>
      <c r="AG30" s="93">
        <v>0</v>
      </c>
      <c r="AH30" s="93">
        <v>0</v>
      </c>
      <c r="AI30" s="93">
        <v>0</v>
      </c>
      <c r="AJ30" s="93">
        <v>0</v>
      </c>
      <c r="AK30" s="93">
        <v>0</v>
      </c>
      <c r="AL30" s="30">
        <v>0</v>
      </c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</row>
    <row r="31" spans="1:60" ht="21" customHeight="1">
      <c r="A31" s="53" t="s">
        <v>167</v>
      </c>
      <c r="B31" s="94" t="s">
        <v>22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  <c r="AL31" s="3">
        <v>0</v>
      </c>
    </row>
    <row r="32" spans="1:60" ht="21" customHeight="1">
      <c r="A32" s="54" t="s">
        <v>168</v>
      </c>
      <c r="B32" s="95" t="s">
        <v>23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3">
        <v>0</v>
      </c>
    </row>
    <row r="33" spans="1:2">
      <c r="A33" s="96" t="s">
        <v>77</v>
      </c>
      <c r="B33" s="61"/>
    </row>
    <row r="34" spans="1:2">
      <c r="A34" s="97" t="s">
        <v>2</v>
      </c>
    </row>
  </sheetData>
  <mergeCells count="49">
    <mergeCell ref="AH5:AH6"/>
    <mergeCell ref="AI5:AI6"/>
    <mergeCell ref="AJ5:AJ6"/>
    <mergeCell ref="AK5:AK6"/>
    <mergeCell ref="AL5:AL6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F5:F6"/>
    <mergeCell ref="G5:G6"/>
    <mergeCell ref="H5:H6"/>
    <mergeCell ref="I5:I6"/>
    <mergeCell ref="U5:U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A3:B6"/>
    <mergeCell ref="C3:N3"/>
    <mergeCell ref="O3:Z3"/>
    <mergeCell ref="AA3:AL3"/>
    <mergeCell ref="F4:H4"/>
    <mergeCell ref="I4:K4"/>
    <mergeCell ref="L4:N4"/>
    <mergeCell ref="R4:T4"/>
    <mergeCell ref="U4:W4"/>
    <mergeCell ref="X4:Z4"/>
    <mergeCell ref="AD4:AF4"/>
    <mergeCell ref="AG4:AI4"/>
    <mergeCell ref="AJ4:AL4"/>
    <mergeCell ref="C5:C6"/>
    <mergeCell ref="D5:D6"/>
    <mergeCell ref="E5:E6"/>
  </mergeCells>
  <phoneticPr fontId="6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7" fitToWidth="10" orientation="landscape" useFirstPageNumber="1" horizontalDpi="4294967292" verticalDpi="3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BH34"/>
  <sheetViews>
    <sheetView zoomScaleNormal="100" zoomScaleSheetLayoutView="75" workbookViewId="0">
      <pane xSplit="2" ySplit="6" topLeftCell="C7" activePane="bottomRight" state="frozen"/>
      <selection activeCell="E19" sqref="E19"/>
      <selection pane="topRight" activeCell="E19" sqref="E19"/>
      <selection pane="bottomLeft" activeCell="E19" sqref="E19"/>
      <selection pane="bottomRight" activeCell="E19" sqref="E19"/>
    </sheetView>
  </sheetViews>
  <sheetFormatPr defaultColWidth="12" defaultRowHeight="12.75"/>
  <cols>
    <col min="1" max="1" width="10.33203125" style="3" customWidth="1"/>
    <col min="2" max="2" width="20.1640625" style="3" customWidth="1"/>
    <col min="3" max="37" width="9.83203125" style="3" customWidth="1"/>
    <col min="38" max="16384" width="12" style="3"/>
  </cols>
  <sheetData>
    <row r="1" spans="1:60" ht="21">
      <c r="A1" s="80" t="s">
        <v>244</v>
      </c>
      <c r="B1" s="88"/>
    </row>
    <row r="2" spans="1:60" ht="25.5" customHeight="1">
      <c r="A2" s="26" t="s">
        <v>112</v>
      </c>
      <c r="B2" s="79"/>
    </row>
    <row r="3" spans="1:60" s="97" customFormat="1" ht="16.5" customHeight="1">
      <c r="A3" s="441" t="s">
        <v>259</v>
      </c>
      <c r="B3" s="442"/>
      <c r="C3" s="437" t="s">
        <v>246</v>
      </c>
      <c r="D3" s="447"/>
      <c r="E3" s="447"/>
      <c r="F3" s="447"/>
      <c r="G3" s="447"/>
      <c r="H3" s="447"/>
      <c r="I3" s="447"/>
      <c r="J3" s="447"/>
      <c r="K3" s="447"/>
      <c r="L3" s="447"/>
      <c r="M3" s="447"/>
      <c r="N3" s="450"/>
      <c r="O3" s="437" t="s">
        <v>247</v>
      </c>
      <c r="P3" s="447"/>
      <c r="Q3" s="447"/>
      <c r="R3" s="447"/>
      <c r="S3" s="447"/>
      <c r="T3" s="447"/>
      <c r="U3" s="447"/>
      <c r="V3" s="447"/>
      <c r="W3" s="447"/>
      <c r="X3" s="447"/>
      <c r="Y3" s="447"/>
      <c r="Z3" s="450"/>
      <c r="AA3" s="437" t="s">
        <v>248</v>
      </c>
      <c r="AB3" s="447"/>
      <c r="AC3" s="447"/>
      <c r="AD3" s="447"/>
      <c r="AE3" s="447"/>
      <c r="AF3" s="447"/>
      <c r="AG3" s="447"/>
      <c r="AH3" s="447"/>
      <c r="AI3" s="447"/>
      <c r="AJ3" s="447"/>
      <c r="AK3" s="447"/>
      <c r="AL3" s="447"/>
    </row>
    <row r="4" spans="1:60" s="101" customFormat="1" ht="29.25" customHeight="1">
      <c r="A4" s="443"/>
      <c r="B4" s="444"/>
      <c r="C4" s="81" t="s">
        <v>249</v>
      </c>
      <c r="D4" s="98"/>
      <c r="E4" s="99"/>
      <c r="F4" s="436" t="s">
        <v>250</v>
      </c>
      <c r="G4" s="436"/>
      <c r="H4" s="436"/>
      <c r="I4" s="436" t="s">
        <v>251</v>
      </c>
      <c r="J4" s="436"/>
      <c r="K4" s="436"/>
      <c r="L4" s="436" t="s">
        <v>252</v>
      </c>
      <c r="M4" s="436"/>
      <c r="N4" s="436"/>
      <c r="O4" s="81" t="s">
        <v>249</v>
      </c>
      <c r="P4" s="100"/>
      <c r="Q4" s="99"/>
      <c r="R4" s="436" t="s">
        <v>250</v>
      </c>
      <c r="S4" s="436"/>
      <c r="T4" s="436"/>
      <c r="U4" s="436" t="s">
        <v>251</v>
      </c>
      <c r="V4" s="436"/>
      <c r="W4" s="436"/>
      <c r="X4" s="436" t="s">
        <v>252</v>
      </c>
      <c r="Y4" s="436"/>
      <c r="Z4" s="436"/>
      <c r="AA4" s="81" t="s">
        <v>249</v>
      </c>
      <c r="AB4" s="100"/>
      <c r="AC4" s="99"/>
      <c r="AD4" s="436" t="s">
        <v>250</v>
      </c>
      <c r="AE4" s="436"/>
      <c r="AF4" s="436"/>
      <c r="AG4" s="436" t="s">
        <v>251</v>
      </c>
      <c r="AH4" s="436"/>
      <c r="AI4" s="436"/>
      <c r="AJ4" s="436" t="s">
        <v>252</v>
      </c>
      <c r="AK4" s="436"/>
      <c r="AL4" s="448"/>
    </row>
    <row r="5" spans="1:60" s="102" customFormat="1" ht="16.5" customHeight="1">
      <c r="A5" s="443"/>
      <c r="B5" s="444"/>
      <c r="C5" s="432" t="s">
        <v>253</v>
      </c>
      <c r="D5" s="432" t="s">
        <v>254</v>
      </c>
      <c r="E5" s="432" t="s">
        <v>255</v>
      </c>
      <c r="F5" s="432" t="s">
        <v>253</v>
      </c>
      <c r="G5" s="432" t="s">
        <v>254</v>
      </c>
      <c r="H5" s="432" t="s">
        <v>255</v>
      </c>
      <c r="I5" s="432" t="s">
        <v>253</v>
      </c>
      <c r="J5" s="432" t="s">
        <v>254</v>
      </c>
      <c r="K5" s="432" t="s">
        <v>255</v>
      </c>
      <c r="L5" s="432" t="s">
        <v>253</v>
      </c>
      <c r="M5" s="432" t="s">
        <v>254</v>
      </c>
      <c r="N5" s="432" t="s">
        <v>255</v>
      </c>
      <c r="O5" s="432" t="s">
        <v>253</v>
      </c>
      <c r="P5" s="432" t="s">
        <v>254</v>
      </c>
      <c r="Q5" s="432" t="s">
        <v>255</v>
      </c>
      <c r="R5" s="432" t="s">
        <v>253</v>
      </c>
      <c r="S5" s="432" t="s">
        <v>254</v>
      </c>
      <c r="T5" s="432" t="s">
        <v>255</v>
      </c>
      <c r="U5" s="432" t="s">
        <v>253</v>
      </c>
      <c r="V5" s="432" t="s">
        <v>254</v>
      </c>
      <c r="W5" s="432" t="s">
        <v>255</v>
      </c>
      <c r="X5" s="432" t="s">
        <v>253</v>
      </c>
      <c r="Y5" s="432" t="s">
        <v>254</v>
      </c>
      <c r="Z5" s="432" t="s">
        <v>255</v>
      </c>
      <c r="AA5" s="432" t="s">
        <v>253</v>
      </c>
      <c r="AB5" s="432" t="s">
        <v>254</v>
      </c>
      <c r="AC5" s="432" t="s">
        <v>255</v>
      </c>
      <c r="AD5" s="432" t="s">
        <v>253</v>
      </c>
      <c r="AE5" s="432" t="s">
        <v>254</v>
      </c>
      <c r="AF5" s="432" t="s">
        <v>255</v>
      </c>
      <c r="AG5" s="432" t="s">
        <v>253</v>
      </c>
      <c r="AH5" s="432" t="s">
        <v>254</v>
      </c>
      <c r="AI5" s="432" t="s">
        <v>255</v>
      </c>
      <c r="AJ5" s="432" t="s">
        <v>253</v>
      </c>
      <c r="AK5" s="432" t="s">
        <v>254</v>
      </c>
      <c r="AL5" s="434" t="s">
        <v>255</v>
      </c>
    </row>
    <row r="6" spans="1:60" s="97" customFormat="1" ht="12">
      <c r="A6" s="445"/>
      <c r="B6" s="446"/>
      <c r="C6" s="449"/>
      <c r="D6" s="449"/>
      <c r="E6" s="449"/>
      <c r="F6" s="449"/>
      <c r="G6" s="449"/>
      <c r="H6" s="449"/>
      <c r="I6" s="449"/>
      <c r="J6" s="449"/>
      <c r="K6" s="449"/>
      <c r="L6" s="449"/>
      <c r="M6" s="449"/>
      <c r="N6" s="449"/>
      <c r="O6" s="449"/>
      <c r="P6" s="449"/>
      <c r="Q6" s="449"/>
      <c r="R6" s="449"/>
      <c r="S6" s="449"/>
      <c r="T6" s="449"/>
      <c r="U6" s="449"/>
      <c r="V6" s="449"/>
      <c r="W6" s="449"/>
      <c r="X6" s="449"/>
      <c r="Y6" s="449"/>
      <c r="Z6" s="449"/>
      <c r="AA6" s="449"/>
      <c r="AB6" s="449"/>
      <c r="AC6" s="449"/>
      <c r="AD6" s="449"/>
      <c r="AE6" s="449"/>
      <c r="AF6" s="449"/>
      <c r="AG6" s="449"/>
      <c r="AH6" s="449"/>
      <c r="AI6" s="449"/>
      <c r="AJ6" s="449"/>
      <c r="AK6" s="449"/>
      <c r="AL6" s="451"/>
    </row>
    <row r="7" spans="1:60" s="18" customFormat="1" ht="15.95" customHeight="1">
      <c r="A7" s="114" t="s">
        <v>292</v>
      </c>
      <c r="B7" s="36" t="s">
        <v>39</v>
      </c>
      <c r="C7" s="93">
        <v>12</v>
      </c>
      <c r="D7" s="93">
        <v>4</v>
      </c>
      <c r="E7" s="93">
        <v>8</v>
      </c>
      <c r="F7" s="93">
        <v>2</v>
      </c>
      <c r="G7" s="93">
        <v>0</v>
      </c>
      <c r="H7" s="93">
        <v>2</v>
      </c>
      <c r="I7" s="93">
        <v>1</v>
      </c>
      <c r="J7" s="93">
        <v>1</v>
      </c>
      <c r="K7" s="93">
        <v>0</v>
      </c>
      <c r="L7" s="93">
        <v>9</v>
      </c>
      <c r="M7" s="93">
        <v>3</v>
      </c>
      <c r="N7" s="93">
        <v>6</v>
      </c>
      <c r="O7" s="93">
        <v>1248</v>
      </c>
      <c r="P7" s="93">
        <v>427</v>
      </c>
      <c r="Q7" s="93">
        <v>821</v>
      </c>
      <c r="R7" s="93">
        <v>263</v>
      </c>
      <c r="S7" s="93">
        <v>50</v>
      </c>
      <c r="T7" s="93">
        <v>213</v>
      </c>
      <c r="U7" s="93">
        <v>144</v>
      </c>
      <c r="V7" s="93">
        <v>108</v>
      </c>
      <c r="W7" s="93">
        <v>36</v>
      </c>
      <c r="X7" s="93">
        <v>841</v>
      </c>
      <c r="Y7" s="93">
        <v>269</v>
      </c>
      <c r="Z7" s="93">
        <v>572</v>
      </c>
      <c r="AA7" s="93">
        <v>10217</v>
      </c>
      <c r="AB7" s="93">
        <v>3646.5</v>
      </c>
      <c r="AC7" s="93">
        <v>6570.5</v>
      </c>
      <c r="AD7" s="93">
        <v>2118</v>
      </c>
      <c r="AE7" s="93">
        <v>333</v>
      </c>
      <c r="AF7" s="93">
        <v>1785</v>
      </c>
      <c r="AG7" s="93">
        <v>1262.5</v>
      </c>
      <c r="AH7" s="93">
        <v>972</v>
      </c>
      <c r="AI7" s="93">
        <v>290.5</v>
      </c>
      <c r="AJ7" s="93">
        <v>6836.5</v>
      </c>
      <c r="AK7" s="93">
        <v>2341.5</v>
      </c>
      <c r="AL7" s="30">
        <v>4495</v>
      </c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</row>
    <row r="8" spans="1:60" ht="15.95" customHeight="1">
      <c r="A8" s="53" t="s">
        <v>169</v>
      </c>
      <c r="B8" s="94" t="s">
        <v>41</v>
      </c>
      <c r="C8" s="20">
        <v>0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0</v>
      </c>
      <c r="AG8" s="20">
        <v>0</v>
      </c>
      <c r="AH8" s="20">
        <v>0</v>
      </c>
      <c r="AI8" s="20">
        <v>0</v>
      </c>
      <c r="AJ8" s="20">
        <v>0</v>
      </c>
      <c r="AK8" s="20">
        <v>0</v>
      </c>
      <c r="AL8" s="3">
        <v>0</v>
      </c>
    </row>
    <row r="9" spans="1:60" ht="15.95" customHeight="1">
      <c r="A9" s="53" t="s">
        <v>152</v>
      </c>
      <c r="B9" s="94" t="s">
        <v>7</v>
      </c>
      <c r="C9" s="20">
        <v>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0">
        <v>0</v>
      </c>
      <c r="AE9" s="20">
        <v>0</v>
      </c>
      <c r="AF9" s="20">
        <v>0</v>
      </c>
      <c r="AG9" s="20">
        <v>0</v>
      </c>
      <c r="AH9" s="20">
        <v>0</v>
      </c>
      <c r="AI9" s="20">
        <v>0</v>
      </c>
      <c r="AJ9" s="20">
        <v>0</v>
      </c>
      <c r="AK9" s="20">
        <v>0</v>
      </c>
      <c r="AL9" s="3">
        <v>0</v>
      </c>
    </row>
    <row r="10" spans="1:60" ht="15.95" customHeight="1">
      <c r="A10" s="53" t="s">
        <v>153</v>
      </c>
      <c r="B10" s="94" t="s">
        <v>8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3">
        <v>0</v>
      </c>
    </row>
    <row r="11" spans="1:60" ht="15.95" customHeight="1">
      <c r="A11" s="53" t="s">
        <v>154</v>
      </c>
      <c r="B11" s="94" t="s">
        <v>9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  <c r="AC11" s="20">
        <v>0</v>
      </c>
      <c r="AD11" s="20">
        <v>0</v>
      </c>
      <c r="AE11" s="20">
        <v>0</v>
      </c>
      <c r="AF11" s="20">
        <v>0</v>
      </c>
      <c r="AG11" s="20">
        <v>0</v>
      </c>
      <c r="AH11" s="20">
        <v>0</v>
      </c>
      <c r="AI11" s="20">
        <v>0</v>
      </c>
      <c r="AJ11" s="20">
        <v>0</v>
      </c>
      <c r="AK11" s="20">
        <v>0</v>
      </c>
      <c r="AL11" s="3">
        <v>0</v>
      </c>
    </row>
    <row r="12" spans="1:60" ht="15.95" customHeight="1">
      <c r="A12" s="53" t="s">
        <v>155</v>
      </c>
      <c r="B12" s="94" t="s">
        <v>10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3">
        <v>0</v>
      </c>
    </row>
    <row r="13" spans="1:60" ht="15.95" customHeight="1">
      <c r="A13" s="53" t="s">
        <v>170</v>
      </c>
      <c r="B13" s="94" t="s">
        <v>42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3">
        <v>0</v>
      </c>
    </row>
    <row r="14" spans="1:60" ht="15.95" customHeight="1">
      <c r="A14" s="53" t="s">
        <v>156</v>
      </c>
      <c r="B14" s="94" t="s">
        <v>11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3">
        <v>0</v>
      </c>
    </row>
    <row r="15" spans="1:60" ht="15.95" customHeight="1">
      <c r="A15" s="53" t="s">
        <v>157</v>
      </c>
      <c r="B15" s="94" t="s">
        <v>12</v>
      </c>
      <c r="C15" s="20">
        <v>1</v>
      </c>
      <c r="D15" s="20">
        <v>0</v>
      </c>
      <c r="E15" s="20">
        <v>1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1</v>
      </c>
      <c r="M15" s="20">
        <v>0</v>
      </c>
      <c r="N15" s="20">
        <v>1</v>
      </c>
      <c r="O15" s="20">
        <v>172</v>
      </c>
      <c r="P15" s="20">
        <v>0</v>
      </c>
      <c r="Q15" s="20">
        <v>172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172</v>
      </c>
      <c r="Y15" s="20">
        <v>0</v>
      </c>
      <c r="Z15" s="20">
        <v>172</v>
      </c>
      <c r="AA15" s="20">
        <v>1084</v>
      </c>
      <c r="AB15" s="20">
        <v>0</v>
      </c>
      <c r="AC15" s="20">
        <v>1084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1084</v>
      </c>
      <c r="AK15" s="20">
        <v>0</v>
      </c>
      <c r="AL15" s="3">
        <v>1084</v>
      </c>
    </row>
    <row r="16" spans="1:60" ht="15.95" customHeight="1">
      <c r="A16" s="53" t="s">
        <v>158</v>
      </c>
      <c r="B16" s="94" t="s">
        <v>13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3">
        <v>0</v>
      </c>
    </row>
    <row r="17" spans="1:60" ht="15.95" customHeight="1">
      <c r="A17" s="53" t="s">
        <v>159</v>
      </c>
      <c r="B17" s="94" t="s">
        <v>14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3">
        <v>0</v>
      </c>
    </row>
    <row r="18" spans="1:60" ht="15.95" customHeight="1">
      <c r="A18" s="53" t="s">
        <v>171</v>
      </c>
      <c r="B18" s="94" t="s">
        <v>43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3">
        <v>0</v>
      </c>
    </row>
    <row r="19" spans="1:60" ht="15.95" customHeight="1">
      <c r="A19" s="53" t="s">
        <v>172</v>
      </c>
      <c r="B19" s="94" t="s">
        <v>44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3">
        <v>0</v>
      </c>
    </row>
    <row r="20" spans="1:60" ht="15.95" customHeight="1">
      <c r="A20" s="53" t="s">
        <v>160</v>
      </c>
      <c r="B20" s="94" t="s">
        <v>15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3">
        <v>0</v>
      </c>
    </row>
    <row r="21" spans="1:60" ht="15.95" customHeight="1">
      <c r="A21" s="53" t="s">
        <v>161</v>
      </c>
      <c r="B21" s="94" t="s">
        <v>16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3">
        <v>0</v>
      </c>
    </row>
    <row r="22" spans="1:60" ht="15.95" customHeight="1">
      <c r="A22" s="53" t="s">
        <v>162</v>
      </c>
      <c r="B22" s="94" t="s">
        <v>17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3">
        <v>0</v>
      </c>
    </row>
    <row r="23" spans="1:60" ht="15.95" customHeight="1">
      <c r="A23" s="53" t="s">
        <v>163</v>
      </c>
      <c r="B23" s="94" t="s">
        <v>18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3">
        <v>0</v>
      </c>
    </row>
    <row r="24" spans="1:60" ht="15.95" customHeight="1">
      <c r="A24" s="53" t="s">
        <v>164</v>
      </c>
      <c r="B24" s="94" t="s">
        <v>19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3">
        <v>0</v>
      </c>
    </row>
    <row r="25" spans="1:60" ht="15.95" customHeight="1">
      <c r="A25" s="53" t="s">
        <v>165</v>
      </c>
      <c r="B25" s="94" t="s">
        <v>20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3">
        <v>0</v>
      </c>
    </row>
    <row r="26" spans="1:60" ht="15.95" customHeight="1">
      <c r="A26" s="53" t="s">
        <v>173</v>
      </c>
      <c r="B26" s="94" t="s">
        <v>4</v>
      </c>
      <c r="C26" s="20">
        <v>7</v>
      </c>
      <c r="D26" s="20">
        <v>3</v>
      </c>
      <c r="E26" s="20">
        <v>4</v>
      </c>
      <c r="F26" s="20">
        <v>1</v>
      </c>
      <c r="G26" s="20">
        <v>0</v>
      </c>
      <c r="H26" s="20">
        <v>1</v>
      </c>
      <c r="I26" s="20">
        <v>1</v>
      </c>
      <c r="J26" s="20">
        <v>1</v>
      </c>
      <c r="K26" s="20">
        <v>0</v>
      </c>
      <c r="L26" s="20">
        <v>5</v>
      </c>
      <c r="M26" s="20">
        <v>2</v>
      </c>
      <c r="N26" s="20">
        <v>3</v>
      </c>
      <c r="O26" s="20">
        <v>755</v>
      </c>
      <c r="P26" s="20">
        <v>346</v>
      </c>
      <c r="Q26" s="20">
        <v>409</v>
      </c>
      <c r="R26" s="20">
        <v>133</v>
      </c>
      <c r="S26" s="20">
        <v>50</v>
      </c>
      <c r="T26" s="20">
        <v>83</v>
      </c>
      <c r="U26" s="20">
        <v>108</v>
      </c>
      <c r="V26" s="20">
        <v>108</v>
      </c>
      <c r="W26" s="20">
        <v>0</v>
      </c>
      <c r="X26" s="20">
        <v>514</v>
      </c>
      <c r="Y26" s="20">
        <v>188</v>
      </c>
      <c r="Z26" s="20">
        <v>326</v>
      </c>
      <c r="AA26" s="20">
        <v>6561</v>
      </c>
      <c r="AB26" s="20">
        <v>2997</v>
      </c>
      <c r="AC26" s="20">
        <v>3564</v>
      </c>
      <c r="AD26" s="20">
        <v>1080</v>
      </c>
      <c r="AE26" s="20">
        <v>333</v>
      </c>
      <c r="AF26" s="20">
        <v>747</v>
      </c>
      <c r="AG26" s="20">
        <v>972</v>
      </c>
      <c r="AH26" s="20">
        <v>972</v>
      </c>
      <c r="AI26" s="20">
        <v>0</v>
      </c>
      <c r="AJ26" s="20">
        <v>4509</v>
      </c>
      <c r="AK26" s="20">
        <v>1692</v>
      </c>
      <c r="AL26" s="3">
        <v>2817</v>
      </c>
    </row>
    <row r="27" spans="1:60" ht="15.95" customHeight="1">
      <c r="A27" s="53" t="s">
        <v>166</v>
      </c>
      <c r="B27" s="94" t="s">
        <v>21</v>
      </c>
      <c r="C27" s="20">
        <v>4</v>
      </c>
      <c r="D27" s="20">
        <v>1</v>
      </c>
      <c r="E27" s="20">
        <v>3</v>
      </c>
      <c r="F27" s="20">
        <v>1</v>
      </c>
      <c r="G27" s="20">
        <v>0</v>
      </c>
      <c r="H27" s="20">
        <v>1</v>
      </c>
      <c r="I27" s="20">
        <v>0</v>
      </c>
      <c r="J27" s="20">
        <v>0</v>
      </c>
      <c r="K27" s="20">
        <v>0</v>
      </c>
      <c r="L27" s="20">
        <v>3</v>
      </c>
      <c r="M27" s="20">
        <v>1</v>
      </c>
      <c r="N27" s="20">
        <v>2</v>
      </c>
      <c r="O27" s="20">
        <v>321</v>
      </c>
      <c r="P27" s="20">
        <v>81</v>
      </c>
      <c r="Q27" s="20">
        <v>240</v>
      </c>
      <c r="R27" s="20">
        <v>130</v>
      </c>
      <c r="S27" s="20">
        <v>0</v>
      </c>
      <c r="T27" s="20">
        <v>130</v>
      </c>
      <c r="U27" s="20">
        <v>36</v>
      </c>
      <c r="V27" s="20">
        <v>0</v>
      </c>
      <c r="W27" s="20">
        <v>36</v>
      </c>
      <c r="X27" s="20">
        <v>155</v>
      </c>
      <c r="Y27" s="20">
        <v>81</v>
      </c>
      <c r="Z27" s="20">
        <v>74</v>
      </c>
      <c r="AA27" s="20">
        <v>2572</v>
      </c>
      <c r="AB27" s="20">
        <v>649.5</v>
      </c>
      <c r="AC27" s="20">
        <v>1922.5</v>
      </c>
      <c r="AD27" s="20">
        <v>1038</v>
      </c>
      <c r="AE27" s="20">
        <v>0</v>
      </c>
      <c r="AF27" s="20">
        <v>1038</v>
      </c>
      <c r="AG27" s="20">
        <v>290.5</v>
      </c>
      <c r="AH27" s="20">
        <v>0</v>
      </c>
      <c r="AI27" s="20">
        <v>290.5</v>
      </c>
      <c r="AJ27" s="20">
        <v>1243.5</v>
      </c>
      <c r="AK27" s="20">
        <v>649.5</v>
      </c>
      <c r="AL27" s="3">
        <v>594</v>
      </c>
    </row>
    <row r="28" spans="1:60" ht="15.95" customHeight="1">
      <c r="A28" s="53" t="s">
        <v>174</v>
      </c>
      <c r="B28" s="94" t="s">
        <v>5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3">
        <v>0</v>
      </c>
    </row>
    <row r="29" spans="1:60" s="18" customFormat="1" ht="15.95" customHeight="1">
      <c r="A29" s="52" t="s">
        <v>148</v>
      </c>
      <c r="B29" s="92" t="s">
        <v>3</v>
      </c>
      <c r="C29" s="93">
        <v>0</v>
      </c>
      <c r="D29" s="93">
        <v>0</v>
      </c>
      <c r="E29" s="93">
        <v>0</v>
      </c>
      <c r="F29" s="93">
        <v>0</v>
      </c>
      <c r="G29" s="93">
        <v>0</v>
      </c>
      <c r="H29" s="93">
        <v>0</v>
      </c>
      <c r="I29" s="93">
        <v>0</v>
      </c>
      <c r="J29" s="93">
        <v>0</v>
      </c>
      <c r="K29" s="93">
        <v>0</v>
      </c>
      <c r="L29" s="93">
        <v>0</v>
      </c>
      <c r="M29" s="93">
        <v>0</v>
      </c>
      <c r="N29" s="93">
        <v>0</v>
      </c>
      <c r="O29" s="93">
        <v>0</v>
      </c>
      <c r="P29" s="93">
        <v>0</v>
      </c>
      <c r="Q29" s="93">
        <v>0</v>
      </c>
      <c r="R29" s="93">
        <v>0</v>
      </c>
      <c r="S29" s="93">
        <v>0</v>
      </c>
      <c r="T29" s="93">
        <v>0</v>
      </c>
      <c r="U29" s="93">
        <v>0</v>
      </c>
      <c r="V29" s="93">
        <v>0</v>
      </c>
      <c r="W29" s="93">
        <v>0</v>
      </c>
      <c r="X29" s="93">
        <v>0</v>
      </c>
      <c r="Y29" s="93">
        <v>0</v>
      </c>
      <c r="Z29" s="93">
        <v>0</v>
      </c>
      <c r="AA29" s="93">
        <v>0</v>
      </c>
      <c r="AB29" s="93">
        <v>0</v>
      </c>
      <c r="AC29" s="93">
        <v>0</v>
      </c>
      <c r="AD29" s="93">
        <v>0</v>
      </c>
      <c r="AE29" s="93">
        <v>0</v>
      </c>
      <c r="AF29" s="93">
        <v>0</v>
      </c>
      <c r="AG29" s="93">
        <v>0</v>
      </c>
      <c r="AH29" s="93">
        <v>0</v>
      </c>
      <c r="AI29" s="93">
        <v>0</v>
      </c>
      <c r="AJ29" s="93">
        <v>0</v>
      </c>
      <c r="AK29" s="93">
        <v>0</v>
      </c>
      <c r="AL29" s="30">
        <v>0</v>
      </c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</row>
    <row r="30" spans="1:60" s="18" customFormat="1" ht="15.95" customHeight="1">
      <c r="A30" s="52" t="s">
        <v>151</v>
      </c>
      <c r="B30" s="92" t="s">
        <v>6</v>
      </c>
      <c r="C30" s="93">
        <v>0</v>
      </c>
      <c r="D30" s="93">
        <v>0</v>
      </c>
      <c r="E30" s="93">
        <v>0</v>
      </c>
      <c r="F30" s="93">
        <v>0</v>
      </c>
      <c r="G30" s="93">
        <v>0</v>
      </c>
      <c r="H30" s="93">
        <v>0</v>
      </c>
      <c r="I30" s="93">
        <v>0</v>
      </c>
      <c r="J30" s="93">
        <v>0</v>
      </c>
      <c r="K30" s="93">
        <v>0</v>
      </c>
      <c r="L30" s="93">
        <v>0</v>
      </c>
      <c r="M30" s="93">
        <v>0</v>
      </c>
      <c r="N30" s="93">
        <v>0</v>
      </c>
      <c r="O30" s="93">
        <v>0</v>
      </c>
      <c r="P30" s="93">
        <v>0</v>
      </c>
      <c r="Q30" s="93">
        <v>0</v>
      </c>
      <c r="R30" s="93">
        <v>0</v>
      </c>
      <c r="S30" s="93">
        <v>0</v>
      </c>
      <c r="T30" s="93">
        <v>0</v>
      </c>
      <c r="U30" s="93">
        <v>0</v>
      </c>
      <c r="V30" s="93">
        <v>0</v>
      </c>
      <c r="W30" s="93">
        <v>0</v>
      </c>
      <c r="X30" s="93">
        <v>0</v>
      </c>
      <c r="Y30" s="93">
        <v>0</v>
      </c>
      <c r="Z30" s="93">
        <v>0</v>
      </c>
      <c r="AA30" s="93">
        <v>0</v>
      </c>
      <c r="AB30" s="93">
        <v>0</v>
      </c>
      <c r="AC30" s="93">
        <v>0</v>
      </c>
      <c r="AD30" s="93">
        <v>0</v>
      </c>
      <c r="AE30" s="93">
        <v>0</v>
      </c>
      <c r="AF30" s="93">
        <v>0</v>
      </c>
      <c r="AG30" s="93">
        <v>0</v>
      </c>
      <c r="AH30" s="93">
        <v>0</v>
      </c>
      <c r="AI30" s="93">
        <v>0</v>
      </c>
      <c r="AJ30" s="93">
        <v>0</v>
      </c>
      <c r="AK30" s="93">
        <v>0</v>
      </c>
      <c r="AL30" s="30">
        <v>0</v>
      </c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</row>
    <row r="31" spans="1:60" ht="21" customHeight="1">
      <c r="A31" s="53" t="s">
        <v>167</v>
      </c>
      <c r="B31" s="94" t="s">
        <v>22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  <c r="AL31" s="3">
        <v>0</v>
      </c>
    </row>
    <row r="32" spans="1:60" ht="21" customHeight="1">
      <c r="A32" s="54" t="s">
        <v>168</v>
      </c>
      <c r="B32" s="95" t="s">
        <v>23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3">
        <v>0</v>
      </c>
    </row>
    <row r="33" spans="1:2">
      <c r="A33" s="96" t="s">
        <v>77</v>
      </c>
      <c r="B33" s="61"/>
    </row>
    <row r="34" spans="1:2">
      <c r="A34" s="97" t="s">
        <v>2</v>
      </c>
    </row>
  </sheetData>
  <mergeCells count="49">
    <mergeCell ref="AH5:AH6"/>
    <mergeCell ref="AI5:AI6"/>
    <mergeCell ref="AJ5:AJ6"/>
    <mergeCell ref="AK5:AK6"/>
    <mergeCell ref="AL5:AL6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F5:F6"/>
    <mergeCell ref="G5:G6"/>
    <mergeCell ref="H5:H6"/>
    <mergeCell ref="I5:I6"/>
    <mergeCell ref="U5:U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A3:B6"/>
    <mergeCell ref="C3:N3"/>
    <mergeCell ref="O3:Z3"/>
    <mergeCell ref="AA3:AL3"/>
    <mergeCell ref="F4:H4"/>
    <mergeCell ref="I4:K4"/>
    <mergeCell ref="L4:N4"/>
    <mergeCell ref="R4:T4"/>
    <mergeCell ref="U4:W4"/>
    <mergeCell ref="X4:Z4"/>
    <mergeCell ref="AD4:AF4"/>
    <mergeCell ref="AG4:AI4"/>
    <mergeCell ref="AJ4:AL4"/>
    <mergeCell ref="C5:C6"/>
    <mergeCell ref="D5:D6"/>
    <mergeCell ref="E5:E6"/>
  </mergeCells>
  <phoneticPr fontId="6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9" fitToWidth="10" orientation="landscape" useFirstPageNumber="1" horizontalDpi="4294967292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44</vt:i4>
      </vt:variant>
      <vt:variant>
        <vt:lpstr>已命名的範圍</vt:lpstr>
      </vt:variant>
      <vt:variant>
        <vt:i4>30</vt:i4>
      </vt:variant>
    </vt:vector>
  </HeadingPairs>
  <TitlesOfParts>
    <vt:vector size="74" baseType="lpstr">
      <vt:lpstr>歷年(110~)</vt:lpstr>
      <vt:lpstr>113</vt:lpstr>
      <vt:lpstr>112</vt:lpstr>
      <vt:lpstr>111</vt:lpstr>
      <vt:lpstr>110</vt:lpstr>
      <vt:lpstr>居服歷年(98-109)</vt:lpstr>
      <vt:lpstr>居服109</vt:lpstr>
      <vt:lpstr>居服108</vt:lpstr>
      <vt:lpstr>居服107</vt:lpstr>
      <vt:lpstr>居服106</vt:lpstr>
      <vt:lpstr>居服105</vt:lpstr>
      <vt:lpstr>居服104</vt:lpstr>
      <vt:lpstr>居服103</vt:lpstr>
      <vt:lpstr>居服102</vt:lpstr>
      <vt:lpstr>居服101</vt:lpstr>
      <vt:lpstr>居服100</vt:lpstr>
      <vt:lpstr>居服99</vt:lpstr>
      <vt:lpstr>居服98</vt:lpstr>
      <vt:lpstr>日間歷年(98-109)</vt:lpstr>
      <vt:lpstr>日照109</vt:lpstr>
      <vt:lpstr>日照108</vt:lpstr>
      <vt:lpstr>日照107</vt:lpstr>
      <vt:lpstr>日照106</vt:lpstr>
      <vt:lpstr>日照105</vt:lpstr>
      <vt:lpstr>日照104</vt:lpstr>
      <vt:lpstr>日照103</vt:lpstr>
      <vt:lpstr>日照102</vt:lpstr>
      <vt:lpstr>日照101</vt:lpstr>
      <vt:lpstr>日照100</vt:lpstr>
      <vt:lpstr>日照99</vt:lpstr>
      <vt:lpstr>日照98</vt:lpstr>
      <vt:lpstr>家托歷年(98-109)</vt:lpstr>
      <vt:lpstr>家托109</vt:lpstr>
      <vt:lpstr>家托108</vt:lpstr>
      <vt:lpstr>家托107</vt:lpstr>
      <vt:lpstr>家托106</vt:lpstr>
      <vt:lpstr>家托105</vt:lpstr>
      <vt:lpstr>家托104</vt:lpstr>
      <vt:lpstr>家托103</vt:lpstr>
      <vt:lpstr>家托102</vt:lpstr>
      <vt:lpstr>家托101</vt:lpstr>
      <vt:lpstr>家托100</vt:lpstr>
      <vt:lpstr>家托99</vt:lpstr>
      <vt:lpstr>家托98</vt:lpstr>
      <vt:lpstr>'110'!Print_Area</vt:lpstr>
      <vt:lpstr>'111'!Print_Area</vt:lpstr>
      <vt:lpstr>'112'!Print_Area</vt:lpstr>
      <vt:lpstr>'113'!Print_Area</vt:lpstr>
      <vt:lpstr>日照100!Print_Area</vt:lpstr>
      <vt:lpstr>日照101!Print_Area</vt:lpstr>
      <vt:lpstr>日照102!Print_Area</vt:lpstr>
      <vt:lpstr>日照103!Print_Area</vt:lpstr>
      <vt:lpstr>日照104!Print_Area</vt:lpstr>
      <vt:lpstr>日照105!Print_Area</vt:lpstr>
      <vt:lpstr>日照106!Print_Area</vt:lpstr>
      <vt:lpstr>日照107!Print_Area</vt:lpstr>
      <vt:lpstr>日照98!Print_Area</vt:lpstr>
      <vt:lpstr>日照99!Print_Area</vt:lpstr>
      <vt:lpstr>'歷年(110~)'!Print_Area</vt:lpstr>
      <vt:lpstr>'110'!Print_Titles</vt:lpstr>
      <vt:lpstr>'111'!Print_Titles</vt:lpstr>
      <vt:lpstr>'112'!Print_Titles</vt:lpstr>
      <vt:lpstr>'113'!Print_Titles</vt:lpstr>
      <vt:lpstr>日照100!Print_Titles</vt:lpstr>
      <vt:lpstr>日照101!Print_Titles</vt:lpstr>
      <vt:lpstr>日照102!Print_Titles</vt:lpstr>
      <vt:lpstr>日照103!Print_Titles</vt:lpstr>
      <vt:lpstr>日照104!Print_Titles</vt:lpstr>
      <vt:lpstr>日照105!Print_Titles</vt:lpstr>
      <vt:lpstr>日照106!Print_Titles</vt:lpstr>
      <vt:lpstr>日照107!Print_Titles</vt:lpstr>
      <vt:lpstr>日照98!Print_Titles</vt:lpstr>
      <vt:lpstr>日照99!Print_Titles</vt:lpstr>
      <vt:lpstr>'歷年(110~)'!Print_Titles</vt:lpstr>
    </vt:vector>
  </TitlesOfParts>
  <Company>內政部統計處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統計處李美鈴</dc:creator>
  <cp:lastModifiedBy>統計處李美鈴</cp:lastModifiedBy>
  <cp:lastPrinted>2022-03-18T08:29:55Z</cp:lastPrinted>
  <dcterms:created xsi:type="dcterms:W3CDTF">2001-10-30T06:38:08Z</dcterms:created>
  <dcterms:modified xsi:type="dcterms:W3CDTF">2025-04-15T00:45:54Z</dcterms:modified>
</cp:coreProperties>
</file>