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4社會福利統計報表網頁(新版)\1140421\"/>
    </mc:Choice>
  </mc:AlternateContent>
  <bookViews>
    <workbookView xWindow="0" yWindow="0" windowWidth="23040" windowHeight="9000"/>
  </bookViews>
  <sheets>
    <sheet name="歷年(110~)" sheetId="69" r:id="rId1"/>
    <sheet name="113" sheetId="71" r:id="rId2"/>
    <sheet name="112" sheetId="70" r:id="rId3"/>
    <sheet name="111" sheetId="68" r:id="rId4"/>
    <sheet name="110" sheetId="54" r:id="rId5"/>
    <sheet name="歷年(98-109)" sheetId="55" state="hidden" r:id="rId6"/>
    <sheet name="109" sheetId="56" state="hidden" r:id="rId7"/>
    <sheet name="108" sheetId="57" state="hidden" r:id="rId8"/>
    <sheet name="107" sheetId="58" state="hidden" r:id="rId9"/>
    <sheet name="106" sheetId="59" state="hidden" r:id="rId10"/>
    <sheet name="105" sheetId="60" state="hidden" r:id="rId11"/>
    <sheet name="104" sheetId="61" state="hidden" r:id="rId12"/>
    <sheet name="103" sheetId="62" state="hidden" r:id="rId13"/>
    <sheet name="102" sheetId="63" state="hidden" r:id="rId14"/>
    <sheet name="101" sheetId="64" state="hidden" r:id="rId15"/>
    <sheet name="100" sheetId="65" state="hidden" r:id="rId16"/>
    <sheet name="99" sheetId="66" state="hidden" r:id="rId17"/>
    <sheet name="98" sheetId="67" state="hidden" r:id="rId18"/>
  </sheets>
  <definedNames>
    <definedName name="pp" localSheetId="4">#REF!</definedName>
    <definedName name="pp" localSheetId="3">#REF!</definedName>
    <definedName name="pp" localSheetId="2">#REF!</definedName>
    <definedName name="pp" localSheetId="1">#REF!</definedName>
    <definedName name="pp" localSheetId="0">#REF!</definedName>
    <definedName name="pp">#REF!</definedName>
    <definedName name="ppp" localSheetId="4">#REF!</definedName>
    <definedName name="ppp" localSheetId="3">#REF!</definedName>
    <definedName name="ppp" localSheetId="2">#REF!</definedName>
    <definedName name="ppp" localSheetId="1">#REF!</definedName>
    <definedName name="ppp" localSheetId="0">#REF!</definedName>
    <definedName name="ppp">#REF!</definedName>
    <definedName name="_xlnm.Print_Area" localSheetId="4">'110'!$A$1:$Y$33</definedName>
    <definedName name="_xlnm.Print_Area" localSheetId="3">'111'!$A$1:$Y$33</definedName>
    <definedName name="_xlnm.Print_Area" localSheetId="2">'112'!$A$1:$Y$33</definedName>
    <definedName name="_xlnm.Print_Area" localSheetId="1">'113'!$A$1:$Y$33</definedName>
    <definedName name="_xlnm.Print_Area" localSheetId="0">'歷年(110~)'!$A$1:$Y$14</definedName>
    <definedName name="低收" localSheetId="4">#REF!</definedName>
    <definedName name="低收" localSheetId="3">#REF!</definedName>
    <definedName name="低收" localSheetId="2">#REF!</definedName>
    <definedName name="低收" localSheetId="1">#REF!</definedName>
    <definedName name="低收" localSheetId="0">#REF!</definedName>
    <definedName name="低收">#REF!</definedName>
    <definedName name="低收1" localSheetId="4">#REF!</definedName>
    <definedName name="低收1" localSheetId="3">#REF!</definedName>
    <definedName name="低收1" localSheetId="2">#REF!</definedName>
    <definedName name="低收1" localSheetId="1">#REF!</definedName>
    <definedName name="低收1" localSheetId="0">#REF!</definedName>
    <definedName name="低收1">#REF!</definedName>
    <definedName name="表" localSheetId="4">#REF!</definedName>
    <definedName name="表" localSheetId="3">#REF!</definedName>
    <definedName name="表" localSheetId="2">#REF!</definedName>
    <definedName name="表" localSheetId="1">#REF!</definedName>
    <definedName name="表" localSheetId="0">#REF!</definedName>
    <definedName name="表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69" l="1"/>
  <c r="D10" i="69"/>
  <c r="E10" i="69"/>
  <c r="F10" i="69"/>
  <c r="G10" i="69"/>
  <c r="H10" i="69"/>
  <c r="I10" i="69"/>
  <c r="J10" i="69"/>
  <c r="K10" i="69"/>
  <c r="L10" i="69"/>
  <c r="M10" i="69"/>
  <c r="N10" i="69"/>
  <c r="O10" i="69"/>
  <c r="P10" i="69"/>
  <c r="Q10" i="69"/>
  <c r="R10" i="69"/>
  <c r="S10" i="69"/>
  <c r="T10" i="69"/>
  <c r="U10" i="69"/>
  <c r="V10" i="69"/>
  <c r="W10" i="69"/>
  <c r="X10" i="69"/>
  <c r="Y10" i="69"/>
  <c r="Z10" i="69"/>
  <c r="AA10" i="69"/>
  <c r="AB10" i="69"/>
  <c r="B10" i="69"/>
  <c r="C9" i="69" l="1"/>
  <c r="D9" i="69"/>
  <c r="E9" i="69"/>
  <c r="F9" i="69"/>
  <c r="G9" i="69"/>
  <c r="H9" i="69"/>
  <c r="I9" i="69"/>
  <c r="J9" i="69"/>
  <c r="K9" i="69"/>
  <c r="L9" i="69"/>
  <c r="M9" i="69"/>
  <c r="N9" i="69"/>
  <c r="O9" i="69"/>
  <c r="P9" i="69"/>
  <c r="Q9" i="69"/>
  <c r="R9" i="69"/>
  <c r="S9" i="69"/>
  <c r="T9" i="69"/>
  <c r="U9" i="69"/>
  <c r="V9" i="69"/>
  <c r="W9" i="69"/>
  <c r="X9" i="69"/>
  <c r="Y9" i="69"/>
  <c r="Z9" i="69"/>
  <c r="AA9" i="69"/>
  <c r="AB9" i="69"/>
  <c r="B9" i="69"/>
  <c r="C8" i="69"/>
  <c r="D8" i="69"/>
  <c r="E8" i="69"/>
  <c r="F8" i="69"/>
  <c r="G8" i="69"/>
  <c r="H8" i="69"/>
  <c r="I8" i="69"/>
  <c r="J8" i="69"/>
  <c r="K8" i="69"/>
  <c r="L8" i="69"/>
  <c r="M8" i="69"/>
  <c r="N8" i="69"/>
  <c r="O8" i="69"/>
  <c r="P8" i="69"/>
  <c r="Q8" i="69"/>
  <c r="R8" i="69"/>
  <c r="S8" i="69"/>
  <c r="T8" i="69"/>
  <c r="U8" i="69"/>
  <c r="V8" i="69"/>
  <c r="W8" i="69"/>
  <c r="X8" i="69"/>
  <c r="Y8" i="69"/>
  <c r="Z8" i="69"/>
  <c r="AA8" i="69"/>
  <c r="AB8" i="69"/>
  <c r="B8" i="69"/>
  <c r="Z85" i="59"/>
  <c r="Y85" i="59"/>
  <c r="X85" i="59"/>
  <c r="W85" i="59"/>
  <c r="V85" i="59"/>
  <c r="U85" i="59"/>
  <c r="T85" i="59"/>
  <c r="S85" i="59"/>
  <c r="R85" i="59"/>
  <c r="Q85" i="59"/>
  <c r="P85" i="59"/>
  <c r="O85" i="59"/>
  <c r="N85" i="59"/>
  <c r="M85" i="59"/>
  <c r="L85" i="59"/>
  <c r="K85" i="59"/>
  <c r="J85" i="59"/>
  <c r="I85" i="59"/>
  <c r="H85" i="59"/>
  <c r="G85" i="59"/>
  <c r="F85" i="59"/>
  <c r="E85" i="59"/>
  <c r="D85" i="59"/>
  <c r="C85" i="59"/>
  <c r="Z84" i="59"/>
  <c r="Y84" i="59"/>
  <c r="X84" i="59"/>
  <c r="W84" i="59"/>
  <c r="V84" i="59"/>
  <c r="U84" i="59"/>
  <c r="T84" i="59"/>
  <c r="S84" i="59"/>
  <c r="R84" i="59"/>
  <c r="Q84" i="59"/>
  <c r="P84" i="59"/>
  <c r="O84" i="59"/>
  <c r="N84" i="59"/>
  <c r="M84" i="59"/>
  <c r="L84" i="59"/>
  <c r="K84" i="59"/>
  <c r="J84" i="59"/>
  <c r="I84" i="59"/>
  <c r="H84" i="59"/>
  <c r="G84" i="59"/>
  <c r="F84" i="59"/>
  <c r="E84" i="59"/>
  <c r="D84" i="59"/>
  <c r="C84" i="59"/>
  <c r="Z83" i="59"/>
  <c r="Y83" i="59"/>
  <c r="X83" i="59"/>
  <c r="W83" i="59"/>
  <c r="V83" i="59"/>
  <c r="U83" i="59"/>
  <c r="T83" i="59"/>
  <c r="S83" i="59"/>
  <c r="R83" i="59"/>
  <c r="Q83" i="59"/>
  <c r="P83" i="59"/>
  <c r="O83" i="59"/>
  <c r="N83" i="59"/>
  <c r="M83" i="59"/>
  <c r="L83" i="59"/>
  <c r="K83" i="59"/>
  <c r="J83" i="59"/>
  <c r="I83" i="59"/>
  <c r="H83" i="59"/>
  <c r="G83" i="59"/>
  <c r="F83" i="59"/>
  <c r="E83" i="59"/>
  <c r="D83" i="59"/>
  <c r="C83" i="59"/>
  <c r="Z82" i="59"/>
  <c r="Y82" i="59"/>
  <c r="X82" i="59"/>
  <c r="W82" i="59"/>
  <c r="V82" i="59"/>
  <c r="U82" i="59"/>
  <c r="T82" i="59"/>
  <c r="S82" i="59"/>
  <c r="R82" i="59"/>
  <c r="Q82" i="59"/>
  <c r="P82" i="59"/>
  <c r="O82" i="59"/>
  <c r="N82" i="59"/>
  <c r="M82" i="59"/>
  <c r="L82" i="59"/>
  <c r="K82" i="59"/>
  <c r="J82" i="59"/>
  <c r="I82" i="59"/>
  <c r="H82" i="59"/>
  <c r="G82" i="59"/>
  <c r="F82" i="59"/>
  <c r="E82" i="59"/>
  <c r="D82" i="59"/>
  <c r="C82" i="59"/>
  <c r="Z81" i="59"/>
  <c r="Y81" i="59"/>
  <c r="X81" i="59"/>
  <c r="W81" i="59"/>
  <c r="V81" i="59"/>
  <c r="U81" i="59"/>
  <c r="T81" i="59"/>
  <c r="S81" i="59"/>
  <c r="R81" i="59"/>
  <c r="Q81" i="59"/>
  <c r="P81" i="59"/>
  <c r="O81" i="59"/>
  <c r="N81" i="59"/>
  <c r="M81" i="59"/>
  <c r="L81" i="59"/>
  <c r="K81" i="59"/>
  <c r="J81" i="59"/>
  <c r="I81" i="59"/>
  <c r="H81" i="59"/>
  <c r="G81" i="59"/>
  <c r="F81" i="59"/>
  <c r="E81" i="59"/>
  <c r="D81" i="59"/>
  <c r="C81" i="59"/>
  <c r="Z80" i="59"/>
  <c r="Y80" i="59"/>
  <c r="X80" i="59"/>
  <c r="W80" i="59"/>
  <c r="V80" i="59"/>
  <c r="U80" i="59"/>
  <c r="T80" i="59"/>
  <c r="S80" i="59"/>
  <c r="R80" i="59"/>
  <c r="Q80" i="59"/>
  <c r="P80" i="59"/>
  <c r="O80" i="59"/>
  <c r="N80" i="59"/>
  <c r="M80" i="59"/>
  <c r="L80" i="59"/>
  <c r="K80" i="59"/>
  <c r="J80" i="59"/>
  <c r="I80" i="59"/>
  <c r="H80" i="59"/>
  <c r="G80" i="59"/>
  <c r="F80" i="59"/>
  <c r="E80" i="59"/>
  <c r="D80" i="59"/>
  <c r="C80" i="59"/>
  <c r="Z79" i="59"/>
  <c r="Y79" i="59"/>
  <c r="X79" i="59"/>
  <c r="W79" i="59"/>
  <c r="V79" i="59"/>
  <c r="U79" i="59"/>
  <c r="T79" i="59"/>
  <c r="S79" i="59"/>
  <c r="R79" i="59"/>
  <c r="Q79" i="59"/>
  <c r="P79" i="59"/>
  <c r="O79" i="59"/>
  <c r="N79" i="59"/>
  <c r="M79" i="59"/>
  <c r="L79" i="59"/>
  <c r="K79" i="59"/>
  <c r="J79" i="59"/>
  <c r="I79" i="59"/>
  <c r="H79" i="59"/>
  <c r="G79" i="59"/>
  <c r="F79" i="59"/>
  <c r="E79" i="59"/>
  <c r="D79" i="59"/>
  <c r="C79" i="59"/>
  <c r="Z78" i="59"/>
  <c r="Y78" i="59"/>
  <c r="X78" i="59"/>
  <c r="W78" i="59"/>
  <c r="V78" i="59"/>
  <c r="U78" i="59"/>
  <c r="T78" i="59"/>
  <c r="S78" i="59"/>
  <c r="R78" i="59"/>
  <c r="Q78" i="59"/>
  <c r="P78" i="59"/>
  <c r="O78" i="59"/>
  <c r="N78" i="59"/>
  <c r="M78" i="59"/>
  <c r="L78" i="59"/>
  <c r="K78" i="59"/>
  <c r="J78" i="59"/>
  <c r="I78" i="59"/>
  <c r="H78" i="59"/>
  <c r="G78" i="59"/>
  <c r="F78" i="59"/>
  <c r="E78" i="59"/>
  <c r="D78" i="59"/>
  <c r="C78" i="59"/>
  <c r="Z77" i="59"/>
  <c r="Y77" i="59"/>
  <c r="X77" i="59"/>
  <c r="W77" i="59"/>
  <c r="V77" i="59"/>
  <c r="U77" i="59"/>
  <c r="T77" i="59"/>
  <c r="S77" i="59"/>
  <c r="R77" i="59"/>
  <c r="Q77" i="59"/>
  <c r="P77" i="59"/>
  <c r="O77" i="59"/>
  <c r="N77" i="59"/>
  <c r="M77" i="59"/>
  <c r="L77" i="59"/>
  <c r="K77" i="59"/>
  <c r="J77" i="59"/>
  <c r="I77" i="59"/>
  <c r="H77" i="59"/>
  <c r="G77" i="59"/>
  <c r="F77" i="59"/>
  <c r="E77" i="59"/>
  <c r="D77" i="59"/>
  <c r="C77" i="59"/>
  <c r="Z76" i="59"/>
  <c r="Y76" i="59"/>
  <c r="X76" i="59"/>
  <c r="W76" i="59"/>
  <c r="V76" i="59"/>
  <c r="U76" i="59"/>
  <c r="T76" i="59"/>
  <c r="S76" i="59"/>
  <c r="R76" i="59"/>
  <c r="Q76" i="59"/>
  <c r="P76" i="59"/>
  <c r="O76" i="59"/>
  <c r="N76" i="59"/>
  <c r="M76" i="59"/>
  <c r="L76" i="59"/>
  <c r="K76" i="59"/>
  <c r="J76" i="59"/>
  <c r="I76" i="59"/>
  <c r="H76" i="59"/>
  <c r="G76" i="59"/>
  <c r="F76" i="59"/>
  <c r="E76" i="59"/>
  <c r="D76" i="59"/>
  <c r="C76" i="59"/>
  <c r="Z75" i="59"/>
  <c r="Y75" i="59"/>
  <c r="X75" i="59"/>
  <c r="W75" i="59"/>
  <c r="V75" i="59"/>
  <c r="U75" i="59"/>
  <c r="T75" i="59"/>
  <c r="S75" i="59"/>
  <c r="R75" i="59"/>
  <c r="Q75" i="59"/>
  <c r="P75" i="59"/>
  <c r="O75" i="59"/>
  <c r="N75" i="59"/>
  <c r="M75" i="59"/>
  <c r="L75" i="59"/>
  <c r="K75" i="59"/>
  <c r="J75" i="59"/>
  <c r="I75" i="59"/>
  <c r="H75" i="59"/>
  <c r="G75" i="59"/>
  <c r="F75" i="59"/>
  <c r="E75" i="59"/>
  <c r="D75" i="59"/>
  <c r="C75" i="59"/>
  <c r="Z74" i="59"/>
  <c r="Y74" i="59"/>
  <c r="X74" i="59"/>
  <c r="W74" i="59"/>
  <c r="V74" i="59"/>
  <c r="U74" i="59"/>
  <c r="T74" i="59"/>
  <c r="S74" i="59"/>
  <c r="R74" i="59"/>
  <c r="Q74" i="59"/>
  <c r="P74" i="59"/>
  <c r="O74" i="59"/>
  <c r="N74" i="59"/>
  <c r="M74" i="59"/>
  <c r="L74" i="59"/>
  <c r="K74" i="59"/>
  <c r="J74" i="59"/>
  <c r="I74" i="59"/>
  <c r="H74" i="59"/>
  <c r="G74" i="59"/>
  <c r="F74" i="59"/>
  <c r="E74" i="59"/>
  <c r="D74" i="59"/>
  <c r="C74" i="59"/>
  <c r="Z73" i="59"/>
  <c r="Y73" i="59"/>
  <c r="X73" i="59"/>
  <c r="W73" i="59"/>
  <c r="V73" i="59"/>
  <c r="U73" i="59"/>
  <c r="T73" i="59"/>
  <c r="S73" i="59"/>
  <c r="R73" i="59"/>
  <c r="Q73" i="59"/>
  <c r="P73" i="59"/>
  <c r="O73" i="59"/>
  <c r="N73" i="59"/>
  <c r="M73" i="59"/>
  <c r="L73" i="59"/>
  <c r="K73" i="59"/>
  <c r="J73" i="59"/>
  <c r="I73" i="59"/>
  <c r="H73" i="59"/>
  <c r="G73" i="59"/>
  <c r="F73" i="59"/>
  <c r="E73" i="59"/>
  <c r="D73" i="59"/>
  <c r="C73" i="59"/>
  <c r="Z72" i="59"/>
  <c r="Y72" i="59"/>
  <c r="X72" i="59"/>
  <c r="W72" i="59"/>
  <c r="V72" i="59"/>
  <c r="U72" i="59"/>
  <c r="T72" i="59"/>
  <c r="S72" i="59"/>
  <c r="R72" i="59"/>
  <c r="Q72" i="59"/>
  <c r="P72" i="59"/>
  <c r="O72" i="59"/>
  <c r="N72" i="59"/>
  <c r="M72" i="59"/>
  <c r="L72" i="59"/>
  <c r="K72" i="59"/>
  <c r="J72" i="59"/>
  <c r="I72" i="59"/>
  <c r="H72" i="59"/>
  <c r="G72" i="59"/>
  <c r="F72" i="59"/>
  <c r="E72" i="59"/>
  <c r="D72" i="59"/>
  <c r="C72" i="59"/>
  <c r="Z71" i="59"/>
  <c r="Y71" i="59"/>
  <c r="X71" i="59"/>
  <c r="W71" i="59"/>
  <c r="V71" i="59"/>
  <c r="U71" i="59"/>
  <c r="T71" i="59"/>
  <c r="S71" i="59"/>
  <c r="R71" i="59"/>
  <c r="Q71" i="59"/>
  <c r="P71" i="59"/>
  <c r="O71" i="59"/>
  <c r="N71" i="59"/>
  <c r="M71" i="59"/>
  <c r="L71" i="59"/>
  <c r="K71" i="59"/>
  <c r="J71" i="59"/>
  <c r="I71" i="59"/>
  <c r="H71" i="59"/>
  <c r="G71" i="59"/>
  <c r="F71" i="59"/>
  <c r="E71" i="59"/>
  <c r="D71" i="59"/>
  <c r="C71" i="59"/>
  <c r="Z70" i="59"/>
  <c r="Y70" i="59"/>
  <c r="X70" i="59"/>
  <c r="W70" i="59"/>
  <c r="V70" i="59"/>
  <c r="U70" i="59"/>
  <c r="T70" i="59"/>
  <c r="S70" i="59"/>
  <c r="R70" i="59"/>
  <c r="Q70" i="59"/>
  <c r="P70" i="59"/>
  <c r="O70" i="59"/>
  <c r="N70" i="59"/>
  <c r="M70" i="59"/>
  <c r="L70" i="59"/>
  <c r="K70" i="59"/>
  <c r="J70" i="59"/>
  <c r="I70" i="59"/>
  <c r="H70" i="59"/>
  <c r="G70" i="59"/>
  <c r="F70" i="59"/>
  <c r="E70" i="59"/>
  <c r="D70" i="59"/>
  <c r="C70" i="59"/>
  <c r="Z69" i="59"/>
  <c r="Y69" i="59"/>
  <c r="X69" i="59"/>
  <c r="W69" i="59"/>
  <c r="V69" i="59"/>
  <c r="U69" i="59"/>
  <c r="T69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G69" i="59"/>
  <c r="F69" i="59"/>
  <c r="E69" i="59"/>
  <c r="D69" i="59"/>
  <c r="C69" i="59"/>
  <c r="Z68" i="59"/>
  <c r="Y68" i="59"/>
  <c r="X68" i="59"/>
  <c r="W68" i="59"/>
  <c r="V68" i="59"/>
  <c r="U68" i="59"/>
  <c r="T68" i="59"/>
  <c r="S68" i="59"/>
  <c r="R68" i="59"/>
  <c r="Q68" i="59"/>
  <c r="P68" i="59"/>
  <c r="O68" i="59"/>
  <c r="N68" i="59"/>
  <c r="M68" i="59"/>
  <c r="L68" i="59"/>
  <c r="K68" i="59"/>
  <c r="J68" i="59"/>
  <c r="I68" i="59"/>
  <c r="H68" i="59"/>
  <c r="G68" i="59"/>
  <c r="F68" i="59"/>
  <c r="E68" i="59"/>
  <c r="D68" i="59"/>
  <c r="C68" i="59"/>
  <c r="Z67" i="59"/>
  <c r="Y67" i="59"/>
  <c r="X67" i="59"/>
  <c r="W67" i="59"/>
  <c r="V67" i="59"/>
  <c r="U67" i="59"/>
  <c r="T67" i="59"/>
  <c r="S67" i="59"/>
  <c r="R67" i="59"/>
  <c r="Q67" i="59"/>
  <c r="P67" i="59"/>
  <c r="O67" i="59"/>
  <c r="N67" i="59"/>
  <c r="M67" i="59"/>
  <c r="L67" i="59"/>
  <c r="K67" i="59"/>
  <c r="J67" i="59"/>
  <c r="I67" i="59"/>
  <c r="H67" i="59"/>
  <c r="G67" i="59"/>
  <c r="F67" i="59"/>
  <c r="E67" i="59"/>
  <c r="D67" i="59"/>
  <c r="C67" i="59"/>
  <c r="Z66" i="59"/>
  <c r="Y66" i="59"/>
  <c r="X66" i="59"/>
  <c r="W66" i="59"/>
  <c r="V66" i="59"/>
  <c r="U66" i="59"/>
  <c r="T66" i="59"/>
  <c r="S66" i="59"/>
  <c r="R66" i="59"/>
  <c r="Q66" i="59"/>
  <c r="P66" i="59"/>
  <c r="O66" i="59"/>
  <c r="N66" i="59"/>
  <c r="M66" i="59"/>
  <c r="L66" i="59"/>
  <c r="K66" i="59"/>
  <c r="J66" i="59"/>
  <c r="I66" i="59"/>
  <c r="H66" i="59"/>
  <c r="G66" i="59"/>
  <c r="F66" i="59"/>
  <c r="E66" i="59"/>
  <c r="D66" i="59"/>
  <c r="C66" i="59"/>
  <c r="Z65" i="59"/>
  <c r="Y65" i="59"/>
  <c r="X65" i="59"/>
  <c r="W65" i="59"/>
  <c r="V65" i="59"/>
  <c r="U65" i="59"/>
  <c r="T65" i="59"/>
  <c r="S65" i="59"/>
  <c r="R65" i="59"/>
  <c r="Q65" i="59"/>
  <c r="P65" i="59"/>
  <c r="O65" i="59"/>
  <c r="N65" i="59"/>
  <c r="M65" i="59"/>
  <c r="L65" i="59"/>
  <c r="K65" i="59"/>
  <c r="J65" i="59"/>
  <c r="I65" i="59"/>
  <c r="H65" i="59"/>
  <c r="G65" i="59"/>
  <c r="F65" i="59"/>
  <c r="E65" i="59"/>
  <c r="D65" i="59"/>
  <c r="C65" i="59"/>
  <c r="Z64" i="59"/>
  <c r="Y64" i="59"/>
  <c r="X64" i="59"/>
  <c r="W64" i="59"/>
  <c r="V64" i="59"/>
  <c r="U64" i="59"/>
  <c r="T64" i="59"/>
  <c r="S64" i="59"/>
  <c r="R64" i="59"/>
  <c r="Q64" i="59"/>
  <c r="P64" i="59"/>
  <c r="O64" i="59"/>
  <c r="N64" i="59"/>
  <c r="M64" i="59"/>
  <c r="L64" i="59"/>
  <c r="K64" i="59"/>
  <c r="J64" i="59"/>
  <c r="I64" i="59"/>
  <c r="H64" i="59"/>
  <c r="G64" i="59"/>
  <c r="F64" i="59"/>
  <c r="E64" i="59"/>
  <c r="D64" i="59"/>
  <c r="C64" i="59"/>
  <c r="Z63" i="59"/>
  <c r="Y63" i="59"/>
  <c r="X63" i="59"/>
  <c r="W63" i="59"/>
  <c r="V63" i="59"/>
  <c r="U63" i="59"/>
  <c r="T63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F63" i="59"/>
  <c r="E63" i="59"/>
  <c r="D63" i="59"/>
  <c r="C63" i="59"/>
  <c r="Z62" i="59"/>
  <c r="Y62" i="59"/>
  <c r="X62" i="59"/>
  <c r="W62" i="59"/>
  <c r="V62" i="59"/>
  <c r="U62" i="59"/>
  <c r="T62" i="59"/>
  <c r="S62" i="59"/>
  <c r="R62" i="59"/>
  <c r="Q62" i="59"/>
  <c r="P62" i="59"/>
  <c r="O62" i="59"/>
  <c r="N62" i="59"/>
  <c r="M62" i="59"/>
  <c r="L62" i="59"/>
  <c r="K62" i="59"/>
  <c r="J62" i="59"/>
  <c r="I62" i="59"/>
  <c r="H62" i="59"/>
  <c r="G62" i="59"/>
  <c r="F62" i="59"/>
  <c r="E62" i="59"/>
  <c r="D62" i="59"/>
  <c r="C62" i="59"/>
  <c r="Z61" i="59"/>
  <c r="Y61" i="59"/>
  <c r="X61" i="59"/>
  <c r="W61" i="59"/>
  <c r="V61" i="59"/>
  <c r="U61" i="59"/>
  <c r="T61" i="59"/>
  <c r="S61" i="59"/>
  <c r="R61" i="59"/>
  <c r="Q61" i="59"/>
  <c r="P61" i="59"/>
  <c r="O61" i="59"/>
  <c r="N61" i="59"/>
  <c r="M61" i="59"/>
  <c r="L61" i="59"/>
  <c r="K61" i="59"/>
  <c r="J61" i="59"/>
  <c r="I61" i="59"/>
  <c r="H61" i="59"/>
  <c r="G61" i="59"/>
  <c r="F61" i="59"/>
  <c r="E61" i="59"/>
  <c r="D61" i="59"/>
  <c r="C61" i="59"/>
  <c r="Z81" i="58"/>
  <c r="Y81" i="58"/>
  <c r="X81" i="58"/>
  <c r="W81" i="58"/>
  <c r="V81" i="58"/>
  <c r="U81" i="58"/>
  <c r="T81" i="58"/>
  <c r="S81" i="58"/>
  <c r="R81" i="58"/>
  <c r="Q81" i="58"/>
  <c r="P81" i="58"/>
  <c r="O81" i="58"/>
  <c r="N81" i="58"/>
  <c r="M81" i="58"/>
  <c r="L81" i="58"/>
  <c r="K81" i="58"/>
  <c r="J81" i="58"/>
  <c r="I81" i="58"/>
  <c r="H81" i="58"/>
  <c r="G81" i="58"/>
  <c r="F81" i="58"/>
  <c r="E81" i="58"/>
  <c r="D81" i="58"/>
  <c r="C81" i="58"/>
  <c r="Z80" i="58"/>
  <c r="Y80" i="58"/>
  <c r="X80" i="58"/>
  <c r="W80" i="58"/>
  <c r="V80" i="58"/>
  <c r="U80" i="58"/>
  <c r="T80" i="58"/>
  <c r="S80" i="58"/>
  <c r="R80" i="58"/>
  <c r="Q80" i="58"/>
  <c r="P80" i="58"/>
  <c r="O80" i="58"/>
  <c r="N80" i="58"/>
  <c r="M80" i="58"/>
  <c r="L80" i="58"/>
  <c r="K80" i="58"/>
  <c r="J80" i="58"/>
  <c r="I80" i="58"/>
  <c r="H80" i="58"/>
  <c r="G80" i="58"/>
  <c r="F80" i="58"/>
  <c r="E80" i="58"/>
  <c r="D80" i="58"/>
  <c r="C80" i="58"/>
  <c r="Z79" i="58"/>
  <c r="Y79" i="58"/>
  <c r="X79" i="58"/>
  <c r="W79" i="58"/>
  <c r="V79" i="58"/>
  <c r="U79" i="58"/>
  <c r="T79" i="58"/>
  <c r="S79" i="58"/>
  <c r="R79" i="58"/>
  <c r="Q79" i="58"/>
  <c r="P79" i="58"/>
  <c r="O79" i="58"/>
  <c r="N79" i="58"/>
  <c r="M79" i="58"/>
  <c r="L79" i="58"/>
  <c r="K79" i="58"/>
  <c r="J79" i="58"/>
  <c r="I79" i="58"/>
  <c r="H79" i="58"/>
  <c r="G79" i="58"/>
  <c r="F79" i="58"/>
  <c r="E79" i="58"/>
  <c r="D79" i="58"/>
  <c r="C79" i="58"/>
  <c r="Z78" i="58"/>
  <c r="Y78" i="58"/>
  <c r="X78" i="58"/>
  <c r="W78" i="58"/>
  <c r="V78" i="58"/>
  <c r="U78" i="58"/>
  <c r="T78" i="58"/>
  <c r="S78" i="58"/>
  <c r="R78" i="58"/>
  <c r="Q78" i="58"/>
  <c r="P78" i="58"/>
  <c r="O78" i="58"/>
  <c r="N78" i="58"/>
  <c r="M78" i="58"/>
  <c r="L78" i="58"/>
  <c r="K78" i="58"/>
  <c r="J78" i="58"/>
  <c r="I78" i="58"/>
  <c r="H78" i="58"/>
  <c r="G78" i="58"/>
  <c r="F78" i="58"/>
  <c r="E78" i="58"/>
  <c r="D78" i="58"/>
  <c r="C78" i="58"/>
  <c r="Z77" i="58"/>
  <c r="Y77" i="58"/>
  <c r="X77" i="58"/>
  <c r="W77" i="58"/>
  <c r="V77" i="58"/>
  <c r="U77" i="58"/>
  <c r="T77" i="58"/>
  <c r="S77" i="58"/>
  <c r="R77" i="58"/>
  <c r="Q77" i="58"/>
  <c r="P77" i="58"/>
  <c r="O77" i="58"/>
  <c r="N77" i="58"/>
  <c r="M77" i="58"/>
  <c r="L77" i="58"/>
  <c r="K77" i="58"/>
  <c r="J77" i="58"/>
  <c r="I77" i="58"/>
  <c r="H77" i="58"/>
  <c r="G77" i="58"/>
  <c r="F77" i="58"/>
  <c r="E77" i="58"/>
  <c r="D77" i="58"/>
  <c r="C77" i="58"/>
  <c r="Z76" i="58"/>
  <c r="Y76" i="58"/>
  <c r="X76" i="58"/>
  <c r="W76" i="58"/>
  <c r="V76" i="58"/>
  <c r="U76" i="58"/>
  <c r="T76" i="58"/>
  <c r="S76" i="58"/>
  <c r="R76" i="58"/>
  <c r="Q76" i="58"/>
  <c r="P76" i="58"/>
  <c r="O76" i="58"/>
  <c r="N76" i="58"/>
  <c r="M76" i="58"/>
  <c r="L76" i="58"/>
  <c r="K76" i="58"/>
  <c r="J76" i="58"/>
  <c r="I76" i="58"/>
  <c r="H76" i="58"/>
  <c r="G76" i="58"/>
  <c r="F76" i="58"/>
  <c r="E76" i="58"/>
  <c r="D76" i="58"/>
  <c r="C76" i="58"/>
  <c r="Z75" i="58"/>
  <c r="Y75" i="58"/>
  <c r="X75" i="58"/>
  <c r="W75" i="58"/>
  <c r="V75" i="58"/>
  <c r="U75" i="58"/>
  <c r="T75" i="58"/>
  <c r="S75" i="58"/>
  <c r="R75" i="58"/>
  <c r="Q75" i="58"/>
  <c r="P75" i="58"/>
  <c r="O75" i="58"/>
  <c r="N75" i="58"/>
  <c r="M75" i="58"/>
  <c r="L75" i="58"/>
  <c r="K75" i="58"/>
  <c r="J75" i="58"/>
  <c r="I75" i="58"/>
  <c r="H75" i="58"/>
  <c r="G75" i="58"/>
  <c r="F75" i="58"/>
  <c r="E75" i="58"/>
  <c r="D75" i="58"/>
  <c r="C75" i="58"/>
  <c r="Z74" i="58"/>
  <c r="Y74" i="58"/>
  <c r="X74" i="58"/>
  <c r="W74" i="58"/>
  <c r="V74" i="58"/>
  <c r="U74" i="58"/>
  <c r="T74" i="58"/>
  <c r="S74" i="58"/>
  <c r="R74" i="58"/>
  <c r="Q74" i="58"/>
  <c r="P74" i="58"/>
  <c r="O74" i="58"/>
  <c r="N74" i="58"/>
  <c r="M74" i="58"/>
  <c r="L74" i="58"/>
  <c r="K74" i="58"/>
  <c r="J74" i="58"/>
  <c r="I74" i="58"/>
  <c r="H74" i="58"/>
  <c r="G74" i="58"/>
  <c r="F74" i="58"/>
  <c r="E74" i="58"/>
  <c r="D74" i="58"/>
  <c r="C74" i="58"/>
  <c r="Z73" i="58"/>
  <c r="Y73" i="58"/>
  <c r="X73" i="58"/>
  <c r="W73" i="58"/>
  <c r="V73" i="58"/>
  <c r="U73" i="58"/>
  <c r="T73" i="58"/>
  <c r="S73" i="58"/>
  <c r="R73" i="58"/>
  <c r="Q73" i="58"/>
  <c r="P73" i="58"/>
  <c r="O73" i="58"/>
  <c r="N73" i="58"/>
  <c r="M73" i="58"/>
  <c r="L73" i="58"/>
  <c r="K73" i="58"/>
  <c r="J73" i="58"/>
  <c r="I73" i="58"/>
  <c r="H73" i="58"/>
  <c r="G73" i="58"/>
  <c r="F73" i="58"/>
  <c r="E73" i="58"/>
  <c r="D73" i="58"/>
  <c r="C73" i="58"/>
  <c r="Z72" i="58"/>
  <c r="Y72" i="58"/>
  <c r="X72" i="58"/>
  <c r="W72" i="58"/>
  <c r="V72" i="58"/>
  <c r="U72" i="58"/>
  <c r="T72" i="58"/>
  <c r="S72" i="58"/>
  <c r="R72" i="58"/>
  <c r="Q72" i="58"/>
  <c r="P72" i="58"/>
  <c r="O72" i="58"/>
  <c r="N72" i="58"/>
  <c r="M72" i="58"/>
  <c r="L72" i="58"/>
  <c r="K72" i="58"/>
  <c r="J72" i="58"/>
  <c r="I72" i="58"/>
  <c r="H72" i="58"/>
  <c r="G72" i="58"/>
  <c r="F72" i="58"/>
  <c r="E72" i="58"/>
  <c r="D72" i="58"/>
  <c r="C72" i="58"/>
  <c r="Z71" i="58"/>
  <c r="Y71" i="58"/>
  <c r="X71" i="58"/>
  <c r="W71" i="58"/>
  <c r="V71" i="58"/>
  <c r="U71" i="58"/>
  <c r="T71" i="58"/>
  <c r="S71" i="58"/>
  <c r="R71" i="58"/>
  <c r="Q71" i="58"/>
  <c r="P71" i="58"/>
  <c r="O71" i="58"/>
  <c r="N71" i="58"/>
  <c r="M71" i="58"/>
  <c r="L71" i="58"/>
  <c r="K71" i="58"/>
  <c r="J71" i="58"/>
  <c r="I71" i="58"/>
  <c r="H71" i="58"/>
  <c r="G71" i="58"/>
  <c r="F71" i="58"/>
  <c r="E71" i="58"/>
  <c r="D71" i="58"/>
  <c r="C71" i="58"/>
  <c r="Z70" i="58"/>
  <c r="Y70" i="58"/>
  <c r="X70" i="58"/>
  <c r="W70" i="58"/>
  <c r="V70" i="58"/>
  <c r="U70" i="58"/>
  <c r="T70" i="58"/>
  <c r="S70" i="58"/>
  <c r="R70" i="58"/>
  <c r="Q70" i="58"/>
  <c r="P70" i="58"/>
  <c r="O70" i="58"/>
  <c r="N70" i="58"/>
  <c r="M70" i="58"/>
  <c r="L70" i="58"/>
  <c r="K70" i="58"/>
  <c r="J70" i="58"/>
  <c r="I70" i="58"/>
  <c r="H70" i="58"/>
  <c r="G70" i="58"/>
  <c r="F70" i="58"/>
  <c r="E70" i="58"/>
  <c r="D70" i="58"/>
  <c r="C70" i="58"/>
  <c r="Z69" i="58"/>
  <c r="Y69" i="58"/>
  <c r="X69" i="58"/>
  <c r="W69" i="58"/>
  <c r="V69" i="58"/>
  <c r="U69" i="58"/>
  <c r="T69" i="58"/>
  <c r="S69" i="58"/>
  <c r="R69" i="58"/>
  <c r="Q69" i="58"/>
  <c r="P69" i="58"/>
  <c r="O69" i="58"/>
  <c r="N69" i="58"/>
  <c r="M69" i="58"/>
  <c r="L69" i="58"/>
  <c r="K69" i="58"/>
  <c r="J69" i="58"/>
  <c r="I69" i="58"/>
  <c r="H69" i="58"/>
  <c r="G69" i="58"/>
  <c r="F69" i="58"/>
  <c r="E69" i="58"/>
  <c r="D69" i="58"/>
  <c r="C69" i="58"/>
  <c r="Z68" i="58"/>
  <c r="Y68" i="58"/>
  <c r="X68" i="58"/>
  <c r="W68" i="58"/>
  <c r="V68" i="58"/>
  <c r="U68" i="58"/>
  <c r="T68" i="58"/>
  <c r="S68" i="58"/>
  <c r="R68" i="58"/>
  <c r="Q68" i="58"/>
  <c r="P68" i="58"/>
  <c r="O68" i="58"/>
  <c r="N68" i="58"/>
  <c r="M68" i="58"/>
  <c r="L68" i="58"/>
  <c r="K68" i="58"/>
  <c r="J68" i="58"/>
  <c r="I68" i="58"/>
  <c r="H68" i="58"/>
  <c r="G68" i="58"/>
  <c r="F68" i="58"/>
  <c r="E68" i="58"/>
  <c r="D68" i="58"/>
  <c r="C68" i="58"/>
  <c r="Z67" i="58"/>
  <c r="Y67" i="58"/>
  <c r="X67" i="58"/>
  <c r="W67" i="58"/>
  <c r="V67" i="58"/>
  <c r="U67" i="58"/>
  <c r="T67" i="58"/>
  <c r="S67" i="58"/>
  <c r="R67" i="58"/>
  <c r="Q67" i="58"/>
  <c r="P67" i="58"/>
  <c r="O67" i="58"/>
  <c r="N67" i="58"/>
  <c r="M67" i="58"/>
  <c r="L67" i="58"/>
  <c r="K67" i="58"/>
  <c r="J67" i="58"/>
  <c r="I67" i="58"/>
  <c r="H67" i="58"/>
  <c r="G67" i="58"/>
  <c r="F67" i="58"/>
  <c r="E67" i="58"/>
  <c r="D67" i="58"/>
  <c r="C67" i="58"/>
  <c r="Z66" i="58"/>
  <c r="Y66" i="58"/>
  <c r="X66" i="58"/>
  <c r="W66" i="58"/>
  <c r="V66" i="58"/>
  <c r="U66" i="58"/>
  <c r="T66" i="58"/>
  <c r="S66" i="58"/>
  <c r="R66" i="58"/>
  <c r="Q66" i="58"/>
  <c r="P66" i="58"/>
  <c r="O66" i="58"/>
  <c r="N66" i="58"/>
  <c r="M66" i="58"/>
  <c r="L66" i="58"/>
  <c r="K66" i="58"/>
  <c r="J66" i="58"/>
  <c r="I66" i="58"/>
  <c r="H66" i="58"/>
  <c r="G66" i="58"/>
  <c r="F66" i="58"/>
  <c r="E66" i="58"/>
  <c r="D66" i="58"/>
  <c r="C66" i="58"/>
  <c r="Z65" i="58"/>
  <c r="Y65" i="58"/>
  <c r="X65" i="58"/>
  <c r="W65" i="58"/>
  <c r="V65" i="58"/>
  <c r="U65" i="58"/>
  <c r="T65" i="58"/>
  <c r="S65" i="58"/>
  <c r="R65" i="58"/>
  <c r="Q65" i="58"/>
  <c r="P65" i="58"/>
  <c r="O65" i="58"/>
  <c r="N65" i="58"/>
  <c r="M65" i="58"/>
  <c r="L65" i="58"/>
  <c r="K65" i="58"/>
  <c r="J65" i="58"/>
  <c r="I65" i="58"/>
  <c r="H65" i="58"/>
  <c r="G65" i="58"/>
  <c r="F65" i="58"/>
  <c r="E65" i="58"/>
  <c r="D65" i="58"/>
  <c r="C65" i="58"/>
  <c r="Z64" i="58"/>
  <c r="Y64" i="58"/>
  <c r="X64" i="58"/>
  <c r="W64" i="58"/>
  <c r="V64" i="58"/>
  <c r="U64" i="58"/>
  <c r="T64" i="58"/>
  <c r="S64" i="58"/>
  <c r="R64" i="58"/>
  <c r="Q64" i="58"/>
  <c r="P64" i="58"/>
  <c r="O64" i="58"/>
  <c r="N64" i="58"/>
  <c r="M64" i="58"/>
  <c r="L64" i="58"/>
  <c r="K64" i="58"/>
  <c r="J64" i="58"/>
  <c r="I64" i="58"/>
  <c r="H64" i="58"/>
  <c r="G64" i="58"/>
  <c r="F64" i="58"/>
  <c r="E64" i="58"/>
  <c r="D64" i="58"/>
  <c r="C64" i="58"/>
  <c r="Z63" i="58"/>
  <c r="Y63" i="58"/>
  <c r="X63" i="58"/>
  <c r="W63" i="58"/>
  <c r="V63" i="58"/>
  <c r="U63" i="58"/>
  <c r="T63" i="58"/>
  <c r="S63" i="58"/>
  <c r="R63" i="58"/>
  <c r="Q63" i="58"/>
  <c r="P63" i="58"/>
  <c r="O63" i="58"/>
  <c r="N63" i="58"/>
  <c r="M63" i="58"/>
  <c r="L63" i="58"/>
  <c r="K63" i="58"/>
  <c r="J63" i="58"/>
  <c r="I63" i="58"/>
  <c r="H63" i="58"/>
  <c r="G63" i="58"/>
  <c r="F63" i="58"/>
  <c r="E63" i="58"/>
  <c r="D63" i="58"/>
  <c r="C63" i="58"/>
  <c r="Z62" i="58"/>
  <c r="Y62" i="58"/>
  <c r="X62" i="58"/>
  <c r="W62" i="58"/>
  <c r="V62" i="58"/>
  <c r="U62" i="58"/>
  <c r="T62" i="58"/>
  <c r="S62" i="58"/>
  <c r="R62" i="58"/>
  <c r="Q62" i="58"/>
  <c r="P62" i="58"/>
  <c r="O62" i="58"/>
  <c r="N62" i="58"/>
  <c r="M62" i="58"/>
  <c r="L62" i="58"/>
  <c r="K62" i="58"/>
  <c r="J62" i="58"/>
  <c r="I62" i="58"/>
  <c r="H62" i="58"/>
  <c r="G62" i="58"/>
  <c r="F62" i="58"/>
  <c r="E62" i="58"/>
  <c r="D62" i="58"/>
  <c r="C62" i="58"/>
  <c r="Z61" i="58"/>
  <c r="Y61" i="58"/>
  <c r="X61" i="58"/>
  <c r="W61" i="58"/>
  <c r="V61" i="58"/>
  <c r="U61" i="58"/>
  <c r="T61" i="58"/>
  <c r="S61" i="58"/>
  <c r="R61" i="58"/>
  <c r="Q61" i="58"/>
  <c r="P61" i="58"/>
  <c r="O61" i="58"/>
  <c r="N61" i="58"/>
  <c r="M61" i="58"/>
  <c r="L61" i="58"/>
  <c r="K61" i="58"/>
  <c r="J61" i="58"/>
  <c r="I61" i="58"/>
  <c r="H61" i="58"/>
  <c r="G61" i="58"/>
  <c r="F61" i="58"/>
  <c r="E61" i="58"/>
  <c r="D61" i="58"/>
  <c r="C61" i="58"/>
  <c r="Z60" i="58"/>
  <c r="Y60" i="58"/>
  <c r="X60" i="58"/>
  <c r="W60" i="58"/>
  <c r="V60" i="58"/>
  <c r="U60" i="58"/>
  <c r="T60" i="58"/>
  <c r="S60" i="58"/>
  <c r="R60" i="58"/>
  <c r="Q60" i="58"/>
  <c r="P60" i="58"/>
  <c r="O60" i="58"/>
  <c r="N60" i="58"/>
  <c r="M60" i="58"/>
  <c r="L60" i="58"/>
  <c r="K60" i="58"/>
  <c r="J60" i="58"/>
  <c r="I60" i="58"/>
  <c r="H60" i="58"/>
  <c r="G60" i="58"/>
  <c r="F60" i="58"/>
  <c r="E60" i="58"/>
  <c r="D60" i="58"/>
  <c r="C60" i="58"/>
  <c r="Z59" i="58"/>
  <c r="Y59" i="58"/>
  <c r="X59" i="58"/>
  <c r="W59" i="58"/>
  <c r="V59" i="58"/>
  <c r="U59" i="58"/>
  <c r="T59" i="58"/>
  <c r="S59" i="58"/>
  <c r="R59" i="58"/>
  <c r="Q59" i="58"/>
  <c r="P59" i="58"/>
  <c r="O59" i="58"/>
  <c r="N59" i="58"/>
  <c r="M59" i="58"/>
  <c r="L59" i="58"/>
  <c r="K59" i="58"/>
  <c r="J59" i="58"/>
  <c r="I59" i="58"/>
  <c r="H59" i="58"/>
  <c r="G59" i="58"/>
  <c r="F59" i="58"/>
  <c r="E59" i="58"/>
  <c r="D59" i="58"/>
  <c r="C59" i="58"/>
  <c r="W29" i="55"/>
  <c r="V29" i="55"/>
  <c r="U29" i="55"/>
  <c r="T29" i="55"/>
  <c r="S29" i="55"/>
  <c r="R29" i="55"/>
  <c r="Q29" i="55"/>
  <c r="P29" i="55"/>
  <c r="O29" i="55"/>
  <c r="N29" i="55"/>
  <c r="M29" i="55"/>
  <c r="L29" i="55"/>
  <c r="K29" i="55"/>
  <c r="J29" i="55"/>
  <c r="I29" i="55"/>
  <c r="H29" i="55"/>
  <c r="G29" i="55"/>
  <c r="F29" i="55"/>
  <c r="E29" i="55"/>
  <c r="D29" i="55"/>
  <c r="C29" i="55"/>
  <c r="B29" i="55"/>
  <c r="L24" i="55"/>
  <c r="K24" i="55"/>
  <c r="J24" i="55"/>
  <c r="I24" i="55"/>
  <c r="H24" i="55"/>
  <c r="G24" i="55"/>
  <c r="F24" i="55"/>
  <c r="E24" i="55"/>
  <c r="D24" i="55"/>
  <c r="C24" i="55"/>
  <c r="B24" i="55"/>
  <c r="Y17" i="55"/>
  <c r="X17" i="55"/>
  <c r="W17" i="55"/>
  <c r="V17" i="55"/>
  <c r="U17" i="55"/>
  <c r="T17" i="55"/>
  <c r="S17" i="55"/>
  <c r="R17" i="55"/>
  <c r="Q17" i="55"/>
  <c r="P17" i="55"/>
  <c r="O17" i="55"/>
  <c r="N17" i="55"/>
  <c r="M17" i="55"/>
  <c r="L17" i="55"/>
  <c r="K17" i="55"/>
  <c r="J17" i="55"/>
  <c r="I17" i="55"/>
  <c r="H17" i="55"/>
  <c r="G17" i="55"/>
  <c r="F17" i="55"/>
  <c r="E17" i="55"/>
  <c r="D17" i="55"/>
  <c r="C17" i="55"/>
  <c r="B17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B16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G15" i="55"/>
  <c r="F15" i="55"/>
  <c r="E15" i="55"/>
  <c r="D15" i="55"/>
  <c r="C15" i="55"/>
  <c r="B15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H14" i="55"/>
  <c r="G14" i="55"/>
  <c r="F14" i="55"/>
  <c r="E14" i="55"/>
  <c r="D14" i="55"/>
  <c r="C14" i="55"/>
  <c r="B14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G13" i="55"/>
  <c r="F13" i="55"/>
  <c r="E13" i="55"/>
  <c r="D13" i="55"/>
  <c r="C13" i="55"/>
  <c r="B13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G12" i="55"/>
  <c r="F12" i="55"/>
  <c r="E12" i="55"/>
  <c r="D12" i="55"/>
  <c r="C12" i="55"/>
  <c r="B12" i="55"/>
</calcChain>
</file>

<file path=xl/comments1.xml><?xml version="1.0" encoding="utf-8"?>
<comments xmlns="http://schemas.openxmlformats.org/spreadsheetml/2006/main">
  <authors>
    <author>統計處</author>
    <author>st406</author>
  </authors>
  <commentList>
    <comment ref="A15" authorId="0" shapeId="0">
      <text>
        <r>
          <rPr>
            <b/>
            <sz val="9"/>
            <color indexed="81"/>
            <rFont val="細明體"/>
            <family val="3"/>
            <charset val="136"/>
          </rPr>
          <t>台南市修正１０５年服務人次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1" shapeId="0">
      <text>
        <r>
          <rPr>
            <b/>
            <sz val="9"/>
            <color indexed="81"/>
            <rFont val="Tahoma"/>
            <family val="2"/>
          </rPr>
          <t>10705</t>
        </r>
        <r>
          <rPr>
            <b/>
            <sz val="9"/>
            <color indexed="81"/>
            <rFont val="細明體"/>
            <family val="3"/>
            <charset val="136"/>
          </rPr>
          <t>臺南市及屏東縣修送餐人數</t>
        </r>
      </text>
    </comment>
  </commentList>
</comments>
</file>

<file path=xl/comments2.xml><?xml version="1.0" encoding="utf-8"?>
<comments xmlns="http://schemas.openxmlformats.org/spreadsheetml/2006/main">
  <authors>
    <author>統計處黃素滿</author>
  </authors>
  <commentList>
    <comment ref="A3" authorId="0" shapeId="0">
      <text>
        <r>
          <rPr>
            <sz val="9"/>
            <color indexed="81"/>
            <rFont val="細明體"/>
            <family val="3"/>
            <charset val="136"/>
          </rPr>
          <t>109.7苗栗縣修正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st406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10705</t>
        </r>
        <r>
          <rPr>
            <b/>
            <sz val="9"/>
            <color indexed="81"/>
            <rFont val="細明體"/>
            <family val="3"/>
            <charset val="136"/>
          </rPr>
          <t>臺南市及屏東縣修送餐人數</t>
        </r>
      </text>
    </comment>
  </commentList>
</comments>
</file>

<file path=xl/comments4.xml><?xml version="1.0" encoding="utf-8"?>
<comments xmlns="http://schemas.openxmlformats.org/spreadsheetml/2006/main">
  <authors>
    <author>st406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1061013</t>
        </r>
        <r>
          <rPr>
            <b/>
            <sz val="9"/>
            <color indexed="81"/>
            <rFont val="細明體"/>
            <family val="3"/>
            <charset val="136"/>
          </rPr>
          <t>台南市修服務人次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10509</t>
        </r>
        <r>
          <rPr>
            <b/>
            <sz val="9"/>
            <color indexed="81"/>
            <rFont val="細明體"/>
            <family val="3"/>
            <charset val="136"/>
          </rPr>
          <t>澎湖縣修正</t>
        </r>
      </text>
    </comment>
  </commentList>
</comments>
</file>

<file path=xl/sharedStrings.xml><?xml version="1.0" encoding="utf-8"?>
<sst xmlns="http://schemas.openxmlformats.org/spreadsheetml/2006/main" count="1717" uniqueCount="316">
  <si>
    <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5" type="noConversion"/>
  </si>
  <si>
    <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2" type="noConversion"/>
  </si>
  <si>
    <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2" type="noConversion"/>
  </si>
  <si>
    <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2" type="noConversion"/>
  </si>
  <si>
    <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2" type="noConversion"/>
  </si>
  <si>
    <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2014</t>
    </r>
    <phoneticPr fontId="2" type="noConversion"/>
  </si>
  <si>
    <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2015</t>
    </r>
    <phoneticPr fontId="2" type="noConversion"/>
  </si>
  <si>
    <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2016</t>
    </r>
    <phoneticPr fontId="2" type="noConversion"/>
  </si>
  <si>
    <r>
      <rPr>
        <sz val="11"/>
        <rFont val="標楷體"/>
        <family val="4"/>
        <charset val="136"/>
      </rPr>
      <t xml:space="preserve">計
</t>
    </r>
    <r>
      <rPr>
        <sz val="11"/>
        <rFont val="Times New Roman"/>
        <family val="1"/>
      </rPr>
      <t>Subtotal</t>
    </r>
    <phoneticPr fontId="2" type="noConversion"/>
  </si>
  <si>
    <r>
      <rPr>
        <sz val="11"/>
        <rFont val="標楷體"/>
        <family val="4"/>
        <charset val="136"/>
      </rPr>
      <t xml:space="preserve">男
</t>
    </r>
    <r>
      <rPr>
        <sz val="11"/>
        <rFont val="Times New Roman"/>
        <family val="1"/>
      </rPr>
      <t>Male</t>
    </r>
    <phoneticPr fontId="2" type="noConversion"/>
  </si>
  <si>
    <r>
      <rPr>
        <sz val="11"/>
        <rFont val="標楷體"/>
        <family val="4"/>
        <charset val="136"/>
      </rPr>
      <t xml:space="preserve">女
</t>
    </r>
    <r>
      <rPr>
        <sz val="11"/>
        <rFont val="Times New Roman"/>
        <family val="1"/>
      </rPr>
      <t>Female</t>
    </r>
    <phoneticPr fontId="2" type="noConversion"/>
  </si>
  <si>
    <r>
      <t>108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, 2019</t>
    </r>
    <r>
      <rPr>
        <sz val="12"/>
        <color indexed="8"/>
        <rFont val="新細明體"/>
        <family val="1"/>
        <charset val="136"/>
      </rPr>
      <t/>
    </r>
    <phoneticPr fontId="2" type="noConversion"/>
  </si>
  <si>
    <r>
      <t>109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, 2020</t>
    </r>
    <phoneticPr fontId="2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</si>
  <si>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12"/>
        <color theme="1"/>
        <rFont val="新細明體"/>
        <family val="2"/>
        <charset val="136"/>
        <scheme val="minor"/>
      </rPr>
      <t xml:space="preserve"> </t>
    </r>
    <phoneticPr fontId="5" type="noConversion"/>
  </si>
  <si>
    <t>Source: County and Government.</t>
    <phoneticPr fontId="2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</si>
  <si>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2021/4/30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</si>
  <si>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2" type="noConversion"/>
  </si>
  <si>
    <r>
      <rPr>
        <sz val="12"/>
        <rFont val="標楷體"/>
        <family val="4"/>
        <charset val="136"/>
      </rPr>
      <t>區域別</t>
    </r>
    <phoneticPr fontId="5" type="noConversion"/>
  </si>
  <si>
    <r>
      <rPr>
        <sz val="12"/>
        <rFont val="標楷體"/>
        <family val="4"/>
        <charset val="136"/>
      </rPr>
      <t>期底服務個案人數</t>
    </r>
    <phoneticPr fontId="5" type="noConversion"/>
  </si>
  <si>
    <r>
      <rPr>
        <sz val="12"/>
        <rFont val="標楷體"/>
        <family val="4"/>
        <charset val="136"/>
      </rPr>
      <t>本期服務人數</t>
    </r>
    <phoneticPr fontId="5" type="noConversion"/>
  </si>
  <si>
    <r>
      <rPr>
        <sz val="12"/>
        <rFont val="標楷體"/>
        <family val="4"/>
        <charset val="136"/>
      </rPr>
      <t>總計</t>
    </r>
    <phoneticPr fontId="5" type="noConversion"/>
  </si>
  <si>
    <r>
      <rPr>
        <sz val="12"/>
        <rFont val="標楷體"/>
        <family val="4"/>
        <charset val="136"/>
      </rPr>
      <t>具原住民身分</t>
    </r>
    <phoneticPr fontId="5" type="noConversion"/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</si>
  <si>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Subtotal</t>
    </r>
    <phoneticPr fontId="2" type="noConversion"/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</si>
  <si>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</si>
  <si>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</si>
  <si>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2"/>
        <rFont val="標楷體"/>
        <family val="4"/>
        <charset val="136"/>
      </rPr>
      <t>總計</t>
    </r>
    <phoneticPr fontId="2" type="noConversion"/>
  </si>
  <si>
    <t>Total</t>
    <phoneticPr fontId="2" type="noConversion"/>
  </si>
  <si>
    <r>
      <rPr>
        <sz val="12"/>
        <rFont val="標楷體"/>
        <family val="4"/>
        <charset val="136"/>
      </rPr>
      <t>新北市</t>
    </r>
    <phoneticPr fontId="5" type="noConversion"/>
  </si>
  <si>
    <t>New Taipei City</t>
    <phoneticPr fontId="2" type="noConversion"/>
  </si>
  <si>
    <r>
      <rPr>
        <sz val="12"/>
        <rFont val="標楷體"/>
        <family val="4"/>
        <charset val="136"/>
      </rPr>
      <t>臺北市</t>
    </r>
    <phoneticPr fontId="5" type="noConversion"/>
  </si>
  <si>
    <t>Taipei City</t>
    <phoneticPr fontId="2" type="noConversion"/>
  </si>
  <si>
    <r>
      <rPr>
        <sz val="12"/>
        <rFont val="標楷體"/>
        <family val="4"/>
        <charset val="136"/>
      </rPr>
      <t>桃園市</t>
    </r>
    <phoneticPr fontId="5" type="noConversion"/>
  </si>
  <si>
    <t>Taoyuan City</t>
    <phoneticPr fontId="2" type="noConversion"/>
  </si>
  <si>
    <r>
      <rPr>
        <sz val="12"/>
        <rFont val="標楷體"/>
        <family val="4"/>
        <charset val="136"/>
      </rPr>
      <t>臺中市</t>
    </r>
    <phoneticPr fontId="5" type="noConversion"/>
  </si>
  <si>
    <t>Taichung City</t>
    <phoneticPr fontId="2" type="noConversion"/>
  </si>
  <si>
    <r>
      <rPr>
        <sz val="12"/>
        <rFont val="標楷體"/>
        <family val="4"/>
        <charset val="136"/>
      </rPr>
      <t>臺南市</t>
    </r>
    <phoneticPr fontId="5" type="noConversion"/>
  </si>
  <si>
    <t>Tainan City</t>
    <phoneticPr fontId="2" type="noConversion"/>
  </si>
  <si>
    <r>
      <rPr>
        <sz val="12"/>
        <rFont val="標楷體"/>
        <family val="4"/>
        <charset val="136"/>
      </rPr>
      <t>高雄市</t>
    </r>
    <phoneticPr fontId="5" type="noConversion"/>
  </si>
  <si>
    <t>Kaohsiung City</t>
    <phoneticPr fontId="2" type="noConversion"/>
  </si>
  <si>
    <r>
      <rPr>
        <sz val="12"/>
        <color indexed="8"/>
        <rFont val="標楷體"/>
        <family val="4"/>
        <charset val="136"/>
      </rPr>
      <t>　宜蘭縣</t>
    </r>
  </si>
  <si>
    <t>Yilan County</t>
  </si>
  <si>
    <r>
      <rPr>
        <sz val="12"/>
        <color indexed="8"/>
        <rFont val="標楷體"/>
        <family val="4"/>
        <charset val="136"/>
      </rPr>
      <t>　新竹縣</t>
    </r>
  </si>
  <si>
    <t>Hsinchu County</t>
  </si>
  <si>
    <r>
      <rPr>
        <sz val="12"/>
        <color indexed="8"/>
        <rFont val="標楷體"/>
        <family val="4"/>
        <charset val="136"/>
      </rPr>
      <t>　苗栗縣</t>
    </r>
  </si>
  <si>
    <t>Miaoli County</t>
  </si>
  <si>
    <r>
      <rPr>
        <sz val="12"/>
        <color indexed="8"/>
        <rFont val="標楷體"/>
        <family val="4"/>
        <charset val="136"/>
      </rPr>
      <t>　彰化縣</t>
    </r>
  </si>
  <si>
    <t>Changhua County</t>
  </si>
  <si>
    <r>
      <rPr>
        <sz val="12"/>
        <color indexed="8"/>
        <rFont val="標楷體"/>
        <family val="4"/>
        <charset val="136"/>
      </rPr>
      <t>　南投縣</t>
    </r>
  </si>
  <si>
    <t>Nantou County</t>
  </si>
  <si>
    <r>
      <rPr>
        <sz val="12"/>
        <color indexed="8"/>
        <rFont val="標楷體"/>
        <family val="4"/>
        <charset val="136"/>
      </rPr>
      <t>　雲林縣</t>
    </r>
  </si>
  <si>
    <t>Yunlin County</t>
  </si>
  <si>
    <r>
      <rPr>
        <sz val="12"/>
        <color indexed="8"/>
        <rFont val="標楷體"/>
        <family val="4"/>
        <charset val="136"/>
      </rPr>
      <t>　嘉義縣</t>
    </r>
  </si>
  <si>
    <t>Chiayi County</t>
  </si>
  <si>
    <r>
      <rPr>
        <sz val="12"/>
        <color indexed="8"/>
        <rFont val="標楷體"/>
        <family val="4"/>
        <charset val="136"/>
      </rPr>
      <t>　屏東縣</t>
    </r>
  </si>
  <si>
    <t>Pingtung County</t>
  </si>
  <si>
    <r>
      <rPr>
        <sz val="12"/>
        <color indexed="8"/>
        <rFont val="標楷體"/>
        <family val="4"/>
        <charset val="136"/>
      </rPr>
      <t>　臺東縣</t>
    </r>
  </si>
  <si>
    <t>Taitung County</t>
  </si>
  <si>
    <r>
      <rPr>
        <sz val="12"/>
        <color indexed="8"/>
        <rFont val="標楷體"/>
        <family val="4"/>
        <charset val="136"/>
      </rPr>
      <t>　花蓮縣</t>
    </r>
  </si>
  <si>
    <t>Hualien County</t>
  </si>
  <si>
    <r>
      <rPr>
        <sz val="12"/>
        <color indexed="8"/>
        <rFont val="標楷體"/>
        <family val="4"/>
        <charset val="136"/>
      </rPr>
      <t>　澎湖縣</t>
    </r>
  </si>
  <si>
    <t>Penghu County</t>
  </si>
  <si>
    <r>
      <rPr>
        <sz val="12"/>
        <color indexed="8"/>
        <rFont val="標楷體"/>
        <family val="4"/>
        <charset val="136"/>
      </rPr>
      <t>　基隆市</t>
    </r>
  </si>
  <si>
    <t>Keelung City</t>
  </si>
  <si>
    <r>
      <rPr>
        <sz val="12"/>
        <color indexed="8"/>
        <rFont val="標楷體"/>
        <family val="4"/>
        <charset val="136"/>
      </rPr>
      <t>　新竹市</t>
    </r>
  </si>
  <si>
    <t>Hsinchu City</t>
  </si>
  <si>
    <r>
      <rPr>
        <sz val="12"/>
        <color indexed="8"/>
        <rFont val="標楷體"/>
        <family val="4"/>
        <charset val="136"/>
      </rPr>
      <t>　嘉義市</t>
    </r>
  </si>
  <si>
    <t>Chiayi City</t>
  </si>
  <si>
    <r>
      <rPr>
        <sz val="12"/>
        <color indexed="8"/>
        <rFont val="標楷體"/>
        <family val="4"/>
        <charset val="136"/>
      </rPr>
      <t>　金門縣</t>
    </r>
  </si>
  <si>
    <t>Kinmen County</t>
  </si>
  <si>
    <r>
      <rPr>
        <sz val="12"/>
        <color indexed="8"/>
        <rFont val="標楷體"/>
        <family val="4"/>
        <charset val="136"/>
      </rPr>
      <t>　連江縣</t>
    </r>
  </si>
  <si>
    <t>Lienchiang County</t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</si>
  <si>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2" type="noConversion"/>
  </si>
  <si>
    <r>
      <rPr>
        <sz val="10"/>
        <rFont val="標楷體"/>
        <family val="4"/>
        <charset val="136"/>
      </rPr>
      <t xml:space="preserve">長期照顧中低收入
</t>
    </r>
    <r>
      <rPr>
        <sz val="10"/>
        <rFont val="Times New Roman"/>
        <family val="1"/>
      </rPr>
      <t>Mid-income</t>
    </r>
    <phoneticPr fontId="2" type="noConversion"/>
  </si>
  <si>
    <r>
      <rPr>
        <sz val="10"/>
        <rFont val="標楷體"/>
        <family val="4"/>
        <charset val="136"/>
      </rPr>
      <t xml:space="preserve">長期照顧一般戶
</t>
    </r>
    <r>
      <rPr>
        <sz val="10"/>
        <rFont val="Times New Roman"/>
        <family val="1"/>
      </rPr>
      <t>General</t>
    </r>
    <phoneticPr fontId="2" type="noConversion"/>
  </si>
  <si>
    <r>
      <t>總</t>
    </r>
    <r>
      <rPr>
        <b/>
        <sz val="10"/>
        <rFont val="Times New Roman"/>
        <family val="1"/>
      </rPr>
      <t xml:space="preserve">   </t>
    </r>
    <r>
      <rPr>
        <b/>
        <sz val="10"/>
        <rFont val="標楷體"/>
        <family val="4"/>
        <charset val="136"/>
      </rPr>
      <t>計</t>
    </r>
    <phoneticPr fontId="2" type="noConversion"/>
  </si>
  <si>
    <r>
      <rPr>
        <sz val="9"/>
        <rFont val="標楷體"/>
        <family val="4"/>
        <charset val="136"/>
      </rPr>
      <t>新北市</t>
    </r>
    <phoneticPr fontId="5" type="noConversion"/>
  </si>
  <si>
    <r>
      <rPr>
        <sz val="9"/>
        <rFont val="標楷體"/>
        <family val="4"/>
        <charset val="136"/>
      </rPr>
      <t>臺北市</t>
    </r>
    <phoneticPr fontId="5" type="noConversion"/>
  </si>
  <si>
    <r>
      <rPr>
        <sz val="9"/>
        <rFont val="標楷體"/>
        <family val="4"/>
        <charset val="136"/>
      </rPr>
      <t>桃園市</t>
    </r>
    <phoneticPr fontId="5" type="noConversion"/>
  </si>
  <si>
    <r>
      <rPr>
        <sz val="9"/>
        <rFont val="標楷體"/>
        <family val="4"/>
        <charset val="136"/>
      </rPr>
      <t>臺中市</t>
    </r>
    <phoneticPr fontId="5" type="noConversion"/>
  </si>
  <si>
    <r>
      <rPr>
        <sz val="9"/>
        <rFont val="標楷體"/>
        <family val="4"/>
        <charset val="136"/>
      </rPr>
      <t>臺南市</t>
    </r>
    <phoneticPr fontId="5" type="noConversion"/>
  </si>
  <si>
    <t>高雄市</t>
    <phoneticPr fontId="5" type="noConversion"/>
  </si>
  <si>
    <r>
      <rPr>
        <sz val="9"/>
        <color indexed="8"/>
        <rFont val="標楷體"/>
        <family val="4"/>
        <charset val="136"/>
      </rPr>
      <t>　宜蘭縣</t>
    </r>
  </si>
  <si>
    <r>
      <rPr>
        <sz val="9"/>
        <color indexed="8"/>
        <rFont val="標楷體"/>
        <family val="4"/>
        <charset val="136"/>
      </rPr>
      <t>　新竹縣</t>
    </r>
  </si>
  <si>
    <r>
      <rPr>
        <sz val="9"/>
        <color indexed="8"/>
        <rFont val="標楷體"/>
        <family val="4"/>
        <charset val="136"/>
      </rPr>
      <t>　苗栗縣</t>
    </r>
  </si>
  <si>
    <r>
      <rPr>
        <sz val="9"/>
        <color indexed="8"/>
        <rFont val="標楷體"/>
        <family val="4"/>
        <charset val="136"/>
      </rPr>
      <t>　彰化縣</t>
    </r>
  </si>
  <si>
    <r>
      <rPr>
        <sz val="9"/>
        <color indexed="8"/>
        <rFont val="標楷體"/>
        <family val="4"/>
        <charset val="136"/>
      </rPr>
      <t>　南投縣</t>
    </r>
  </si>
  <si>
    <r>
      <rPr>
        <sz val="9"/>
        <color indexed="8"/>
        <rFont val="標楷體"/>
        <family val="4"/>
        <charset val="136"/>
      </rPr>
      <t>　雲林縣</t>
    </r>
  </si>
  <si>
    <r>
      <rPr>
        <sz val="9"/>
        <color indexed="8"/>
        <rFont val="標楷體"/>
        <family val="4"/>
        <charset val="136"/>
      </rPr>
      <t>　嘉義縣</t>
    </r>
  </si>
  <si>
    <r>
      <rPr>
        <sz val="9"/>
        <color indexed="8"/>
        <rFont val="標楷體"/>
        <family val="4"/>
        <charset val="136"/>
      </rPr>
      <t>　屏東縣</t>
    </r>
  </si>
  <si>
    <r>
      <rPr>
        <sz val="9"/>
        <color indexed="8"/>
        <rFont val="標楷體"/>
        <family val="4"/>
        <charset val="136"/>
      </rPr>
      <t>　臺東縣</t>
    </r>
  </si>
  <si>
    <r>
      <rPr>
        <sz val="9"/>
        <color indexed="8"/>
        <rFont val="標楷體"/>
        <family val="4"/>
        <charset val="136"/>
      </rPr>
      <t>　花蓮縣</t>
    </r>
  </si>
  <si>
    <r>
      <rPr>
        <sz val="9"/>
        <color indexed="8"/>
        <rFont val="標楷體"/>
        <family val="4"/>
        <charset val="136"/>
      </rPr>
      <t>　澎湖縣</t>
    </r>
  </si>
  <si>
    <r>
      <rPr>
        <sz val="9"/>
        <color indexed="8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</si>
  <si>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　新竹市</t>
    </r>
  </si>
  <si>
    <r>
      <rPr>
        <sz val="9"/>
        <color indexed="8"/>
        <rFont val="標楷體"/>
        <family val="4"/>
        <charset val="136"/>
      </rPr>
      <t>　嘉義市</t>
    </r>
  </si>
  <si>
    <r>
      <rPr>
        <sz val="9"/>
        <color indexed="8"/>
        <rFont val="標楷體"/>
        <family val="4"/>
        <charset val="136"/>
      </rPr>
      <t>　金門縣</t>
    </r>
  </si>
  <si>
    <r>
      <rPr>
        <sz val="9"/>
        <color indexed="8"/>
        <rFont val="標楷體"/>
        <family val="4"/>
        <charset val="136"/>
      </rPr>
      <t>　連江縣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</si>
  <si>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phoneticPr fontId="2" type="noConversion"/>
  </si>
  <si>
    <r>
      <rPr>
        <sz val="9"/>
        <rFont val="標楷體"/>
        <family val="4"/>
        <charset val="136"/>
      </rPr>
      <t>　宜蘭縣</t>
    </r>
  </si>
  <si>
    <r>
      <rPr>
        <sz val="9"/>
        <rFont val="標楷體"/>
        <family val="4"/>
        <charset val="136"/>
      </rPr>
      <t>　新竹縣</t>
    </r>
  </si>
  <si>
    <r>
      <rPr>
        <sz val="9"/>
        <rFont val="標楷體"/>
        <family val="4"/>
        <charset val="136"/>
      </rPr>
      <t>　苗栗縣</t>
    </r>
  </si>
  <si>
    <r>
      <rPr>
        <sz val="9"/>
        <rFont val="標楷體"/>
        <family val="4"/>
        <charset val="136"/>
      </rPr>
      <t>　彰化縣</t>
    </r>
  </si>
  <si>
    <r>
      <rPr>
        <sz val="9"/>
        <rFont val="標楷體"/>
        <family val="4"/>
        <charset val="136"/>
      </rPr>
      <t>　南投縣</t>
    </r>
  </si>
  <si>
    <r>
      <rPr>
        <sz val="9"/>
        <rFont val="標楷體"/>
        <family val="4"/>
        <charset val="136"/>
      </rPr>
      <t>　雲林縣</t>
    </r>
  </si>
  <si>
    <r>
      <rPr>
        <sz val="9"/>
        <rFont val="標楷體"/>
        <family val="4"/>
        <charset val="136"/>
      </rPr>
      <t>　嘉義縣</t>
    </r>
  </si>
  <si>
    <r>
      <rPr>
        <sz val="9"/>
        <rFont val="標楷體"/>
        <family val="4"/>
        <charset val="136"/>
      </rPr>
      <t>　屏東縣</t>
    </r>
  </si>
  <si>
    <r>
      <rPr>
        <sz val="9"/>
        <rFont val="標楷體"/>
        <family val="4"/>
        <charset val="136"/>
      </rPr>
      <t>　臺東縣</t>
    </r>
  </si>
  <si>
    <r>
      <rPr>
        <sz val="9"/>
        <rFont val="標楷體"/>
        <family val="4"/>
        <charset val="136"/>
      </rPr>
      <t>　花蓮縣</t>
    </r>
  </si>
  <si>
    <r>
      <rPr>
        <sz val="9"/>
        <rFont val="標楷體"/>
        <family val="4"/>
        <charset val="136"/>
      </rPr>
      <t>　澎湖縣</t>
    </r>
  </si>
  <si>
    <r>
      <rPr>
        <sz val="9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</si>
  <si>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2019/04/01</t>
    </r>
    <phoneticPr fontId="2" type="noConversion"/>
  </si>
  <si>
    <r>
      <rPr>
        <b/>
        <sz val="16"/>
        <rFont val="標楷體"/>
        <family val="4"/>
        <charset val="136"/>
      </rPr>
      <t>長期照顧十年計畫－老人營養餐飲服務</t>
    </r>
    <r>
      <rPr>
        <b/>
        <sz val="16"/>
        <rFont val="Times New Roman"/>
        <family val="1"/>
      </rPr>
      <t xml:space="preserve"> Achievements of Ten-year Long Term Care Program by Elderly Food Service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</si>
  <si>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phoneticPr fontId="2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</si>
  <si>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2018/3/31</t>
    </r>
    <phoneticPr fontId="2" type="noConversion"/>
  </si>
  <si>
    <r>
      <t>總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計</t>
    </r>
    <phoneticPr fontId="2" type="noConversion"/>
  </si>
  <si>
    <r>
      <rPr>
        <sz val="10"/>
        <rFont val="標楷體"/>
        <family val="4"/>
        <charset val="136"/>
      </rPr>
      <t>新北市</t>
    </r>
  </si>
  <si>
    <r>
      <rPr>
        <sz val="10"/>
        <rFont val="標楷體"/>
        <family val="4"/>
        <charset val="136"/>
      </rPr>
      <t>臺北市</t>
    </r>
  </si>
  <si>
    <r>
      <rPr>
        <sz val="10"/>
        <rFont val="標楷體"/>
        <family val="4"/>
        <charset val="136"/>
      </rPr>
      <t>桃園市</t>
    </r>
    <phoneticPr fontId="2" type="noConversion"/>
  </si>
  <si>
    <r>
      <rPr>
        <sz val="10"/>
        <rFont val="標楷體"/>
        <family val="4"/>
        <charset val="136"/>
      </rPr>
      <t>臺中市</t>
    </r>
  </si>
  <si>
    <r>
      <rPr>
        <sz val="10"/>
        <rFont val="標楷體"/>
        <family val="4"/>
        <charset val="136"/>
      </rPr>
      <t>臺南市</t>
    </r>
  </si>
  <si>
    <r>
      <rPr>
        <sz val="10"/>
        <rFont val="標楷體"/>
        <family val="4"/>
        <charset val="136"/>
      </rPr>
      <t>高雄市</t>
    </r>
    <phoneticPr fontId="2" type="noConversion"/>
  </si>
  <si>
    <r>
      <rPr>
        <sz val="10"/>
        <rFont val="標楷體"/>
        <family val="4"/>
        <charset val="136"/>
      </rPr>
      <t>臺灣省</t>
    </r>
    <phoneticPr fontId="2" type="noConversion"/>
  </si>
  <si>
    <t>Taiwan Prov.</t>
  </si>
  <si>
    <r>
      <t xml:space="preserve"> </t>
    </r>
    <r>
      <rPr>
        <sz val="10"/>
        <rFont val="標楷體"/>
        <family val="4"/>
        <charset val="136"/>
      </rPr>
      <t>宜蘭縣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</si>
  <si>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新竹縣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</si>
  <si>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苗栗縣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</si>
  <si>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彰化縣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</si>
  <si>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南投縣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</si>
  <si>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雲林縣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</si>
  <si>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嘉義縣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</si>
  <si>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屏東縣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</si>
  <si>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臺東縣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</si>
  <si>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花蓮縣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</si>
  <si>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澎湖縣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</si>
  <si>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基隆市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</si>
  <si>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新竹市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</si>
  <si>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嘉義市</t>
    </r>
    <phoneticPr fontId="2" type="noConversion"/>
  </si>
  <si>
    <r>
      <rPr>
        <sz val="10"/>
        <rFont val="標楷體"/>
        <family val="4"/>
        <charset val="136"/>
      </rPr>
      <t>福建省</t>
    </r>
    <phoneticPr fontId="2" type="noConversion"/>
  </si>
  <si>
    <t>Fuchien Prov.</t>
  </si>
  <si>
    <r>
      <t xml:space="preserve"> </t>
    </r>
    <r>
      <rPr>
        <sz val="10"/>
        <rFont val="標楷體"/>
        <family val="4"/>
        <charset val="136"/>
      </rPr>
      <t>金門縣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</si>
  <si>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連江縣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</si>
  <si>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2016 </t>
    </r>
    <phoneticPr fontId="2" type="noConversion"/>
  </si>
  <si>
    <r>
      <rPr>
        <b/>
        <sz val="10"/>
        <rFont val="標楷體"/>
        <family val="4"/>
        <charset val="136"/>
      </rPr>
      <t>總</t>
    </r>
    <r>
      <rPr>
        <b/>
        <sz val="10"/>
        <rFont val="Times New Roman"/>
        <family val="1"/>
      </rPr>
      <t xml:space="preserve">         </t>
    </r>
    <r>
      <rPr>
        <b/>
        <sz val="10"/>
        <rFont val="標楷體"/>
        <family val="4"/>
        <charset val="136"/>
      </rPr>
      <t>計</t>
    </r>
    <phoneticPr fontId="2" type="noConversion"/>
  </si>
  <si>
    <r>
      <rPr>
        <b/>
        <sz val="9"/>
        <color indexed="8"/>
        <rFont val="標楷體"/>
        <family val="4"/>
        <charset val="136"/>
      </rPr>
      <t>更新日期：</t>
    </r>
    <r>
      <rPr>
        <b/>
        <sz val="9"/>
        <color indexed="8"/>
        <rFont val="Times New Roman"/>
        <family val="1"/>
      </rPr>
      <t>2017/3/31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</si>
  <si>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2015 </t>
    </r>
    <phoneticPr fontId="2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</si>
  <si>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2016/09/30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</si>
  <si>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2014 </t>
    </r>
    <phoneticPr fontId="2" type="noConversion"/>
  </si>
  <si>
    <t xml:space="preserve">  新北市</t>
    <phoneticPr fontId="2" type="noConversion"/>
  </si>
  <si>
    <t xml:space="preserve">  臺北市</t>
    <phoneticPr fontId="2" type="noConversion"/>
  </si>
  <si>
    <t xml:space="preserve">  臺中市</t>
    <phoneticPr fontId="2" type="noConversion"/>
  </si>
  <si>
    <t xml:space="preserve">  臺南市</t>
    <phoneticPr fontId="2" type="noConversion"/>
  </si>
  <si>
    <t xml:space="preserve">  高雄市</t>
    <phoneticPr fontId="2" type="noConversion"/>
  </si>
  <si>
    <r>
      <rPr>
        <sz val="8"/>
        <rFont val="標楷體"/>
        <family val="4"/>
        <charset val="136"/>
      </rPr>
      <t>　宜蘭縣</t>
    </r>
    <phoneticPr fontId="2" type="noConversion"/>
  </si>
  <si>
    <r>
      <rPr>
        <sz val="8"/>
        <rFont val="標楷體"/>
        <family val="4"/>
        <charset val="136"/>
      </rPr>
      <t>　桃園縣</t>
    </r>
    <phoneticPr fontId="2" type="noConversion"/>
  </si>
  <si>
    <t>Taoyuan County</t>
  </si>
  <si>
    <r>
      <rPr>
        <sz val="8"/>
        <rFont val="標楷體"/>
        <family val="4"/>
        <charset val="136"/>
      </rPr>
      <t>　新竹縣</t>
    </r>
    <phoneticPr fontId="2" type="noConversion"/>
  </si>
  <si>
    <r>
      <rPr>
        <sz val="8"/>
        <rFont val="標楷體"/>
        <family val="4"/>
        <charset val="136"/>
      </rPr>
      <t>　苗栗縣</t>
    </r>
    <phoneticPr fontId="2" type="noConversion"/>
  </si>
  <si>
    <r>
      <rPr>
        <sz val="8"/>
        <rFont val="標楷體"/>
        <family val="4"/>
        <charset val="136"/>
      </rPr>
      <t>　彰化縣</t>
    </r>
    <phoneticPr fontId="2" type="noConversion"/>
  </si>
  <si>
    <r>
      <rPr>
        <sz val="8"/>
        <rFont val="標楷體"/>
        <family val="4"/>
        <charset val="136"/>
      </rPr>
      <t>　南投縣</t>
    </r>
    <phoneticPr fontId="2" type="noConversion"/>
  </si>
  <si>
    <r>
      <rPr>
        <sz val="8"/>
        <rFont val="標楷體"/>
        <family val="4"/>
        <charset val="136"/>
      </rPr>
      <t>　雲林縣</t>
    </r>
    <phoneticPr fontId="2" type="noConversion"/>
  </si>
  <si>
    <r>
      <rPr>
        <sz val="8"/>
        <rFont val="標楷體"/>
        <family val="4"/>
        <charset val="136"/>
      </rPr>
      <t>　嘉義縣</t>
    </r>
    <phoneticPr fontId="2" type="noConversion"/>
  </si>
  <si>
    <r>
      <rPr>
        <sz val="8"/>
        <rFont val="標楷體"/>
        <family val="4"/>
        <charset val="136"/>
      </rPr>
      <t>　屏東縣</t>
    </r>
    <phoneticPr fontId="2" type="noConversion"/>
  </si>
  <si>
    <r>
      <rPr>
        <sz val="8"/>
        <rFont val="標楷體"/>
        <family val="4"/>
        <charset val="136"/>
      </rPr>
      <t>　臺東縣</t>
    </r>
    <phoneticPr fontId="2" type="noConversion"/>
  </si>
  <si>
    <r>
      <rPr>
        <sz val="8"/>
        <rFont val="標楷體"/>
        <family val="4"/>
        <charset val="136"/>
      </rPr>
      <t>　花蓮縣</t>
    </r>
    <phoneticPr fontId="2" type="noConversion"/>
  </si>
  <si>
    <r>
      <rPr>
        <sz val="8"/>
        <rFont val="標楷體"/>
        <family val="4"/>
        <charset val="136"/>
      </rPr>
      <t>　澎湖縣</t>
    </r>
    <phoneticPr fontId="2" type="noConversion"/>
  </si>
  <si>
    <r>
      <rPr>
        <sz val="8"/>
        <rFont val="標楷體"/>
        <family val="4"/>
        <charset val="136"/>
      </rPr>
      <t>　基隆市</t>
    </r>
    <phoneticPr fontId="2" type="noConversion"/>
  </si>
  <si>
    <r>
      <rPr>
        <sz val="8"/>
        <rFont val="標楷體"/>
        <family val="4"/>
        <charset val="136"/>
      </rPr>
      <t>　新竹市</t>
    </r>
    <phoneticPr fontId="2" type="noConversion"/>
  </si>
  <si>
    <r>
      <rPr>
        <sz val="8"/>
        <rFont val="標楷體"/>
        <family val="4"/>
        <charset val="136"/>
      </rPr>
      <t>　嘉義市</t>
    </r>
    <phoneticPr fontId="2" type="noConversion"/>
  </si>
  <si>
    <r>
      <rPr>
        <sz val="8"/>
        <rFont val="標楷體"/>
        <family val="4"/>
        <charset val="136"/>
      </rPr>
      <t>　金門縣</t>
    </r>
    <phoneticPr fontId="2" type="noConversion"/>
  </si>
  <si>
    <r>
      <rPr>
        <sz val="8"/>
        <rFont val="標楷體"/>
        <family val="4"/>
        <charset val="136"/>
      </rPr>
      <t>　連江縣</t>
    </r>
    <phoneticPr fontId="2" type="noConversion"/>
  </si>
  <si>
    <r>
      <rPr>
        <sz val="9"/>
        <rFont val="標楷體"/>
        <family val="4"/>
        <charset val="136"/>
      </rPr>
      <t>備註：自</t>
    </r>
    <r>
      <rPr>
        <sz val="12"/>
        <color theme="1"/>
        <rFont val="新細明體"/>
        <family val="2"/>
        <charset val="136"/>
        <scheme val="minor"/>
      </rPr>
      <t>103</t>
    </r>
    <r>
      <rPr>
        <sz val="9"/>
        <rFont val="標楷體"/>
        <family val="4"/>
        <charset val="136"/>
      </rPr>
      <t>年起老人營養餐飲服務對象為低收入戶、中低收入失能老人（含僅</t>
    </r>
    <r>
      <rPr>
        <sz val="12"/>
        <color theme="1"/>
        <rFont val="新細明體"/>
        <family val="2"/>
        <charset val="136"/>
        <scheme val="minor"/>
      </rPr>
      <t>IADLs</t>
    </r>
    <r>
      <rPr>
        <sz val="9"/>
        <rFont val="標楷體"/>
        <family val="4"/>
        <charset val="136"/>
      </rPr>
      <t>失能且獨居老人），每人每日最高補助一餐，故服務人數減少。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</si>
  <si>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</si>
  <si>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</si>
  <si>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</si>
  <si>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5" type="noConversion"/>
  </si>
  <si>
    <r>
      <rPr>
        <sz val="8"/>
        <rFont val="標楷體"/>
        <family val="4"/>
        <charset val="136"/>
      </rPr>
      <t>　臺北縣</t>
    </r>
    <phoneticPr fontId="2" type="noConversion"/>
  </si>
  <si>
    <t>Taipei County</t>
  </si>
  <si>
    <r>
      <rPr>
        <sz val="8"/>
        <rFont val="標楷體"/>
        <family val="4"/>
        <charset val="136"/>
      </rPr>
      <t>　臺中縣</t>
    </r>
    <phoneticPr fontId="2" type="noConversion"/>
  </si>
  <si>
    <t>Taichung County</t>
  </si>
  <si>
    <r>
      <rPr>
        <sz val="8"/>
        <rFont val="標楷體"/>
        <family val="4"/>
        <charset val="136"/>
      </rPr>
      <t>　臺南縣</t>
    </r>
    <phoneticPr fontId="2" type="noConversion"/>
  </si>
  <si>
    <t>Tainan County</t>
  </si>
  <si>
    <r>
      <rPr>
        <sz val="8"/>
        <rFont val="標楷體"/>
        <family val="4"/>
        <charset val="136"/>
      </rPr>
      <t>　高雄縣</t>
    </r>
    <phoneticPr fontId="2" type="noConversion"/>
  </si>
  <si>
    <t>Kaohsiung County</t>
  </si>
  <si>
    <r>
      <rPr>
        <sz val="8"/>
        <rFont val="標楷體"/>
        <family val="4"/>
        <charset val="136"/>
      </rPr>
      <t>　臺中市</t>
    </r>
    <phoneticPr fontId="2" type="noConversion"/>
  </si>
  <si>
    <t>Taichung City</t>
  </si>
  <si>
    <r>
      <rPr>
        <sz val="8"/>
        <rFont val="標楷體"/>
        <family val="4"/>
        <charset val="136"/>
      </rPr>
      <t>　臺南市</t>
    </r>
    <phoneticPr fontId="2" type="noConversion"/>
  </si>
  <si>
    <t>Tainan City</t>
  </si>
  <si>
    <t>Taipei City</t>
  </si>
  <si>
    <t>Kaohsiung City</t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</si>
  <si>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5" type="noConversion"/>
  </si>
  <si>
    <r>
      <rPr>
        <sz val="10"/>
        <rFont val="標楷體"/>
        <family val="4"/>
        <charset val="136"/>
      </rPr>
      <t>單位：人</t>
    </r>
    <r>
      <rPr>
        <sz val="10"/>
        <rFont val="Times New Roman"/>
        <family val="1"/>
      </rPr>
      <t xml:space="preserve">  Unit : Persons</t>
    </r>
    <phoneticPr fontId="1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</si>
  <si>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2" type="noConversion"/>
  </si>
  <si>
    <r>
      <rPr>
        <sz val="12"/>
        <color indexed="8"/>
        <rFont val="標楷體"/>
        <family val="4"/>
        <charset val="136"/>
      </rPr>
      <t xml:space="preserve">區域別
</t>
    </r>
    <r>
      <rPr>
        <sz val="12"/>
        <color indexed="8"/>
        <rFont val="Times New Roman"/>
        <family val="1"/>
      </rPr>
      <t>Locality</t>
    </r>
    <phoneticPr fontId="5" type="noConversion"/>
  </si>
  <si>
    <t>Source: Department of Long-term care.</t>
    <phoneticPr fontId="2" type="noConversion"/>
  </si>
  <si>
    <r>
      <rPr>
        <sz val="12"/>
        <rFont val="標楷體"/>
        <family val="4"/>
        <charset val="136"/>
      </rPr>
      <t xml:space="preserve">男
</t>
    </r>
    <r>
      <rPr>
        <sz val="12"/>
        <rFont val="Times New Roman"/>
        <family val="1"/>
      </rPr>
      <t xml:space="preserve">Male </t>
    </r>
    <phoneticPr fontId="2" type="noConversion"/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</si>
  <si>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  <phoneticPr fontId="2" type="noConversion"/>
  </si>
  <si>
    <r>
      <rPr>
        <b/>
        <sz val="16"/>
        <rFont val="標楷體"/>
        <family val="4"/>
        <charset val="136"/>
      </rPr>
      <t>長期照顧十年計畫－營養餐飲服務</t>
    </r>
    <r>
      <rPr>
        <b/>
        <sz val="16"/>
        <rFont val="Times New Roman"/>
        <family val="1"/>
      </rPr>
      <t xml:space="preserve"> Achievements of Ten-year Long Term Care Program by Food Service</t>
    </r>
    <phoneticPr fontId="2" type="noConversion"/>
  </si>
  <si>
    <r>
      <rPr>
        <b/>
        <sz val="16"/>
        <rFont val="標楷體"/>
        <family val="4"/>
        <charset val="136"/>
      </rPr>
      <t>長期照顧十年計畫－營養餐飲服務</t>
    </r>
    <r>
      <rPr>
        <b/>
        <sz val="16"/>
        <rFont val="Times New Roman"/>
        <family val="1"/>
      </rPr>
      <t xml:space="preserve"> Achievements of Ten-year Long Term Care Program by Food Service</t>
    </r>
    <phoneticPr fontId="5" type="noConversion"/>
  </si>
  <si>
    <r>
      <rPr>
        <sz val="10"/>
        <rFont val="標楷體"/>
        <family val="4"/>
        <charset val="136"/>
      </rPr>
      <t>資料來源：衛生福利部長期照顧司。</t>
    </r>
    <r>
      <rPr>
        <sz val="10"/>
        <rFont val="Times New Roman"/>
        <family val="1"/>
      </rPr>
      <t xml:space="preserve"> </t>
    </r>
    <phoneticPr fontId="5" type="noConversion"/>
  </si>
  <si>
    <r>
      <rPr>
        <sz val="10"/>
        <color indexed="8"/>
        <rFont val="標楷體"/>
        <family val="4"/>
        <charset val="136"/>
      </rPr>
      <t>更新日期：</t>
    </r>
    <r>
      <rPr>
        <sz val="10"/>
        <color indexed="8"/>
        <rFont val="Times New Roman"/>
        <family val="1"/>
      </rPr>
      <t>2022/3/31</t>
    </r>
    <phoneticPr fontId="2" type="noConversion"/>
  </si>
  <si>
    <r>
      <rPr>
        <sz val="12"/>
        <rFont val="標楷體"/>
        <family val="4"/>
        <charset val="136"/>
      </rPr>
      <t xml:space="preserve">合計
</t>
    </r>
    <r>
      <rPr>
        <sz val="12"/>
        <rFont val="Times New Roman"/>
        <family val="1"/>
      </rPr>
      <t>Total</t>
    </r>
    <phoneticPr fontId="2" type="noConversion"/>
  </si>
  <si>
    <r>
      <rPr>
        <b/>
        <sz val="12"/>
        <rFont val="標楷體"/>
        <family val="4"/>
        <charset val="136"/>
      </rPr>
      <t>總計</t>
    </r>
    <r>
      <rPr>
        <b/>
        <sz val="12"/>
        <rFont val="Times New Roman"/>
        <family val="1"/>
      </rPr>
      <t>Total</t>
    </r>
  </si>
  <si>
    <r>
      <rPr>
        <sz val="10"/>
        <rFont val="標楷體"/>
        <family val="4"/>
        <charset val="136"/>
      </rPr>
      <t>長期照顧低收入</t>
    </r>
    <r>
      <rPr>
        <sz val="9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Low-income</t>
    </r>
    <phoneticPr fontId="2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</si>
  <si>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12"/>
        <color theme="1"/>
        <rFont val="Times New Roman"/>
        <family val="1"/>
      </rPr>
      <t xml:space="preserve"> </t>
    </r>
    <phoneticPr fontId="5" type="noConversion"/>
  </si>
  <si>
    <r>
      <rPr>
        <b/>
        <sz val="16"/>
        <rFont val="標楷體"/>
        <family val="4"/>
        <charset val="136"/>
      </rPr>
      <t>長期照顧十年計畫</t>
    </r>
    <r>
      <rPr>
        <b/>
        <sz val="16"/>
        <rFont val="Times New Roman"/>
        <family val="1"/>
      </rPr>
      <t>2.0 -</t>
    </r>
    <r>
      <rPr>
        <b/>
        <sz val="16"/>
        <rFont val="標楷體"/>
        <family val="4"/>
        <charset val="136"/>
      </rPr>
      <t>營養餐飲服務</t>
    </r>
    <r>
      <rPr>
        <b/>
        <sz val="16"/>
        <rFont val="Times New Roman"/>
        <family val="1"/>
      </rPr>
      <t>Achievements of Ten-year Long Term Care Program 2.0 by Food Service</t>
    </r>
    <phoneticPr fontId="2" type="noConversion"/>
  </si>
  <si>
    <r>
      <rPr>
        <sz val="12"/>
        <rFont val="標楷體"/>
        <family val="4"/>
        <charset val="136"/>
      </rPr>
      <t>高雄市</t>
    </r>
    <r>
      <rPr>
        <sz val="12"/>
        <rFont val="Times New Roman"/>
        <family val="1"/>
      </rPr>
      <t xml:space="preserve">   Kaohsiung City</t>
    </r>
    <phoneticPr fontId="2" type="noConversion"/>
  </si>
  <si>
    <r>
      <rPr>
        <sz val="12"/>
        <rFont val="標楷體"/>
        <family val="4"/>
        <charset val="136"/>
      </rPr>
      <t>雲林縣</t>
    </r>
    <r>
      <rPr>
        <sz val="12"/>
        <rFont val="Times New Roman"/>
        <family val="1"/>
      </rPr>
      <t xml:space="preserve">   Yunlin County</t>
    </r>
    <phoneticPr fontId="2" type="noConversion"/>
  </si>
  <si>
    <r>
      <rPr>
        <sz val="12"/>
        <rFont val="標楷體"/>
        <family val="4"/>
        <charset val="136"/>
      </rPr>
      <t>臺東縣</t>
    </r>
    <r>
      <rPr>
        <sz val="12"/>
        <rFont val="Times New Roman"/>
        <family val="1"/>
      </rPr>
      <t xml:space="preserve">   Taitung County</t>
    </r>
    <phoneticPr fontId="2" type="noConversion"/>
  </si>
  <si>
    <r>
      <rPr>
        <sz val="12"/>
        <rFont val="標楷體"/>
        <family val="4"/>
        <charset val="136"/>
      </rPr>
      <t>花蓮縣</t>
    </r>
    <r>
      <rPr>
        <sz val="12"/>
        <rFont val="Times New Roman"/>
        <family val="1"/>
      </rPr>
      <t xml:space="preserve">   Hualien County</t>
    </r>
    <phoneticPr fontId="2" type="noConversion"/>
  </si>
  <si>
    <r>
      <rPr>
        <sz val="12"/>
        <rFont val="標楷體"/>
        <family val="4"/>
        <charset val="136"/>
      </rPr>
      <t>總計</t>
    </r>
    <r>
      <rPr>
        <sz val="12"/>
        <rFont val="Times New Roman"/>
        <family val="1"/>
      </rPr>
      <t xml:space="preserve"> Total</t>
    </r>
    <phoneticPr fontId="1" type="noConversion"/>
  </si>
  <si>
    <r>
      <rPr>
        <sz val="12"/>
        <rFont val="標楷體"/>
        <family val="4"/>
        <charset val="136"/>
      </rPr>
      <t>新北市</t>
    </r>
    <r>
      <rPr>
        <sz val="12"/>
        <rFont val="Times New Roman"/>
        <family val="1"/>
      </rPr>
      <t xml:space="preserve">   New Taipei City</t>
    </r>
    <phoneticPr fontId="2" type="noConversion"/>
  </si>
  <si>
    <r>
      <rPr>
        <sz val="12"/>
        <rFont val="標楷體"/>
        <family val="4"/>
        <charset val="136"/>
      </rPr>
      <t>臺北市</t>
    </r>
    <r>
      <rPr>
        <sz val="12"/>
        <rFont val="Times New Roman"/>
        <family val="1"/>
      </rPr>
      <t xml:space="preserve">   Taipei City</t>
    </r>
    <phoneticPr fontId="2" type="noConversion"/>
  </si>
  <si>
    <r>
      <rPr>
        <sz val="12"/>
        <rFont val="標楷體"/>
        <family val="4"/>
        <charset val="136"/>
      </rPr>
      <t>桃園市</t>
    </r>
    <r>
      <rPr>
        <sz val="12"/>
        <rFont val="Times New Roman"/>
        <family val="1"/>
      </rPr>
      <t xml:space="preserve">   Taoyuan City</t>
    </r>
    <phoneticPr fontId="2" type="noConversion"/>
  </si>
  <si>
    <r>
      <rPr>
        <sz val="12"/>
        <rFont val="標楷體"/>
        <family val="4"/>
        <charset val="136"/>
      </rPr>
      <t>臺中市</t>
    </r>
    <r>
      <rPr>
        <sz val="12"/>
        <rFont val="Times New Roman"/>
        <family val="1"/>
      </rPr>
      <t xml:space="preserve">   Taichung City</t>
    </r>
    <phoneticPr fontId="2" type="noConversion"/>
  </si>
  <si>
    <r>
      <rPr>
        <sz val="12"/>
        <rFont val="標楷體"/>
        <family val="4"/>
        <charset val="136"/>
      </rPr>
      <t>臺南市</t>
    </r>
    <r>
      <rPr>
        <sz val="12"/>
        <rFont val="Times New Roman"/>
        <family val="1"/>
      </rPr>
      <t xml:space="preserve">   Tainan City</t>
    </r>
    <phoneticPr fontId="2" type="noConversion"/>
  </si>
  <si>
    <r>
      <rPr>
        <sz val="12"/>
        <rFont val="標楷體"/>
        <family val="4"/>
        <charset val="136"/>
      </rPr>
      <t>宜蘭縣</t>
    </r>
    <r>
      <rPr>
        <sz val="12"/>
        <rFont val="Times New Roman"/>
        <family val="1"/>
      </rPr>
      <t xml:space="preserve">   Yilan County</t>
    </r>
    <phoneticPr fontId="2" type="noConversion"/>
  </si>
  <si>
    <r>
      <rPr>
        <sz val="12"/>
        <rFont val="標楷體"/>
        <family val="4"/>
        <charset val="136"/>
      </rPr>
      <t>新竹縣</t>
    </r>
    <r>
      <rPr>
        <sz val="12"/>
        <rFont val="Times New Roman"/>
        <family val="1"/>
      </rPr>
      <t xml:space="preserve">   Hsinchu County</t>
    </r>
    <phoneticPr fontId="2" type="noConversion"/>
  </si>
  <si>
    <r>
      <rPr>
        <sz val="12"/>
        <rFont val="標楷體"/>
        <family val="4"/>
        <charset val="136"/>
      </rPr>
      <t>苗栗縣</t>
    </r>
    <r>
      <rPr>
        <sz val="12"/>
        <rFont val="Times New Roman"/>
        <family val="1"/>
      </rPr>
      <t xml:space="preserve">   Miaoli County</t>
    </r>
    <phoneticPr fontId="2" type="noConversion"/>
  </si>
  <si>
    <r>
      <rPr>
        <sz val="12"/>
        <rFont val="標楷體"/>
        <family val="4"/>
        <charset val="136"/>
      </rPr>
      <t>彰化縣</t>
    </r>
    <r>
      <rPr>
        <sz val="12"/>
        <rFont val="Times New Roman"/>
        <family val="1"/>
      </rPr>
      <t xml:space="preserve">   Changhua County</t>
    </r>
    <phoneticPr fontId="2" type="noConversion"/>
  </si>
  <si>
    <r>
      <rPr>
        <sz val="12"/>
        <rFont val="標楷體"/>
        <family val="4"/>
        <charset val="136"/>
      </rPr>
      <t>南投縣</t>
    </r>
    <r>
      <rPr>
        <sz val="12"/>
        <rFont val="Times New Roman"/>
        <family val="1"/>
      </rPr>
      <t xml:space="preserve">   Nantou County</t>
    </r>
    <phoneticPr fontId="2" type="noConversion"/>
  </si>
  <si>
    <r>
      <rPr>
        <sz val="12"/>
        <rFont val="標楷體"/>
        <family val="4"/>
        <charset val="136"/>
      </rPr>
      <t>嘉義縣</t>
    </r>
    <r>
      <rPr>
        <sz val="12"/>
        <rFont val="Times New Roman"/>
        <family val="1"/>
      </rPr>
      <t xml:space="preserve">   Chiayi County</t>
    </r>
    <phoneticPr fontId="2" type="noConversion"/>
  </si>
  <si>
    <r>
      <rPr>
        <sz val="12"/>
        <rFont val="標楷體"/>
        <family val="4"/>
        <charset val="136"/>
      </rPr>
      <t>屏東縣</t>
    </r>
    <r>
      <rPr>
        <sz val="12"/>
        <rFont val="Times New Roman"/>
        <family val="1"/>
      </rPr>
      <t xml:space="preserve">   Pingtung County</t>
    </r>
    <phoneticPr fontId="2" type="noConversion"/>
  </si>
  <si>
    <r>
      <rPr>
        <sz val="12"/>
        <rFont val="標楷體"/>
        <family val="4"/>
        <charset val="136"/>
      </rPr>
      <t>澎湖縣</t>
    </r>
    <r>
      <rPr>
        <sz val="12"/>
        <rFont val="Times New Roman"/>
        <family val="1"/>
      </rPr>
      <t xml:space="preserve">   Penghu County</t>
    </r>
    <phoneticPr fontId="2" type="noConversion"/>
  </si>
  <si>
    <r>
      <rPr>
        <sz val="12"/>
        <rFont val="標楷體"/>
        <family val="4"/>
        <charset val="136"/>
      </rPr>
      <t>基隆市</t>
    </r>
    <r>
      <rPr>
        <sz val="12"/>
        <rFont val="Times New Roman"/>
        <family val="1"/>
      </rPr>
      <t xml:space="preserve">   Keelung City</t>
    </r>
    <phoneticPr fontId="2" type="noConversion"/>
  </si>
  <si>
    <r>
      <rPr>
        <sz val="12"/>
        <rFont val="標楷體"/>
        <family val="4"/>
        <charset val="136"/>
      </rPr>
      <t>新竹市</t>
    </r>
    <r>
      <rPr>
        <sz val="12"/>
        <rFont val="Times New Roman"/>
        <family val="1"/>
      </rPr>
      <t xml:space="preserve">   Hsinchu City</t>
    </r>
    <phoneticPr fontId="2" type="noConversion"/>
  </si>
  <si>
    <r>
      <rPr>
        <sz val="12"/>
        <rFont val="標楷體"/>
        <family val="4"/>
        <charset val="136"/>
      </rPr>
      <t>嘉義市</t>
    </r>
    <r>
      <rPr>
        <sz val="12"/>
        <rFont val="Times New Roman"/>
        <family val="1"/>
      </rPr>
      <t xml:space="preserve">   Chiayi City</t>
    </r>
    <phoneticPr fontId="2" type="noConversion"/>
  </si>
  <si>
    <r>
      <rPr>
        <sz val="12"/>
        <rFont val="標楷體"/>
        <family val="4"/>
        <charset val="136"/>
      </rPr>
      <t>金門縣</t>
    </r>
    <r>
      <rPr>
        <sz val="12"/>
        <rFont val="Times New Roman"/>
        <family val="1"/>
      </rPr>
      <t xml:space="preserve">   Kinmen County</t>
    </r>
    <phoneticPr fontId="2" type="noConversion"/>
  </si>
  <si>
    <r>
      <rPr>
        <sz val="12"/>
        <rFont val="標楷體"/>
        <family val="4"/>
        <charset val="136"/>
      </rPr>
      <t>連江縣</t>
    </r>
    <r>
      <rPr>
        <sz val="12"/>
        <rFont val="Times New Roman"/>
        <family val="1"/>
      </rPr>
      <t xml:space="preserve">   Lienchiang County</t>
    </r>
    <phoneticPr fontId="2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</si>
  <si>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2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</si>
  <si>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3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</si>
  <si>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4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4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</si>
  <si>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5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5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</si>
  <si>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6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6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</si>
  <si>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7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7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</si>
  <si>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8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 CMS 8</t>
    </r>
    <phoneticPr fontId="1" type="noConversion"/>
  </si>
  <si>
    <t xml:space="preserve">全年營養餐飲服務人數-按長照需要等級分 </t>
    <phoneticPr fontId="1" type="noConversion"/>
  </si>
  <si>
    <r>
      <t>110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, 2021</t>
    </r>
  </si>
  <si>
    <r>
      <rPr>
        <sz val="12"/>
        <color rgb="FF000000"/>
        <rFont val="標楷體"/>
        <family val="4"/>
        <charset val="136"/>
      </rPr>
      <t xml:space="preserve">年別
</t>
    </r>
    <r>
      <rPr>
        <sz val="12"/>
        <color rgb="FF000000"/>
        <rFont val="Times New Roman"/>
        <family val="1"/>
      </rPr>
      <t>Year</t>
    </r>
    <phoneticPr fontId="5" type="noConversion"/>
  </si>
  <si>
    <t>Number of volunteers</t>
    <phoneticPr fontId="1" type="noConversion"/>
  </si>
  <si>
    <r>
      <rPr>
        <sz val="12"/>
        <rFont val="標楷體"/>
        <family val="4"/>
        <charset val="136"/>
      </rPr>
      <t>志工人數</t>
    </r>
    <phoneticPr fontId="1" type="noConversion"/>
  </si>
  <si>
    <r>
      <rPr>
        <sz val="12"/>
        <rFont val="標楷體"/>
        <family val="4"/>
        <charset val="136"/>
      </rPr>
      <t xml:space="preserve">合計
</t>
    </r>
    <r>
      <rPr>
        <sz val="12"/>
        <rFont val="Times New Roman"/>
        <family val="1"/>
      </rPr>
      <t>Total</t>
    </r>
  </si>
  <si>
    <r>
      <rPr>
        <sz val="12"/>
        <rFont val="標楷體"/>
        <family val="4"/>
        <charset val="136"/>
      </rPr>
      <t xml:space="preserve">男
</t>
    </r>
    <r>
      <rPr>
        <sz val="12"/>
        <rFont val="Times New Roman"/>
        <family val="1"/>
      </rPr>
      <t xml:space="preserve">Male </t>
    </r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</si>
  <si>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</si>
  <si>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2" type="noConversion"/>
  </si>
  <si>
    <r>
      <rPr>
        <sz val="10"/>
        <color indexed="8"/>
        <rFont val="標楷體"/>
        <family val="4"/>
        <charset val="136"/>
      </rPr>
      <t>更新日期：</t>
    </r>
    <r>
      <rPr>
        <sz val="10"/>
        <color indexed="8"/>
        <rFont val="Times New Roman"/>
        <family val="1"/>
      </rPr>
      <t>2023/3/31</t>
    </r>
    <phoneticPr fontId="2" type="noConversion"/>
  </si>
  <si>
    <t>…</t>
    <phoneticPr fontId="1" type="noConversion"/>
  </si>
  <si>
    <r>
      <rPr>
        <sz val="9"/>
        <rFont val="標楷體"/>
        <family val="4"/>
        <charset val="136"/>
      </rPr>
      <t>送餐到家服務方式</t>
    </r>
    <r>
      <rPr>
        <sz val="12"/>
        <color theme="1"/>
        <rFont val="Times New Roman"/>
        <family val="1"/>
      </rPr>
      <t>Meals-on-wheels Service</t>
    </r>
    <phoneticPr fontId="2" type="noConversion"/>
  </si>
  <si>
    <r>
      <rPr>
        <sz val="9"/>
        <rFont val="標楷體"/>
        <family val="4"/>
        <charset val="136"/>
      </rPr>
      <t xml:space="preserve">年別
</t>
    </r>
    <r>
      <rPr>
        <sz val="12"/>
        <color theme="1"/>
        <rFont val="Times New Roman"/>
        <family val="1"/>
      </rPr>
      <t>Year</t>
    </r>
    <phoneticPr fontId="2" type="noConversion"/>
  </si>
  <si>
    <r>
      <rPr>
        <sz val="9"/>
        <rFont val="標楷體"/>
        <family val="4"/>
        <charset val="136"/>
      </rPr>
      <t>合</t>
    </r>
    <r>
      <rPr>
        <sz val="12"/>
        <color theme="1"/>
        <rFont val="Times New Roman"/>
        <family val="1"/>
      </rPr>
      <t xml:space="preserve">  </t>
    </r>
    <r>
      <rPr>
        <sz val="9"/>
        <rFont val="標楷體"/>
        <family val="4"/>
        <charset val="136"/>
      </rPr>
      <t>計</t>
    </r>
    <r>
      <rPr>
        <sz val="12"/>
        <color theme="1"/>
        <rFont val="Times New Roman"/>
        <family val="1"/>
      </rPr>
      <t xml:space="preserve"> Total</t>
    </r>
    <phoneticPr fontId="2" type="noConversion"/>
  </si>
  <si>
    <r>
      <rPr>
        <sz val="9"/>
        <rFont val="標楷體"/>
        <family val="4"/>
        <charset val="136"/>
      </rPr>
      <t>集中服務方式</t>
    </r>
    <r>
      <rPr>
        <sz val="12"/>
        <color theme="1"/>
        <rFont val="Times New Roman"/>
        <family val="1"/>
      </rPr>
      <t>Centralized Service</t>
    </r>
    <phoneticPr fontId="2" type="noConversion"/>
  </si>
  <si>
    <r>
      <rPr>
        <sz val="9"/>
        <rFont val="標楷體"/>
        <family val="4"/>
        <charset val="136"/>
      </rPr>
      <t>具原住民身分
服務人數</t>
    </r>
    <r>
      <rPr>
        <sz val="12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人</t>
    </r>
    <r>
      <rPr>
        <sz val="12"/>
        <color theme="1"/>
        <rFont val="Times New Roman"/>
        <family val="1"/>
      </rPr>
      <t>)</t>
    </r>
    <r>
      <rPr>
        <sz val="9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Indigenous</t>
    </r>
    <phoneticPr fontId="2" type="noConversion"/>
  </si>
  <si>
    <r>
      <rPr>
        <sz val="9"/>
        <rFont val="標楷體"/>
        <family val="4"/>
        <charset val="136"/>
      </rPr>
      <t>期底服務人數</t>
    </r>
    <r>
      <rPr>
        <sz val="12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人</t>
    </r>
    <r>
      <rPr>
        <sz val="12"/>
        <color theme="1"/>
        <rFont val="Times New Roman"/>
        <family val="1"/>
      </rPr>
      <t>)
Persons Serviced (End of Year)
Persons Serviced (End of Year)</t>
    </r>
    <phoneticPr fontId="2" type="noConversion"/>
  </si>
  <si>
    <r>
      <rPr>
        <sz val="9"/>
        <rFont val="標楷體"/>
        <family val="4"/>
        <charset val="136"/>
      </rPr>
      <t>服務人次</t>
    </r>
    <r>
      <rPr>
        <sz val="12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>)
Service Person-times</t>
    </r>
    <phoneticPr fontId="2" type="noConversion"/>
  </si>
  <si>
    <r>
      <rPr>
        <sz val="9"/>
        <rFont val="標楷體"/>
        <family val="4"/>
        <charset val="136"/>
      </rPr>
      <t>低收入</t>
    </r>
    <r>
      <rPr>
        <sz val="12"/>
        <color theme="1"/>
        <rFont val="Times New Roman"/>
        <family val="1"/>
      </rPr>
      <t>Low-income</t>
    </r>
    <phoneticPr fontId="2" type="noConversion"/>
  </si>
  <si>
    <r>
      <rPr>
        <sz val="9"/>
        <rFont val="標楷體"/>
        <family val="4"/>
        <charset val="136"/>
      </rPr>
      <t>中低收入</t>
    </r>
    <r>
      <rPr>
        <sz val="12"/>
        <color theme="1"/>
        <rFont val="Times New Roman"/>
        <family val="1"/>
      </rPr>
      <t>Mid-income</t>
    </r>
    <phoneticPr fontId="2" type="noConversion"/>
  </si>
  <si>
    <r>
      <rPr>
        <sz val="9"/>
        <rFont val="標楷體"/>
        <family val="4"/>
        <charset val="136"/>
      </rPr>
      <t>一般戶</t>
    </r>
    <r>
      <rPr>
        <sz val="12"/>
        <color theme="1"/>
        <rFont val="Times New Roman"/>
        <family val="1"/>
      </rPr>
      <t>General</t>
    </r>
    <phoneticPr fontId="2" type="noConversion"/>
  </si>
  <si>
    <r>
      <rPr>
        <sz val="10"/>
        <rFont val="標楷體"/>
        <family val="4"/>
        <charset val="136"/>
      </rPr>
      <t>長照低收入戶</t>
    </r>
    <phoneticPr fontId="5" type="noConversion"/>
  </si>
  <si>
    <r>
      <rPr>
        <sz val="10"/>
        <rFont val="標楷體"/>
        <family val="4"/>
        <charset val="136"/>
      </rPr>
      <t>長照中低收入戶</t>
    </r>
    <phoneticPr fontId="5" type="noConversion"/>
  </si>
  <si>
    <r>
      <rPr>
        <sz val="10"/>
        <rFont val="標楷體"/>
        <family val="4"/>
        <charset val="136"/>
      </rPr>
      <t>長照一般戶</t>
    </r>
    <phoneticPr fontId="5" type="noConversion"/>
  </si>
  <si>
    <r>
      <rPr>
        <sz val="9"/>
        <rFont val="標楷體"/>
        <family val="4"/>
        <charset val="136"/>
      </rPr>
      <t>期底服務人數</t>
    </r>
    <r>
      <rPr>
        <sz val="12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人</t>
    </r>
    <r>
      <rPr>
        <sz val="12"/>
        <color theme="1"/>
        <rFont val="Times New Roman"/>
        <family val="1"/>
      </rPr>
      <t>)</t>
    </r>
    <r>
      <rPr>
        <sz val="9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Persons Serviced</t>
    </r>
    <phoneticPr fontId="2" type="noConversion"/>
  </si>
  <si>
    <r>
      <rPr>
        <sz val="9"/>
        <rFont val="標楷體"/>
        <family val="4"/>
        <charset val="136"/>
      </rPr>
      <t xml:space="preserve">期底服務人數
</t>
    </r>
    <r>
      <rPr>
        <sz val="12"/>
        <color theme="1"/>
        <rFont val="Times New Roman"/>
        <family val="1"/>
      </rPr>
      <t>Persons Serviced</t>
    </r>
    <phoneticPr fontId="2" type="noConversion"/>
  </si>
  <si>
    <r>
      <rPr>
        <sz val="9"/>
        <rFont val="標楷體"/>
        <family val="4"/>
        <charset val="136"/>
      </rPr>
      <t xml:space="preserve">計
</t>
    </r>
    <r>
      <rPr>
        <sz val="12"/>
        <color theme="1"/>
        <rFont val="Times New Roman"/>
        <family val="1"/>
      </rPr>
      <t>Subtotal</t>
    </r>
    <phoneticPr fontId="2" type="noConversion"/>
  </si>
  <si>
    <r>
      <rPr>
        <sz val="9"/>
        <rFont val="標楷體"/>
        <family val="4"/>
        <charset val="136"/>
      </rPr>
      <t xml:space="preserve">男
</t>
    </r>
    <r>
      <rPr>
        <sz val="12"/>
        <color theme="1"/>
        <rFont val="Times New Roman"/>
        <family val="1"/>
      </rPr>
      <t>Male</t>
    </r>
    <phoneticPr fontId="2" type="noConversion"/>
  </si>
  <si>
    <r>
      <rPr>
        <sz val="9"/>
        <rFont val="標楷體"/>
        <family val="4"/>
        <charset val="136"/>
      </rPr>
      <t xml:space="preserve">女
</t>
    </r>
    <r>
      <rPr>
        <sz val="12"/>
        <color theme="1"/>
        <rFont val="Times New Roman"/>
        <family val="1"/>
      </rPr>
      <t>Female</t>
    </r>
    <phoneticPr fontId="2" type="noConversion"/>
  </si>
  <si>
    <r>
      <t>106</t>
    </r>
    <r>
      <rPr>
        <sz val="9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, 2017</t>
    </r>
    <r>
      <rPr>
        <sz val="12"/>
        <color indexed="8"/>
        <rFont val="新細明體"/>
        <family val="1"/>
        <charset val="136"/>
      </rPr>
      <t/>
    </r>
    <phoneticPr fontId="2" type="noConversion"/>
  </si>
  <si>
    <r>
      <t>107</t>
    </r>
    <r>
      <rPr>
        <sz val="9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, 2018</t>
    </r>
    <r>
      <rPr>
        <sz val="12"/>
        <color indexed="8"/>
        <rFont val="新細明體"/>
        <family val="1"/>
        <charset val="136"/>
      </rPr>
      <t/>
    </r>
    <phoneticPr fontId="2" type="noConversion"/>
  </si>
  <si>
    <r>
      <rPr>
        <sz val="9"/>
        <rFont val="標楷體"/>
        <family val="4"/>
        <charset val="136"/>
      </rPr>
      <t xml:space="preserve">年別
</t>
    </r>
    <r>
      <rPr>
        <sz val="9"/>
        <rFont val="Times New Roman"/>
        <family val="1"/>
      </rPr>
      <t>Year</t>
    </r>
    <phoneticPr fontId="2" type="noConversion"/>
  </si>
  <si>
    <r>
      <rPr>
        <sz val="9"/>
        <rFont val="標楷體"/>
        <family val="4"/>
        <charset val="136"/>
      </rPr>
      <t xml:space="preserve">具原住民身分
服務人數
</t>
    </r>
    <r>
      <rPr>
        <sz val="12"/>
        <color theme="1"/>
        <rFont val="Times New Roman"/>
        <family val="1"/>
      </rPr>
      <t>Indigenous</t>
    </r>
    <phoneticPr fontId="2" type="noConversion"/>
  </si>
  <si>
    <r>
      <rPr>
        <sz val="9"/>
        <rFont val="標楷體"/>
        <family val="4"/>
        <charset val="136"/>
      </rPr>
      <t>期底服務人數</t>
    </r>
    <r>
      <rPr>
        <sz val="12"/>
        <color theme="1"/>
        <rFont val="Times New Roman"/>
        <family val="1"/>
      </rPr>
      <t xml:space="preserve"> 
Persons Serviced (End of Year)</t>
    </r>
    <phoneticPr fontId="2" type="noConversion"/>
  </si>
  <si>
    <r>
      <rPr>
        <sz val="9"/>
        <rFont val="標楷體"/>
        <family val="4"/>
        <charset val="136"/>
      </rPr>
      <t>合</t>
    </r>
    <r>
      <rPr>
        <sz val="9"/>
        <rFont val="Times New Roman"/>
        <family val="1"/>
      </rPr>
      <t xml:space="preserve">  </t>
    </r>
    <r>
      <rPr>
        <sz val="9"/>
        <rFont val="標楷體"/>
        <family val="4"/>
        <charset val="136"/>
      </rPr>
      <t>計</t>
    </r>
    <r>
      <rPr>
        <sz val="12"/>
        <color theme="1"/>
        <rFont val="Times New Roman"/>
        <family val="1"/>
      </rPr>
      <t xml:space="preserve"> Total</t>
    </r>
    <phoneticPr fontId="2" type="noConversion"/>
  </si>
  <si>
    <r>
      <rPr>
        <sz val="9"/>
        <rFont val="標楷體"/>
        <family val="4"/>
        <charset val="136"/>
      </rPr>
      <t xml:space="preserve">長期照顧低收入
</t>
    </r>
    <r>
      <rPr>
        <sz val="12"/>
        <color theme="1"/>
        <rFont val="Times New Roman"/>
        <family val="1"/>
      </rPr>
      <t>Low-income</t>
    </r>
    <phoneticPr fontId="2" type="noConversion"/>
  </si>
  <si>
    <r>
      <rPr>
        <sz val="11"/>
        <rFont val="標楷體"/>
        <family val="4"/>
        <charset val="136"/>
      </rPr>
      <t xml:space="preserve">年別
</t>
    </r>
    <r>
      <rPr>
        <sz val="11"/>
        <rFont val="Times New Roman"/>
        <family val="1"/>
      </rPr>
      <t>Year</t>
    </r>
    <phoneticPr fontId="5" type="noConversion"/>
  </si>
  <si>
    <r>
      <rPr>
        <sz val="11"/>
        <rFont val="標楷體"/>
        <family val="4"/>
        <charset val="136"/>
      </rPr>
      <t>期底服務個案人數</t>
    </r>
    <phoneticPr fontId="5" type="noConversion"/>
  </si>
  <si>
    <r>
      <rPr>
        <sz val="11"/>
        <rFont val="標楷體"/>
        <family val="4"/>
        <charset val="136"/>
      </rPr>
      <t>本期服務人數</t>
    </r>
    <phoneticPr fontId="5" type="noConversion"/>
  </si>
  <si>
    <r>
      <rPr>
        <sz val="11"/>
        <rFont val="標楷體"/>
        <family val="4"/>
        <charset val="136"/>
      </rPr>
      <t>總計</t>
    </r>
    <phoneticPr fontId="5" type="noConversion"/>
  </si>
  <si>
    <r>
      <rPr>
        <sz val="11"/>
        <rFont val="標楷體"/>
        <family val="4"/>
        <charset val="136"/>
      </rPr>
      <t>低收入戶</t>
    </r>
    <phoneticPr fontId="5" type="noConversion"/>
  </si>
  <si>
    <r>
      <rPr>
        <sz val="11"/>
        <rFont val="標楷體"/>
        <family val="4"/>
        <charset val="136"/>
      </rPr>
      <t>中低收入戶</t>
    </r>
    <phoneticPr fontId="5" type="noConversion"/>
  </si>
  <si>
    <r>
      <rPr>
        <sz val="11"/>
        <rFont val="標楷體"/>
        <family val="4"/>
        <charset val="136"/>
      </rPr>
      <t>一般戶</t>
    </r>
    <phoneticPr fontId="5" type="noConversion"/>
  </si>
  <si>
    <r>
      <rPr>
        <sz val="11"/>
        <rFont val="標楷體"/>
        <family val="4"/>
        <charset val="136"/>
      </rPr>
      <t>具原住民身分</t>
    </r>
    <phoneticPr fontId="5" type="noConversion"/>
  </si>
  <si>
    <r>
      <rPr>
        <sz val="9"/>
        <rFont val="標楷體"/>
        <family val="4"/>
        <charset val="136"/>
      </rPr>
      <t>附註：</t>
    </r>
    <r>
      <rPr>
        <sz val="12"/>
        <color theme="1"/>
        <rFont val="Times New Roman"/>
        <family val="1"/>
      </rPr>
      <t>1.</t>
    </r>
    <r>
      <rPr>
        <sz val="9"/>
        <rFont val="標楷體"/>
        <family val="4"/>
        <charset val="136"/>
      </rPr>
      <t>長照</t>
    </r>
    <r>
      <rPr>
        <sz val="12"/>
        <color theme="1"/>
        <rFont val="Times New Roman"/>
        <family val="1"/>
      </rPr>
      <t>2.0</t>
    </r>
    <r>
      <rPr>
        <sz val="9"/>
        <rFont val="標楷體"/>
        <family val="4"/>
        <charset val="136"/>
      </rPr>
      <t>於</t>
    </r>
    <r>
      <rPr>
        <sz val="12"/>
        <color theme="1"/>
        <rFont val="Times New Roman"/>
        <family val="1"/>
      </rPr>
      <t>106</t>
    </r>
    <r>
      <rPr>
        <sz val="9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6</t>
    </r>
    <r>
      <rPr>
        <sz val="9"/>
        <rFont val="標楷體"/>
        <family val="4"/>
        <charset val="136"/>
      </rPr>
      <t>月開始實施，擴大服務對象，致</t>
    </r>
    <r>
      <rPr>
        <sz val="12"/>
        <color theme="1"/>
        <rFont val="Times New Roman"/>
        <family val="1"/>
      </rPr>
      <t>107</t>
    </r>
    <r>
      <rPr>
        <sz val="9"/>
        <rFont val="標楷體"/>
        <family val="4"/>
        <charset val="136"/>
      </rPr>
      <t>年服務人數大幅增加。
　　　</t>
    </r>
    <r>
      <rPr>
        <sz val="12"/>
        <color theme="1"/>
        <rFont val="Times New Roman"/>
        <family val="1"/>
      </rPr>
      <t>2.</t>
    </r>
    <r>
      <rPr>
        <sz val="9"/>
        <rFont val="標楷體"/>
        <family val="4"/>
        <charset val="136"/>
      </rPr>
      <t>「期底服務個案人數」：屬靜態資料，係指期底現有服務個案之人數</t>
    </r>
    <r>
      <rPr>
        <sz val="12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不含已結案者</t>
    </r>
    <r>
      <rPr>
        <sz val="12"/>
        <color theme="1"/>
        <rFont val="Times New Roman"/>
        <family val="1"/>
      </rPr>
      <t>)</t>
    </r>
    <r>
      <rPr>
        <sz val="9"/>
        <rFont val="標楷體"/>
        <family val="4"/>
        <charset val="136"/>
      </rPr>
      <t>。以</t>
    </r>
    <r>
      <rPr>
        <sz val="12"/>
        <color theme="1"/>
        <rFont val="Times New Roman"/>
        <family val="1"/>
      </rPr>
      <t>108</t>
    </r>
    <r>
      <rPr>
        <sz val="9"/>
        <rFont val="標楷體"/>
        <family val="4"/>
        <charset val="136"/>
      </rPr>
      <t>年資料為例，係指</t>
    </r>
    <r>
      <rPr>
        <sz val="12"/>
        <color theme="1"/>
        <rFont val="Times New Roman"/>
        <family val="1"/>
      </rPr>
      <t>108</t>
    </r>
    <r>
      <rPr>
        <sz val="9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12</t>
    </r>
    <r>
      <rPr>
        <sz val="9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31</t>
    </r>
    <r>
      <rPr>
        <sz val="9"/>
        <rFont val="標楷體"/>
        <family val="4"/>
        <charset val="136"/>
      </rPr>
      <t>日仍在案之人數。
　　　</t>
    </r>
    <r>
      <rPr>
        <sz val="12"/>
        <color theme="1"/>
        <rFont val="Times New Roman"/>
        <family val="1"/>
      </rPr>
      <t>3.</t>
    </r>
    <r>
      <rPr>
        <sz val="9"/>
        <rFont val="標楷體"/>
        <family val="4"/>
        <charset val="136"/>
      </rPr>
      <t>「本期服務個案人數」：屬動態資料，係指某區間內有使用服務人口中歸人統計。例如：某個案一年共使用服務</t>
    </r>
    <r>
      <rPr>
        <sz val="12"/>
        <color theme="1"/>
        <rFont val="Times New Roman"/>
        <family val="1"/>
      </rPr>
      <t>24</t>
    </r>
    <r>
      <rPr>
        <sz val="9"/>
        <rFont val="標楷體"/>
        <family val="4"/>
        <charset val="136"/>
      </rPr>
      <t>次，則服務人數計</t>
    </r>
    <r>
      <rPr>
        <sz val="12"/>
        <color theme="1"/>
        <rFont val="Times New Roman"/>
        <family val="1"/>
      </rPr>
      <t>1</t>
    </r>
    <r>
      <rPr>
        <sz val="9"/>
        <rFont val="標楷體"/>
        <family val="4"/>
        <charset val="136"/>
      </rPr>
      <t>人。</t>
    </r>
    <phoneticPr fontId="5" type="noConversion"/>
  </si>
  <si>
    <r>
      <rPr>
        <sz val="9"/>
        <rFont val="標楷體"/>
        <family val="4"/>
        <charset val="136"/>
      </rPr>
      <t xml:space="preserve">區域別
</t>
    </r>
    <r>
      <rPr>
        <sz val="12"/>
        <color theme="1"/>
        <rFont val="Times New Roman"/>
        <family val="1"/>
      </rPr>
      <t>Locality</t>
    </r>
    <phoneticPr fontId="2" type="noConversion"/>
  </si>
  <si>
    <r>
      <rPr>
        <b/>
        <sz val="10"/>
        <rFont val="標楷體"/>
        <family val="4"/>
        <charset val="136"/>
      </rPr>
      <t>總</t>
    </r>
    <r>
      <rPr>
        <b/>
        <sz val="10"/>
        <rFont val="Times New Roman"/>
        <family val="1"/>
      </rPr>
      <t xml:space="preserve">   </t>
    </r>
    <r>
      <rPr>
        <b/>
        <sz val="10"/>
        <rFont val="標楷體"/>
        <family val="4"/>
        <charset val="136"/>
      </rPr>
      <t>計</t>
    </r>
    <phoneticPr fontId="2" type="noConversion"/>
  </si>
  <si>
    <r>
      <rPr>
        <sz val="9"/>
        <rFont val="標楷體"/>
        <family val="4"/>
        <charset val="136"/>
      </rPr>
      <t>高雄市</t>
    </r>
    <phoneticPr fontId="5" type="noConversion"/>
  </si>
  <si>
    <r>
      <rPr>
        <sz val="9"/>
        <rFont val="標楷體"/>
        <family val="4"/>
        <charset val="136"/>
      </rPr>
      <t>更新日期：</t>
    </r>
    <r>
      <rPr>
        <sz val="12"/>
        <color theme="1"/>
        <rFont val="Times New Roman"/>
        <family val="1"/>
      </rPr>
      <t>2020/04/20</t>
    </r>
    <phoneticPr fontId="2" type="noConversion"/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</si>
  <si>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</t>
    </r>
    <r>
      <rPr>
        <sz val="10"/>
        <rFont val="標楷體"/>
        <family val="4"/>
        <charset val="136"/>
      </rPr>
      <t>計</t>
    </r>
    <phoneticPr fontId="2" type="noConversion"/>
  </si>
  <si>
    <r>
      <rPr>
        <sz val="9"/>
        <rFont val="標楷體"/>
        <family val="4"/>
        <charset val="136"/>
      </rPr>
      <t xml:space="preserve">期底服務人數
</t>
    </r>
    <r>
      <rPr>
        <sz val="9"/>
        <color theme="1"/>
        <rFont val="Times New Roman"/>
        <family val="1"/>
      </rPr>
      <t>Persons Serviced</t>
    </r>
    <phoneticPr fontId="2" type="noConversion"/>
  </si>
  <si>
    <r>
      <rPr>
        <sz val="9"/>
        <rFont val="標楷體"/>
        <family val="4"/>
        <charset val="136"/>
      </rPr>
      <t>期底服務人數</t>
    </r>
    <r>
      <rPr>
        <sz val="9"/>
        <color theme="1"/>
        <rFont val="Times New Roman"/>
        <family val="1"/>
      </rPr>
      <t xml:space="preserve"> 
Persons Serviced (End of Year)</t>
    </r>
    <phoneticPr fontId="2" type="noConversion"/>
  </si>
  <si>
    <r>
      <rPr>
        <sz val="9"/>
        <rFont val="標楷體"/>
        <family val="4"/>
        <charset val="136"/>
      </rPr>
      <t>服務人次</t>
    </r>
    <r>
      <rPr>
        <sz val="9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日</t>
    </r>
    <r>
      <rPr>
        <sz val="9"/>
        <color theme="1"/>
        <rFont val="Times New Roman"/>
        <family val="1"/>
      </rPr>
      <t>)
Service Person-times</t>
    </r>
    <phoneticPr fontId="2" type="noConversion"/>
  </si>
  <si>
    <r>
      <rPr>
        <sz val="9"/>
        <rFont val="標楷體"/>
        <family val="4"/>
        <charset val="136"/>
      </rPr>
      <t>低收入</t>
    </r>
    <r>
      <rPr>
        <sz val="9"/>
        <color theme="1"/>
        <rFont val="Times New Roman"/>
        <family val="1"/>
      </rPr>
      <t>Low-income</t>
    </r>
    <phoneticPr fontId="2" type="noConversion"/>
  </si>
  <si>
    <r>
      <rPr>
        <sz val="9"/>
        <rFont val="標楷體"/>
        <family val="4"/>
        <charset val="136"/>
      </rPr>
      <t>中低收入</t>
    </r>
    <r>
      <rPr>
        <sz val="9"/>
        <color theme="1"/>
        <rFont val="Times New Roman"/>
        <family val="1"/>
      </rPr>
      <t>Mid-income</t>
    </r>
    <phoneticPr fontId="2" type="noConversion"/>
  </si>
  <si>
    <r>
      <rPr>
        <sz val="9"/>
        <rFont val="標楷體"/>
        <family val="4"/>
        <charset val="136"/>
      </rPr>
      <t>一般戶</t>
    </r>
    <r>
      <rPr>
        <sz val="9"/>
        <color theme="1"/>
        <rFont val="Times New Roman"/>
        <family val="1"/>
      </rPr>
      <t>General</t>
    </r>
    <phoneticPr fontId="2" type="noConversion"/>
  </si>
  <si>
    <r>
      <rPr>
        <sz val="9"/>
        <rFont val="標楷體"/>
        <family val="4"/>
        <charset val="136"/>
      </rPr>
      <t>長照低收入戶</t>
    </r>
    <phoneticPr fontId="5" type="noConversion"/>
  </si>
  <si>
    <r>
      <rPr>
        <sz val="9"/>
        <rFont val="標楷體"/>
        <family val="4"/>
        <charset val="136"/>
      </rPr>
      <t>長照中低收入戶</t>
    </r>
    <phoneticPr fontId="5" type="noConversion"/>
  </si>
  <si>
    <r>
      <rPr>
        <sz val="9"/>
        <rFont val="標楷體"/>
        <family val="4"/>
        <charset val="136"/>
      </rPr>
      <t>長照一般戶</t>
    </r>
    <phoneticPr fontId="5" type="noConversion"/>
  </si>
  <si>
    <r>
      <rPr>
        <sz val="9"/>
        <rFont val="標楷體"/>
        <family val="4"/>
        <charset val="136"/>
      </rPr>
      <t xml:space="preserve">計
</t>
    </r>
    <r>
      <rPr>
        <sz val="9"/>
        <color theme="1"/>
        <rFont val="Times New Roman"/>
        <family val="1"/>
      </rPr>
      <t>Subtotal</t>
    </r>
    <phoneticPr fontId="2" type="noConversion"/>
  </si>
  <si>
    <r>
      <rPr>
        <sz val="9"/>
        <rFont val="標楷體"/>
        <family val="4"/>
        <charset val="136"/>
      </rPr>
      <t xml:space="preserve">男
</t>
    </r>
    <r>
      <rPr>
        <sz val="9"/>
        <color theme="1"/>
        <rFont val="Times New Roman"/>
        <family val="1"/>
      </rPr>
      <t>Male</t>
    </r>
    <phoneticPr fontId="2" type="noConversion"/>
  </si>
  <si>
    <r>
      <rPr>
        <sz val="9"/>
        <rFont val="標楷體"/>
        <family val="4"/>
        <charset val="136"/>
      </rPr>
      <t xml:space="preserve">女
</t>
    </r>
    <r>
      <rPr>
        <sz val="9"/>
        <color theme="1"/>
        <rFont val="Times New Roman"/>
        <family val="1"/>
      </rPr>
      <t>Female</t>
    </r>
    <phoneticPr fontId="2" type="noConversion"/>
  </si>
  <si>
    <r>
      <rPr>
        <sz val="9"/>
        <rFont val="標楷體"/>
        <family val="4"/>
        <charset val="136"/>
      </rPr>
      <t>合</t>
    </r>
    <r>
      <rPr>
        <sz val="9"/>
        <color theme="1"/>
        <rFont val="Times New Roman"/>
        <family val="1"/>
      </rPr>
      <t xml:space="preserve">  </t>
    </r>
    <r>
      <rPr>
        <sz val="9"/>
        <rFont val="標楷體"/>
        <family val="4"/>
        <charset val="136"/>
      </rPr>
      <t>計</t>
    </r>
    <r>
      <rPr>
        <sz val="9"/>
        <color theme="1"/>
        <rFont val="Times New Roman"/>
        <family val="1"/>
      </rPr>
      <t xml:space="preserve"> Total</t>
    </r>
    <phoneticPr fontId="2" type="noConversion"/>
  </si>
  <si>
    <r>
      <rPr>
        <sz val="9"/>
        <rFont val="標楷體"/>
        <family val="4"/>
        <charset val="136"/>
      </rPr>
      <t>集中服務方式</t>
    </r>
    <r>
      <rPr>
        <sz val="9"/>
        <color theme="1"/>
        <rFont val="Times New Roman"/>
        <family val="1"/>
      </rPr>
      <t>Centralized Service</t>
    </r>
    <phoneticPr fontId="2" type="noConversion"/>
  </si>
  <si>
    <r>
      <rPr>
        <sz val="9"/>
        <rFont val="標楷體"/>
        <family val="4"/>
        <charset val="136"/>
      </rPr>
      <t>送餐到家服務方式</t>
    </r>
    <r>
      <rPr>
        <sz val="9"/>
        <color theme="1"/>
        <rFont val="Times New Roman"/>
        <family val="1"/>
      </rPr>
      <t>Meals-on-wheels Service</t>
    </r>
    <phoneticPr fontId="2" type="noConversion"/>
  </si>
  <si>
    <r>
      <rPr>
        <sz val="9"/>
        <rFont val="標楷體"/>
        <family val="4"/>
        <charset val="136"/>
      </rPr>
      <t xml:space="preserve">區域別
</t>
    </r>
    <r>
      <rPr>
        <sz val="9"/>
        <color theme="1"/>
        <rFont val="Times New Roman"/>
        <family val="1"/>
      </rPr>
      <t>Locality</t>
    </r>
    <phoneticPr fontId="2" type="noConversion"/>
  </si>
  <si>
    <r>
      <rPr>
        <sz val="9"/>
        <rFont val="標楷體"/>
        <family val="4"/>
        <charset val="136"/>
      </rPr>
      <t xml:space="preserve">具原住民身分
服務人數
</t>
    </r>
    <r>
      <rPr>
        <sz val="9"/>
        <color theme="1"/>
        <rFont val="Times New Roman"/>
        <family val="1"/>
      </rPr>
      <t>Indigenous</t>
    </r>
    <phoneticPr fontId="2" type="noConversion"/>
  </si>
  <si>
    <r>
      <rPr>
        <sz val="9"/>
        <rFont val="標楷體"/>
        <family val="4"/>
        <charset val="136"/>
      </rPr>
      <t>具原住民身分
服務人數</t>
    </r>
    <r>
      <rPr>
        <sz val="9"/>
        <color theme="1"/>
        <rFont val="Times New Roman"/>
        <family val="1"/>
      </rPr>
      <t xml:space="preserve"> (</t>
    </r>
    <r>
      <rPr>
        <sz val="9"/>
        <rFont val="標楷體"/>
        <family val="4"/>
        <charset val="136"/>
      </rPr>
      <t>人</t>
    </r>
    <r>
      <rPr>
        <sz val="9"/>
        <color theme="1"/>
        <rFont val="Times New Roman"/>
        <family val="1"/>
      </rPr>
      <t>)
Persons Serviced (End of Year)
Indigenous</t>
    </r>
    <phoneticPr fontId="2" type="noConversion"/>
  </si>
  <si>
    <r>
      <rPr>
        <sz val="9"/>
        <rFont val="標楷體"/>
        <family val="4"/>
        <charset val="136"/>
      </rPr>
      <t>期底服務人數</t>
    </r>
    <r>
      <rPr>
        <sz val="9"/>
        <color theme="1"/>
        <rFont val="Times New Roman"/>
        <family val="1"/>
      </rPr>
      <t xml:space="preserve">  (</t>
    </r>
    <r>
      <rPr>
        <sz val="9"/>
        <rFont val="標楷體"/>
        <family val="4"/>
        <charset val="136"/>
      </rPr>
      <t>人</t>
    </r>
    <r>
      <rPr>
        <sz val="9"/>
        <color theme="1"/>
        <rFont val="Times New Roman"/>
        <family val="1"/>
      </rPr>
      <t>)
Persons Serviced (End of Year)</t>
    </r>
    <phoneticPr fontId="2" type="noConversion"/>
  </si>
  <si>
    <r>
      <rPr>
        <sz val="9"/>
        <rFont val="標楷體"/>
        <family val="4"/>
        <charset val="136"/>
      </rPr>
      <t>期底服務人數</t>
    </r>
    <r>
      <rPr>
        <sz val="9"/>
        <color theme="1"/>
        <rFont val="Times New Roman"/>
        <family val="1"/>
      </rPr>
      <t xml:space="preserve"> (</t>
    </r>
    <r>
      <rPr>
        <sz val="9"/>
        <rFont val="標楷體"/>
        <family val="4"/>
        <charset val="136"/>
      </rPr>
      <t>人</t>
    </r>
    <r>
      <rPr>
        <sz val="9"/>
        <color theme="1"/>
        <rFont val="Times New Roman"/>
        <family val="1"/>
      </rPr>
      <t>)
Persons Serviced (End of Year)</t>
    </r>
    <phoneticPr fontId="2" type="noConversion"/>
  </si>
  <si>
    <r>
      <rPr>
        <b/>
        <sz val="9"/>
        <rFont val="標楷體"/>
        <family val="4"/>
        <charset val="136"/>
      </rPr>
      <t>總</t>
    </r>
    <r>
      <rPr>
        <b/>
        <sz val="9"/>
        <rFont val="Times New Roman"/>
        <family val="1"/>
      </rPr>
      <t xml:space="preserve">     </t>
    </r>
    <r>
      <rPr>
        <b/>
        <sz val="9"/>
        <rFont val="標楷體"/>
        <family val="4"/>
        <charset val="136"/>
      </rPr>
      <t>計</t>
    </r>
    <phoneticPr fontId="2" type="noConversion"/>
  </si>
  <si>
    <r>
      <rPr>
        <b/>
        <sz val="10"/>
        <rFont val="標楷體"/>
        <family val="4"/>
        <charset val="136"/>
      </rPr>
      <t>總</t>
    </r>
    <r>
      <rPr>
        <b/>
        <sz val="10"/>
        <rFont val="Times New Roman"/>
        <family val="1"/>
      </rPr>
      <t xml:space="preserve">      </t>
    </r>
    <r>
      <rPr>
        <b/>
        <sz val="10"/>
        <rFont val="標楷體"/>
        <family val="4"/>
        <charset val="136"/>
      </rPr>
      <t>計</t>
    </r>
    <phoneticPr fontId="2" type="noConversion"/>
  </si>
  <si>
    <r>
      <rPr>
        <sz val="12"/>
        <rFont val="標楷體"/>
        <family val="4"/>
        <charset val="136"/>
      </rPr>
      <t>資料來源：衛生福利部長期照顧司。</t>
    </r>
    <r>
      <rPr>
        <sz val="12"/>
        <rFont val="Times New Roman"/>
        <family val="1"/>
      </rPr>
      <t xml:space="preserve"> </t>
    </r>
    <phoneticPr fontId="5" type="noConversion"/>
  </si>
  <si>
    <r>
      <t>110-112</t>
    </r>
    <r>
      <rPr>
        <sz val="10"/>
        <rFont val="標楷體"/>
        <family val="4"/>
        <charset val="136"/>
      </rPr>
      <t>年</t>
    </r>
    <phoneticPr fontId="1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</si>
  <si>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2" type="noConversion"/>
  </si>
  <si>
    <r>
      <rPr>
        <sz val="12"/>
        <color indexed="8"/>
        <rFont val="標楷體"/>
        <family val="4"/>
        <charset val="136"/>
      </rPr>
      <t>更新日期：</t>
    </r>
    <r>
      <rPr>
        <sz val="12"/>
        <color indexed="8"/>
        <rFont val="Times New Roman"/>
        <family val="1"/>
      </rPr>
      <t>2024/04/01</t>
    </r>
    <phoneticPr fontId="2" type="noConversion"/>
  </si>
  <si>
    <r>
      <t>111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, 2022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</si>
  <si>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2" type="noConversion"/>
  </si>
  <si>
    <r>
      <t>112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, 2023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</si>
  <si>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r>
      <t>113</t>
    </r>
    <r>
      <rPr>
        <b/>
        <sz val="12"/>
        <rFont val="標楷體"/>
        <family val="4"/>
        <charset val="136"/>
      </rPr>
      <t>年</t>
    </r>
    <r>
      <rPr>
        <b/>
        <sz val="12"/>
        <rFont val="Times New Roman"/>
        <family val="1"/>
      </rPr>
      <t>, 2024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</si>
  <si>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r>
      <rPr>
        <sz val="12"/>
        <color indexed="8"/>
        <rFont val="標楷體"/>
        <family val="4"/>
        <charset val="136"/>
      </rPr>
      <t>更新日期：</t>
    </r>
    <r>
      <rPr>
        <sz val="12"/>
        <color indexed="8"/>
        <rFont val="Times New Roman"/>
        <family val="1"/>
      </rPr>
      <t>2025/04/21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</si>
</sst>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#,##0_ "/>
    <numFmt numFmtId="177" formatCode="#,##0;\-#,##0;&quot;－&quot;"/>
    <numFmt numFmtId="178" formatCode="#,##0;\-#,##0;&quot;-&quot;"/>
    <numFmt numFmtId="179" formatCode="#,##0.0000;\-#,##0.0000;&quot;－&quot;"/>
    <numFmt numFmtId="180" formatCode="#,##0_);[Red]\(#,##0\)"/>
    <numFmt numFmtId="181" formatCode="#,##0.000000_);[Red]\(#,##0.000000\)"/>
    <numFmt numFmtId="182" formatCode="##,###,##0"/>
    <numFmt numFmtId="183" formatCode="##,###,##0;\-##,###,##0;&quot;        －&quot;"/>
    <numFmt numFmtId="184" formatCode="_-* #,##0_-;\-* #,##0_-;_-* &quot;-&quot;??_-;_-@_-"/>
  </numFmts>
  <fonts count="5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b/>
      <sz val="16"/>
      <name val="Times New Roman"/>
      <family val="1"/>
    </font>
    <font>
      <b/>
      <sz val="16"/>
      <name val="標楷體"/>
      <family val="4"/>
      <charset val="136"/>
    </font>
    <font>
      <sz val="10"/>
      <name val="Times New Roman"/>
      <family val="1"/>
    </font>
    <font>
      <sz val="9"/>
      <name val="標楷體"/>
      <family val="4"/>
      <charset val="136"/>
    </font>
    <font>
      <sz val="9"/>
      <name val="Times New Roman"/>
      <family val="1"/>
    </font>
    <font>
      <sz val="10"/>
      <name val="標楷體"/>
      <family val="4"/>
      <charset val="136"/>
    </font>
    <font>
      <sz val="12"/>
      <color indexed="8"/>
      <name val="新細明體"/>
      <family val="1"/>
      <charset val="136"/>
    </font>
    <font>
      <sz val="11"/>
      <name val="Times New Roman"/>
      <family val="1"/>
    </font>
    <font>
      <b/>
      <sz val="11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b/>
      <sz val="10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sz val="14"/>
      <name val="Times New Roman"/>
      <family val="1"/>
    </font>
    <font>
      <b/>
      <sz val="10"/>
      <name val="標楷體"/>
      <family val="4"/>
      <charset val="136"/>
    </font>
    <font>
      <b/>
      <sz val="10"/>
      <color rgb="FF0000FF"/>
      <name val="Times New Roman"/>
      <family val="1"/>
    </font>
    <font>
      <b/>
      <sz val="10"/>
      <color indexed="12"/>
      <name val="Times New Roman"/>
      <family val="1"/>
    </font>
    <font>
      <sz val="10"/>
      <color rgb="FF0000FF"/>
      <name val="Times New Roman"/>
      <family val="1"/>
    </font>
    <font>
      <sz val="10"/>
      <color indexed="12"/>
      <name val="Times New Roman"/>
      <family val="1"/>
    </font>
    <font>
      <sz val="9"/>
      <color indexed="81"/>
      <name val="細明體"/>
      <family val="3"/>
      <charset val="136"/>
    </font>
    <font>
      <b/>
      <sz val="9"/>
      <color indexed="8"/>
      <name val="Times New Roman"/>
      <family val="1"/>
    </font>
    <font>
      <b/>
      <sz val="9"/>
      <color indexed="8"/>
      <name val="標楷體"/>
      <family val="4"/>
      <charset val="136"/>
    </font>
    <font>
      <sz val="8"/>
      <name val="標楷體"/>
      <family val="4"/>
      <charset val="136"/>
    </font>
    <font>
      <sz val="8"/>
      <name val="Times New Roman"/>
      <family val="1"/>
    </font>
    <font>
      <b/>
      <sz val="16"/>
      <name val="Times New Roman"/>
      <family val="4"/>
      <charset val="136"/>
    </font>
    <font>
      <sz val="10"/>
      <color indexed="8"/>
      <name val="Times New Roman"/>
      <family val="1"/>
    </font>
    <font>
      <sz val="10"/>
      <color indexed="8"/>
      <name val="標楷體"/>
      <family val="4"/>
      <charset val="136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9"/>
      <name val="Times New Roman"/>
      <family val="4"/>
      <charset val="136"/>
    </font>
    <font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0"/>
      <name val="Times New Roman"/>
      <family val="4"/>
      <charset val="136"/>
    </font>
    <font>
      <sz val="10"/>
      <color indexed="8"/>
      <name val="Times New Roman"/>
      <family val="4"/>
      <charset val="136"/>
    </font>
    <font>
      <sz val="9"/>
      <color theme="1"/>
      <name val="Times New Roman"/>
      <family val="1"/>
    </font>
    <font>
      <b/>
      <sz val="9"/>
      <name val="標楷體"/>
      <family val="4"/>
      <charset val="136"/>
    </font>
    <font>
      <b/>
      <sz val="9"/>
      <name val="Times New Roman"/>
      <family val="4"/>
      <charset val="136"/>
    </font>
    <font>
      <b/>
      <sz val="10"/>
      <name val="Times New Roman"/>
      <family val="4"/>
      <charset val="136"/>
    </font>
    <font>
      <sz val="12"/>
      <name val="Times New Roman"/>
      <family val="4"/>
      <charset val="136"/>
    </font>
    <font>
      <sz val="12"/>
      <color indexed="8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auto="1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auto="1"/>
      </left>
      <right/>
      <top style="medium">
        <color auto="1"/>
      </top>
      <bottom/>
      <diagonal/>
    </border>
  </borders>
  <cellStyleXfs count="11">
    <xf numFmtId="0" fontId="0" fillId="0" borderId="0">
      <alignment vertical="center"/>
    </xf>
    <xf numFmtId="0" fontId="4" fillId="0" borderId="0"/>
    <xf numFmtId="0" fontId="4" fillId="0" borderId="0"/>
    <xf numFmtId="43" fontId="7" fillId="0" borderId="0" applyFont="0" applyFill="0" applyBorder="0" applyAlignment="0" applyProtection="0">
      <alignment vertical="center"/>
    </xf>
    <xf numFmtId="0" fontId="4" fillId="0" borderId="0"/>
    <xf numFmtId="0" fontId="12" fillId="0" borderId="0"/>
    <xf numFmtId="0" fontId="12" fillId="0" borderId="0"/>
    <xf numFmtId="0" fontId="4" fillId="0" borderId="0"/>
    <xf numFmtId="0" fontId="4" fillId="0" borderId="0">
      <alignment vertical="center"/>
    </xf>
    <xf numFmtId="0" fontId="4" fillId="0" borderId="0"/>
    <xf numFmtId="9" fontId="7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0" fontId="8" fillId="0" borderId="0" xfId="4" applyFont="1" applyBorder="1"/>
    <xf numFmtId="0" fontId="10" fillId="0" borderId="0" xfId="4" applyFont="1" applyFill="1"/>
    <xf numFmtId="177" fontId="10" fillId="0" borderId="0" xfId="4" applyNumberFormat="1" applyFont="1" applyFill="1"/>
    <xf numFmtId="0" fontId="12" fillId="0" borderId="0" xfId="4" applyFont="1" applyFill="1"/>
    <xf numFmtId="0" fontId="12" fillId="0" borderId="0" xfId="4" applyFont="1" applyFill="1" applyAlignment="1">
      <alignment horizontal="centerContinuous"/>
    </xf>
    <xf numFmtId="0" fontId="12" fillId="0" borderId="0" xfId="4" applyFont="1" applyFill="1" applyAlignment="1">
      <alignment horizontal="center" vertical="center" wrapText="1"/>
    </xf>
    <xf numFmtId="0" fontId="10" fillId="0" borderId="6" xfId="4" applyFont="1" applyFill="1" applyBorder="1" applyAlignment="1">
      <alignment horizontal="center" vertical="center" wrapText="1"/>
    </xf>
    <xf numFmtId="178" fontId="10" fillId="0" borderId="0" xfId="4" applyNumberFormat="1" applyFont="1" applyFill="1" applyBorder="1" applyAlignment="1">
      <alignment horizontal="right" vertical="center"/>
    </xf>
    <xf numFmtId="178" fontId="10" fillId="0" borderId="17" xfId="4" applyNumberFormat="1" applyFont="1" applyFill="1" applyBorder="1" applyAlignment="1">
      <alignment horizontal="right" vertical="center"/>
    </xf>
    <xf numFmtId="0" fontId="10" fillId="0" borderId="0" xfId="4" applyFont="1" applyFill="1" applyAlignment="1">
      <alignment vertical="center"/>
    </xf>
    <xf numFmtId="0" fontId="10" fillId="0" borderId="7" xfId="4" applyFont="1" applyFill="1" applyBorder="1" applyAlignment="1">
      <alignment horizontal="center" vertical="center" wrapText="1"/>
    </xf>
    <xf numFmtId="177" fontId="10" fillId="0" borderId="0" xfId="6" applyNumberFormat="1" applyFont="1" applyFill="1" applyBorder="1" applyAlignment="1">
      <alignment horizontal="right" vertical="center"/>
    </xf>
    <xf numFmtId="177" fontId="10" fillId="0" borderId="17" xfId="6" applyNumberFormat="1" applyFont="1" applyFill="1" applyBorder="1" applyAlignment="1">
      <alignment horizontal="right" vertical="center"/>
    </xf>
    <xf numFmtId="0" fontId="10" fillId="0" borderId="0" xfId="4" applyFont="1" applyFill="1" applyBorder="1" applyAlignment="1">
      <alignment vertical="center"/>
    </xf>
    <xf numFmtId="0" fontId="10" fillId="0" borderId="0" xfId="4" applyFont="1" applyBorder="1" applyAlignment="1">
      <alignment horizontal="center" vertical="center" wrapText="1"/>
    </xf>
    <xf numFmtId="0" fontId="10" fillId="0" borderId="7" xfId="4" applyFont="1" applyBorder="1" applyAlignment="1">
      <alignment horizontal="center" vertical="center" wrapText="1"/>
    </xf>
    <xf numFmtId="177" fontId="10" fillId="0" borderId="0" xfId="6" applyNumberFormat="1" applyFont="1" applyBorder="1" applyAlignment="1">
      <alignment horizontal="right" vertical="center"/>
    </xf>
    <xf numFmtId="177" fontId="12" fillId="0" borderId="0" xfId="6" applyNumberFormat="1" applyFont="1" applyBorder="1" applyAlignment="1">
      <alignment horizontal="right" vertical="center"/>
    </xf>
    <xf numFmtId="0" fontId="12" fillId="0" borderId="0" xfId="4" applyFont="1" applyBorder="1" applyAlignment="1">
      <alignment vertical="center"/>
    </xf>
    <xf numFmtId="177" fontId="10" fillId="0" borderId="18" xfId="6" applyNumberFormat="1" applyFont="1" applyBorder="1" applyAlignment="1">
      <alignment horizontal="right" vertical="center"/>
    </xf>
    <xf numFmtId="177" fontId="10" fillId="0" borderId="3" xfId="6" applyNumberFormat="1" applyFont="1" applyBorder="1" applyAlignment="1">
      <alignment horizontal="right" vertical="center"/>
    </xf>
    <xf numFmtId="177" fontId="10" fillId="0" borderId="19" xfId="6" applyNumberFormat="1" applyFont="1" applyBorder="1" applyAlignment="1">
      <alignment horizontal="right" vertical="center"/>
    </xf>
    <xf numFmtId="177" fontId="10" fillId="0" borderId="4" xfId="6" applyNumberFormat="1" applyFont="1" applyBorder="1" applyAlignment="1">
      <alignment horizontal="right" vertical="center"/>
    </xf>
    <xf numFmtId="0" fontId="12" fillId="0" borderId="0" xfId="4" applyFont="1"/>
    <xf numFmtId="0" fontId="12" fillId="0" borderId="0" xfId="4" applyFont="1" applyAlignment="1">
      <alignment horizontal="centerContinuous"/>
    </xf>
    <xf numFmtId="0" fontId="12" fillId="0" borderId="0" xfId="4" applyFont="1" applyAlignment="1">
      <alignment horizontal="center" vertical="center" wrapText="1"/>
    </xf>
    <xf numFmtId="0" fontId="15" fillId="0" borderId="0" xfId="4" applyFont="1"/>
    <xf numFmtId="0" fontId="15" fillId="0" borderId="5" xfId="4" applyFont="1" applyBorder="1" applyAlignment="1">
      <alignment horizontal="center" vertical="center" wrapText="1"/>
    </xf>
    <xf numFmtId="177" fontId="15" fillId="0" borderId="20" xfId="6" applyNumberFormat="1" applyFont="1" applyBorder="1" applyAlignment="1">
      <alignment horizontal="right" vertical="center"/>
    </xf>
    <xf numFmtId="177" fontId="16" fillId="0" borderId="0" xfId="6" applyNumberFormat="1" applyFont="1" applyBorder="1" applyAlignment="1">
      <alignment horizontal="right" vertical="center"/>
    </xf>
    <xf numFmtId="0" fontId="16" fillId="0" borderId="0" xfId="4" applyFont="1" applyBorder="1" applyAlignment="1">
      <alignment vertical="center"/>
    </xf>
    <xf numFmtId="0" fontId="15" fillId="0" borderId="4" xfId="4" applyFont="1" applyBorder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0" fontId="15" fillId="0" borderId="8" xfId="4" applyFont="1" applyBorder="1" applyAlignment="1">
      <alignment horizontal="center" vertical="center" wrapText="1"/>
    </xf>
    <xf numFmtId="0" fontId="15" fillId="0" borderId="15" xfId="4" applyFont="1" applyBorder="1" applyAlignment="1">
      <alignment horizontal="center" vertical="center" wrapText="1"/>
    </xf>
    <xf numFmtId="0" fontId="15" fillId="0" borderId="0" xfId="5" applyFont="1" applyBorder="1" applyAlignment="1">
      <alignment horizontal="center" vertical="center" wrapText="1"/>
    </xf>
    <xf numFmtId="0" fontId="12" fillId="0" borderId="4" xfId="6" applyFont="1" applyBorder="1" applyAlignment="1"/>
    <xf numFmtId="0" fontId="10" fillId="0" borderId="0" xfId="4" applyFont="1" applyFill="1" applyBorder="1"/>
    <xf numFmtId="0" fontId="10" fillId="0" borderId="0" xfId="4" applyFont="1"/>
    <xf numFmtId="49" fontId="17" fillId="0" borderId="0" xfId="6" applyNumberFormat="1" applyFont="1" applyFill="1" applyBorder="1" applyAlignment="1">
      <alignment horizontal="left" vertical="center"/>
    </xf>
    <xf numFmtId="0" fontId="22" fillId="0" borderId="0" xfId="4" applyFont="1"/>
    <xf numFmtId="0" fontId="10" fillId="0" borderId="3" xfId="4" applyFont="1" applyBorder="1" applyAlignment="1">
      <alignment horizontal="left"/>
    </xf>
    <xf numFmtId="0" fontId="10" fillId="0" borderId="0" xfId="4" applyFont="1" applyBorder="1" applyAlignment="1">
      <alignment horizontal="left"/>
    </xf>
    <xf numFmtId="178" fontId="10" fillId="0" borderId="0" xfId="4" applyNumberFormat="1" applyFont="1"/>
    <xf numFmtId="0" fontId="23" fillId="0" borderId="0" xfId="5" applyFont="1" applyAlignment="1">
      <alignment horizontal="center" vertical="center"/>
    </xf>
    <xf numFmtId="0" fontId="10" fillId="0" borderId="8" xfId="4" applyFont="1" applyBorder="1" applyAlignment="1">
      <alignment horizontal="center" vertical="center" wrapText="1"/>
    </xf>
    <xf numFmtId="0" fontId="10" fillId="0" borderId="15" xfId="4" applyFont="1" applyBorder="1" applyAlignment="1">
      <alignment horizontal="center" vertical="center" wrapText="1"/>
    </xf>
    <xf numFmtId="0" fontId="23" fillId="0" borderId="1" xfId="5" applyFont="1" applyBorder="1" applyAlignment="1">
      <alignment horizontal="center" vertical="center" wrapText="1"/>
    </xf>
    <xf numFmtId="0" fontId="23" fillId="0" borderId="10" xfId="5" applyFont="1" applyBorder="1" applyAlignment="1">
      <alignment horizontal="center" vertical="center" wrapText="1"/>
    </xf>
    <xf numFmtId="0" fontId="23" fillId="0" borderId="9" xfId="5" applyFont="1" applyBorder="1" applyAlignment="1">
      <alignment horizontal="center" vertical="center" wrapText="1"/>
    </xf>
    <xf numFmtId="179" fontId="23" fillId="0" borderId="25" xfId="5" applyNumberFormat="1" applyFont="1" applyBorder="1" applyAlignment="1">
      <alignment horizontal="left" vertical="center"/>
    </xf>
    <xf numFmtId="179" fontId="23" fillId="0" borderId="8" xfId="5" applyNumberFormat="1" applyFont="1" applyBorder="1" applyAlignment="1">
      <alignment horizontal="left" vertical="center"/>
    </xf>
    <xf numFmtId="180" fontId="23" fillId="0" borderId="7" xfId="5" applyNumberFormat="1" applyFont="1" applyBorder="1" applyAlignment="1">
      <alignment horizontal="right" vertical="center"/>
    </xf>
    <xf numFmtId="180" fontId="23" fillId="0" borderId="26" xfId="5" applyNumberFormat="1" applyFont="1" applyBorder="1" applyAlignment="1">
      <alignment horizontal="right" vertical="center"/>
    </xf>
    <xf numFmtId="181" fontId="23" fillId="0" borderId="26" xfId="5" applyNumberFormat="1" applyFont="1" applyBorder="1" applyAlignment="1">
      <alignment horizontal="right" vertical="center"/>
    </xf>
    <xf numFmtId="181" fontId="23" fillId="0" borderId="7" xfId="5" applyNumberFormat="1" applyFont="1" applyBorder="1" applyAlignment="1">
      <alignment horizontal="right" vertical="center"/>
    </xf>
    <xf numFmtId="181" fontId="23" fillId="0" borderId="7" xfId="5" applyNumberFormat="1" applyFont="1" applyBorder="1" applyAlignment="1">
      <alignment horizontal="center" vertical="center"/>
    </xf>
    <xf numFmtId="181" fontId="23" fillId="0" borderId="27" xfId="5" applyNumberFormat="1" applyFont="1" applyBorder="1" applyAlignment="1">
      <alignment horizontal="right" vertical="center"/>
    </xf>
    <xf numFmtId="180" fontId="23" fillId="0" borderId="0" xfId="5" applyNumberFormat="1" applyFont="1" applyBorder="1" applyAlignment="1">
      <alignment horizontal="right" vertical="center"/>
    </xf>
    <xf numFmtId="0" fontId="0" fillId="0" borderId="0" xfId="5" applyFont="1" applyAlignment="1">
      <alignment horizontal="center" vertical="center"/>
    </xf>
    <xf numFmtId="0" fontId="24" fillId="0" borderId="0" xfId="4" applyFont="1" applyBorder="1" applyAlignment="1">
      <alignment horizontal="center" wrapText="1"/>
    </xf>
    <xf numFmtId="0" fontId="26" fillId="0" borderId="6" xfId="4" applyFont="1" applyBorder="1" applyAlignment="1">
      <alignment vertical="center"/>
    </xf>
    <xf numFmtId="182" fontId="26" fillId="0" borderId="28" xfId="5" applyNumberFormat="1" applyFont="1" applyFill="1" applyBorder="1" applyAlignment="1">
      <alignment horizontal="right" vertical="center"/>
    </xf>
    <xf numFmtId="182" fontId="26" fillId="0" borderId="0" xfId="5" applyNumberFormat="1" applyFont="1" applyFill="1" applyBorder="1" applyAlignment="1">
      <alignment horizontal="right" vertical="center"/>
    </xf>
    <xf numFmtId="182" fontId="26" fillId="0" borderId="0" xfId="5" applyNumberFormat="1" applyFont="1" applyFill="1" applyBorder="1" applyAlignment="1">
      <alignment vertical="center"/>
    </xf>
    <xf numFmtId="0" fontId="27" fillId="0" borderId="0" xfId="5" applyFont="1"/>
    <xf numFmtId="0" fontId="23" fillId="0" borderId="0" xfId="7" applyFont="1" applyBorder="1" applyAlignment="1">
      <alignment horizontal="right"/>
    </xf>
    <xf numFmtId="177" fontId="12" fillId="0" borderId="7" xfId="6" applyNumberFormat="1" applyFont="1" applyBorder="1" applyAlignment="1">
      <alignment horizontal="left"/>
    </xf>
    <xf numFmtId="182" fontId="10" fillId="0" borderId="28" xfId="5" applyNumberFormat="1" applyFont="1" applyFill="1" applyBorder="1" applyAlignment="1">
      <alignment horizontal="right" vertical="center"/>
    </xf>
    <xf numFmtId="182" fontId="10" fillId="0" borderId="0" xfId="5" applyNumberFormat="1" applyFont="1" applyFill="1" applyBorder="1" applyAlignment="1">
      <alignment horizontal="right" vertical="center"/>
    </xf>
    <xf numFmtId="182" fontId="10" fillId="0" borderId="0" xfId="5" applyNumberFormat="1" applyFont="1" applyFill="1" applyBorder="1" applyAlignment="1">
      <alignment vertical="center"/>
    </xf>
    <xf numFmtId="0" fontId="0" fillId="0" borderId="0" xfId="5" applyFont="1"/>
    <xf numFmtId="183" fontId="10" fillId="0" borderId="0" xfId="5" applyNumberFormat="1" applyFont="1" applyFill="1" applyBorder="1" applyAlignment="1">
      <alignment horizontal="right" vertical="center"/>
    </xf>
    <xf numFmtId="183" fontId="10" fillId="0" borderId="0" xfId="5" applyNumberFormat="1" applyFont="1" applyFill="1" applyBorder="1" applyAlignment="1">
      <alignment vertical="center"/>
    </xf>
    <xf numFmtId="49" fontId="28" fillId="0" borderId="0" xfId="6" applyNumberFormat="1" applyFont="1" applyFill="1" applyBorder="1" applyAlignment="1">
      <alignment horizontal="right"/>
    </xf>
    <xf numFmtId="183" fontId="10" fillId="0" borderId="28" xfId="5" applyNumberFormat="1" applyFont="1" applyFill="1" applyBorder="1" applyAlignment="1">
      <alignment horizontal="right" vertical="center"/>
    </xf>
    <xf numFmtId="49" fontId="28" fillId="0" borderId="3" xfId="6" applyNumberFormat="1" applyFont="1" applyFill="1" applyBorder="1" applyAlignment="1">
      <alignment horizontal="right"/>
    </xf>
    <xf numFmtId="183" fontId="10" fillId="0" borderId="2" xfId="5" applyNumberFormat="1" applyFont="1" applyFill="1" applyBorder="1" applyAlignment="1">
      <alignment horizontal="right" vertical="center"/>
    </xf>
    <xf numFmtId="183" fontId="10" fillId="0" borderId="3" xfId="5" applyNumberFormat="1" applyFont="1" applyFill="1" applyBorder="1" applyAlignment="1">
      <alignment horizontal="right" vertical="center"/>
    </xf>
    <xf numFmtId="183" fontId="10" fillId="0" borderId="3" xfId="5" applyNumberFormat="1" applyFont="1" applyFill="1" applyBorder="1" applyAlignment="1">
      <alignment vertical="center"/>
    </xf>
    <xf numFmtId="0" fontId="23" fillId="0" borderId="0" xfId="5" applyFont="1" applyAlignment="1">
      <alignment horizontal="left" vertical="top" wrapText="1"/>
    </xf>
    <xf numFmtId="0" fontId="23" fillId="0" borderId="0" xfId="5" applyFont="1" applyAlignment="1">
      <alignment horizontal="center" vertical="top" wrapText="1"/>
    </xf>
    <xf numFmtId="0" fontId="0" fillId="0" borderId="0" xfId="5" applyFont="1" applyBorder="1"/>
    <xf numFmtId="0" fontId="0" fillId="0" borderId="0" xfId="5" applyFont="1" applyAlignment="1">
      <alignment horizontal="center"/>
    </xf>
    <xf numFmtId="0" fontId="30" fillId="0" borderId="0" xfId="4" applyFont="1"/>
    <xf numFmtId="0" fontId="31" fillId="0" borderId="0" xfId="4" applyFont="1" applyBorder="1" applyAlignment="1">
      <alignment horizontal="right" wrapText="1"/>
    </xf>
    <xf numFmtId="178" fontId="26" fillId="0" borderId="0" xfId="4" applyNumberFormat="1" applyFont="1" applyFill="1" applyBorder="1" applyAlignment="1">
      <alignment horizontal="right"/>
    </xf>
    <xf numFmtId="178" fontId="32" fillId="0" borderId="0" xfId="4" applyNumberFormat="1" applyFont="1" applyFill="1" applyBorder="1" applyAlignment="1">
      <alignment horizontal="right"/>
    </xf>
    <xf numFmtId="177" fontId="33" fillId="0" borderId="0" xfId="6" applyNumberFormat="1" applyFont="1" applyBorder="1" applyAlignment="1">
      <alignment horizontal="right" vertical="center"/>
    </xf>
    <xf numFmtId="0" fontId="26" fillId="0" borderId="0" xfId="4" applyFont="1" applyAlignment="1">
      <alignment vertical="center"/>
    </xf>
    <xf numFmtId="0" fontId="12" fillId="0" borderId="0" xfId="7" applyFont="1" applyBorder="1" applyAlignment="1">
      <alignment horizontal="right"/>
    </xf>
    <xf numFmtId="178" fontId="10" fillId="0" borderId="0" xfId="4" applyNumberFormat="1" applyFont="1" applyFill="1" applyBorder="1" applyAlignment="1">
      <alignment horizontal="right"/>
    </xf>
    <xf numFmtId="178" fontId="34" fillId="0" borderId="0" xfId="4" applyNumberFormat="1" applyFont="1" applyFill="1" applyBorder="1" applyAlignment="1">
      <alignment horizontal="right"/>
    </xf>
    <xf numFmtId="177" fontId="35" fillId="0" borderId="0" xfId="6" applyNumberFormat="1" applyFont="1" applyBorder="1" applyAlignment="1">
      <alignment horizontal="right"/>
    </xf>
    <xf numFmtId="0" fontId="10" fillId="0" borderId="0" xfId="4" applyFont="1" applyAlignment="1"/>
    <xf numFmtId="0" fontId="11" fillId="0" borderId="0" xfId="7" applyFont="1" applyBorder="1" applyAlignment="1">
      <alignment horizontal="right"/>
    </xf>
    <xf numFmtId="49" fontId="17" fillId="0" borderId="0" xfId="6" applyNumberFormat="1" applyFont="1" applyFill="1" applyBorder="1" applyAlignment="1">
      <alignment horizontal="right"/>
    </xf>
    <xf numFmtId="178" fontId="12" fillId="0" borderId="7" xfId="4" applyNumberFormat="1" applyFont="1" applyFill="1" applyBorder="1" applyAlignment="1">
      <alignment horizontal="left"/>
    </xf>
    <xf numFmtId="49" fontId="17" fillId="0" borderId="3" xfId="6" applyNumberFormat="1" applyFont="1" applyFill="1" applyBorder="1" applyAlignment="1">
      <alignment horizontal="right"/>
    </xf>
    <xf numFmtId="178" fontId="12" fillId="0" borderId="8" xfId="4" applyNumberFormat="1" applyFont="1" applyFill="1" applyBorder="1" applyAlignment="1">
      <alignment horizontal="left"/>
    </xf>
    <xf numFmtId="178" fontId="10" fillId="0" borderId="3" xfId="4" applyNumberFormat="1" applyFont="1" applyFill="1" applyBorder="1" applyAlignment="1">
      <alignment horizontal="right"/>
    </xf>
    <xf numFmtId="0" fontId="12" fillId="0" borderId="0" xfId="6" applyFont="1" applyBorder="1" applyAlignment="1"/>
    <xf numFmtId="49" fontId="12" fillId="0" borderId="0" xfId="6" applyNumberFormat="1" applyFont="1" applyFill="1" applyBorder="1" applyAlignment="1">
      <alignment horizontal="left" vertical="center"/>
    </xf>
    <xf numFmtId="177" fontId="26" fillId="0" borderId="0" xfId="6" applyNumberFormat="1" applyFont="1" applyBorder="1" applyAlignment="1">
      <alignment horizontal="right" vertical="center"/>
    </xf>
    <xf numFmtId="177" fontId="10" fillId="0" borderId="0" xfId="6" applyNumberFormat="1" applyFont="1" applyBorder="1" applyAlignment="1">
      <alignment horizontal="right"/>
    </xf>
    <xf numFmtId="49" fontId="12" fillId="0" borderId="0" xfId="6" applyNumberFormat="1" applyFont="1" applyFill="1" applyBorder="1" applyAlignment="1">
      <alignment horizontal="right"/>
    </xf>
    <xf numFmtId="0" fontId="10" fillId="0" borderId="6" xfId="4" applyFont="1" applyBorder="1" applyAlignment="1">
      <alignment vertical="center"/>
    </xf>
    <xf numFmtId="177" fontId="35" fillId="0" borderId="0" xfId="6" applyNumberFormat="1" applyFont="1" applyBorder="1" applyAlignment="1">
      <alignment horizontal="right" vertical="center"/>
    </xf>
    <xf numFmtId="0" fontId="10" fillId="0" borderId="0" xfId="4" applyFont="1" applyAlignment="1">
      <alignment vertical="center"/>
    </xf>
    <xf numFmtId="0" fontId="13" fillId="0" borderId="0" xfId="4" applyFont="1" applyBorder="1" applyAlignment="1">
      <alignment horizontal="center" wrapText="1"/>
    </xf>
    <xf numFmtId="0" fontId="10" fillId="0" borderId="0" xfId="4" applyFont="1" applyBorder="1" applyAlignment="1">
      <alignment horizontal="distributed" wrapText="1"/>
    </xf>
    <xf numFmtId="0" fontId="10" fillId="0" borderId="0" xfId="4" applyFont="1" applyBorder="1" applyAlignment="1">
      <alignment horizontal="distributed"/>
    </xf>
    <xf numFmtId="0" fontId="10" fillId="0" borderId="3" xfId="4" applyFont="1" applyBorder="1" applyAlignment="1">
      <alignment horizontal="distributed"/>
    </xf>
    <xf numFmtId="0" fontId="26" fillId="0" borderId="0" xfId="4" applyFont="1" applyBorder="1" applyAlignment="1">
      <alignment horizontal="center" vertical="center" wrapText="1"/>
    </xf>
    <xf numFmtId="0" fontId="26" fillId="0" borderId="0" xfId="4" applyFont="1" applyBorder="1" applyAlignment="1">
      <alignment horizontal="center" wrapText="1"/>
    </xf>
    <xf numFmtId="0" fontId="26" fillId="0" borderId="6" xfId="4" applyFont="1" applyBorder="1" applyAlignment="1">
      <alignment horizontal="left" wrapText="1"/>
    </xf>
    <xf numFmtId="3" fontId="10" fillId="0" borderId="0" xfId="4" applyNumberFormat="1" applyFont="1"/>
    <xf numFmtId="49" fontId="37" fillId="0" borderId="0" xfId="6" applyNumberFormat="1" applyFont="1" applyFill="1" applyBorder="1" applyAlignment="1">
      <alignment horizontal="left" vertical="center"/>
    </xf>
    <xf numFmtId="49" fontId="39" fillId="0" borderId="28" xfId="6" applyNumberFormat="1" applyFont="1" applyFill="1" applyBorder="1" applyAlignment="1">
      <alignment vertical="center"/>
    </xf>
    <xf numFmtId="177" fontId="12" fillId="0" borderId="7" xfId="6" applyNumberFormat="1" applyFont="1" applyBorder="1" applyAlignment="1">
      <alignment horizontal="left" vertical="center"/>
    </xf>
    <xf numFmtId="49" fontId="40" fillId="0" borderId="28" xfId="6" applyNumberFormat="1" applyFont="1" applyFill="1" applyBorder="1" applyAlignment="1">
      <alignment vertical="center"/>
    </xf>
    <xf numFmtId="178" fontId="12" fillId="0" borderId="7" xfId="4" applyNumberFormat="1" applyFont="1" applyFill="1" applyBorder="1" applyAlignment="1">
      <alignment horizontal="left" vertical="center"/>
    </xf>
    <xf numFmtId="49" fontId="40" fillId="0" borderId="2" xfId="6" applyNumberFormat="1" applyFont="1" applyFill="1" applyBorder="1" applyAlignment="1">
      <alignment vertical="center"/>
    </xf>
    <xf numFmtId="178" fontId="12" fillId="0" borderId="8" xfId="4" applyNumberFormat="1" applyFont="1" applyFill="1" applyBorder="1" applyAlignment="1">
      <alignment horizontal="left" vertical="center"/>
    </xf>
    <xf numFmtId="0" fontId="26" fillId="0" borderId="3" xfId="4" applyFont="1" applyBorder="1" applyAlignment="1">
      <alignment horizontal="left" wrapText="1"/>
    </xf>
    <xf numFmtId="177" fontId="26" fillId="0" borderId="0" xfId="6" applyNumberFormat="1" applyFont="1" applyBorder="1" applyAlignment="1">
      <alignment horizontal="right"/>
    </xf>
    <xf numFmtId="0" fontId="26" fillId="0" borderId="0" xfId="4" applyFont="1" applyAlignment="1"/>
    <xf numFmtId="177" fontId="27" fillId="0" borderId="0" xfId="6" applyNumberFormat="1" applyFont="1" applyBorder="1" applyAlignment="1">
      <alignment horizontal="right"/>
    </xf>
    <xf numFmtId="49" fontId="40" fillId="0" borderId="28" xfId="6" applyNumberFormat="1" applyFont="1" applyFill="1" applyBorder="1" applyAlignment="1"/>
    <xf numFmtId="49" fontId="39" fillId="0" borderId="28" xfId="6" applyNumberFormat="1" applyFont="1" applyFill="1" applyBorder="1" applyAlignment="1"/>
    <xf numFmtId="177" fontId="12" fillId="0" borderId="0" xfId="6" applyNumberFormat="1" applyFont="1" applyBorder="1" applyAlignment="1">
      <alignment horizontal="right"/>
    </xf>
    <xf numFmtId="49" fontId="40" fillId="0" borderId="2" xfId="6" applyNumberFormat="1" applyFont="1" applyFill="1" applyBorder="1" applyAlignment="1"/>
    <xf numFmtId="0" fontId="22" fillId="0" borderId="0" xfId="0" applyFont="1" applyAlignment="1">
      <alignment vertical="center"/>
    </xf>
    <xf numFmtId="0" fontId="22" fillId="0" borderId="0" xfId="0" applyFont="1" applyBorder="1" applyAlignment="1">
      <alignment horizontal="centerContinuous" vertical="center"/>
    </xf>
    <xf numFmtId="184" fontId="23" fillId="0" borderId="28" xfId="3" applyNumberFormat="1" applyFont="1" applyBorder="1" applyAlignment="1">
      <alignment horizontal="center" vertical="center" wrapText="1"/>
    </xf>
    <xf numFmtId="184" fontId="23" fillId="0" borderId="0" xfId="3" applyNumberFormat="1" applyFont="1" applyBorder="1" applyAlignment="1">
      <alignment horizontal="center" vertical="center" wrapText="1"/>
    </xf>
    <xf numFmtId="49" fontId="42" fillId="0" borderId="0" xfId="0" applyNumberFormat="1" applyFont="1" applyFill="1" applyBorder="1" applyAlignment="1">
      <alignment horizontal="left" vertical="center"/>
    </xf>
    <xf numFmtId="0" fontId="8" fillId="0" borderId="0" xfId="6" applyFont="1" applyBorder="1" applyAlignment="1">
      <alignment horizontal="left"/>
    </xf>
    <xf numFmtId="0" fontId="44" fillId="0" borderId="0" xfId="5" applyFont="1" applyBorder="1"/>
    <xf numFmtId="178" fontId="45" fillId="0" borderId="7" xfId="4" applyNumberFormat="1" applyFont="1" applyFill="1" applyBorder="1" applyAlignment="1">
      <alignment horizontal="left"/>
    </xf>
    <xf numFmtId="178" fontId="45" fillId="0" borderId="8" xfId="4" applyNumberFormat="1" applyFont="1" applyFill="1" applyBorder="1" applyAlignment="1">
      <alignment horizontal="left"/>
    </xf>
    <xf numFmtId="49" fontId="24" fillId="0" borderId="25" xfId="7" applyNumberFormat="1" applyFont="1" applyFill="1" applyBorder="1" applyAlignment="1">
      <alignment vertical="center" wrapText="1"/>
    </xf>
    <xf numFmtId="49" fontId="23" fillId="0" borderId="25" xfId="7" applyNumberFormat="1" applyFont="1" applyFill="1" applyBorder="1" applyAlignment="1">
      <alignment horizontal="left" vertical="center" wrapText="1" indent="2"/>
    </xf>
    <xf numFmtId="49" fontId="23" fillId="0" borderId="29" xfId="7" applyNumberFormat="1" applyFont="1" applyFill="1" applyBorder="1" applyAlignment="1">
      <alignment horizontal="left" vertical="center" wrapText="1" indent="2"/>
    </xf>
    <xf numFmtId="0" fontId="10" fillId="0" borderId="0" xfId="1" applyFont="1" applyBorder="1" applyAlignment="1">
      <alignment vertical="center"/>
    </xf>
    <xf numFmtId="0" fontId="23" fillId="0" borderId="0" xfId="0" applyFont="1" applyBorder="1" applyAlignment="1">
      <alignment horizontal="right" vertical="center"/>
    </xf>
    <xf numFmtId="0" fontId="23" fillId="0" borderId="0" xfId="0" applyFont="1" applyBorder="1" applyAlignment="1">
      <alignment vertical="center"/>
    </xf>
    <xf numFmtId="0" fontId="23" fillId="0" borderId="0" xfId="0" applyFont="1" applyAlignment="1">
      <alignment vertical="center"/>
    </xf>
    <xf numFmtId="176" fontId="24" fillId="0" borderId="0" xfId="0" applyNumberFormat="1" applyFont="1" applyAlignment="1">
      <alignment vertical="center"/>
    </xf>
    <xf numFmtId="176" fontId="2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4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184" fontId="24" fillId="0" borderId="28" xfId="3" applyNumberFormat="1" applyFont="1" applyBorder="1" applyAlignment="1">
      <alignment horizontal="center" vertical="center" wrapText="1"/>
    </xf>
    <xf numFmtId="184" fontId="24" fillId="0" borderId="0" xfId="3" applyNumberFormat="1" applyFont="1" applyBorder="1" applyAlignment="1">
      <alignment horizontal="center" vertical="center" wrapText="1"/>
    </xf>
    <xf numFmtId="0" fontId="23" fillId="0" borderId="34" xfId="1" applyFont="1" applyBorder="1" applyAlignment="1">
      <alignment horizontal="center" vertical="center" wrapText="1"/>
    </xf>
    <xf numFmtId="0" fontId="23" fillId="0" borderId="35" xfId="1" applyFont="1" applyFill="1" applyBorder="1" applyAlignment="1">
      <alignment horizontal="center" vertical="center" wrapText="1"/>
    </xf>
    <xf numFmtId="0" fontId="23" fillId="0" borderId="35" xfId="1" applyFont="1" applyBorder="1" applyAlignment="1">
      <alignment horizontal="center" vertical="center" wrapText="1"/>
    </xf>
    <xf numFmtId="0" fontId="23" fillId="0" borderId="36" xfId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184" fontId="23" fillId="0" borderId="38" xfId="3" applyNumberFormat="1" applyFont="1" applyBorder="1" applyAlignment="1">
      <alignment horizontal="center" vertical="center" wrapText="1"/>
    </xf>
    <xf numFmtId="184" fontId="23" fillId="0" borderId="37" xfId="3" applyNumberFormat="1" applyFont="1" applyBorder="1" applyAlignment="1">
      <alignment horizontal="center" vertical="center" wrapText="1"/>
    </xf>
    <xf numFmtId="0" fontId="4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vertical="center"/>
    </xf>
    <xf numFmtId="176" fontId="23" fillId="0" borderId="0" xfId="1" applyNumberFormat="1" applyFont="1" applyBorder="1" applyAlignment="1">
      <alignment vertical="center"/>
    </xf>
    <xf numFmtId="49" fontId="24" fillId="0" borderId="25" xfId="7" applyNumberFormat="1" applyFont="1" applyFill="1" applyBorder="1" applyAlignment="1">
      <alignment horizontal="left" vertical="center" wrapText="1" indent="2"/>
    </xf>
    <xf numFmtId="176" fontId="24" fillId="0" borderId="0" xfId="1" applyNumberFormat="1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23" fillId="0" borderId="43" xfId="1" applyFont="1" applyBorder="1" applyAlignment="1">
      <alignment horizontal="center" vertical="center" wrapText="1"/>
    </xf>
    <xf numFmtId="0" fontId="23" fillId="0" borderId="44" xfId="1" applyFont="1" applyFill="1" applyBorder="1" applyAlignment="1">
      <alignment horizontal="center" vertical="center" wrapText="1"/>
    </xf>
    <xf numFmtId="0" fontId="23" fillId="0" borderId="37" xfId="0" applyFont="1" applyBorder="1" applyAlignment="1">
      <alignment horizontal="right" vertical="center"/>
    </xf>
    <xf numFmtId="0" fontId="23" fillId="0" borderId="4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0" xfId="0" applyFont="1" applyAlignment="1">
      <alignment horizontal="centerContinuous" vertical="center"/>
    </xf>
    <xf numFmtId="0" fontId="23" fillId="0" borderId="24" xfId="0" applyFont="1" applyBorder="1" applyAlignment="1">
      <alignment horizontal="centerContinuous" vertical="center"/>
    </xf>
    <xf numFmtId="0" fontId="23" fillId="0" borderId="3" xfId="0" applyFont="1" applyBorder="1" applyAlignment="1">
      <alignment horizontal="centerContinuous" vertical="center"/>
    </xf>
    <xf numFmtId="0" fontId="23" fillId="0" borderId="46" xfId="0" applyFont="1" applyBorder="1" applyAlignment="1">
      <alignment horizontal="centerContinuous" vertical="center"/>
    </xf>
    <xf numFmtId="0" fontId="23" fillId="0" borderId="39" xfId="0" applyFont="1" applyBorder="1" applyAlignment="1">
      <alignment horizontal="centerContinuous" vertical="center"/>
    </xf>
    <xf numFmtId="0" fontId="49" fillId="0" borderId="0" xfId="4" applyFont="1" applyBorder="1" applyAlignment="1">
      <alignment horizontal="left" vertical="center"/>
    </xf>
    <xf numFmtId="49" fontId="50" fillId="0" borderId="0" xfId="0" applyNumberFormat="1" applyFont="1" applyFill="1" applyBorder="1" applyAlignment="1">
      <alignment horizontal="left" vertical="center"/>
    </xf>
    <xf numFmtId="0" fontId="12" fillId="0" borderId="7" xfId="4" applyFont="1" applyBorder="1" applyAlignment="1">
      <alignment horizontal="center" vertical="center" wrapText="1"/>
    </xf>
    <xf numFmtId="0" fontId="12" fillId="0" borderId="8" xfId="4" applyFont="1" applyBorder="1" applyAlignment="1">
      <alignment horizontal="center" vertical="center" wrapText="1"/>
    </xf>
    <xf numFmtId="184" fontId="23" fillId="0" borderId="0" xfId="3" applyNumberFormat="1" applyFont="1" applyBorder="1" applyAlignment="1">
      <alignment horizontal="right" vertical="center" wrapText="1"/>
    </xf>
    <xf numFmtId="184" fontId="24" fillId="0" borderId="0" xfId="3" applyNumberFormat="1" applyFont="1" applyBorder="1" applyAlignment="1">
      <alignment horizontal="right" vertical="center" wrapText="1"/>
    </xf>
    <xf numFmtId="0" fontId="15" fillId="0" borderId="1" xfId="5" applyFont="1" applyBorder="1" applyAlignment="1">
      <alignment horizontal="center" vertical="center" wrapText="1"/>
    </xf>
    <xf numFmtId="0" fontId="15" fillId="0" borderId="10" xfId="5" applyFont="1" applyBorder="1" applyAlignment="1">
      <alignment horizontal="center" vertical="center" wrapText="1"/>
    </xf>
    <xf numFmtId="0" fontId="15" fillId="0" borderId="9" xfId="5" applyFont="1" applyBorder="1" applyAlignment="1">
      <alignment horizontal="center" vertical="center" wrapText="1"/>
    </xf>
    <xf numFmtId="0" fontId="26" fillId="0" borderId="0" xfId="4" applyFont="1" applyBorder="1" applyAlignment="1">
      <alignment horizontal="right" wrapText="1"/>
    </xf>
    <xf numFmtId="0" fontId="10" fillId="0" borderId="0" xfId="4" applyFont="1" applyBorder="1" applyAlignment="1">
      <alignment horizontal="right" wrapText="1"/>
    </xf>
    <xf numFmtId="0" fontId="53" fillId="0" borderId="0" xfId="4" applyFont="1" applyBorder="1" applyAlignment="1">
      <alignment horizontal="center" wrapText="1"/>
    </xf>
    <xf numFmtId="0" fontId="54" fillId="0" borderId="0" xfId="4" applyFont="1" applyBorder="1" applyAlignment="1">
      <alignment horizontal="center" wrapText="1"/>
    </xf>
    <xf numFmtId="0" fontId="23" fillId="0" borderId="0" xfId="1" applyFont="1" applyAlignment="1">
      <alignment vertical="center"/>
    </xf>
    <xf numFmtId="0" fontId="55" fillId="0" borderId="0" xfId="0" applyFont="1" applyBorder="1" applyAlignment="1">
      <alignment vertical="center"/>
    </xf>
    <xf numFmtId="0" fontId="23" fillId="0" borderId="0" xfId="9" applyFont="1" applyBorder="1" applyAlignment="1">
      <alignment horizontal="right" vertical="center"/>
    </xf>
    <xf numFmtId="0" fontId="23" fillId="0" borderId="0" xfId="9" applyFont="1" applyBorder="1" applyAlignment="1">
      <alignment vertical="center"/>
    </xf>
    <xf numFmtId="0" fontId="23" fillId="0" borderId="39" xfId="0" applyFont="1" applyBorder="1" applyAlignment="1">
      <alignment vertical="center"/>
    </xf>
    <xf numFmtId="0" fontId="23" fillId="0" borderId="0" xfId="4" applyFont="1" applyAlignment="1">
      <alignment vertical="center"/>
    </xf>
    <xf numFmtId="49" fontId="56" fillId="0" borderId="0" xfId="0" applyNumberFormat="1" applyFont="1" applyFill="1" applyBorder="1" applyAlignment="1">
      <alignment horizontal="left" vertical="center"/>
    </xf>
    <xf numFmtId="0" fontId="41" fillId="0" borderId="0" xfId="0" applyFont="1" applyBorder="1" applyAlignment="1">
      <alignment horizontal="left" vertical="top"/>
    </xf>
    <xf numFmtId="180" fontId="48" fillId="0" borderId="30" xfId="8" applyNumberFormat="1" applyFont="1" applyFill="1" applyBorder="1" applyAlignment="1">
      <alignment horizontal="center" vertical="center" wrapText="1"/>
    </xf>
    <xf numFmtId="180" fontId="28" fillId="0" borderId="25" xfId="8" applyNumberFormat="1" applyFont="1" applyFill="1" applyBorder="1" applyAlignment="1">
      <alignment horizontal="center" vertical="center" wrapText="1"/>
    </xf>
    <xf numFmtId="180" fontId="28" fillId="0" borderId="29" xfId="8" applyNumberFormat="1" applyFont="1" applyFill="1" applyBorder="1" applyAlignment="1">
      <alignment horizontal="center" vertical="center" wrapText="1"/>
    </xf>
    <xf numFmtId="0" fontId="3" fillId="0" borderId="40" xfId="1" applyFont="1" applyBorder="1" applyAlignment="1">
      <alignment horizontal="center" vertical="center"/>
    </xf>
    <xf numFmtId="0" fontId="23" fillId="0" borderId="32" xfId="1" applyFont="1" applyBorder="1" applyAlignment="1">
      <alignment horizontal="center" vertical="center"/>
    </xf>
    <xf numFmtId="0" fontId="23" fillId="0" borderId="33" xfId="1" applyFont="1" applyBorder="1" applyAlignment="1">
      <alignment horizontal="center" vertical="center"/>
    </xf>
    <xf numFmtId="0" fontId="23" fillId="0" borderId="41" xfId="1" applyFont="1" applyBorder="1" applyAlignment="1">
      <alignment horizontal="center" vertical="center"/>
    </xf>
    <xf numFmtId="0" fontId="23" fillId="0" borderId="42" xfId="1" applyFont="1" applyBorder="1" applyAlignment="1">
      <alignment horizontal="center" vertical="center" wrapText="1"/>
    </xf>
    <xf numFmtId="0" fontId="23" fillId="0" borderId="20" xfId="1" applyFont="1" applyBorder="1" applyAlignment="1">
      <alignment horizontal="center" vertical="center" wrapText="1"/>
    </xf>
    <xf numFmtId="0" fontId="23" fillId="0" borderId="5" xfId="1" applyFont="1" applyBorder="1" applyAlignment="1">
      <alignment horizontal="center" vertical="center" wrapText="1"/>
    </xf>
    <xf numFmtId="0" fontId="23" fillId="0" borderId="1" xfId="1" applyFont="1" applyFill="1" applyBorder="1" applyAlignment="1">
      <alignment horizontal="center" vertical="center" wrapText="1"/>
    </xf>
    <xf numFmtId="0" fontId="23" fillId="0" borderId="9" xfId="1" applyFont="1" applyFill="1" applyBorder="1" applyAlignment="1">
      <alignment horizontal="center" vertical="center" wrapText="1"/>
    </xf>
    <xf numFmtId="0" fontId="23" fillId="0" borderId="12" xfId="1" applyFont="1" applyFill="1" applyBorder="1" applyAlignment="1">
      <alignment horizontal="center" vertical="center" wrapText="1"/>
    </xf>
    <xf numFmtId="180" fontId="28" fillId="0" borderId="30" xfId="8" applyNumberFormat="1" applyFont="1" applyFill="1" applyBorder="1" applyAlignment="1">
      <alignment horizontal="center" vertical="center" wrapText="1"/>
    </xf>
    <xf numFmtId="0" fontId="3" fillId="0" borderId="31" xfId="1" applyFont="1" applyBorder="1" applyAlignment="1">
      <alignment horizontal="center" vertical="center"/>
    </xf>
    <xf numFmtId="0" fontId="12" fillId="0" borderId="0" xfId="6" applyFont="1" applyBorder="1" applyAlignment="1">
      <alignment horizontal="left" vertical="top" wrapText="1"/>
    </xf>
    <xf numFmtId="0" fontId="15" fillId="0" borderId="24" xfId="5" applyFont="1" applyBorder="1" applyAlignment="1">
      <alignment horizontal="center" vertical="center" wrapText="1"/>
    </xf>
    <xf numFmtId="0" fontId="15" fillId="0" borderId="3" xfId="5" applyFont="1" applyBorder="1" applyAlignment="1">
      <alignment horizontal="center" vertical="center" wrapText="1"/>
    </xf>
    <xf numFmtId="0" fontId="15" fillId="0" borderId="15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 wrapText="1"/>
    </xf>
    <xf numFmtId="0" fontId="15" fillId="0" borderId="8" xfId="5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0" fontId="15" fillId="0" borderId="0" xfId="5" applyFont="1" applyBorder="1" applyAlignment="1">
      <alignment horizontal="center" vertical="center" wrapText="1"/>
    </xf>
    <xf numFmtId="0" fontId="15" fillId="0" borderId="22" xfId="4" applyFont="1" applyBorder="1" applyAlignment="1">
      <alignment horizontal="center" vertical="center" wrapText="1"/>
    </xf>
    <xf numFmtId="0" fontId="15" fillId="0" borderId="23" xfId="4" applyFont="1" applyBorder="1" applyAlignment="1">
      <alignment horizontal="center" vertical="center"/>
    </xf>
    <xf numFmtId="0" fontId="15" fillId="0" borderId="13" xfId="4" applyFont="1" applyBorder="1" applyAlignment="1">
      <alignment horizontal="center" vertical="center" wrapText="1"/>
    </xf>
    <xf numFmtId="0" fontId="15" fillId="0" borderId="15" xfId="4" applyFont="1" applyBorder="1" applyAlignment="1">
      <alignment horizontal="center" vertical="center"/>
    </xf>
    <xf numFmtId="0" fontId="15" fillId="0" borderId="11" xfId="4" applyFont="1" applyBorder="1" applyAlignment="1">
      <alignment horizontal="center" vertical="center" wrapText="1"/>
    </xf>
    <xf numFmtId="0" fontId="15" fillId="0" borderId="2" xfId="4" applyFont="1" applyBorder="1" applyAlignment="1">
      <alignment horizontal="center" vertical="center"/>
    </xf>
    <xf numFmtId="0" fontId="15" fillId="0" borderId="20" xfId="5" applyFont="1" applyBorder="1" applyAlignment="1">
      <alignment horizontal="center" vertical="center" wrapText="1"/>
    </xf>
    <xf numFmtId="0" fontId="15" fillId="0" borderId="9" xfId="5" applyFont="1" applyBorder="1" applyAlignment="1">
      <alignment horizontal="center" vertical="center" wrapText="1"/>
    </xf>
    <xf numFmtId="0" fontId="15" fillId="0" borderId="8" xfId="5" applyFont="1" applyBorder="1" applyAlignment="1">
      <alignment horizontal="center" vertical="center"/>
    </xf>
    <xf numFmtId="0" fontId="12" fillId="0" borderId="14" xfId="4" applyFont="1" applyFill="1" applyBorder="1" applyAlignment="1">
      <alignment horizontal="center" vertical="center" wrapText="1"/>
    </xf>
    <xf numFmtId="0" fontId="12" fillId="0" borderId="16" xfId="4" applyFont="1" applyFill="1" applyBorder="1" applyAlignment="1">
      <alignment horizontal="center" vertical="center"/>
    </xf>
    <xf numFmtId="0" fontId="12" fillId="0" borderId="6" xfId="4" applyFont="1" applyBorder="1" applyAlignment="1">
      <alignment horizontal="center" vertical="center" wrapText="1"/>
    </xf>
    <xf numFmtId="0" fontId="12" fillId="0" borderId="7" xfId="4" applyFont="1" applyBorder="1" applyAlignment="1">
      <alignment horizontal="center" vertical="center" wrapText="1"/>
    </xf>
    <xf numFmtId="0" fontId="12" fillId="0" borderId="8" xfId="4" applyFont="1" applyBorder="1" applyAlignment="1">
      <alignment horizontal="center" vertical="center" wrapText="1"/>
    </xf>
    <xf numFmtId="0" fontId="12" fillId="0" borderId="9" xfId="4" applyFont="1" applyBorder="1" applyAlignment="1">
      <alignment horizontal="center" vertical="center"/>
    </xf>
    <xf numFmtId="0" fontId="12" fillId="0" borderId="20" xfId="4" applyFont="1" applyBorder="1" applyAlignment="1">
      <alignment horizontal="center" vertical="center"/>
    </xf>
    <xf numFmtId="0" fontId="12" fillId="0" borderId="21" xfId="4" applyFont="1" applyBorder="1" applyAlignment="1">
      <alignment horizontal="center" vertical="center"/>
    </xf>
    <xf numFmtId="0" fontId="12" fillId="0" borderId="4" xfId="4" applyFont="1" applyBorder="1" applyAlignment="1">
      <alignment horizontal="center" vertical="center" wrapText="1"/>
    </xf>
    <xf numFmtId="0" fontId="12" fillId="0" borderId="0" xfId="4" applyFont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 wrapText="1"/>
    </xf>
    <xf numFmtId="0" fontId="12" fillId="0" borderId="9" xfId="4" applyFont="1" applyBorder="1" applyAlignment="1">
      <alignment horizontal="center" vertical="center" wrapText="1"/>
    </xf>
    <xf numFmtId="0" fontId="12" fillId="0" borderId="20" xfId="4" applyFont="1" applyBorder="1" applyAlignment="1">
      <alignment horizontal="center" vertical="center" wrapText="1"/>
    </xf>
    <xf numFmtId="0" fontId="12" fillId="0" borderId="21" xfId="4" applyFont="1" applyBorder="1" applyAlignment="1">
      <alignment horizontal="center" vertical="center" wrapText="1"/>
    </xf>
    <xf numFmtId="0" fontId="12" fillId="0" borderId="5" xfId="4" applyFont="1" applyBorder="1" applyAlignment="1">
      <alignment horizontal="center" vertical="center"/>
    </xf>
    <xf numFmtId="0" fontId="44" fillId="0" borderId="9" xfId="4" applyFont="1" applyBorder="1" applyAlignment="1">
      <alignment horizontal="center" vertical="center" wrapText="1"/>
    </xf>
    <xf numFmtId="0" fontId="12" fillId="0" borderId="5" xfId="4" applyFont="1" applyBorder="1" applyAlignment="1">
      <alignment horizontal="center" vertical="center" wrapText="1"/>
    </xf>
    <xf numFmtId="0" fontId="10" fillId="0" borderId="9" xfId="5" applyFont="1" applyBorder="1" applyAlignment="1">
      <alignment horizontal="center" vertical="center" wrapText="1"/>
    </xf>
    <xf numFmtId="0" fontId="10" fillId="0" borderId="5" xfId="5" applyFont="1" applyBorder="1" applyAlignment="1">
      <alignment horizontal="center" vertical="center"/>
    </xf>
    <xf numFmtId="0" fontId="10" fillId="0" borderId="20" xfId="5" applyFont="1" applyBorder="1" applyAlignment="1">
      <alignment horizontal="center" vertical="center" wrapText="1"/>
    </xf>
    <xf numFmtId="0" fontId="10" fillId="0" borderId="21" xfId="5" applyFont="1" applyBorder="1" applyAlignment="1">
      <alignment horizontal="center" vertical="center"/>
    </xf>
    <xf numFmtId="0" fontId="12" fillId="0" borderId="1" xfId="4" applyFont="1" applyFill="1" applyBorder="1" applyAlignment="1">
      <alignment horizontal="center" vertical="center" wrapText="1"/>
    </xf>
    <xf numFmtId="0" fontId="12" fillId="0" borderId="1" xfId="4" applyFont="1" applyFill="1" applyBorder="1" applyAlignment="1"/>
    <xf numFmtId="0" fontId="44" fillId="0" borderId="1" xfId="4" applyFont="1" applyFill="1" applyBorder="1" applyAlignment="1">
      <alignment horizontal="center" vertical="center" wrapText="1"/>
    </xf>
    <xf numFmtId="0" fontId="12" fillId="0" borderId="11" xfId="4" applyFont="1" applyFill="1" applyBorder="1" applyAlignment="1">
      <alignment horizontal="center" vertical="center" wrapText="1"/>
    </xf>
    <xf numFmtId="0" fontId="12" fillId="0" borderId="2" xfId="4" applyFont="1" applyFill="1" applyBorder="1" applyAlignment="1">
      <alignment horizontal="center" vertical="center"/>
    </xf>
    <xf numFmtId="0" fontId="12" fillId="0" borderId="13" xfId="4" applyFont="1" applyFill="1" applyBorder="1" applyAlignment="1">
      <alignment horizontal="center" vertical="center" wrapText="1"/>
    </xf>
    <xf numFmtId="0" fontId="12" fillId="0" borderId="15" xfId="4" applyFont="1" applyFill="1" applyBorder="1" applyAlignment="1">
      <alignment horizontal="center" vertical="center"/>
    </xf>
    <xf numFmtId="0" fontId="12" fillId="0" borderId="12" xfId="4" applyFont="1" applyFill="1" applyBorder="1" applyAlignment="1">
      <alignment horizontal="center" vertical="center" wrapText="1"/>
    </xf>
    <xf numFmtId="0" fontId="12" fillId="0" borderId="9" xfId="4" applyFont="1" applyFill="1" applyBorder="1" applyAlignment="1">
      <alignment horizontal="center" vertical="center" wrapText="1"/>
    </xf>
    <xf numFmtId="0" fontId="12" fillId="0" borderId="9" xfId="4" applyFont="1" applyFill="1" applyBorder="1" applyAlignment="1"/>
    <xf numFmtId="0" fontId="44" fillId="0" borderId="6" xfId="4" applyFont="1" applyFill="1" applyBorder="1" applyAlignment="1">
      <alignment horizontal="center" vertical="center" wrapText="1"/>
    </xf>
    <xf numFmtId="0" fontId="12" fillId="0" borderId="7" xfId="4" applyFont="1" applyFill="1" applyBorder="1" applyAlignment="1">
      <alignment horizontal="center" vertical="center"/>
    </xf>
    <xf numFmtId="0" fontId="12" fillId="0" borderId="8" xfId="4" applyFont="1" applyFill="1" applyBorder="1" applyAlignment="1">
      <alignment horizontal="center" vertical="center"/>
    </xf>
    <xf numFmtId="0" fontId="12" fillId="0" borderId="1" xfId="4" applyFont="1" applyFill="1" applyBorder="1" applyAlignment="1">
      <alignment horizontal="center" vertical="center"/>
    </xf>
    <xf numFmtId="0" fontId="12" fillId="0" borderId="9" xfId="4" applyFont="1" applyFill="1" applyBorder="1" applyAlignment="1">
      <alignment horizontal="center" vertical="center"/>
    </xf>
    <xf numFmtId="0" fontId="44" fillId="0" borderId="10" xfId="4" applyFont="1" applyFill="1" applyBorder="1" applyAlignment="1">
      <alignment horizontal="center" vertical="center" wrapText="1"/>
    </xf>
    <xf numFmtId="0" fontId="12" fillId="0" borderId="10" xfId="4" applyFont="1" applyFill="1" applyBorder="1" applyAlignment="1">
      <alignment horizontal="center" vertical="center"/>
    </xf>
    <xf numFmtId="0" fontId="12" fillId="0" borderId="5" xfId="4" applyFont="1" applyFill="1" applyBorder="1" applyAlignment="1">
      <alignment horizontal="center" vertical="center"/>
    </xf>
    <xf numFmtId="0" fontId="44" fillId="0" borderId="11" xfId="4" applyFont="1" applyFill="1" applyBorder="1" applyAlignment="1">
      <alignment horizontal="center" vertical="center" wrapText="1"/>
    </xf>
    <xf numFmtId="0" fontId="12" fillId="0" borderId="4" xfId="4" applyFont="1" applyFill="1" applyBorder="1" applyAlignment="1">
      <alignment horizontal="center" vertical="center" wrapText="1"/>
    </xf>
    <xf numFmtId="0" fontId="12" fillId="0" borderId="6" xfId="4" applyFont="1" applyFill="1" applyBorder="1" applyAlignment="1">
      <alignment horizontal="center" vertical="center" wrapText="1"/>
    </xf>
    <xf numFmtId="0" fontId="12" fillId="0" borderId="2" xfId="4" applyFont="1" applyFill="1" applyBorder="1" applyAlignment="1">
      <alignment horizontal="center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12" fillId="0" borderId="8" xfId="4" applyFont="1" applyFill="1" applyBorder="1" applyAlignment="1">
      <alignment horizontal="center" vertical="center" wrapText="1"/>
    </xf>
    <xf numFmtId="0" fontId="10" fillId="0" borderId="1" xfId="5" applyFont="1" applyBorder="1" applyAlignment="1">
      <alignment horizontal="center" vertical="center"/>
    </xf>
    <xf numFmtId="0" fontId="10" fillId="0" borderId="9" xfId="5" applyFont="1" applyBorder="1" applyAlignment="1">
      <alignment horizontal="center" vertical="center"/>
    </xf>
    <xf numFmtId="0" fontId="23" fillId="0" borderId="24" xfId="5" applyFont="1" applyBorder="1" applyAlignment="1">
      <alignment horizontal="center" vertical="center" wrapText="1"/>
    </xf>
    <xf numFmtId="0" fontId="23" fillId="0" borderId="3" xfId="5" applyFont="1" applyBorder="1" applyAlignment="1">
      <alignment horizontal="center" vertical="center" wrapText="1"/>
    </xf>
    <xf numFmtId="0" fontId="23" fillId="0" borderId="4" xfId="5" applyFont="1" applyBorder="1" applyAlignment="1">
      <alignment horizontal="center" vertical="center" wrapText="1"/>
    </xf>
    <xf numFmtId="0" fontId="23" fillId="0" borderId="6" xfId="5" applyFont="1" applyBorder="1" applyAlignment="1">
      <alignment horizontal="center" vertical="center" wrapText="1"/>
    </xf>
    <xf numFmtId="0" fontId="23" fillId="0" borderId="0" xfId="5" applyFont="1" applyBorder="1" applyAlignment="1">
      <alignment horizontal="center" vertical="center" wrapText="1"/>
    </xf>
    <xf numFmtId="0" fontId="23" fillId="0" borderId="7" xfId="5" applyFont="1" applyBorder="1" applyAlignment="1">
      <alignment horizontal="center" vertical="center" wrapText="1"/>
    </xf>
    <xf numFmtId="0" fontId="23" fillId="0" borderId="8" xfId="5" applyFont="1" applyBorder="1" applyAlignment="1">
      <alignment horizontal="center" vertical="center" wrapText="1"/>
    </xf>
    <xf numFmtId="0" fontId="23" fillId="0" borderId="20" xfId="5" applyFont="1" applyBorder="1" applyAlignment="1">
      <alignment horizontal="center" vertical="center" wrapText="1"/>
    </xf>
    <xf numFmtId="0" fontId="23" fillId="0" borderId="9" xfId="5" applyFont="1" applyBorder="1" applyAlignment="1">
      <alignment horizontal="center" vertical="center" wrapText="1"/>
    </xf>
    <xf numFmtId="0" fontId="23" fillId="0" borderId="8" xfId="5" applyFont="1" applyBorder="1" applyAlignment="1">
      <alignment horizontal="center" vertical="center"/>
    </xf>
    <xf numFmtId="0" fontId="23" fillId="0" borderId="15" xfId="5" applyFont="1" applyBorder="1" applyAlignment="1">
      <alignment horizontal="center" vertical="center"/>
    </xf>
    <xf numFmtId="0" fontId="46" fillId="0" borderId="9" xfId="4" applyFont="1" applyBorder="1" applyAlignment="1">
      <alignment horizontal="center" vertical="center" wrapText="1"/>
    </xf>
    <xf numFmtId="0" fontId="12" fillId="0" borderId="13" xfId="4" applyFont="1" applyBorder="1" applyAlignment="1">
      <alignment horizontal="center" vertical="center" wrapText="1"/>
    </xf>
    <xf numFmtId="0" fontId="12" fillId="0" borderId="15" xfId="4" applyFont="1" applyBorder="1" applyAlignment="1">
      <alignment horizontal="center" vertical="center"/>
    </xf>
    <xf numFmtId="0" fontId="12" fillId="0" borderId="22" xfId="4" applyFont="1" applyBorder="1" applyAlignment="1">
      <alignment horizontal="center" vertical="center" wrapText="1"/>
    </xf>
    <xf numFmtId="0" fontId="12" fillId="0" borderId="23" xfId="4" applyFont="1" applyBorder="1" applyAlignment="1">
      <alignment horizontal="center" vertical="center"/>
    </xf>
    <xf numFmtId="0" fontId="12" fillId="0" borderId="11" xfId="4" applyFont="1" applyBorder="1" applyAlignment="1">
      <alignment horizontal="center" vertical="center" wrapText="1"/>
    </xf>
    <xf numFmtId="0" fontId="12" fillId="0" borderId="2" xfId="4" applyFont="1" applyBorder="1" applyAlignment="1">
      <alignment horizontal="center" vertical="center"/>
    </xf>
    <xf numFmtId="0" fontId="12" fillId="0" borderId="8" xfId="4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 wrapText="1"/>
    </xf>
    <xf numFmtId="0" fontId="12" fillId="0" borderId="1" xfId="4" applyFont="1" applyBorder="1" applyAlignment="1"/>
    <xf numFmtId="0" fontId="12" fillId="0" borderId="12" xfId="4" applyFont="1" applyBorder="1" applyAlignment="1">
      <alignment horizontal="center" vertical="center" wrapText="1"/>
    </xf>
    <xf numFmtId="0" fontId="12" fillId="0" borderId="12" xfId="4" applyFont="1" applyBorder="1" applyAlignment="1"/>
    <xf numFmtId="0" fontId="12" fillId="0" borderId="1" xfId="4" applyFont="1" applyBorder="1" applyAlignment="1">
      <alignment horizontal="center" vertical="center"/>
    </xf>
    <xf numFmtId="0" fontId="12" fillId="0" borderId="10" xfId="4" applyFont="1" applyBorder="1" applyAlignment="1">
      <alignment horizontal="center" vertical="center" wrapText="1"/>
    </xf>
    <xf numFmtId="0" fontId="12" fillId="0" borderId="10" xfId="4" applyFont="1" applyBorder="1" applyAlignment="1">
      <alignment horizontal="center" vertical="center"/>
    </xf>
    <xf numFmtId="0" fontId="12" fillId="0" borderId="2" xfId="4" applyFont="1" applyBorder="1" applyAlignment="1">
      <alignment horizontal="center" vertical="center" wrapText="1"/>
    </xf>
    <xf numFmtId="0" fontId="51" fillId="0" borderId="1" xfId="4" applyFont="1" applyBorder="1" applyAlignment="1">
      <alignment horizontal="center" vertical="center" wrapText="1"/>
    </xf>
    <xf numFmtId="0" fontId="12" fillId="0" borderId="1" xfId="5" applyFont="1" applyBorder="1" applyAlignment="1">
      <alignment horizontal="center" vertical="center"/>
    </xf>
    <xf numFmtId="0" fontId="12" fillId="0" borderId="9" xfId="5" applyFont="1" applyBorder="1" applyAlignment="1">
      <alignment horizontal="center" vertical="center"/>
    </xf>
    <xf numFmtId="9" fontId="23" fillId="0" borderId="0" xfId="10" applyFont="1" applyAlignment="1">
      <alignment vertical="center"/>
    </xf>
  </cellXfs>
  <cellStyles count="11">
    <cellStyle name="一般" xfId="0" builtinId="0"/>
    <cellStyle name="一般 2" xfId="1"/>
    <cellStyle name="一般 2 2" xfId="2"/>
    <cellStyle name="一般 2 3" xfId="9"/>
    <cellStyle name="一般 3" xfId="6"/>
    <cellStyle name="一般_2030" xfId="5"/>
    <cellStyle name="一般_moi04-05" xfId="8"/>
    <cellStyle name="一般_Sheet1" xfId="7"/>
    <cellStyle name="一般_十年長照上網" xfId="4"/>
    <cellStyle name="千分位" xfId="3" builtinId="3"/>
    <cellStyle name="百分比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19"/>
  <sheetViews>
    <sheetView tabSelected="1" zoomScale="84" zoomScaleNormal="84" zoomScaleSheetLayoutView="84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19" sqref="B19:AB19"/>
    </sheetView>
  </sheetViews>
  <sheetFormatPr defaultColWidth="9" defaultRowHeight="15.75"/>
  <cols>
    <col min="1" max="1" width="17.125" style="148" customWidth="1"/>
    <col min="2" max="3" width="10.5" style="148" customWidth="1"/>
    <col min="4" max="25" width="9.5" style="148" customWidth="1"/>
    <col min="26" max="16384" width="9" style="148"/>
  </cols>
  <sheetData>
    <row r="1" spans="1:97" s="164" customFormat="1" ht="27" customHeight="1">
      <c r="A1" s="163" t="s">
        <v>204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97" s="133" customFormat="1" ht="18" customHeight="1">
      <c r="A2" s="145" t="s">
        <v>190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97" s="147" customFormat="1" ht="18" customHeight="1" thickBot="1">
      <c r="A3" s="152" t="s">
        <v>308</v>
      </c>
      <c r="B3" s="153"/>
      <c r="C3" s="153"/>
      <c r="D3" s="153"/>
      <c r="E3" s="153"/>
      <c r="F3" s="153"/>
      <c r="G3" s="153"/>
      <c r="H3" s="153"/>
      <c r="I3" s="153"/>
      <c r="J3" s="146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46"/>
      <c r="Z3" s="171"/>
      <c r="AA3" s="171"/>
      <c r="AB3" s="171"/>
    </row>
    <row r="4" spans="1:97" ht="21.75" customHeight="1">
      <c r="A4" s="200" t="s">
        <v>237</v>
      </c>
      <c r="B4" s="203" t="s">
        <v>235</v>
      </c>
      <c r="C4" s="204"/>
      <c r="D4" s="204"/>
      <c r="E4" s="204"/>
      <c r="F4" s="204"/>
      <c r="G4" s="204"/>
      <c r="H4" s="204"/>
      <c r="I4" s="204"/>
      <c r="J4" s="205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6"/>
      <c r="Z4" s="174" t="s">
        <v>239</v>
      </c>
      <c r="AA4" s="174"/>
      <c r="AB4" s="174"/>
    </row>
    <row r="5" spans="1:97" ht="21.75" customHeight="1">
      <c r="A5" s="201"/>
      <c r="B5" s="207" t="s">
        <v>209</v>
      </c>
      <c r="C5" s="208"/>
      <c r="D5" s="209"/>
      <c r="E5" s="210" t="s">
        <v>228</v>
      </c>
      <c r="F5" s="210"/>
      <c r="G5" s="210"/>
      <c r="H5" s="210" t="s">
        <v>229</v>
      </c>
      <c r="I5" s="210"/>
      <c r="J5" s="211"/>
      <c r="K5" s="210" t="s">
        <v>230</v>
      </c>
      <c r="L5" s="210"/>
      <c r="M5" s="210"/>
      <c r="N5" s="210" t="s">
        <v>231</v>
      </c>
      <c r="O5" s="210"/>
      <c r="P5" s="210"/>
      <c r="Q5" s="210" t="s">
        <v>232</v>
      </c>
      <c r="R5" s="210"/>
      <c r="S5" s="210"/>
      <c r="T5" s="210" t="s">
        <v>233</v>
      </c>
      <c r="U5" s="210"/>
      <c r="V5" s="210"/>
      <c r="W5" s="210" t="s">
        <v>234</v>
      </c>
      <c r="X5" s="210"/>
      <c r="Y5" s="212"/>
      <c r="Z5" s="175" t="s">
        <v>238</v>
      </c>
      <c r="AA5" s="176"/>
      <c r="AB5" s="176"/>
    </row>
    <row r="6" spans="1:97" ht="40.15" customHeight="1" thickBot="1">
      <c r="A6" s="202"/>
      <c r="B6" s="169" t="s">
        <v>200</v>
      </c>
      <c r="C6" s="157" t="s">
        <v>194</v>
      </c>
      <c r="D6" s="157" t="s">
        <v>195</v>
      </c>
      <c r="E6" s="158" t="s">
        <v>200</v>
      </c>
      <c r="F6" s="157" t="s">
        <v>194</v>
      </c>
      <c r="G6" s="157" t="s">
        <v>195</v>
      </c>
      <c r="H6" s="158" t="s">
        <v>200</v>
      </c>
      <c r="I6" s="157" t="s">
        <v>194</v>
      </c>
      <c r="J6" s="157" t="s">
        <v>195</v>
      </c>
      <c r="K6" s="158" t="s">
        <v>200</v>
      </c>
      <c r="L6" s="157" t="s">
        <v>194</v>
      </c>
      <c r="M6" s="157" t="s">
        <v>195</v>
      </c>
      <c r="N6" s="158" t="s">
        <v>200</v>
      </c>
      <c r="O6" s="157" t="s">
        <v>194</v>
      </c>
      <c r="P6" s="157" t="s">
        <v>195</v>
      </c>
      <c r="Q6" s="158" t="s">
        <v>200</v>
      </c>
      <c r="R6" s="157" t="s">
        <v>194</v>
      </c>
      <c r="S6" s="157" t="s">
        <v>195</v>
      </c>
      <c r="T6" s="158" t="s">
        <v>200</v>
      </c>
      <c r="U6" s="157" t="s">
        <v>194</v>
      </c>
      <c r="V6" s="157" t="s">
        <v>195</v>
      </c>
      <c r="W6" s="158" t="s">
        <v>200</v>
      </c>
      <c r="X6" s="157" t="s">
        <v>194</v>
      </c>
      <c r="Y6" s="170" t="s">
        <v>195</v>
      </c>
      <c r="Z6" s="172" t="s">
        <v>240</v>
      </c>
      <c r="AA6" s="173" t="s">
        <v>241</v>
      </c>
      <c r="AB6" s="173" t="s">
        <v>242</v>
      </c>
    </row>
    <row r="7" spans="1:97" s="165" customFormat="1" ht="20.45" customHeight="1">
      <c r="A7" s="143" t="s">
        <v>236</v>
      </c>
      <c r="B7" s="183">
        <v>20544</v>
      </c>
      <c r="C7" s="183">
        <v>12178</v>
      </c>
      <c r="D7" s="183">
        <v>8366</v>
      </c>
      <c r="E7" s="183">
        <v>5709</v>
      </c>
      <c r="F7" s="183">
        <v>3527</v>
      </c>
      <c r="G7" s="183">
        <v>2182</v>
      </c>
      <c r="H7" s="183">
        <v>3886</v>
      </c>
      <c r="I7" s="183">
        <v>2207</v>
      </c>
      <c r="J7" s="183">
        <v>1679</v>
      </c>
      <c r="K7" s="183">
        <v>4570</v>
      </c>
      <c r="L7" s="183">
        <v>2731</v>
      </c>
      <c r="M7" s="183">
        <v>1839</v>
      </c>
      <c r="N7" s="183">
        <v>2733</v>
      </c>
      <c r="O7" s="183">
        <v>1677</v>
      </c>
      <c r="P7" s="183">
        <v>1056</v>
      </c>
      <c r="Q7" s="183">
        <v>1437</v>
      </c>
      <c r="R7" s="183">
        <v>798</v>
      </c>
      <c r="S7" s="183">
        <v>639</v>
      </c>
      <c r="T7" s="183">
        <v>1275</v>
      </c>
      <c r="U7" s="183">
        <v>712</v>
      </c>
      <c r="V7" s="183">
        <v>563</v>
      </c>
      <c r="W7" s="183">
        <v>934</v>
      </c>
      <c r="X7" s="183">
        <v>526</v>
      </c>
      <c r="Y7" s="183">
        <v>408</v>
      </c>
      <c r="Z7" s="183" t="s">
        <v>245</v>
      </c>
      <c r="AA7" s="183" t="s">
        <v>245</v>
      </c>
      <c r="AB7" s="183" t="s">
        <v>245</v>
      </c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  <c r="BB7" s="183"/>
      <c r="BC7" s="183"/>
      <c r="BD7" s="183"/>
      <c r="BE7" s="183"/>
      <c r="BF7" s="183"/>
      <c r="BG7" s="183"/>
      <c r="BH7" s="183"/>
      <c r="BI7" s="183"/>
      <c r="BJ7" s="183"/>
      <c r="BK7" s="183"/>
      <c r="BL7" s="183"/>
      <c r="BM7" s="183"/>
      <c r="BN7" s="183"/>
      <c r="BO7" s="183"/>
      <c r="BP7" s="183"/>
      <c r="BQ7" s="183"/>
      <c r="BR7" s="183"/>
      <c r="BS7" s="183"/>
      <c r="BT7" s="183"/>
      <c r="BU7" s="183"/>
      <c r="BV7" s="183"/>
      <c r="BW7" s="183"/>
      <c r="BX7" s="183"/>
      <c r="BY7" s="183"/>
      <c r="BZ7" s="183"/>
      <c r="CA7" s="183"/>
      <c r="CB7" s="183"/>
      <c r="CC7" s="183"/>
      <c r="CD7" s="183"/>
      <c r="CE7" s="183"/>
      <c r="CF7" s="183"/>
      <c r="CG7" s="183"/>
      <c r="CH7" s="183"/>
      <c r="CI7" s="183"/>
      <c r="CJ7" s="183"/>
      <c r="CK7" s="183"/>
      <c r="CL7" s="183"/>
      <c r="CM7" s="183"/>
      <c r="CN7" s="183"/>
      <c r="CO7" s="183"/>
      <c r="CP7" s="183"/>
      <c r="CQ7" s="183"/>
      <c r="CR7" s="183"/>
      <c r="CS7" s="183"/>
    </row>
    <row r="8" spans="1:97" s="165" customFormat="1" ht="20.45" customHeight="1">
      <c r="A8" s="143" t="s">
        <v>311</v>
      </c>
      <c r="B8" s="183">
        <f>'111'!B7</f>
        <v>25745</v>
      </c>
      <c r="C8" s="183">
        <f>'111'!C7</f>
        <v>14622</v>
      </c>
      <c r="D8" s="183">
        <f>'111'!D7</f>
        <v>11123</v>
      </c>
      <c r="E8" s="183">
        <f>'111'!E7</f>
        <v>7005</v>
      </c>
      <c r="F8" s="183">
        <f>'111'!F7</f>
        <v>4172</v>
      </c>
      <c r="G8" s="183">
        <f>'111'!G7</f>
        <v>2833</v>
      </c>
      <c r="H8" s="183">
        <f>'111'!H7</f>
        <v>5167</v>
      </c>
      <c r="I8" s="183">
        <f>'111'!I7</f>
        <v>2767</v>
      </c>
      <c r="J8" s="183">
        <f>'111'!J7</f>
        <v>2400</v>
      </c>
      <c r="K8" s="183">
        <f>'111'!K7</f>
        <v>5783</v>
      </c>
      <c r="L8" s="183">
        <f>'111'!L7</f>
        <v>3236</v>
      </c>
      <c r="M8" s="183">
        <f>'111'!M7</f>
        <v>2547</v>
      </c>
      <c r="N8" s="183">
        <f>'111'!N7</f>
        <v>3296</v>
      </c>
      <c r="O8" s="183">
        <f>'111'!O7</f>
        <v>1947</v>
      </c>
      <c r="P8" s="183">
        <f>'111'!P7</f>
        <v>1349</v>
      </c>
      <c r="Q8" s="183">
        <f>'111'!Q7</f>
        <v>1778</v>
      </c>
      <c r="R8" s="183">
        <f>'111'!R7</f>
        <v>996</v>
      </c>
      <c r="S8" s="183">
        <f>'111'!S7</f>
        <v>782</v>
      </c>
      <c r="T8" s="183">
        <f>'111'!T7</f>
        <v>1558</v>
      </c>
      <c r="U8" s="183">
        <f>'111'!U7</f>
        <v>878</v>
      </c>
      <c r="V8" s="183">
        <f>'111'!V7</f>
        <v>680</v>
      </c>
      <c r="W8" s="183">
        <f>'111'!W7</f>
        <v>1158</v>
      </c>
      <c r="X8" s="183">
        <f>'111'!X7</f>
        <v>626</v>
      </c>
      <c r="Y8" s="183">
        <f>'111'!Y7</f>
        <v>532</v>
      </c>
      <c r="Z8" s="183">
        <f>'111'!Z7</f>
        <v>2706</v>
      </c>
      <c r="AA8" s="183">
        <f>'111'!AA7</f>
        <v>1169</v>
      </c>
      <c r="AB8" s="183">
        <f>'111'!AB7</f>
        <v>1537</v>
      </c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3"/>
      <c r="BU8" s="183"/>
      <c r="BV8" s="183"/>
      <c r="BW8" s="183"/>
      <c r="BX8" s="183"/>
      <c r="BY8" s="183"/>
      <c r="BZ8" s="183"/>
      <c r="CA8" s="183"/>
      <c r="CB8" s="183"/>
      <c r="CC8" s="183"/>
      <c r="CD8" s="183"/>
      <c r="CE8" s="183"/>
      <c r="CF8" s="183"/>
      <c r="CG8" s="183"/>
      <c r="CH8" s="183"/>
      <c r="CI8" s="183"/>
      <c r="CJ8" s="183"/>
      <c r="CK8" s="183"/>
      <c r="CL8" s="183"/>
      <c r="CM8" s="183"/>
      <c r="CN8" s="183"/>
      <c r="CO8" s="183"/>
      <c r="CP8" s="183"/>
      <c r="CQ8" s="183"/>
      <c r="CR8" s="183"/>
      <c r="CS8" s="183"/>
    </row>
    <row r="9" spans="1:97" s="165" customFormat="1" ht="20.45" customHeight="1">
      <c r="A9" s="143" t="s">
        <v>313</v>
      </c>
      <c r="B9" s="183">
        <f>'112'!B7</f>
        <v>24928</v>
      </c>
      <c r="C9" s="183">
        <f>'112'!C7</f>
        <v>14263</v>
      </c>
      <c r="D9" s="183">
        <f>'112'!D7</f>
        <v>10665</v>
      </c>
      <c r="E9" s="183">
        <f>'112'!E7</f>
        <v>6850</v>
      </c>
      <c r="F9" s="183">
        <f>'112'!F7</f>
        <v>4133</v>
      </c>
      <c r="G9" s="183">
        <f>'112'!G7</f>
        <v>2717</v>
      </c>
      <c r="H9" s="183">
        <f>'112'!H7</f>
        <v>4986</v>
      </c>
      <c r="I9" s="183">
        <f>'112'!I7</f>
        <v>2699</v>
      </c>
      <c r="J9" s="183">
        <f>'112'!J7</f>
        <v>2287</v>
      </c>
      <c r="K9" s="183">
        <f>'112'!K7</f>
        <v>5480</v>
      </c>
      <c r="L9" s="183">
        <f>'112'!L7</f>
        <v>3107</v>
      </c>
      <c r="M9" s="183">
        <f>'112'!M7</f>
        <v>2373</v>
      </c>
      <c r="N9" s="183">
        <f>'112'!N7</f>
        <v>3187</v>
      </c>
      <c r="O9" s="183">
        <f>'112'!O7</f>
        <v>1846</v>
      </c>
      <c r="P9" s="183">
        <f>'112'!P7</f>
        <v>1341</v>
      </c>
      <c r="Q9" s="183">
        <f>'112'!Q7</f>
        <v>1701</v>
      </c>
      <c r="R9" s="183">
        <f>'112'!R7</f>
        <v>1000</v>
      </c>
      <c r="S9" s="183">
        <f>'112'!S7</f>
        <v>701</v>
      </c>
      <c r="T9" s="183">
        <f>'112'!T7</f>
        <v>1560</v>
      </c>
      <c r="U9" s="183">
        <f>'112'!U7</f>
        <v>851</v>
      </c>
      <c r="V9" s="183">
        <f>'112'!V7</f>
        <v>709</v>
      </c>
      <c r="W9" s="183">
        <f>'112'!W7</f>
        <v>1164</v>
      </c>
      <c r="X9" s="183">
        <f>'112'!X7</f>
        <v>627</v>
      </c>
      <c r="Y9" s="183">
        <f>'112'!Y7</f>
        <v>537</v>
      </c>
      <c r="Z9" s="183">
        <f>'112'!Z7</f>
        <v>2980</v>
      </c>
      <c r="AA9" s="183">
        <f>'112'!AA7</f>
        <v>1324</v>
      </c>
      <c r="AB9" s="183">
        <f>'112'!AB7</f>
        <v>1656</v>
      </c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  <c r="BU9" s="183"/>
      <c r="BV9" s="183"/>
      <c r="BW9" s="183"/>
      <c r="BX9" s="183"/>
      <c r="BY9" s="183"/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  <c r="CM9" s="183"/>
      <c r="CN9" s="183"/>
      <c r="CO9" s="183"/>
      <c r="CP9" s="183"/>
      <c r="CQ9" s="183"/>
      <c r="CR9" s="183"/>
      <c r="CS9" s="183"/>
    </row>
    <row r="10" spans="1:97" s="167" customFormat="1" ht="20.45" customHeight="1" thickBot="1">
      <c r="A10" s="166" t="s">
        <v>314</v>
      </c>
      <c r="B10" s="184">
        <f>'113'!B7</f>
        <v>24019</v>
      </c>
      <c r="C10" s="184">
        <f>'113'!C7</f>
        <v>14013</v>
      </c>
      <c r="D10" s="184">
        <f>'113'!D7</f>
        <v>10006</v>
      </c>
      <c r="E10" s="184">
        <f>'113'!E7</f>
        <v>6588</v>
      </c>
      <c r="F10" s="184">
        <f>'113'!F7</f>
        <v>4049</v>
      </c>
      <c r="G10" s="184">
        <f>'113'!G7</f>
        <v>2539</v>
      </c>
      <c r="H10" s="184">
        <f>'113'!H7</f>
        <v>4831</v>
      </c>
      <c r="I10" s="184">
        <f>'113'!I7</f>
        <v>2692</v>
      </c>
      <c r="J10" s="184">
        <f>'113'!J7</f>
        <v>2139</v>
      </c>
      <c r="K10" s="184">
        <f>'113'!K7</f>
        <v>5319</v>
      </c>
      <c r="L10" s="184">
        <f>'113'!L7</f>
        <v>3126</v>
      </c>
      <c r="M10" s="184">
        <f>'113'!M7</f>
        <v>2193</v>
      </c>
      <c r="N10" s="184">
        <f>'113'!N7</f>
        <v>2989</v>
      </c>
      <c r="O10" s="184">
        <f>'113'!O7</f>
        <v>1759</v>
      </c>
      <c r="P10" s="184">
        <f>'113'!P7</f>
        <v>1230</v>
      </c>
      <c r="Q10" s="184">
        <f>'113'!Q7</f>
        <v>1596</v>
      </c>
      <c r="R10" s="184">
        <f>'113'!R7</f>
        <v>911</v>
      </c>
      <c r="S10" s="184">
        <f>'113'!S7</f>
        <v>685</v>
      </c>
      <c r="T10" s="184">
        <f>'113'!T7</f>
        <v>1499</v>
      </c>
      <c r="U10" s="184">
        <f>'113'!U7</f>
        <v>823</v>
      </c>
      <c r="V10" s="184">
        <f>'113'!V7</f>
        <v>676</v>
      </c>
      <c r="W10" s="184">
        <f>'113'!W7</f>
        <v>1197</v>
      </c>
      <c r="X10" s="184">
        <f>'113'!X7</f>
        <v>653</v>
      </c>
      <c r="Y10" s="184">
        <f>'113'!Y7</f>
        <v>544</v>
      </c>
      <c r="Z10" s="184">
        <f>'113'!Z7</f>
        <v>2887</v>
      </c>
      <c r="AA10" s="184">
        <f>'113'!AA7</f>
        <v>1242</v>
      </c>
      <c r="AB10" s="184">
        <f>'113'!AB7</f>
        <v>1645</v>
      </c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84"/>
      <c r="CH10" s="184"/>
      <c r="CI10" s="184"/>
      <c r="CJ10" s="184"/>
      <c r="CK10" s="184"/>
      <c r="CL10" s="184"/>
      <c r="CM10" s="184"/>
      <c r="CN10" s="184"/>
      <c r="CO10" s="184"/>
      <c r="CP10" s="184"/>
      <c r="CQ10" s="184"/>
      <c r="CR10" s="184"/>
      <c r="CS10" s="184"/>
    </row>
    <row r="11" spans="1:97" s="151" customFormat="1" ht="16.5">
      <c r="A11" s="196" t="s">
        <v>307</v>
      </c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</row>
    <row r="12" spans="1:97" s="151" customFormat="1">
      <c r="A12" s="197" t="s">
        <v>193</v>
      </c>
    </row>
    <row r="13" spans="1:97" s="192" customFormat="1" ht="17.45" customHeight="1">
      <c r="A13" s="193"/>
      <c r="D13" s="194"/>
      <c r="E13" s="195"/>
      <c r="F13" s="195"/>
      <c r="I13" s="195"/>
      <c r="AB13" s="194"/>
      <c r="AC13" s="195"/>
      <c r="AD13" s="195"/>
      <c r="AG13" s="195"/>
      <c r="AZ13" s="194"/>
      <c r="BA13" s="195"/>
      <c r="BB13" s="195"/>
      <c r="BE13" s="195"/>
      <c r="BX13" s="194"/>
      <c r="BY13" s="195"/>
      <c r="BZ13" s="195"/>
      <c r="CC13" s="195"/>
    </row>
    <row r="14" spans="1:97" s="151" customFormat="1" ht="16.5">
      <c r="A14" s="198" t="s">
        <v>315</v>
      </c>
    </row>
    <row r="19" spans="2:28"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</row>
  </sheetData>
  <mergeCells count="10">
    <mergeCell ref="A4:A6"/>
    <mergeCell ref="B4:Y4"/>
    <mergeCell ref="B5:D5"/>
    <mergeCell ref="E5:G5"/>
    <mergeCell ref="H5:J5"/>
    <mergeCell ref="K5:M5"/>
    <mergeCell ref="N5:P5"/>
    <mergeCell ref="Q5:S5"/>
    <mergeCell ref="T5:V5"/>
    <mergeCell ref="W5:Y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3"/>
  <sheetViews>
    <sheetView zoomScale="84" zoomScaleNormal="84" zoomScaleSheetLayoutView="84" workbookViewId="0">
      <pane xSplit="2" ySplit="7" topLeftCell="C22" activePane="bottomRight" state="frozen"/>
      <selection pane="topRight" activeCell="C1" sqref="C1"/>
      <selection pane="bottomLeft" activeCell="A8" sqref="A8"/>
      <selection pane="bottomRight" activeCell="B41" sqref="B41"/>
    </sheetView>
  </sheetViews>
  <sheetFormatPr defaultColWidth="9" defaultRowHeight="15.75"/>
  <cols>
    <col min="1" max="1" width="37.875" style="148" customWidth="1"/>
    <col min="2" max="3" width="10.5" style="148" customWidth="1"/>
    <col min="4" max="25" width="9.5" style="148" customWidth="1"/>
    <col min="26" max="16384" width="9" style="148"/>
  </cols>
  <sheetData>
    <row r="1" spans="1:28" s="164" customFormat="1" ht="27" customHeight="1">
      <c r="A1" s="199" t="s">
        <v>204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8" s="133" customFormat="1" ht="18" customHeight="1">
      <c r="A2" s="145" t="s">
        <v>190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28" s="147" customFormat="1" ht="18" customHeight="1" thickBot="1">
      <c r="A3" s="179" t="s">
        <v>312</v>
      </c>
      <c r="B3" s="153"/>
      <c r="C3" s="153"/>
      <c r="D3" s="153"/>
      <c r="E3" s="153"/>
      <c r="F3" s="153"/>
      <c r="G3" s="153"/>
      <c r="H3" s="153"/>
      <c r="I3" s="153"/>
      <c r="J3" s="146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46"/>
      <c r="Z3" s="146"/>
    </row>
    <row r="4" spans="1:28" ht="21.75" customHeight="1">
      <c r="A4" s="213" t="s">
        <v>192</v>
      </c>
      <c r="B4" s="214" t="s">
        <v>235</v>
      </c>
      <c r="C4" s="204"/>
      <c r="D4" s="204"/>
      <c r="E4" s="204"/>
      <c r="F4" s="204"/>
      <c r="G4" s="204"/>
      <c r="H4" s="204"/>
      <c r="I4" s="204"/>
      <c r="J4" s="205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5"/>
      <c r="Z4" s="177" t="s">
        <v>239</v>
      </c>
      <c r="AA4" s="178"/>
      <c r="AB4" s="178"/>
    </row>
    <row r="5" spans="1:28" ht="21.75" customHeight="1">
      <c r="A5" s="201"/>
      <c r="B5" s="208" t="s">
        <v>209</v>
      </c>
      <c r="C5" s="208"/>
      <c r="D5" s="209"/>
      <c r="E5" s="210" t="s">
        <v>228</v>
      </c>
      <c r="F5" s="210"/>
      <c r="G5" s="210"/>
      <c r="H5" s="210" t="s">
        <v>229</v>
      </c>
      <c r="I5" s="210"/>
      <c r="J5" s="211"/>
      <c r="K5" s="210" t="s">
        <v>230</v>
      </c>
      <c r="L5" s="210"/>
      <c r="M5" s="210"/>
      <c r="N5" s="210" t="s">
        <v>231</v>
      </c>
      <c r="O5" s="210"/>
      <c r="P5" s="210"/>
      <c r="Q5" s="210" t="s">
        <v>232</v>
      </c>
      <c r="R5" s="210"/>
      <c r="S5" s="210"/>
      <c r="T5" s="210" t="s">
        <v>233</v>
      </c>
      <c r="U5" s="210"/>
      <c r="V5" s="210"/>
      <c r="W5" s="210" t="s">
        <v>234</v>
      </c>
      <c r="X5" s="210"/>
      <c r="Y5" s="211"/>
      <c r="Z5" s="175" t="s">
        <v>238</v>
      </c>
      <c r="AA5" s="176"/>
      <c r="AB5" s="176"/>
    </row>
    <row r="6" spans="1:28" ht="40.15" customHeight="1" thickBot="1">
      <c r="A6" s="202"/>
      <c r="B6" s="156" t="s">
        <v>200</v>
      </c>
      <c r="C6" s="157" t="s">
        <v>194</v>
      </c>
      <c r="D6" s="157" t="s">
        <v>195</v>
      </c>
      <c r="E6" s="158" t="s">
        <v>200</v>
      </c>
      <c r="F6" s="157" t="s">
        <v>194</v>
      </c>
      <c r="G6" s="157" t="s">
        <v>195</v>
      </c>
      <c r="H6" s="158" t="s">
        <v>200</v>
      </c>
      <c r="I6" s="157" t="s">
        <v>194</v>
      </c>
      <c r="J6" s="157" t="s">
        <v>195</v>
      </c>
      <c r="K6" s="158" t="s">
        <v>200</v>
      </c>
      <c r="L6" s="157" t="s">
        <v>194</v>
      </c>
      <c r="M6" s="157" t="s">
        <v>195</v>
      </c>
      <c r="N6" s="158" t="s">
        <v>200</v>
      </c>
      <c r="O6" s="157" t="s">
        <v>194</v>
      </c>
      <c r="P6" s="157" t="s">
        <v>195</v>
      </c>
      <c r="Q6" s="158" t="s">
        <v>200</v>
      </c>
      <c r="R6" s="157" t="s">
        <v>194</v>
      </c>
      <c r="S6" s="157" t="s">
        <v>195</v>
      </c>
      <c r="T6" s="158" t="s">
        <v>200</v>
      </c>
      <c r="U6" s="157" t="s">
        <v>194</v>
      </c>
      <c r="V6" s="157" t="s">
        <v>195</v>
      </c>
      <c r="W6" s="158" t="s">
        <v>200</v>
      </c>
      <c r="X6" s="157" t="s">
        <v>194</v>
      </c>
      <c r="Y6" s="159" t="s">
        <v>195</v>
      </c>
      <c r="Z6" s="172" t="s">
        <v>240</v>
      </c>
      <c r="AA6" s="173" t="s">
        <v>241</v>
      </c>
      <c r="AB6" s="173" t="s">
        <v>242</v>
      </c>
    </row>
    <row r="7" spans="1:28" s="149" customFormat="1" ht="21" customHeight="1">
      <c r="A7" s="142" t="s">
        <v>201</v>
      </c>
      <c r="B7" s="154">
        <v>24019</v>
      </c>
      <c r="C7" s="155">
        <v>14013</v>
      </c>
      <c r="D7" s="155">
        <v>10006</v>
      </c>
      <c r="E7" s="155">
        <v>6588</v>
      </c>
      <c r="F7" s="155">
        <v>4049</v>
      </c>
      <c r="G7" s="155">
        <v>2539</v>
      </c>
      <c r="H7" s="155">
        <v>4831</v>
      </c>
      <c r="I7" s="155">
        <v>2692</v>
      </c>
      <c r="J7" s="155">
        <v>2139</v>
      </c>
      <c r="K7" s="155">
        <v>5319</v>
      </c>
      <c r="L7" s="155">
        <v>3126</v>
      </c>
      <c r="M7" s="155">
        <v>2193</v>
      </c>
      <c r="N7" s="155">
        <v>2989</v>
      </c>
      <c r="O7" s="155">
        <v>1759</v>
      </c>
      <c r="P7" s="155">
        <v>1230</v>
      </c>
      <c r="Q7" s="155">
        <v>1596</v>
      </c>
      <c r="R7" s="155">
        <v>911</v>
      </c>
      <c r="S7" s="155">
        <v>685</v>
      </c>
      <c r="T7" s="155">
        <v>1499</v>
      </c>
      <c r="U7" s="155">
        <v>823</v>
      </c>
      <c r="V7" s="155">
        <v>676</v>
      </c>
      <c r="W7" s="155">
        <v>1197</v>
      </c>
      <c r="X7" s="155">
        <v>653</v>
      </c>
      <c r="Y7" s="155">
        <v>544</v>
      </c>
      <c r="Z7" s="149">
        <v>2887</v>
      </c>
      <c r="AA7" s="149">
        <v>1242</v>
      </c>
      <c r="AB7" s="149">
        <v>1645</v>
      </c>
    </row>
    <row r="8" spans="1:28" s="150" customFormat="1" ht="21" customHeight="1">
      <c r="A8" s="143" t="s">
        <v>210</v>
      </c>
      <c r="B8" s="135">
        <v>561</v>
      </c>
      <c r="C8" s="136">
        <v>328</v>
      </c>
      <c r="D8" s="136">
        <v>233</v>
      </c>
      <c r="E8" s="136">
        <v>167</v>
      </c>
      <c r="F8" s="136">
        <v>100</v>
      </c>
      <c r="G8" s="136">
        <v>67</v>
      </c>
      <c r="H8" s="136">
        <v>110</v>
      </c>
      <c r="I8" s="136">
        <v>71</v>
      </c>
      <c r="J8" s="136">
        <v>39</v>
      </c>
      <c r="K8" s="136">
        <v>125</v>
      </c>
      <c r="L8" s="136">
        <v>73</v>
      </c>
      <c r="M8" s="136">
        <v>52</v>
      </c>
      <c r="N8" s="136">
        <v>61</v>
      </c>
      <c r="O8" s="136">
        <v>35</v>
      </c>
      <c r="P8" s="136">
        <v>26</v>
      </c>
      <c r="Q8" s="136">
        <v>37</v>
      </c>
      <c r="R8" s="136">
        <v>21</v>
      </c>
      <c r="S8" s="136">
        <v>16</v>
      </c>
      <c r="T8" s="136">
        <v>32</v>
      </c>
      <c r="U8" s="136">
        <v>17</v>
      </c>
      <c r="V8" s="136">
        <v>15</v>
      </c>
      <c r="W8" s="136">
        <v>29</v>
      </c>
      <c r="X8" s="136">
        <v>11</v>
      </c>
      <c r="Y8" s="136">
        <v>18</v>
      </c>
      <c r="Z8" s="150">
        <v>153</v>
      </c>
      <c r="AA8" s="150">
        <v>62</v>
      </c>
      <c r="AB8" s="150">
        <v>91</v>
      </c>
    </row>
    <row r="9" spans="1:28" s="150" customFormat="1" ht="21" customHeight="1">
      <c r="A9" s="143" t="s">
        <v>211</v>
      </c>
      <c r="B9" s="135">
        <v>1653</v>
      </c>
      <c r="C9" s="136">
        <v>849</v>
      </c>
      <c r="D9" s="136">
        <v>804</v>
      </c>
      <c r="E9" s="136">
        <v>374</v>
      </c>
      <c r="F9" s="136">
        <v>188</v>
      </c>
      <c r="G9" s="136">
        <v>186</v>
      </c>
      <c r="H9" s="136">
        <v>343</v>
      </c>
      <c r="I9" s="136">
        <v>180</v>
      </c>
      <c r="J9" s="136">
        <v>163</v>
      </c>
      <c r="K9" s="136">
        <v>438</v>
      </c>
      <c r="L9" s="136">
        <v>231</v>
      </c>
      <c r="M9" s="136">
        <v>207</v>
      </c>
      <c r="N9" s="136">
        <v>213</v>
      </c>
      <c r="O9" s="136">
        <v>107</v>
      </c>
      <c r="P9" s="136">
        <v>106</v>
      </c>
      <c r="Q9" s="136">
        <v>104</v>
      </c>
      <c r="R9" s="136">
        <v>57</v>
      </c>
      <c r="S9" s="136">
        <v>47</v>
      </c>
      <c r="T9" s="136">
        <v>111</v>
      </c>
      <c r="U9" s="136">
        <v>48</v>
      </c>
      <c r="V9" s="136">
        <v>63</v>
      </c>
      <c r="W9" s="136">
        <v>70</v>
      </c>
      <c r="X9" s="136">
        <v>38</v>
      </c>
      <c r="Y9" s="136">
        <v>32</v>
      </c>
      <c r="Z9" s="150">
        <v>205</v>
      </c>
      <c r="AA9" s="150">
        <v>115</v>
      </c>
      <c r="AB9" s="150">
        <v>90</v>
      </c>
    </row>
    <row r="10" spans="1:28" s="150" customFormat="1" ht="21" customHeight="1">
      <c r="A10" s="143" t="s">
        <v>212</v>
      </c>
      <c r="B10" s="135">
        <v>1153</v>
      </c>
      <c r="C10" s="136">
        <v>725</v>
      </c>
      <c r="D10" s="136">
        <v>428</v>
      </c>
      <c r="E10" s="136">
        <v>303</v>
      </c>
      <c r="F10" s="136">
        <v>198</v>
      </c>
      <c r="G10" s="136">
        <v>105</v>
      </c>
      <c r="H10" s="136">
        <v>230</v>
      </c>
      <c r="I10" s="136">
        <v>133</v>
      </c>
      <c r="J10" s="136">
        <v>97</v>
      </c>
      <c r="K10" s="136">
        <v>285</v>
      </c>
      <c r="L10" s="136">
        <v>183</v>
      </c>
      <c r="M10" s="136">
        <v>102</v>
      </c>
      <c r="N10" s="136">
        <v>122</v>
      </c>
      <c r="O10" s="136">
        <v>82</v>
      </c>
      <c r="P10" s="136">
        <v>40</v>
      </c>
      <c r="Q10" s="136">
        <v>88</v>
      </c>
      <c r="R10" s="136">
        <v>59</v>
      </c>
      <c r="S10" s="136">
        <v>29</v>
      </c>
      <c r="T10" s="136">
        <v>77</v>
      </c>
      <c r="U10" s="136">
        <v>41</v>
      </c>
      <c r="V10" s="136">
        <v>36</v>
      </c>
      <c r="W10" s="136">
        <v>48</v>
      </c>
      <c r="X10" s="136">
        <v>29</v>
      </c>
      <c r="Y10" s="136">
        <v>19</v>
      </c>
      <c r="Z10" s="150">
        <v>17</v>
      </c>
      <c r="AA10" s="150">
        <v>11</v>
      </c>
      <c r="AB10" s="150">
        <v>6</v>
      </c>
    </row>
    <row r="11" spans="1:28" s="150" customFormat="1" ht="21" customHeight="1">
      <c r="A11" s="143" t="s">
        <v>213</v>
      </c>
      <c r="B11" s="135">
        <v>4150</v>
      </c>
      <c r="C11" s="136">
        <v>2240</v>
      </c>
      <c r="D11" s="136">
        <v>1910</v>
      </c>
      <c r="E11" s="136">
        <v>1170</v>
      </c>
      <c r="F11" s="136">
        <v>660</v>
      </c>
      <c r="G11" s="136">
        <v>510</v>
      </c>
      <c r="H11" s="136">
        <v>792</v>
      </c>
      <c r="I11" s="136">
        <v>400</v>
      </c>
      <c r="J11" s="136">
        <v>392</v>
      </c>
      <c r="K11" s="136">
        <v>762</v>
      </c>
      <c r="L11" s="136">
        <v>436</v>
      </c>
      <c r="M11" s="136">
        <v>326</v>
      </c>
      <c r="N11" s="136">
        <v>542</v>
      </c>
      <c r="O11" s="136">
        <v>296</v>
      </c>
      <c r="P11" s="136">
        <v>246</v>
      </c>
      <c r="Q11" s="136">
        <v>339</v>
      </c>
      <c r="R11" s="136">
        <v>180</v>
      </c>
      <c r="S11" s="136">
        <v>159</v>
      </c>
      <c r="T11" s="136">
        <v>297</v>
      </c>
      <c r="U11" s="136">
        <v>147</v>
      </c>
      <c r="V11" s="136">
        <v>150</v>
      </c>
      <c r="W11" s="136">
        <v>248</v>
      </c>
      <c r="X11" s="136">
        <v>121</v>
      </c>
      <c r="Y11" s="136">
        <v>127</v>
      </c>
      <c r="Z11" s="150">
        <v>203</v>
      </c>
      <c r="AA11" s="150">
        <v>89</v>
      </c>
      <c r="AB11" s="150">
        <v>114</v>
      </c>
    </row>
    <row r="12" spans="1:28" s="150" customFormat="1" ht="21" customHeight="1">
      <c r="A12" s="143" t="s">
        <v>214</v>
      </c>
      <c r="B12" s="135">
        <v>1566</v>
      </c>
      <c r="C12" s="136">
        <v>886</v>
      </c>
      <c r="D12" s="136">
        <v>680</v>
      </c>
      <c r="E12" s="136">
        <v>318</v>
      </c>
      <c r="F12" s="136">
        <v>199</v>
      </c>
      <c r="G12" s="136">
        <v>119</v>
      </c>
      <c r="H12" s="136">
        <v>302</v>
      </c>
      <c r="I12" s="136">
        <v>175</v>
      </c>
      <c r="J12" s="136">
        <v>127</v>
      </c>
      <c r="K12" s="136">
        <v>403</v>
      </c>
      <c r="L12" s="136">
        <v>216</v>
      </c>
      <c r="M12" s="136">
        <v>187</v>
      </c>
      <c r="N12" s="136">
        <v>220</v>
      </c>
      <c r="O12" s="136">
        <v>126</v>
      </c>
      <c r="P12" s="136">
        <v>94</v>
      </c>
      <c r="Q12" s="136">
        <v>103</v>
      </c>
      <c r="R12" s="136">
        <v>58</v>
      </c>
      <c r="S12" s="136">
        <v>45</v>
      </c>
      <c r="T12" s="136">
        <v>125</v>
      </c>
      <c r="U12" s="136">
        <v>67</v>
      </c>
      <c r="V12" s="136">
        <v>58</v>
      </c>
      <c r="W12" s="136">
        <v>95</v>
      </c>
      <c r="X12" s="136">
        <v>45</v>
      </c>
      <c r="Y12" s="136">
        <v>50</v>
      </c>
      <c r="Z12" s="150">
        <v>214</v>
      </c>
      <c r="AA12" s="150">
        <v>105</v>
      </c>
      <c r="AB12" s="150">
        <v>109</v>
      </c>
    </row>
    <row r="13" spans="1:28" s="150" customFormat="1" ht="21" customHeight="1">
      <c r="A13" s="143" t="s">
        <v>205</v>
      </c>
      <c r="B13" s="135">
        <v>2223</v>
      </c>
      <c r="C13" s="136">
        <v>1351</v>
      </c>
      <c r="D13" s="136">
        <v>872</v>
      </c>
      <c r="E13" s="136">
        <v>815</v>
      </c>
      <c r="F13" s="136">
        <v>502</v>
      </c>
      <c r="G13" s="136">
        <v>313</v>
      </c>
      <c r="H13" s="136">
        <v>497</v>
      </c>
      <c r="I13" s="136">
        <v>298</v>
      </c>
      <c r="J13" s="136">
        <v>199</v>
      </c>
      <c r="K13" s="136">
        <v>467</v>
      </c>
      <c r="L13" s="136">
        <v>298</v>
      </c>
      <c r="M13" s="136">
        <v>169</v>
      </c>
      <c r="N13" s="136">
        <v>208</v>
      </c>
      <c r="O13" s="136">
        <v>118</v>
      </c>
      <c r="P13" s="136">
        <v>90</v>
      </c>
      <c r="Q13" s="136">
        <v>74</v>
      </c>
      <c r="R13" s="136">
        <v>43</v>
      </c>
      <c r="S13" s="136">
        <v>31</v>
      </c>
      <c r="T13" s="136">
        <v>93</v>
      </c>
      <c r="U13" s="136">
        <v>52</v>
      </c>
      <c r="V13" s="136">
        <v>41</v>
      </c>
      <c r="W13" s="136">
        <v>69</v>
      </c>
      <c r="X13" s="136">
        <v>40</v>
      </c>
      <c r="Y13" s="136">
        <v>29</v>
      </c>
      <c r="Z13" s="150">
        <v>639</v>
      </c>
      <c r="AA13" s="150">
        <v>233</v>
      </c>
      <c r="AB13" s="150">
        <v>406</v>
      </c>
    </row>
    <row r="14" spans="1:28" s="150" customFormat="1" ht="21" customHeight="1">
      <c r="A14" s="143" t="s">
        <v>215</v>
      </c>
      <c r="B14" s="135">
        <v>316</v>
      </c>
      <c r="C14" s="136">
        <v>192</v>
      </c>
      <c r="D14" s="136">
        <v>124</v>
      </c>
      <c r="E14" s="136">
        <v>89</v>
      </c>
      <c r="F14" s="136">
        <v>59</v>
      </c>
      <c r="G14" s="136">
        <v>30</v>
      </c>
      <c r="H14" s="136">
        <v>72</v>
      </c>
      <c r="I14" s="136">
        <v>36</v>
      </c>
      <c r="J14" s="136">
        <v>36</v>
      </c>
      <c r="K14" s="136">
        <v>87</v>
      </c>
      <c r="L14" s="136">
        <v>54</v>
      </c>
      <c r="M14" s="136">
        <v>33</v>
      </c>
      <c r="N14" s="136">
        <v>35</v>
      </c>
      <c r="O14" s="136">
        <v>27</v>
      </c>
      <c r="P14" s="136">
        <v>8</v>
      </c>
      <c r="Q14" s="136">
        <v>11</v>
      </c>
      <c r="R14" s="136">
        <v>3</v>
      </c>
      <c r="S14" s="136">
        <v>8</v>
      </c>
      <c r="T14" s="136">
        <v>11</v>
      </c>
      <c r="U14" s="136">
        <v>8</v>
      </c>
      <c r="V14" s="136">
        <v>3</v>
      </c>
      <c r="W14" s="136">
        <v>11</v>
      </c>
      <c r="X14" s="136">
        <v>5</v>
      </c>
      <c r="Y14" s="136">
        <v>6</v>
      </c>
      <c r="Z14" s="150">
        <v>75</v>
      </c>
      <c r="AA14" s="150">
        <v>32</v>
      </c>
      <c r="AB14" s="150">
        <v>43</v>
      </c>
    </row>
    <row r="15" spans="1:28" s="150" customFormat="1" ht="21" customHeight="1">
      <c r="A15" s="143" t="s">
        <v>216</v>
      </c>
      <c r="B15" s="135">
        <v>331</v>
      </c>
      <c r="C15" s="136">
        <v>209</v>
      </c>
      <c r="D15" s="136">
        <v>122</v>
      </c>
      <c r="E15" s="136">
        <v>65</v>
      </c>
      <c r="F15" s="136">
        <v>42</v>
      </c>
      <c r="G15" s="136">
        <v>23</v>
      </c>
      <c r="H15" s="136">
        <v>57</v>
      </c>
      <c r="I15" s="136">
        <v>37</v>
      </c>
      <c r="J15" s="136">
        <v>20</v>
      </c>
      <c r="K15" s="136">
        <v>81</v>
      </c>
      <c r="L15" s="136">
        <v>50</v>
      </c>
      <c r="M15" s="136">
        <v>31</v>
      </c>
      <c r="N15" s="136">
        <v>51</v>
      </c>
      <c r="O15" s="136">
        <v>35</v>
      </c>
      <c r="P15" s="136">
        <v>16</v>
      </c>
      <c r="Q15" s="136">
        <v>35</v>
      </c>
      <c r="R15" s="136">
        <v>22</v>
      </c>
      <c r="S15" s="136">
        <v>13</v>
      </c>
      <c r="T15" s="136">
        <v>22</v>
      </c>
      <c r="U15" s="136">
        <v>10</v>
      </c>
      <c r="V15" s="136">
        <v>12</v>
      </c>
      <c r="W15" s="136">
        <v>20</v>
      </c>
      <c r="X15" s="136">
        <v>13</v>
      </c>
      <c r="Y15" s="136">
        <v>7</v>
      </c>
      <c r="Z15" s="150">
        <v>42</v>
      </c>
      <c r="AA15" s="150">
        <v>20</v>
      </c>
      <c r="AB15" s="150">
        <v>22</v>
      </c>
    </row>
    <row r="16" spans="1:28" s="150" customFormat="1" ht="21" customHeight="1">
      <c r="A16" s="143" t="s">
        <v>217</v>
      </c>
      <c r="B16" s="135">
        <v>1064</v>
      </c>
      <c r="C16" s="136">
        <v>651</v>
      </c>
      <c r="D16" s="136">
        <v>413</v>
      </c>
      <c r="E16" s="136">
        <v>258</v>
      </c>
      <c r="F16" s="136">
        <v>160</v>
      </c>
      <c r="G16" s="136">
        <v>98</v>
      </c>
      <c r="H16" s="136">
        <v>222</v>
      </c>
      <c r="I16" s="136">
        <v>124</v>
      </c>
      <c r="J16" s="136">
        <v>98</v>
      </c>
      <c r="K16" s="136">
        <v>227</v>
      </c>
      <c r="L16" s="136">
        <v>156</v>
      </c>
      <c r="M16" s="136">
        <v>71</v>
      </c>
      <c r="N16" s="136">
        <v>134</v>
      </c>
      <c r="O16" s="136">
        <v>85</v>
      </c>
      <c r="P16" s="136">
        <v>49</v>
      </c>
      <c r="Q16" s="136">
        <v>86</v>
      </c>
      <c r="R16" s="136">
        <v>48</v>
      </c>
      <c r="S16" s="136">
        <v>38</v>
      </c>
      <c r="T16" s="136">
        <v>76</v>
      </c>
      <c r="U16" s="136">
        <v>47</v>
      </c>
      <c r="V16" s="136">
        <v>29</v>
      </c>
      <c r="W16" s="136">
        <v>61</v>
      </c>
      <c r="X16" s="136">
        <v>31</v>
      </c>
      <c r="Y16" s="136">
        <v>30</v>
      </c>
      <c r="Z16" s="150">
        <v>135</v>
      </c>
      <c r="AA16" s="150">
        <v>67</v>
      </c>
      <c r="AB16" s="150">
        <v>68</v>
      </c>
    </row>
    <row r="17" spans="1:28" s="150" customFormat="1" ht="21" customHeight="1">
      <c r="A17" s="143" t="s">
        <v>218</v>
      </c>
      <c r="B17" s="135">
        <v>858</v>
      </c>
      <c r="C17" s="136">
        <v>557</v>
      </c>
      <c r="D17" s="136">
        <v>301</v>
      </c>
      <c r="E17" s="136">
        <v>327</v>
      </c>
      <c r="F17" s="136">
        <v>224</v>
      </c>
      <c r="G17" s="136">
        <v>103</v>
      </c>
      <c r="H17" s="136">
        <v>205</v>
      </c>
      <c r="I17" s="136">
        <v>123</v>
      </c>
      <c r="J17" s="136">
        <v>82</v>
      </c>
      <c r="K17" s="136">
        <v>192</v>
      </c>
      <c r="L17" s="136">
        <v>129</v>
      </c>
      <c r="M17" s="136">
        <v>63</v>
      </c>
      <c r="N17" s="136">
        <v>66</v>
      </c>
      <c r="O17" s="136">
        <v>41</v>
      </c>
      <c r="P17" s="136">
        <v>25</v>
      </c>
      <c r="Q17" s="136">
        <v>31</v>
      </c>
      <c r="R17" s="136">
        <v>18</v>
      </c>
      <c r="S17" s="136">
        <v>13</v>
      </c>
      <c r="T17" s="136">
        <v>23</v>
      </c>
      <c r="U17" s="136">
        <v>13</v>
      </c>
      <c r="V17" s="136">
        <v>10</v>
      </c>
      <c r="W17" s="136">
        <v>14</v>
      </c>
      <c r="X17" s="136">
        <v>9</v>
      </c>
      <c r="Y17" s="136">
        <v>5</v>
      </c>
      <c r="Z17" s="150">
        <v>70</v>
      </c>
      <c r="AA17" s="150">
        <v>45</v>
      </c>
      <c r="AB17" s="150">
        <v>25</v>
      </c>
    </row>
    <row r="18" spans="1:28" s="150" customFormat="1" ht="21" customHeight="1">
      <c r="A18" s="143" t="s">
        <v>219</v>
      </c>
      <c r="B18" s="135">
        <v>1257</v>
      </c>
      <c r="C18" s="136">
        <v>754</v>
      </c>
      <c r="D18" s="136">
        <v>503</v>
      </c>
      <c r="E18" s="136">
        <v>452</v>
      </c>
      <c r="F18" s="136">
        <v>280</v>
      </c>
      <c r="G18" s="136">
        <v>172</v>
      </c>
      <c r="H18" s="136">
        <v>269</v>
      </c>
      <c r="I18" s="136">
        <v>146</v>
      </c>
      <c r="J18" s="136">
        <v>123</v>
      </c>
      <c r="K18" s="136">
        <v>234</v>
      </c>
      <c r="L18" s="136">
        <v>137</v>
      </c>
      <c r="M18" s="136">
        <v>97</v>
      </c>
      <c r="N18" s="136">
        <v>126</v>
      </c>
      <c r="O18" s="136">
        <v>83</v>
      </c>
      <c r="P18" s="136">
        <v>43</v>
      </c>
      <c r="Q18" s="136">
        <v>74</v>
      </c>
      <c r="R18" s="136">
        <v>43</v>
      </c>
      <c r="S18" s="136">
        <v>31</v>
      </c>
      <c r="T18" s="136">
        <v>59</v>
      </c>
      <c r="U18" s="136">
        <v>39</v>
      </c>
      <c r="V18" s="136">
        <v>20</v>
      </c>
      <c r="W18" s="136">
        <v>43</v>
      </c>
      <c r="X18" s="136">
        <v>26</v>
      </c>
      <c r="Y18" s="136">
        <v>17</v>
      </c>
      <c r="Z18" s="150">
        <v>99</v>
      </c>
      <c r="AA18" s="150">
        <v>52</v>
      </c>
      <c r="AB18" s="150">
        <v>47</v>
      </c>
    </row>
    <row r="19" spans="1:28" s="150" customFormat="1" ht="21" customHeight="1">
      <c r="A19" s="143" t="s">
        <v>206</v>
      </c>
      <c r="B19" s="135">
        <v>469</v>
      </c>
      <c r="C19" s="136">
        <v>277</v>
      </c>
      <c r="D19" s="136">
        <v>192</v>
      </c>
      <c r="E19" s="136">
        <v>130</v>
      </c>
      <c r="F19" s="136">
        <v>93</v>
      </c>
      <c r="G19" s="136">
        <v>37</v>
      </c>
      <c r="H19" s="136">
        <v>81</v>
      </c>
      <c r="I19" s="136">
        <v>45</v>
      </c>
      <c r="J19" s="136">
        <v>36</v>
      </c>
      <c r="K19" s="136">
        <v>161</v>
      </c>
      <c r="L19" s="136">
        <v>85</v>
      </c>
      <c r="M19" s="136">
        <v>76</v>
      </c>
      <c r="N19" s="136">
        <v>51</v>
      </c>
      <c r="O19" s="136">
        <v>25</v>
      </c>
      <c r="P19" s="136">
        <v>26</v>
      </c>
      <c r="Q19" s="136">
        <v>16</v>
      </c>
      <c r="R19" s="136">
        <v>11</v>
      </c>
      <c r="S19" s="136">
        <v>5</v>
      </c>
      <c r="T19" s="136">
        <v>14</v>
      </c>
      <c r="U19" s="136">
        <v>8</v>
      </c>
      <c r="V19" s="136">
        <v>6</v>
      </c>
      <c r="W19" s="136">
        <v>16</v>
      </c>
      <c r="X19" s="136">
        <v>10</v>
      </c>
      <c r="Y19" s="136">
        <v>6</v>
      </c>
      <c r="Z19" s="150">
        <v>90</v>
      </c>
      <c r="AA19" s="150">
        <v>60</v>
      </c>
      <c r="AB19" s="150">
        <v>30</v>
      </c>
    </row>
    <row r="20" spans="1:28" s="150" customFormat="1" ht="21" customHeight="1">
      <c r="A20" s="143" t="s">
        <v>220</v>
      </c>
      <c r="B20" s="135">
        <v>758</v>
      </c>
      <c r="C20" s="136">
        <v>453</v>
      </c>
      <c r="D20" s="136">
        <v>305</v>
      </c>
      <c r="E20" s="136">
        <v>168</v>
      </c>
      <c r="F20" s="136">
        <v>113</v>
      </c>
      <c r="G20" s="136">
        <v>55</v>
      </c>
      <c r="H20" s="136">
        <v>197</v>
      </c>
      <c r="I20" s="136">
        <v>115</v>
      </c>
      <c r="J20" s="136">
        <v>82</v>
      </c>
      <c r="K20" s="136">
        <v>186</v>
      </c>
      <c r="L20" s="136">
        <v>97</v>
      </c>
      <c r="M20" s="136">
        <v>89</v>
      </c>
      <c r="N20" s="136">
        <v>106</v>
      </c>
      <c r="O20" s="136">
        <v>71</v>
      </c>
      <c r="P20" s="136">
        <v>35</v>
      </c>
      <c r="Q20" s="136">
        <v>36</v>
      </c>
      <c r="R20" s="136">
        <v>16</v>
      </c>
      <c r="S20" s="136">
        <v>20</v>
      </c>
      <c r="T20" s="136">
        <v>37</v>
      </c>
      <c r="U20" s="136">
        <v>23</v>
      </c>
      <c r="V20" s="136">
        <v>14</v>
      </c>
      <c r="W20" s="136">
        <v>28</v>
      </c>
      <c r="X20" s="136">
        <v>18</v>
      </c>
      <c r="Y20" s="136">
        <v>10</v>
      </c>
      <c r="Z20" s="150">
        <v>145</v>
      </c>
      <c r="AA20" s="150">
        <v>43</v>
      </c>
      <c r="AB20" s="150">
        <v>102</v>
      </c>
    </row>
    <row r="21" spans="1:28" s="150" customFormat="1" ht="21" customHeight="1">
      <c r="A21" s="143" t="s">
        <v>221</v>
      </c>
      <c r="B21" s="135">
        <v>2770</v>
      </c>
      <c r="C21" s="136">
        <v>1736</v>
      </c>
      <c r="D21" s="136">
        <v>1034</v>
      </c>
      <c r="E21" s="136">
        <v>719</v>
      </c>
      <c r="F21" s="136">
        <v>477</v>
      </c>
      <c r="G21" s="136">
        <v>242</v>
      </c>
      <c r="H21" s="136">
        <v>508</v>
      </c>
      <c r="I21" s="136">
        <v>310</v>
      </c>
      <c r="J21" s="136">
        <v>198</v>
      </c>
      <c r="K21" s="136">
        <v>581</v>
      </c>
      <c r="L21" s="136">
        <v>365</v>
      </c>
      <c r="M21" s="136">
        <v>216</v>
      </c>
      <c r="N21" s="136">
        <v>403</v>
      </c>
      <c r="O21" s="136">
        <v>249</v>
      </c>
      <c r="P21" s="136">
        <v>154</v>
      </c>
      <c r="Q21" s="136">
        <v>243</v>
      </c>
      <c r="R21" s="136">
        <v>143</v>
      </c>
      <c r="S21" s="136">
        <v>100</v>
      </c>
      <c r="T21" s="136">
        <v>172</v>
      </c>
      <c r="U21" s="136">
        <v>101</v>
      </c>
      <c r="V21" s="136">
        <v>71</v>
      </c>
      <c r="W21" s="136">
        <v>144</v>
      </c>
      <c r="X21" s="136">
        <v>91</v>
      </c>
      <c r="Y21" s="136">
        <v>53</v>
      </c>
      <c r="Z21" s="150">
        <v>354</v>
      </c>
      <c r="AA21" s="150">
        <v>137</v>
      </c>
      <c r="AB21" s="150">
        <v>217</v>
      </c>
    </row>
    <row r="22" spans="1:28" s="150" customFormat="1" ht="21" customHeight="1">
      <c r="A22" s="143" t="s">
        <v>207</v>
      </c>
      <c r="B22" s="135">
        <v>2274</v>
      </c>
      <c r="C22" s="136">
        <v>1281</v>
      </c>
      <c r="D22" s="136">
        <v>993</v>
      </c>
      <c r="E22" s="136">
        <v>516</v>
      </c>
      <c r="F22" s="136">
        <v>311</v>
      </c>
      <c r="G22" s="136">
        <v>205</v>
      </c>
      <c r="H22" s="136">
        <v>410</v>
      </c>
      <c r="I22" s="136">
        <v>209</v>
      </c>
      <c r="J22" s="136">
        <v>201</v>
      </c>
      <c r="K22" s="136">
        <v>493</v>
      </c>
      <c r="L22" s="136">
        <v>263</v>
      </c>
      <c r="M22" s="136">
        <v>230</v>
      </c>
      <c r="N22" s="136">
        <v>310</v>
      </c>
      <c r="O22" s="136">
        <v>177</v>
      </c>
      <c r="P22" s="136">
        <v>133</v>
      </c>
      <c r="Q22" s="136">
        <v>160</v>
      </c>
      <c r="R22" s="136">
        <v>97</v>
      </c>
      <c r="S22" s="136">
        <v>63</v>
      </c>
      <c r="T22" s="136">
        <v>201</v>
      </c>
      <c r="U22" s="136">
        <v>121</v>
      </c>
      <c r="V22" s="136">
        <v>80</v>
      </c>
      <c r="W22" s="136">
        <v>184</v>
      </c>
      <c r="X22" s="136">
        <v>103</v>
      </c>
      <c r="Y22" s="136">
        <v>81</v>
      </c>
      <c r="Z22" s="150">
        <v>99</v>
      </c>
      <c r="AA22" s="150">
        <v>44</v>
      </c>
      <c r="AB22" s="150">
        <v>55</v>
      </c>
    </row>
    <row r="23" spans="1:28" s="150" customFormat="1" ht="21" customHeight="1">
      <c r="A23" s="143" t="s">
        <v>208</v>
      </c>
      <c r="B23" s="135">
        <v>1155</v>
      </c>
      <c r="C23" s="136">
        <v>753</v>
      </c>
      <c r="D23" s="136">
        <v>402</v>
      </c>
      <c r="E23" s="136">
        <v>267</v>
      </c>
      <c r="F23" s="136">
        <v>196</v>
      </c>
      <c r="G23" s="136">
        <v>71</v>
      </c>
      <c r="H23" s="136">
        <v>220</v>
      </c>
      <c r="I23" s="136">
        <v>132</v>
      </c>
      <c r="J23" s="136">
        <v>88</v>
      </c>
      <c r="K23" s="136">
        <v>255</v>
      </c>
      <c r="L23" s="136">
        <v>175</v>
      </c>
      <c r="M23" s="136">
        <v>80</v>
      </c>
      <c r="N23" s="136">
        <v>164</v>
      </c>
      <c r="O23" s="136">
        <v>105</v>
      </c>
      <c r="P23" s="136">
        <v>59</v>
      </c>
      <c r="Q23" s="136">
        <v>82</v>
      </c>
      <c r="R23" s="136">
        <v>48</v>
      </c>
      <c r="S23" s="136">
        <v>34</v>
      </c>
      <c r="T23" s="136">
        <v>98</v>
      </c>
      <c r="U23" s="136">
        <v>59</v>
      </c>
      <c r="V23" s="136">
        <v>39</v>
      </c>
      <c r="W23" s="136">
        <v>69</v>
      </c>
      <c r="X23" s="136">
        <v>38</v>
      </c>
      <c r="Y23" s="136">
        <v>31</v>
      </c>
      <c r="Z23" s="150">
        <v>83</v>
      </c>
      <c r="AA23" s="150">
        <v>30</v>
      </c>
      <c r="AB23" s="150">
        <v>53</v>
      </c>
    </row>
    <row r="24" spans="1:28" s="150" customFormat="1" ht="21" customHeight="1">
      <c r="A24" s="143" t="s">
        <v>222</v>
      </c>
      <c r="B24" s="135">
        <v>27</v>
      </c>
      <c r="C24" s="136">
        <v>19</v>
      </c>
      <c r="D24" s="136">
        <v>8</v>
      </c>
      <c r="E24" s="136">
        <v>9</v>
      </c>
      <c r="F24" s="136">
        <v>7</v>
      </c>
      <c r="G24" s="136">
        <v>2</v>
      </c>
      <c r="H24" s="136">
        <v>6</v>
      </c>
      <c r="I24" s="136">
        <v>5</v>
      </c>
      <c r="J24" s="136">
        <v>1</v>
      </c>
      <c r="K24" s="136">
        <v>8</v>
      </c>
      <c r="L24" s="136">
        <v>5</v>
      </c>
      <c r="M24" s="136">
        <v>3</v>
      </c>
      <c r="N24" s="136">
        <v>2</v>
      </c>
      <c r="O24" s="136">
        <v>2</v>
      </c>
      <c r="P24" s="136">
        <v>0</v>
      </c>
      <c r="Q24" s="136">
        <v>0</v>
      </c>
      <c r="R24" s="136">
        <v>0</v>
      </c>
      <c r="S24" s="136">
        <v>0</v>
      </c>
      <c r="T24" s="136">
        <v>2</v>
      </c>
      <c r="U24" s="136">
        <v>0</v>
      </c>
      <c r="V24" s="136">
        <v>2</v>
      </c>
      <c r="W24" s="136">
        <v>0</v>
      </c>
      <c r="X24" s="136">
        <v>0</v>
      </c>
      <c r="Y24" s="136">
        <v>0</v>
      </c>
      <c r="Z24" s="150">
        <v>129</v>
      </c>
      <c r="AA24" s="150">
        <v>29</v>
      </c>
      <c r="AB24" s="150">
        <v>100</v>
      </c>
    </row>
    <row r="25" spans="1:28" s="150" customFormat="1" ht="21" customHeight="1">
      <c r="A25" s="143" t="s">
        <v>223</v>
      </c>
      <c r="B25" s="135">
        <v>901</v>
      </c>
      <c r="C25" s="136">
        <v>460</v>
      </c>
      <c r="D25" s="136">
        <v>441</v>
      </c>
      <c r="E25" s="136">
        <v>265</v>
      </c>
      <c r="F25" s="136">
        <v>141</v>
      </c>
      <c r="G25" s="136">
        <v>124</v>
      </c>
      <c r="H25" s="136">
        <v>217</v>
      </c>
      <c r="I25" s="136">
        <v>108</v>
      </c>
      <c r="J25" s="136">
        <v>109</v>
      </c>
      <c r="K25" s="136">
        <v>223</v>
      </c>
      <c r="L25" s="136">
        <v>108</v>
      </c>
      <c r="M25" s="136">
        <v>115</v>
      </c>
      <c r="N25" s="136">
        <v>100</v>
      </c>
      <c r="O25" s="136">
        <v>54</v>
      </c>
      <c r="P25" s="136">
        <v>46</v>
      </c>
      <c r="Q25" s="136">
        <v>38</v>
      </c>
      <c r="R25" s="136">
        <v>25</v>
      </c>
      <c r="S25" s="136">
        <v>13</v>
      </c>
      <c r="T25" s="136">
        <v>29</v>
      </c>
      <c r="U25" s="136">
        <v>13</v>
      </c>
      <c r="V25" s="136">
        <v>16</v>
      </c>
      <c r="W25" s="136">
        <v>29</v>
      </c>
      <c r="X25" s="136">
        <v>11</v>
      </c>
      <c r="Y25" s="136">
        <v>18</v>
      </c>
      <c r="Z25" s="150">
        <v>49</v>
      </c>
      <c r="AA25" s="150">
        <v>28</v>
      </c>
      <c r="AB25" s="150">
        <v>21</v>
      </c>
    </row>
    <row r="26" spans="1:28" s="150" customFormat="1" ht="21" customHeight="1">
      <c r="A26" s="143" t="s">
        <v>224</v>
      </c>
      <c r="B26" s="135">
        <v>229</v>
      </c>
      <c r="C26" s="136">
        <v>113</v>
      </c>
      <c r="D26" s="136">
        <v>116</v>
      </c>
      <c r="E26" s="136">
        <v>80</v>
      </c>
      <c r="F26" s="136">
        <v>37</v>
      </c>
      <c r="G26" s="136">
        <v>43</v>
      </c>
      <c r="H26" s="136">
        <v>39</v>
      </c>
      <c r="I26" s="136">
        <v>16</v>
      </c>
      <c r="J26" s="136">
        <v>23</v>
      </c>
      <c r="K26" s="136">
        <v>50</v>
      </c>
      <c r="L26" s="136">
        <v>27</v>
      </c>
      <c r="M26" s="136">
        <v>23</v>
      </c>
      <c r="N26" s="136">
        <v>32</v>
      </c>
      <c r="O26" s="136">
        <v>17</v>
      </c>
      <c r="P26" s="136">
        <v>15</v>
      </c>
      <c r="Q26" s="136">
        <v>14</v>
      </c>
      <c r="R26" s="136">
        <v>8</v>
      </c>
      <c r="S26" s="136">
        <v>6</v>
      </c>
      <c r="T26" s="136">
        <v>12</v>
      </c>
      <c r="U26" s="136">
        <v>6</v>
      </c>
      <c r="V26" s="136">
        <v>6</v>
      </c>
      <c r="W26" s="136">
        <v>2</v>
      </c>
      <c r="X26" s="136">
        <v>2</v>
      </c>
      <c r="Y26" s="136">
        <v>0</v>
      </c>
      <c r="Z26" s="150">
        <v>42</v>
      </c>
      <c r="AA26" s="150">
        <v>20</v>
      </c>
      <c r="AB26" s="150">
        <v>22</v>
      </c>
    </row>
    <row r="27" spans="1:28" s="150" customFormat="1" ht="21" customHeight="1">
      <c r="A27" s="143" t="s">
        <v>225</v>
      </c>
      <c r="B27" s="135">
        <v>304</v>
      </c>
      <c r="C27" s="136">
        <v>179</v>
      </c>
      <c r="D27" s="136">
        <v>125</v>
      </c>
      <c r="E27" s="136">
        <v>96</v>
      </c>
      <c r="F27" s="136">
        <v>62</v>
      </c>
      <c r="G27" s="136">
        <v>34</v>
      </c>
      <c r="H27" s="136">
        <v>54</v>
      </c>
      <c r="I27" s="136">
        <v>29</v>
      </c>
      <c r="J27" s="136">
        <v>25</v>
      </c>
      <c r="K27" s="136">
        <v>61</v>
      </c>
      <c r="L27" s="136">
        <v>38</v>
      </c>
      <c r="M27" s="136">
        <v>23</v>
      </c>
      <c r="N27" s="136">
        <v>43</v>
      </c>
      <c r="O27" s="136">
        <v>24</v>
      </c>
      <c r="P27" s="136">
        <v>19</v>
      </c>
      <c r="Q27" s="136">
        <v>25</v>
      </c>
      <c r="R27" s="136">
        <v>11</v>
      </c>
      <c r="S27" s="136">
        <v>14</v>
      </c>
      <c r="T27" s="136">
        <v>8</v>
      </c>
      <c r="U27" s="136">
        <v>3</v>
      </c>
      <c r="V27" s="136">
        <v>5</v>
      </c>
      <c r="W27" s="136">
        <v>17</v>
      </c>
      <c r="X27" s="136">
        <v>12</v>
      </c>
      <c r="Y27" s="136">
        <v>5</v>
      </c>
      <c r="Z27" s="150">
        <v>44</v>
      </c>
      <c r="AA27" s="150">
        <v>20</v>
      </c>
      <c r="AB27" s="150">
        <v>24</v>
      </c>
    </row>
    <row r="28" spans="1:28" s="150" customFormat="1" ht="21" customHeight="1">
      <c r="A28" s="143" t="s">
        <v>226</v>
      </c>
      <c r="B28" s="135">
        <v>0</v>
      </c>
      <c r="C28" s="136">
        <v>0</v>
      </c>
      <c r="D28" s="136">
        <v>0</v>
      </c>
      <c r="E28" s="136">
        <v>0</v>
      </c>
      <c r="F28" s="136">
        <v>0</v>
      </c>
      <c r="G28" s="136">
        <v>0</v>
      </c>
      <c r="H28" s="136">
        <v>0</v>
      </c>
      <c r="I28" s="136">
        <v>0</v>
      </c>
      <c r="J28" s="136">
        <v>0</v>
      </c>
      <c r="K28" s="136">
        <v>0</v>
      </c>
      <c r="L28" s="136">
        <v>0</v>
      </c>
      <c r="M28" s="136">
        <v>0</v>
      </c>
      <c r="N28" s="136">
        <v>0</v>
      </c>
      <c r="O28" s="136">
        <v>0</v>
      </c>
      <c r="P28" s="136">
        <v>0</v>
      </c>
      <c r="Q28" s="136">
        <v>0</v>
      </c>
      <c r="R28" s="136">
        <v>0</v>
      </c>
      <c r="S28" s="136">
        <v>0</v>
      </c>
      <c r="T28" s="136">
        <v>0</v>
      </c>
      <c r="U28" s="136">
        <v>0</v>
      </c>
      <c r="V28" s="136">
        <v>0</v>
      </c>
      <c r="W28" s="136">
        <v>0</v>
      </c>
      <c r="X28" s="136">
        <v>0</v>
      </c>
      <c r="Y28" s="136">
        <v>0</v>
      </c>
      <c r="Z28" s="136">
        <v>0</v>
      </c>
      <c r="AA28" s="136">
        <v>0</v>
      </c>
      <c r="AB28" s="136">
        <v>0</v>
      </c>
    </row>
    <row r="29" spans="1:28" s="150" customFormat="1" ht="21" customHeight="1" thickBot="1">
      <c r="A29" s="144" t="s">
        <v>227</v>
      </c>
      <c r="B29" s="161">
        <v>0</v>
      </c>
      <c r="C29" s="162">
        <v>0</v>
      </c>
      <c r="D29" s="162">
        <v>0</v>
      </c>
      <c r="E29" s="162">
        <v>0</v>
      </c>
      <c r="F29" s="162">
        <v>0</v>
      </c>
      <c r="G29" s="162">
        <v>0</v>
      </c>
      <c r="H29" s="162">
        <v>0</v>
      </c>
      <c r="I29" s="162">
        <v>0</v>
      </c>
      <c r="J29" s="162">
        <v>0</v>
      </c>
      <c r="K29" s="162">
        <v>0</v>
      </c>
      <c r="L29" s="162">
        <v>0</v>
      </c>
      <c r="M29" s="162">
        <v>0</v>
      </c>
      <c r="N29" s="162">
        <v>0</v>
      </c>
      <c r="O29" s="162">
        <v>0</v>
      </c>
      <c r="P29" s="162">
        <v>0</v>
      </c>
      <c r="Q29" s="162">
        <v>0</v>
      </c>
      <c r="R29" s="162">
        <v>0</v>
      </c>
      <c r="S29" s="162">
        <v>0</v>
      </c>
      <c r="T29" s="162">
        <v>0</v>
      </c>
      <c r="U29" s="162">
        <v>0</v>
      </c>
      <c r="V29" s="162">
        <v>0</v>
      </c>
      <c r="W29" s="162">
        <v>0</v>
      </c>
      <c r="X29" s="162">
        <v>0</v>
      </c>
      <c r="Y29" s="162">
        <v>0</v>
      </c>
      <c r="Z29" s="162">
        <v>0</v>
      </c>
      <c r="AA29" s="162">
        <v>0</v>
      </c>
      <c r="AB29" s="162">
        <v>0</v>
      </c>
    </row>
    <row r="30" spans="1:28" s="151" customFormat="1" ht="14.25">
      <c r="A30" s="160" t="s">
        <v>198</v>
      </c>
      <c r="Z30" s="168"/>
      <c r="AA30" s="168"/>
      <c r="AB30" s="168"/>
    </row>
    <row r="31" spans="1:28" s="151" customFormat="1" ht="12.75">
      <c r="A31" s="109" t="s">
        <v>193</v>
      </c>
    </row>
    <row r="32" spans="1:28" s="151" customFormat="1" ht="12.75">
      <c r="A32" s="109"/>
    </row>
    <row r="33" spans="1:1" s="151" customFormat="1" ht="16.5">
      <c r="A33" s="198" t="s">
        <v>315</v>
      </c>
    </row>
  </sheetData>
  <mergeCells count="10">
    <mergeCell ref="A4:A6"/>
    <mergeCell ref="B4:Y4"/>
    <mergeCell ref="B5:D5"/>
    <mergeCell ref="E5:G5"/>
    <mergeCell ref="H5:J5"/>
    <mergeCell ref="K5:M5"/>
    <mergeCell ref="N5:P5"/>
    <mergeCell ref="Q5:S5"/>
    <mergeCell ref="T5:V5"/>
    <mergeCell ref="W5:Y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3"/>
  <sheetViews>
    <sheetView zoomScale="84" zoomScaleNormal="84" zoomScaleSheetLayoutView="84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17" sqref="A17"/>
    </sheetView>
  </sheetViews>
  <sheetFormatPr defaultColWidth="9" defaultRowHeight="15.75"/>
  <cols>
    <col min="1" max="1" width="37.875" style="148" customWidth="1"/>
    <col min="2" max="3" width="10.5" style="148" customWidth="1"/>
    <col min="4" max="25" width="9.5" style="148" customWidth="1"/>
    <col min="26" max="16384" width="9" style="148"/>
  </cols>
  <sheetData>
    <row r="1" spans="1:28" s="164" customFormat="1" ht="27" customHeight="1">
      <c r="A1" s="199" t="s">
        <v>204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8" s="133" customFormat="1" ht="18" customHeight="1">
      <c r="A2" s="145" t="s">
        <v>190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28" s="147" customFormat="1" ht="18" customHeight="1" thickBot="1">
      <c r="A3" s="179" t="s">
        <v>309</v>
      </c>
      <c r="B3" s="153"/>
      <c r="C3" s="153"/>
      <c r="D3" s="153"/>
      <c r="E3" s="153"/>
      <c r="F3" s="153"/>
      <c r="G3" s="153"/>
      <c r="H3" s="153"/>
      <c r="I3" s="153"/>
      <c r="J3" s="146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46"/>
      <c r="Z3" s="146"/>
    </row>
    <row r="4" spans="1:28" ht="21.75" customHeight="1">
      <c r="A4" s="213" t="s">
        <v>192</v>
      </c>
      <c r="B4" s="214" t="s">
        <v>235</v>
      </c>
      <c r="C4" s="204"/>
      <c r="D4" s="204"/>
      <c r="E4" s="204"/>
      <c r="F4" s="204"/>
      <c r="G4" s="204"/>
      <c r="H4" s="204"/>
      <c r="I4" s="204"/>
      <c r="J4" s="205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5"/>
      <c r="Z4" s="177" t="s">
        <v>239</v>
      </c>
      <c r="AA4" s="178"/>
      <c r="AB4" s="178"/>
    </row>
    <row r="5" spans="1:28" ht="21.75" customHeight="1">
      <c r="A5" s="201"/>
      <c r="B5" s="208" t="s">
        <v>209</v>
      </c>
      <c r="C5" s="208"/>
      <c r="D5" s="209"/>
      <c r="E5" s="210" t="s">
        <v>228</v>
      </c>
      <c r="F5" s="210"/>
      <c r="G5" s="210"/>
      <c r="H5" s="210" t="s">
        <v>229</v>
      </c>
      <c r="I5" s="210"/>
      <c r="J5" s="211"/>
      <c r="K5" s="210" t="s">
        <v>230</v>
      </c>
      <c r="L5" s="210"/>
      <c r="M5" s="210"/>
      <c r="N5" s="210" t="s">
        <v>231</v>
      </c>
      <c r="O5" s="210"/>
      <c r="P5" s="210"/>
      <c r="Q5" s="210" t="s">
        <v>232</v>
      </c>
      <c r="R5" s="210"/>
      <c r="S5" s="210"/>
      <c r="T5" s="210" t="s">
        <v>233</v>
      </c>
      <c r="U5" s="210"/>
      <c r="V5" s="210"/>
      <c r="W5" s="210" t="s">
        <v>234</v>
      </c>
      <c r="X5" s="210"/>
      <c r="Y5" s="211"/>
      <c r="Z5" s="175" t="s">
        <v>238</v>
      </c>
      <c r="AA5" s="176"/>
      <c r="AB5" s="176"/>
    </row>
    <row r="6" spans="1:28" ht="40.15" customHeight="1" thickBot="1">
      <c r="A6" s="202"/>
      <c r="B6" s="156" t="s">
        <v>200</v>
      </c>
      <c r="C6" s="157" t="s">
        <v>194</v>
      </c>
      <c r="D6" s="157" t="s">
        <v>195</v>
      </c>
      <c r="E6" s="158" t="s">
        <v>200</v>
      </c>
      <c r="F6" s="157" t="s">
        <v>194</v>
      </c>
      <c r="G6" s="157" t="s">
        <v>195</v>
      </c>
      <c r="H6" s="158" t="s">
        <v>200</v>
      </c>
      <c r="I6" s="157" t="s">
        <v>194</v>
      </c>
      <c r="J6" s="157" t="s">
        <v>195</v>
      </c>
      <c r="K6" s="158" t="s">
        <v>200</v>
      </c>
      <c r="L6" s="157" t="s">
        <v>194</v>
      </c>
      <c r="M6" s="157" t="s">
        <v>195</v>
      </c>
      <c r="N6" s="158" t="s">
        <v>200</v>
      </c>
      <c r="O6" s="157" t="s">
        <v>194</v>
      </c>
      <c r="P6" s="157" t="s">
        <v>195</v>
      </c>
      <c r="Q6" s="158" t="s">
        <v>200</v>
      </c>
      <c r="R6" s="157" t="s">
        <v>194</v>
      </c>
      <c r="S6" s="157" t="s">
        <v>195</v>
      </c>
      <c r="T6" s="158" t="s">
        <v>200</v>
      </c>
      <c r="U6" s="157" t="s">
        <v>194</v>
      </c>
      <c r="V6" s="157" t="s">
        <v>195</v>
      </c>
      <c r="W6" s="158" t="s">
        <v>200</v>
      </c>
      <c r="X6" s="157" t="s">
        <v>194</v>
      </c>
      <c r="Y6" s="159" t="s">
        <v>195</v>
      </c>
      <c r="Z6" s="172" t="s">
        <v>240</v>
      </c>
      <c r="AA6" s="173" t="s">
        <v>241</v>
      </c>
      <c r="AB6" s="173" t="s">
        <v>242</v>
      </c>
    </row>
    <row r="7" spans="1:28" s="149" customFormat="1" ht="21" customHeight="1">
      <c r="A7" s="142" t="s">
        <v>201</v>
      </c>
      <c r="B7" s="154">
        <v>24928</v>
      </c>
      <c r="C7" s="155">
        <v>14263</v>
      </c>
      <c r="D7" s="155">
        <v>10665</v>
      </c>
      <c r="E7" s="155">
        <v>6850</v>
      </c>
      <c r="F7" s="155">
        <v>4133</v>
      </c>
      <c r="G7" s="155">
        <v>2717</v>
      </c>
      <c r="H7" s="155">
        <v>4986</v>
      </c>
      <c r="I7" s="155">
        <v>2699</v>
      </c>
      <c r="J7" s="155">
        <v>2287</v>
      </c>
      <c r="K7" s="155">
        <v>5480</v>
      </c>
      <c r="L7" s="155">
        <v>3107</v>
      </c>
      <c r="M7" s="155">
        <v>2373</v>
      </c>
      <c r="N7" s="155">
        <v>3187</v>
      </c>
      <c r="O7" s="155">
        <v>1846</v>
      </c>
      <c r="P7" s="155">
        <v>1341</v>
      </c>
      <c r="Q7" s="155">
        <v>1701</v>
      </c>
      <c r="R7" s="155">
        <v>1000</v>
      </c>
      <c r="S7" s="155">
        <v>701</v>
      </c>
      <c r="T7" s="155">
        <v>1560</v>
      </c>
      <c r="U7" s="155">
        <v>851</v>
      </c>
      <c r="V7" s="155">
        <v>709</v>
      </c>
      <c r="W7" s="155">
        <v>1164</v>
      </c>
      <c r="X7" s="155">
        <v>627</v>
      </c>
      <c r="Y7" s="155">
        <v>537</v>
      </c>
      <c r="Z7" s="149">
        <v>2980</v>
      </c>
      <c r="AA7" s="149">
        <v>1324</v>
      </c>
      <c r="AB7" s="149">
        <v>1656</v>
      </c>
    </row>
    <row r="8" spans="1:28" s="150" customFormat="1" ht="21" customHeight="1">
      <c r="A8" s="143" t="s">
        <v>210</v>
      </c>
      <c r="B8" s="135">
        <v>705</v>
      </c>
      <c r="C8" s="136">
        <v>407</v>
      </c>
      <c r="D8" s="136">
        <v>298</v>
      </c>
      <c r="E8" s="136">
        <v>217</v>
      </c>
      <c r="F8" s="136">
        <v>136</v>
      </c>
      <c r="G8" s="136">
        <v>81</v>
      </c>
      <c r="H8" s="136">
        <v>136</v>
      </c>
      <c r="I8" s="136">
        <v>78</v>
      </c>
      <c r="J8" s="136">
        <v>58</v>
      </c>
      <c r="K8" s="136">
        <v>164</v>
      </c>
      <c r="L8" s="136">
        <v>91</v>
      </c>
      <c r="M8" s="136">
        <v>73</v>
      </c>
      <c r="N8" s="136">
        <v>78</v>
      </c>
      <c r="O8" s="136">
        <v>43</v>
      </c>
      <c r="P8" s="136">
        <v>35</v>
      </c>
      <c r="Q8" s="136">
        <v>49</v>
      </c>
      <c r="R8" s="136">
        <v>26</v>
      </c>
      <c r="S8" s="136">
        <v>23</v>
      </c>
      <c r="T8" s="136">
        <v>30</v>
      </c>
      <c r="U8" s="136">
        <v>15</v>
      </c>
      <c r="V8" s="136">
        <v>15</v>
      </c>
      <c r="W8" s="136">
        <v>31</v>
      </c>
      <c r="X8" s="136">
        <v>18</v>
      </c>
      <c r="Y8" s="136">
        <v>13</v>
      </c>
      <c r="Z8" s="150">
        <v>162</v>
      </c>
      <c r="AA8" s="150">
        <v>78</v>
      </c>
      <c r="AB8" s="150">
        <v>84</v>
      </c>
    </row>
    <row r="9" spans="1:28" s="150" customFormat="1" ht="21" customHeight="1">
      <c r="A9" s="143" t="s">
        <v>211</v>
      </c>
      <c r="B9" s="135">
        <v>1788</v>
      </c>
      <c r="C9" s="136">
        <v>883</v>
      </c>
      <c r="D9" s="136">
        <v>905</v>
      </c>
      <c r="E9" s="136">
        <v>395</v>
      </c>
      <c r="F9" s="136">
        <v>192</v>
      </c>
      <c r="G9" s="136">
        <v>203</v>
      </c>
      <c r="H9" s="136">
        <v>349</v>
      </c>
      <c r="I9" s="136">
        <v>159</v>
      </c>
      <c r="J9" s="136">
        <v>190</v>
      </c>
      <c r="K9" s="136">
        <v>486</v>
      </c>
      <c r="L9" s="136">
        <v>236</v>
      </c>
      <c r="M9" s="136">
        <v>250</v>
      </c>
      <c r="N9" s="136">
        <v>220</v>
      </c>
      <c r="O9" s="136">
        <v>118</v>
      </c>
      <c r="P9" s="136">
        <v>102</v>
      </c>
      <c r="Q9" s="136">
        <v>124</v>
      </c>
      <c r="R9" s="136">
        <v>69</v>
      </c>
      <c r="S9" s="136">
        <v>55</v>
      </c>
      <c r="T9" s="136">
        <v>134</v>
      </c>
      <c r="U9" s="136">
        <v>73</v>
      </c>
      <c r="V9" s="136">
        <v>61</v>
      </c>
      <c r="W9" s="136">
        <v>80</v>
      </c>
      <c r="X9" s="136">
        <v>36</v>
      </c>
      <c r="Y9" s="136">
        <v>44</v>
      </c>
      <c r="Z9" s="150">
        <v>248</v>
      </c>
      <c r="AA9" s="150">
        <v>138</v>
      </c>
      <c r="AB9" s="150">
        <v>110</v>
      </c>
    </row>
    <row r="10" spans="1:28" s="150" customFormat="1" ht="21" customHeight="1">
      <c r="A10" s="143" t="s">
        <v>212</v>
      </c>
      <c r="B10" s="135">
        <v>1188</v>
      </c>
      <c r="C10" s="136">
        <v>733</v>
      </c>
      <c r="D10" s="136">
        <v>455</v>
      </c>
      <c r="E10" s="136">
        <v>316</v>
      </c>
      <c r="F10" s="136">
        <v>199</v>
      </c>
      <c r="G10" s="136">
        <v>117</v>
      </c>
      <c r="H10" s="136">
        <v>214</v>
      </c>
      <c r="I10" s="136">
        <v>129</v>
      </c>
      <c r="J10" s="136">
        <v>85</v>
      </c>
      <c r="K10" s="136">
        <v>283</v>
      </c>
      <c r="L10" s="136">
        <v>176</v>
      </c>
      <c r="M10" s="136">
        <v>107</v>
      </c>
      <c r="N10" s="136">
        <v>144</v>
      </c>
      <c r="O10" s="136">
        <v>88</v>
      </c>
      <c r="P10" s="136">
        <v>56</v>
      </c>
      <c r="Q10" s="136">
        <v>94</v>
      </c>
      <c r="R10" s="136">
        <v>54</v>
      </c>
      <c r="S10" s="136">
        <v>40</v>
      </c>
      <c r="T10" s="136">
        <v>80</v>
      </c>
      <c r="U10" s="136">
        <v>48</v>
      </c>
      <c r="V10" s="136">
        <v>32</v>
      </c>
      <c r="W10" s="136">
        <v>57</v>
      </c>
      <c r="X10" s="136">
        <v>39</v>
      </c>
      <c r="Y10" s="136">
        <v>18</v>
      </c>
      <c r="Z10" s="150">
        <v>31</v>
      </c>
      <c r="AA10" s="150">
        <v>19</v>
      </c>
      <c r="AB10" s="150">
        <v>12</v>
      </c>
    </row>
    <row r="11" spans="1:28" s="150" customFormat="1" ht="21" customHeight="1">
      <c r="A11" s="143" t="s">
        <v>213</v>
      </c>
      <c r="B11" s="135">
        <v>4034</v>
      </c>
      <c r="C11" s="136">
        <v>2190</v>
      </c>
      <c r="D11" s="136">
        <v>1844</v>
      </c>
      <c r="E11" s="136">
        <v>1090</v>
      </c>
      <c r="F11" s="136">
        <v>608</v>
      </c>
      <c r="G11" s="136">
        <v>482</v>
      </c>
      <c r="H11" s="136">
        <v>730</v>
      </c>
      <c r="I11" s="136">
        <v>393</v>
      </c>
      <c r="J11" s="136">
        <v>337</v>
      </c>
      <c r="K11" s="136">
        <v>752</v>
      </c>
      <c r="L11" s="136">
        <v>415</v>
      </c>
      <c r="M11" s="136">
        <v>337</v>
      </c>
      <c r="N11" s="136">
        <v>554</v>
      </c>
      <c r="O11" s="136">
        <v>293</v>
      </c>
      <c r="P11" s="136">
        <v>261</v>
      </c>
      <c r="Q11" s="136">
        <v>329</v>
      </c>
      <c r="R11" s="136">
        <v>187</v>
      </c>
      <c r="S11" s="136">
        <v>142</v>
      </c>
      <c r="T11" s="136">
        <v>329</v>
      </c>
      <c r="U11" s="136">
        <v>175</v>
      </c>
      <c r="V11" s="136">
        <v>154</v>
      </c>
      <c r="W11" s="136">
        <v>250</v>
      </c>
      <c r="X11" s="136">
        <v>119</v>
      </c>
      <c r="Y11" s="136">
        <v>131</v>
      </c>
      <c r="Z11" s="150">
        <v>196</v>
      </c>
      <c r="AA11" s="150">
        <v>86</v>
      </c>
      <c r="AB11" s="150">
        <v>110</v>
      </c>
    </row>
    <row r="12" spans="1:28" s="150" customFormat="1" ht="21" customHeight="1">
      <c r="A12" s="143" t="s">
        <v>214</v>
      </c>
      <c r="B12" s="135">
        <v>1687</v>
      </c>
      <c r="C12" s="136">
        <v>933</v>
      </c>
      <c r="D12" s="136">
        <v>754</v>
      </c>
      <c r="E12" s="136">
        <v>365</v>
      </c>
      <c r="F12" s="136">
        <v>225</v>
      </c>
      <c r="G12" s="136">
        <v>140</v>
      </c>
      <c r="H12" s="136">
        <v>344</v>
      </c>
      <c r="I12" s="136">
        <v>204</v>
      </c>
      <c r="J12" s="136">
        <v>140</v>
      </c>
      <c r="K12" s="136">
        <v>396</v>
      </c>
      <c r="L12" s="136">
        <v>204</v>
      </c>
      <c r="M12" s="136">
        <v>192</v>
      </c>
      <c r="N12" s="136">
        <v>242</v>
      </c>
      <c r="O12" s="136">
        <v>130</v>
      </c>
      <c r="P12" s="136">
        <v>112</v>
      </c>
      <c r="Q12" s="136">
        <v>105</v>
      </c>
      <c r="R12" s="136">
        <v>58</v>
      </c>
      <c r="S12" s="136">
        <v>47</v>
      </c>
      <c r="T12" s="136">
        <v>146</v>
      </c>
      <c r="U12" s="136">
        <v>73</v>
      </c>
      <c r="V12" s="136">
        <v>73</v>
      </c>
      <c r="W12" s="136">
        <v>89</v>
      </c>
      <c r="X12" s="136">
        <v>39</v>
      </c>
      <c r="Y12" s="136">
        <v>50</v>
      </c>
      <c r="Z12" s="150">
        <v>181</v>
      </c>
      <c r="AA12" s="150">
        <v>94</v>
      </c>
      <c r="AB12" s="150">
        <v>87</v>
      </c>
    </row>
    <row r="13" spans="1:28" s="150" customFormat="1" ht="21" customHeight="1">
      <c r="A13" s="143" t="s">
        <v>205</v>
      </c>
      <c r="B13" s="135">
        <v>2140</v>
      </c>
      <c r="C13" s="136">
        <v>1298</v>
      </c>
      <c r="D13" s="136">
        <v>842</v>
      </c>
      <c r="E13" s="136">
        <v>745</v>
      </c>
      <c r="F13" s="136">
        <v>442</v>
      </c>
      <c r="G13" s="136">
        <v>303</v>
      </c>
      <c r="H13" s="136">
        <v>462</v>
      </c>
      <c r="I13" s="136">
        <v>271</v>
      </c>
      <c r="J13" s="136">
        <v>191</v>
      </c>
      <c r="K13" s="136">
        <v>452</v>
      </c>
      <c r="L13" s="136">
        <v>298</v>
      </c>
      <c r="M13" s="136">
        <v>154</v>
      </c>
      <c r="N13" s="136">
        <v>223</v>
      </c>
      <c r="O13" s="136">
        <v>138</v>
      </c>
      <c r="P13" s="136">
        <v>85</v>
      </c>
      <c r="Q13" s="136">
        <v>99</v>
      </c>
      <c r="R13" s="136">
        <v>58</v>
      </c>
      <c r="S13" s="136">
        <v>41</v>
      </c>
      <c r="T13" s="136">
        <v>91</v>
      </c>
      <c r="U13" s="136">
        <v>56</v>
      </c>
      <c r="V13" s="136">
        <v>35</v>
      </c>
      <c r="W13" s="136">
        <v>68</v>
      </c>
      <c r="X13" s="136">
        <v>35</v>
      </c>
      <c r="Y13" s="136">
        <v>33</v>
      </c>
      <c r="Z13" s="150">
        <v>595</v>
      </c>
      <c r="AA13" s="150">
        <v>203</v>
      </c>
      <c r="AB13" s="150">
        <v>392</v>
      </c>
    </row>
    <row r="14" spans="1:28" s="150" customFormat="1" ht="21" customHeight="1">
      <c r="A14" s="143" t="s">
        <v>215</v>
      </c>
      <c r="B14" s="135">
        <v>359</v>
      </c>
      <c r="C14" s="136">
        <v>206</v>
      </c>
      <c r="D14" s="136">
        <v>153</v>
      </c>
      <c r="E14" s="136">
        <v>108</v>
      </c>
      <c r="F14" s="136">
        <v>66</v>
      </c>
      <c r="G14" s="136">
        <v>42</v>
      </c>
      <c r="H14" s="136">
        <v>71</v>
      </c>
      <c r="I14" s="136">
        <v>32</v>
      </c>
      <c r="J14" s="136">
        <v>39</v>
      </c>
      <c r="K14" s="136">
        <v>93</v>
      </c>
      <c r="L14" s="136">
        <v>59</v>
      </c>
      <c r="M14" s="136">
        <v>34</v>
      </c>
      <c r="N14" s="136">
        <v>41</v>
      </c>
      <c r="O14" s="136">
        <v>26</v>
      </c>
      <c r="P14" s="136">
        <v>15</v>
      </c>
      <c r="Q14" s="136">
        <v>11</v>
      </c>
      <c r="R14" s="136">
        <v>5</v>
      </c>
      <c r="S14" s="136">
        <v>6</v>
      </c>
      <c r="T14" s="136">
        <v>19</v>
      </c>
      <c r="U14" s="136">
        <v>11</v>
      </c>
      <c r="V14" s="136">
        <v>8</v>
      </c>
      <c r="W14" s="136">
        <v>16</v>
      </c>
      <c r="X14" s="136">
        <v>7</v>
      </c>
      <c r="Y14" s="136">
        <v>9</v>
      </c>
      <c r="Z14" s="150">
        <v>72</v>
      </c>
      <c r="AA14" s="150">
        <v>35</v>
      </c>
      <c r="AB14" s="150">
        <v>37</v>
      </c>
    </row>
    <row r="15" spans="1:28" s="150" customFormat="1" ht="21" customHeight="1">
      <c r="A15" s="143" t="s">
        <v>216</v>
      </c>
      <c r="B15" s="135">
        <v>352</v>
      </c>
      <c r="C15" s="136">
        <v>218</v>
      </c>
      <c r="D15" s="136">
        <v>134</v>
      </c>
      <c r="E15" s="136">
        <v>71</v>
      </c>
      <c r="F15" s="136">
        <v>47</v>
      </c>
      <c r="G15" s="136">
        <v>24</v>
      </c>
      <c r="H15" s="136">
        <v>52</v>
      </c>
      <c r="I15" s="136">
        <v>35</v>
      </c>
      <c r="J15" s="136">
        <v>17</v>
      </c>
      <c r="K15" s="136">
        <v>91</v>
      </c>
      <c r="L15" s="136">
        <v>53</v>
      </c>
      <c r="M15" s="136">
        <v>38</v>
      </c>
      <c r="N15" s="136">
        <v>51</v>
      </c>
      <c r="O15" s="136">
        <v>32</v>
      </c>
      <c r="P15" s="136">
        <v>19</v>
      </c>
      <c r="Q15" s="136">
        <v>38</v>
      </c>
      <c r="R15" s="136">
        <v>22</v>
      </c>
      <c r="S15" s="136">
        <v>16</v>
      </c>
      <c r="T15" s="136">
        <v>32</v>
      </c>
      <c r="U15" s="136">
        <v>17</v>
      </c>
      <c r="V15" s="136">
        <v>15</v>
      </c>
      <c r="W15" s="136">
        <v>17</v>
      </c>
      <c r="X15" s="136">
        <v>12</v>
      </c>
      <c r="Y15" s="136">
        <v>5</v>
      </c>
      <c r="Z15" s="150">
        <v>46</v>
      </c>
      <c r="AA15" s="150">
        <v>27</v>
      </c>
      <c r="AB15" s="150">
        <v>19</v>
      </c>
    </row>
    <row r="16" spans="1:28" s="150" customFormat="1" ht="21" customHeight="1">
      <c r="A16" s="143" t="s">
        <v>217</v>
      </c>
      <c r="B16" s="135">
        <v>959</v>
      </c>
      <c r="C16" s="136">
        <v>594</v>
      </c>
      <c r="D16" s="136">
        <v>365</v>
      </c>
      <c r="E16" s="136">
        <v>245</v>
      </c>
      <c r="F16" s="136">
        <v>158</v>
      </c>
      <c r="G16" s="136">
        <v>87</v>
      </c>
      <c r="H16" s="136">
        <v>187</v>
      </c>
      <c r="I16" s="136">
        <v>105</v>
      </c>
      <c r="J16" s="136">
        <v>82</v>
      </c>
      <c r="K16" s="136">
        <v>195</v>
      </c>
      <c r="L16" s="136">
        <v>132</v>
      </c>
      <c r="M16" s="136">
        <v>63</v>
      </c>
      <c r="N16" s="136">
        <v>140</v>
      </c>
      <c r="O16" s="136">
        <v>83</v>
      </c>
      <c r="P16" s="136">
        <v>57</v>
      </c>
      <c r="Q16" s="136">
        <v>82</v>
      </c>
      <c r="R16" s="136">
        <v>55</v>
      </c>
      <c r="S16" s="136">
        <v>27</v>
      </c>
      <c r="T16" s="136">
        <v>61</v>
      </c>
      <c r="U16" s="136">
        <v>34</v>
      </c>
      <c r="V16" s="136">
        <v>27</v>
      </c>
      <c r="W16" s="136">
        <v>49</v>
      </c>
      <c r="X16" s="136">
        <v>27</v>
      </c>
      <c r="Y16" s="136">
        <v>22</v>
      </c>
      <c r="Z16" s="150">
        <v>159</v>
      </c>
      <c r="AA16" s="150">
        <v>79</v>
      </c>
      <c r="AB16" s="150">
        <v>80</v>
      </c>
    </row>
    <row r="17" spans="1:28" s="150" customFormat="1" ht="21" customHeight="1">
      <c r="A17" s="143" t="s">
        <v>218</v>
      </c>
      <c r="B17" s="135">
        <v>1405</v>
      </c>
      <c r="C17" s="136">
        <v>768</v>
      </c>
      <c r="D17" s="136">
        <v>637</v>
      </c>
      <c r="E17" s="136">
        <v>489</v>
      </c>
      <c r="F17" s="136">
        <v>302</v>
      </c>
      <c r="G17" s="136">
        <v>187</v>
      </c>
      <c r="H17" s="136">
        <v>409</v>
      </c>
      <c r="I17" s="136">
        <v>204</v>
      </c>
      <c r="J17" s="136">
        <v>205</v>
      </c>
      <c r="K17" s="136">
        <v>295</v>
      </c>
      <c r="L17" s="136">
        <v>151</v>
      </c>
      <c r="M17" s="136">
        <v>144</v>
      </c>
      <c r="N17" s="136">
        <v>121</v>
      </c>
      <c r="O17" s="136">
        <v>56</v>
      </c>
      <c r="P17" s="136">
        <v>65</v>
      </c>
      <c r="Q17" s="136">
        <v>50</v>
      </c>
      <c r="R17" s="136">
        <v>30</v>
      </c>
      <c r="S17" s="136">
        <v>20</v>
      </c>
      <c r="T17" s="136">
        <v>19</v>
      </c>
      <c r="U17" s="136">
        <v>11</v>
      </c>
      <c r="V17" s="136">
        <v>8</v>
      </c>
      <c r="W17" s="136">
        <v>22</v>
      </c>
      <c r="X17" s="136">
        <v>14</v>
      </c>
      <c r="Y17" s="136">
        <v>8</v>
      </c>
      <c r="Z17" s="150">
        <v>178</v>
      </c>
      <c r="AA17" s="150">
        <v>101</v>
      </c>
      <c r="AB17" s="150">
        <v>77</v>
      </c>
    </row>
    <row r="18" spans="1:28" s="150" customFormat="1" ht="21" customHeight="1">
      <c r="A18" s="143" t="s">
        <v>219</v>
      </c>
      <c r="B18" s="135">
        <v>1202</v>
      </c>
      <c r="C18" s="136">
        <v>712</v>
      </c>
      <c r="D18" s="136">
        <v>490</v>
      </c>
      <c r="E18" s="136">
        <v>412</v>
      </c>
      <c r="F18" s="136">
        <v>265</v>
      </c>
      <c r="G18" s="136">
        <v>147</v>
      </c>
      <c r="H18" s="136">
        <v>251</v>
      </c>
      <c r="I18" s="136">
        <v>127</v>
      </c>
      <c r="J18" s="136">
        <v>124</v>
      </c>
      <c r="K18" s="136">
        <v>238</v>
      </c>
      <c r="L18" s="136">
        <v>141</v>
      </c>
      <c r="M18" s="136">
        <v>97</v>
      </c>
      <c r="N18" s="136">
        <v>123</v>
      </c>
      <c r="O18" s="136">
        <v>76</v>
      </c>
      <c r="P18" s="136">
        <v>47</v>
      </c>
      <c r="Q18" s="136">
        <v>82</v>
      </c>
      <c r="R18" s="136">
        <v>48</v>
      </c>
      <c r="S18" s="136">
        <v>34</v>
      </c>
      <c r="T18" s="136">
        <v>56</v>
      </c>
      <c r="U18" s="136">
        <v>29</v>
      </c>
      <c r="V18" s="136">
        <v>27</v>
      </c>
      <c r="W18" s="136">
        <v>40</v>
      </c>
      <c r="X18" s="136">
        <v>26</v>
      </c>
      <c r="Y18" s="136">
        <v>14</v>
      </c>
      <c r="Z18" s="150">
        <v>100</v>
      </c>
      <c r="AA18" s="150">
        <v>41</v>
      </c>
      <c r="AB18" s="150">
        <v>59</v>
      </c>
    </row>
    <row r="19" spans="1:28" s="150" customFormat="1" ht="21" customHeight="1">
      <c r="A19" s="143" t="s">
        <v>206</v>
      </c>
      <c r="B19" s="135">
        <v>443</v>
      </c>
      <c r="C19" s="136">
        <v>252</v>
      </c>
      <c r="D19" s="136">
        <v>191</v>
      </c>
      <c r="E19" s="136">
        <v>121</v>
      </c>
      <c r="F19" s="136">
        <v>80</v>
      </c>
      <c r="G19" s="136">
        <v>41</v>
      </c>
      <c r="H19" s="136">
        <v>74</v>
      </c>
      <c r="I19" s="136">
        <v>38</v>
      </c>
      <c r="J19" s="136">
        <v>36</v>
      </c>
      <c r="K19" s="136">
        <v>148</v>
      </c>
      <c r="L19" s="136">
        <v>74</v>
      </c>
      <c r="M19" s="136">
        <v>74</v>
      </c>
      <c r="N19" s="136">
        <v>49</v>
      </c>
      <c r="O19" s="136">
        <v>30</v>
      </c>
      <c r="P19" s="136">
        <v>19</v>
      </c>
      <c r="Q19" s="136">
        <v>25</v>
      </c>
      <c r="R19" s="136">
        <v>16</v>
      </c>
      <c r="S19" s="136">
        <v>9</v>
      </c>
      <c r="T19" s="136">
        <v>14</v>
      </c>
      <c r="U19" s="136">
        <v>8</v>
      </c>
      <c r="V19" s="136">
        <v>6</v>
      </c>
      <c r="W19" s="136">
        <v>12</v>
      </c>
      <c r="X19" s="136">
        <v>6</v>
      </c>
      <c r="Y19" s="136">
        <v>6</v>
      </c>
      <c r="Z19" s="150">
        <v>42</v>
      </c>
      <c r="AA19" s="150">
        <v>30</v>
      </c>
      <c r="AB19" s="150">
        <v>12</v>
      </c>
    </row>
    <row r="20" spans="1:28" s="150" customFormat="1" ht="21" customHeight="1">
      <c r="A20" s="143" t="s">
        <v>220</v>
      </c>
      <c r="B20" s="135">
        <v>858</v>
      </c>
      <c r="C20" s="136">
        <v>514</v>
      </c>
      <c r="D20" s="136">
        <v>344</v>
      </c>
      <c r="E20" s="136">
        <v>220</v>
      </c>
      <c r="F20" s="136">
        <v>146</v>
      </c>
      <c r="G20" s="136">
        <v>74</v>
      </c>
      <c r="H20" s="136">
        <v>210</v>
      </c>
      <c r="I20" s="136">
        <v>117</v>
      </c>
      <c r="J20" s="136">
        <v>93</v>
      </c>
      <c r="K20" s="136">
        <v>212</v>
      </c>
      <c r="L20" s="136">
        <v>115</v>
      </c>
      <c r="M20" s="136">
        <v>97</v>
      </c>
      <c r="N20" s="136">
        <v>112</v>
      </c>
      <c r="O20" s="136">
        <v>79</v>
      </c>
      <c r="P20" s="136">
        <v>33</v>
      </c>
      <c r="Q20" s="136">
        <v>38</v>
      </c>
      <c r="R20" s="136">
        <v>17</v>
      </c>
      <c r="S20" s="136">
        <v>21</v>
      </c>
      <c r="T20" s="136">
        <v>32</v>
      </c>
      <c r="U20" s="136">
        <v>20</v>
      </c>
      <c r="V20" s="136">
        <v>12</v>
      </c>
      <c r="W20" s="136">
        <v>34</v>
      </c>
      <c r="X20" s="136">
        <v>20</v>
      </c>
      <c r="Y20" s="136">
        <v>14</v>
      </c>
      <c r="Z20" s="150">
        <v>154</v>
      </c>
      <c r="AA20" s="150">
        <v>55</v>
      </c>
      <c r="AB20" s="150">
        <v>99</v>
      </c>
    </row>
    <row r="21" spans="1:28" s="150" customFormat="1" ht="21" customHeight="1">
      <c r="A21" s="143" t="s">
        <v>221</v>
      </c>
      <c r="B21" s="135">
        <v>2661</v>
      </c>
      <c r="C21" s="136">
        <v>1676</v>
      </c>
      <c r="D21" s="136">
        <v>985</v>
      </c>
      <c r="E21" s="136">
        <v>744</v>
      </c>
      <c r="F21" s="136">
        <v>503</v>
      </c>
      <c r="G21" s="136">
        <v>241</v>
      </c>
      <c r="H21" s="136">
        <v>470</v>
      </c>
      <c r="I21" s="136">
        <v>280</v>
      </c>
      <c r="J21" s="136">
        <v>190</v>
      </c>
      <c r="K21" s="136">
        <v>539</v>
      </c>
      <c r="L21" s="136">
        <v>341</v>
      </c>
      <c r="M21" s="136">
        <v>198</v>
      </c>
      <c r="N21" s="136">
        <v>385</v>
      </c>
      <c r="O21" s="136">
        <v>243</v>
      </c>
      <c r="P21" s="136">
        <v>142</v>
      </c>
      <c r="Q21" s="136">
        <v>247</v>
      </c>
      <c r="R21" s="136">
        <v>152</v>
      </c>
      <c r="S21" s="136">
        <v>95</v>
      </c>
      <c r="T21" s="136">
        <v>161</v>
      </c>
      <c r="U21" s="136">
        <v>87</v>
      </c>
      <c r="V21" s="136">
        <v>74</v>
      </c>
      <c r="W21" s="136">
        <v>115</v>
      </c>
      <c r="X21" s="136">
        <v>70</v>
      </c>
      <c r="Y21" s="136">
        <v>45</v>
      </c>
      <c r="Z21" s="150">
        <v>381</v>
      </c>
      <c r="AA21" s="150">
        <v>161</v>
      </c>
      <c r="AB21" s="150">
        <v>220</v>
      </c>
    </row>
    <row r="22" spans="1:28" s="150" customFormat="1" ht="21" customHeight="1">
      <c r="A22" s="143" t="s">
        <v>207</v>
      </c>
      <c r="B22" s="135">
        <v>2259</v>
      </c>
      <c r="C22" s="136">
        <v>1275</v>
      </c>
      <c r="D22" s="136">
        <v>984</v>
      </c>
      <c r="E22" s="136">
        <v>494</v>
      </c>
      <c r="F22" s="136">
        <v>300</v>
      </c>
      <c r="G22" s="136">
        <v>194</v>
      </c>
      <c r="H22" s="136">
        <v>408</v>
      </c>
      <c r="I22" s="136">
        <v>199</v>
      </c>
      <c r="J22" s="136">
        <v>209</v>
      </c>
      <c r="K22" s="136">
        <v>495</v>
      </c>
      <c r="L22" s="136">
        <v>275</v>
      </c>
      <c r="M22" s="136">
        <v>220</v>
      </c>
      <c r="N22" s="136">
        <v>341</v>
      </c>
      <c r="O22" s="136">
        <v>203</v>
      </c>
      <c r="P22" s="136">
        <v>138</v>
      </c>
      <c r="Q22" s="136">
        <v>156</v>
      </c>
      <c r="R22" s="136">
        <v>95</v>
      </c>
      <c r="S22" s="136">
        <v>61</v>
      </c>
      <c r="T22" s="136">
        <v>195</v>
      </c>
      <c r="U22" s="136">
        <v>107</v>
      </c>
      <c r="V22" s="136">
        <v>88</v>
      </c>
      <c r="W22" s="136">
        <v>170</v>
      </c>
      <c r="X22" s="136">
        <v>96</v>
      </c>
      <c r="Y22" s="136">
        <v>74</v>
      </c>
      <c r="Z22" s="150">
        <v>96</v>
      </c>
      <c r="AA22" s="150">
        <v>52</v>
      </c>
      <c r="AB22" s="150">
        <v>44</v>
      </c>
    </row>
    <row r="23" spans="1:28" s="150" customFormat="1" ht="21" customHeight="1">
      <c r="A23" s="143" t="s">
        <v>208</v>
      </c>
      <c r="B23" s="135">
        <v>1144</v>
      </c>
      <c r="C23" s="136">
        <v>745</v>
      </c>
      <c r="D23" s="136">
        <v>399</v>
      </c>
      <c r="E23" s="136">
        <v>302</v>
      </c>
      <c r="F23" s="136">
        <v>211</v>
      </c>
      <c r="G23" s="136">
        <v>91</v>
      </c>
      <c r="H23" s="136">
        <v>209</v>
      </c>
      <c r="I23" s="136">
        <v>130</v>
      </c>
      <c r="J23" s="136">
        <v>79</v>
      </c>
      <c r="K23" s="136">
        <v>231</v>
      </c>
      <c r="L23" s="136">
        <v>149</v>
      </c>
      <c r="M23" s="136">
        <v>82</v>
      </c>
      <c r="N23" s="136">
        <v>159</v>
      </c>
      <c r="O23" s="136">
        <v>101</v>
      </c>
      <c r="P23" s="136">
        <v>58</v>
      </c>
      <c r="Q23" s="136">
        <v>81</v>
      </c>
      <c r="R23" s="136">
        <v>55</v>
      </c>
      <c r="S23" s="136">
        <v>26</v>
      </c>
      <c r="T23" s="136">
        <v>95</v>
      </c>
      <c r="U23" s="136">
        <v>59</v>
      </c>
      <c r="V23" s="136">
        <v>36</v>
      </c>
      <c r="W23" s="136">
        <v>67</v>
      </c>
      <c r="X23" s="136">
        <v>40</v>
      </c>
      <c r="Y23" s="136">
        <v>27</v>
      </c>
      <c r="Z23" s="150">
        <v>52</v>
      </c>
      <c r="AA23" s="150">
        <v>19</v>
      </c>
      <c r="AB23" s="150">
        <v>33</v>
      </c>
    </row>
    <row r="24" spans="1:28" s="150" customFormat="1" ht="21" customHeight="1">
      <c r="A24" s="143" t="s">
        <v>222</v>
      </c>
      <c r="B24" s="135">
        <v>22</v>
      </c>
      <c r="C24" s="136">
        <v>14</v>
      </c>
      <c r="D24" s="136">
        <v>8</v>
      </c>
      <c r="E24" s="136">
        <v>4</v>
      </c>
      <c r="F24" s="136">
        <v>3</v>
      </c>
      <c r="G24" s="136">
        <v>1</v>
      </c>
      <c r="H24" s="136">
        <v>5</v>
      </c>
      <c r="I24" s="136">
        <v>3</v>
      </c>
      <c r="J24" s="136">
        <v>2</v>
      </c>
      <c r="K24" s="136">
        <v>9</v>
      </c>
      <c r="L24" s="136">
        <v>5</v>
      </c>
      <c r="M24" s="136">
        <v>4</v>
      </c>
      <c r="N24" s="136">
        <v>4</v>
      </c>
      <c r="O24" s="136">
        <v>3</v>
      </c>
      <c r="P24" s="136">
        <v>1</v>
      </c>
      <c r="Q24" s="136">
        <v>0</v>
      </c>
      <c r="R24" s="136">
        <v>0</v>
      </c>
      <c r="S24" s="136">
        <v>0</v>
      </c>
      <c r="T24" s="136">
        <v>0</v>
      </c>
      <c r="U24" s="136">
        <v>0</v>
      </c>
      <c r="V24" s="136">
        <v>0</v>
      </c>
      <c r="W24" s="136">
        <v>0</v>
      </c>
      <c r="X24" s="136">
        <v>0</v>
      </c>
      <c r="Y24" s="136">
        <v>0</v>
      </c>
      <c r="Z24" s="150">
        <v>138</v>
      </c>
      <c r="AA24" s="150">
        <v>31</v>
      </c>
      <c r="AB24" s="150">
        <v>107</v>
      </c>
    </row>
    <row r="25" spans="1:28" s="150" customFormat="1" ht="21" customHeight="1">
      <c r="A25" s="143" t="s">
        <v>223</v>
      </c>
      <c r="B25" s="135">
        <v>1146</v>
      </c>
      <c r="C25" s="136">
        <v>547</v>
      </c>
      <c r="D25" s="136">
        <v>599</v>
      </c>
      <c r="E25" s="136">
        <v>321</v>
      </c>
      <c r="F25" s="136">
        <v>154</v>
      </c>
      <c r="G25" s="136">
        <v>167</v>
      </c>
      <c r="H25" s="136">
        <v>289</v>
      </c>
      <c r="I25" s="136">
        <v>138</v>
      </c>
      <c r="J25" s="136">
        <v>151</v>
      </c>
      <c r="K25" s="136">
        <v>296</v>
      </c>
      <c r="L25" s="136">
        <v>131</v>
      </c>
      <c r="M25" s="136">
        <v>165</v>
      </c>
      <c r="N25" s="136">
        <v>118</v>
      </c>
      <c r="O25" s="136">
        <v>62</v>
      </c>
      <c r="P25" s="136">
        <v>56</v>
      </c>
      <c r="Q25" s="136">
        <v>51</v>
      </c>
      <c r="R25" s="136">
        <v>32</v>
      </c>
      <c r="S25" s="136">
        <v>19</v>
      </c>
      <c r="T25" s="136">
        <v>43</v>
      </c>
      <c r="U25" s="136">
        <v>18</v>
      </c>
      <c r="V25" s="136">
        <v>25</v>
      </c>
      <c r="W25" s="136">
        <v>28</v>
      </c>
      <c r="X25" s="136">
        <v>12</v>
      </c>
      <c r="Y25" s="136">
        <v>16</v>
      </c>
      <c r="Z25" s="150">
        <v>45</v>
      </c>
      <c r="AA25" s="150">
        <v>27</v>
      </c>
      <c r="AB25" s="150">
        <v>18</v>
      </c>
    </row>
    <row r="26" spans="1:28" s="150" customFormat="1" ht="21" customHeight="1">
      <c r="A26" s="143" t="s">
        <v>224</v>
      </c>
      <c r="B26" s="135">
        <v>284</v>
      </c>
      <c r="C26" s="136">
        <v>138</v>
      </c>
      <c r="D26" s="136">
        <v>146</v>
      </c>
      <c r="E26" s="136">
        <v>98</v>
      </c>
      <c r="F26" s="136">
        <v>43</v>
      </c>
      <c r="G26" s="136">
        <v>55</v>
      </c>
      <c r="H26" s="136">
        <v>53</v>
      </c>
      <c r="I26" s="136">
        <v>23</v>
      </c>
      <c r="J26" s="136">
        <v>30</v>
      </c>
      <c r="K26" s="136">
        <v>59</v>
      </c>
      <c r="L26" s="136">
        <v>32</v>
      </c>
      <c r="M26" s="136">
        <v>27</v>
      </c>
      <c r="N26" s="136">
        <v>39</v>
      </c>
      <c r="O26" s="136">
        <v>21</v>
      </c>
      <c r="P26" s="136">
        <v>18</v>
      </c>
      <c r="Q26" s="136">
        <v>16</v>
      </c>
      <c r="R26" s="136">
        <v>10</v>
      </c>
      <c r="S26" s="136">
        <v>6</v>
      </c>
      <c r="T26" s="136">
        <v>11</v>
      </c>
      <c r="U26" s="136">
        <v>6</v>
      </c>
      <c r="V26" s="136">
        <v>5</v>
      </c>
      <c r="W26" s="136">
        <v>8</v>
      </c>
      <c r="X26" s="136">
        <v>3</v>
      </c>
      <c r="Y26" s="136">
        <v>5</v>
      </c>
      <c r="Z26" s="150">
        <v>60</v>
      </c>
      <c r="AA26" s="150">
        <v>26</v>
      </c>
      <c r="AB26" s="150">
        <v>34</v>
      </c>
    </row>
    <row r="27" spans="1:28" s="150" customFormat="1" ht="21" customHeight="1">
      <c r="A27" s="143" t="s">
        <v>225</v>
      </c>
      <c r="B27" s="135">
        <v>292</v>
      </c>
      <c r="C27" s="136">
        <v>160</v>
      </c>
      <c r="D27" s="136">
        <v>132</v>
      </c>
      <c r="E27" s="136">
        <v>93</v>
      </c>
      <c r="F27" s="136">
        <v>53</v>
      </c>
      <c r="G27" s="136">
        <v>40</v>
      </c>
      <c r="H27" s="136">
        <v>63</v>
      </c>
      <c r="I27" s="136">
        <v>34</v>
      </c>
      <c r="J27" s="136">
        <v>29</v>
      </c>
      <c r="K27" s="136">
        <v>46</v>
      </c>
      <c r="L27" s="136">
        <v>29</v>
      </c>
      <c r="M27" s="136">
        <v>17</v>
      </c>
      <c r="N27" s="136">
        <v>43</v>
      </c>
      <c r="O27" s="136">
        <v>21</v>
      </c>
      <c r="P27" s="136">
        <v>22</v>
      </c>
      <c r="Q27" s="136">
        <v>24</v>
      </c>
      <c r="R27" s="136">
        <v>11</v>
      </c>
      <c r="S27" s="136">
        <v>13</v>
      </c>
      <c r="T27" s="136">
        <v>12</v>
      </c>
      <c r="U27" s="136">
        <v>4</v>
      </c>
      <c r="V27" s="136">
        <v>8</v>
      </c>
      <c r="W27" s="136">
        <v>11</v>
      </c>
      <c r="X27" s="136">
        <v>8</v>
      </c>
      <c r="Y27" s="136">
        <v>3</v>
      </c>
      <c r="Z27" s="150">
        <v>44</v>
      </c>
      <c r="AA27" s="150">
        <v>22</v>
      </c>
      <c r="AB27" s="150">
        <v>22</v>
      </c>
    </row>
    <row r="28" spans="1:28" s="150" customFormat="1" ht="21" customHeight="1">
      <c r="A28" s="143" t="s">
        <v>226</v>
      </c>
      <c r="B28" s="135">
        <v>0</v>
      </c>
      <c r="C28" s="136">
        <v>0</v>
      </c>
      <c r="D28" s="136">
        <v>0</v>
      </c>
      <c r="E28" s="136">
        <v>0</v>
      </c>
      <c r="F28" s="136">
        <v>0</v>
      </c>
      <c r="G28" s="136">
        <v>0</v>
      </c>
      <c r="H28" s="136">
        <v>0</v>
      </c>
      <c r="I28" s="136">
        <v>0</v>
      </c>
      <c r="J28" s="136">
        <v>0</v>
      </c>
      <c r="K28" s="136">
        <v>0</v>
      </c>
      <c r="L28" s="136">
        <v>0</v>
      </c>
      <c r="M28" s="136">
        <v>0</v>
      </c>
      <c r="N28" s="136">
        <v>0</v>
      </c>
      <c r="O28" s="136">
        <v>0</v>
      </c>
      <c r="P28" s="136">
        <v>0</v>
      </c>
      <c r="Q28" s="136">
        <v>0</v>
      </c>
      <c r="R28" s="136">
        <v>0</v>
      </c>
      <c r="S28" s="136">
        <v>0</v>
      </c>
      <c r="T28" s="136">
        <v>0</v>
      </c>
      <c r="U28" s="136">
        <v>0</v>
      </c>
      <c r="V28" s="136">
        <v>0</v>
      </c>
      <c r="W28" s="136">
        <v>0</v>
      </c>
      <c r="X28" s="136">
        <v>0</v>
      </c>
      <c r="Y28" s="136">
        <v>0</v>
      </c>
      <c r="Z28" s="136">
        <v>0</v>
      </c>
      <c r="AA28" s="136">
        <v>0</v>
      </c>
      <c r="AB28" s="136">
        <v>0</v>
      </c>
    </row>
    <row r="29" spans="1:28" s="150" customFormat="1" ht="21" customHeight="1" thickBot="1">
      <c r="A29" s="144" t="s">
        <v>227</v>
      </c>
      <c r="B29" s="161">
        <v>0</v>
      </c>
      <c r="C29" s="162">
        <v>0</v>
      </c>
      <c r="D29" s="162">
        <v>0</v>
      </c>
      <c r="E29" s="162">
        <v>0</v>
      </c>
      <c r="F29" s="162">
        <v>0</v>
      </c>
      <c r="G29" s="162">
        <v>0</v>
      </c>
      <c r="H29" s="162">
        <v>0</v>
      </c>
      <c r="I29" s="162">
        <v>0</v>
      </c>
      <c r="J29" s="162">
        <v>0</v>
      </c>
      <c r="K29" s="162">
        <v>0</v>
      </c>
      <c r="L29" s="162">
        <v>0</v>
      </c>
      <c r="M29" s="162">
        <v>0</v>
      </c>
      <c r="N29" s="162">
        <v>0</v>
      </c>
      <c r="O29" s="162">
        <v>0</v>
      </c>
      <c r="P29" s="162">
        <v>0</v>
      </c>
      <c r="Q29" s="162">
        <v>0</v>
      </c>
      <c r="R29" s="162">
        <v>0</v>
      </c>
      <c r="S29" s="162">
        <v>0</v>
      </c>
      <c r="T29" s="162">
        <v>0</v>
      </c>
      <c r="U29" s="162">
        <v>0</v>
      </c>
      <c r="V29" s="162">
        <v>0</v>
      </c>
      <c r="W29" s="162">
        <v>0</v>
      </c>
      <c r="X29" s="162">
        <v>0</v>
      </c>
      <c r="Y29" s="162">
        <v>0</v>
      </c>
      <c r="Z29" s="162">
        <v>0</v>
      </c>
      <c r="AA29" s="162">
        <v>0</v>
      </c>
      <c r="AB29" s="162">
        <v>0</v>
      </c>
    </row>
    <row r="30" spans="1:28" s="151" customFormat="1" ht="14.25">
      <c r="A30" s="160" t="s">
        <v>198</v>
      </c>
      <c r="Z30" s="168"/>
      <c r="AA30" s="168"/>
      <c r="AB30" s="168"/>
    </row>
    <row r="31" spans="1:28" s="151" customFormat="1" ht="12.75">
      <c r="A31" s="109" t="s">
        <v>193</v>
      </c>
    </row>
    <row r="32" spans="1:28" s="151" customFormat="1" ht="12.75">
      <c r="A32" s="109"/>
    </row>
    <row r="33" spans="1:1" s="151" customFormat="1" ht="16.5">
      <c r="A33" s="198" t="s">
        <v>310</v>
      </c>
    </row>
  </sheetData>
  <mergeCells count="10">
    <mergeCell ref="A4:A6"/>
    <mergeCell ref="B4:Y4"/>
    <mergeCell ref="B5:D5"/>
    <mergeCell ref="E5:G5"/>
    <mergeCell ref="H5:J5"/>
    <mergeCell ref="K5:M5"/>
    <mergeCell ref="N5:P5"/>
    <mergeCell ref="Q5:S5"/>
    <mergeCell ref="T5:V5"/>
    <mergeCell ref="W5:Y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3"/>
  <sheetViews>
    <sheetView zoomScale="84" zoomScaleNormal="84" zoomScaleSheetLayoutView="84" workbookViewId="0">
      <pane xSplit="2" ySplit="7" topLeftCell="C29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" defaultRowHeight="15.75"/>
  <cols>
    <col min="1" max="1" width="37.875" style="148" customWidth="1"/>
    <col min="2" max="3" width="10.5" style="148" customWidth="1"/>
    <col min="4" max="25" width="9.5" style="148" customWidth="1"/>
    <col min="26" max="16384" width="9" style="148"/>
  </cols>
  <sheetData>
    <row r="1" spans="1:28" s="164" customFormat="1" ht="27" customHeight="1">
      <c r="A1" s="163" t="s">
        <v>204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8" s="133" customFormat="1" ht="18" customHeight="1">
      <c r="A2" s="145" t="s">
        <v>190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28" s="147" customFormat="1" ht="18" customHeight="1" thickBot="1">
      <c r="A3" s="179" t="s">
        <v>243</v>
      </c>
      <c r="B3" s="153"/>
      <c r="C3" s="153"/>
      <c r="D3" s="153"/>
      <c r="E3" s="153"/>
      <c r="F3" s="153"/>
      <c r="G3" s="153"/>
      <c r="H3" s="153"/>
      <c r="I3" s="153"/>
      <c r="J3" s="146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46"/>
      <c r="Z3" s="146"/>
    </row>
    <row r="4" spans="1:28" ht="21.75" customHeight="1">
      <c r="A4" s="213" t="s">
        <v>192</v>
      </c>
      <c r="B4" s="214" t="s">
        <v>235</v>
      </c>
      <c r="C4" s="204"/>
      <c r="D4" s="204"/>
      <c r="E4" s="204"/>
      <c r="F4" s="204"/>
      <c r="G4" s="204"/>
      <c r="H4" s="204"/>
      <c r="I4" s="204"/>
      <c r="J4" s="205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5"/>
      <c r="Z4" s="177" t="s">
        <v>239</v>
      </c>
      <c r="AA4" s="178"/>
      <c r="AB4" s="178"/>
    </row>
    <row r="5" spans="1:28" ht="21.75" customHeight="1">
      <c r="A5" s="201"/>
      <c r="B5" s="208" t="s">
        <v>209</v>
      </c>
      <c r="C5" s="208"/>
      <c r="D5" s="209"/>
      <c r="E5" s="210" t="s">
        <v>228</v>
      </c>
      <c r="F5" s="210"/>
      <c r="G5" s="210"/>
      <c r="H5" s="210" t="s">
        <v>229</v>
      </c>
      <c r="I5" s="210"/>
      <c r="J5" s="211"/>
      <c r="K5" s="210" t="s">
        <v>230</v>
      </c>
      <c r="L5" s="210"/>
      <c r="M5" s="210"/>
      <c r="N5" s="210" t="s">
        <v>231</v>
      </c>
      <c r="O5" s="210"/>
      <c r="P5" s="210"/>
      <c r="Q5" s="210" t="s">
        <v>232</v>
      </c>
      <c r="R5" s="210"/>
      <c r="S5" s="210"/>
      <c r="T5" s="210" t="s">
        <v>233</v>
      </c>
      <c r="U5" s="210"/>
      <c r="V5" s="210"/>
      <c r="W5" s="210" t="s">
        <v>234</v>
      </c>
      <c r="X5" s="210"/>
      <c r="Y5" s="211"/>
      <c r="Z5" s="175" t="s">
        <v>238</v>
      </c>
      <c r="AA5" s="176"/>
      <c r="AB5" s="176"/>
    </row>
    <row r="6" spans="1:28" ht="40.15" customHeight="1" thickBot="1">
      <c r="A6" s="202"/>
      <c r="B6" s="156" t="s">
        <v>200</v>
      </c>
      <c r="C6" s="157" t="s">
        <v>194</v>
      </c>
      <c r="D6" s="157" t="s">
        <v>195</v>
      </c>
      <c r="E6" s="158" t="s">
        <v>200</v>
      </c>
      <c r="F6" s="157" t="s">
        <v>194</v>
      </c>
      <c r="G6" s="157" t="s">
        <v>195</v>
      </c>
      <c r="H6" s="158" t="s">
        <v>200</v>
      </c>
      <c r="I6" s="157" t="s">
        <v>194</v>
      </c>
      <c r="J6" s="157" t="s">
        <v>195</v>
      </c>
      <c r="K6" s="158" t="s">
        <v>200</v>
      </c>
      <c r="L6" s="157" t="s">
        <v>194</v>
      </c>
      <c r="M6" s="157" t="s">
        <v>195</v>
      </c>
      <c r="N6" s="158" t="s">
        <v>200</v>
      </c>
      <c r="O6" s="157" t="s">
        <v>194</v>
      </c>
      <c r="P6" s="157" t="s">
        <v>195</v>
      </c>
      <c r="Q6" s="158" t="s">
        <v>200</v>
      </c>
      <c r="R6" s="157" t="s">
        <v>194</v>
      </c>
      <c r="S6" s="157" t="s">
        <v>195</v>
      </c>
      <c r="T6" s="158" t="s">
        <v>200</v>
      </c>
      <c r="U6" s="157" t="s">
        <v>194</v>
      </c>
      <c r="V6" s="157" t="s">
        <v>195</v>
      </c>
      <c r="W6" s="158" t="s">
        <v>200</v>
      </c>
      <c r="X6" s="157" t="s">
        <v>194</v>
      </c>
      <c r="Y6" s="159" t="s">
        <v>195</v>
      </c>
      <c r="Z6" s="172" t="s">
        <v>240</v>
      </c>
      <c r="AA6" s="173" t="s">
        <v>241</v>
      </c>
      <c r="AB6" s="173" t="s">
        <v>242</v>
      </c>
    </row>
    <row r="7" spans="1:28" s="149" customFormat="1" ht="21" customHeight="1">
      <c r="A7" s="142" t="s">
        <v>201</v>
      </c>
      <c r="B7" s="154">
        <v>25745</v>
      </c>
      <c r="C7" s="155">
        <v>14622</v>
      </c>
      <c r="D7" s="155">
        <v>11123</v>
      </c>
      <c r="E7" s="155">
        <v>7005</v>
      </c>
      <c r="F7" s="155">
        <v>4172</v>
      </c>
      <c r="G7" s="155">
        <v>2833</v>
      </c>
      <c r="H7" s="155">
        <v>5167</v>
      </c>
      <c r="I7" s="155">
        <v>2767</v>
      </c>
      <c r="J7" s="155">
        <v>2400</v>
      </c>
      <c r="K7" s="155">
        <v>5783</v>
      </c>
      <c r="L7" s="155">
        <v>3236</v>
      </c>
      <c r="M7" s="155">
        <v>2547</v>
      </c>
      <c r="N7" s="155">
        <v>3296</v>
      </c>
      <c r="O7" s="155">
        <v>1947</v>
      </c>
      <c r="P7" s="155">
        <v>1349</v>
      </c>
      <c r="Q7" s="155">
        <v>1778</v>
      </c>
      <c r="R7" s="155">
        <v>996</v>
      </c>
      <c r="S7" s="155">
        <v>782</v>
      </c>
      <c r="T7" s="155">
        <v>1558</v>
      </c>
      <c r="U7" s="155">
        <v>878</v>
      </c>
      <c r="V7" s="155">
        <v>680</v>
      </c>
      <c r="W7" s="155">
        <v>1158</v>
      </c>
      <c r="X7" s="155">
        <v>626</v>
      </c>
      <c r="Y7" s="155">
        <v>532</v>
      </c>
      <c r="Z7" s="149">
        <v>2706</v>
      </c>
      <c r="AA7" s="149">
        <v>1169</v>
      </c>
      <c r="AB7" s="149">
        <v>1537</v>
      </c>
    </row>
    <row r="8" spans="1:28" s="150" customFormat="1" ht="21" customHeight="1">
      <c r="A8" s="143" t="s">
        <v>210</v>
      </c>
      <c r="B8" s="135">
        <v>814</v>
      </c>
      <c r="C8" s="136">
        <v>457</v>
      </c>
      <c r="D8" s="136">
        <v>357</v>
      </c>
      <c r="E8" s="136">
        <v>248</v>
      </c>
      <c r="F8" s="136">
        <v>149</v>
      </c>
      <c r="G8" s="136">
        <v>99</v>
      </c>
      <c r="H8" s="136">
        <v>159</v>
      </c>
      <c r="I8" s="136">
        <v>100</v>
      </c>
      <c r="J8" s="136">
        <v>59</v>
      </c>
      <c r="K8" s="136">
        <v>173</v>
      </c>
      <c r="L8" s="136">
        <v>87</v>
      </c>
      <c r="M8" s="136">
        <v>86</v>
      </c>
      <c r="N8" s="136">
        <v>95</v>
      </c>
      <c r="O8" s="136">
        <v>50</v>
      </c>
      <c r="P8" s="136">
        <v>45</v>
      </c>
      <c r="Q8" s="136">
        <v>60</v>
      </c>
      <c r="R8" s="136">
        <v>26</v>
      </c>
      <c r="S8" s="136">
        <v>34</v>
      </c>
      <c r="T8" s="136">
        <v>46</v>
      </c>
      <c r="U8" s="136">
        <v>25</v>
      </c>
      <c r="V8" s="136">
        <v>21</v>
      </c>
      <c r="W8" s="136">
        <v>33</v>
      </c>
      <c r="X8" s="136">
        <v>20</v>
      </c>
      <c r="Y8" s="136">
        <v>13</v>
      </c>
      <c r="Z8" s="150">
        <v>165</v>
      </c>
      <c r="AA8" s="150">
        <v>74</v>
      </c>
      <c r="AB8" s="150">
        <v>91</v>
      </c>
    </row>
    <row r="9" spans="1:28" s="150" customFormat="1" ht="21" customHeight="1">
      <c r="A9" s="143" t="s">
        <v>211</v>
      </c>
      <c r="B9" s="135">
        <v>1787</v>
      </c>
      <c r="C9" s="136">
        <v>845</v>
      </c>
      <c r="D9" s="136">
        <v>942</v>
      </c>
      <c r="E9" s="136">
        <v>373</v>
      </c>
      <c r="F9" s="136">
        <v>181</v>
      </c>
      <c r="G9" s="136">
        <v>192</v>
      </c>
      <c r="H9" s="136">
        <v>370</v>
      </c>
      <c r="I9" s="136">
        <v>167</v>
      </c>
      <c r="J9" s="136">
        <v>203</v>
      </c>
      <c r="K9" s="136">
        <v>497</v>
      </c>
      <c r="L9" s="136">
        <v>233</v>
      </c>
      <c r="M9" s="136">
        <v>264</v>
      </c>
      <c r="N9" s="136">
        <v>215</v>
      </c>
      <c r="O9" s="136">
        <v>109</v>
      </c>
      <c r="P9" s="136">
        <v>106</v>
      </c>
      <c r="Q9" s="136">
        <v>114</v>
      </c>
      <c r="R9" s="136">
        <v>50</v>
      </c>
      <c r="S9" s="136">
        <v>64</v>
      </c>
      <c r="T9" s="136">
        <v>133</v>
      </c>
      <c r="U9" s="136">
        <v>65</v>
      </c>
      <c r="V9" s="136">
        <v>68</v>
      </c>
      <c r="W9" s="136">
        <v>85</v>
      </c>
      <c r="X9" s="136">
        <v>40</v>
      </c>
      <c r="Y9" s="136">
        <v>45</v>
      </c>
      <c r="Z9" s="150">
        <v>256</v>
      </c>
      <c r="AA9" s="150">
        <v>142</v>
      </c>
      <c r="AB9" s="150">
        <v>114</v>
      </c>
    </row>
    <row r="10" spans="1:28" s="150" customFormat="1" ht="21" customHeight="1">
      <c r="A10" s="143" t="s">
        <v>212</v>
      </c>
      <c r="B10" s="135">
        <v>1229</v>
      </c>
      <c r="C10" s="136">
        <v>761</v>
      </c>
      <c r="D10" s="136">
        <v>468</v>
      </c>
      <c r="E10" s="136">
        <v>323</v>
      </c>
      <c r="F10" s="136">
        <v>194</v>
      </c>
      <c r="G10" s="136">
        <v>129</v>
      </c>
      <c r="H10" s="136">
        <v>224</v>
      </c>
      <c r="I10" s="136">
        <v>140</v>
      </c>
      <c r="J10" s="136">
        <v>84</v>
      </c>
      <c r="K10" s="136">
        <v>294</v>
      </c>
      <c r="L10" s="136">
        <v>186</v>
      </c>
      <c r="M10" s="136">
        <v>108</v>
      </c>
      <c r="N10" s="136">
        <v>160</v>
      </c>
      <c r="O10" s="136">
        <v>98</v>
      </c>
      <c r="P10" s="136">
        <v>62</v>
      </c>
      <c r="Q10" s="136">
        <v>109</v>
      </c>
      <c r="R10" s="136">
        <v>69</v>
      </c>
      <c r="S10" s="136">
        <v>40</v>
      </c>
      <c r="T10" s="136">
        <v>79</v>
      </c>
      <c r="U10" s="136">
        <v>50</v>
      </c>
      <c r="V10" s="136">
        <v>29</v>
      </c>
      <c r="W10" s="136">
        <v>40</v>
      </c>
      <c r="X10" s="136">
        <v>24</v>
      </c>
      <c r="Y10" s="136">
        <v>16</v>
      </c>
      <c r="Z10" s="150">
        <v>44</v>
      </c>
      <c r="AA10" s="150">
        <v>23</v>
      </c>
      <c r="AB10" s="150">
        <v>21</v>
      </c>
    </row>
    <row r="11" spans="1:28" s="150" customFormat="1" ht="21" customHeight="1">
      <c r="A11" s="143" t="s">
        <v>213</v>
      </c>
      <c r="B11" s="135">
        <v>4238</v>
      </c>
      <c r="C11" s="136">
        <v>2289</v>
      </c>
      <c r="D11" s="136">
        <v>1949</v>
      </c>
      <c r="E11" s="136">
        <v>1101</v>
      </c>
      <c r="F11" s="136">
        <v>601</v>
      </c>
      <c r="G11" s="136">
        <v>500</v>
      </c>
      <c r="H11" s="136">
        <v>731</v>
      </c>
      <c r="I11" s="136">
        <v>382</v>
      </c>
      <c r="J11" s="136">
        <v>349</v>
      </c>
      <c r="K11" s="136">
        <v>840</v>
      </c>
      <c r="L11" s="136">
        <v>467</v>
      </c>
      <c r="M11" s="136">
        <v>373</v>
      </c>
      <c r="N11" s="136">
        <v>575</v>
      </c>
      <c r="O11" s="136">
        <v>318</v>
      </c>
      <c r="P11" s="136">
        <v>257</v>
      </c>
      <c r="Q11" s="136">
        <v>370</v>
      </c>
      <c r="R11" s="136">
        <v>202</v>
      </c>
      <c r="S11" s="136">
        <v>168</v>
      </c>
      <c r="T11" s="136">
        <v>332</v>
      </c>
      <c r="U11" s="136">
        <v>174</v>
      </c>
      <c r="V11" s="136">
        <v>158</v>
      </c>
      <c r="W11" s="136">
        <v>289</v>
      </c>
      <c r="X11" s="136">
        <v>145</v>
      </c>
      <c r="Y11" s="136">
        <v>144</v>
      </c>
      <c r="Z11" s="150">
        <v>99</v>
      </c>
      <c r="AA11" s="150">
        <v>41</v>
      </c>
      <c r="AB11" s="150">
        <v>58</v>
      </c>
    </row>
    <row r="12" spans="1:28" s="150" customFormat="1" ht="21" customHeight="1">
      <c r="A12" s="143" t="s">
        <v>214</v>
      </c>
      <c r="B12" s="135">
        <v>1791</v>
      </c>
      <c r="C12" s="136">
        <v>983</v>
      </c>
      <c r="D12" s="136">
        <v>808</v>
      </c>
      <c r="E12" s="136">
        <v>423</v>
      </c>
      <c r="F12" s="136">
        <v>251</v>
      </c>
      <c r="G12" s="136">
        <v>172</v>
      </c>
      <c r="H12" s="136">
        <v>398</v>
      </c>
      <c r="I12" s="136">
        <v>213</v>
      </c>
      <c r="J12" s="136">
        <v>185</v>
      </c>
      <c r="K12" s="136">
        <v>409</v>
      </c>
      <c r="L12" s="136">
        <v>222</v>
      </c>
      <c r="M12" s="136">
        <v>187</v>
      </c>
      <c r="N12" s="136">
        <v>241</v>
      </c>
      <c r="O12" s="136">
        <v>138</v>
      </c>
      <c r="P12" s="136">
        <v>103</v>
      </c>
      <c r="Q12" s="136">
        <v>109</v>
      </c>
      <c r="R12" s="136">
        <v>56</v>
      </c>
      <c r="S12" s="136">
        <v>53</v>
      </c>
      <c r="T12" s="136">
        <v>125</v>
      </c>
      <c r="U12" s="136">
        <v>64</v>
      </c>
      <c r="V12" s="136">
        <v>61</v>
      </c>
      <c r="W12" s="136">
        <v>86</v>
      </c>
      <c r="X12" s="136">
        <v>39</v>
      </c>
      <c r="Y12" s="136">
        <v>47</v>
      </c>
      <c r="Z12" s="150">
        <v>187</v>
      </c>
      <c r="AA12" s="150">
        <v>90</v>
      </c>
      <c r="AB12" s="150">
        <v>97</v>
      </c>
    </row>
    <row r="13" spans="1:28" s="150" customFormat="1" ht="21" customHeight="1">
      <c r="A13" s="143" t="s">
        <v>205</v>
      </c>
      <c r="B13" s="135">
        <v>2084</v>
      </c>
      <c r="C13" s="136">
        <v>1239</v>
      </c>
      <c r="D13" s="136">
        <v>845</v>
      </c>
      <c r="E13" s="136">
        <v>712</v>
      </c>
      <c r="F13" s="136">
        <v>436</v>
      </c>
      <c r="G13" s="136">
        <v>276</v>
      </c>
      <c r="H13" s="136">
        <v>459</v>
      </c>
      <c r="I13" s="136">
        <v>270</v>
      </c>
      <c r="J13" s="136">
        <v>189</v>
      </c>
      <c r="K13" s="136">
        <v>406</v>
      </c>
      <c r="L13" s="136">
        <v>237</v>
      </c>
      <c r="M13" s="136">
        <v>169</v>
      </c>
      <c r="N13" s="136">
        <v>243</v>
      </c>
      <c r="O13" s="136">
        <v>149</v>
      </c>
      <c r="P13" s="136">
        <v>94</v>
      </c>
      <c r="Q13" s="136">
        <v>93</v>
      </c>
      <c r="R13" s="136">
        <v>51</v>
      </c>
      <c r="S13" s="136">
        <v>42</v>
      </c>
      <c r="T13" s="136">
        <v>99</v>
      </c>
      <c r="U13" s="136">
        <v>53</v>
      </c>
      <c r="V13" s="136">
        <v>46</v>
      </c>
      <c r="W13" s="136">
        <v>72</v>
      </c>
      <c r="X13" s="136">
        <v>43</v>
      </c>
      <c r="Y13" s="136">
        <v>29</v>
      </c>
      <c r="Z13" s="150">
        <v>505</v>
      </c>
      <c r="AA13" s="150">
        <v>190</v>
      </c>
      <c r="AB13" s="150">
        <v>315</v>
      </c>
    </row>
    <row r="14" spans="1:28" s="150" customFormat="1" ht="21" customHeight="1">
      <c r="A14" s="143" t="s">
        <v>215</v>
      </c>
      <c r="B14" s="135">
        <v>480</v>
      </c>
      <c r="C14" s="136">
        <v>277</v>
      </c>
      <c r="D14" s="136">
        <v>203</v>
      </c>
      <c r="E14" s="136">
        <v>132</v>
      </c>
      <c r="F14" s="136">
        <v>75</v>
      </c>
      <c r="G14" s="136">
        <v>57</v>
      </c>
      <c r="H14" s="136">
        <v>95</v>
      </c>
      <c r="I14" s="136">
        <v>47</v>
      </c>
      <c r="J14" s="136">
        <v>48</v>
      </c>
      <c r="K14" s="136">
        <v>136</v>
      </c>
      <c r="L14" s="136">
        <v>79</v>
      </c>
      <c r="M14" s="136">
        <v>57</v>
      </c>
      <c r="N14" s="136">
        <v>62</v>
      </c>
      <c r="O14" s="136">
        <v>45</v>
      </c>
      <c r="P14" s="136">
        <v>17</v>
      </c>
      <c r="Q14" s="136">
        <v>25</v>
      </c>
      <c r="R14" s="136">
        <v>15</v>
      </c>
      <c r="S14" s="136">
        <v>10</v>
      </c>
      <c r="T14" s="136">
        <v>18</v>
      </c>
      <c r="U14" s="136">
        <v>12</v>
      </c>
      <c r="V14" s="136">
        <v>6</v>
      </c>
      <c r="W14" s="136">
        <v>12</v>
      </c>
      <c r="X14" s="136">
        <v>4</v>
      </c>
      <c r="Y14" s="136">
        <v>8</v>
      </c>
      <c r="Z14" s="150">
        <v>85</v>
      </c>
      <c r="AA14" s="150">
        <v>35</v>
      </c>
      <c r="AB14" s="150">
        <v>50</v>
      </c>
    </row>
    <row r="15" spans="1:28" s="150" customFormat="1" ht="21" customHeight="1">
      <c r="A15" s="143" t="s">
        <v>216</v>
      </c>
      <c r="B15" s="135">
        <v>371</v>
      </c>
      <c r="C15" s="136">
        <v>226</v>
      </c>
      <c r="D15" s="136">
        <v>145</v>
      </c>
      <c r="E15" s="136">
        <v>82</v>
      </c>
      <c r="F15" s="136">
        <v>55</v>
      </c>
      <c r="G15" s="136">
        <v>27</v>
      </c>
      <c r="H15" s="136">
        <v>57</v>
      </c>
      <c r="I15" s="136">
        <v>31</v>
      </c>
      <c r="J15" s="136">
        <v>26</v>
      </c>
      <c r="K15" s="136">
        <v>101</v>
      </c>
      <c r="L15" s="136">
        <v>58</v>
      </c>
      <c r="M15" s="136">
        <v>43</v>
      </c>
      <c r="N15" s="136">
        <v>42</v>
      </c>
      <c r="O15" s="136">
        <v>29</v>
      </c>
      <c r="P15" s="136">
        <v>13</v>
      </c>
      <c r="Q15" s="136">
        <v>37</v>
      </c>
      <c r="R15" s="136">
        <v>21</v>
      </c>
      <c r="S15" s="136">
        <v>16</v>
      </c>
      <c r="T15" s="136">
        <v>35</v>
      </c>
      <c r="U15" s="136">
        <v>22</v>
      </c>
      <c r="V15" s="136">
        <v>13</v>
      </c>
      <c r="W15" s="136">
        <v>17</v>
      </c>
      <c r="X15" s="136">
        <v>10</v>
      </c>
      <c r="Y15" s="136">
        <v>7</v>
      </c>
      <c r="Z15" s="150">
        <v>39</v>
      </c>
      <c r="AA15" s="150">
        <v>22</v>
      </c>
      <c r="AB15" s="150">
        <v>17</v>
      </c>
    </row>
    <row r="16" spans="1:28" s="150" customFormat="1" ht="21" customHeight="1">
      <c r="A16" s="143" t="s">
        <v>217</v>
      </c>
      <c r="B16" s="135">
        <v>921</v>
      </c>
      <c r="C16" s="136">
        <v>569</v>
      </c>
      <c r="D16" s="136">
        <v>352</v>
      </c>
      <c r="E16" s="136">
        <v>240</v>
      </c>
      <c r="F16" s="136">
        <v>156</v>
      </c>
      <c r="G16" s="136">
        <v>84</v>
      </c>
      <c r="H16" s="136">
        <v>159</v>
      </c>
      <c r="I16" s="136">
        <v>94</v>
      </c>
      <c r="J16" s="136">
        <v>65</v>
      </c>
      <c r="K16" s="136">
        <v>208</v>
      </c>
      <c r="L16" s="136">
        <v>119</v>
      </c>
      <c r="M16" s="136">
        <v>89</v>
      </c>
      <c r="N16" s="136">
        <v>139</v>
      </c>
      <c r="O16" s="136">
        <v>92</v>
      </c>
      <c r="P16" s="136">
        <v>47</v>
      </c>
      <c r="Q16" s="136">
        <v>74</v>
      </c>
      <c r="R16" s="136">
        <v>50</v>
      </c>
      <c r="S16" s="136">
        <v>24</v>
      </c>
      <c r="T16" s="136">
        <v>63</v>
      </c>
      <c r="U16" s="136">
        <v>37</v>
      </c>
      <c r="V16" s="136">
        <v>26</v>
      </c>
      <c r="W16" s="136">
        <v>38</v>
      </c>
      <c r="X16" s="136">
        <v>21</v>
      </c>
      <c r="Y16" s="136">
        <v>17</v>
      </c>
      <c r="Z16" s="150">
        <v>184</v>
      </c>
      <c r="AA16" s="150">
        <v>89</v>
      </c>
      <c r="AB16" s="150">
        <v>95</v>
      </c>
    </row>
    <row r="17" spans="1:28" s="150" customFormat="1" ht="21" customHeight="1">
      <c r="A17" s="143" t="s">
        <v>218</v>
      </c>
      <c r="B17" s="135">
        <v>1726</v>
      </c>
      <c r="C17" s="136">
        <v>926</v>
      </c>
      <c r="D17" s="136">
        <v>800</v>
      </c>
      <c r="E17" s="136">
        <v>605</v>
      </c>
      <c r="F17" s="136">
        <v>365</v>
      </c>
      <c r="G17" s="136">
        <v>240</v>
      </c>
      <c r="H17" s="136">
        <v>479</v>
      </c>
      <c r="I17" s="136">
        <v>230</v>
      </c>
      <c r="J17" s="136">
        <v>249</v>
      </c>
      <c r="K17" s="136">
        <v>379</v>
      </c>
      <c r="L17" s="136">
        <v>191</v>
      </c>
      <c r="M17" s="136">
        <v>188</v>
      </c>
      <c r="N17" s="136">
        <v>148</v>
      </c>
      <c r="O17" s="136">
        <v>72</v>
      </c>
      <c r="P17" s="136">
        <v>76</v>
      </c>
      <c r="Q17" s="136">
        <v>64</v>
      </c>
      <c r="R17" s="136">
        <v>36</v>
      </c>
      <c r="S17" s="136">
        <v>28</v>
      </c>
      <c r="T17" s="136">
        <v>30</v>
      </c>
      <c r="U17" s="136">
        <v>18</v>
      </c>
      <c r="V17" s="136">
        <v>12</v>
      </c>
      <c r="W17" s="136">
        <v>21</v>
      </c>
      <c r="X17" s="136">
        <v>14</v>
      </c>
      <c r="Y17" s="136">
        <v>7</v>
      </c>
      <c r="Z17" s="150">
        <v>156</v>
      </c>
      <c r="AA17" s="150">
        <v>93</v>
      </c>
      <c r="AB17" s="150">
        <v>63</v>
      </c>
    </row>
    <row r="18" spans="1:28" s="150" customFormat="1" ht="21" customHeight="1">
      <c r="A18" s="143" t="s">
        <v>219</v>
      </c>
      <c r="B18" s="135">
        <v>1245</v>
      </c>
      <c r="C18" s="136">
        <v>738</v>
      </c>
      <c r="D18" s="136">
        <v>507</v>
      </c>
      <c r="E18" s="136">
        <v>394</v>
      </c>
      <c r="F18" s="136">
        <v>248</v>
      </c>
      <c r="G18" s="136">
        <v>146</v>
      </c>
      <c r="H18" s="136">
        <v>244</v>
      </c>
      <c r="I18" s="136">
        <v>134</v>
      </c>
      <c r="J18" s="136">
        <v>110</v>
      </c>
      <c r="K18" s="136">
        <v>272</v>
      </c>
      <c r="L18" s="136">
        <v>163</v>
      </c>
      <c r="M18" s="136">
        <v>109</v>
      </c>
      <c r="N18" s="136">
        <v>158</v>
      </c>
      <c r="O18" s="136">
        <v>93</v>
      </c>
      <c r="P18" s="136">
        <v>65</v>
      </c>
      <c r="Q18" s="136">
        <v>76</v>
      </c>
      <c r="R18" s="136">
        <v>41</v>
      </c>
      <c r="S18" s="136">
        <v>35</v>
      </c>
      <c r="T18" s="136">
        <v>57</v>
      </c>
      <c r="U18" s="136">
        <v>34</v>
      </c>
      <c r="V18" s="136">
        <v>23</v>
      </c>
      <c r="W18" s="136">
        <v>44</v>
      </c>
      <c r="X18" s="136">
        <v>25</v>
      </c>
      <c r="Y18" s="136">
        <v>19</v>
      </c>
      <c r="Z18" s="150">
        <v>90</v>
      </c>
      <c r="AA18" s="150">
        <v>32</v>
      </c>
      <c r="AB18" s="150">
        <v>58</v>
      </c>
    </row>
    <row r="19" spans="1:28" s="150" customFormat="1" ht="21" customHeight="1">
      <c r="A19" s="143" t="s">
        <v>206</v>
      </c>
      <c r="B19" s="135">
        <v>530</v>
      </c>
      <c r="C19" s="136">
        <v>280</v>
      </c>
      <c r="D19" s="136">
        <v>250</v>
      </c>
      <c r="E19" s="136">
        <v>147</v>
      </c>
      <c r="F19" s="136">
        <v>97</v>
      </c>
      <c r="G19" s="136">
        <v>50</v>
      </c>
      <c r="H19" s="136">
        <v>87</v>
      </c>
      <c r="I19" s="136">
        <v>38</v>
      </c>
      <c r="J19" s="136">
        <v>49</v>
      </c>
      <c r="K19" s="136">
        <v>185</v>
      </c>
      <c r="L19" s="136">
        <v>84</v>
      </c>
      <c r="M19" s="136">
        <v>101</v>
      </c>
      <c r="N19" s="136">
        <v>52</v>
      </c>
      <c r="O19" s="136">
        <v>28</v>
      </c>
      <c r="P19" s="136">
        <v>24</v>
      </c>
      <c r="Q19" s="136">
        <v>33</v>
      </c>
      <c r="R19" s="136">
        <v>22</v>
      </c>
      <c r="S19" s="136">
        <v>11</v>
      </c>
      <c r="T19" s="136">
        <v>12</v>
      </c>
      <c r="U19" s="136">
        <v>5</v>
      </c>
      <c r="V19" s="136">
        <v>7</v>
      </c>
      <c r="W19" s="136">
        <v>14</v>
      </c>
      <c r="X19" s="136">
        <v>6</v>
      </c>
      <c r="Y19" s="136">
        <v>8</v>
      </c>
      <c r="Z19" s="150">
        <v>44</v>
      </c>
      <c r="AA19" s="150">
        <v>22</v>
      </c>
      <c r="AB19" s="150">
        <v>22</v>
      </c>
    </row>
    <row r="20" spans="1:28" s="150" customFormat="1" ht="21" customHeight="1">
      <c r="A20" s="143" t="s">
        <v>220</v>
      </c>
      <c r="B20" s="135">
        <v>951</v>
      </c>
      <c r="C20" s="136">
        <v>559</v>
      </c>
      <c r="D20" s="136">
        <v>392</v>
      </c>
      <c r="E20" s="136">
        <v>267</v>
      </c>
      <c r="F20" s="136">
        <v>176</v>
      </c>
      <c r="G20" s="136">
        <v>91</v>
      </c>
      <c r="H20" s="136">
        <v>216</v>
      </c>
      <c r="I20" s="136">
        <v>115</v>
      </c>
      <c r="J20" s="136">
        <v>101</v>
      </c>
      <c r="K20" s="136">
        <v>229</v>
      </c>
      <c r="L20" s="136">
        <v>120</v>
      </c>
      <c r="M20" s="136">
        <v>109</v>
      </c>
      <c r="N20" s="136">
        <v>128</v>
      </c>
      <c r="O20" s="136">
        <v>81</v>
      </c>
      <c r="P20" s="136">
        <v>47</v>
      </c>
      <c r="Q20" s="136">
        <v>40</v>
      </c>
      <c r="R20" s="136">
        <v>23</v>
      </c>
      <c r="S20" s="136">
        <v>17</v>
      </c>
      <c r="T20" s="136">
        <v>40</v>
      </c>
      <c r="U20" s="136">
        <v>26</v>
      </c>
      <c r="V20" s="136">
        <v>14</v>
      </c>
      <c r="W20" s="136">
        <v>31</v>
      </c>
      <c r="X20" s="136">
        <v>18</v>
      </c>
      <c r="Y20" s="136">
        <v>13</v>
      </c>
      <c r="Z20" s="150">
        <v>114</v>
      </c>
      <c r="AA20" s="150">
        <v>39</v>
      </c>
      <c r="AB20" s="150">
        <v>75</v>
      </c>
    </row>
    <row r="21" spans="1:28" s="150" customFormat="1" ht="21" customHeight="1">
      <c r="A21" s="143" t="s">
        <v>221</v>
      </c>
      <c r="B21" s="135">
        <v>2564</v>
      </c>
      <c r="C21" s="136">
        <v>1619</v>
      </c>
      <c r="D21" s="136">
        <v>945</v>
      </c>
      <c r="E21" s="136">
        <v>687</v>
      </c>
      <c r="F21" s="136">
        <v>457</v>
      </c>
      <c r="G21" s="136">
        <v>230</v>
      </c>
      <c r="H21" s="136">
        <v>492</v>
      </c>
      <c r="I21" s="136">
        <v>289</v>
      </c>
      <c r="J21" s="136">
        <v>203</v>
      </c>
      <c r="K21" s="136">
        <v>542</v>
      </c>
      <c r="L21" s="136">
        <v>349</v>
      </c>
      <c r="M21" s="136">
        <v>193</v>
      </c>
      <c r="N21" s="136">
        <v>377</v>
      </c>
      <c r="O21" s="136">
        <v>241</v>
      </c>
      <c r="P21" s="136">
        <v>136</v>
      </c>
      <c r="Q21" s="136">
        <v>226</v>
      </c>
      <c r="R21" s="136">
        <v>131</v>
      </c>
      <c r="S21" s="136">
        <v>95</v>
      </c>
      <c r="T21" s="136">
        <v>141</v>
      </c>
      <c r="U21" s="136">
        <v>91</v>
      </c>
      <c r="V21" s="136">
        <v>50</v>
      </c>
      <c r="W21" s="136">
        <v>99</v>
      </c>
      <c r="X21" s="136">
        <v>61</v>
      </c>
      <c r="Y21" s="136">
        <v>38</v>
      </c>
      <c r="Z21" s="150">
        <v>346</v>
      </c>
      <c r="AA21" s="150">
        <v>131</v>
      </c>
      <c r="AB21" s="150">
        <v>215</v>
      </c>
    </row>
    <row r="22" spans="1:28" s="150" customFormat="1" ht="21" customHeight="1">
      <c r="A22" s="143" t="s">
        <v>207</v>
      </c>
      <c r="B22" s="135">
        <v>2202</v>
      </c>
      <c r="C22" s="136">
        <v>1265</v>
      </c>
      <c r="D22" s="136">
        <v>937</v>
      </c>
      <c r="E22" s="136">
        <v>493</v>
      </c>
      <c r="F22" s="136">
        <v>283</v>
      </c>
      <c r="G22" s="136">
        <v>210</v>
      </c>
      <c r="H22" s="136">
        <v>408</v>
      </c>
      <c r="I22" s="136">
        <v>208</v>
      </c>
      <c r="J22" s="136">
        <v>200</v>
      </c>
      <c r="K22" s="136">
        <v>468</v>
      </c>
      <c r="L22" s="136">
        <v>282</v>
      </c>
      <c r="M22" s="136">
        <v>186</v>
      </c>
      <c r="N22" s="136">
        <v>326</v>
      </c>
      <c r="O22" s="136">
        <v>196</v>
      </c>
      <c r="P22" s="136">
        <v>130</v>
      </c>
      <c r="Q22" s="136">
        <v>180</v>
      </c>
      <c r="R22" s="136">
        <v>104</v>
      </c>
      <c r="S22" s="136">
        <v>76</v>
      </c>
      <c r="T22" s="136">
        <v>168</v>
      </c>
      <c r="U22" s="136">
        <v>97</v>
      </c>
      <c r="V22" s="136">
        <v>71</v>
      </c>
      <c r="W22" s="136">
        <v>159</v>
      </c>
      <c r="X22" s="136">
        <v>95</v>
      </c>
      <c r="Y22" s="136">
        <v>64</v>
      </c>
      <c r="Z22" s="150">
        <v>77</v>
      </c>
      <c r="AA22" s="150">
        <v>35</v>
      </c>
      <c r="AB22" s="150">
        <v>42</v>
      </c>
    </row>
    <row r="23" spans="1:28" s="150" customFormat="1" ht="21" customHeight="1">
      <c r="A23" s="143" t="s">
        <v>208</v>
      </c>
      <c r="B23" s="135">
        <v>1207</v>
      </c>
      <c r="C23" s="136">
        <v>789</v>
      </c>
      <c r="D23" s="136">
        <v>418</v>
      </c>
      <c r="E23" s="136">
        <v>327</v>
      </c>
      <c r="F23" s="136">
        <v>229</v>
      </c>
      <c r="G23" s="136">
        <v>98</v>
      </c>
      <c r="H23" s="136">
        <v>241</v>
      </c>
      <c r="I23" s="136">
        <v>145</v>
      </c>
      <c r="J23" s="136">
        <v>96</v>
      </c>
      <c r="K23" s="136">
        <v>240</v>
      </c>
      <c r="L23" s="136">
        <v>163</v>
      </c>
      <c r="M23" s="136">
        <v>77</v>
      </c>
      <c r="N23" s="136">
        <v>152</v>
      </c>
      <c r="O23" s="136">
        <v>98</v>
      </c>
      <c r="P23" s="136">
        <v>54</v>
      </c>
      <c r="Q23" s="136">
        <v>76</v>
      </c>
      <c r="R23" s="136">
        <v>51</v>
      </c>
      <c r="S23" s="136">
        <v>25</v>
      </c>
      <c r="T23" s="136">
        <v>110</v>
      </c>
      <c r="U23" s="136">
        <v>69</v>
      </c>
      <c r="V23" s="136">
        <v>41</v>
      </c>
      <c r="W23" s="136">
        <v>61</v>
      </c>
      <c r="X23" s="136">
        <v>34</v>
      </c>
      <c r="Y23" s="136">
        <v>27</v>
      </c>
      <c r="Z23" s="150">
        <v>56</v>
      </c>
      <c r="AA23" s="150">
        <v>22</v>
      </c>
      <c r="AB23" s="150">
        <v>34</v>
      </c>
    </row>
    <row r="24" spans="1:28" s="150" customFormat="1" ht="21" customHeight="1">
      <c r="A24" s="143" t="s">
        <v>222</v>
      </c>
      <c r="B24" s="135">
        <v>29</v>
      </c>
      <c r="C24" s="136">
        <v>22</v>
      </c>
      <c r="D24" s="136">
        <v>7</v>
      </c>
      <c r="E24" s="136">
        <v>10</v>
      </c>
      <c r="F24" s="136">
        <v>6</v>
      </c>
      <c r="G24" s="136">
        <v>4</v>
      </c>
      <c r="H24" s="136">
        <v>2</v>
      </c>
      <c r="I24" s="136">
        <v>2</v>
      </c>
      <c r="J24" s="136">
        <v>0</v>
      </c>
      <c r="K24" s="136">
        <v>6</v>
      </c>
      <c r="L24" s="136">
        <v>4</v>
      </c>
      <c r="M24" s="136">
        <v>2</v>
      </c>
      <c r="N24" s="136">
        <v>8</v>
      </c>
      <c r="O24" s="136">
        <v>7</v>
      </c>
      <c r="P24" s="136">
        <v>1</v>
      </c>
      <c r="Q24" s="136">
        <v>2</v>
      </c>
      <c r="R24" s="136">
        <v>2</v>
      </c>
      <c r="S24" s="136">
        <v>0</v>
      </c>
      <c r="T24" s="136">
        <v>1</v>
      </c>
      <c r="U24" s="136">
        <v>1</v>
      </c>
      <c r="V24" s="136">
        <v>0</v>
      </c>
      <c r="W24" s="136">
        <v>0</v>
      </c>
      <c r="X24" s="136">
        <v>0</v>
      </c>
      <c r="Y24" s="136">
        <v>0</v>
      </c>
      <c r="Z24" s="150">
        <v>129</v>
      </c>
      <c r="AA24" s="150">
        <v>29</v>
      </c>
      <c r="AB24" s="150">
        <v>100</v>
      </c>
    </row>
    <row r="25" spans="1:28" s="150" customFormat="1" ht="21" customHeight="1">
      <c r="A25" s="143" t="s">
        <v>223</v>
      </c>
      <c r="B25" s="135">
        <v>949</v>
      </c>
      <c r="C25" s="136">
        <v>465</v>
      </c>
      <c r="D25" s="136">
        <v>484</v>
      </c>
      <c r="E25" s="136">
        <v>244</v>
      </c>
      <c r="F25" s="136">
        <v>121</v>
      </c>
      <c r="G25" s="136">
        <v>123</v>
      </c>
      <c r="H25" s="136">
        <v>221</v>
      </c>
      <c r="I25" s="136">
        <v>106</v>
      </c>
      <c r="J25" s="136">
        <v>115</v>
      </c>
      <c r="K25" s="136">
        <v>256</v>
      </c>
      <c r="L25" s="136">
        <v>118</v>
      </c>
      <c r="M25" s="136">
        <v>138</v>
      </c>
      <c r="N25" s="136">
        <v>106</v>
      </c>
      <c r="O25" s="136">
        <v>60</v>
      </c>
      <c r="P25" s="136">
        <v>46</v>
      </c>
      <c r="Q25" s="136">
        <v>49</v>
      </c>
      <c r="R25" s="136">
        <v>28</v>
      </c>
      <c r="S25" s="136">
        <v>21</v>
      </c>
      <c r="T25" s="136">
        <v>43</v>
      </c>
      <c r="U25" s="136">
        <v>22</v>
      </c>
      <c r="V25" s="136">
        <v>21</v>
      </c>
      <c r="W25" s="136">
        <v>30</v>
      </c>
      <c r="X25" s="136">
        <v>10</v>
      </c>
      <c r="Y25" s="136">
        <v>20</v>
      </c>
      <c r="Z25" s="150">
        <v>46</v>
      </c>
      <c r="AA25" s="150">
        <v>25</v>
      </c>
      <c r="AB25" s="150">
        <v>21</v>
      </c>
    </row>
    <row r="26" spans="1:28" s="150" customFormat="1" ht="21" customHeight="1">
      <c r="A26" s="143" t="s">
        <v>224</v>
      </c>
      <c r="B26" s="135">
        <v>306</v>
      </c>
      <c r="C26" s="136">
        <v>140</v>
      </c>
      <c r="D26" s="136">
        <v>166</v>
      </c>
      <c r="E26" s="136">
        <v>94</v>
      </c>
      <c r="F26" s="136">
        <v>33</v>
      </c>
      <c r="G26" s="136">
        <v>61</v>
      </c>
      <c r="H26" s="136">
        <v>66</v>
      </c>
      <c r="I26" s="136">
        <v>26</v>
      </c>
      <c r="J26" s="136">
        <v>40</v>
      </c>
      <c r="K26" s="136">
        <v>73</v>
      </c>
      <c r="L26" s="136">
        <v>39</v>
      </c>
      <c r="M26" s="136">
        <v>34</v>
      </c>
      <c r="N26" s="136">
        <v>29</v>
      </c>
      <c r="O26" s="136">
        <v>17</v>
      </c>
      <c r="P26" s="136">
        <v>12</v>
      </c>
      <c r="Q26" s="136">
        <v>21</v>
      </c>
      <c r="R26" s="136">
        <v>11</v>
      </c>
      <c r="S26" s="136">
        <v>10</v>
      </c>
      <c r="T26" s="136">
        <v>13</v>
      </c>
      <c r="U26" s="136">
        <v>6</v>
      </c>
      <c r="V26" s="136">
        <v>7</v>
      </c>
      <c r="W26" s="136">
        <v>10</v>
      </c>
      <c r="X26" s="136">
        <v>8</v>
      </c>
      <c r="Y26" s="136">
        <v>2</v>
      </c>
      <c r="Z26" s="150">
        <v>52</v>
      </c>
      <c r="AA26" s="150">
        <v>19</v>
      </c>
      <c r="AB26" s="150">
        <v>33</v>
      </c>
    </row>
    <row r="27" spans="1:28" s="150" customFormat="1" ht="21" customHeight="1">
      <c r="A27" s="143" t="s">
        <v>225</v>
      </c>
      <c r="B27" s="135">
        <v>321</v>
      </c>
      <c r="C27" s="136">
        <v>173</v>
      </c>
      <c r="D27" s="136">
        <v>148</v>
      </c>
      <c r="E27" s="136">
        <v>103</v>
      </c>
      <c r="F27" s="136">
        <v>59</v>
      </c>
      <c r="G27" s="136">
        <v>44</v>
      </c>
      <c r="H27" s="136">
        <v>59</v>
      </c>
      <c r="I27" s="136">
        <v>30</v>
      </c>
      <c r="J27" s="136">
        <v>29</v>
      </c>
      <c r="K27" s="136">
        <v>69</v>
      </c>
      <c r="L27" s="136">
        <v>35</v>
      </c>
      <c r="M27" s="136">
        <v>34</v>
      </c>
      <c r="N27" s="136">
        <v>40</v>
      </c>
      <c r="O27" s="136">
        <v>26</v>
      </c>
      <c r="P27" s="136">
        <v>14</v>
      </c>
      <c r="Q27" s="136">
        <v>20</v>
      </c>
      <c r="R27" s="136">
        <v>7</v>
      </c>
      <c r="S27" s="136">
        <v>13</v>
      </c>
      <c r="T27" s="136">
        <v>13</v>
      </c>
      <c r="U27" s="136">
        <v>7</v>
      </c>
      <c r="V27" s="136">
        <v>6</v>
      </c>
      <c r="W27" s="136">
        <v>17</v>
      </c>
      <c r="X27" s="136">
        <v>9</v>
      </c>
      <c r="Y27" s="136">
        <v>8</v>
      </c>
      <c r="Z27" s="150">
        <v>32</v>
      </c>
      <c r="AA27" s="150">
        <v>16</v>
      </c>
      <c r="AB27" s="150">
        <v>16</v>
      </c>
    </row>
    <row r="28" spans="1:28" s="150" customFormat="1" ht="21" customHeight="1">
      <c r="A28" s="143" t="s">
        <v>226</v>
      </c>
      <c r="B28" s="135">
        <v>0</v>
      </c>
      <c r="C28" s="136">
        <v>0</v>
      </c>
      <c r="D28" s="136">
        <v>0</v>
      </c>
      <c r="E28" s="136">
        <v>0</v>
      </c>
      <c r="F28" s="136">
        <v>0</v>
      </c>
      <c r="G28" s="136">
        <v>0</v>
      </c>
      <c r="H28" s="136">
        <v>0</v>
      </c>
      <c r="I28" s="136">
        <v>0</v>
      </c>
      <c r="J28" s="136">
        <v>0</v>
      </c>
      <c r="K28" s="136">
        <v>0</v>
      </c>
      <c r="L28" s="136">
        <v>0</v>
      </c>
      <c r="M28" s="136">
        <v>0</v>
      </c>
      <c r="N28" s="136">
        <v>0</v>
      </c>
      <c r="O28" s="136">
        <v>0</v>
      </c>
      <c r="P28" s="136">
        <v>0</v>
      </c>
      <c r="Q28" s="136">
        <v>0</v>
      </c>
      <c r="R28" s="136">
        <v>0</v>
      </c>
      <c r="S28" s="136">
        <v>0</v>
      </c>
      <c r="T28" s="136">
        <v>0</v>
      </c>
      <c r="U28" s="136">
        <v>0</v>
      </c>
      <c r="V28" s="136">
        <v>0</v>
      </c>
      <c r="W28" s="136">
        <v>0</v>
      </c>
      <c r="X28" s="136">
        <v>0</v>
      </c>
      <c r="Y28" s="136">
        <v>0</v>
      </c>
      <c r="Z28" s="136">
        <v>0</v>
      </c>
      <c r="AA28" s="136">
        <v>0</v>
      </c>
      <c r="AB28" s="136">
        <v>0</v>
      </c>
    </row>
    <row r="29" spans="1:28" s="150" customFormat="1" ht="21" customHeight="1" thickBot="1">
      <c r="A29" s="144" t="s">
        <v>227</v>
      </c>
      <c r="B29" s="161">
        <v>0</v>
      </c>
      <c r="C29" s="162">
        <v>0</v>
      </c>
      <c r="D29" s="162">
        <v>0</v>
      </c>
      <c r="E29" s="162">
        <v>0</v>
      </c>
      <c r="F29" s="162">
        <v>0</v>
      </c>
      <c r="G29" s="162">
        <v>0</v>
      </c>
      <c r="H29" s="162">
        <v>0</v>
      </c>
      <c r="I29" s="162">
        <v>0</v>
      </c>
      <c r="J29" s="162">
        <v>0</v>
      </c>
      <c r="K29" s="162">
        <v>0</v>
      </c>
      <c r="L29" s="162">
        <v>0</v>
      </c>
      <c r="M29" s="162">
        <v>0</v>
      </c>
      <c r="N29" s="162">
        <v>0</v>
      </c>
      <c r="O29" s="162">
        <v>0</v>
      </c>
      <c r="P29" s="162">
        <v>0</v>
      </c>
      <c r="Q29" s="162">
        <v>0</v>
      </c>
      <c r="R29" s="162">
        <v>0</v>
      </c>
      <c r="S29" s="162">
        <v>0</v>
      </c>
      <c r="T29" s="162">
        <v>0</v>
      </c>
      <c r="U29" s="162">
        <v>0</v>
      </c>
      <c r="V29" s="162">
        <v>0</v>
      </c>
      <c r="W29" s="162">
        <v>0</v>
      </c>
      <c r="X29" s="162">
        <v>0</v>
      </c>
      <c r="Y29" s="162">
        <v>0</v>
      </c>
      <c r="Z29" s="162">
        <v>0</v>
      </c>
      <c r="AA29" s="162">
        <v>0</v>
      </c>
      <c r="AB29" s="162">
        <v>0</v>
      </c>
    </row>
    <row r="30" spans="1:28" s="151" customFormat="1" ht="14.25">
      <c r="A30" s="160" t="s">
        <v>198</v>
      </c>
      <c r="Z30" s="168"/>
      <c r="AA30" s="168"/>
      <c r="AB30" s="168"/>
    </row>
    <row r="31" spans="1:28" s="151" customFormat="1" ht="12.75">
      <c r="A31" s="109" t="s">
        <v>193</v>
      </c>
    </row>
    <row r="32" spans="1:28" s="151" customFormat="1" ht="12.75">
      <c r="A32" s="109"/>
    </row>
    <row r="33" spans="1:1" s="151" customFormat="1" ht="14.25">
      <c r="A33" s="180" t="s">
        <v>244</v>
      </c>
    </row>
  </sheetData>
  <mergeCells count="10">
    <mergeCell ref="A4:A6"/>
    <mergeCell ref="B4:Y4"/>
    <mergeCell ref="B5:D5"/>
    <mergeCell ref="E5:G5"/>
    <mergeCell ref="H5:J5"/>
    <mergeCell ref="K5:M5"/>
    <mergeCell ref="N5:P5"/>
    <mergeCell ref="Q5:S5"/>
    <mergeCell ref="T5:V5"/>
    <mergeCell ref="W5:Y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3"/>
  <sheetViews>
    <sheetView zoomScale="84" zoomScaleNormal="84" zoomScaleSheetLayoutView="84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23" sqref="D23"/>
    </sheetView>
  </sheetViews>
  <sheetFormatPr defaultColWidth="9" defaultRowHeight="15.75"/>
  <cols>
    <col min="1" max="1" width="37.875" style="148" customWidth="1"/>
    <col min="2" max="3" width="10.5" style="148" customWidth="1"/>
    <col min="4" max="25" width="9.5" style="148" customWidth="1"/>
    <col min="26" max="16384" width="9" style="148"/>
  </cols>
  <sheetData>
    <row r="1" spans="1:26" s="164" customFormat="1" ht="27" customHeight="1">
      <c r="A1" s="163" t="s">
        <v>204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133" customFormat="1" ht="18" customHeight="1">
      <c r="A2" s="145" t="s">
        <v>190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26" s="147" customFormat="1" ht="18" customHeight="1" thickBot="1">
      <c r="A3" s="152" t="s">
        <v>191</v>
      </c>
      <c r="B3" s="153"/>
      <c r="C3" s="153"/>
      <c r="D3" s="153"/>
      <c r="E3" s="153"/>
      <c r="F3" s="153"/>
      <c r="G3" s="153"/>
      <c r="H3" s="153"/>
      <c r="I3" s="153"/>
      <c r="J3" s="146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46"/>
      <c r="Z3" s="146"/>
    </row>
    <row r="4" spans="1:26" ht="21.75" customHeight="1">
      <c r="A4" s="213" t="s">
        <v>192</v>
      </c>
      <c r="B4" s="214" t="s">
        <v>235</v>
      </c>
      <c r="C4" s="204"/>
      <c r="D4" s="204"/>
      <c r="E4" s="204"/>
      <c r="F4" s="204"/>
      <c r="G4" s="204"/>
      <c r="H4" s="204"/>
      <c r="I4" s="204"/>
      <c r="J4" s="205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5"/>
    </row>
    <row r="5" spans="1:26" ht="21.75" customHeight="1">
      <c r="A5" s="201"/>
      <c r="B5" s="208" t="s">
        <v>209</v>
      </c>
      <c r="C5" s="208"/>
      <c r="D5" s="209"/>
      <c r="E5" s="210" t="s">
        <v>228</v>
      </c>
      <c r="F5" s="210"/>
      <c r="G5" s="210"/>
      <c r="H5" s="210" t="s">
        <v>229</v>
      </c>
      <c r="I5" s="210"/>
      <c r="J5" s="211"/>
      <c r="K5" s="210" t="s">
        <v>230</v>
      </c>
      <c r="L5" s="210"/>
      <c r="M5" s="210"/>
      <c r="N5" s="210" t="s">
        <v>231</v>
      </c>
      <c r="O5" s="210"/>
      <c r="P5" s="210"/>
      <c r="Q5" s="210" t="s">
        <v>232</v>
      </c>
      <c r="R5" s="210"/>
      <c r="S5" s="210"/>
      <c r="T5" s="210" t="s">
        <v>233</v>
      </c>
      <c r="U5" s="210"/>
      <c r="V5" s="210"/>
      <c r="W5" s="210" t="s">
        <v>234</v>
      </c>
      <c r="X5" s="210"/>
      <c r="Y5" s="211"/>
    </row>
    <row r="6" spans="1:26" ht="40.15" customHeight="1" thickBot="1">
      <c r="A6" s="202"/>
      <c r="B6" s="156" t="s">
        <v>200</v>
      </c>
      <c r="C6" s="157" t="s">
        <v>194</v>
      </c>
      <c r="D6" s="157" t="s">
        <v>195</v>
      </c>
      <c r="E6" s="158" t="s">
        <v>200</v>
      </c>
      <c r="F6" s="157" t="s">
        <v>194</v>
      </c>
      <c r="G6" s="157" t="s">
        <v>195</v>
      </c>
      <c r="H6" s="158" t="s">
        <v>200</v>
      </c>
      <c r="I6" s="157" t="s">
        <v>194</v>
      </c>
      <c r="J6" s="157" t="s">
        <v>195</v>
      </c>
      <c r="K6" s="158" t="s">
        <v>200</v>
      </c>
      <c r="L6" s="157" t="s">
        <v>194</v>
      </c>
      <c r="M6" s="157" t="s">
        <v>195</v>
      </c>
      <c r="N6" s="158" t="s">
        <v>200</v>
      </c>
      <c r="O6" s="157" t="s">
        <v>194</v>
      </c>
      <c r="P6" s="157" t="s">
        <v>195</v>
      </c>
      <c r="Q6" s="158" t="s">
        <v>200</v>
      </c>
      <c r="R6" s="157" t="s">
        <v>194</v>
      </c>
      <c r="S6" s="157" t="s">
        <v>195</v>
      </c>
      <c r="T6" s="158" t="s">
        <v>200</v>
      </c>
      <c r="U6" s="157" t="s">
        <v>194</v>
      </c>
      <c r="V6" s="157" t="s">
        <v>195</v>
      </c>
      <c r="W6" s="158" t="s">
        <v>200</v>
      </c>
      <c r="X6" s="157" t="s">
        <v>194</v>
      </c>
      <c r="Y6" s="159" t="s">
        <v>195</v>
      </c>
    </row>
    <row r="7" spans="1:26" s="149" customFormat="1" ht="21" customHeight="1">
      <c r="A7" s="142" t="s">
        <v>201</v>
      </c>
      <c r="B7" s="154">
        <v>20544</v>
      </c>
      <c r="C7" s="155">
        <v>12178</v>
      </c>
      <c r="D7" s="155">
        <v>8366</v>
      </c>
      <c r="E7" s="155">
        <v>5709</v>
      </c>
      <c r="F7" s="155">
        <v>3527</v>
      </c>
      <c r="G7" s="155">
        <v>2182</v>
      </c>
      <c r="H7" s="155">
        <v>3886</v>
      </c>
      <c r="I7" s="155">
        <v>2207</v>
      </c>
      <c r="J7" s="155">
        <v>1679</v>
      </c>
      <c r="K7" s="155">
        <v>4570</v>
      </c>
      <c r="L7" s="155">
        <v>2731</v>
      </c>
      <c r="M7" s="155">
        <v>1839</v>
      </c>
      <c r="N7" s="155">
        <v>2733</v>
      </c>
      <c r="O7" s="155">
        <v>1677</v>
      </c>
      <c r="P7" s="155">
        <v>1056</v>
      </c>
      <c r="Q7" s="155">
        <v>1437</v>
      </c>
      <c r="R7" s="155">
        <v>798</v>
      </c>
      <c r="S7" s="155">
        <v>639</v>
      </c>
      <c r="T7" s="155">
        <v>1275</v>
      </c>
      <c r="U7" s="155">
        <v>712</v>
      </c>
      <c r="V7" s="155">
        <v>563</v>
      </c>
      <c r="W7" s="155">
        <v>934</v>
      </c>
      <c r="X7" s="155">
        <v>526</v>
      </c>
      <c r="Y7" s="155">
        <v>408</v>
      </c>
    </row>
    <row r="8" spans="1:26" s="150" customFormat="1" ht="21" customHeight="1">
      <c r="A8" s="143" t="s">
        <v>210</v>
      </c>
      <c r="B8" s="135">
        <v>746</v>
      </c>
      <c r="C8" s="136">
        <v>427</v>
      </c>
      <c r="D8" s="136">
        <v>319</v>
      </c>
      <c r="E8" s="136">
        <v>236</v>
      </c>
      <c r="F8" s="136">
        <v>135</v>
      </c>
      <c r="G8" s="136">
        <v>101</v>
      </c>
      <c r="H8" s="136">
        <v>131</v>
      </c>
      <c r="I8" s="136">
        <v>89</v>
      </c>
      <c r="J8" s="136">
        <v>42</v>
      </c>
      <c r="K8" s="136">
        <v>179</v>
      </c>
      <c r="L8" s="136">
        <v>91</v>
      </c>
      <c r="M8" s="136">
        <v>88</v>
      </c>
      <c r="N8" s="136">
        <v>89</v>
      </c>
      <c r="O8" s="136">
        <v>51</v>
      </c>
      <c r="P8" s="136">
        <v>38</v>
      </c>
      <c r="Q8" s="136">
        <v>51</v>
      </c>
      <c r="R8" s="136">
        <v>28</v>
      </c>
      <c r="S8" s="136">
        <v>23</v>
      </c>
      <c r="T8" s="136">
        <v>37</v>
      </c>
      <c r="U8" s="136">
        <v>19</v>
      </c>
      <c r="V8" s="136">
        <v>18</v>
      </c>
      <c r="W8" s="136">
        <v>23</v>
      </c>
      <c r="X8" s="136">
        <v>14</v>
      </c>
      <c r="Y8" s="136">
        <v>9</v>
      </c>
    </row>
    <row r="9" spans="1:26" s="150" customFormat="1" ht="21" customHeight="1">
      <c r="A9" s="143" t="s">
        <v>211</v>
      </c>
      <c r="B9" s="135">
        <v>1068</v>
      </c>
      <c r="C9" s="136">
        <v>620</v>
      </c>
      <c r="D9" s="136">
        <v>448</v>
      </c>
      <c r="E9" s="136">
        <v>237</v>
      </c>
      <c r="F9" s="136">
        <v>146</v>
      </c>
      <c r="G9" s="136">
        <v>91</v>
      </c>
      <c r="H9" s="136">
        <v>185</v>
      </c>
      <c r="I9" s="136">
        <v>101</v>
      </c>
      <c r="J9" s="136">
        <v>84</v>
      </c>
      <c r="K9" s="136">
        <v>314</v>
      </c>
      <c r="L9" s="136">
        <v>187</v>
      </c>
      <c r="M9" s="136">
        <v>127</v>
      </c>
      <c r="N9" s="136">
        <v>116</v>
      </c>
      <c r="O9" s="136">
        <v>73</v>
      </c>
      <c r="P9" s="136">
        <v>43</v>
      </c>
      <c r="Q9" s="136">
        <v>75</v>
      </c>
      <c r="R9" s="136">
        <v>37</v>
      </c>
      <c r="S9" s="136">
        <v>38</v>
      </c>
      <c r="T9" s="136">
        <v>83</v>
      </c>
      <c r="U9" s="136">
        <v>46</v>
      </c>
      <c r="V9" s="136">
        <v>37</v>
      </c>
      <c r="W9" s="136">
        <v>58</v>
      </c>
      <c r="X9" s="136">
        <v>30</v>
      </c>
      <c r="Y9" s="136">
        <v>28</v>
      </c>
    </row>
    <row r="10" spans="1:26" s="150" customFormat="1" ht="21" customHeight="1">
      <c r="A10" s="143" t="s">
        <v>212</v>
      </c>
      <c r="B10" s="135">
        <v>1154</v>
      </c>
      <c r="C10" s="136">
        <v>736</v>
      </c>
      <c r="D10" s="136">
        <v>418</v>
      </c>
      <c r="E10" s="136">
        <v>301</v>
      </c>
      <c r="F10" s="136">
        <v>181</v>
      </c>
      <c r="G10" s="136">
        <v>120</v>
      </c>
      <c r="H10" s="136">
        <v>217</v>
      </c>
      <c r="I10" s="136">
        <v>141</v>
      </c>
      <c r="J10" s="136">
        <v>76</v>
      </c>
      <c r="K10" s="136">
        <v>259</v>
      </c>
      <c r="L10" s="136">
        <v>179</v>
      </c>
      <c r="M10" s="136">
        <v>80</v>
      </c>
      <c r="N10" s="136">
        <v>165</v>
      </c>
      <c r="O10" s="136">
        <v>104</v>
      </c>
      <c r="P10" s="136">
        <v>61</v>
      </c>
      <c r="Q10" s="136">
        <v>101</v>
      </c>
      <c r="R10" s="136">
        <v>57</v>
      </c>
      <c r="S10" s="136">
        <v>44</v>
      </c>
      <c r="T10" s="136">
        <v>72</v>
      </c>
      <c r="U10" s="136">
        <v>46</v>
      </c>
      <c r="V10" s="136">
        <v>26</v>
      </c>
      <c r="W10" s="136">
        <v>39</v>
      </c>
      <c r="X10" s="136">
        <v>28</v>
      </c>
      <c r="Y10" s="136">
        <v>11</v>
      </c>
    </row>
    <row r="11" spans="1:26" s="150" customFormat="1" ht="21" customHeight="1">
      <c r="A11" s="143" t="s">
        <v>213</v>
      </c>
      <c r="B11" s="135">
        <v>4012</v>
      </c>
      <c r="C11" s="136">
        <v>2152</v>
      </c>
      <c r="D11" s="136">
        <v>1860</v>
      </c>
      <c r="E11" s="136">
        <v>1036</v>
      </c>
      <c r="F11" s="136">
        <v>576</v>
      </c>
      <c r="G11" s="136">
        <v>460</v>
      </c>
      <c r="H11" s="136">
        <v>687</v>
      </c>
      <c r="I11" s="136">
        <v>345</v>
      </c>
      <c r="J11" s="136">
        <v>342</v>
      </c>
      <c r="K11" s="136">
        <v>807</v>
      </c>
      <c r="L11" s="136">
        <v>427</v>
      </c>
      <c r="M11" s="136">
        <v>380</v>
      </c>
      <c r="N11" s="136">
        <v>539</v>
      </c>
      <c r="O11" s="136">
        <v>295</v>
      </c>
      <c r="P11" s="136">
        <v>244</v>
      </c>
      <c r="Q11" s="136">
        <v>339</v>
      </c>
      <c r="R11" s="136">
        <v>189</v>
      </c>
      <c r="S11" s="136">
        <v>150</v>
      </c>
      <c r="T11" s="136">
        <v>335</v>
      </c>
      <c r="U11" s="136">
        <v>183</v>
      </c>
      <c r="V11" s="136">
        <v>152</v>
      </c>
      <c r="W11" s="136">
        <v>269</v>
      </c>
      <c r="X11" s="136">
        <v>137</v>
      </c>
      <c r="Y11" s="136">
        <v>132</v>
      </c>
    </row>
    <row r="12" spans="1:26" s="150" customFormat="1" ht="21" customHeight="1">
      <c r="A12" s="143" t="s">
        <v>214</v>
      </c>
      <c r="B12" s="135">
        <v>1382</v>
      </c>
      <c r="C12" s="136">
        <v>783</v>
      </c>
      <c r="D12" s="136">
        <v>599</v>
      </c>
      <c r="E12" s="136">
        <v>379</v>
      </c>
      <c r="F12" s="136">
        <v>229</v>
      </c>
      <c r="G12" s="136">
        <v>150</v>
      </c>
      <c r="H12" s="136">
        <v>293</v>
      </c>
      <c r="I12" s="136">
        <v>163</v>
      </c>
      <c r="J12" s="136">
        <v>130</v>
      </c>
      <c r="K12" s="136">
        <v>317</v>
      </c>
      <c r="L12" s="136">
        <v>175</v>
      </c>
      <c r="M12" s="136">
        <v>142</v>
      </c>
      <c r="N12" s="136">
        <v>175</v>
      </c>
      <c r="O12" s="136">
        <v>102</v>
      </c>
      <c r="P12" s="136">
        <v>73</v>
      </c>
      <c r="Q12" s="136">
        <v>76</v>
      </c>
      <c r="R12" s="136">
        <v>41</v>
      </c>
      <c r="S12" s="136">
        <v>35</v>
      </c>
      <c r="T12" s="136">
        <v>85</v>
      </c>
      <c r="U12" s="136">
        <v>47</v>
      </c>
      <c r="V12" s="136">
        <v>38</v>
      </c>
      <c r="W12" s="136">
        <v>57</v>
      </c>
      <c r="X12" s="136">
        <v>26</v>
      </c>
      <c r="Y12" s="136">
        <v>31</v>
      </c>
    </row>
    <row r="13" spans="1:26" s="150" customFormat="1" ht="21" customHeight="1">
      <c r="A13" s="143" t="s">
        <v>205</v>
      </c>
      <c r="B13" s="135">
        <v>2007</v>
      </c>
      <c r="C13" s="136">
        <v>1171</v>
      </c>
      <c r="D13" s="136">
        <v>836</v>
      </c>
      <c r="E13" s="136">
        <v>660</v>
      </c>
      <c r="F13" s="136">
        <v>388</v>
      </c>
      <c r="G13" s="136">
        <v>272</v>
      </c>
      <c r="H13" s="136">
        <v>448</v>
      </c>
      <c r="I13" s="136">
        <v>261</v>
      </c>
      <c r="J13" s="136">
        <v>187</v>
      </c>
      <c r="K13" s="136">
        <v>408</v>
      </c>
      <c r="L13" s="136">
        <v>247</v>
      </c>
      <c r="M13" s="136">
        <v>161</v>
      </c>
      <c r="N13" s="136">
        <v>218</v>
      </c>
      <c r="O13" s="136">
        <v>134</v>
      </c>
      <c r="P13" s="136">
        <v>84</v>
      </c>
      <c r="Q13" s="136">
        <v>109</v>
      </c>
      <c r="R13" s="136">
        <v>53</v>
      </c>
      <c r="S13" s="136">
        <v>56</v>
      </c>
      <c r="T13" s="136">
        <v>93</v>
      </c>
      <c r="U13" s="136">
        <v>49</v>
      </c>
      <c r="V13" s="136">
        <v>44</v>
      </c>
      <c r="W13" s="136">
        <v>71</v>
      </c>
      <c r="X13" s="136">
        <v>39</v>
      </c>
      <c r="Y13" s="136">
        <v>32</v>
      </c>
    </row>
    <row r="14" spans="1:26" s="150" customFormat="1" ht="21" customHeight="1">
      <c r="A14" s="143" t="s">
        <v>215</v>
      </c>
      <c r="B14" s="135">
        <v>569</v>
      </c>
      <c r="C14" s="136">
        <v>346</v>
      </c>
      <c r="D14" s="136">
        <v>223</v>
      </c>
      <c r="E14" s="136">
        <v>116</v>
      </c>
      <c r="F14" s="136">
        <v>77</v>
      </c>
      <c r="G14" s="136">
        <v>39</v>
      </c>
      <c r="H14" s="136">
        <v>97</v>
      </c>
      <c r="I14" s="136">
        <v>58</v>
      </c>
      <c r="J14" s="136">
        <v>39</v>
      </c>
      <c r="K14" s="136">
        <v>166</v>
      </c>
      <c r="L14" s="136">
        <v>96</v>
      </c>
      <c r="M14" s="136">
        <v>70</v>
      </c>
      <c r="N14" s="136">
        <v>84</v>
      </c>
      <c r="O14" s="136">
        <v>57</v>
      </c>
      <c r="P14" s="136">
        <v>27</v>
      </c>
      <c r="Q14" s="136">
        <v>45</v>
      </c>
      <c r="R14" s="136">
        <v>24</v>
      </c>
      <c r="S14" s="136">
        <v>21</v>
      </c>
      <c r="T14" s="136">
        <v>35</v>
      </c>
      <c r="U14" s="136">
        <v>19</v>
      </c>
      <c r="V14" s="136">
        <v>16</v>
      </c>
      <c r="W14" s="136">
        <v>26</v>
      </c>
      <c r="X14" s="136">
        <v>15</v>
      </c>
      <c r="Y14" s="136">
        <v>11</v>
      </c>
    </row>
    <row r="15" spans="1:26" s="150" customFormat="1" ht="21" customHeight="1">
      <c r="A15" s="143" t="s">
        <v>216</v>
      </c>
      <c r="B15" s="135">
        <v>177</v>
      </c>
      <c r="C15" s="136">
        <v>97</v>
      </c>
      <c r="D15" s="136">
        <v>80</v>
      </c>
      <c r="E15" s="136">
        <v>37</v>
      </c>
      <c r="F15" s="136">
        <v>27</v>
      </c>
      <c r="G15" s="136">
        <v>10</v>
      </c>
      <c r="H15" s="136">
        <v>26</v>
      </c>
      <c r="I15" s="136">
        <v>11</v>
      </c>
      <c r="J15" s="136">
        <v>15</v>
      </c>
      <c r="K15" s="136">
        <v>41</v>
      </c>
      <c r="L15" s="136">
        <v>23</v>
      </c>
      <c r="M15" s="136">
        <v>18</v>
      </c>
      <c r="N15" s="136">
        <v>33</v>
      </c>
      <c r="O15" s="136">
        <v>19</v>
      </c>
      <c r="P15" s="136">
        <v>14</v>
      </c>
      <c r="Q15" s="136">
        <v>19</v>
      </c>
      <c r="R15" s="136">
        <v>8</v>
      </c>
      <c r="S15" s="136">
        <v>11</v>
      </c>
      <c r="T15" s="136">
        <v>11</v>
      </c>
      <c r="U15" s="136">
        <v>5</v>
      </c>
      <c r="V15" s="136">
        <v>6</v>
      </c>
      <c r="W15" s="136">
        <v>10</v>
      </c>
      <c r="X15" s="136">
        <v>4</v>
      </c>
      <c r="Y15" s="136">
        <v>6</v>
      </c>
    </row>
    <row r="16" spans="1:26" s="150" customFormat="1" ht="21" customHeight="1">
      <c r="A16" s="143" t="s">
        <v>217</v>
      </c>
      <c r="B16" s="135">
        <v>726</v>
      </c>
      <c r="C16" s="136">
        <v>446</v>
      </c>
      <c r="D16" s="136">
        <v>280</v>
      </c>
      <c r="E16" s="136">
        <v>193</v>
      </c>
      <c r="F16" s="136">
        <v>121</v>
      </c>
      <c r="G16" s="136">
        <v>72</v>
      </c>
      <c r="H16" s="136">
        <v>106</v>
      </c>
      <c r="I16" s="136">
        <v>67</v>
      </c>
      <c r="J16" s="136">
        <v>39</v>
      </c>
      <c r="K16" s="136">
        <v>175</v>
      </c>
      <c r="L16" s="136">
        <v>107</v>
      </c>
      <c r="M16" s="136">
        <v>68</v>
      </c>
      <c r="N16" s="136">
        <v>126</v>
      </c>
      <c r="O16" s="136">
        <v>79</v>
      </c>
      <c r="P16" s="136">
        <v>47</v>
      </c>
      <c r="Q16" s="136">
        <v>57</v>
      </c>
      <c r="R16" s="136">
        <v>34</v>
      </c>
      <c r="S16" s="136">
        <v>23</v>
      </c>
      <c r="T16" s="136">
        <v>44</v>
      </c>
      <c r="U16" s="136">
        <v>24</v>
      </c>
      <c r="V16" s="136">
        <v>20</v>
      </c>
      <c r="W16" s="136">
        <v>25</v>
      </c>
      <c r="X16" s="136">
        <v>14</v>
      </c>
      <c r="Y16" s="136">
        <v>11</v>
      </c>
    </row>
    <row r="17" spans="1:25" s="150" customFormat="1" ht="21" customHeight="1">
      <c r="A17" s="143" t="s">
        <v>218</v>
      </c>
      <c r="B17" s="135">
        <v>960</v>
      </c>
      <c r="C17" s="136">
        <v>563</v>
      </c>
      <c r="D17" s="136">
        <v>397</v>
      </c>
      <c r="E17" s="136">
        <v>338</v>
      </c>
      <c r="F17" s="136">
        <v>215</v>
      </c>
      <c r="G17" s="136">
        <v>123</v>
      </c>
      <c r="H17" s="136">
        <v>231</v>
      </c>
      <c r="I17" s="136">
        <v>119</v>
      </c>
      <c r="J17" s="136">
        <v>112</v>
      </c>
      <c r="K17" s="136">
        <v>218</v>
      </c>
      <c r="L17" s="136">
        <v>129</v>
      </c>
      <c r="M17" s="136">
        <v>89</v>
      </c>
      <c r="N17" s="136">
        <v>102</v>
      </c>
      <c r="O17" s="136">
        <v>59</v>
      </c>
      <c r="P17" s="136">
        <v>43</v>
      </c>
      <c r="Q17" s="136">
        <v>36</v>
      </c>
      <c r="R17" s="136">
        <v>22</v>
      </c>
      <c r="S17" s="136">
        <v>14</v>
      </c>
      <c r="T17" s="136">
        <v>15</v>
      </c>
      <c r="U17" s="136">
        <v>7</v>
      </c>
      <c r="V17" s="136">
        <v>8</v>
      </c>
      <c r="W17" s="136">
        <v>20</v>
      </c>
      <c r="X17" s="136">
        <v>12</v>
      </c>
      <c r="Y17" s="136">
        <v>8</v>
      </c>
    </row>
    <row r="18" spans="1:25" s="150" customFormat="1" ht="21" customHeight="1">
      <c r="A18" s="143" t="s">
        <v>219</v>
      </c>
      <c r="B18" s="135">
        <v>1128</v>
      </c>
      <c r="C18" s="136">
        <v>674</v>
      </c>
      <c r="D18" s="136">
        <v>454</v>
      </c>
      <c r="E18" s="136">
        <v>363</v>
      </c>
      <c r="F18" s="136">
        <v>229</v>
      </c>
      <c r="G18" s="136">
        <v>134</v>
      </c>
      <c r="H18" s="136">
        <v>216</v>
      </c>
      <c r="I18" s="136">
        <v>122</v>
      </c>
      <c r="J18" s="136">
        <v>94</v>
      </c>
      <c r="K18" s="136">
        <v>239</v>
      </c>
      <c r="L18" s="136">
        <v>139</v>
      </c>
      <c r="M18" s="136">
        <v>100</v>
      </c>
      <c r="N18" s="136">
        <v>153</v>
      </c>
      <c r="O18" s="136">
        <v>90</v>
      </c>
      <c r="P18" s="136">
        <v>63</v>
      </c>
      <c r="Q18" s="136">
        <v>69</v>
      </c>
      <c r="R18" s="136">
        <v>40</v>
      </c>
      <c r="S18" s="136">
        <v>29</v>
      </c>
      <c r="T18" s="136">
        <v>52</v>
      </c>
      <c r="U18" s="136">
        <v>32</v>
      </c>
      <c r="V18" s="136">
        <v>20</v>
      </c>
      <c r="W18" s="136">
        <v>36</v>
      </c>
      <c r="X18" s="136">
        <v>22</v>
      </c>
      <c r="Y18" s="136">
        <v>14</v>
      </c>
    </row>
    <row r="19" spans="1:25" s="150" customFormat="1" ht="21" customHeight="1">
      <c r="A19" s="143" t="s">
        <v>206</v>
      </c>
      <c r="B19" s="135">
        <v>304</v>
      </c>
      <c r="C19" s="136">
        <v>194</v>
      </c>
      <c r="D19" s="136">
        <v>110</v>
      </c>
      <c r="E19" s="136">
        <v>98</v>
      </c>
      <c r="F19" s="136">
        <v>64</v>
      </c>
      <c r="G19" s="136">
        <v>34</v>
      </c>
      <c r="H19" s="136">
        <v>57</v>
      </c>
      <c r="I19" s="136">
        <v>31</v>
      </c>
      <c r="J19" s="136">
        <v>26</v>
      </c>
      <c r="K19" s="136">
        <v>77</v>
      </c>
      <c r="L19" s="136">
        <v>47</v>
      </c>
      <c r="M19" s="136">
        <v>30</v>
      </c>
      <c r="N19" s="136">
        <v>35</v>
      </c>
      <c r="O19" s="136">
        <v>27</v>
      </c>
      <c r="P19" s="136">
        <v>8</v>
      </c>
      <c r="Q19" s="136">
        <v>20</v>
      </c>
      <c r="R19" s="136">
        <v>16</v>
      </c>
      <c r="S19" s="136">
        <v>4</v>
      </c>
      <c r="T19" s="136">
        <v>12</v>
      </c>
      <c r="U19" s="136">
        <v>5</v>
      </c>
      <c r="V19" s="136">
        <v>7</v>
      </c>
      <c r="W19" s="136">
        <v>5</v>
      </c>
      <c r="X19" s="136">
        <v>4</v>
      </c>
      <c r="Y19" s="136">
        <v>1</v>
      </c>
    </row>
    <row r="20" spans="1:25" s="150" customFormat="1" ht="21" customHeight="1">
      <c r="A20" s="143" t="s">
        <v>220</v>
      </c>
      <c r="B20" s="135">
        <v>817</v>
      </c>
      <c r="C20" s="136">
        <v>478</v>
      </c>
      <c r="D20" s="136">
        <v>339</v>
      </c>
      <c r="E20" s="136">
        <v>246</v>
      </c>
      <c r="F20" s="136">
        <v>162</v>
      </c>
      <c r="G20" s="136">
        <v>84</v>
      </c>
      <c r="H20" s="136">
        <v>208</v>
      </c>
      <c r="I20" s="136">
        <v>108</v>
      </c>
      <c r="J20" s="136">
        <v>100</v>
      </c>
      <c r="K20" s="136">
        <v>172</v>
      </c>
      <c r="L20" s="136">
        <v>92</v>
      </c>
      <c r="M20" s="136">
        <v>80</v>
      </c>
      <c r="N20" s="136">
        <v>105</v>
      </c>
      <c r="O20" s="136">
        <v>72</v>
      </c>
      <c r="P20" s="136">
        <v>33</v>
      </c>
      <c r="Q20" s="136">
        <v>27</v>
      </c>
      <c r="R20" s="136">
        <v>15</v>
      </c>
      <c r="S20" s="136">
        <v>12</v>
      </c>
      <c r="T20" s="136">
        <v>38</v>
      </c>
      <c r="U20" s="136">
        <v>20</v>
      </c>
      <c r="V20" s="136">
        <v>18</v>
      </c>
      <c r="W20" s="136">
        <v>21</v>
      </c>
      <c r="X20" s="136">
        <v>9</v>
      </c>
      <c r="Y20" s="136">
        <v>12</v>
      </c>
    </row>
    <row r="21" spans="1:25" s="150" customFormat="1" ht="21" customHeight="1">
      <c r="A21" s="143" t="s">
        <v>221</v>
      </c>
      <c r="B21" s="135">
        <v>2096</v>
      </c>
      <c r="C21" s="136">
        <v>1370</v>
      </c>
      <c r="D21" s="136">
        <v>726</v>
      </c>
      <c r="E21" s="136">
        <v>600</v>
      </c>
      <c r="F21" s="136">
        <v>413</v>
      </c>
      <c r="G21" s="136">
        <v>187</v>
      </c>
      <c r="H21" s="136">
        <v>352</v>
      </c>
      <c r="I21" s="136">
        <v>221</v>
      </c>
      <c r="J21" s="136">
        <v>131</v>
      </c>
      <c r="K21" s="136">
        <v>474</v>
      </c>
      <c r="L21" s="136">
        <v>320</v>
      </c>
      <c r="M21" s="136">
        <v>154</v>
      </c>
      <c r="N21" s="136">
        <v>304</v>
      </c>
      <c r="O21" s="136">
        <v>200</v>
      </c>
      <c r="P21" s="136">
        <v>104</v>
      </c>
      <c r="Q21" s="136">
        <v>167</v>
      </c>
      <c r="R21" s="136">
        <v>87</v>
      </c>
      <c r="S21" s="136">
        <v>80</v>
      </c>
      <c r="T21" s="136">
        <v>128</v>
      </c>
      <c r="U21" s="136">
        <v>81</v>
      </c>
      <c r="V21" s="136">
        <v>47</v>
      </c>
      <c r="W21" s="136">
        <v>71</v>
      </c>
      <c r="X21" s="136">
        <v>48</v>
      </c>
      <c r="Y21" s="136">
        <v>23</v>
      </c>
    </row>
    <row r="22" spans="1:25" s="150" customFormat="1" ht="21" customHeight="1">
      <c r="A22" s="143" t="s">
        <v>207</v>
      </c>
      <c r="B22" s="135">
        <v>1264</v>
      </c>
      <c r="C22" s="136">
        <v>832</v>
      </c>
      <c r="D22" s="136">
        <v>432</v>
      </c>
      <c r="E22" s="136">
        <v>267</v>
      </c>
      <c r="F22" s="136">
        <v>178</v>
      </c>
      <c r="G22" s="136">
        <v>89</v>
      </c>
      <c r="H22" s="136">
        <v>204</v>
      </c>
      <c r="I22" s="136">
        <v>130</v>
      </c>
      <c r="J22" s="136">
        <v>74</v>
      </c>
      <c r="K22" s="136">
        <v>250</v>
      </c>
      <c r="L22" s="136">
        <v>172</v>
      </c>
      <c r="M22" s="136">
        <v>78</v>
      </c>
      <c r="N22" s="136">
        <v>228</v>
      </c>
      <c r="O22" s="136">
        <v>160</v>
      </c>
      <c r="P22" s="136">
        <v>68</v>
      </c>
      <c r="Q22" s="136">
        <v>106</v>
      </c>
      <c r="R22" s="136">
        <v>61</v>
      </c>
      <c r="S22" s="136">
        <v>45</v>
      </c>
      <c r="T22" s="136">
        <v>105</v>
      </c>
      <c r="U22" s="136">
        <v>61</v>
      </c>
      <c r="V22" s="136">
        <v>44</v>
      </c>
      <c r="W22" s="136">
        <v>104</v>
      </c>
      <c r="X22" s="136">
        <v>70</v>
      </c>
      <c r="Y22" s="136">
        <v>34</v>
      </c>
    </row>
    <row r="23" spans="1:25" s="150" customFormat="1" ht="21" customHeight="1">
      <c r="A23" s="143" t="s">
        <v>208</v>
      </c>
      <c r="B23" s="135">
        <v>1125</v>
      </c>
      <c r="C23" s="136">
        <v>734</v>
      </c>
      <c r="D23" s="136">
        <v>391</v>
      </c>
      <c r="E23" s="136">
        <v>330</v>
      </c>
      <c r="F23" s="136">
        <v>232</v>
      </c>
      <c r="G23" s="136">
        <v>98</v>
      </c>
      <c r="H23" s="136">
        <v>223</v>
      </c>
      <c r="I23" s="136">
        <v>143</v>
      </c>
      <c r="J23" s="136">
        <v>80</v>
      </c>
      <c r="K23" s="136">
        <v>218</v>
      </c>
      <c r="L23" s="136">
        <v>145</v>
      </c>
      <c r="M23" s="136">
        <v>73</v>
      </c>
      <c r="N23" s="136">
        <v>133</v>
      </c>
      <c r="O23" s="136">
        <v>85</v>
      </c>
      <c r="P23" s="136">
        <v>48</v>
      </c>
      <c r="Q23" s="136">
        <v>86</v>
      </c>
      <c r="R23" s="136">
        <v>52</v>
      </c>
      <c r="S23" s="136">
        <v>34</v>
      </c>
      <c r="T23" s="136">
        <v>79</v>
      </c>
      <c r="U23" s="136">
        <v>45</v>
      </c>
      <c r="V23" s="136">
        <v>34</v>
      </c>
      <c r="W23" s="136">
        <v>56</v>
      </c>
      <c r="X23" s="136">
        <v>32</v>
      </c>
      <c r="Y23" s="136">
        <v>24</v>
      </c>
    </row>
    <row r="24" spans="1:25" s="150" customFormat="1" ht="21" customHeight="1">
      <c r="A24" s="143" t="s">
        <v>222</v>
      </c>
      <c r="B24" s="135">
        <v>50</v>
      </c>
      <c r="C24" s="136">
        <v>30</v>
      </c>
      <c r="D24" s="136">
        <v>20</v>
      </c>
      <c r="E24" s="136">
        <v>13</v>
      </c>
      <c r="F24" s="136">
        <v>8</v>
      </c>
      <c r="G24" s="136">
        <v>5</v>
      </c>
      <c r="H24" s="136">
        <v>7</v>
      </c>
      <c r="I24" s="136">
        <v>1</v>
      </c>
      <c r="J24" s="136">
        <v>6</v>
      </c>
      <c r="K24" s="136">
        <v>16</v>
      </c>
      <c r="L24" s="136">
        <v>11</v>
      </c>
      <c r="M24" s="136">
        <v>5</v>
      </c>
      <c r="N24" s="136">
        <v>8</v>
      </c>
      <c r="O24" s="136">
        <v>6</v>
      </c>
      <c r="P24" s="136">
        <v>2</v>
      </c>
      <c r="Q24" s="136">
        <v>3</v>
      </c>
      <c r="R24" s="136">
        <v>2</v>
      </c>
      <c r="S24" s="136">
        <v>1</v>
      </c>
      <c r="T24" s="136">
        <v>1</v>
      </c>
      <c r="U24" s="136">
        <v>1</v>
      </c>
      <c r="V24" s="136">
        <v>0</v>
      </c>
      <c r="W24" s="136">
        <v>2</v>
      </c>
      <c r="X24" s="136">
        <v>1</v>
      </c>
      <c r="Y24" s="136">
        <v>1</v>
      </c>
    </row>
    <row r="25" spans="1:25" s="150" customFormat="1" ht="21" customHeight="1">
      <c r="A25" s="143" t="s">
        <v>223</v>
      </c>
      <c r="B25" s="135">
        <v>473</v>
      </c>
      <c r="C25" s="136">
        <v>262</v>
      </c>
      <c r="D25" s="136">
        <v>211</v>
      </c>
      <c r="E25" s="136">
        <v>109</v>
      </c>
      <c r="F25" s="136">
        <v>61</v>
      </c>
      <c r="G25" s="136">
        <v>48</v>
      </c>
      <c r="H25" s="136">
        <v>108</v>
      </c>
      <c r="I25" s="136">
        <v>53</v>
      </c>
      <c r="J25" s="136">
        <v>55</v>
      </c>
      <c r="K25" s="136">
        <v>127</v>
      </c>
      <c r="L25" s="136">
        <v>77</v>
      </c>
      <c r="M25" s="136">
        <v>50</v>
      </c>
      <c r="N25" s="136">
        <v>63</v>
      </c>
      <c r="O25" s="136">
        <v>35</v>
      </c>
      <c r="P25" s="136">
        <v>28</v>
      </c>
      <c r="Q25" s="136">
        <v>21</v>
      </c>
      <c r="R25" s="136">
        <v>15</v>
      </c>
      <c r="S25" s="136">
        <v>6</v>
      </c>
      <c r="T25" s="136">
        <v>27</v>
      </c>
      <c r="U25" s="136">
        <v>13</v>
      </c>
      <c r="V25" s="136">
        <v>14</v>
      </c>
      <c r="W25" s="136">
        <v>18</v>
      </c>
      <c r="X25" s="136">
        <v>8</v>
      </c>
      <c r="Y25" s="136">
        <v>10</v>
      </c>
    </row>
    <row r="26" spans="1:25" s="150" customFormat="1" ht="21" customHeight="1">
      <c r="A26" s="143" t="s">
        <v>224</v>
      </c>
      <c r="B26" s="135">
        <v>172</v>
      </c>
      <c r="C26" s="136">
        <v>96</v>
      </c>
      <c r="D26" s="136">
        <v>76</v>
      </c>
      <c r="E26" s="136">
        <v>46</v>
      </c>
      <c r="F26" s="136">
        <v>23</v>
      </c>
      <c r="G26" s="136">
        <v>23</v>
      </c>
      <c r="H26" s="136">
        <v>30</v>
      </c>
      <c r="I26" s="136">
        <v>13</v>
      </c>
      <c r="J26" s="136">
        <v>17</v>
      </c>
      <c r="K26" s="136">
        <v>43</v>
      </c>
      <c r="L26" s="136">
        <v>30</v>
      </c>
      <c r="M26" s="136">
        <v>13</v>
      </c>
      <c r="N26" s="136">
        <v>23</v>
      </c>
      <c r="O26" s="136">
        <v>13</v>
      </c>
      <c r="P26" s="136">
        <v>10</v>
      </c>
      <c r="Q26" s="136">
        <v>13</v>
      </c>
      <c r="R26" s="136">
        <v>7</v>
      </c>
      <c r="S26" s="136">
        <v>6</v>
      </c>
      <c r="T26" s="136">
        <v>9</v>
      </c>
      <c r="U26" s="136">
        <v>6</v>
      </c>
      <c r="V26" s="136">
        <v>3</v>
      </c>
      <c r="W26" s="136">
        <v>8</v>
      </c>
      <c r="X26" s="136">
        <v>4</v>
      </c>
      <c r="Y26" s="136">
        <v>4</v>
      </c>
    </row>
    <row r="27" spans="1:25" s="150" customFormat="1" ht="21" customHeight="1">
      <c r="A27" s="143" t="s">
        <v>225</v>
      </c>
      <c r="B27" s="135">
        <v>314</v>
      </c>
      <c r="C27" s="136">
        <v>167</v>
      </c>
      <c r="D27" s="136">
        <v>147</v>
      </c>
      <c r="E27" s="136">
        <v>104</v>
      </c>
      <c r="F27" s="136">
        <v>62</v>
      </c>
      <c r="G27" s="136">
        <v>42</v>
      </c>
      <c r="H27" s="136">
        <v>60</v>
      </c>
      <c r="I27" s="136">
        <v>30</v>
      </c>
      <c r="J27" s="136">
        <v>30</v>
      </c>
      <c r="K27" s="136">
        <v>70</v>
      </c>
      <c r="L27" s="136">
        <v>37</v>
      </c>
      <c r="M27" s="136">
        <v>33</v>
      </c>
      <c r="N27" s="136">
        <v>34</v>
      </c>
      <c r="O27" s="136">
        <v>16</v>
      </c>
      <c r="P27" s="136">
        <v>18</v>
      </c>
      <c r="Q27" s="136">
        <v>17</v>
      </c>
      <c r="R27" s="136">
        <v>10</v>
      </c>
      <c r="S27" s="136">
        <v>7</v>
      </c>
      <c r="T27" s="136">
        <v>14</v>
      </c>
      <c r="U27" s="136">
        <v>3</v>
      </c>
      <c r="V27" s="136">
        <v>11</v>
      </c>
      <c r="W27" s="136">
        <v>15</v>
      </c>
      <c r="X27" s="136">
        <v>9</v>
      </c>
      <c r="Y27" s="136">
        <v>6</v>
      </c>
    </row>
    <row r="28" spans="1:25" s="150" customFormat="1" ht="21" customHeight="1">
      <c r="A28" s="143" t="s">
        <v>226</v>
      </c>
      <c r="B28" s="135">
        <v>0</v>
      </c>
      <c r="C28" s="136">
        <v>0</v>
      </c>
      <c r="D28" s="136">
        <v>0</v>
      </c>
      <c r="E28" s="136">
        <v>0</v>
      </c>
      <c r="F28" s="136">
        <v>0</v>
      </c>
      <c r="G28" s="136">
        <v>0</v>
      </c>
      <c r="H28" s="136">
        <v>0</v>
      </c>
      <c r="I28" s="136">
        <v>0</v>
      </c>
      <c r="J28" s="136">
        <v>0</v>
      </c>
      <c r="K28" s="136">
        <v>0</v>
      </c>
      <c r="L28" s="136">
        <v>0</v>
      </c>
      <c r="M28" s="136">
        <v>0</v>
      </c>
      <c r="N28" s="136">
        <v>0</v>
      </c>
      <c r="O28" s="136">
        <v>0</v>
      </c>
      <c r="P28" s="136">
        <v>0</v>
      </c>
      <c r="Q28" s="136">
        <v>0</v>
      </c>
      <c r="R28" s="136">
        <v>0</v>
      </c>
      <c r="S28" s="136">
        <v>0</v>
      </c>
      <c r="T28" s="136">
        <v>0</v>
      </c>
      <c r="U28" s="136">
        <v>0</v>
      </c>
      <c r="V28" s="136">
        <v>0</v>
      </c>
      <c r="W28" s="136">
        <v>0</v>
      </c>
      <c r="X28" s="136">
        <v>0</v>
      </c>
      <c r="Y28" s="136">
        <v>0</v>
      </c>
    </row>
    <row r="29" spans="1:25" s="150" customFormat="1" ht="21" customHeight="1" thickBot="1">
      <c r="A29" s="144" t="s">
        <v>227</v>
      </c>
      <c r="B29" s="161">
        <v>0</v>
      </c>
      <c r="C29" s="162">
        <v>0</v>
      </c>
      <c r="D29" s="162">
        <v>0</v>
      </c>
      <c r="E29" s="162">
        <v>0</v>
      </c>
      <c r="F29" s="162">
        <v>0</v>
      </c>
      <c r="G29" s="162">
        <v>0</v>
      </c>
      <c r="H29" s="162">
        <v>0</v>
      </c>
      <c r="I29" s="162">
        <v>0</v>
      </c>
      <c r="J29" s="162">
        <v>0</v>
      </c>
      <c r="K29" s="162">
        <v>0</v>
      </c>
      <c r="L29" s="162">
        <v>0</v>
      </c>
      <c r="M29" s="162">
        <v>0</v>
      </c>
      <c r="N29" s="162">
        <v>0</v>
      </c>
      <c r="O29" s="162">
        <v>0</v>
      </c>
      <c r="P29" s="162">
        <v>0</v>
      </c>
      <c r="Q29" s="162">
        <v>0</v>
      </c>
      <c r="R29" s="162">
        <v>0</v>
      </c>
      <c r="S29" s="162">
        <v>0</v>
      </c>
      <c r="T29" s="162">
        <v>0</v>
      </c>
      <c r="U29" s="162">
        <v>0</v>
      </c>
      <c r="V29" s="162">
        <v>0</v>
      </c>
      <c r="W29" s="162">
        <v>0</v>
      </c>
      <c r="X29" s="162">
        <v>0</v>
      </c>
      <c r="Y29" s="162">
        <v>0</v>
      </c>
    </row>
    <row r="30" spans="1:25" s="151" customFormat="1" ht="14.25">
      <c r="A30" s="160" t="s">
        <v>198</v>
      </c>
    </row>
    <row r="31" spans="1:25" s="151" customFormat="1" ht="12.75">
      <c r="A31" s="109" t="s">
        <v>193</v>
      </c>
    </row>
    <row r="32" spans="1:25" s="151" customFormat="1" ht="12.75">
      <c r="A32" s="109"/>
    </row>
    <row r="33" spans="1:1" s="151" customFormat="1" ht="14.25">
      <c r="A33" s="137" t="s">
        <v>199</v>
      </c>
    </row>
  </sheetData>
  <mergeCells count="10">
    <mergeCell ref="B4:Y4"/>
    <mergeCell ref="A4:A6"/>
    <mergeCell ref="E5:G5"/>
    <mergeCell ref="H5:J5"/>
    <mergeCell ref="K5:M5"/>
    <mergeCell ref="N5:P5"/>
    <mergeCell ref="Q5:S5"/>
    <mergeCell ref="T5:V5"/>
    <mergeCell ref="W5:Y5"/>
    <mergeCell ref="B5:D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1" ySplit="7" topLeftCell="B20" activePane="bottomRight" state="frozen"/>
      <selection activeCell="N25" sqref="N25"/>
      <selection pane="topRight" activeCell="N25" sqref="N25"/>
      <selection pane="bottomLeft" activeCell="N25" sqref="N25"/>
      <selection pane="bottomRight" activeCell="A32" sqref="A32:S32"/>
    </sheetView>
  </sheetViews>
  <sheetFormatPr defaultColWidth="9.375" defaultRowHeight="12.75"/>
  <cols>
    <col min="1" max="1" width="16.5" style="2" customWidth="1"/>
    <col min="2" max="25" width="10.25" style="2" customWidth="1"/>
    <col min="26" max="16384" width="9.375" style="2"/>
  </cols>
  <sheetData>
    <row r="1" spans="1:57" ht="21">
      <c r="A1" s="1" t="s">
        <v>196</v>
      </c>
    </row>
    <row r="2" spans="1:57" ht="26.25" customHeight="1">
      <c r="O2" s="3"/>
    </row>
    <row r="3" spans="1:57" s="4" customFormat="1" ht="15.75">
      <c r="A3" s="263" t="s">
        <v>247</v>
      </c>
      <c r="B3" s="266" t="s">
        <v>248</v>
      </c>
      <c r="C3" s="266"/>
      <c r="D3" s="266"/>
      <c r="E3" s="266"/>
      <c r="F3" s="266" t="s">
        <v>249</v>
      </c>
      <c r="G3" s="266"/>
      <c r="H3" s="266"/>
      <c r="I3" s="266"/>
      <c r="J3" s="266"/>
      <c r="K3" s="266"/>
      <c r="L3" s="266"/>
      <c r="M3" s="266"/>
      <c r="N3" s="266"/>
      <c r="O3" s="266" t="s">
        <v>246</v>
      </c>
      <c r="P3" s="266"/>
      <c r="Q3" s="266"/>
      <c r="R3" s="266"/>
      <c r="S3" s="266"/>
      <c r="T3" s="266"/>
      <c r="U3" s="266"/>
      <c r="V3" s="266"/>
      <c r="W3" s="267"/>
      <c r="X3" s="268" t="s">
        <v>250</v>
      </c>
      <c r="Y3" s="267"/>
    </row>
    <row r="4" spans="1:57" s="5" customFormat="1" ht="16.5" customHeight="1">
      <c r="A4" s="264"/>
      <c r="B4" s="271" t="s">
        <v>251</v>
      </c>
      <c r="C4" s="272"/>
      <c r="D4" s="273"/>
      <c r="E4" s="253" t="s">
        <v>252</v>
      </c>
      <c r="F4" s="253" t="s">
        <v>253</v>
      </c>
      <c r="G4" s="253"/>
      <c r="H4" s="253"/>
      <c r="I4" s="253" t="s">
        <v>254</v>
      </c>
      <c r="J4" s="253"/>
      <c r="K4" s="253"/>
      <c r="L4" s="253" t="s">
        <v>255</v>
      </c>
      <c r="M4" s="253"/>
      <c r="N4" s="253"/>
      <c r="O4" s="277" t="s">
        <v>256</v>
      </c>
      <c r="P4" s="277"/>
      <c r="Q4" s="277"/>
      <c r="R4" s="277" t="s">
        <v>257</v>
      </c>
      <c r="S4" s="277"/>
      <c r="T4" s="277"/>
      <c r="U4" s="277" t="s">
        <v>258</v>
      </c>
      <c r="V4" s="277"/>
      <c r="W4" s="278"/>
      <c r="X4" s="269"/>
      <c r="Y4" s="267"/>
    </row>
    <row r="5" spans="1:57" s="6" customFormat="1" ht="30" customHeight="1">
      <c r="A5" s="264"/>
      <c r="B5" s="274"/>
      <c r="C5" s="275"/>
      <c r="D5" s="276"/>
      <c r="E5" s="253"/>
      <c r="F5" s="255" t="s">
        <v>259</v>
      </c>
      <c r="G5" s="253"/>
      <c r="H5" s="253" t="s">
        <v>252</v>
      </c>
      <c r="I5" s="255" t="s">
        <v>259</v>
      </c>
      <c r="J5" s="253"/>
      <c r="K5" s="253" t="s">
        <v>252</v>
      </c>
      <c r="L5" s="255" t="s">
        <v>259</v>
      </c>
      <c r="M5" s="253"/>
      <c r="N5" s="253" t="s">
        <v>252</v>
      </c>
      <c r="O5" s="255" t="s">
        <v>259</v>
      </c>
      <c r="P5" s="253"/>
      <c r="Q5" s="253" t="s">
        <v>252</v>
      </c>
      <c r="R5" s="255" t="s">
        <v>259</v>
      </c>
      <c r="S5" s="253"/>
      <c r="T5" s="253" t="s">
        <v>252</v>
      </c>
      <c r="U5" s="253" t="s">
        <v>260</v>
      </c>
      <c r="V5" s="253"/>
      <c r="W5" s="260" t="s">
        <v>252</v>
      </c>
      <c r="X5" s="270"/>
      <c r="Y5" s="267"/>
    </row>
    <row r="6" spans="1:57" s="4" customFormat="1" ht="13.5" customHeight="1">
      <c r="A6" s="264"/>
      <c r="B6" s="258" t="s">
        <v>261</v>
      </c>
      <c r="C6" s="258" t="s">
        <v>262</v>
      </c>
      <c r="D6" s="258" t="s">
        <v>263</v>
      </c>
      <c r="E6" s="253"/>
      <c r="F6" s="258" t="s">
        <v>262</v>
      </c>
      <c r="G6" s="258" t="s">
        <v>263</v>
      </c>
      <c r="H6" s="253"/>
      <c r="I6" s="258" t="s">
        <v>262</v>
      </c>
      <c r="J6" s="258" t="s">
        <v>263</v>
      </c>
      <c r="K6" s="253"/>
      <c r="L6" s="258" t="s">
        <v>262</v>
      </c>
      <c r="M6" s="258" t="s">
        <v>263</v>
      </c>
      <c r="N6" s="253"/>
      <c r="O6" s="258" t="s">
        <v>262</v>
      </c>
      <c r="P6" s="258" t="s">
        <v>263</v>
      </c>
      <c r="Q6" s="253"/>
      <c r="R6" s="258" t="s">
        <v>262</v>
      </c>
      <c r="S6" s="258" t="s">
        <v>263</v>
      </c>
      <c r="T6" s="253"/>
      <c r="U6" s="258" t="s">
        <v>262</v>
      </c>
      <c r="V6" s="258" t="s">
        <v>263</v>
      </c>
      <c r="W6" s="261"/>
      <c r="X6" s="232" t="s">
        <v>262</v>
      </c>
      <c r="Y6" s="256" t="s">
        <v>263</v>
      </c>
    </row>
    <row r="7" spans="1:57" s="4" customFormat="1" ht="18" customHeight="1">
      <c r="A7" s="265"/>
      <c r="B7" s="259"/>
      <c r="C7" s="259"/>
      <c r="D7" s="259"/>
      <c r="E7" s="254"/>
      <c r="F7" s="259"/>
      <c r="G7" s="259"/>
      <c r="H7" s="254"/>
      <c r="I7" s="259"/>
      <c r="J7" s="259"/>
      <c r="K7" s="254"/>
      <c r="L7" s="259"/>
      <c r="M7" s="259"/>
      <c r="N7" s="254"/>
      <c r="O7" s="259"/>
      <c r="P7" s="259"/>
      <c r="Q7" s="254"/>
      <c r="R7" s="259"/>
      <c r="S7" s="259"/>
      <c r="T7" s="254"/>
      <c r="U7" s="259"/>
      <c r="V7" s="259"/>
      <c r="W7" s="262"/>
      <c r="X7" s="233"/>
      <c r="Y7" s="257"/>
    </row>
    <row r="8" spans="1:57" s="10" customFormat="1" ht="15.6" customHeight="1">
      <c r="A8" s="7" t="s">
        <v>0</v>
      </c>
      <c r="B8" s="8">
        <v>30260</v>
      </c>
      <c r="C8" s="8">
        <v>14431</v>
      </c>
      <c r="D8" s="8">
        <v>15829</v>
      </c>
      <c r="E8" s="8">
        <v>3153787</v>
      </c>
      <c r="F8" s="8">
        <v>109</v>
      </c>
      <c r="G8" s="8">
        <v>110</v>
      </c>
      <c r="H8" s="8">
        <v>20579</v>
      </c>
      <c r="I8" s="8">
        <v>379</v>
      </c>
      <c r="J8" s="8">
        <v>351</v>
      </c>
      <c r="K8" s="8">
        <v>85345</v>
      </c>
      <c r="L8" s="8">
        <v>8543</v>
      </c>
      <c r="M8" s="8">
        <v>10410</v>
      </c>
      <c r="N8" s="8">
        <v>621683</v>
      </c>
      <c r="O8" s="8">
        <v>1747</v>
      </c>
      <c r="P8" s="8">
        <v>1182</v>
      </c>
      <c r="Q8" s="8">
        <v>727186</v>
      </c>
      <c r="R8" s="8">
        <v>1768</v>
      </c>
      <c r="S8" s="8">
        <v>1805</v>
      </c>
      <c r="T8" s="8">
        <v>945443</v>
      </c>
      <c r="U8" s="8">
        <v>1885</v>
      </c>
      <c r="V8" s="8">
        <v>1971</v>
      </c>
      <c r="W8" s="8">
        <v>753551</v>
      </c>
      <c r="X8" s="9">
        <v>239</v>
      </c>
      <c r="Y8" s="8">
        <v>298</v>
      </c>
    </row>
    <row r="9" spans="1:57" s="10" customFormat="1" ht="15.6" customHeight="1">
      <c r="A9" s="11" t="s">
        <v>1</v>
      </c>
      <c r="B9" s="8">
        <v>18313</v>
      </c>
      <c r="C9" s="8">
        <v>9951</v>
      </c>
      <c r="D9" s="8">
        <v>8362</v>
      </c>
      <c r="E9" s="8">
        <v>2435580</v>
      </c>
      <c r="F9" s="8">
        <v>31</v>
      </c>
      <c r="G9" s="8">
        <v>18</v>
      </c>
      <c r="H9" s="8">
        <v>8503</v>
      </c>
      <c r="I9" s="8">
        <v>117</v>
      </c>
      <c r="J9" s="8">
        <v>85</v>
      </c>
      <c r="K9" s="8">
        <v>36551</v>
      </c>
      <c r="L9" s="8">
        <v>1192</v>
      </c>
      <c r="M9" s="8">
        <v>2512</v>
      </c>
      <c r="N9" s="8">
        <v>223807</v>
      </c>
      <c r="O9" s="8">
        <v>3176</v>
      </c>
      <c r="P9" s="8">
        <v>1899</v>
      </c>
      <c r="Q9" s="8">
        <v>845631</v>
      </c>
      <c r="R9" s="8">
        <v>2103</v>
      </c>
      <c r="S9" s="8">
        <v>2124</v>
      </c>
      <c r="T9" s="8">
        <v>846427</v>
      </c>
      <c r="U9" s="8">
        <v>3332</v>
      </c>
      <c r="V9" s="8">
        <v>1724</v>
      </c>
      <c r="W9" s="8">
        <v>474661</v>
      </c>
      <c r="X9" s="9">
        <v>261</v>
      </c>
      <c r="Y9" s="8">
        <v>348</v>
      </c>
    </row>
    <row r="10" spans="1:57" s="10" customFormat="1" ht="15.6" customHeight="1">
      <c r="A10" s="11" t="s">
        <v>2</v>
      </c>
      <c r="B10" s="8">
        <v>7787</v>
      </c>
      <c r="C10" s="8">
        <v>3957</v>
      </c>
      <c r="D10" s="8">
        <v>3830</v>
      </c>
      <c r="E10" s="8">
        <v>2123065</v>
      </c>
      <c r="F10" s="8">
        <v>9</v>
      </c>
      <c r="G10" s="8">
        <v>5</v>
      </c>
      <c r="H10" s="8">
        <v>5402</v>
      </c>
      <c r="I10" s="8">
        <v>47</v>
      </c>
      <c r="J10" s="8">
        <v>41</v>
      </c>
      <c r="K10" s="8">
        <v>23462</v>
      </c>
      <c r="L10" s="8">
        <v>63</v>
      </c>
      <c r="M10" s="8">
        <v>77</v>
      </c>
      <c r="N10" s="8">
        <v>37023</v>
      </c>
      <c r="O10" s="8">
        <v>1924</v>
      </c>
      <c r="P10" s="8">
        <v>1405</v>
      </c>
      <c r="Q10" s="8">
        <v>907750</v>
      </c>
      <c r="R10" s="8">
        <v>1199</v>
      </c>
      <c r="S10" s="8">
        <v>1418</v>
      </c>
      <c r="T10" s="8">
        <v>792468</v>
      </c>
      <c r="U10" s="8">
        <v>715</v>
      </c>
      <c r="V10" s="8">
        <v>884</v>
      </c>
      <c r="W10" s="8">
        <v>356960</v>
      </c>
      <c r="X10" s="9">
        <v>299</v>
      </c>
      <c r="Y10" s="8">
        <v>267</v>
      </c>
    </row>
    <row r="11" spans="1:57" s="10" customFormat="1" ht="15.6" customHeight="1">
      <c r="A11" s="11" t="s">
        <v>3</v>
      </c>
      <c r="B11" s="8">
        <v>8605</v>
      </c>
      <c r="C11" s="8">
        <v>4255</v>
      </c>
      <c r="D11" s="8">
        <v>4350</v>
      </c>
      <c r="E11" s="8">
        <v>2388782</v>
      </c>
      <c r="F11" s="8">
        <v>1</v>
      </c>
      <c r="G11" s="8">
        <v>0</v>
      </c>
      <c r="H11" s="8">
        <v>1972</v>
      </c>
      <c r="I11" s="8">
        <v>7</v>
      </c>
      <c r="J11" s="8">
        <v>2</v>
      </c>
      <c r="K11" s="8">
        <v>13644</v>
      </c>
      <c r="L11" s="8">
        <v>5</v>
      </c>
      <c r="M11" s="8">
        <v>10</v>
      </c>
      <c r="N11" s="8">
        <v>22052</v>
      </c>
      <c r="O11" s="8">
        <v>1954</v>
      </c>
      <c r="P11" s="8">
        <v>1557</v>
      </c>
      <c r="Q11" s="8">
        <v>958010</v>
      </c>
      <c r="R11" s="8">
        <v>1008</v>
      </c>
      <c r="S11" s="8">
        <v>1215</v>
      </c>
      <c r="T11" s="8">
        <v>753439</v>
      </c>
      <c r="U11" s="8">
        <v>1280</v>
      </c>
      <c r="V11" s="8">
        <v>1566</v>
      </c>
      <c r="W11" s="8">
        <v>639665</v>
      </c>
      <c r="X11" s="9">
        <v>246</v>
      </c>
      <c r="Y11" s="8">
        <v>274</v>
      </c>
    </row>
    <row r="12" spans="1:57" s="10" customFormat="1" ht="15.6" customHeight="1">
      <c r="A12" s="11" t="s">
        <v>4</v>
      </c>
      <c r="B12" s="8">
        <f>'102'!C8</f>
        <v>8244</v>
      </c>
      <c r="C12" s="8">
        <f>'102'!D8</f>
        <v>4110</v>
      </c>
      <c r="D12" s="8">
        <f>'102'!E8</f>
        <v>4134</v>
      </c>
      <c r="E12" s="8">
        <f>'102'!F8</f>
        <v>2290334</v>
      </c>
      <c r="F12" s="8">
        <f>'102'!G8</f>
        <v>11</v>
      </c>
      <c r="G12" s="8">
        <f>'102'!H8</f>
        <v>1</v>
      </c>
      <c r="H12" s="8">
        <f>'102'!I8</f>
        <v>3657</v>
      </c>
      <c r="I12" s="8">
        <f>'102'!J8</f>
        <v>66</v>
      </c>
      <c r="J12" s="8">
        <f>'102'!K8</f>
        <v>58</v>
      </c>
      <c r="K12" s="8">
        <f>'102'!L8</f>
        <v>26407</v>
      </c>
      <c r="L12" s="8">
        <f>'102'!M8</f>
        <v>27</v>
      </c>
      <c r="M12" s="8">
        <f>'102'!N8</f>
        <v>52</v>
      </c>
      <c r="N12" s="8">
        <f>'102'!O8</f>
        <v>39432</v>
      </c>
      <c r="O12" s="8">
        <f>'102'!P8</f>
        <v>2079</v>
      </c>
      <c r="P12" s="8">
        <f>'102'!Q8</f>
        <v>1676</v>
      </c>
      <c r="Q12" s="8">
        <f>'102'!R8</f>
        <v>1057824</v>
      </c>
      <c r="R12" s="8">
        <f>'102'!S8</f>
        <v>933</v>
      </c>
      <c r="S12" s="8">
        <f>'102'!T8</f>
        <v>1020</v>
      </c>
      <c r="T12" s="8">
        <f>'102'!U8</f>
        <v>629038</v>
      </c>
      <c r="U12" s="8">
        <f>'102'!V8</f>
        <v>994</v>
      </c>
      <c r="V12" s="8">
        <f>'102'!W8</f>
        <v>1327</v>
      </c>
      <c r="W12" s="8">
        <f>'102'!X8</f>
        <v>533976</v>
      </c>
      <c r="X12" s="9">
        <f>'102'!Y8</f>
        <v>479</v>
      </c>
      <c r="Y12" s="8">
        <f>'102'!Z8</f>
        <v>452</v>
      </c>
    </row>
    <row r="13" spans="1:57" s="14" customFormat="1" ht="15.6" customHeight="1">
      <c r="A13" s="11" t="s">
        <v>5</v>
      </c>
      <c r="B13" s="12">
        <f>'103'!C8</f>
        <v>6975</v>
      </c>
      <c r="C13" s="12">
        <f>'103'!D8</f>
        <v>3405</v>
      </c>
      <c r="D13" s="12">
        <f>'103'!E8</f>
        <v>3570</v>
      </c>
      <c r="E13" s="12">
        <f>'103'!F8</f>
        <v>1885240</v>
      </c>
      <c r="F13" s="12">
        <f>'103'!G8</f>
        <v>7</v>
      </c>
      <c r="G13" s="12">
        <f>'103'!H8</f>
        <v>7</v>
      </c>
      <c r="H13" s="12">
        <f>'103'!I8</f>
        <v>1597</v>
      </c>
      <c r="I13" s="12">
        <f>'103'!J8</f>
        <v>9</v>
      </c>
      <c r="J13" s="12">
        <f>'103'!K8</f>
        <v>8</v>
      </c>
      <c r="K13" s="12">
        <f>'103'!L8</f>
        <v>762</v>
      </c>
      <c r="L13" s="12">
        <f>'103'!M8</f>
        <v>12</v>
      </c>
      <c r="M13" s="12">
        <f>'103'!N8</f>
        <v>41</v>
      </c>
      <c r="N13" s="12">
        <f>'103'!O8</f>
        <v>1259</v>
      </c>
      <c r="O13" s="12">
        <f>'103'!P8</f>
        <v>1996</v>
      </c>
      <c r="P13" s="12">
        <f>'103'!Q8</f>
        <v>1673</v>
      </c>
      <c r="Q13" s="12">
        <f>'103'!R8</f>
        <v>1021388</v>
      </c>
      <c r="R13" s="12">
        <f>'103'!S8</f>
        <v>543</v>
      </c>
      <c r="S13" s="12">
        <f>'103'!T8</f>
        <v>698</v>
      </c>
      <c r="T13" s="12">
        <f>'103'!U8</f>
        <v>374767</v>
      </c>
      <c r="U13" s="12">
        <f>'103'!V8</f>
        <v>838</v>
      </c>
      <c r="V13" s="12">
        <f>'103'!W8</f>
        <v>1143</v>
      </c>
      <c r="W13" s="12">
        <f>'103'!X8</f>
        <v>485467</v>
      </c>
      <c r="X13" s="13">
        <f>'103'!Y8</f>
        <v>264</v>
      </c>
      <c r="Y13" s="12">
        <f>'103'!Z8</f>
        <v>276</v>
      </c>
    </row>
    <row r="14" spans="1:57" s="14" customFormat="1" ht="15.6" customHeight="1">
      <c r="A14" s="15" t="s">
        <v>6</v>
      </c>
      <c r="B14" s="12">
        <f>'104'!C8</f>
        <v>8052</v>
      </c>
      <c r="C14" s="12">
        <f>'104'!D8</f>
        <v>3907</v>
      </c>
      <c r="D14" s="12">
        <f>'104'!E8</f>
        <v>4145</v>
      </c>
      <c r="E14" s="12">
        <f>'104'!F8</f>
        <v>2003344</v>
      </c>
      <c r="F14" s="12">
        <f>'104'!G8</f>
        <v>0</v>
      </c>
      <c r="G14" s="12">
        <f>'104'!H8</f>
        <v>0</v>
      </c>
      <c r="H14" s="12">
        <f>'104'!I8</f>
        <v>0</v>
      </c>
      <c r="I14" s="12">
        <f>'104'!J8</f>
        <v>0</v>
      </c>
      <c r="J14" s="12">
        <f>'104'!K8</f>
        <v>0</v>
      </c>
      <c r="K14" s="12">
        <f>'104'!L8</f>
        <v>189</v>
      </c>
      <c r="L14" s="12">
        <f>'104'!M8</f>
        <v>1</v>
      </c>
      <c r="M14" s="12">
        <f>'104'!N8</f>
        <v>1</v>
      </c>
      <c r="N14" s="12">
        <f>'104'!O8</f>
        <v>505</v>
      </c>
      <c r="O14" s="12">
        <f>'104'!P8</f>
        <v>2336</v>
      </c>
      <c r="P14" s="12">
        <f>'104'!Q8</f>
        <v>1902</v>
      </c>
      <c r="Q14" s="12">
        <f>'104'!R8</f>
        <v>1077512</v>
      </c>
      <c r="R14" s="12">
        <f>'104'!S8</f>
        <v>621</v>
      </c>
      <c r="S14" s="12">
        <f>'104'!T8</f>
        <v>776</v>
      </c>
      <c r="T14" s="12">
        <f>'104'!U8</f>
        <v>345115</v>
      </c>
      <c r="U14" s="12">
        <f>'104'!V8</f>
        <v>949</v>
      </c>
      <c r="V14" s="12">
        <f>'104'!W8</f>
        <v>1466</v>
      </c>
      <c r="W14" s="12">
        <f>'104'!X8</f>
        <v>580023</v>
      </c>
      <c r="X14" s="13">
        <f>'104'!Y8</f>
        <v>141</v>
      </c>
      <c r="Y14" s="12">
        <f>'104'!Z8</f>
        <v>164</v>
      </c>
    </row>
    <row r="15" spans="1:57" s="19" customFormat="1" ht="15.6" customHeight="1">
      <c r="A15" s="16" t="s">
        <v>7</v>
      </c>
      <c r="B15" s="17">
        <f>'105'!C8</f>
        <v>7488</v>
      </c>
      <c r="C15" s="17">
        <f>'105'!D8</f>
        <v>3759</v>
      </c>
      <c r="D15" s="17">
        <f>'105'!E8</f>
        <v>3729</v>
      </c>
      <c r="E15" s="17">
        <f>'105'!F8</f>
        <v>2097429</v>
      </c>
      <c r="F15" s="17">
        <f>'105'!G8</f>
        <v>1</v>
      </c>
      <c r="G15" s="17">
        <f>'105'!H8</f>
        <v>1</v>
      </c>
      <c r="H15" s="17">
        <f>'105'!I8</f>
        <v>184</v>
      </c>
      <c r="I15" s="17">
        <f>'105'!J8</f>
        <v>1</v>
      </c>
      <c r="J15" s="17">
        <f>'105'!K8</f>
        <v>1</v>
      </c>
      <c r="K15" s="17">
        <f>'105'!L8</f>
        <v>251</v>
      </c>
      <c r="L15" s="17">
        <f>'105'!M8</f>
        <v>0</v>
      </c>
      <c r="M15" s="17">
        <f>'105'!N8</f>
        <v>0</v>
      </c>
      <c r="N15" s="17">
        <f>'105'!O8</f>
        <v>275</v>
      </c>
      <c r="O15" s="17">
        <f>'105'!P8</f>
        <v>2411</v>
      </c>
      <c r="P15" s="17">
        <f>'105'!Q8</f>
        <v>1985</v>
      </c>
      <c r="Q15" s="17">
        <f>'105'!R8</f>
        <v>1196175</v>
      </c>
      <c r="R15" s="17">
        <f>'105'!S8</f>
        <v>618</v>
      </c>
      <c r="S15" s="17">
        <f>'105'!T8</f>
        <v>661</v>
      </c>
      <c r="T15" s="17">
        <f>'105'!U8</f>
        <v>463960</v>
      </c>
      <c r="U15" s="17">
        <f>'105'!V8</f>
        <v>728</v>
      </c>
      <c r="V15" s="17">
        <f>'105'!W8</f>
        <v>1081</v>
      </c>
      <c r="W15" s="12">
        <f>'105'!X8</f>
        <v>436584</v>
      </c>
      <c r="X15" s="13">
        <f>'105'!Y8</f>
        <v>129</v>
      </c>
      <c r="Y15" s="17">
        <f>'105'!Z8</f>
        <v>131</v>
      </c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</row>
    <row r="16" spans="1:57" s="19" customFormat="1" ht="15.6" customHeight="1">
      <c r="A16" s="181" t="s">
        <v>264</v>
      </c>
      <c r="B16" s="17">
        <f>'106'!C8</f>
        <v>9479</v>
      </c>
      <c r="C16" s="17">
        <f>'106'!D8</f>
        <v>4549</v>
      </c>
      <c r="D16" s="17">
        <f>'106'!E8</f>
        <v>4930</v>
      </c>
      <c r="E16" s="17">
        <f>'106'!F8</f>
        <v>2194429</v>
      </c>
      <c r="F16" s="17">
        <f>'106'!G8</f>
        <v>0</v>
      </c>
      <c r="G16" s="17">
        <f>'106'!H8</f>
        <v>0</v>
      </c>
      <c r="H16" s="17">
        <f>'106'!I8</f>
        <v>0</v>
      </c>
      <c r="I16" s="17">
        <f>'106'!J8</f>
        <v>0</v>
      </c>
      <c r="J16" s="17">
        <f>'106'!K8</f>
        <v>0</v>
      </c>
      <c r="K16" s="17">
        <f>'106'!L8</f>
        <v>4</v>
      </c>
      <c r="L16" s="17">
        <f>'106'!M8</f>
        <v>0</v>
      </c>
      <c r="M16" s="17">
        <f>'106'!N8</f>
        <v>0</v>
      </c>
      <c r="N16" s="17">
        <f>'106'!O8</f>
        <v>120</v>
      </c>
      <c r="O16" s="17">
        <f>'106'!P8</f>
        <v>2529</v>
      </c>
      <c r="P16" s="17">
        <f>'106'!Q8</f>
        <v>2199</v>
      </c>
      <c r="Q16" s="17">
        <f>'106'!R8</f>
        <v>1280361</v>
      </c>
      <c r="R16" s="17">
        <f>'106'!S8</f>
        <v>925</v>
      </c>
      <c r="S16" s="17">
        <f>'106'!T8</f>
        <v>1079</v>
      </c>
      <c r="T16" s="17">
        <f>'106'!U8</f>
        <v>411352</v>
      </c>
      <c r="U16" s="17">
        <f>'106'!V8</f>
        <v>1095</v>
      </c>
      <c r="V16" s="17">
        <f>'106'!W8</f>
        <v>1652</v>
      </c>
      <c r="W16" s="20">
        <f>'106'!X8</f>
        <v>502592</v>
      </c>
      <c r="X16" s="17">
        <f>'106'!Y8</f>
        <v>382</v>
      </c>
      <c r="Y16" s="17">
        <f>'106'!Z8</f>
        <v>476</v>
      </c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</row>
    <row r="17" spans="1:57" s="19" customFormat="1" ht="15.6" customHeight="1">
      <c r="A17" s="182" t="s">
        <v>265</v>
      </c>
      <c r="B17" s="21">
        <f>'107'!C8</f>
        <v>20884</v>
      </c>
      <c r="C17" s="21">
        <f>'107'!D8</f>
        <v>10633</v>
      </c>
      <c r="D17" s="21">
        <f>'107'!E8</f>
        <v>10251</v>
      </c>
      <c r="E17" s="21">
        <f>'107'!F8</f>
        <v>3525842</v>
      </c>
      <c r="F17" s="21">
        <f>'107'!G8</f>
        <v>0</v>
      </c>
      <c r="G17" s="21">
        <f>'107'!H8</f>
        <v>0</v>
      </c>
      <c r="H17" s="21">
        <f>'107'!I8</f>
        <v>0</v>
      </c>
      <c r="I17" s="21">
        <f>'107'!J8</f>
        <v>5</v>
      </c>
      <c r="J17" s="21">
        <f>'107'!K8</f>
        <v>2</v>
      </c>
      <c r="K17" s="21">
        <f>'107'!L8</f>
        <v>1199</v>
      </c>
      <c r="L17" s="21">
        <f>'107'!M8</f>
        <v>193</v>
      </c>
      <c r="M17" s="21">
        <f>'107'!N8</f>
        <v>445</v>
      </c>
      <c r="N17" s="21">
        <f>'107'!O8</f>
        <v>34913</v>
      </c>
      <c r="O17" s="21">
        <f>'107'!P8</f>
        <v>6849</v>
      </c>
      <c r="P17" s="21">
        <f>'107'!Q8</f>
        <v>5390</v>
      </c>
      <c r="Q17" s="21">
        <f>'107'!R8</f>
        <v>2041182</v>
      </c>
      <c r="R17" s="21">
        <f>'107'!S8</f>
        <v>1526</v>
      </c>
      <c r="S17" s="21">
        <f>'107'!T8</f>
        <v>1592</v>
      </c>
      <c r="T17" s="21">
        <f>'107'!U8</f>
        <v>668456</v>
      </c>
      <c r="U17" s="21">
        <f>'107'!V8</f>
        <v>2060</v>
      </c>
      <c r="V17" s="21">
        <f>'107'!W8</f>
        <v>2822</v>
      </c>
      <c r="W17" s="22">
        <f>'107'!X8</f>
        <v>780092</v>
      </c>
      <c r="X17" s="21">
        <f>'107'!Y8</f>
        <v>821</v>
      </c>
      <c r="Y17" s="21">
        <f>'107'!Z8</f>
        <v>729</v>
      </c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</row>
    <row r="18" spans="1:57" s="19" customFormat="1" ht="15.6" customHeight="1">
      <c r="A18" s="181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23"/>
      <c r="W18" s="23"/>
      <c r="X18" s="17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</row>
    <row r="19" spans="1:57" s="24" customFormat="1" ht="27" customHeight="1">
      <c r="A19" s="234" t="s">
        <v>266</v>
      </c>
      <c r="B19" s="237" t="s">
        <v>246</v>
      </c>
      <c r="C19" s="238"/>
      <c r="D19" s="238"/>
      <c r="E19" s="238"/>
      <c r="F19" s="238"/>
      <c r="G19" s="238"/>
      <c r="H19" s="238"/>
      <c r="I19" s="238"/>
      <c r="J19" s="239"/>
      <c r="K19" s="240" t="s">
        <v>267</v>
      </c>
      <c r="L19" s="240"/>
    </row>
    <row r="20" spans="1:57" s="25" customFormat="1" ht="27" customHeight="1">
      <c r="A20" s="235"/>
      <c r="B20" s="243" t="s">
        <v>268</v>
      </c>
      <c r="C20" s="244"/>
      <c r="D20" s="244"/>
      <c r="E20" s="244"/>
      <c r="F20" s="244"/>
      <c r="G20" s="244"/>
      <c r="H20" s="244"/>
      <c r="I20" s="244"/>
      <c r="J20" s="245"/>
      <c r="K20" s="241"/>
      <c r="L20" s="241"/>
    </row>
    <row r="21" spans="1:57" s="26" customFormat="1" ht="27" customHeight="1">
      <c r="A21" s="235"/>
      <c r="B21" s="237" t="s">
        <v>269</v>
      </c>
      <c r="C21" s="238"/>
      <c r="D21" s="246"/>
      <c r="E21" s="247" t="s">
        <v>270</v>
      </c>
      <c r="F21" s="248"/>
      <c r="G21" s="249" t="s">
        <v>72</v>
      </c>
      <c r="H21" s="250"/>
      <c r="I21" s="251" t="s">
        <v>73</v>
      </c>
      <c r="J21" s="252"/>
      <c r="K21" s="242"/>
      <c r="L21" s="242"/>
    </row>
    <row r="22" spans="1:57" s="27" customFormat="1" ht="13.5" customHeight="1">
      <c r="A22" s="235"/>
      <c r="B22" s="225" t="s">
        <v>8</v>
      </c>
      <c r="C22" s="225" t="s">
        <v>9</v>
      </c>
      <c r="D22" s="225" t="s">
        <v>10</v>
      </c>
      <c r="E22" s="225" t="s">
        <v>9</v>
      </c>
      <c r="F22" s="225" t="s">
        <v>10</v>
      </c>
      <c r="G22" s="225" t="s">
        <v>9</v>
      </c>
      <c r="H22" s="225" t="s">
        <v>10</v>
      </c>
      <c r="I22" s="225" t="s">
        <v>9</v>
      </c>
      <c r="J22" s="223" t="s">
        <v>10</v>
      </c>
      <c r="K22" s="225" t="s">
        <v>9</v>
      </c>
      <c r="L22" s="227" t="s">
        <v>10</v>
      </c>
    </row>
    <row r="23" spans="1:57" s="27" customFormat="1" ht="18" customHeight="1">
      <c r="A23" s="236"/>
      <c r="B23" s="226"/>
      <c r="C23" s="226"/>
      <c r="D23" s="226"/>
      <c r="E23" s="226"/>
      <c r="F23" s="226"/>
      <c r="G23" s="226"/>
      <c r="H23" s="226"/>
      <c r="I23" s="226"/>
      <c r="J23" s="224"/>
      <c r="K23" s="226"/>
      <c r="L23" s="228"/>
    </row>
    <row r="24" spans="1:57" s="31" customFormat="1" ht="15.6" customHeight="1">
      <c r="A24" s="28" t="s">
        <v>11</v>
      </c>
      <c r="B24" s="29">
        <f>'108'!C8</f>
        <v>16171</v>
      </c>
      <c r="C24" s="29">
        <f>'108'!D8</f>
        <v>8717</v>
      </c>
      <c r="D24" s="29">
        <f>'108'!E8</f>
        <v>7454</v>
      </c>
      <c r="E24" s="29">
        <f>'108'!F8</f>
        <v>6060</v>
      </c>
      <c r="F24" s="29">
        <f>'108'!G8</f>
        <v>4341</v>
      </c>
      <c r="G24" s="29">
        <f>'108'!H8</f>
        <v>1531</v>
      </c>
      <c r="H24" s="29">
        <f>'108'!I8</f>
        <v>1426</v>
      </c>
      <c r="I24" s="29">
        <f>'108'!J8</f>
        <v>1126</v>
      </c>
      <c r="J24" s="29">
        <f>'108'!K8</f>
        <v>1687</v>
      </c>
      <c r="K24" s="29">
        <f>'108'!L8</f>
        <v>1302</v>
      </c>
      <c r="L24" s="29">
        <f>'108'!M8</f>
        <v>892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</row>
    <row r="25" spans="1:57" s="31" customFormat="1" ht="15.6" customHeight="1">
      <c r="A25" s="3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</row>
    <row r="26" spans="1:57" s="33" customFormat="1" ht="25.5" customHeight="1">
      <c r="A26" s="221" t="s">
        <v>271</v>
      </c>
      <c r="B26" s="229" t="s">
        <v>272</v>
      </c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30" t="s">
        <v>273</v>
      </c>
      <c r="N26" s="229"/>
      <c r="O26" s="229"/>
      <c r="P26" s="229"/>
      <c r="Q26" s="229"/>
      <c r="R26" s="229"/>
      <c r="S26" s="229"/>
      <c r="T26" s="229"/>
      <c r="U26" s="229"/>
      <c r="V26" s="229"/>
      <c r="W26" s="229"/>
    </row>
    <row r="27" spans="1:57" s="33" customFormat="1" ht="24" customHeight="1">
      <c r="A27" s="222"/>
      <c r="B27" s="231" t="s">
        <v>274</v>
      </c>
      <c r="C27" s="218"/>
      <c r="D27" s="218"/>
      <c r="E27" s="219" t="s">
        <v>275</v>
      </c>
      <c r="F27" s="220"/>
      <c r="G27" s="217" t="s">
        <v>276</v>
      </c>
      <c r="H27" s="220"/>
      <c r="I27" s="218" t="s">
        <v>277</v>
      </c>
      <c r="J27" s="218"/>
      <c r="K27" s="216" t="s">
        <v>278</v>
      </c>
      <c r="L27" s="217"/>
      <c r="M27" s="218" t="s">
        <v>274</v>
      </c>
      <c r="N27" s="218"/>
      <c r="O27" s="218"/>
      <c r="P27" s="219" t="s">
        <v>275</v>
      </c>
      <c r="Q27" s="220"/>
      <c r="R27" s="217" t="s">
        <v>276</v>
      </c>
      <c r="S27" s="220"/>
      <c r="T27" s="218" t="s">
        <v>277</v>
      </c>
      <c r="U27" s="218"/>
      <c r="V27" s="216" t="s">
        <v>278</v>
      </c>
      <c r="W27" s="217"/>
    </row>
    <row r="28" spans="1:57" s="33" customFormat="1" ht="30" customHeight="1">
      <c r="A28" s="217"/>
      <c r="B28" s="34" t="s">
        <v>8</v>
      </c>
      <c r="C28" s="35" t="s">
        <v>9</v>
      </c>
      <c r="D28" s="35" t="s">
        <v>10</v>
      </c>
      <c r="E28" s="185" t="s">
        <v>9</v>
      </c>
      <c r="F28" s="185" t="s">
        <v>10</v>
      </c>
      <c r="G28" s="185" t="s">
        <v>9</v>
      </c>
      <c r="H28" s="185" t="s">
        <v>10</v>
      </c>
      <c r="I28" s="185" t="s">
        <v>9</v>
      </c>
      <c r="J28" s="185" t="s">
        <v>10</v>
      </c>
      <c r="K28" s="186" t="s">
        <v>9</v>
      </c>
      <c r="L28" s="185" t="s">
        <v>10</v>
      </c>
      <c r="M28" s="34" t="s">
        <v>8</v>
      </c>
      <c r="N28" s="35" t="s">
        <v>9</v>
      </c>
      <c r="O28" s="35" t="s">
        <v>10</v>
      </c>
      <c r="P28" s="185" t="s">
        <v>9</v>
      </c>
      <c r="Q28" s="185" t="s">
        <v>10</v>
      </c>
      <c r="R28" s="185" t="s">
        <v>9</v>
      </c>
      <c r="S28" s="185" t="s">
        <v>10</v>
      </c>
      <c r="T28" s="185" t="s">
        <v>9</v>
      </c>
      <c r="U28" s="185" t="s">
        <v>10</v>
      </c>
      <c r="V28" s="186" t="s">
        <v>9</v>
      </c>
      <c r="W28" s="187" t="s">
        <v>10</v>
      </c>
    </row>
    <row r="29" spans="1:57" s="33" customFormat="1" ht="15.75">
      <c r="A29" s="36" t="s">
        <v>12</v>
      </c>
      <c r="B29" s="29">
        <f>'109'!C7</f>
        <v>16761</v>
      </c>
      <c r="C29" s="29">
        <f>'109'!D7</f>
        <v>9199</v>
      </c>
      <c r="D29" s="29">
        <f>'109'!E7</f>
        <v>7562</v>
      </c>
      <c r="E29" s="29">
        <f>'109'!F7</f>
        <v>6473</v>
      </c>
      <c r="F29" s="29">
        <f>'109'!G7</f>
        <v>4503</v>
      </c>
      <c r="G29" s="29">
        <f>'109'!H7</f>
        <v>1723</v>
      </c>
      <c r="H29" s="29">
        <f>'109'!I7</f>
        <v>1461</v>
      </c>
      <c r="I29" s="29">
        <f>'109'!J7</f>
        <v>1003</v>
      </c>
      <c r="J29" s="29">
        <f>'109'!K7</f>
        <v>1598</v>
      </c>
      <c r="K29" s="29">
        <f>'109'!L7</f>
        <v>841</v>
      </c>
      <c r="L29" s="29">
        <f>'109'!M7</f>
        <v>491</v>
      </c>
      <c r="M29" s="29">
        <f>'109'!N7</f>
        <v>21390</v>
      </c>
      <c r="N29" s="29">
        <f>'109'!O7</f>
        <v>11598</v>
      </c>
      <c r="O29" s="29">
        <f>'109'!P7</f>
        <v>9792</v>
      </c>
      <c r="P29" s="29">
        <f>'109'!Q7</f>
        <v>7777</v>
      </c>
      <c r="Q29" s="29">
        <f>'109'!R7</f>
        <v>5424</v>
      </c>
      <c r="R29" s="29">
        <f>'109'!S7</f>
        <v>2255</v>
      </c>
      <c r="S29" s="29">
        <f>'109'!T7</f>
        <v>1908</v>
      </c>
      <c r="T29" s="29">
        <f>'109'!U7</f>
        <v>1566</v>
      </c>
      <c r="U29" s="29">
        <f>'109'!V7</f>
        <v>2460</v>
      </c>
      <c r="V29" s="29">
        <f>'109'!W7</f>
        <v>1422</v>
      </c>
      <c r="W29" s="29">
        <f>'109'!X7</f>
        <v>929</v>
      </c>
    </row>
    <row r="30" spans="1:57" ht="15.75">
      <c r="A30" s="37" t="s">
        <v>203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</row>
    <row r="31" spans="1:57" ht="15">
      <c r="A31" s="27" t="s">
        <v>14</v>
      </c>
    </row>
    <row r="32" spans="1:57" s="39" customFormat="1" ht="49.9" customHeight="1">
      <c r="A32" s="215" t="s">
        <v>279</v>
      </c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</row>
    <row r="33" spans="1:1" s="39" customFormat="1">
      <c r="A33" s="40" t="s">
        <v>15</v>
      </c>
    </row>
  </sheetData>
  <mergeCells count="75">
    <mergeCell ref="A3:A7"/>
    <mergeCell ref="B3:E3"/>
    <mergeCell ref="F3:N3"/>
    <mergeCell ref="O3:W3"/>
    <mergeCell ref="X3:Y5"/>
    <mergeCell ref="B4:D5"/>
    <mergeCell ref="E4:E7"/>
    <mergeCell ref="F4:H4"/>
    <mergeCell ref="I4:K4"/>
    <mergeCell ref="L4:N4"/>
    <mergeCell ref="O4:Q4"/>
    <mergeCell ref="R4:T4"/>
    <mergeCell ref="U4:W4"/>
    <mergeCell ref="F5:G5"/>
    <mergeCell ref="H5:H7"/>
    <mergeCell ref="I5:J5"/>
    <mergeCell ref="B6:B7"/>
    <mergeCell ref="C6:C7"/>
    <mergeCell ref="D6:D7"/>
    <mergeCell ref="F6:F7"/>
    <mergeCell ref="G6:G7"/>
    <mergeCell ref="Y6:Y7"/>
    <mergeCell ref="I6:I7"/>
    <mergeCell ref="J6:J7"/>
    <mergeCell ref="L6:L7"/>
    <mergeCell ref="M6:M7"/>
    <mergeCell ref="O6:O7"/>
    <mergeCell ref="P6:P7"/>
    <mergeCell ref="Q5:Q7"/>
    <mergeCell ref="R5:S5"/>
    <mergeCell ref="T5:T7"/>
    <mergeCell ref="U5:V5"/>
    <mergeCell ref="W5:W7"/>
    <mergeCell ref="R6:R7"/>
    <mergeCell ref="S6:S7"/>
    <mergeCell ref="U6:U7"/>
    <mergeCell ref="V6:V7"/>
    <mergeCell ref="X6:X7"/>
    <mergeCell ref="I22:I23"/>
    <mergeCell ref="A19:A23"/>
    <mergeCell ref="B19:J19"/>
    <mergeCell ref="K19:L21"/>
    <mergeCell ref="B20:J20"/>
    <mergeCell ref="B21:D21"/>
    <mergeCell ref="E21:F21"/>
    <mergeCell ref="G21:H21"/>
    <mergeCell ref="I21:J21"/>
    <mergeCell ref="B22:B23"/>
    <mergeCell ref="C22:C23"/>
    <mergeCell ref="K5:K7"/>
    <mergeCell ref="L5:M5"/>
    <mergeCell ref="N5:N7"/>
    <mergeCell ref="O5:P5"/>
    <mergeCell ref="T27:U27"/>
    <mergeCell ref="V27:W27"/>
    <mergeCell ref="J22:J23"/>
    <mergeCell ref="K22:K23"/>
    <mergeCell ref="L22:L23"/>
    <mergeCell ref="B26:L26"/>
    <mergeCell ref="M26:W26"/>
    <mergeCell ref="B27:D27"/>
    <mergeCell ref="E27:F27"/>
    <mergeCell ref="G27:H27"/>
    <mergeCell ref="I27:J27"/>
    <mergeCell ref="D22:D23"/>
    <mergeCell ref="E22:E23"/>
    <mergeCell ref="F22:F23"/>
    <mergeCell ref="G22:G23"/>
    <mergeCell ref="H22:H23"/>
    <mergeCell ref="A32:S32"/>
    <mergeCell ref="K27:L27"/>
    <mergeCell ref="M27:O27"/>
    <mergeCell ref="P27:Q27"/>
    <mergeCell ref="R27:S27"/>
    <mergeCell ref="A26:A28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pane xSplit="3" ySplit="7" topLeftCell="D8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7.25" defaultRowHeight="16.5"/>
  <cols>
    <col min="1" max="1" width="9.25" style="139" customWidth="1"/>
    <col min="2" max="2" width="17.125" style="39" customWidth="1"/>
    <col min="3" max="4" width="9.625" style="83" customWidth="1"/>
    <col min="5" max="9" width="9.625" style="72" customWidth="1"/>
    <col min="10" max="11" width="9.625" style="84" customWidth="1"/>
    <col min="12" max="24" width="9.625" style="72" customWidth="1"/>
    <col min="25" max="16384" width="7.25" style="72"/>
  </cols>
  <sheetData>
    <row r="1" spans="1:24" s="39" customFormat="1" ht="21">
      <c r="A1" s="138" t="s">
        <v>197</v>
      </c>
      <c r="B1" s="41"/>
    </row>
    <row r="2" spans="1:24" s="39" customFormat="1" ht="25.5" customHeight="1">
      <c r="A2" s="42" t="s">
        <v>16</v>
      </c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24" s="45" customFormat="1" ht="25.5" customHeight="1">
      <c r="A3" s="281" t="s">
        <v>17</v>
      </c>
      <c r="B3" s="282"/>
      <c r="C3" s="286" t="s">
        <v>18</v>
      </c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7" t="s">
        <v>19</v>
      </c>
      <c r="O3" s="286"/>
      <c r="P3" s="286"/>
      <c r="Q3" s="286"/>
      <c r="R3" s="286"/>
      <c r="S3" s="286"/>
      <c r="T3" s="286"/>
      <c r="U3" s="286"/>
      <c r="V3" s="286"/>
      <c r="W3" s="286"/>
      <c r="X3" s="286"/>
    </row>
    <row r="4" spans="1:24" s="45" customFormat="1" ht="29.25" customHeight="1">
      <c r="A4" s="283"/>
      <c r="B4" s="284"/>
      <c r="C4" s="288" t="s">
        <v>20</v>
      </c>
      <c r="D4" s="289"/>
      <c r="E4" s="289"/>
      <c r="F4" s="290" t="s">
        <v>202</v>
      </c>
      <c r="G4" s="248"/>
      <c r="H4" s="249" t="s">
        <v>72</v>
      </c>
      <c r="I4" s="250"/>
      <c r="J4" s="251" t="s">
        <v>73</v>
      </c>
      <c r="K4" s="252"/>
      <c r="L4" s="279" t="s">
        <v>21</v>
      </c>
      <c r="M4" s="280"/>
      <c r="N4" s="289" t="s">
        <v>20</v>
      </c>
      <c r="O4" s="289"/>
      <c r="P4" s="289"/>
      <c r="Q4" s="290" t="s">
        <v>202</v>
      </c>
      <c r="R4" s="248"/>
      <c r="S4" s="249" t="s">
        <v>72</v>
      </c>
      <c r="T4" s="250"/>
      <c r="U4" s="251" t="s">
        <v>73</v>
      </c>
      <c r="V4" s="252"/>
      <c r="W4" s="279" t="s">
        <v>21</v>
      </c>
      <c r="X4" s="280"/>
    </row>
    <row r="5" spans="1:24" s="45" customFormat="1" ht="30" customHeight="1">
      <c r="A5" s="280"/>
      <c r="B5" s="285"/>
      <c r="C5" s="46" t="s">
        <v>22</v>
      </c>
      <c r="D5" s="47" t="s">
        <v>23</v>
      </c>
      <c r="E5" s="47" t="s">
        <v>24</v>
      </c>
      <c r="F5" s="48" t="s">
        <v>23</v>
      </c>
      <c r="G5" s="48" t="s">
        <v>24</v>
      </c>
      <c r="H5" s="48" t="s">
        <v>23</v>
      </c>
      <c r="I5" s="48" t="s">
        <v>24</v>
      </c>
      <c r="J5" s="48" t="s">
        <v>23</v>
      </c>
      <c r="K5" s="48" t="s">
        <v>24</v>
      </c>
      <c r="L5" s="49" t="s">
        <v>23</v>
      </c>
      <c r="M5" s="48" t="s">
        <v>24</v>
      </c>
      <c r="N5" s="46" t="s">
        <v>22</v>
      </c>
      <c r="O5" s="47" t="s">
        <v>23</v>
      </c>
      <c r="P5" s="47" t="s">
        <v>24</v>
      </c>
      <c r="Q5" s="48" t="s">
        <v>23</v>
      </c>
      <c r="R5" s="48" t="s">
        <v>24</v>
      </c>
      <c r="S5" s="48" t="s">
        <v>23</v>
      </c>
      <c r="T5" s="48" t="s">
        <v>24</v>
      </c>
      <c r="U5" s="48" t="s">
        <v>23</v>
      </c>
      <c r="V5" s="48" t="s">
        <v>24</v>
      </c>
      <c r="W5" s="49" t="s">
        <v>23</v>
      </c>
      <c r="X5" s="50" t="s">
        <v>24</v>
      </c>
    </row>
    <row r="6" spans="1:24" s="60" customFormat="1" ht="0.2" customHeight="1">
      <c r="A6" s="51"/>
      <c r="B6" s="52"/>
      <c r="C6" s="53"/>
      <c r="D6" s="54"/>
      <c r="E6" s="55"/>
      <c r="F6" s="55"/>
      <c r="G6" s="56"/>
      <c r="H6" s="56"/>
      <c r="I6" s="56"/>
      <c r="J6" s="57"/>
      <c r="K6" s="57"/>
      <c r="L6" s="58"/>
      <c r="M6" s="59"/>
      <c r="N6" s="54"/>
      <c r="O6" s="54"/>
      <c r="P6" s="55"/>
      <c r="Q6" s="55"/>
      <c r="R6" s="56"/>
      <c r="S6" s="56"/>
      <c r="T6" s="56"/>
      <c r="U6" s="57"/>
      <c r="V6" s="57"/>
      <c r="W6" s="58"/>
      <c r="X6" s="59"/>
    </row>
    <row r="7" spans="1:24" s="66" customFormat="1" ht="20.100000000000001" customHeight="1">
      <c r="A7" s="61" t="s">
        <v>25</v>
      </c>
      <c r="B7" s="62" t="s">
        <v>26</v>
      </c>
      <c r="C7" s="63">
        <v>16761</v>
      </c>
      <c r="D7" s="64">
        <v>9199</v>
      </c>
      <c r="E7" s="64">
        <v>7562</v>
      </c>
      <c r="F7" s="64">
        <v>6473</v>
      </c>
      <c r="G7" s="64">
        <v>4503</v>
      </c>
      <c r="H7" s="64">
        <v>1723</v>
      </c>
      <c r="I7" s="64">
        <v>1461</v>
      </c>
      <c r="J7" s="64">
        <v>1003</v>
      </c>
      <c r="K7" s="64">
        <v>1598</v>
      </c>
      <c r="L7" s="64">
        <v>841</v>
      </c>
      <c r="M7" s="64">
        <v>491</v>
      </c>
      <c r="N7" s="64">
        <v>21390</v>
      </c>
      <c r="O7" s="64">
        <v>11598</v>
      </c>
      <c r="P7" s="64">
        <v>9792</v>
      </c>
      <c r="Q7" s="64">
        <v>7777</v>
      </c>
      <c r="R7" s="64">
        <v>5424</v>
      </c>
      <c r="S7" s="64">
        <v>2255</v>
      </c>
      <c r="T7" s="64">
        <v>1908</v>
      </c>
      <c r="U7" s="65">
        <v>1566</v>
      </c>
      <c r="V7" s="65">
        <v>2460</v>
      </c>
      <c r="W7" s="65">
        <v>1422</v>
      </c>
      <c r="X7" s="65">
        <v>929</v>
      </c>
    </row>
    <row r="8" spans="1:24" ht="20.100000000000001" customHeight="1">
      <c r="A8" s="67" t="s">
        <v>27</v>
      </c>
      <c r="B8" s="68" t="s">
        <v>28</v>
      </c>
      <c r="C8" s="69">
        <v>483</v>
      </c>
      <c r="D8" s="70">
        <v>261</v>
      </c>
      <c r="E8" s="70">
        <v>222</v>
      </c>
      <c r="F8" s="70">
        <v>184</v>
      </c>
      <c r="G8" s="70">
        <v>157</v>
      </c>
      <c r="H8" s="70">
        <v>71</v>
      </c>
      <c r="I8" s="70">
        <v>58</v>
      </c>
      <c r="J8" s="70">
        <v>6</v>
      </c>
      <c r="K8" s="70">
        <v>7</v>
      </c>
      <c r="L8" s="70">
        <v>7</v>
      </c>
      <c r="M8" s="70">
        <v>12</v>
      </c>
      <c r="N8" s="70">
        <v>488</v>
      </c>
      <c r="O8" s="70">
        <v>265</v>
      </c>
      <c r="P8" s="70">
        <v>223</v>
      </c>
      <c r="Q8" s="70">
        <v>186</v>
      </c>
      <c r="R8" s="70">
        <v>158</v>
      </c>
      <c r="S8" s="70">
        <v>73</v>
      </c>
      <c r="T8" s="70">
        <v>58</v>
      </c>
      <c r="U8" s="71">
        <v>6</v>
      </c>
      <c r="V8" s="71">
        <v>7</v>
      </c>
      <c r="W8" s="71">
        <v>7</v>
      </c>
      <c r="X8" s="71">
        <v>12</v>
      </c>
    </row>
    <row r="9" spans="1:24" ht="20.100000000000001" customHeight="1">
      <c r="A9" s="67" t="s">
        <v>29</v>
      </c>
      <c r="B9" s="68" t="s">
        <v>30</v>
      </c>
      <c r="C9" s="69">
        <v>1319</v>
      </c>
      <c r="D9" s="70">
        <v>612</v>
      </c>
      <c r="E9" s="70">
        <v>707</v>
      </c>
      <c r="F9" s="70">
        <v>389</v>
      </c>
      <c r="G9" s="70">
        <v>323</v>
      </c>
      <c r="H9" s="70">
        <v>42</v>
      </c>
      <c r="I9" s="70">
        <v>61</v>
      </c>
      <c r="J9" s="70">
        <v>181</v>
      </c>
      <c r="K9" s="70">
        <v>323</v>
      </c>
      <c r="L9" s="70">
        <v>1</v>
      </c>
      <c r="M9" s="70">
        <v>4</v>
      </c>
      <c r="N9" s="70">
        <v>1961</v>
      </c>
      <c r="O9" s="70">
        <v>892</v>
      </c>
      <c r="P9" s="70">
        <v>1069</v>
      </c>
      <c r="Q9" s="70">
        <v>526</v>
      </c>
      <c r="R9" s="70">
        <v>446</v>
      </c>
      <c r="S9" s="70">
        <v>65</v>
      </c>
      <c r="T9" s="70">
        <v>86</v>
      </c>
      <c r="U9" s="71">
        <v>301</v>
      </c>
      <c r="V9" s="71">
        <v>537</v>
      </c>
      <c r="W9" s="71">
        <v>4</v>
      </c>
      <c r="X9" s="71">
        <v>4</v>
      </c>
    </row>
    <row r="10" spans="1:24" ht="20.100000000000001" customHeight="1">
      <c r="A10" s="67" t="s">
        <v>31</v>
      </c>
      <c r="B10" s="68" t="s">
        <v>32</v>
      </c>
      <c r="C10" s="69">
        <v>948</v>
      </c>
      <c r="D10" s="70">
        <v>601</v>
      </c>
      <c r="E10" s="70">
        <v>347</v>
      </c>
      <c r="F10" s="70">
        <v>464</v>
      </c>
      <c r="G10" s="70">
        <v>276</v>
      </c>
      <c r="H10" s="70">
        <v>137</v>
      </c>
      <c r="I10" s="70">
        <v>71</v>
      </c>
      <c r="J10" s="73">
        <v>0</v>
      </c>
      <c r="K10" s="73">
        <v>0</v>
      </c>
      <c r="L10" s="73">
        <v>0</v>
      </c>
      <c r="M10" s="73">
        <v>0</v>
      </c>
      <c r="N10" s="70">
        <v>994</v>
      </c>
      <c r="O10" s="70">
        <v>637</v>
      </c>
      <c r="P10" s="70">
        <v>357</v>
      </c>
      <c r="Q10" s="70">
        <v>500</v>
      </c>
      <c r="R10" s="70">
        <v>286</v>
      </c>
      <c r="S10" s="70">
        <v>137</v>
      </c>
      <c r="T10" s="70">
        <v>71</v>
      </c>
      <c r="U10" s="74">
        <v>0</v>
      </c>
      <c r="V10" s="73">
        <v>0</v>
      </c>
      <c r="W10" s="73">
        <v>0</v>
      </c>
      <c r="X10" s="73">
        <v>0</v>
      </c>
    </row>
    <row r="11" spans="1:24" ht="20.100000000000001" customHeight="1">
      <c r="A11" s="67" t="s">
        <v>33</v>
      </c>
      <c r="B11" s="68" t="s">
        <v>34</v>
      </c>
      <c r="C11" s="69">
        <v>2813</v>
      </c>
      <c r="D11" s="70">
        <v>1509</v>
      </c>
      <c r="E11" s="70">
        <v>1304</v>
      </c>
      <c r="F11" s="70">
        <v>1349</v>
      </c>
      <c r="G11" s="70">
        <v>1130</v>
      </c>
      <c r="H11" s="70">
        <v>160</v>
      </c>
      <c r="I11" s="70">
        <v>174</v>
      </c>
      <c r="J11" s="73">
        <v>0</v>
      </c>
      <c r="K11" s="73">
        <v>0</v>
      </c>
      <c r="L11" s="73">
        <v>37</v>
      </c>
      <c r="M11" s="73">
        <v>29</v>
      </c>
      <c r="N11" s="73">
        <v>2813</v>
      </c>
      <c r="O11" s="73">
        <v>1509</v>
      </c>
      <c r="P11" s="73">
        <v>1304</v>
      </c>
      <c r="Q11" s="73">
        <v>1349</v>
      </c>
      <c r="R11" s="73">
        <v>1130</v>
      </c>
      <c r="S11" s="73">
        <v>160</v>
      </c>
      <c r="T11" s="73">
        <v>174</v>
      </c>
      <c r="U11" s="74">
        <v>0</v>
      </c>
      <c r="V11" s="74">
        <v>0</v>
      </c>
      <c r="W11" s="74">
        <v>37</v>
      </c>
      <c r="X11" s="74">
        <v>29</v>
      </c>
    </row>
    <row r="12" spans="1:24" ht="20.100000000000001" customHeight="1">
      <c r="A12" s="67" t="s">
        <v>35</v>
      </c>
      <c r="B12" s="68" t="s">
        <v>36</v>
      </c>
      <c r="C12" s="69">
        <v>1209</v>
      </c>
      <c r="D12" s="70">
        <v>664</v>
      </c>
      <c r="E12" s="70">
        <v>545</v>
      </c>
      <c r="F12" s="70">
        <v>431</v>
      </c>
      <c r="G12" s="70">
        <v>333</v>
      </c>
      <c r="H12" s="70">
        <v>187</v>
      </c>
      <c r="I12" s="70">
        <v>137</v>
      </c>
      <c r="J12" s="70">
        <v>46</v>
      </c>
      <c r="K12" s="70">
        <v>75</v>
      </c>
      <c r="L12" s="73">
        <v>0</v>
      </c>
      <c r="M12" s="70">
        <v>1</v>
      </c>
      <c r="N12" s="70">
        <v>2010</v>
      </c>
      <c r="O12" s="70">
        <v>1088</v>
      </c>
      <c r="P12" s="70">
        <v>922</v>
      </c>
      <c r="Q12" s="70">
        <v>679</v>
      </c>
      <c r="R12" s="70">
        <v>530</v>
      </c>
      <c r="S12" s="70">
        <v>296</v>
      </c>
      <c r="T12" s="70">
        <v>239</v>
      </c>
      <c r="U12" s="71">
        <v>113</v>
      </c>
      <c r="V12" s="71">
        <v>153</v>
      </c>
      <c r="W12" s="71">
        <v>1</v>
      </c>
      <c r="X12" s="71">
        <v>8</v>
      </c>
    </row>
    <row r="13" spans="1:24" ht="20.100000000000001" customHeight="1">
      <c r="A13" s="67" t="s">
        <v>37</v>
      </c>
      <c r="B13" s="68" t="s">
        <v>38</v>
      </c>
      <c r="C13" s="69">
        <v>1388</v>
      </c>
      <c r="D13" s="70">
        <v>773</v>
      </c>
      <c r="E13" s="70">
        <v>615</v>
      </c>
      <c r="F13" s="70">
        <v>580</v>
      </c>
      <c r="G13" s="70">
        <v>467</v>
      </c>
      <c r="H13" s="70">
        <v>188</v>
      </c>
      <c r="I13" s="70">
        <v>145</v>
      </c>
      <c r="J13" s="70">
        <v>5</v>
      </c>
      <c r="K13" s="70">
        <v>3</v>
      </c>
      <c r="L13" s="70">
        <v>12</v>
      </c>
      <c r="M13" s="70">
        <v>9</v>
      </c>
      <c r="N13" s="70">
        <v>1856</v>
      </c>
      <c r="O13" s="70">
        <v>929</v>
      </c>
      <c r="P13" s="70">
        <v>927</v>
      </c>
      <c r="Q13" s="70">
        <v>608</v>
      </c>
      <c r="R13" s="70">
        <v>542</v>
      </c>
      <c r="S13" s="70">
        <v>186</v>
      </c>
      <c r="T13" s="70">
        <v>164</v>
      </c>
      <c r="U13" s="71">
        <v>135</v>
      </c>
      <c r="V13" s="71">
        <v>221</v>
      </c>
      <c r="W13" s="71">
        <v>20</v>
      </c>
      <c r="X13" s="71">
        <v>15</v>
      </c>
    </row>
    <row r="14" spans="1:24" ht="20.100000000000001" customHeight="1">
      <c r="A14" s="75" t="s">
        <v>39</v>
      </c>
      <c r="B14" s="140" t="s">
        <v>40</v>
      </c>
      <c r="C14" s="69">
        <v>674</v>
      </c>
      <c r="D14" s="70">
        <v>357</v>
      </c>
      <c r="E14" s="70">
        <v>317</v>
      </c>
      <c r="F14" s="70">
        <v>206</v>
      </c>
      <c r="G14" s="70">
        <v>138</v>
      </c>
      <c r="H14" s="70">
        <v>77</v>
      </c>
      <c r="I14" s="70">
        <v>68</v>
      </c>
      <c r="J14" s="70">
        <v>74</v>
      </c>
      <c r="K14" s="70">
        <v>111</v>
      </c>
      <c r="L14" s="70">
        <v>77</v>
      </c>
      <c r="M14" s="70">
        <v>57</v>
      </c>
      <c r="N14" s="70">
        <v>1012</v>
      </c>
      <c r="O14" s="70">
        <v>521</v>
      </c>
      <c r="P14" s="70">
        <v>491</v>
      </c>
      <c r="Q14" s="70">
        <v>254</v>
      </c>
      <c r="R14" s="70">
        <v>171</v>
      </c>
      <c r="S14" s="70">
        <v>102</v>
      </c>
      <c r="T14" s="70">
        <v>92</v>
      </c>
      <c r="U14" s="71">
        <v>165</v>
      </c>
      <c r="V14" s="71">
        <v>228</v>
      </c>
      <c r="W14" s="71">
        <v>123</v>
      </c>
      <c r="X14" s="71">
        <v>81</v>
      </c>
    </row>
    <row r="15" spans="1:24" ht="20.100000000000001" customHeight="1">
      <c r="A15" s="75" t="s">
        <v>41</v>
      </c>
      <c r="B15" s="140" t="s">
        <v>42</v>
      </c>
      <c r="C15" s="69">
        <v>166</v>
      </c>
      <c r="D15" s="70">
        <v>93</v>
      </c>
      <c r="E15" s="70">
        <v>73</v>
      </c>
      <c r="F15" s="70">
        <v>60</v>
      </c>
      <c r="G15" s="70">
        <v>46</v>
      </c>
      <c r="H15" s="70">
        <v>22</v>
      </c>
      <c r="I15" s="70">
        <v>17</v>
      </c>
      <c r="J15" s="73">
        <v>11</v>
      </c>
      <c r="K15" s="73">
        <v>10</v>
      </c>
      <c r="L15" s="73">
        <v>5</v>
      </c>
      <c r="M15" s="73">
        <v>4</v>
      </c>
      <c r="N15" s="70">
        <v>208</v>
      </c>
      <c r="O15" s="70">
        <v>122</v>
      </c>
      <c r="P15" s="70">
        <v>86</v>
      </c>
      <c r="Q15" s="70">
        <v>72</v>
      </c>
      <c r="R15" s="70">
        <v>48</v>
      </c>
      <c r="S15" s="70">
        <v>27</v>
      </c>
      <c r="T15" s="70">
        <v>18</v>
      </c>
      <c r="U15" s="74">
        <v>23</v>
      </c>
      <c r="V15" s="74">
        <v>20</v>
      </c>
      <c r="W15" s="71">
        <v>6</v>
      </c>
      <c r="X15" s="71">
        <v>6</v>
      </c>
    </row>
    <row r="16" spans="1:24" ht="20.100000000000001" customHeight="1">
      <c r="A16" s="75" t="s">
        <v>43</v>
      </c>
      <c r="B16" s="140" t="s">
        <v>44</v>
      </c>
      <c r="C16" s="69">
        <v>533</v>
      </c>
      <c r="D16" s="70">
        <v>335</v>
      </c>
      <c r="E16" s="70">
        <v>198</v>
      </c>
      <c r="F16" s="70">
        <v>234</v>
      </c>
      <c r="G16" s="70">
        <v>112</v>
      </c>
      <c r="H16" s="70">
        <v>101</v>
      </c>
      <c r="I16" s="70">
        <v>86</v>
      </c>
      <c r="J16" s="73">
        <v>0</v>
      </c>
      <c r="K16" s="73">
        <v>0</v>
      </c>
      <c r="L16" s="73">
        <v>23</v>
      </c>
      <c r="M16" s="73">
        <v>13</v>
      </c>
      <c r="N16" s="70">
        <v>533</v>
      </c>
      <c r="O16" s="70">
        <v>335</v>
      </c>
      <c r="P16" s="70">
        <v>198</v>
      </c>
      <c r="Q16" s="70">
        <v>234</v>
      </c>
      <c r="R16" s="70">
        <v>112</v>
      </c>
      <c r="S16" s="70">
        <v>101</v>
      </c>
      <c r="T16" s="70">
        <v>86</v>
      </c>
      <c r="U16" s="74">
        <v>0</v>
      </c>
      <c r="V16" s="74">
        <v>0</v>
      </c>
      <c r="W16" s="71">
        <v>23</v>
      </c>
      <c r="X16" s="71">
        <v>13</v>
      </c>
    </row>
    <row r="17" spans="1:24" ht="20.100000000000001" customHeight="1">
      <c r="A17" s="75" t="s">
        <v>45</v>
      </c>
      <c r="B17" s="140" t="s">
        <v>46</v>
      </c>
      <c r="C17" s="69">
        <v>1541</v>
      </c>
      <c r="D17" s="70">
        <v>729</v>
      </c>
      <c r="E17" s="70">
        <v>812</v>
      </c>
      <c r="F17" s="70">
        <v>320</v>
      </c>
      <c r="G17" s="70">
        <v>209</v>
      </c>
      <c r="H17" s="70">
        <v>95</v>
      </c>
      <c r="I17" s="70">
        <v>111</v>
      </c>
      <c r="J17" s="70">
        <v>314</v>
      </c>
      <c r="K17" s="70">
        <v>492</v>
      </c>
      <c r="L17" s="70">
        <v>3</v>
      </c>
      <c r="M17" s="70">
        <v>2</v>
      </c>
      <c r="N17" s="70">
        <v>1554</v>
      </c>
      <c r="O17" s="70">
        <v>757</v>
      </c>
      <c r="P17" s="70">
        <v>797</v>
      </c>
      <c r="Q17" s="70">
        <v>318</v>
      </c>
      <c r="R17" s="70">
        <v>162</v>
      </c>
      <c r="S17" s="70">
        <v>127</v>
      </c>
      <c r="T17" s="70">
        <v>139</v>
      </c>
      <c r="U17" s="71">
        <v>312</v>
      </c>
      <c r="V17" s="71">
        <v>496</v>
      </c>
      <c r="W17" s="71">
        <v>4</v>
      </c>
      <c r="X17" s="71">
        <v>2</v>
      </c>
    </row>
    <row r="18" spans="1:24" ht="20.100000000000001" customHeight="1">
      <c r="A18" s="75" t="s">
        <v>47</v>
      </c>
      <c r="B18" s="140" t="s">
        <v>48</v>
      </c>
      <c r="C18" s="69">
        <v>803</v>
      </c>
      <c r="D18" s="70">
        <v>495</v>
      </c>
      <c r="E18" s="70">
        <v>308</v>
      </c>
      <c r="F18" s="70">
        <v>358</v>
      </c>
      <c r="G18" s="70">
        <v>194</v>
      </c>
      <c r="H18" s="70">
        <v>137</v>
      </c>
      <c r="I18" s="70">
        <v>114</v>
      </c>
      <c r="J18" s="73">
        <v>0</v>
      </c>
      <c r="K18" s="73">
        <v>0</v>
      </c>
      <c r="L18" s="73">
        <v>73</v>
      </c>
      <c r="M18" s="73">
        <v>40</v>
      </c>
      <c r="N18" s="70">
        <v>947</v>
      </c>
      <c r="O18" s="70">
        <v>502</v>
      </c>
      <c r="P18" s="70">
        <v>445</v>
      </c>
      <c r="Q18" s="70">
        <v>302</v>
      </c>
      <c r="R18" s="70">
        <v>269</v>
      </c>
      <c r="S18" s="70">
        <v>186</v>
      </c>
      <c r="T18" s="70">
        <v>170</v>
      </c>
      <c r="U18" s="74">
        <v>14</v>
      </c>
      <c r="V18" s="74">
        <v>6</v>
      </c>
      <c r="W18" s="71">
        <v>90</v>
      </c>
      <c r="X18" s="71">
        <v>54</v>
      </c>
    </row>
    <row r="19" spans="1:24" ht="20.100000000000001" customHeight="1">
      <c r="A19" s="75" t="s">
        <v>49</v>
      </c>
      <c r="B19" s="140" t="s">
        <v>50</v>
      </c>
      <c r="C19" s="69">
        <v>397</v>
      </c>
      <c r="D19" s="70">
        <v>178</v>
      </c>
      <c r="E19" s="70">
        <v>219</v>
      </c>
      <c r="F19" s="70">
        <v>107</v>
      </c>
      <c r="G19" s="70">
        <v>78</v>
      </c>
      <c r="H19" s="70">
        <v>9</v>
      </c>
      <c r="I19" s="70">
        <v>6</v>
      </c>
      <c r="J19" s="70">
        <v>62</v>
      </c>
      <c r="K19" s="70">
        <v>135</v>
      </c>
      <c r="L19" s="73">
        <v>0</v>
      </c>
      <c r="M19" s="73">
        <v>0</v>
      </c>
      <c r="N19" s="70">
        <v>994</v>
      </c>
      <c r="O19" s="70">
        <v>461</v>
      </c>
      <c r="P19" s="70">
        <v>533</v>
      </c>
      <c r="Q19" s="70">
        <v>259</v>
      </c>
      <c r="R19" s="70">
        <v>187</v>
      </c>
      <c r="S19" s="70">
        <v>21</v>
      </c>
      <c r="T19" s="70">
        <v>17</v>
      </c>
      <c r="U19" s="71">
        <v>181</v>
      </c>
      <c r="V19" s="71">
        <v>329</v>
      </c>
      <c r="W19" s="74">
        <v>0</v>
      </c>
      <c r="X19" s="74">
        <v>0</v>
      </c>
    </row>
    <row r="20" spans="1:24" ht="20.100000000000001" customHeight="1">
      <c r="A20" s="75" t="s">
        <v>51</v>
      </c>
      <c r="B20" s="140" t="s">
        <v>52</v>
      </c>
      <c r="C20" s="69">
        <v>379</v>
      </c>
      <c r="D20" s="70">
        <v>187</v>
      </c>
      <c r="E20" s="70">
        <v>192</v>
      </c>
      <c r="F20" s="70">
        <v>161</v>
      </c>
      <c r="G20" s="70">
        <v>140</v>
      </c>
      <c r="H20" s="70">
        <v>26</v>
      </c>
      <c r="I20" s="70">
        <v>52</v>
      </c>
      <c r="J20" s="73">
        <v>0</v>
      </c>
      <c r="K20" s="73">
        <v>0</v>
      </c>
      <c r="L20" s="73">
        <v>0</v>
      </c>
      <c r="M20" s="73">
        <v>0</v>
      </c>
      <c r="N20" s="70">
        <v>504</v>
      </c>
      <c r="O20" s="70">
        <v>254</v>
      </c>
      <c r="P20" s="70">
        <v>250</v>
      </c>
      <c r="Q20" s="70">
        <v>213</v>
      </c>
      <c r="R20" s="70">
        <v>184</v>
      </c>
      <c r="S20" s="70">
        <v>41</v>
      </c>
      <c r="T20" s="70">
        <v>66</v>
      </c>
      <c r="U20" s="74">
        <v>0</v>
      </c>
      <c r="V20" s="74">
        <v>0</v>
      </c>
      <c r="W20" s="73">
        <v>0</v>
      </c>
      <c r="X20" s="73">
        <v>0</v>
      </c>
    </row>
    <row r="21" spans="1:24" ht="20.100000000000001" customHeight="1">
      <c r="A21" s="75" t="s">
        <v>53</v>
      </c>
      <c r="B21" s="140" t="s">
        <v>54</v>
      </c>
      <c r="C21" s="69">
        <v>1459</v>
      </c>
      <c r="D21" s="70">
        <v>948</v>
      </c>
      <c r="E21" s="70">
        <v>511</v>
      </c>
      <c r="F21" s="70">
        <v>783</v>
      </c>
      <c r="G21" s="70">
        <v>388</v>
      </c>
      <c r="H21" s="70">
        <v>165</v>
      </c>
      <c r="I21" s="70">
        <v>123</v>
      </c>
      <c r="J21" s="73">
        <v>0</v>
      </c>
      <c r="K21" s="73">
        <v>0</v>
      </c>
      <c r="L21" s="73">
        <v>231</v>
      </c>
      <c r="M21" s="73">
        <v>126</v>
      </c>
      <c r="N21" s="70">
        <v>1906</v>
      </c>
      <c r="O21" s="70">
        <v>1226</v>
      </c>
      <c r="P21" s="70">
        <v>680</v>
      </c>
      <c r="Q21" s="70">
        <v>982</v>
      </c>
      <c r="R21" s="70">
        <v>497</v>
      </c>
      <c r="S21" s="70">
        <v>244</v>
      </c>
      <c r="T21" s="70">
        <v>183</v>
      </c>
      <c r="U21" s="74">
        <v>0</v>
      </c>
      <c r="V21" s="74">
        <v>0</v>
      </c>
      <c r="W21" s="71">
        <v>243</v>
      </c>
      <c r="X21" s="71">
        <v>141</v>
      </c>
    </row>
    <row r="22" spans="1:24" ht="20.100000000000001" customHeight="1">
      <c r="A22" s="75" t="s">
        <v>55</v>
      </c>
      <c r="B22" s="140" t="s">
        <v>56</v>
      </c>
      <c r="C22" s="69">
        <v>867</v>
      </c>
      <c r="D22" s="70">
        <v>424</v>
      </c>
      <c r="E22" s="70">
        <v>443</v>
      </c>
      <c r="F22" s="70">
        <v>152</v>
      </c>
      <c r="G22" s="70">
        <v>93</v>
      </c>
      <c r="H22" s="70">
        <v>48</v>
      </c>
      <c r="I22" s="70">
        <v>38</v>
      </c>
      <c r="J22" s="70">
        <v>224</v>
      </c>
      <c r="K22" s="70">
        <v>312</v>
      </c>
      <c r="L22" s="70">
        <v>59</v>
      </c>
      <c r="M22" s="70">
        <v>28</v>
      </c>
      <c r="N22" s="70">
        <v>1509</v>
      </c>
      <c r="O22" s="70">
        <v>874</v>
      </c>
      <c r="P22" s="70">
        <v>635</v>
      </c>
      <c r="Q22" s="70">
        <v>553</v>
      </c>
      <c r="R22" s="70">
        <v>246</v>
      </c>
      <c r="S22" s="70">
        <v>97</v>
      </c>
      <c r="T22" s="70">
        <v>77</v>
      </c>
      <c r="U22" s="71">
        <v>224</v>
      </c>
      <c r="V22" s="71">
        <v>312</v>
      </c>
      <c r="W22" s="71">
        <v>503</v>
      </c>
      <c r="X22" s="71">
        <v>361</v>
      </c>
    </row>
    <row r="23" spans="1:24" ht="20.100000000000001" customHeight="1">
      <c r="A23" s="75" t="s">
        <v>57</v>
      </c>
      <c r="B23" s="140" t="s">
        <v>58</v>
      </c>
      <c r="C23" s="69">
        <v>889</v>
      </c>
      <c r="D23" s="70">
        <v>591</v>
      </c>
      <c r="E23" s="70">
        <v>298</v>
      </c>
      <c r="F23" s="70">
        <v>431</v>
      </c>
      <c r="G23" s="70">
        <v>200</v>
      </c>
      <c r="H23" s="70">
        <v>151</v>
      </c>
      <c r="I23" s="70">
        <v>92</v>
      </c>
      <c r="J23" s="70">
        <v>9</v>
      </c>
      <c r="K23" s="70">
        <v>6</v>
      </c>
      <c r="L23" s="70">
        <v>310</v>
      </c>
      <c r="M23" s="70">
        <v>162</v>
      </c>
      <c r="N23" s="70">
        <v>1277</v>
      </c>
      <c r="O23" s="70">
        <v>855</v>
      </c>
      <c r="P23" s="70">
        <v>422</v>
      </c>
      <c r="Q23" s="70">
        <v>559</v>
      </c>
      <c r="R23" s="70">
        <v>277</v>
      </c>
      <c r="S23" s="70">
        <v>283</v>
      </c>
      <c r="T23" s="70">
        <v>128</v>
      </c>
      <c r="U23" s="71">
        <v>13</v>
      </c>
      <c r="V23" s="71">
        <v>17</v>
      </c>
      <c r="W23" s="71">
        <v>358</v>
      </c>
      <c r="X23" s="71">
        <v>199</v>
      </c>
    </row>
    <row r="24" spans="1:24" ht="20.100000000000001" customHeight="1">
      <c r="A24" s="75" t="s">
        <v>59</v>
      </c>
      <c r="B24" s="140" t="s">
        <v>60</v>
      </c>
      <c r="C24" s="69">
        <v>49</v>
      </c>
      <c r="D24" s="70">
        <v>28</v>
      </c>
      <c r="E24" s="70">
        <v>21</v>
      </c>
      <c r="F24" s="70">
        <v>25</v>
      </c>
      <c r="G24" s="70">
        <v>16</v>
      </c>
      <c r="H24" s="70">
        <v>1</v>
      </c>
      <c r="I24" s="70">
        <v>2</v>
      </c>
      <c r="J24" s="70">
        <v>2</v>
      </c>
      <c r="K24" s="70">
        <v>3</v>
      </c>
      <c r="L24" s="73">
        <v>0</v>
      </c>
      <c r="M24" s="73">
        <v>0</v>
      </c>
      <c r="N24" s="70">
        <v>66</v>
      </c>
      <c r="O24" s="70">
        <v>42</v>
      </c>
      <c r="P24" s="70">
        <v>24</v>
      </c>
      <c r="Q24" s="70">
        <v>38</v>
      </c>
      <c r="R24" s="70">
        <v>18</v>
      </c>
      <c r="S24" s="70">
        <v>2</v>
      </c>
      <c r="T24" s="70">
        <v>3</v>
      </c>
      <c r="U24" s="71">
        <v>2</v>
      </c>
      <c r="V24" s="71">
        <v>3</v>
      </c>
      <c r="W24" s="74">
        <v>0</v>
      </c>
      <c r="X24" s="74">
        <v>0</v>
      </c>
    </row>
    <row r="25" spans="1:24" ht="20.100000000000001" customHeight="1">
      <c r="A25" s="75" t="s">
        <v>61</v>
      </c>
      <c r="B25" s="140" t="s">
        <v>62</v>
      </c>
      <c r="C25" s="69">
        <v>446</v>
      </c>
      <c r="D25" s="70">
        <v>215</v>
      </c>
      <c r="E25" s="70">
        <v>231</v>
      </c>
      <c r="F25" s="70">
        <v>109</v>
      </c>
      <c r="G25" s="70">
        <v>83</v>
      </c>
      <c r="H25" s="70">
        <v>55</v>
      </c>
      <c r="I25" s="70">
        <v>59</v>
      </c>
      <c r="J25" s="70">
        <v>51</v>
      </c>
      <c r="K25" s="70">
        <v>89</v>
      </c>
      <c r="L25" s="70">
        <v>3</v>
      </c>
      <c r="M25" s="70">
        <v>1</v>
      </c>
      <c r="N25" s="70">
        <v>446</v>
      </c>
      <c r="O25" s="70">
        <v>215</v>
      </c>
      <c r="P25" s="70">
        <v>231</v>
      </c>
      <c r="Q25" s="70">
        <v>109</v>
      </c>
      <c r="R25" s="70">
        <v>83</v>
      </c>
      <c r="S25" s="70">
        <v>55</v>
      </c>
      <c r="T25" s="70">
        <v>59</v>
      </c>
      <c r="U25" s="71">
        <v>51</v>
      </c>
      <c r="V25" s="71">
        <v>89</v>
      </c>
      <c r="W25" s="71">
        <v>3</v>
      </c>
      <c r="X25" s="71">
        <v>1</v>
      </c>
    </row>
    <row r="26" spans="1:24" ht="20.100000000000001" customHeight="1">
      <c r="A26" s="75" t="s">
        <v>63</v>
      </c>
      <c r="B26" s="140" t="s">
        <v>64</v>
      </c>
      <c r="C26" s="69">
        <v>189</v>
      </c>
      <c r="D26" s="70">
        <v>92</v>
      </c>
      <c r="E26" s="70">
        <v>97</v>
      </c>
      <c r="F26" s="70">
        <v>48</v>
      </c>
      <c r="G26" s="70">
        <v>40</v>
      </c>
      <c r="H26" s="70">
        <v>26</v>
      </c>
      <c r="I26" s="70">
        <v>25</v>
      </c>
      <c r="J26" s="70">
        <v>18</v>
      </c>
      <c r="K26" s="70">
        <v>32</v>
      </c>
      <c r="L26" s="73">
        <v>0</v>
      </c>
      <c r="M26" s="70">
        <v>3</v>
      </c>
      <c r="N26" s="70">
        <v>224</v>
      </c>
      <c r="O26" s="70">
        <v>113</v>
      </c>
      <c r="P26" s="70">
        <v>111</v>
      </c>
      <c r="Q26" s="70">
        <v>56</v>
      </c>
      <c r="R26" s="70">
        <v>44</v>
      </c>
      <c r="S26" s="70">
        <v>31</v>
      </c>
      <c r="T26" s="70">
        <v>25</v>
      </c>
      <c r="U26" s="71">
        <v>26</v>
      </c>
      <c r="V26" s="71">
        <v>42</v>
      </c>
      <c r="W26" s="74">
        <v>0</v>
      </c>
      <c r="X26" s="71">
        <v>3</v>
      </c>
    </row>
    <row r="27" spans="1:24" ht="20.100000000000001" customHeight="1">
      <c r="A27" s="75" t="s">
        <v>65</v>
      </c>
      <c r="B27" s="140" t="s">
        <v>66</v>
      </c>
      <c r="C27" s="69">
        <v>209</v>
      </c>
      <c r="D27" s="70">
        <v>107</v>
      </c>
      <c r="E27" s="70">
        <v>102</v>
      </c>
      <c r="F27" s="70">
        <v>82</v>
      </c>
      <c r="G27" s="70">
        <v>80</v>
      </c>
      <c r="H27" s="70">
        <v>25</v>
      </c>
      <c r="I27" s="70">
        <v>22</v>
      </c>
      <c r="J27" s="73">
        <v>0</v>
      </c>
      <c r="K27" s="73">
        <v>0</v>
      </c>
      <c r="L27" s="73">
        <v>0</v>
      </c>
      <c r="M27" s="73">
        <v>0</v>
      </c>
      <c r="N27" s="70">
        <v>268</v>
      </c>
      <c r="O27" s="70">
        <v>140</v>
      </c>
      <c r="P27" s="70">
        <v>128</v>
      </c>
      <c r="Q27" s="70">
        <v>84</v>
      </c>
      <c r="R27" s="70">
        <v>45</v>
      </c>
      <c r="S27" s="70">
        <v>56</v>
      </c>
      <c r="T27" s="70">
        <v>83</v>
      </c>
      <c r="U27" s="74">
        <v>0</v>
      </c>
      <c r="V27" s="73">
        <v>0</v>
      </c>
      <c r="W27" s="74">
        <v>0</v>
      </c>
      <c r="X27" s="74">
        <v>0</v>
      </c>
    </row>
    <row r="28" spans="1:24" ht="20.100000000000001" customHeight="1">
      <c r="A28" s="75" t="s">
        <v>67</v>
      </c>
      <c r="B28" s="140" t="s">
        <v>68</v>
      </c>
      <c r="C28" s="76">
        <v>0</v>
      </c>
      <c r="D28" s="73">
        <v>0</v>
      </c>
      <c r="E28" s="73">
        <v>0</v>
      </c>
      <c r="F28" s="73">
        <v>0</v>
      </c>
      <c r="G28" s="73">
        <v>0</v>
      </c>
      <c r="H28" s="73">
        <v>0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4">
        <v>0</v>
      </c>
      <c r="V28" s="74">
        <v>0</v>
      </c>
      <c r="W28" s="74">
        <v>0</v>
      </c>
      <c r="X28" s="74">
        <v>0</v>
      </c>
    </row>
    <row r="29" spans="1:24" ht="20.100000000000001" customHeight="1">
      <c r="A29" s="77" t="s">
        <v>69</v>
      </c>
      <c r="B29" s="141" t="s">
        <v>70</v>
      </c>
      <c r="C29" s="78">
        <v>0</v>
      </c>
      <c r="D29" s="79">
        <v>0</v>
      </c>
      <c r="E29" s="79">
        <v>0</v>
      </c>
      <c r="F29" s="79">
        <v>0</v>
      </c>
      <c r="G29" s="79">
        <v>0</v>
      </c>
      <c r="H29" s="79">
        <v>0</v>
      </c>
      <c r="I29" s="79">
        <v>0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0</v>
      </c>
      <c r="Q29" s="79">
        <v>0</v>
      </c>
      <c r="R29" s="79">
        <v>0</v>
      </c>
      <c r="S29" s="79">
        <v>0</v>
      </c>
      <c r="T29" s="79">
        <v>0</v>
      </c>
      <c r="U29" s="80">
        <v>0</v>
      </c>
      <c r="V29" s="80">
        <v>0</v>
      </c>
      <c r="W29" s="80">
        <v>0</v>
      </c>
      <c r="X29" s="80">
        <v>0</v>
      </c>
    </row>
    <row r="30" spans="1:24" ht="18" customHeight="1">
      <c r="A30" s="37" t="s">
        <v>203</v>
      </c>
      <c r="C30" s="81"/>
      <c r="D30" s="81"/>
      <c r="E30" s="81"/>
      <c r="F30" s="81"/>
      <c r="G30" s="81"/>
      <c r="H30" s="81"/>
      <c r="I30" s="81"/>
      <c r="J30" s="82"/>
      <c r="K30" s="82"/>
      <c r="L30" s="81"/>
      <c r="M30" s="81"/>
    </row>
    <row r="31" spans="1:24">
      <c r="A31" s="39" t="s">
        <v>14</v>
      </c>
    </row>
    <row r="32" spans="1:24">
      <c r="A32" s="39"/>
    </row>
    <row r="33" spans="1:1" s="39" customFormat="1" ht="12.75">
      <c r="A33" s="40" t="s">
        <v>15</v>
      </c>
    </row>
  </sheetData>
  <mergeCells count="13">
    <mergeCell ref="S4:T4"/>
    <mergeCell ref="U4:V4"/>
    <mergeCell ref="W4:X4"/>
    <mergeCell ref="A3:B5"/>
    <mergeCell ref="C3:M3"/>
    <mergeCell ref="N3:X3"/>
    <mergeCell ref="C4:E4"/>
    <mergeCell ref="F4:G4"/>
    <mergeCell ref="H4:I4"/>
    <mergeCell ref="J4:K4"/>
    <mergeCell ref="L4:M4"/>
    <mergeCell ref="N4:P4"/>
    <mergeCell ref="Q4:R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4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13" width="10" style="39" customWidth="1"/>
    <col min="14" max="16" width="8" style="39" customWidth="1"/>
    <col min="17" max="17" width="10.25" style="39" customWidth="1"/>
    <col min="18" max="20" width="8" style="39" customWidth="1"/>
    <col min="21" max="16384" width="9.375" style="39"/>
  </cols>
  <sheetData>
    <row r="1" spans="1:35" ht="21">
      <c r="A1" s="1" t="s">
        <v>196</v>
      </c>
      <c r="B1" s="85"/>
    </row>
    <row r="2" spans="1:35" ht="26.25" customHeight="1">
      <c r="A2" s="42" t="s">
        <v>71</v>
      </c>
      <c r="B2" s="15"/>
    </row>
    <row r="3" spans="1:35" s="24" customFormat="1" ht="12.75" customHeight="1">
      <c r="A3" s="240" t="s">
        <v>280</v>
      </c>
      <c r="B3" s="234"/>
      <c r="C3" s="237" t="s">
        <v>246</v>
      </c>
      <c r="D3" s="238"/>
      <c r="E3" s="238"/>
      <c r="F3" s="238"/>
      <c r="G3" s="238"/>
      <c r="H3" s="238"/>
      <c r="I3" s="238"/>
      <c r="J3" s="238"/>
      <c r="K3" s="239"/>
      <c r="L3" s="240" t="s">
        <v>267</v>
      </c>
      <c r="M3" s="240"/>
    </row>
    <row r="4" spans="1:35" s="25" customFormat="1" ht="26.25" customHeight="1">
      <c r="A4" s="241"/>
      <c r="B4" s="235"/>
      <c r="C4" s="243" t="s">
        <v>268</v>
      </c>
      <c r="D4" s="244"/>
      <c r="E4" s="244"/>
      <c r="F4" s="244"/>
      <c r="G4" s="244"/>
      <c r="H4" s="244"/>
      <c r="I4" s="244"/>
      <c r="J4" s="244"/>
      <c r="K4" s="245"/>
      <c r="L4" s="241"/>
      <c r="M4" s="241"/>
    </row>
    <row r="5" spans="1:35" s="26" customFormat="1" ht="26.25" customHeight="1">
      <c r="A5" s="241"/>
      <c r="B5" s="235"/>
      <c r="C5" s="237" t="s">
        <v>248</v>
      </c>
      <c r="D5" s="238"/>
      <c r="E5" s="246"/>
      <c r="F5" s="243" t="s">
        <v>270</v>
      </c>
      <c r="G5" s="248"/>
      <c r="H5" s="249" t="s">
        <v>72</v>
      </c>
      <c r="I5" s="250"/>
      <c r="J5" s="251" t="s">
        <v>73</v>
      </c>
      <c r="K5" s="252"/>
      <c r="L5" s="242"/>
      <c r="M5" s="242"/>
    </row>
    <row r="6" spans="1:35" s="24" customFormat="1" ht="13.5" customHeight="1">
      <c r="A6" s="241"/>
      <c r="B6" s="235"/>
      <c r="C6" s="291" t="s">
        <v>261</v>
      </c>
      <c r="D6" s="291" t="s">
        <v>262</v>
      </c>
      <c r="E6" s="291" t="s">
        <v>263</v>
      </c>
      <c r="F6" s="291" t="s">
        <v>262</v>
      </c>
      <c r="G6" s="291" t="s">
        <v>263</v>
      </c>
      <c r="H6" s="291" t="s">
        <v>262</v>
      </c>
      <c r="I6" s="291" t="s">
        <v>263</v>
      </c>
      <c r="J6" s="291" t="s">
        <v>262</v>
      </c>
      <c r="K6" s="293" t="s">
        <v>263</v>
      </c>
      <c r="L6" s="291" t="s">
        <v>262</v>
      </c>
      <c r="M6" s="295" t="s">
        <v>263</v>
      </c>
    </row>
    <row r="7" spans="1:35" s="24" customFormat="1" ht="18" customHeight="1">
      <c r="A7" s="242"/>
      <c r="B7" s="236"/>
      <c r="C7" s="292"/>
      <c r="D7" s="292"/>
      <c r="E7" s="292"/>
      <c r="F7" s="292"/>
      <c r="G7" s="292"/>
      <c r="H7" s="292"/>
      <c r="I7" s="292"/>
      <c r="J7" s="292"/>
      <c r="K7" s="294"/>
      <c r="L7" s="292"/>
      <c r="M7" s="296"/>
    </row>
    <row r="8" spans="1:35" s="90" customFormat="1" ht="14.1" customHeight="1">
      <c r="A8" s="188" t="s">
        <v>281</v>
      </c>
      <c r="B8" s="62" t="s">
        <v>26</v>
      </c>
      <c r="C8" s="87">
        <v>16171</v>
      </c>
      <c r="D8" s="87">
        <v>8717</v>
      </c>
      <c r="E8" s="87">
        <v>7454</v>
      </c>
      <c r="F8" s="87">
        <v>6060</v>
      </c>
      <c r="G8" s="87">
        <v>4341</v>
      </c>
      <c r="H8" s="87">
        <v>1531</v>
      </c>
      <c r="I8" s="87">
        <v>1426</v>
      </c>
      <c r="J8" s="87">
        <v>1126</v>
      </c>
      <c r="K8" s="87">
        <v>1687</v>
      </c>
      <c r="L8" s="87">
        <v>1302</v>
      </c>
      <c r="M8" s="87">
        <v>892</v>
      </c>
      <c r="N8" s="88"/>
      <c r="O8" s="88"/>
      <c r="P8" s="88"/>
      <c r="Q8" s="88"/>
      <c r="R8" s="88"/>
      <c r="S8" s="88"/>
      <c r="T8" s="88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</row>
    <row r="9" spans="1:35" s="95" customFormat="1" ht="14.1" customHeight="1">
      <c r="A9" s="91" t="s">
        <v>75</v>
      </c>
      <c r="B9" s="68" t="s">
        <v>28</v>
      </c>
      <c r="C9" s="92">
        <v>433</v>
      </c>
      <c r="D9" s="92">
        <v>213</v>
      </c>
      <c r="E9" s="92">
        <v>220</v>
      </c>
      <c r="F9" s="92">
        <v>49</v>
      </c>
      <c r="G9" s="92">
        <v>47</v>
      </c>
      <c r="H9" s="92">
        <v>46</v>
      </c>
      <c r="I9" s="92">
        <v>83</v>
      </c>
      <c r="J9" s="92">
        <v>118</v>
      </c>
      <c r="K9" s="92">
        <v>90</v>
      </c>
      <c r="L9" s="92">
        <v>6</v>
      </c>
      <c r="M9" s="92">
        <v>12</v>
      </c>
      <c r="N9" s="93"/>
      <c r="O9" s="93"/>
      <c r="P9" s="93"/>
      <c r="Q9" s="93"/>
      <c r="R9" s="93"/>
      <c r="S9" s="93"/>
      <c r="T9" s="93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5" s="95" customFormat="1" ht="14.1" customHeight="1">
      <c r="A10" s="91" t="s">
        <v>76</v>
      </c>
      <c r="B10" s="68" t="s">
        <v>30</v>
      </c>
      <c r="C10" s="92">
        <v>705</v>
      </c>
      <c r="D10" s="92">
        <v>357</v>
      </c>
      <c r="E10" s="92">
        <v>348</v>
      </c>
      <c r="F10" s="92">
        <v>328</v>
      </c>
      <c r="G10" s="92">
        <v>293</v>
      </c>
      <c r="H10" s="92">
        <v>16</v>
      </c>
      <c r="I10" s="92">
        <v>25</v>
      </c>
      <c r="J10" s="92">
        <v>13</v>
      </c>
      <c r="K10" s="92">
        <v>30</v>
      </c>
      <c r="L10" s="92">
        <v>3</v>
      </c>
      <c r="M10" s="92">
        <v>3</v>
      </c>
      <c r="N10" s="93"/>
      <c r="O10" s="93"/>
      <c r="P10" s="93"/>
      <c r="Q10" s="93"/>
      <c r="R10" s="93"/>
      <c r="S10" s="93"/>
      <c r="T10" s="93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</row>
    <row r="11" spans="1:35" s="95" customFormat="1" ht="14.1" customHeight="1">
      <c r="A11" s="91" t="s">
        <v>77</v>
      </c>
      <c r="B11" s="68" t="s">
        <v>32</v>
      </c>
      <c r="C11" s="92">
        <v>905</v>
      </c>
      <c r="D11" s="92">
        <v>567</v>
      </c>
      <c r="E11" s="92">
        <v>338</v>
      </c>
      <c r="F11" s="92">
        <v>433</v>
      </c>
      <c r="G11" s="92">
        <v>257</v>
      </c>
      <c r="H11" s="92">
        <v>134</v>
      </c>
      <c r="I11" s="92">
        <v>81</v>
      </c>
      <c r="J11" s="92">
        <v>0</v>
      </c>
      <c r="K11" s="92">
        <v>0</v>
      </c>
      <c r="L11" s="92">
        <v>67</v>
      </c>
      <c r="M11" s="92">
        <v>41</v>
      </c>
      <c r="N11" s="93"/>
      <c r="O11" s="93"/>
      <c r="P11" s="93"/>
      <c r="Q11" s="93"/>
      <c r="R11" s="93"/>
      <c r="S11" s="93"/>
      <c r="T11" s="93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</row>
    <row r="12" spans="1:35" s="95" customFormat="1" ht="14.1" customHeight="1">
      <c r="A12" s="91" t="s">
        <v>78</v>
      </c>
      <c r="B12" s="68" t="s">
        <v>34</v>
      </c>
      <c r="C12" s="92">
        <v>2538</v>
      </c>
      <c r="D12" s="92">
        <v>1331</v>
      </c>
      <c r="E12" s="92">
        <v>1207</v>
      </c>
      <c r="F12" s="92">
        <v>1167</v>
      </c>
      <c r="G12" s="92">
        <v>1037</v>
      </c>
      <c r="H12" s="92">
        <v>163</v>
      </c>
      <c r="I12" s="92">
        <v>169</v>
      </c>
      <c r="J12" s="92">
        <v>1</v>
      </c>
      <c r="K12" s="92">
        <v>1</v>
      </c>
      <c r="L12" s="92">
        <v>34</v>
      </c>
      <c r="M12" s="92">
        <v>28</v>
      </c>
      <c r="N12" s="93"/>
      <c r="O12" s="93"/>
      <c r="P12" s="93"/>
      <c r="Q12" s="93"/>
      <c r="R12" s="93"/>
      <c r="S12" s="93"/>
      <c r="T12" s="93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</row>
    <row r="13" spans="1:35" s="95" customFormat="1" ht="14.1" customHeight="1">
      <c r="A13" s="91" t="s">
        <v>79</v>
      </c>
      <c r="B13" s="68" t="s">
        <v>36</v>
      </c>
      <c r="C13" s="92">
        <v>1553</v>
      </c>
      <c r="D13" s="92">
        <v>832</v>
      </c>
      <c r="E13" s="92">
        <v>721</v>
      </c>
      <c r="F13" s="92">
        <v>536</v>
      </c>
      <c r="G13" s="92">
        <v>421</v>
      </c>
      <c r="H13" s="92">
        <v>233</v>
      </c>
      <c r="I13" s="92">
        <v>203</v>
      </c>
      <c r="J13" s="92">
        <v>63</v>
      </c>
      <c r="K13" s="92">
        <v>97</v>
      </c>
      <c r="L13" s="92">
        <v>1</v>
      </c>
      <c r="M13" s="92">
        <v>5</v>
      </c>
      <c r="N13" s="93"/>
      <c r="O13" s="93"/>
      <c r="P13" s="93"/>
      <c r="Q13" s="93"/>
      <c r="R13" s="93"/>
      <c r="S13" s="93"/>
      <c r="T13" s="93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</row>
    <row r="14" spans="1:35" s="95" customFormat="1" ht="14.1" customHeight="1">
      <c r="A14" s="91" t="s">
        <v>282</v>
      </c>
      <c r="B14" s="68" t="s">
        <v>38</v>
      </c>
      <c r="C14" s="92">
        <v>1474</v>
      </c>
      <c r="D14" s="92">
        <v>657</v>
      </c>
      <c r="E14" s="92">
        <v>817</v>
      </c>
      <c r="F14" s="92">
        <v>421</v>
      </c>
      <c r="G14" s="92">
        <v>447</v>
      </c>
      <c r="H14" s="92">
        <v>82</v>
      </c>
      <c r="I14" s="92">
        <v>101</v>
      </c>
      <c r="J14" s="92">
        <v>154</v>
      </c>
      <c r="K14" s="92">
        <v>269</v>
      </c>
      <c r="L14" s="92">
        <v>8</v>
      </c>
      <c r="M14" s="92">
        <v>10</v>
      </c>
      <c r="N14" s="93"/>
      <c r="O14" s="93"/>
      <c r="P14" s="93"/>
      <c r="Q14" s="93"/>
      <c r="R14" s="93"/>
      <c r="S14" s="93"/>
      <c r="T14" s="93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</row>
    <row r="15" spans="1:35" ht="14.1" customHeight="1">
      <c r="A15" s="97" t="s">
        <v>81</v>
      </c>
      <c r="B15" s="98" t="s">
        <v>40</v>
      </c>
      <c r="C15" s="92">
        <v>583</v>
      </c>
      <c r="D15" s="92">
        <v>317</v>
      </c>
      <c r="E15" s="92">
        <v>266</v>
      </c>
      <c r="F15" s="92">
        <v>177</v>
      </c>
      <c r="G15" s="92">
        <v>108</v>
      </c>
      <c r="H15" s="92">
        <v>62</v>
      </c>
      <c r="I15" s="92">
        <v>48</v>
      </c>
      <c r="J15" s="92">
        <v>78</v>
      </c>
      <c r="K15" s="92">
        <v>110</v>
      </c>
      <c r="L15" s="92">
        <v>58</v>
      </c>
      <c r="M15" s="92">
        <v>27</v>
      </c>
      <c r="N15" s="92"/>
      <c r="O15" s="92"/>
      <c r="P15" s="92"/>
      <c r="Q15" s="92"/>
      <c r="R15" s="92"/>
      <c r="S15" s="92"/>
      <c r="T15" s="92"/>
    </row>
    <row r="16" spans="1:35" ht="14.1" customHeight="1">
      <c r="A16" s="97" t="s">
        <v>82</v>
      </c>
      <c r="B16" s="98" t="s">
        <v>42</v>
      </c>
      <c r="C16" s="92">
        <v>88</v>
      </c>
      <c r="D16" s="92">
        <v>52</v>
      </c>
      <c r="E16" s="92">
        <v>36</v>
      </c>
      <c r="F16" s="92">
        <v>40</v>
      </c>
      <c r="G16" s="92">
        <v>24</v>
      </c>
      <c r="H16" s="92">
        <v>12</v>
      </c>
      <c r="I16" s="92">
        <v>12</v>
      </c>
      <c r="J16" s="92">
        <v>0</v>
      </c>
      <c r="K16" s="92">
        <v>0</v>
      </c>
      <c r="L16" s="92">
        <v>1</v>
      </c>
      <c r="M16" s="92">
        <v>3</v>
      </c>
      <c r="N16" s="92"/>
      <c r="O16" s="92"/>
      <c r="P16" s="92"/>
      <c r="Q16" s="92"/>
      <c r="R16" s="92"/>
      <c r="S16" s="92"/>
      <c r="T16" s="92"/>
    </row>
    <row r="17" spans="1:20" ht="14.1" customHeight="1">
      <c r="A17" s="97" t="s">
        <v>83</v>
      </c>
      <c r="B17" s="98" t="s">
        <v>44</v>
      </c>
      <c r="C17" s="92">
        <v>450</v>
      </c>
      <c r="D17" s="92">
        <v>282</v>
      </c>
      <c r="E17" s="92">
        <v>168</v>
      </c>
      <c r="F17" s="92">
        <v>191</v>
      </c>
      <c r="G17" s="92">
        <v>102</v>
      </c>
      <c r="H17" s="92">
        <v>91</v>
      </c>
      <c r="I17" s="92">
        <v>66</v>
      </c>
      <c r="J17" s="92">
        <v>0</v>
      </c>
      <c r="K17" s="92">
        <v>0</v>
      </c>
      <c r="L17" s="92">
        <v>23</v>
      </c>
      <c r="M17" s="92">
        <v>13</v>
      </c>
      <c r="N17" s="92"/>
      <c r="O17" s="92"/>
      <c r="P17" s="92"/>
      <c r="Q17" s="92"/>
      <c r="R17" s="92"/>
      <c r="S17" s="92"/>
      <c r="T17" s="92"/>
    </row>
    <row r="18" spans="1:20" ht="14.1" customHeight="1">
      <c r="A18" s="97" t="s">
        <v>84</v>
      </c>
      <c r="B18" s="98" t="s">
        <v>46</v>
      </c>
      <c r="C18" s="92">
        <v>1426</v>
      </c>
      <c r="D18" s="92">
        <v>642</v>
      </c>
      <c r="E18" s="92">
        <v>784</v>
      </c>
      <c r="F18" s="92">
        <v>294</v>
      </c>
      <c r="G18" s="92">
        <v>219</v>
      </c>
      <c r="H18" s="92">
        <v>68</v>
      </c>
      <c r="I18" s="92">
        <v>108</v>
      </c>
      <c r="J18" s="92">
        <v>280</v>
      </c>
      <c r="K18" s="92">
        <v>457</v>
      </c>
      <c r="L18" s="92">
        <v>2</v>
      </c>
      <c r="M18" s="92">
        <v>3</v>
      </c>
      <c r="N18" s="92"/>
      <c r="O18" s="92"/>
      <c r="P18" s="92"/>
      <c r="Q18" s="92"/>
      <c r="R18" s="92"/>
      <c r="S18" s="92"/>
      <c r="T18" s="92"/>
    </row>
    <row r="19" spans="1:20" ht="14.1" customHeight="1">
      <c r="A19" s="97" t="s">
        <v>85</v>
      </c>
      <c r="B19" s="98" t="s">
        <v>48</v>
      </c>
      <c r="C19" s="92">
        <v>697</v>
      </c>
      <c r="D19" s="92">
        <v>410</v>
      </c>
      <c r="E19" s="92">
        <v>287</v>
      </c>
      <c r="F19" s="92">
        <v>299</v>
      </c>
      <c r="G19" s="92">
        <v>178</v>
      </c>
      <c r="H19" s="92">
        <v>110</v>
      </c>
      <c r="I19" s="92">
        <v>109</v>
      </c>
      <c r="J19" s="92">
        <v>1</v>
      </c>
      <c r="K19" s="92">
        <v>0</v>
      </c>
      <c r="L19" s="92">
        <v>69</v>
      </c>
      <c r="M19" s="92">
        <v>36</v>
      </c>
      <c r="N19" s="92"/>
      <c r="O19" s="92"/>
      <c r="P19" s="92"/>
      <c r="Q19" s="92"/>
      <c r="R19" s="92"/>
      <c r="S19" s="92"/>
      <c r="T19" s="92"/>
    </row>
    <row r="20" spans="1:20" ht="14.1" customHeight="1">
      <c r="A20" s="97" t="s">
        <v>86</v>
      </c>
      <c r="B20" s="98" t="s">
        <v>50</v>
      </c>
      <c r="C20" s="92">
        <v>423</v>
      </c>
      <c r="D20" s="92">
        <v>194</v>
      </c>
      <c r="E20" s="92">
        <v>229</v>
      </c>
      <c r="F20" s="92">
        <v>112</v>
      </c>
      <c r="G20" s="92">
        <v>90</v>
      </c>
      <c r="H20" s="92">
        <v>9</v>
      </c>
      <c r="I20" s="92">
        <v>7</v>
      </c>
      <c r="J20" s="92">
        <v>73</v>
      </c>
      <c r="K20" s="92">
        <v>132</v>
      </c>
      <c r="L20" s="92">
        <v>0</v>
      </c>
      <c r="M20" s="92">
        <v>0</v>
      </c>
      <c r="N20" s="92"/>
      <c r="O20" s="92"/>
      <c r="P20" s="92"/>
      <c r="Q20" s="92"/>
      <c r="R20" s="92"/>
      <c r="S20" s="92"/>
      <c r="T20" s="92"/>
    </row>
    <row r="21" spans="1:20" ht="14.1" customHeight="1">
      <c r="A21" s="97" t="s">
        <v>87</v>
      </c>
      <c r="B21" s="98" t="s">
        <v>52</v>
      </c>
      <c r="C21" s="92">
        <v>390</v>
      </c>
      <c r="D21" s="92">
        <v>187</v>
      </c>
      <c r="E21" s="92">
        <v>203</v>
      </c>
      <c r="F21" s="92">
        <v>156</v>
      </c>
      <c r="G21" s="92">
        <v>159</v>
      </c>
      <c r="H21" s="92">
        <v>31</v>
      </c>
      <c r="I21" s="92">
        <v>44</v>
      </c>
      <c r="J21" s="92">
        <v>0</v>
      </c>
      <c r="K21" s="92">
        <v>0</v>
      </c>
      <c r="L21" s="92">
        <v>5</v>
      </c>
      <c r="M21" s="92">
        <v>3</v>
      </c>
      <c r="N21" s="92"/>
      <c r="O21" s="92"/>
      <c r="P21" s="92"/>
      <c r="Q21" s="92"/>
      <c r="R21" s="92"/>
      <c r="S21" s="92"/>
      <c r="T21" s="92"/>
    </row>
    <row r="22" spans="1:20" ht="14.1" customHeight="1">
      <c r="A22" s="97" t="s">
        <v>88</v>
      </c>
      <c r="B22" s="98" t="s">
        <v>54</v>
      </c>
      <c r="C22" s="92">
        <v>1307</v>
      </c>
      <c r="D22" s="92">
        <v>839</v>
      </c>
      <c r="E22" s="92">
        <v>468</v>
      </c>
      <c r="F22" s="92">
        <v>711</v>
      </c>
      <c r="G22" s="92">
        <v>347</v>
      </c>
      <c r="H22" s="92">
        <v>128</v>
      </c>
      <c r="I22" s="92">
        <v>121</v>
      </c>
      <c r="J22" s="92">
        <v>0</v>
      </c>
      <c r="K22" s="92">
        <v>0</v>
      </c>
      <c r="L22" s="92">
        <v>204</v>
      </c>
      <c r="M22" s="92">
        <v>135</v>
      </c>
      <c r="N22" s="92"/>
      <c r="O22" s="92"/>
      <c r="P22" s="92"/>
      <c r="Q22" s="92"/>
      <c r="R22" s="92"/>
      <c r="S22" s="92"/>
      <c r="T22" s="92"/>
    </row>
    <row r="23" spans="1:20" ht="14.1" customHeight="1">
      <c r="A23" s="97" t="s">
        <v>89</v>
      </c>
      <c r="B23" s="98" t="s">
        <v>56</v>
      </c>
      <c r="C23" s="92">
        <v>1554</v>
      </c>
      <c r="D23" s="92">
        <v>875</v>
      </c>
      <c r="E23" s="92">
        <v>679</v>
      </c>
      <c r="F23" s="92">
        <v>529</v>
      </c>
      <c r="G23" s="92">
        <v>234</v>
      </c>
      <c r="H23" s="92">
        <v>99</v>
      </c>
      <c r="I23" s="92">
        <v>68</v>
      </c>
      <c r="J23" s="92">
        <v>247</v>
      </c>
      <c r="K23" s="92">
        <v>377</v>
      </c>
      <c r="L23" s="92">
        <v>507</v>
      </c>
      <c r="M23" s="92">
        <v>390</v>
      </c>
      <c r="N23" s="92"/>
      <c r="O23" s="92"/>
      <c r="P23" s="92"/>
      <c r="Q23" s="92"/>
      <c r="R23" s="92"/>
      <c r="S23" s="92"/>
      <c r="T23" s="92"/>
    </row>
    <row r="24" spans="1:20" ht="14.1" customHeight="1">
      <c r="A24" s="97" t="s">
        <v>90</v>
      </c>
      <c r="B24" s="98" t="s">
        <v>58</v>
      </c>
      <c r="C24" s="92">
        <v>943</v>
      </c>
      <c r="D24" s="92">
        <v>600</v>
      </c>
      <c r="E24" s="92">
        <v>343</v>
      </c>
      <c r="F24" s="92">
        <v>422</v>
      </c>
      <c r="G24" s="92">
        <v>208</v>
      </c>
      <c r="H24" s="92">
        <v>150</v>
      </c>
      <c r="I24" s="92">
        <v>106</v>
      </c>
      <c r="J24" s="92">
        <v>28</v>
      </c>
      <c r="K24" s="92">
        <v>29</v>
      </c>
      <c r="L24" s="92">
        <v>314</v>
      </c>
      <c r="M24" s="92">
        <v>180</v>
      </c>
      <c r="N24" s="92"/>
      <c r="O24" s="92"/>
      <c r="P24" s="92"/>
      <c r="Q24" s="92"/>
      <c r="R24" s="92"/>
      <c r="S24" s="92"/>
      <c r="T24" s="92"/>
    </row>
    <row r="25" spans="1:20" ht="14.1" customHeight="1">
      <c r="A25" s="97" t="s">
        <v>91</v>
      </c>
      <c r="B25" s="98" t="s">
        <v>60</v>
      </c>
      <c r="C25" s="92">
        <v>51</v>
      </c>
      <c r="D25" s="92">
        <v>32</v>
      </c>
      <c r="E25" s="92">
        <v>19</v>
      </c>
      <c r="F25" s="92">
        <v>30</v>
      </c>
      <c r="G25" s="92">
        <v>14</v>
      </c>
      <c r="H25" s="92">
        <v>0</v>
      </c>
      <c r="I25" s="92">
        <v>2</v>
      </c>
      <c r="J25" s="92">
        <v>2</v>
      </c>
      <c r="K25" s="92">
        <v>3</v>
      </c>
      <c r="L25" s="92">
        <v>0</v>
      </c>
      <c r="M25" s="92">
        <v>0</v>
      </c>
      <c r="N25" s="92"/>
      <c r="O25" s="92"/>
      <c r="P25" s="92"/>
      <c r="Q25" s="92"/>
      <c r="R25" s="92"/>
      <c r="S25" s="92"/>
      <c r="T25" s="92"/>
    </row>
    <row r="26" spans="1:20" ht="14.1" customHeight="1">
      <c r="A26" s="97" t="s">
        <v>92</v>
      </c>
      <c r="B26" s="98" t="s">
        <v>62</v>
      </c>
      <c r="C26" s="92">
        <v>296</v>
      </c>
      <c r="D26" s="92">
        <v>160</v>
      </c>
      <c r="E26" s="92">
        <v>136</v>
      </c>
      <c r="F26" s="92">
        <v>71</v>
      </c>
      <c r="G26" s="92">
        <v>55</v>
      </c>
      <c r="H26" s="92">
        <v>44</v>
      </c>
      <c r="I26" s="92">
        <v>27</v>
      </c>
      <c r="J26" s="92">
        <v>45</v>
      </c>
      <c r="K26" s="92">
        <v>54</v>
      </c>
      <c r="L26" s="92">
        <v>0</v>
      </c>
      <c r="M26" s="92">
        <v>0</v>
      </c>
      <c r="N26" s="92"/>
      <c r="O26" s="92"/>
      <c r="P26" s="92"/>
      <c r="Q26" s="92"/>
      <c r="R26" s="92"/>
      <c r="S26" s="92"/>
      <c r="T26" s="92"/>
    </row>
    <row r="27" spans="1:20" ht="14.1" customHeight="1">
      <c r="A27" s="97" t="s">
        <v>93</v>
      </c>
      <c r="B27" s="98" t="s">
        <v>64</v>
      </c>
      <c r="C27" s="92">
        <v>229</v>
      </c>
      <c r="D27" s="92">
        <v>122</v>
      </c>
      <c r="E27" s="92">
        <v>107</v>
      </c>
      <c r="F27" s="92">
        <v>65</v>
      </c>
      <c r="G27" s="92">
        <v>46</v>
      </c>
      <c r="H27" s="92">
        <v>34</v>
      </c>
      <c r="I27" s="92">
        <v>25</v>
      </c>
      <c r="J27" s="92">
        <v>23</v>
      </c>
      <c r="K27" s="92">
        <v>36</v>
      </c>
      <c r="L27" s="92">
        <v>0</v>
      </c>
      <c r="M27" s="92">
        <v>3</v>
      </c>
      <c r="N27" s="92"/>
      <c r="O27" s="92"/>
      <c r="P27" s="92"/>
      <c r="Q27" s="92"/>
      <c r="R27" s="92"/>
      <c r="S27" s="92"/>
      <c r="T27" s="92"/>
    </row>
    <row r="28" spans="1:20" ht="14.1" customHeight="1">
      <c r="A28" s="97" t="s">
        <v>94</v>
      </c>
      <c r="B28" s="98" t="s">
        <v>66</v>
      </c>
      <c r="C28" s="92">
        <v>126</v>
      </c>
      <c r="D28" s="92">
        <v>48</v>
      </c>
      <c r="E28" s="92">
        <v>78</v>
      </c>
      <c r="F28" s="92">
        <v>29</v>
      </c>
      <c r="G28" s="92">
        <v>55</v>
      </c>
      <c r="H28" s="92">
        <v>19</v>
      </c>
      <c r="I28" s="92">
        <v>21</v>
      </c>
      <c r="J28" s="92">
        <v>0</v>
      </c>
      <c r="K28" s="92">
        <v>2</v>
      </c>
      <c r="L28" s="92">
        <v>0</v>
      </c>
      <c r="M28" s="92">
        <v>0</v>
      </c>
      <c r="N28" s="92"/>
      <c r="O28" s="92"/>
      <c r="P28" s="92"/>
      <c r="Q28" s="92"/>
      <c r="R28" s="92"/>
      <c r="S28" s="92"/>
      <c r="T28" s="92"/>
    </row>
    <row r="29" spans="1:20" ht="14.1" customHeight="1">
      <c r="A29" s="97" t="s">
        <v>95</v>
      </c>
      <c r="B29" s="98" t="s">
        <v>68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/>
      <c r="O29" s="92"/>
      <c r="P29" s="92"/>
      <c r="Q29" s="92"/>
      <c r="R29" s="92"/>
      <c r="S29" s="92"/>
      <c r="T29" s="92"/>
    </row>
    <row r="30" spans="1:20" ht="14.1" customHeight="1">
      <c r="A30" s="99" t="s">
        <v>96</v>
      </c>
      <c r="B30" s="100" t="s">
        <v>70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/>
      <c r="O30" s="101"/>
      <c r="P30" s="101"/>
      <c r="Q30" s="101"/>
      <c r="R30" s="101"/>
      <c r="S30" s="101"/>
      <c r="T30" s="101"/>
    </row>
    <row r="31" spans="1:20" ht="15.75">
      <c r="A31" s="37" t="s">
        <v>203</v>
      </c>
      <c r="B31" s="102"/>
    </row>
    <row r="32" spans="1:20">
      <c r="A32" s="39" t="s">
        <v>14</v>
      </c>
    </row>
    <row r="34" spans="1:1" ht="15.75">
      <c r="A34" s="103" t="s">
        <v>283</v>
      </c>
    </row>
  </sheetData>
  <mergeCells count="19">
    <mergeCell ref="L6:L7"/>
    <mergeCell ref="M6:M7"/>
    <mergeCell ref="E6:E7"/>
    <mergeCell ref="F6:F7"/>
    <mergeCell ref="G6:G7"/>
    <mergeCell ref="H6:H7"/>
    <mergeCell ref="I6:I7"/>
    <mergeCell ref="J6:J7"/>
    <mergeCell ref="L3:M5"/>
    <mergeCell ref="C4:K4"/>
    <mergeCell ref="C5:E5"/>
    <mergeCell ref="F5:G5"/>
    <mergeCell ref="H5:I5"/>
    <mergeCell ref="J5:K5"/>
    <mergeCell ref="A3:B7"/>
    <mergeCell ref="C3:K3"/>
    <mergeCell ref="C6:C7"/>
    <mergeCell ref="D6:D7"/>
    <mergeCell ref="K6:K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81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5" width="7.25" style="39" customWidth="1"/>
    <col min="6" max="6" width="10.25" style="39" customWidth="1"/>
    <col min="7" max="8" width="7.5" style="39" customWidth="1"/>
    <col min="9" max="9" width="10.25" style="39" customWidth="1"/>
    <col min="10" max="11" width="7.125" style="39" customWidth="1"/>
    <col min="12" max="12" width="10.25" style="39" customWidth="1"/>
    <col min="13" max="14" width="7.25" style="39" customWidth="1"/>
    <col min="15" max="15" width="10.25" style="39" customWidth="1"/>
    <col min="16" max="17" width="7.5" style="39" customWidth="1"/>
    <col min="18" max="18" width="10.25" style="39" customWidth="1"/>
    <col min="19" max="20" width="7.5" style="39" customWidth="1"/>
    <col min="21" max="21" width="10.25" style="39" customWidth="1"/>
    <col min="22" max="23" width="7.5" style="39" customWidth="1"/>
    <col min="24" max="24" width="10.25" style="39" customWidth="1"/>
    <col min="25" max="26" width="7.5" style="39" customWidth="1"/>
    <col min="27" max="16384" width="9.375" style="39"/>
  </cols>
  <sheetData>
    <row r="1" spans="1:57" ht="21">
      <c r="A1" s="1" t="s">
        <v>196</v>
      </c>
      <c r="B1" s="85"/>
    </row>
    <row r="2" spans="1:57" ht="26.25" customHeight="1">
      <c r="A2" s="42" t="s">
        <v>97</v>
      </c>
      <c r="B2" s="15"/>
    </row>
    <row r="3" spans="1:57" s="24" customFormat="1" ht="12.75" customHeight="1">
      <c r="A3" s="240" t="s">
        <v>280</v>
      </c>
      <c r="B3" s="234"/>
      <c r="C3" s="302" t="s">
        <v>297</v>
      </c>
      <c r="D3" s="302"/>
      <c r="E3" s="302"/>
      <c r="F3" s="302"/>
      <c r="G3" s="302" t="s">
        <v>298</v>
      </c>
      <c r="H3" s="302"/>
      <c r="I3" s="302"/>
      <c r="J3" s="302"/>
      <c r="K3" s="302"/>
      <c r="L3" s="302"/>
      <c r="M3" s="302"/>
      <c r="N3" s="302"/>
      <c r="O3" s="302"/>
      <c r="P3" s="302" t="s">
        <v>299</v>
      </c>
      <c r="Q3" s="302"/>
      <c r="R3" s="302"/>
      <c r="S3" s="302"/>
      <c r="T3" s="302"/>
      <c r="U3" s="302"/>
      <c r="V3" s="302"/>
      <c r="W3" s="302"/>
      <c r="X3" s="237"/>
      <c r="Y3" s="303" t="s">
        <v>267</v>
      </c>
      <c r="Z3" s="237"/>
    </row>
    <row r="4" spans="1:57" s="25" customFormat="1" ht="16.5" customHeight="1">
      <c r="A4" s="241"/>
      <c r="B4" s="235"/>
      <c r="C4" s="295" t="s">
        <v>286</v>
      </c>
      <c r="D4" s="240"/>
      <c r="E4" s="234"/>
      <c r="F4" s="298" t="s">
        <v>287</v>
      </c>
      <c r="G4" s="306" t="s">
        <v>288</v>
      </c>
      <c r="H4" s="298"/>
      <c r="I4" s="298"/>
      <c r="J4" s="306" t="s">
        <v>289</v>
      </c>
      <c r="K4" s="298"/>
      <c r="L4" s="298"/>
      <c r="M4" s="306" t="s">
        <v>290</v>
      </c>
      <c r="N4" s="298"/>
      <c r="O4" s="298"/>
      <c r="P4" s="307" t="s">
        <v>291</v>
      </c>
      <c r="Q4" s="307"/>
      <c r="R4" s="307"/>
      <c r="S4" s="307" t="s">
        <v>292</v>
      </c>
      <c r="T4" s="307"/>
      <c r="U4" s="307"/>
      <c r="V4" s="307" t="s">
        <v>293</v>
      </c>
      <c r="W4" s="307"/>
      <c r="X4" s="308"/>
      <c r="Y4" s="304"/>
      <c r="Z4" s="237"/>
    </row>
    <row r="5" spans="1:57" s="26" customFormat="1" ht="41.45" customHeight="1">
      <c r="A5" s="241"/>
      <c r="B5" s="235"/>
      <c r="C5" s="305"/>
      <c r="D5" s="242"/>
      <c r="E5" s="236"/>
      <c r="F5" s="298"/>
      <c r="G5" s="298" t="s">
        <v>285</v>
      </c>
      <c r="H5" s="298"/>
      <c r="I5" s="298" t="s">
        <v>287</v>
      </c>
      <c r="J5" s="298" t="s">
        <v>285</v>
      </c>
      <c r="K5" s="298"/>
      <c r="L5" s="298" t="s">
        <v>287</v>
      </c>
      <c r="M5" s="298" t="s">
        <v>285</v>
      </c>
      <c r="N5" s="298"/>
      <c r="O5" s="298" t="s">
        <v>287</v>
      </c>
      <c r="P5" s="298" t="s">
        <v>285</v>
      </c>
      <c r="Q5" s="298"/>
      <c r="R5" s="298" t="s">
        <v>287</v>
      </c>
      <c r="S5" s="298" t="s">
        <v>285</v>
      </c>
      <c r="T5" s="298"/>
      <c r="U5" s="298" t="s">
        <v>287</v>
      </c>
      <c r="V5" s="298" t="s">
        <v>285</v>
      </c>
      <c r="W5" s="298"/>
      <c r="X5" s="300" t="s">
        <v>287</v>
      </c>
      <c r="Y5" s="246"/>
      <c r="Z5" s="237"/>
    </row>
    <row r="6" spans="1:57" s="24" customFormat="1" ht="13.5" customHeight="1">
      <c r="A6" s="241"/>
      <c r="B6" s="235"/>
      <c r="C6" s="291" t="s">
        <v>294</v>
      </c>
      <c r="D6" s="291" t="s">
        <v>295</v>
      </c>
      <c r="E6" s="291" t="s">
        <v>296</v>
      </c>
      <c r="F6" s="298"/>
      <c r="G6" s="291" t="s">
        <v>295</v>
      </c>
      <c r="H6" s="291" t="s">
        <v>296</v>
      </c>
      <c r="I6" s="298"/>
      <c r="J6" s="291" t="s">
        <v>295</v>
      </c>
      <c r="K6" s="291" t="s">
        <v>296</v>
      </c>
      <c r="L6" s="298"/>
      <c r="M6" s="291" t="s">
        <v>295</v>
      </c>
      <c r="N6" s="291" t="s">
        <v>296</v>
      </c>
      <c r="O6" s="298"/>
      <c r="P6" s="291" t="s">
        <v>295</v>
      </c>
      <c r="Q6" s="291" t="s">
        <v>296</v>
      </c>
      <c r="R6" s="298"/>
      <c r="S6" s="291" t="s">
        <v>295</v>
      </c>
      <c r="T6" s="291" t="s">
        <v>296</v>
      </c>
      <c r="U6" s="298"/>
      <c r="V6" s="291" t="s">
        <v>295</v>
      </c>
      <c r="W6" s="291" t="s">
        <v>296</v>
      </c>
      <c r="X6" s="300"/>
      <c r="Y6" s="234" t="s">
        <v>295</v>
      </c>
      <c r="Z6" s="295" t="s">
        <v>296</v>
      </c>
    </row>
    <row r="7" spans="1:57" s="24" customFormat="1" ht="18" customHeight="1">
      <c r="A7" s="242"/>
      <c r="B7" s="236"/>
      <c r="C7" s="292"/>
      <c r="D7" s="292"/>
      <c r="E7" s="292"/>
      <c r="F7" s="299"/>
      <c r="G7" s="292"/>
      <c r="H7" s="292"/>
      <c r="I7" s="299"/>
      <c r="J7" s="292"/>
      <c r="K7" s="292"/>
      <c r="L7" s="299"/>
      <c r="M7" s="292"/>
      <c r="N7" s="292"/>
      <c r="O7" s="299"/>
      <c r="P7" s="292"/>
      <c r="Q7" s="292"/>
      <c r="R7" s="299"/>
      <c r="S7" s="292"/>
      <c r="T7" s="292"/>
      <c r="U7" s="299"/>
      <c r="V7" s="292"/>
      <c r="W7" s="292"/>
      <c r="X7" s="301"/>
      <c r="Y7" s="297"/>
      <c r="Z7" s="296"/>
    </row>
    <row r="8" spans="1:57" s="90" customFormat="1" ht="14.1" customHeight="1">
      <c r="A8" s="188" t="s">
        <v>281</v>
      </c>
      <c r="B8" s="62" t="s">
        <v>26</v>
      </c>
      <c r="C8" s="87">
        <v>20884</v>
      </c>
      <c r="D8" s="87">
        <v>10633</v>
      </c>
      <c r="E8" s="87">
        <v>10251</v>
      </c>
      <c r="F8" s="87">
        <v>3525842</v>
      </c>
      <c r="G8" s="87">
        <v>0</v>
      </c>
      <c r="H8" s="87">
        <v>0</v>
      </c>
      <c r="I8" s="87">
        <v>0</v>
      </c>
      <c r="J8" s="87">
        <v>5</v>
      </c>
      <c r="K8" s="87">
        <v>2</v>
      </c>
      <c r="L8" s="87">
        <v>1199</v>
      </c>
      <c r="M8" s="87">
        <v>193</v>
      </c>
      <c r="N8" s="87">
        <v>445</v>
      </c>
      <c r="O8" s="87">
        <v>34913</v>
      </c>
      <c r="P8" s="87">
        <v>6849</v>
      </c>
      <c r="Q8" s="87">
        <v>5390</v>
      </c>
      <c r="R8" s="87">
        <v>2041182</v>
      </c>
      <c r="S8" s="87">
        <v>1526</v>
      </c>
      <c r="T8" s="87">
        <v>1592</v>
      </c>
      <c r="U8" s="87">
        <v>668456</v>
      </c>
      <c r="V8" s="87">
        <v>2060</v>
      </c>
      <c r="W8" s="87">
        <v>2822</v>
      </c>
      <c r="X8" s="87">
        <v>780092</v>
      </c>
      <c r="Y8" s="87">
        <v>821</v>
      </c>
      <c r="Z8" s="87">
        <v>729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s="95" customFormat="1" ht="14.1" customHeight="1">
      <c r="A9" s="91" t="s">
        <v>75</v>
      </c>
      <c r="B9" s="68" t="s">
        <v>28</v>
      </c>
      <c r="C9" s="92">
        <v>145</v>
      </c>
      <c r="D9" s="92">
        <v>72</v>
      </c>
      <c r="E9" s="92">
        <v>73</v>
      </c>
      <c r="F9" s="92">
        <v>36813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1802</v>
      </c>
      <c r="P9" s="92">
        <v>39</v>
      </c>
      <c r="Q9" s="92">
        <v>28</v>
      </c>
      <c r="R9" s="92">
        <v>14678</v>
      </c>
      <c r="S9" s="92">
        <v>18</v>
      </c>
      <c r="T9" s="92">
        <v>23</v>
      </c>
      <c r="U9" s="92">
        <v>12065</v>
      </c>
      <c r="V9" s="92">
        <v>15</v>
      </c>
      <c r="W9" s="92">
        <v>22</v>
      </c>
      <c r="X9" s="92">
        <v>8268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91" t="s">
        <v>76</v>
      </c>
      <c r="B10" s="68" t="s">
        <v>30</v>
      </c>
      <c r="C10" s="92">
        <v>1010</v>
      </c>
      <c r="D10" s="92">
        <v>478</v>
      </c>
      <c r="E10" s="92">
        <v>532</v>
      </c>
      <c r="F10" s="92">
        <v>298896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260</v>
      </c>
      <c r="Q10" s="92">
        <v>182</v>
      </c>
      <c r="R10" s="92">
        <v>142475</v>
      </c>
      <c r="S10" s="92">
        <v>34</v>
      </c>
      <c r="T10" s="92">
        <v>53</v>
      </c>
      <c r="U10" s="92">
        <v>26050</v>
      </c>
      <c r="V10" s="92">
        <v>184</v>
      </c>
      <c r="W10" s="92">
        <v>297</v>
      </c>
      <c r="X10" s="92">
        <v>130371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91" t="s">
        <v>77</v>
      </c>
      <c r="B11" s="68" t="s">
        <v>32</v>
      </c>
      <c r="C11" s="92">
        <v>432</v>
      </c>
      <c r="D11" s="92">
        <v>244</v>
      </c>
      <c r="E11" s="92">
        <v>188</v>
      </c>
      <c r="F11" s="92">
        <v>256175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202</v>
      </c>
      <c r="Q11" s="92">
        <v>164</v>
      </c>
      <c r="R11" s="92">
        <v>214482</v>
      </c>
      <c r="S11" s="92">
        <v>42</v>
      </c>
      <c r="T11" s="92">
        <v>24</v>
      </c>
      <c r="U11" s="92">
        <v>41693</v>
      </c>
      <c r="V11" s="92">
        <v>0</v>
      </c>
      <c r="W11" s="92">
        <v>0</v>
      </c>
      <c r="X11" s="92">
        <v>0</v>
      </c>
      <c r="Y11" s="92">
        <v>0</v>
      </c>
      <c r="Z11" s="92">
        <v>0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91" t="s">
        <v>78</v>
      </c>
      <c r="B12" s="68" t="s">
        <v>34</v>
      </c>
      <c r="C12" s="92">
        <v>6403</v>
      </c>
      <c r="D12" s="92">
        <v>3152</v>
      </c>
      <c r="E12" s="92">
        <v>3251</v>
      </c>
      <c r="F12" s="92">
        <v>436934</v>
      </c>
      <c r="G12" s="92">
        <v>0</v>
      </c>
      <c r="H12" s="92">
        <v>0</v>
      </c>
      <c r="I12" s="92">
        <v>0</v>
      </c>
      <c r="J12" s="92">
        <v>5</v>
      </c>
      <c r="K12" s="92">
        <v>2</v>
      </c>
      <c r="L12" s="92">
        <v>1199</v>
      </c>
      <c r="M12" s="92">
        <v>193</v>
      </c>
      <c r="N12" s="92">
        <v>445</v>
      </c>
      <c r="O12" s="92">
        <v>33111</v>
      </c>
      <c r="P12" s="92">
        <v>2592</v>
      </c>
      <c r="Q12" s="92">
        <v>2420</v>
      </c>
      <c r="R12" s="92">
        <v>347458</v>
      </c>
      <c r="S12" s="92">
        <v>357</v>
      </c>
      <c r="T12" s="92">
        <v>374</v>
      </c>
      <c r="U12" s="92">
        <v>52613</v>
      </c>
      <c r="V12" s="92">
        <v>5</v>
      </c>
      <c r="W12" s="92">
        <v>10</v>
      </c>
      <c r="X12" s="92">
        <v>2553</v>
      </c>
      <c r="Y12" s="92">
        <v>5</v>
      </c>
      <c r="Z12" s="92">
        <v>2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91" t="s">
        <v>79</v>
      </c>
      <c r="B13" s="68" t="s">
        <v>36</v>
      </c>
      <c r="C13" s="92">
        <v>1281</v>
      </c>
      <c r="D13" s="92">
        <v>674</v>
      </c>
      <c r="E13" s="92">
        <v>607</v>
      </c>
      <c r="F13" s="92">
        <v>354779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418</v>
      </c>
      <c r="Q13" s="92">
        <v>345</v>
      </c>
      <c r="R13" s="92">
        <v>233101</v>
      </c>
      <c r="S13" s="92">
        <v>184</v>
      </c>
      <c r="T13" s="92">
        <v>156</v>
      </c>
      <c r="U13" s="92">
        <v>83257</v>
      </c>
      <c r="V13" s="92">
        <v>72</v>
      </c>
      <c r="W13" s="92">
        <v>106</v>
      </c>
      <c r="X13" s="92">
        <v>38421</v>
      </c>
      <c r="Y13" s="92">
        <v>0</v>
      </c>
      <c r="Z13" s="92">
        <v>2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s="95" customFormat="1" ht="14.1" customHeight="1">
      <c r="A14" s="91" t="s">
        <v>282</v>
      </c>
      <c r="B14" s="68" t="s">
        <v>38</v>
      </c>
      <c r="C14" s="92">
        <v>1225</v>
      </c>
      <c r="D14" s="92">
        <v>552</v>
      </c>
      <c r="E14" s="92">
        <v>673</v>
      </c>
      <c r="F14" s="92">
        <v>186566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308</v>
      </c>
      <c r="Q14" s="92">
        <v>303</v>
      </c>
      <c r="R14" s="92">
        <v>104367</v>
      </c>
      <c r="S14" s="92">
        <v>58</v>
      </c>
      <c r="T14" s="92">
        <v>67</v>
      </c>
      <c r="U14" s="92">
        <v>21579</v>
      </c>
      <c r="V14" s="92">
        <v>186</v>
      </c>
      <c r="W14" s="92">
        <v>303</v>
      </c>
      <c r="X14" s="92">
        <v>60620</v>
      </c>
      <c r="Y14" s="92">
        <v>0</v>
      </c>
      <c r="Z14" s="92">
        <v>0</v>
      </c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</row>
    <row r="15" spans="1:57" ht="14.1" customHeight="1">
      <c r="A15" s="106" t="s">
        <v>98</v>
      </c>
      <c r="B15" s="98" t="s">
        <v>40</v>
      </c>
      <c r="C15" s="92">
        <v>379</v>
      </c>
      <c r="D15" s="92">
        <v>188</v>
      </c>
      <c r="E15" s="92">
        <v>191</v>
      </c>
      <c r="F15" s="92">
        <v>79683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108</v>
      </c>
      <c r="Q15" s="92">
        <v>74</v>
      </c>
      <c r="R15" s="92">
        <v>39112</v>
      </c>
      <c r="S15" s="92">
        <v>31</v>
      </c>
      <c r="T15" s="92">
        <v>34</v>
      </c>
      <c r="U15" s="92">
        <v>13928</v>
      </c>
      <c r="V15" s="92">
        <v>49</v>
      </c>
      <c r="W15" s="92">
        <v>83</v>
      </c>
      <c r="X15" s="92">
        <v>26643</v>
      </c>
      <c r="Y15" s="92">
        <v>7</v>
      </c>
      <c r="Z15" s="92">
        <v>5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06" t="s">
        <v>99</v>
      </c>
      <c r="B16" s="98" t="s">
        <v>42</v>
      </c>
      <c r="C16" s="92">
        <v>172</v>
      </c>
      <c r="D16" s="92">
        <v>90</v>
      </c>
      <c r="E16" s="92">
        <v>82</v>
      </c>
      <c r="F16" s="92">
        <v>17350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35</v>
      </c>
      <c r="Q16" s="92">
        <v>41</v>
      </c>
      <c r="R16" s="92">
        <v>10665</v>
      </c>
      <c r="S16" s="92">
        <v>11</v>
      </c>
      <c r="T16" s="92">
        <v>11</v>
      </c>
      <c r="U16" s="92">
        <v>2057</v>
      </c>
      <c r="V16" s="92">
        <v>44</v>
      </c>
      <c r="W16" s="92">
        <v>30</v>
      </c>
      <c r="X16" s="92">
        <v>4628</v>
      </c>
      <c r="Y16" s="92">
        <v>0</v>
      </c>
      <c r="Z16" s="92">
        <v>0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06" t="s">
        <v>100</v>
      </c>
      <c r="B17" s="98" t="s">
        <v>44</v>
      </c>
      <c r="C17" s="92">
        <v>322</v>
      </c>
      <c r="D17" s="92">
        <v>207</v>
      </c>
      <c r="E17" s="92">
        <v>115</v>
      </c>
      <c r="F17" s="92">
        <v>58103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157</v>
      </c>
      <c r="Q17" s="92">
        <v>71</v>
      </c>
      <c r="R17" s="92">
        <v>43739</v>
      </c>
      <c r="S17" s="92">
        <v>50</v>
      </c>
      <c r="T17" s="92">
        <v>44</v>
      </c>
      <c r="U17" s="92">
        <v>14364</v>
      </c>
      <c r="V17" s="92">
        <v>0</v>
      </c>
      <c r="W17" s="92">
        <v>0</v>
      </c>
      <c r="X17" s="92">
        <v>0</v>
      </c>
      <c r="Y17" s="92">
        <v>19</v>
      </c>
      <c r="Z17" s="92">
        <v>10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06" t="s">
        <v>101</v>
      </c>
      <c r="B18" s="98" t="s">
        <v>46</v>
      </c>
      <c r="C18" s="92">
        <v>2435</v>
      </c>
      <c r="D18" s="92">
        <v>1182</v>
      </c>
      <c r="E18" s="92">
        <v>1253</v>
      </c>
      <c r="F18" s="92">
        <v>181786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549</v>
      </c>
      <c r="Q18" s="92">
        <v>385</v>
      </c>
      <c r="R18" s="92">
        <v>86338</v>
      </c>
      <c r="S18" s="92">
        <v>122</v>
      </c>
      <c r="T18" s="92">
        <v>166</v>
      </c>
      <c r="U18" s="92">
        <v>22830</v>
      </c>
      <c r="V18" s="92">
        <v>511</v>
      </c>
      <c r="W18" s="92">
        <v>702</v>
      </c>
      <c r="X18" s="92">
        <v>72618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06" t="s">
        <v>102</v>
      </c>
      <c r="B19" s="98" t="s">
        <v>48</v>
      </c>
      <c r="C19" s="92">
        <v>1606</v>
      </c>
      <c r="D19" s="92">
        <v>894</v>
      </c>
      <c r="E19" s="92">
        <v>712</v>
      </c>
      <c r="F19" s="92">
        <v>117387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543</v>
      </c>
      <c r="Q19" s="92">
        <v>376</v>
      </c>
      <c r="R19" s="92">
        <v>71651</v>
      </c>
      <c r="S19" s="92">
        <v>169</v>
      </c>
      <c r="T19" s="92">
        <v>194</v>
      </c>
      <c r="U19" s="92">
        <v>24391</v>
      </c>
      <c r="V19" s="92">
        <v>182</v>
      </c>
      <c r="W19" s="92">
        <v>142</v>
      </c>
      <c r="X19" s="92">
        <v>21345</v>
      </c>
      <c r="Y19" s="92">
        <v>22</v>
      </c>
      <c r="Z19" s="92">
        <v>19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06" t="s">
        <v>103</v>
      </c>
      <c r="B20" s="98" t="s">
        <v>50</v>
      </c>
      <c r="C20" s="92">
        <v>336</v>
      </c>
      <c r="D20" s="92">
        <v>172</v>
      </c>
      <c r="E20" s="92">
        <v>164</v>
      </c>
      <c r="F20" s="92">
        <v>78708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114</v>
      </c>
      <c r="Q20" s="92">
        <v>87</v>
      </c>
      <c r="R20" s="92">
        <v>61132</v>
      </c>
      <c r="S20" s="92">
        <v>8</v>
      </c>
      <c r="T20" s="92">
        <v>6</v>
      </c>
      <c r="U20" s="92">
        <v>4514</v>
      </c>
      <c r="V20" s="92">
        <v>50</v>
      </c>
      <c r="W20" s="92">
        <v>71</v>
      </c>
      <c r="X20" s="92">
        <v>13062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106" t="s">
        <v>104</v>
      </c>
      <c r="B21" s="98" t="s">
        <v>52</v>
      </c>
      <c r="C21" s="92">
        <v>467</v>
      </c>
      <c r="D21" s="92">
        <v>215</v>
      </c>
      <c r="E21" s="92">
        <v>252</v>
      </c>
      <c r="F21" s="92">
        <v>113155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182</v>
      </c>
      <c r="Q21" s="92">
        <v>206</v>
      </c>
      <c r="R21" s="92">
        <v>92418</v>
      </c>
      <c r="S21" s="92">
        <v>33</v>
      </c>
      <c r="T21" s="92">
        <v>46</v>
      </c>
      <c r="U21" s="92">
        <v>20737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106" t="s">
        <v>105</v>
      </c>
      <c r="B22" s="98" t="s">
        <v>54</v>
      </c>
      <c r="C22" s="92">
        <v>949</v>
      </c>
      <c r="D22" s="92">
        <v>617</v>
      </c>
      <c r="E22" s="92">
        <v>332</v>
      </c>
      <c r="F22" s="92">
        <v>172947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510</v>
      </c>
      <c r="Q22" s="92">
        <v>244</v>
      </c>
      <c r="R22" s="92">
        <v>139065</v>
      </c>
      <c r="S22" s="92">
        <v>88</v>
      </c>
      <c r="T22" s="92">
        <v>80</v>
      </c>
      <c r="U22" s="92">
        <v>31885</v>
      </c>
      <c r="V22" s="92">
        <v>19</v>
      </c>
      <c r="W22" s="92">
        <v>8</v>
      </c>
      <c r="X22" s="92">
        <v>1997</v>
      </c>
      <c r="Y22" s="92">
        <v>168</v>
      </c>
      <c r="Z22" s="92">
        <v>90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106" t="s">
        <v>106</v>
      </c>
      <c r="B23" s="98" t="s">
        <v>56</v>
      </c>
      <c r="C23" s="92">
        <v>1561</v>
      </c>
      <c r="D23" s="92">
        <v>738</v>
      </c>
      <c r="E23" s="92">
        <v>823</v>
      </c>
      <c r="F23" s="92">
        <v>335712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320</v>
      </c>
      <c r="Q23" s="92">
        <v>196</v>
      </c>
      <c r="R23" s="92">
        <v>134674</v>
      </c>
      <c r="S23" s="92">
        <v>37</v>
      </c>
      <c r="T23" s="92">
        <v>55</v>
      </c>
      <c r="U23" s="92">
        <v>71888</v>
      </c>
      <c r="V23" s="92">
        <v>381</v>
      </c>
      <c r="W23" s="92">
        <v>572</v>
      </c>
      <c r="X23" s="92">
        <v>129150</v>
      </c>
      <c r="Y23" s="92">
        <v>394</v>
      </c>
      <c r="Z23" s="92">
        <v>473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106" t="s">
        <v>107</v>
      </c>
      <c r="B24" s="98" t="s">
        <v>58</v>
      </c>
      <c r="C24" s="92">
        <v>968</v>
      </c>
      <c r="D24" s="92">
        <v>588</v>
      </c>
      <c r="E24" s="92">
        <v>380</v>
      </c>
      <c r="F24" s="92">
        <v>303521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352</v>
      </c>
      <c r="Q24" s="92">
        <v>164</v>
      </c>
      <c r="R24" s="92">
        <v>178016</v>
      </c>
      <c r="S24" s="92">
        <v>127</v>
      </c>
      <c r="T24" s="92">
        <v>90</v>
      </c>
      <c r="U24" s="92">
        <v>76897</v>
      </c>
      <c r="V24" s="92">
        <v>109</v>
      </c>
      <c r="W24" s="92">
        <v>126</v>
      </c>
      <c r="X24" s="92">
        <v>48608</v>
      </c>
      <c r="Y24" s="92">
        <v>206</v>
      </c>
      <c r="Z24" s="92">
        <v>128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106" t="s">
        <v>108</v>
      </c>
      <c r="B25" s="98" t="s">
        <v>60</v>
      </c>
      <c r="C25" s="92">
        <v>721</v>
      </c>
      <c r="D25" s="92">
        <v>355</v>
      </c>
      <c r="E25" s="92">
        <v>366</v>
      </c>
      <c r="F25" s="92">
        <v>330080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76</v>
      </c>
      <c r="Q25" s="92">
        <v>26</v>
      </c>
      <c r="R25" s="92">
        <v>52394</v>
      </c>
      <c r="S25" s="92">
        <v>82</v>
      </c>
      <c r="T25" s="92">
        <v>84</v>
      </c>
      <c r="U25" s="92">
        <v>88551</v>
      </c>
      <c r="V25" s="92">
        <v>197</v>
      </c>
      <c r="W25" s="92">
        <v>256</v>
      </c>
      <c r="X25" s="92">
        <v>189135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106" t="s">
        <v>109</v>
      </c>
      <c r="B26" s="98" t="s">
        <v>62</v>
      </c>
      <c r="C26" s="92">
        <v>111</v>
      </c>
      <c r="D26" s="92">
        <v>54</v>
      </c>
      <c r="E26" s="92">
        <v>57</v>
      </c>
      <c r="F26" s="92">
        <v>58590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20</v>
      </c>
      <c r="Q26" s="92">
        <v>9</v>
      </c>
      <c r="R26" s="92">
        <v>14694</v>
      </c>
      <c r="S26" s="92">
        <v>5</v>
      </c>
      <c r="T26" s="92">
        <v>9</v>
      </c>
      <c r="U26" s="92">
        <v>24262</v>
      </c>
      <c r="V26" s="92">
        <v>29</v>
      </c>
      <c r="W26" s="92">
        <v>39</v>
      </c>
      <c r="X26" s="92">
        <v>19634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97" t="s">
        <v>93</v>
      </c>
      <c r="B27" s="98" t="s">
        <v>64</v>
      </c>
      <c r="C27" s="92">
        <v>242</v>
      </c>
      <c r="D27" s="92">
        <v>113</v>
      </c>
      <c r="E27" s="92">
        <v>129</v>
      </c>
      <c r="F27" s="92">
        <v>58004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55</v>
      </c>
      <c r="Q27" s="92">
        <v>51</v>
      </c>
      <c r="R27" s="92">
        <v>29841</v>
      </c>
      <c r="S27" s="92">
        <v>32</v>
      </c>
      <c r="T27" s="92">
        <v>23</v>
      </c>
      <c r="U27" s="92">
        <v>15152</v>
      </c>
      <c r="V27" s="92">
        <v>26</v>
      </c>
      <c r="W27" s="92">
        <v>55</v>
      </c>
      <c r="X27" s="92">
        <v>13011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97" t="s">
        <v>94</v>
      </c>
      <c r="B28" s="98" t="s">
        <v>66</v>
      </c>
      <c r="C28" s="92">
        <v>119</v>
      </c>
      <c r="D28" s="92">
        <v>48</v>
      </c>
      <c r="E28" s="92">
        <v>71</v>
      </c>
      <c r="F28" s="92">
        <v>50653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9</v>
      </c>
      <c r="Q28" s="92">
        <v>18</v>
      </c>
      <c r="R28" s="92">
        <v>30882</v>
      </c>
      <c r="S28" s="92">
        <v>38</v>
      </c>
      <c r="T28" s="92">
        <v>53</v>
      </c>
      <c r="U28" s="92">
        <v>19743</v>
      </c>
      <c r="V28" s="92">
        <v>1</v>
      </c>
      <c r="W28" s="92">
        <v>0</v>
      </c>
      <c r="X28" s="92">
        <v>28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97" t="s">
        <v>95</v>
      </c>
      <c r="B29" s="98" t="s">
        <v>68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99" t="s">
        <v>96</v>
      </c>
      <c r="B30" s="100" t="s">
        <v>70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0</v>
      </c>
      <c r="S30" s="101">
        <v>0</v>
      </c>
      <c r="T30" s="101">
        <v>0</v>
      </c>
      <c r="U30" s="101">
        <v>0</v>
      </c>
      <c r="V30" s="101">
        <v>0</v>
      </c>
      <c r="W30" s="101">
        <v>0</v>
      </c>
      <c r="X30" s="101">
        <v>0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75">
      <c r="A31" s="37" t="s">
        <v>203</v>
      </c>
      <c r="B31" s="102"/>
    </row>
    <row r="32" spans="1:39">
      <c r="A32" s="39" t="s">
        <v>14</v>
      </c>
    </row>
    <row r="34" spans="1:57">
      <c r="A34" s="40" t="s">
        <v>110</v>
      </c>
    </row>
    <row r="35" spans="1:57" s="109" customFormat="1" ht="14.1" hidden="1" customHeight="1">
      <c r="A35" s="189" t="s">
        <v>284</v>
      </c>
      <c r="B35" s="107" t="s">
        <v>26</v>
      </c>
      <c r="C35" s="93">
        <v>21294</v>
      </c>
      <c r="D35" s="93">
        <v>10846</v>
      </c>
      <c r="E35" s="93">
        <v>10448</v>
      </c>
      <c r="F35" s="93">
        <v>3498606</v>
      </c>
      <c r="G35" s="93">
        <v>0</v>
      </c>
      <c r="H35" s="93">
        <v>0</v>
      </c>
      <c r="I35" s="93">
        <v>0</v>
      </c>
      <c r="J35" s="93">
        <v>5</v>
      </c>
      <c r="K35" s="93">
        <v>2</v>
      </c>
      <c r="L35" s="93">
        <v>1199</v>
      </c>
      <c r="M35" s="93">
        <v>193</v>
      </c>
      <c r="N35" s="93">
        <v>445</v>
      </c>
      <c r="O35" s="93">
        <v>34913</v>
      </c>
      <c r="P35" s="93">
        <v>6900</v>
      </c>
      <c r="Q35" s="93">
        <v>5474</v>
      </c>
      <c r="R35" s="93">
        <v>2017043</v>
      </c>
      <c r="S35" s="93">
        <v>1688</v>
      </c>
      <c r="T35" s="93">
        <v>1705</v>
      </c>
      <c r="U35" s="93">
        <v>665359</v>
      </c>
      <c r="V35" s="93">
        <v>2060</v>
      </c>
      <c r="W35" s="93">
        <v>2822</v>
      </c>
      <c r="X35" s="93">
        <v>780092</v>
      </c>
      <c r="Y35" s="93">
        <v>821</v>
      </c>
      <c r="Z35" s="93">
        <v>725</v>
      </c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</row>
    <row r="36" spans="1:57" s="95" customFormat="1" ht="14.1" hidden="1" customHeight="1">
      <c r="A36" s="91" t="s">
        <v>75</v>
      </c>
      <c r="B36" s="68" t="s">
        <v>28</v>
      </c>
      <c r="C36" s="93">
        <v>145</v>
      </c>
      <c r="D36" s="93">
        <v>72</v>
      </c>
      <c r="E36" s="93">
        <v>73</v>
      </c>
      <c r="F36" s="93">
        <v>36813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1802</v>
      </c>
      <c r="P36" s="93">
        <v>39</v>
      </c>
      <c r="Q36" s="93">
        <v>28</v>
      </c>
      <c r="R36" s="93">
        <v>14678</v>
      </c>
      <c r="S36" s="93">
        <v>18</v>
      </c>
      <c r="T36" s="93">
        <v>23</v>
      </c>
      <c r="U36" s="93">
        <v>12065</v>
      </c>
      <c r="V36" s="93">
        <v>15</v>
      </c>
      <c r="W36" s="93">
        <v>22</v>
      </c>
      <c r="X36" s="93">
        <v>8268</v>
      </c>
      <c r="Y36" s="93">
        <v>0</v>
      </c>
      <c r="Z36" s="93">
        <v>0</v>
      </c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</row>
    <row r="37" spans="1:57" s="95" customFormat="1" ht="14.1" hidden="1" customHeight="1">
      <c r="A37" s="91" t="s">
        <v>76</v>
      </c>
      <c r="B37" s="68" t="s">
        <v>30</v>
      </c>
      <c r="C37" s="93">
        <v>1010</v>
      </c>
      <c r="D37" s="93">
        <v>478</v>
      </c>
      <c r="E37" s="93">
        <v>532</v>
      </c>
      <c r="F37" s="93">
        <v>298896</v>
      </c>
      <c r="G37" s="93">
        <v>0</v>
      </c>
      <c r="H37" s="93">
        <v>0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260</v>
      </c>
      <c r="Q37" s="93">
        <v>182</v>
      </c>
      <c r="R37" s="93">
        <v>142475</v>
      </c>
      <c r="S37" s="93">
        <v>34</v>
      </c>
      <c r="T37" s="93">
        <v>53</v>
      </c>
      <c r="U37" s="93">
        <v>26050</v>
      </c>
      <c r="V37" s="93">
        <v>184</v>
      </c>
      <c r="W37" s="93">
        <v>297</v>
      </c>
      <c r="X37" s="93">
        <v>130371</v>
      </c>
      <c r="Y37" s="93">
        <v>0</v>
      </c>
      <c r="Z37" s="93">
        <v>0</v>
      </c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</row>
    <row r="38" spans="1:57" s="95" customFormat="1" ht="14.1" hidden="1" customHeight="1">
      <c r="A38" s="91" t="s">
        <v>77</v>
      </c>
      <c r="B38" s="68" t="s">
        <v>32</v>
      </c>
      <c r="C38" s="93">
        <v>432</v>
      </c>
      <c r="D38" s="93">
        <v>244</v>
      </c>
      <c r="E38" s="93">
        <v>188</v>
      </c>
      <c r="F38" s="93">
        <v>256175</v>
      </c>
      <c r="G38" s="93">
        <v>0</v>
      </c>
      <c r="H38" s="93">
        <v>0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202</v>
      </c>
      <c r="Q38" s="93">
        <v>164</v>
      </c>
      <c r="R38" s="93">
        <v>214482</v>
      </c>
      <c r="S38" s="93">
        <v>42</v>
      </c>
      <c r="T38" s="93">
        <v>24</v>
      </c>
      <c r="U38" s="93">
        <v>41693</v>
      </c>
      <c r="V38" s="93">
        <v>0</v>
      </c>
      <c r="W38" s="93">
        <v>0</v>
      </c>
      <c r="X38" s="93">
        <v>0</v>
      </c>
      <c r="Y38" s="93">
        <v>0</v>
      </c>
      <c r="Z38" s="93">
        <v>0</v>
      </c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</row>
    <row r="39" spans="1:57" s="95" customFormat="1" ht="14.1" hidden="1" customHeight="1">
      <c r="A39" s="91" t="s">
        <v>78</v>
      </c>
      <c r="B39" s="68" t="s">
        <v>34</v>
      </c>
      <c r="C39" s="93">
        <v>6403</v>
      </c>
      <c r="D39" s="93">
        <v>3152</v>
      </c>
      <c r="E39" s="93">
        <v>3251</v>
      </c>
      <c r="F39" s="93">
        <v>436934</v>
      </c>
      <c r="G39" s="93">
        <v>0</v>
      </c>
      <c r="H39" s="93">
        <v>0</v>
      </c>
      <c r="I39" s="93">
        <v>0</v>
      </c>
      <c r="J39" s="93">
        <v>5</v>
      </c>
      <c r="K39" s="93">
        <v>2</v>
      </c>
      <c r="L39" s="93">
        <v>1199</v>
      </c>
      <c r="M39" s="93">
        <v>193</v>
      </c>
      <c r="N39" s="93">
        <v>445</v>
      </c>
      <c r="O39" s="93">
        <v>33111</v>
      </c>
      <c r="P39" s="93">
        <v>2592</v>
      </c>
      <c r="Q39" s="93">
        <v>2420</v>
      </c>
      <c r="R39" s="93">
        <v>347458</v>
      </c>
      <c r="S39" s="93">
        <v>357</v>
      </c>
      <c r="T39" s="93">
        <v>374</v>
      </c>
      <c r="U39" s="93">
        <v>52613</v>
      </c>
      <c r="V39" s="93">
        <v>5</v>
      </c>
      <c r="W39" s="93">
        <v>10</v>
      </c>
      <c r="X39" s="93">
        <v>2553</v>
      </c>
      <c r="Y39" s="93">
        <v>5</v>
      </c>
      <c r="Z39" s="93">
        <v>2</v>
      </c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</row>
    <row r="40" spans="1:57" s="95" customFormat="1" ht="14.1" hidden="1" customHeight="1">
      <c r="A40" s="91" t="s">
        <v>79</v>
      </c>
      <c r="B40" s="68" t="s">
        <v>36</v>
      </c>
      <c r="C40" s="93">
        <v>1281</v>
      </c>
      <c r="D40" s="93">
        <v>674</v>
      </c>
      <c r="E40" s="93">
        <v>607</v>
      </c>
      <c r="F40" s="93">
        <v>354779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418</v>
      </c>
      <c r="Q40" s="93">
        <v>345</v>
      </c>
      <c r="R40" s="93">
        <v>233101</v>
      </c>
      <c r="S40" s="93">
        <v>184</v>
      </c>
      <c r="T40" s="93">
        <v>156</v>
      </c>
      <c r="U40" s="93">
        <v>83257</v>
      </c>
      <c r="V40" s="93">
        <v>72</v>
      </c>
      <c r="W40" s="93">
        <v>106</v>
      </c>
      <c r="X40" s="93">
        <v>38421</v>
      </c>
      <c r="Y40" s="93">
        <v>0</v>
      </c>
      <c r="Z40" s="93">
        <v>2</v>
      </c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</row>
    <row r="41" spans="1:57" s="95" customFormat="1" ht="14.1" hidden="1" customHeight="1">
      <c r="A41" s="91" t="s">
        <v>282</v>
      </c>
      <c r="B41" s="68" t="s">
        <v>38</v>
      </c>
      <c r="C41" s="93">
        <v>1225</v>
      </c>
      <c r="D41" s="93">
        <v>552</v>
      </c>
      <c r="E41" s="93">
        <v>673</v>
      </c>
      <c r="F41" s="93">
        <v>186566</v>
      </c>
      <c r="G41" s="93">
        <v>0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308</v>
      </c>
      <c r="Q41" s="93">
        <v>303</v>
      </c>
      <c r="R41" s="93">
        <v>104367</v>
      </c>
      <c r="S41" s="93">
        <v>58</v>
      </c>
      <c r="T41" s="93">
        <v>67</v>
      </c>
      <c r="U41" s="93">
        <v>21579</v>
      </c>
      <c r="V41" s="93">
        <v>186</v>
      </c>
      <c r="W41" s="93">
        <v>303</v>
      </c>
      <c r="X41" s="93">
        <v>60620</v>
      </c>
      <c r="Y41" s="93">
        <v>0</v>
      </c>
      <c r="Z41" s="93">
        <v>0</v>
      </c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</row>
    <row r="42" spans="1:57" ht="14.1" hidden="1" customHeight="1">
      <c r="A42" s="97" t="s">
        <v>81</v>
      </c>
      <c r="B42" s="98" t="s">
        <v>40</v>
      </c>
      <c r="C42" s="92">
        <v>379</v>
      </c>
      <c r="D42" s="92">
        <v>188</v>
      </c>
      <c r="E42" s="92">
        <v>191</v>
      </c>
      <c r="F42" s="92">
        <v>79683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108</v>
      </c>
      <c r="Q42" s="92">
        <v>74</v>
      </c>
      <c r="R42" s="92">
        <v>39112</v>
      </c>
      <c r="S42" s="92">
        <v>31</v>
      </c>
      <c r="T42" s="92">
        <v>34</v>
      </c>
      <c r="U42" s="92">
        <v>13928</v>
      </c>
      <c r="V42" s="92">
        <v>49</v>
      </c>
      <c r="W42" s="92">
        <v>83</v>
      </c>
      <c r="X42" s="92">
        <v>26643</v>
      </c>
      <c r="Y42" s="92">
        <v>7</v>
      </c>
      <c r="Z42" s="92">
        <v>5</v>
      </c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</row>
    <row r="43" spans="1:57" ht="14.1" hidden="1" customHeight="1">
      <c r="A43" s="97" t="s">
        <v>82</v>
      </c>
      <c r="B43" s="98" t="s">
        <v>42</v>
      </c>
      <c r="C43" s="92">
        <v>172</v>
      </c>
      <c r="D43" s="92">
        <v>90</v>
      </c>
      <c r="E43" s="92">
        <v>82</v>
      </c>
      <c r="F43" s="92">
        <v>17350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35</v>
      </c>
      <c r="Q43" s="92">
        <v>41</v>
      </c>
      <c r="R43" s="92">
        <v>10665</v>
      </c>
      <c r="S43" s="92">
        <v>11</v>
      </c>
      <c r="T43" s="92">
        <v>11</v>
      </c>
      <c r="U43" s="92">
        <v>2057</v>
      </c>
      <c r="V43" s="92">
        <v>44</v>
      </c>
      <c r="W43" s="92">
        <v>30</v>
      </c>
      <c r="X43" s="92">
        <v>4628</v>
      </c>
      <c r="Y43" s="92">
        <v>0</v>
      </c>
      <c r="Z43" s="92">
        <v>0</v>
      </c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</row>
    <row r="44" spans="1:57" ht="14.1" hidden="1" customHeight="1">
      <c r="A44" s="97" t="s">
        <v>83</v>
      </c>
      <c r="B44" s="98" t="s">
        <v>44</v>
      </c>
      <c r="C44" s="92">
        <v>732</v>
      </c>
      <c r="D44" s="92">
        <v>420</v>
      </c>
      <c r="E44" s="92">
        <v>312</v>
      </c>
      <c r="F44" s="92">
        <v>30867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208</v>
      </c>
      <c r="Q44" s="92">
        <v>155</v>
      </c>
      <c r="R44" s="92">
        <v>19600</v>
      </c>
      <c r="S44" s="92">
        <v>212</v>
      </c>
      <c r="T44" s="92">
        <v>157</v>
      </c>
      <c r="U44" s="92">
        <v>11267</v>
      </c>
      <c r="V44" s="92">
        <v>0</v>
      </c>
      <c r="W44" s="92">
        <v>0</v>
      </c>
      <c r="X44" s="92">
        <v>0</v>
      </c>
      <c r="Y44" s="92">
        <v>19</v>
      </c>
      <c r="Z44" s="92">
        <v>6</v>
      </c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</row>
    <row r="45" spans="1:57" ht="14.1" hidden="1" customHeight="1">
      <c r="A45" s="97" t="s">
        <v>84</v>
      </c>
      <c r="B45" s="98" t="s">
        <v>46</v>
      </c>
      <c r="C45" s="92">
        <v>2435</v>
      </c>
      <c r="D45" s="92">
        <v>1182</v>
      </c>
      <c r="E45" s="92">
        <v>1253</v>
      </c>
      <c r="F45" s="92">
        <v>181786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92">
        <v>0</v>
      </c>
      <c r="N45" s="92">
        <v>0</v>
      </c>
      <c r="O45" s="92">
        <v>0</v>
      </c>
      <c r="P45" s="92">
        <v>549</v>
      </c>
      <c r="Q45" s="92">
        <v>385</v>
      </c>
      <c r="R45" s="92">
        <v>86338</v>
      </c>
      <c r="S45" s="92">
        <v>122</v>
      </c>
      <c r="T45" s="92">
        <v>166</v>
      </c>
      <c r="U45" s="92">
        <v>22830</v>
      </c>
      <c r="V45" s="92">
        <v>511</v>
      </c>
      <c r="W45" s="92">
        <v>702</v>
      </c>
      <c r="X45" s="92">
        <v>72618</v>
      </c>
      <c r="Y45" s="92">
        <v>0</v>
      </c>
      <c r="Z45" s="92">
        <v>0</v>
      </c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</row>
    <row r="46" spans="1:57" ht="14.1" hidden="1" customHeight="1">
      <c r="A46" s="97" t="s">
        <v>85</v>
      </c>
      <c r="B46" s="98" t="s">
        <v>48</v>
      </c>
      <c r="C46" s="92">
        <v>1606</v>
      </c>
      <c r="D46" s="92">
        <v>894</v>
      </c>
      <c r="E46" s="92">
        <v>712</v>
      </c>
      <c r="F46" s="92">
        <v>117387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543</v>
      </c>
      <c r="Q46" s="92">
        <v>376</v>
      </c>
      <c r="R46" s="92">
        <v>71651</v>
      </c>
      <c r="S46" s="92">
        <v>169</v>
      </c>
      <c r="T46" s="92">
        <v>194</v>
      </c>
      <c r="U46" s="92">
        <v>24391</v>
      </c>
      <c r="V46" s="92">
        <v>182</v>
      </c>
      <c r="W46" s="92">
        <v>142</v>
      </c>
      <c r="X46" s="92">
        <v>21345</v>
      </c>
      <c r="Y46" s="92">
        <v>22</v>
      </c>
      <c r="Z46" s="92">
        <v>19</v>
      </c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</row>
    <row r="47" spans="1:57" ht="14.1" hidden="1" customHeight="1">
      <c r="A47" s="97" t="s">
        <v>86</v>
      </c>
      <c r="B47" s="98" t="s">
        <v>50</v>
      </c>
      <c r="C47" s="92">
        <v>336</v>
      </c>
      <c r="D47" s="92">
        <v>172</v>
      </c>
      <c r="E47" s="92">
        <v>164</v>
      </c>
      <c r="F47" s="92">
        <v>78708</v>
      </c>
      <c r="G47" s="92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114</v>
      </c>
      <c r="Q47" s="92">
        <v>87</v>
      </c>
      <c r="R47" s="92">
        <v>61132</v>
      </c>
      <c r="S47" s="92">
        <v>8</v>
      </c>
      <c r="T47" s="92">
        <v>6</v>
      </c>
      <c r="U47" s="92">
        <v>4514</v>
      </c>
      <c r="V47" s="92">
        <v>50</v>
      </c>
      <c r="W47" s="92">
        <v>71</v>
      </c>
      <c r="X47" s="92">
        <v>13062</v>
      </c>
      <c r="Y47" s="92">
        <v>0</v>
      </c>
      <c r="Z47" s="92">
        <v>0</v>
      </c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</row>
    <row r="48" spans="1:57" ht="14.1" hidden="1" customHeight="1">
      <c r="A48" s="97" t="s">
        <v>87</v>
      </c>
      <c r="B48" s="98" t="s">
        <v>52</v>
      </c>
      <c r="C48" s="92">
        <v>467</v>
      </c>
      <c r="D48" s="92">
        <v>215</v>
      </c>
      <c r="E48" s="92">
        <v>252</v>
      </c>
      <c r="F48" s="92">
        <v>113155</v>
      </c>
      <c r="G48" s="92">
        <v>0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182</v>
      </c>
      <c r="Q48" s="92">
        <v>206</v>
      </c>
      <c r="R48" s="92">
        <v>92418</v>
      </c>
      <c r="S48" s="92">
        <v>33</v>
      </c>
      <c r="T48" s="92">
        <v>46</v>
      </c>
      <c r="U48" s="92">
        <v>20737</v>
      </c>
      <c r="V48" s="92">
        <v>0</v>
      </c>
      <c r="W48" s="92">
        <v>0</v>
      </c>
      <c r="X48" s="92">
        <v>0</v>
      </c>
      <c r="Y48" s="92">
        <v>0</v>
      </c>
      <c r="Z48" s="92">
        <v>0</v>
      </c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</row>
    <row r="49" spans="1:57" ht="14.1" hidden="1" customHeight="1">
      <c r="A49" s="97" t="s">
        <v>88</v>
      </c>
      <c r="B49" s="98" t="s">
        <v>54</v>
      </c>
      <c r="C49" s="92">
        <v>949</v>
      </c>
      <c r="D49" s="92">
        <v>617</v>
      </c>
      <c r="E49" s="92">
        <v>332</v>
      </c>
      <c r="F49" s="92">
        <v>172947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510</v>
      </c>
      <c r="Q49" s="92">
        <v>244</v>
      </c>
      <c r="R49" s="92">
        <v>139065</v>
      </c>
      <c r="S49" s="92">
        <v>88</v>
      </c>
      <c r="T49" s="92">
        <v>80</v>
      </c>
      <c r="U49" s="92">
        <v>31885</v>
      </c>
      <c r="V49" s="92">
        <v>19</v>
      </c>
      <c r="W49" s="92">
        <v>8</v>
      </c>
      <c r="X49" s="92">
        <v>1997</v>
      </c>
      <c r="Y49" s="92">
        <v>168</v>
      </c>
      <c r="Z49" s="92">
        <v>90</v>
      </c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</row>
    <row r="50" spans="1:57" ht="14.1" hidden="1" customHeight="1">
      <c r="A50" s="97" t="s">
        <v>89</v>
      </c>
      <c r="B50" s="98" t="s">
        <v>56</v>
      </c>
      <c r="C50" s="92">
        <v>1561</v>
      </c>
      <c r="D50" s="92">
        <v>738</v>
      </c>
      <c r="E50" s="92">
        <v>823</v>
      </c>
      <c r="F50" s="92">
        <v>335712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2">
        <v>0</v>
      </c>
      <c r="O50" s="92">
        <v>0</v>
      </c>
      <c r="P50" s="92">
        <v>320</v>
      </c>
      <c r="Q50" s="92">
        <v>196</v>
      </c>
      <c r="R50" s="92">
        <v>134674</v>
      </c>
      <c r="S50" s="92">
        <v>37</v>
      </c>
      <c r="T50" s="92">
        <v>55</v>
      </c>
      <c r="U50" s="92">
        <v>71888</v>
      </c>
      <c r="V50" s="92">
        <v>381</v>
      </c>
      <c r="W50" s="92">
        <v>572</v>
      </c>
      <c r="X50" s="92">
        <v>129150</v>
      </c>
      <c r="Y50" s="92">
        <v>394</v>
      </c>
      <c r="Z50" s="92">
        <v>473</v>
      </c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</row>
    <row r="51" spans="1:57" ht="14.1" hidden="1" customHeight="1">
      <c r="A51" s="97" t="s">
        <v>90</v>
      </c>
      <c r="B51" s="98" t="s">
        <v>58</v>
      </c>
      <c r="C51" s="92">
        <v>968</v>
      </c>
      <c r="D51" s="92">
        <v>588</v>
      </c>
      <c r="E51" s="92">
        <v>380</v>
      </c>
      <c r="F51" s="92">
        <v>303521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352</v>
      </c>
      <c r="Q51" s="92">
        <v>164</v>
      </c>
      <c r="R51" s="92">
        <v>178016</v>
      </c>
      <c r="S51" s="92">
        <v>127</v>
      </c>
      <c r="T51" s="92">
        <v>90</v>
      </c>
      <c r="U51" s="92">
        <v>76897</v>
      </c>
      <c r="V51" s="92">
        <v>109</v>
      </c>
      <c r="W51" s="92">
        <v>126</v>
      </c>
      <c r="X51" s="92">
        <v>48608</v>
      </c>
      <c r="Y51" s="92">
        <v>206</v>
      </c>
      <c r="Z51" s="92">
        <v>128</v>
      </c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</row>
    <row r="52" spans="1:57" ht="14.1" hidden="1" customHeight="1">
      <c r="A52" s="97" t="s">
        <v>91</v>
      </c>
      <c r="B52" s="98" t="s">
        <v>60</v>
      </c>
      <c r="C52" s="92">
        <v>721</v>
      </c>
      <c r="D52" s="92">
        <v>355</v>
      </c>
      <c r="E52" s="92">
        <v>366</v>
      </c>
      <c r="F52" s="92">
        <v>330080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2">
        <v>0</v>
      </c>
      <c r="O52" s="92">
        <v>0</v>
      </c>
      <c r="P52" s="92">
        <v>76</v>
      </c>
      <c r="Q52" s="92">
        <v>26</v>
      </c>
      <c r="R52" s="92">
        <v>52394</v>
      </c>
      <c r="S52" s="92">
        <v>82</v>
      </c>
      <c r="T52" s="92">
        <v>84</v>
      </c>
      <c r="U52" s="92">
        <v>88551</v>
      </c>
      <c r="V52" s="92">
        <v>197</v>
      </c>
      <c r="W52" s="92">
        <v>256</v>
      </c>
      <c r="X52" s="92">
        <v>189135</v>
      </c>
      <c r="Y52" s="92">
        <v>0</v>
      </c>
      <c r="Z52" s="92">
        <v>0</v>
      </c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</row>
    <row r="53" spans="1:57" ht="14.1" hidden="1" customHeight="1">
      <c r="A53" s="97" t="s">
        <v>92</v>
      </c>
      <c r="B53" s="98" t="s">
        <v>62</v>
      </c>
      <c r="C53" s="92">
        <v>111</v>
      </c>
      <c r="D53" s="92">
        <v>54</v>
      </c>
      <c r="E53" s="92">
        <v>57</v>
      </c>
      <c r="F53" s="92">
        <v>58590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20</v>
      </c>
      <c r="Q53" s="92">
        <v>9</v>
      </c>
      <c r="R53" s="92">
        <v>14694</v>
      </c>
      <c r="S53" s="92">
        <v>5</v>
      </c>
      <c r="T53" s="92">
        <v>9</v>
      </c>
      <c r="U53" s="92">
        <v>24262</v>
      </c>
      <c r="V53" s="92">
        <v>29</v>
      </c>
      <c r="W53" s="92">
        <v>39</v>
      </c>
      <c r="X53" s="92">
        <v>19634</v>
      </c>
      <c r="Y53" s="92">
        <v>0</v>
      </c>
      <c r="Z53" s="92">
        <v>0</v>
      </c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</row>
    <row r="54" spans="1:57" ht="14.1" hidden="1" customHeight="1">
      <c r="A54" s="97" t="s">
        <v>93</v>
      </c>
      <c r="B54" s="98" t="s">
        <v>64</v>
      </c>
      <c r="C54" s="92">
        <v>242</v>
      </c>
      <c r="D54" s="92">
        <v>113</v>
      </c>
      <c r="E54" s="92">
        <v>129</v>
      </c>
      <c r="F54" s="92">
        <v>58004</v>
      </c>
      <c r="G54" s="92">
        <v>0</v>
      </c>
      <c r="H54" s="92">
        <v>0</v>
      </c>
      <c r="I54" s="92">
        <v>0</v>
      </c>
      <c r="J54" s="92">
        <v>0</v>
      </c>
      <c r="K54" s="92">
        <v>0</v>
      </c>
      <c r="L54" s="92">
        <v>0</v>
      </c>
      <c r="M54" s="92">
        <v>0</v>
      </c>
      <c r="N54" s="92">
        <v>0</v>
      </c>
      <c r="O54" s="92">
        <v>0</v>
      </c>
      <c r="P54" s="92">
        <v>55</v>
      </c>
      <c r="Q54" s="92">
        <v>51</v>
      </c>
      <c r="R54" s="92">
        <v>29841</v>
      </c>
      <c r="S54" s="92">
        <v>32</v>
      </c>
      <c r="T54" s="92">
        <v>23</v>
      </c>
      <c r="U54" s="92">
        <v>15152</v>
      </c>
      <c r="V54" s="92">
        <v>26</v>
      </c>
      <c r="W54" s="92">
        <v>55</v>
      </c>
      <c r="X54" s="92">
        <v>13011</v>
      </c>
      <c r="Y54" s="92">
        <v>0</v>
      </c>
      <c r="Z54" s="92">
        <v>0</v>
      </c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</row>
    <row r="55" spans="1:57" ht="14.1" hidden="1" customHeight="1">
      <c r="A55" s="97" t="s">
        <v>94</v>
      </c>
      <c r="B55" s="98" t="s">
        <v>66</v>
      </c>
      <c r="C55" s="92">
        <v>119</v>
      </c>
      <c r="D55" s="92">
        <v>48</v>
      </c>
      <c r="E55" s="92">
        <v>71</v>
      </c>
      <c r="F55" s="92">
        <v>50653</v>
      </c>
      <c r="G55" s="92">
        <v>0</v>
      </c>
      <c r="H55" s="92">
        <v>0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9</v>
      </c>
      <c r="Q55" s="92">
        <v>18</v>
      </c>
      <c r="R55" s="92">
        <v>30882</v>
      </c>
      <c r="S55" s="92">
        <v>38</v>
      </c>
      <c r="T55" s="92">
        <v>53</v>
      </c>
      <c r="U55" s="92">
        <v>19743</v>
      </c>
      <c r="V55" s="92">
        <v>1</v>
      </c>
      <c r="W55" s="92">
        <v>0</v>
      </c>
      <c r="X55" s="92">
        <v>28</v>
      </c>
      <c r="Y55" s="92">
        <v>0</v>
      </c>
      <c r="Z55" s="92">
        <v>0</v>
      </c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</row>
    <row r="56" spans="1:57" ht="14.1" hidden="1" customHeight="1">
      <c r="A56" s="97" t="s">
        <v>95</v>
      </c>
      <c r="B56" s="98" t="s">
        <v>68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0</v>
      </c>
      <c r="Q56" s="92">
        <v>0</v>
      </c>
      <c r="R56" s="92">
        <v>0</v>
      </c>
      <c r="S56" s="92">
        <v>0</v>
      </c>
      <c r="T56" s="92">
        <v>0</v>
      </c>
      <c r="U56" s="92">
        <v>0</v>
      </c>
      <c r="V56" s="92">
        <v>0</v>
      </c>
      <c r="W56" s="92">
        <v>0</v>
      </c>
      <c r="X56" s="92">
        <v>0</v>
      </c>
      <c r="Y56" s="92">
        <v>0</v>
      </c>
      <c r="Z56" s="92">
        <v>0</v>
      </c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</row>
    <row r="57" spans="1:57" ht="14.1" hidden="1" customHeight="1">
      <c r="A57" s="99" t="s">
        <v>96</v>
      </c>
      <c r="B57" s="100" t="s">
        <v>70</v>
      </c>
      <c r="C57" s="101">
        <v>0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</v>
      </c>
      <c r="T57" s="101">
        <v>0</v>
      </c>
      <c r="U57" s="101">
        <v>0</v>
      </c>
      <c r="V57" s="101">
        <v>0</v>
      </c>
      <c r="W57" s="101">
        <v>0</v>
      </c>
      <c r="X57" s="101">
        <v>0</v>
      </c>
      <c r="Y57" s="101">
        <v>0</v>
      </c>
      <c r="Z57" s="101">
        <v>0</v>
      </c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</row>
    <row r="58" spans="1:57" hidden="1"/>
    <row r="59" spans="1:57" s="109" customFormat="1" ht="14.1" hidden="1" customHeight="1">
      <c r="A59" s="189" t="s">
        <v>284</v>
      </c>
      <c r="B59" s="107" t="s">
        <v>26</v>
      </c>
      <c r="C59" s="93" t="str">
        <f t="shared" ref="C59:Z69" si="0">IF(C35=C8,"","*")</f>
        <v>*</v>
      </c>
      <c r="D59" s="93" t="str">
        <f t="shared" si="0"/>
        <v>*</v>
      </c>
      <c r="E59" s="93" t="str">
        <f t="shared" si="0"/>
        <v>*</v>
      </c>
      <c r="F59" s="93" t="str">
        <f t="shared" si="0"/>
        <v>*</v>
      </c>
      <c r="G59" s="93" t="str">
        <f t="shared" si="0"/>
        <v/>
      </c>
      <c r="H59" s="93" t="str">
        <f t="shared" si="0"/>
        <v/>
      </c>
      <c r="I59" s="93" t="str">
        <f t="shared" si="0"/>
        <v/>
      </c>
      <c r="J59" s="93" t="str">
        <f t="shared" si="0"/>
        <v/>
      </c>
      <c r="K59" s="93" t="str">
        <f t="shared" si="0"/>
        <v/>
      </c>
      <c r="L59" s="93" t="str">
        <f t="shared" si="0"/>
        <v/>
      </c>
      <c r="M59" s="93" t="str">
        <f t="shared" si="0"/>
        <v/>
      </c>
      <c r="N59" s="93" t="str">
        <f t="shared" si="0"/>
        <v/>
      </c>
      <c r="O59" s="93" t="str">
        <f t="shared" si="0"/>
        <v/>
      </c>
      <c r="P59" s="93" t="str">
        <f t="shared" si="0"/>
        <v>*</v>
      </c>
      <c r="Q59" s="93" t="str">
        <f t="shared" si="0"/>
        <v>*</v>
      </c>
      <c r="R59" s="93" t="str">
        <f t="shared" si="0"/>
        <v>*</v>
      </c>
      <c r="S59" s="93" t="str">
        <f t="shared" si="0"/>
        <v>*</v>
      </c>
      <c r="T59" s="93" t="str">
        <f t="shared" si="0"/>
        <v>*</v>
      </c>
      <c r="U59" s="93" t="str">
        <f t="shared" si="0"/>
        <v>*</v>
      </c>
      <c r="V59" s="93" t="str">
        <f t="shared" si="0"/>
        <v/>
      </c>
      <c r="W59" s="93" t="str">
        <f t="shared" si="0"/>
        <v/>
      </c>
      <c r="X59" s="93" t="str">
        <f t="shared" si="0"/>
        <v/>
      </c>
      <c r="Y59" s="93" t="str">
        <f t="shared" si="0"/>
        <v/>
      </c>
      <c r="Z59" s="93" t="str">
        <f t="shared" si="0"/>
        <v>*</v>
      </c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</row>
    <row r="60" spans="1:57" s="95" customFormat="1" ht="14.1" hidden="1" customHeight="1">
      <c r="A60" s="91" t="s">
        <v>75</v>
      </c>
      <c r="B60" s="68" t="s">
        <v>28</v>
      </c>
      <c r="C60" s="93" t="str">
        <f t="shared" si="0"/>
        <v/>
      </c>
      <c r="D60" s="93" t="str">
        <f t="shared" si="0"/>
        <v/>
      </c>
      <c r="E60" s="93" t="str">
        <f t="shared" si="0"/>
        <v/>
      </c>
      <c r="F60" s="93" t="str">
        <f t="shared" si="0"/>
        <v/>
      </c>
      <c r="G60" s="93" t="str">
        <f t="shared" si="0"/>
        <v/>
      </c>
      <c r="H60" s="93" t="str">
        <f t="shared" si="0"/>
        <v/>
      </c>
      <c r="I60" s="93" t="str">
        <f t="shared" si="0"/>
        <v/>
      </c>
      <c r="J60" s="93" t="str">
        <f t="shared" si="0"/>
        <v/>
      </c>
      <c r="K60" s="93" t="str">
        <f t="shared" si="0"/>
        <v/>
      </c>
      <c r="L60" s="93" t="str">
        <f t="shared" si="0"/>
        <v/>
      </c>
      <c r="M60" s="93" t="str">
        <f t="shared" si="0"/>
        <v/>
      </c>
      <c r="N60" s="93" t="str">
        <f t="shared" si="0"/>
        <v/>
      </c>
      <c r="O60" s="93" t="str">
        <f t="shared" si="0"/>
        <v/>
      </c>
      <c r="P60" s="93" t="str">
        <f t="shared" si="0"/>
        <v/>
      </c>
      <c r="Q60" s="93" t="str">
        <f t="shared" si="0"/>
        <v/>
      </c>
      <c r="R60" s="93" t="str">
        <f t="shared" si="0"/>
        <v/>
      </c>
      <c r="S60" s="93" t="str">
        <f t="shared" si="0"/>
        <v/>
      </c>
      <c r="T60" s="93" t="str">
        <f t="shared" si="0"/>
        <v/>
      </c>
      <c r="U60" s="93" t="str">
        <f t="shared" si="0"/>
        <v/>
      </c>
      <c r="V60" s="93" t="str">
        <f t="shared" si="0"/>
        <v/>
      </c>
      <c r="W60" s="93" t="str">
        <f t="shared" si="0"/>
        <v/>
      </c>
      <c r="X60" s="93" t="str">
        <f t="shared" si="0"/>
        <v/>
      </c>
      <c r="Y60" s="93" t="str">
        <f t="shared" si="0"/>
        <v/>
      </c>
      <c r="Z60" s="93" t="str">
        <f t="shared" si="0"/>
        <v/>
      </c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</row>
    <row r="61" spans="1:57" s="95" customFormat="1" ht="14.1" hidden="1" customHeight="1">
      <c r="A61" s="91" t="s">
        <v>76</v>
      </c>
      <c r="B61" s="68" t="s">
        <v>30</v>
      </c>
      <c r="C61" s="93" t="str">
        <f t="shared" si="0"/>
        <v/>
      </c>
      <c r="D61" s="93" t="str">
        <f t="shared" si="0"/>
        <v/>
      </c>
      <c r="E61" s="93" t="str">
        <f t="shared" si="0"/>
        <v/>
      </c>
      <c r="F61" s="93" t="str">
        <f t="shared" si="0"/>
        <v/>
      </c>
      <c r="G61" s="93" t="str">
        <f t="shared" si="0"/>
        <v/>
      </c>
      <c r="H61" s="93" t="str">
        <f t="shared" si="0"/>
        <v/>
      </c>
      <c r="I61" s="93" t="str">
        <f t="shared" si="0"/>
        <v/>
      </c>
      <c r="J61" s="93" t="str">
        <f t="shared" si="0"/>
        <v/>
      </c>
      <c r="K61" s="93" t="str">
        <f t="shared" si="0"/>
        <v/>
      </c>
      <c r="L61" s="93" t="str">
        <f t="shared" si="0"/>
        <v/>
      </c>
      <c r="M61" s="93" t="str">
        <f t="shared" si="0"/>
        <v/>
      </c>
      <c r="N61" s="93" t="str">
        <f t="shared" si="0"/>
        <v/>
      </c>
      <c r="O61" s="93" t="str">
        <f t="shared" si="0"/>
        <v/>
      </c>
      <c r="P61" s="93" t="str">
        <f t="shared" si="0"/>
        <v/>
      </c>
      <c r="Q61" s="93" t="str">
        <f t="shared" si="0"/>
        <v/>
      </c>
      <c r="R61" s="93" t="str">
        <f t="shared" si="0"/>
        <v/>
      </c>
      <c r="S61" s="93" t="str">
        <f t="shared" si="0"/>
        <v/>
      </c>
      <c r="T61" s="93" t="str">
        <f t="shared" si="0"/>
        <v/>
      </c>
      <c r="U61" s="93" t="str">
        <f t="shared" si="0"/>
        <v/>
      </c>
      <c r="V61" s="93" t="str">
        <f t="shared" si="0"/>
        <v/>
      </c>
      <c r="W61" s="93" t="str">
        <f t="shared" si="0"/>
        <v/>
      </c>
      <c r="X61" s="93" t="str">
        <f t="shared" si="0"/>
        <v/>
      </c>
      <c r="Y61" s="93" t="str">
        <f t="shared" si="0"/>
        <v/>
      </c>
      <c r="Z61" s="93" t="str">
        <f t="shared" si="0"/>
        <v/>
      </c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</row>
    <row r="62" spans="1:57" s="95" customFormat="1" ht="14.1" hidden="1" customHeight="1">
      <c r="A62" s="91" t="s">
        <v>77</v>
      </c>
      <c r="B62" s="68" t="s">
        <v>32</v>
      </c>
      <c r="C62" s="93" t="str">
        <f t="shared" si="0"/>
        <v/>
      </c>
      <c r="D62" s="93" t="str">
        <f t="shared" si="0"/>
        <v/>
      </c>
      <c r="E62" s="93" t="str">
        <f t="shared" si="0"/>
        <v/>
      </c>
      <c r="F62" s="93" t="str">
        <f t="shared" si="0"/>
        <v/>
      </c>
      <c r="G62" s="93" t="str">
        <f t="shared" si="0"/>
        <v/>
      </c>
      <c r="H62" s="93" t="str">
        <f t="shared" si="0"/>
        <v/>
      </c>
      <c r="I62" s="93" t="str">
        <f t="shared" si="0"/>
        <v/>
      </c>
      <c r="J62" s="93" t="str">
        <f t="shared" si="0"/>
        <v/>
      </c>
      <c r="K62" s="93" t="str">
        <f t="shared" si="0"/>
        <v/>
      </c>
      <c r="L62" s="93" t="str">
        <f t="shared" si="0"/>
        <v/>
      </c>
      <c r="M62" s="93" t="str">
        <f t="shared" si="0"/>
        <v/>
      </c>
      <c r="N62" s="93" t="str">
        <f t="shared" si="0"/>
        <v/>
      </c>
      <c r="O62" s="93" t="str">
        <f t="shared" si="0"/>
        <v/>
      </c>
      <c r="P62" s="93" t="str">
        <f t="shared" si="0"/>
        <v/>
      </c>
      <c r="Q62" s="93" t="str">
        <f t="shared" si="0"/>
        <v/>
      </c>
      <c r="R62" s="93" t="str">
        <f t="shared" si="0"/>
        <v/>
      </c>
      <c r="S62" s="93" t="str">
        <f t="shared" si="0"/>
        <v/>
      </c>
      <c r="T62" s="93" t="str">
        <f t="shared" si="0"/>
        <v/>
      </c>
      <c r="U62" s="93" t="str">
        <f t="shared" si="0"/>
        <v/>
      </c>
      <c r="V62" s="93" t="str">
        <f t="shared" si="0"/>
        <v/>
      </c>
      <c r="W62" s="93" t="str">
        <f t="shared" si="0"/>
        <v/>
      </c>
      <c r="X62" s="93" t="str">
        <f t="shared" si="0"/>
        <v/>
      </c>
      <c r="Y62" s="93" t="str">
        <f t="shared" si="0"/>
        <v/>
      </c>
      <c r="Z62" s="93" t="str">
        <f t="shared" si="0"/>
        <v/>
      </c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</row>
    <row r="63" spans="1:57" s="95" customFormat="1" ht="14.1" hidden="1" customHeight="1">
      <c r="A63" s="91" t="s">
        <v>78</v>
      </c>
      <c r="B63" s="68" t="s">
        <v>34</v>
      </c>
      <c r="C63" s="93" t="str">
        <f t="shared" si="0"/>
        <v/>
      </c>
      <c r="D63" s="93" t="str">
        <f t="shared" si="0"/>
        <v/>
      </c>
      <c r="E63" s="93" t="str">
        <f t="shared" si="0"/>
        <v/>
      </c>
      <c r="F63" s="93" t="str">
        <f t="shared" si="0"/>
        <v/>
      </c>
      <c r="G63" s="93" t="str">
        <f t="shared" si="0"/>
        <v/>
      </c>
      <c r="H63" s="93" t="str">
        <f t="shared" si="0"/>
        <v/>
      </c>
      <c r="I63" s="93" t="str">
        <f t="shared" si="0"/>
        <v/>
      </c>
      <c r="J63" s="93" t="str">
        <f t="shared" si="0"/>
        <v/>
      </c>
      <c r="K63" s="93" t="str">
        <f t="shared" si="0"/>
        <v/>
      </c>
      <c r="L63" s="93" t="str">
        <f t="shared" si="0"/>
        <v/>
      </c>
      <c r="M63" s="93" t="str">
        <f t="shared" si="0"/>
        <v/>
      </c>
      <c r="N63" s="93" t="str">
        <f t="shared" si="0"/>
        <v/>
      </c>
      <c r="O63" s="93" t="str">
        <f t="shared" si="0"/>
        <v/>
      </c>
      <c r="P63" s="93" t="str">
        <f t="shared" si="0"/>
        <v/>
      </c>
      <c r="Q63" s="93" t="str">
        <f t="shared" si="0"/>
        <v/>
      </c>
      <c r="R63" s="93" t="str">
        <f t="shared" si="0"/>
        <v/>
      </c>
      <c r="S63" s="93" t="str">
        <f t="shared" si="0"/>
        <v/>
      </c>
      <c r="T63" s="93" t="str">
        <f t="shared" si="0"/>
        <v/>
      </c>
      <c r="U63" s="93" t="str">
        <f t="shared" si="0"/>
        <v/>
      </c>
      <c r="V63" s="93" t="str">
        <f t="shared" si="0"/>
        <v/>
      </c>
      <c r="W63" s="93" t="str">
        <f t="shared" si="0"/>
        <v/>
      </c>
      <c r="X63" s="93" t="str">
        <f t="shared" si="0"/>
        <v/>
      </c>
      <c r="Y63" s="93" t="str">
        <f t="shared" si="0"/>
        <v/>
      </c>
      <c r="Z63" s="93" t="str">
        <f t="shared" si="0"/>
        <v/>
      </c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</row>
    <row r="64" spans="1:57" s="95" customFormat="1" ht="14.1" hidden="1" customHeight="1">
      <c r="A64" s="91" t="s">
        <v>79</v>
      </c>
      <c r="B64" s="68" t="s">
        <v>36</v>
      </c>
      <c r="C64" s="93" t="str">
        <f t="shared" si="0"/>
        <v/>
      </c>
      <c r="D64" s="93" t="str">
        <f t="shared" si="0"/>
        <v/>
      </c>
      <c r="E64" s="93" t="str">
        <f t="shared" si="0"/>
        <v/>
      </c>
      <c r="F64" s="93" t="str">
        <f t="shared" si="0"/>
        <v/>
      </c>
      <c r="G64" s="93" t="str">
        <f t="shared" si="0"/>
        <v/>
      </c>
      <c r="H64" s="93" t="str">
        <f t="shared" si="0"/>
        <v/>
      </c>
      <c r="I64" s="93" t="str">
        <f t="shared" si="0"/>
        <v/>
      </c>
      <c r="J64" s="93" t="str">
        <f t="shared" si="0"/>
        <v/>
      </c>
      <c r="K64" s="93" t="str">
        <f t="shared" si="0"/>
        <v/>
      </c>
      <c r="L64" s="93" t="str">
        <f t="shared" si="0"/>
        <v/>
      </c>
      <c r="M64" s="93" t="str">
        <f t="shared" si="0"/>
        <v/>
      </c>
      <c r="N64" s="93" t="str">
        <f t="shared" si="0"/>
        <v/>
      </c>
      <c r="O64" s="93" t="str">
        <f t="shared" si="0"/>
        <v/>
      </c>
      <c r="P64" s="93" t="str">
        <f t="shared" si="0"/>
        <v/>
      </c>
      <c r="Q64" s="93" t="str">
        <f t="shared" si="0"/>
        <v/>
      </c>
      <c r="R64" s="93" t="str">
        <f t="shared" si="0"/>
        <v/>
      </c>
      <c r="S64" s="93" t="str">
        <f t="shared" si="0"/>
        <v/>
      </c>
      <c r="T64" s="93" t="str">
        <f t="shared" si="0"/>
        <v/>
      </c>
      <c r="U64" s="93" t="str">
        <f t="shared" si="0"/>
        <v/>
      </c>
      <c r="V64" s="93" t="str">
        <f t="shared" si="0"/>
        <v/>
      </c>
      <c r="W64" s="93" t="str">
        <f t="shared" si="0"/>
        <v/>
      </c>
      <c r="X64" s="93" t="str">
        <f t="shared" si="0"/>
        <v/>
      </c>
      <c r="Y64" s="93" t="str">
        <f t="shared" si="0"/>
        <v/>
      </c>
      <c r="Z64" s="93" t="str">
        <f t="shared" si="0"/>
        <v/>
      </c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</row>
    <row r="65" spans="1:55" s="95" customFormat="1" ht="14.1" hidden="1" customHeight="1">
      <c r="A65" s="91" t="s">
        <v>282</v>
      </c>
      <c r="B65" s="68" t="s">
        <v>38</v>
      </c>
      <c r="C65" s="93" t="str">
        <f t="shared" si="0"/>
        <v/>
      </c>
      <c r="D65" s="93" t="str">
        <f t="shared" si="0"/>
        <v/>
      </c>
      <c r="E65" s="93" t="str">
        <f t="shared" si="0"/>
        <v/>
      </c>
      <c r="F65" s="93" t="str">
        <f t="shared" si="0"/>
        <v/>
      </c>
      <c r="G65" s="93" t="str">
        <f t="shared" si="0"/>
        <v/>
      </c>
      <c r="H65" s="93" t="str">
        <f t="shared" si="0"/>
        <v/>
      </c>
      <c r="I65" s="93" t="str">
        <f t="shared" si="0"/>
        <v/>
      </c>
      <c r="J65" s="93" t="str">
        <f t="shared" si="0"/>
        <v/>
      </c>
      <c r="K65" s="93" t="str">
        <f t="shared" si="0"/>
        <v/>
      </c>
      <c r="L65" s="93" t="str">
        <f t="shared" si="0"/>
        <v/>
      </c>
      <c r="M65" s="93" t="str">
        <f t="shared" si="0"/>
        <v/>
      </c>
      <c r="N65" s="93" t="str">
        <f t="shared" si="0"/>
        <v/>
      </c>
      <c r="O65" s="93" t="str">
        <f t="shared" si="0"/>
        <v/>
      </c>
      <c r="P65" s="93" t="str">
        <f t="shared" si="0"/>
        <v/>
      </c>
      <c r="Q65" s="93" t="str">
        <f t="shared" si="0"/>
        <v/>
      </c>
      <c r="R65" s="93" t="str">
        <f t="shared" si="0"/>
        <v/>
      </c>
      <c r="S65" s="93" t="str">
        <f t="shared" si="0"/>
        <v/>
      </c>
      <c r="T65" s="93" t="str">
        <f t="shared" si="0"/>
        <v/>
      </c>
      <c r="U65" s="93" t="str">
        <f t="shared" si="0"/>
        <v/>
      </c>
      <c r="V65" s="93" t="str">
        <f t="shared" si="0"/>
        <v/>
      </c>
      <c r="W65" s="93" t="str">
        <f t="shared" si="0"/>
        <v/>
      </c>
      <c r="X65" s="93" t="str">
        <f t="shared" si="0"/>
        <v/>
      </c>
      <c r="Y65" s="93" t="str">
        <f t="shared" si="0"/>
        <v/>
      </c>
      <c r="Z65" s="93" t="str">
        <f t="shared" si="0"/>
        <v/>
      </c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</row>
    <row r="66" spans="1:55" ht="14.1" hidden="1" customHeight="1">
      <c r="A66" s="97" t="s">
        <v>81</v>
      </c>
      <c r="B66" s="98" t="s">
        <v>40</v>
      </c>
      <c r="C66" s="93" t="str">
        <f t="shared" si="0"/>
        <v/>
      </c>
      <c r="D66" s="93" t="str">
        <f t="shared" si="0"/>
        <v/>
      </c>
      <c r="E66" s="93" t="str">
        <f t="shared" si="0"/>
        <v/>
      </c>
      <c r="F66" s="93" t="str">
        <f t="shared" si="0"/>
        <v/>
      </c>
      <c r="G66" s="93" t="str">
        <f t="shared" si="0"/>
        <v/>
      </c>
      <c r="H66" s="93" t="str">
        <f t="shared" si="0"/>
        <v/>
      </c>
      <c r="I66" s="93" t="str">
        <f t="shared" si="0"/>
        <v/>
      </c>
      <c r="J66" s="93" t="str">
        <f t="shared" si="0"/>
        <v/>
      </c>
      <c r="K66" s="93" t="str">
        <f t="shared" si="0"/>
        <v/>
      </c>
      <c r="L66" s="93" t="str">
        <f t="shared" si="0"/>
        <v/>
      </c>
      <c r="M66" s="93" t="str">
        <f t="shared" si="0"/>
        <v/>
      </c>
      <c r="N66" s="93" t="str">
        <f t="shared" si="0"/>
        <v/>
      </c>
      <c r="O66" s="93" t="str">
        <f t="shared" si="0"/>
        <v/>
      </c>
      <c r="P66" s="93" t="str">
        <f t="shared" si="0"/>
        <v/>
      </c>
      <c r="Q66" s="93" t="str">
        <f t="shared" si="0"/>
        <v/>
      </c>
      <c r="R66" s="93" t="str">
        <f t="shared" si="0"/>
        <v/>
      </c>
      <c r="S66" s="93" t="str">
        <f t="shared" si="0"/>
        <v/>
      </c>
      <c r="T66" s="93" t="str">
        <f t="shared" si="0"/>
        <v/>
      </c>
      <c r="U66" s="93" t="str">
        <f t="shared" si="0"/>
        <v/>
      </c>
      <c r="V66" s="93" t="str">
        <f t="shared" si="0"/>
        <v/>
      </c>
      <c r="W66" s="93" t="str">
        <f t="shared" si="0"/>
        <v/>
      </c>
      <c r="X66" s="93" t="str">
        <f t="shared" si="0"/>
        <v/>
      </c>
      <c r="Y66" s="93" t="str">
        <f t="shared" si="0"/>
        <v/>
      </c>
      <c r="Z66" s="93" t="str">
        <f t="shared" si="0"/>
        <v/>
      </c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</row>
    <row r="67" spans="1:55" ht="14.1" hidden="1" customHeight="1">
      <c r="A67" s="97" t="s">
        <v>82</v>
      </c>
      <c r="B67" s="98" t="s">
        <v>42</v>
      </c>
      <c r="C67" s="93" t="str">
        <f t="shared" si="0"/>
        <v/>
      </c>
      <c r="D67" s="93" t="str">
        <f t="shared" si="0"/>
        <v/>
      </c>
      <c r="E67" s="93" t="str">
        <f t="shared" si="0"/>
        <v/>
      </c>
      <c r="F67" s="93" t="str">
        <f t="shared" si="0"/>
        <v/>
      </c>
      <c r="G67" s="93" t="str">
        <f t="shared" si="0"/>
        <v/>
      </c>
      <c r="H67" s="93" t="str">
        <f t="shared" si="0"/>
        <v/>
      </c>
      <c r="I67" s="93" t="str">
        <f t="shared" si="0"/>
        <v/>
      </c>
      <c r="J67" s="93" t="str">
        <f t="shared" si="0"/>
        <v/>
      </c>
      <c r="K67" s="93" t="str">
        <f t="shared" si="0"/>
        <v/>
      </c>
      <c r="L67" s="93" t="str">
        <f t="shared" si="0"/>
        <v/>
      </c>
      <c r="M67" s="93" t="str">
        <f t="shared" si="0"/>
        <v/>
      </c>
      <c r="N67" s="93" t="str">
        <f t="shared" si="0"/>
        <v/>
      </c>
      <c r="O67" s="93" t="str">
        <f t="shared" si="0"/>
        <v/>
      </c>
      <c r="P67" s="93" t="str">
        <f t="shared" si="0"/>
        <v/>
      </c>
      <c r="Q67" s="93" t="str">
        <f t="shared" si="0"/>
        <v/>
      </c>
      <c r="R67" s="93" t="str">
        <f t="shared" si="0"/>
        <v/>
      </c>
      <c r="S67" s="93" t="str">
        <f t="shared" si="0"/>
        <v/>
      </c>
      <c r="T67" s="93" t="str">
        <f t="shared" si="0"/>
        <v/>
      </c>
      <c r="U67" s="93" t="str">
        <f t="shared" si="0"/>
        <v/>
      </c>
      <c r="V67" s="93" t="str">
        <f t="shared" si="0"/>
        <v/>
      </c>
      <c r="W67" s="93" t="str">
        <f t="shared" si="0"/>
        <v/>
      </c>
      <c r="X67" s="93" t="str">
        <f t="shared" si="0"/>
        <v/>
      </c>
      <c r="Y67" s="93" t="str">
        <f t="shared" si="0"/>
        <v/>
      </c>
      <c r="Z67" s="93" t="str">
        <f t="shared" si="0"/>
        <v/>
      </c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</row>
    <row r="68" spans="1:55" ht="14.1" hidden="1" customHeight="1">
      <c r="A68" s="97" t="s">
        <v>83</v>
      </c>
      <c r="B68" s="98" t="s">
        <v>44</v>
      </c>
      <c r="C68" s="93" t="str">
        <f t="shared" si="0"/>
        <v>*</v>
      </c>
      <c r="D68" s="93" t="str">
        <f t="shared" si="0"/>
        <v>*</v>
      </c>
      <c r="E68" s="93" t="str">
        <f t="shared" si="0"/>
        <v>*</v>
      </c>
      <c r="F68" s="93" t="str">
        <f t="shared" si="0"/>
        <v>*</v>
      </c>
      <c r="G68" s="93" t="str">
        <f t="shared" si="0"/>
        <v/>
      </c>
      <c r="H68" s="93" t="str">
        <f t="shared" si="0"/>
        <v/>
      </c>
      <c r="I68" s="93" t="str">
        <f t="shared" si="0"/>
        <v/>
      </c>
      <c r="J68" s="93" t="str">
        <f t="shared" si="0"/>
        <v/>
      </c>
      <c r="K68" s="93" t="str">
        <f t="shared" si="0"/>
        <v/>
      </c>
      <c r="L68" s="93" t="str">
        <f t="shared" si="0"/>
        <v/>
      </c>
      <c r="M68" s="93" t="str">
        <f t="shared" si="0"/>
        <v/>
      </c>
      <c r="N68" s="93" t="str">
        <f t="shared" si="0"/>
        <v/>
      </c>
      <c r="O68" s="93" t="str">
        <f t="shared" si="0"/>
        <v/>
      </c>
      <c r="P68" s="93" t="str">
        <f t="shared" si="0"/>
        <v>*</v>
      </c>
      <c r="Q68" s="93" t="str">
        <f t="shared" si="0"/>
        <v>*</v>
      </c>
      <c r="R68" s="93" t="str">
        <f t="shared" si="0"/>
        <v>*</v>
      </c>
      <c r="S68" s="93" t="str">
        <f t="shared" si="0"/>
        <v>*</v>
      </c>
      <c r="T68" s="93" t="str">
        <f t="shared" si="0"/>
        <v>*</v>
      </c>
      <c r="U68" s="93" t="str">
        <f t="shared" si="0"/>
        <v>*</v>
      </c>
      <c r="V68" s="93" t="str">
        <f t="shared" si="0"/>
        <v/>
      </c>
      <c r="W68" s="93" t="str">
        <f t="shared" si="0"/>
        <v/>
      </c>
      <c r="X68" s="93" t="str">
        <f t="shared" si="0"/>
        <v/>
      </c>
      <c r="Y68" s="93" t="str">
        <f t="shared" si="0"/>
        <v/>
      </c>
      <c r="Z68" s="93" t="str">
        <f t="shared" si="0"/>
        <v>*</v>
      </c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</row>
    <row r="69" spans="1:55" ht="14.1" hidden="1" customHeight="1">
      <c r="A69" s="97" t="s">
        <v>84</v>
      </c>
      <c r="B69" s="98" t="s">
        <v>46</v>
      </c>
      <c r="C69" s="93" t="str">
        <f t="shared" si="0"/>
        <v/>
      </c>
      <c r="D69" s="93" t="str">
        <f t="shared" si="0"/>
        <v/>
      </c>
      <c r="E69" s="93" t="str">
        <f t="shared" si="0"/>
        <v/>
      </c>
      <c r="F69" s="93" t="str">
        <f t="shared" si="0"/>
        <v/>
      </c>
      <c r="G69" s="93" t="str">
        <f t="shared" si="0"/>
        <v/>
      </c>
      <c r="H69" s="93" t="str">
        <f t="shared" si="0"/>
        <v/>
      </c>
      <c r="I69" s="93" t="str">
        <f t="shared" si="0"/>
        <v/>
      </c>
      <c r="J69" s="93" t="str">
        <f t="shared" si="0"/>
        <v/>
      </c>
      <c r="K69" s="93" t="str">
        <f t="shared" si="0"/>
        <v/>
      </c>
      <c r="L69" s="93" t="str">
        <f t="shared" si="0"/>
        <v/>
      </c>
      <c r="M69" s="93" t="str">
        <f t="shared" si="0"/>
        <v/>
      </c>
      <c r="N69" s="93" t="str">
        <f t="shared" si="0"/>
        <v/>
      </c>
      <c r="O69" s="93" t="str">
        <f t="shared" si="0"/>
        <v/>
      </c>
      <c r="P69" s="93" t="str">
        <f t="shared" si="0"/>
        <v/>
      </c>
      <c r="Q69" s="93" t="str">
        <f t="shared" si="0"/>
        <v/>
      </c>
      <c r="R69" s="93" t="str">
        <f t="shared" ref="D69:Z80" si="1">IF(R45=R18,"","*")</f>
        <v/>
      </c>
      <c r="S69" s="93" t="str">
        <f t="shared" si="1"/>
        <v/>
      </c>
      <c r="T69" s="93" t="str">
        <f t="shared" si="1"/>
        <v/>
      </c>
      <c r="U69" s="93" t="str">
        <f t="shared" si="1"/>
        <v/>
      </c>
      <c r="V69" s="93" t="str">
        <f t="shared" si="1"/>
        <v/>
      </c>
      <c r="W69" s="93" t="str">
        <f t="shared" si="1"/>
        <v/>
      </c>
      <c r="X69" s="93" t="str">
        <f t="shared" si="1"/>
        <v/>
      </c>
      <c r="Y69" s="93" t="str">
        <f t="shared" si="1"/>
        <v/>
      </c>
      <c r="Z69" s="93" t="str">
        <f t="shared" si="1"/>
        <v/>
      </c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</row>
    <row r="70" spans="1:55" ht="14.1" hidden="1" customHeight="1">
      <c r="A70" s="97" t="s">
        <v>85</v>
      </c>
      <c r="B70" s="98" t="s">
        <v>48</v>
      </c>
      <c r="C70" s="93" t="str">
        <f t="shared" ref="C70:C81" si="2">IF(C46=C19,"","*")</f>
        <v/>
      </c>
      <c r="D70" s="93" t="str">
        <f t="shared" si="1"/>
        <v/>
      </c>
      <c r="E70" s="93" t="str">
        <f t="shared" si="1"/>
        <v/>
      </c>
      <c r="F70" s="93" t="str">
        <f t="shared" si="1"/>
        <v/>
      </c>
      <c r="G70" s="93" t="str">
        <f t="shared" si="1"/>
        <v/>
      </c>
      <c r="H70" s="93" t="str">
        <f t="shared" si="1"/>
        <v/>
      </c>
      <c r="I70" s="93" t="str">
        <f t="shared" si="1"/>
        <v/>
      </c>
      <c r="J70" s="93" t="str">
        <f t="shared" si="1"/>
        <v/>
      </c>
      <c r="K70" s="93" t="str">
        <f t="shared" si="1"/>
        <v/>
      </c>
      <c r="L70" s="93" t="str">
        <f t="shared" si="1"/>
        <v/>
      </c>
      <c r="M70" s="93" t="str">
        <f t="shared" si="1"/>
        <v/>
      </c>
      <c r="N70" s="93" t="str">
        <f t="shared" si="1"/>
        <v/>
      </c>
      <c r="O70" s="93" t="str">
        <f t="shared" si="1"/>
        <v/>
      </c>
      <c r="P70" s="93" t="str">
        <f t="shared" si="1"/>
        <v/>
      </c>
      <c r="Q70" s="93" t="str">
        <f t="shared" si="1"/>
        <v/>
      </c>
      <c r="R70" s="93" t="str">
        <f t="shared" si="1"/>
        <v/>
      </c>
      <c r="S70" s="93" t="str">
        <f t="shared" si="1"/>
        <v/>
      </c>
      <c r="T70" s="93" t="str">
        <f t="shared" si="1"/>
        <v/>
      </c>
      <c r="U70" s="93" t="str">
        <f t="shared" si="1"/>
        <v/>
      </c>
      <c r="V70" s="93" t="str">
        <f t="shared" si="1"/>
        <v/>
      </c>
      <c r="W70" s="93" t="str">
        <f t="shared" si="1"/>
        <v/>
      </c>
      <c r="X70" s="93" t="str">
        <f t="shared" si="1"/>
        <v/>
      </c>
      <c r="Y70" s="93" t="str">
        <f t="shared" si="1"/>
        <v/>
      </c>
      <c r="Z70" s="93" t="str">
        <f t="shared" si="1"/>
        <v/>
      </c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</row>
    <row r="71" spans="1:55" ht="14.1" hidden="1" customHeight="1">
      <c r="A71" s="97" t="s">
        <v>86</v>
      </c>
      <c r="B71" s="98" t="s">
        <v>50</v>
      </c>
      <c r="C71" s="93" t="str">
        <f t="shared" si="2"/>
        <v/>
      </c>
      <c r="D71" s="93" t="str">
        <f t="shared" si="1"/>
        <v/>
      </c>
      <c r="E71" s="93" t="str">
        <f t="shared" si="1"/>
        <v/>
      </c>
      <c r="F71" s="93" t="str">
        <f t="shared" si="1"/>
        <v/>
      </c>
      <c r="G71" s="93" t="str">
        <f t="shared" si="1"/>
        <v/>
      </c>
      <c r="H71" s="93" t="str">
        <f t="shared" si="1"/>
        <v/>
      </c>
      <c r="I71" s="93" t="str">
        <f t="shared" si="1"/>
        <v/>
      </c>
      <c r="J71" s="93" t="str">
        <f t="shared" si="1"/>
        <v/>
      </c>
      <c r="K71" s="93" t="str">
        <f t="shared" si="1"/>
        <v/>
      </c>
      <c r="L71" s="93" t="str">
        <f t="shared" si="1"/>
        <v/>
      </c>
      <c r="M71" s="93" t="str">
        <f t="shared" si="1"/>
        <v/>
      </c>
      <c r="N71" s="93" t="str">
        <f t="shared" si="1"/>
        <v/>
      </c>
      <c r="O71" s="93" t="str">
        <f t="shared" si="1"/>
        <v/>
      </c>
      <c r="P71" s="93" t="str">
        <f t="shared" si="1"/>
        <v/>
      </c>
      <c r="Q71" s="93" t="str">
        <f t="shared" si="1"/>
        <v/>
      </c>
      <c r="R71" s="93" t="str">
        <f t="shared" si="1"/>
        <v/>
      </c>
      <c r="S71" s="93" t="str">
        <f t="shared" si="1"/>
        <v/>
      </c>
      <c r="T71" s="93" t="str">
        <f t="shared" si="1"/>
        <v/>
      </c>
      <c r="U71" s="93" t="str">
        <f t="shared" si="1"/>
        <v/>
      </c>
      <c r="V71" s="93" t="str">
        <f t="shared" si="1"/>
        <v/>
      </c>
      <c r="W71" s="93" t="str">
        <f t="shared" si="1"/>
        <v/>
      </c>
      <c r="X71" s="93" t="str">
        <f t="shared" si="1"/>
        <v/>
      </c>
      <c r="Y71" s="93" t="str">
        <f t="shared" si="1"/>
        <v/>
      </c>
      <c r="Z71" s="93" t="str">
        <f t="shared" si="1"/>
        <v/>
      </c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</row>
    <row r="72" spans="1:55" ht="14.1" hidden="1" customHeight="1">
      <c r="A72" s="97" t="s">
        <v>87</v>
      </c>
      <c r="B72" s="98" t="s">
        <v>52</v>
      </c>
      <c r="C72" s="93" t="str">
        <f t="shared" si="2"/>
        <v/>
      </c>
      <c r="D72" s="93" t="str">
        <f t="shared" si="1"/>
        <v/>
      </c>
      <c r="E72" s="93" t="str">
        <f t="shared" si="1"/>
        <v/>
      </c>
      <c r="F72" s="93" t="str">
        <f t="shared" si="1"/>
        <v/>
      </c>
      <c r="G72" s="93" t="str">
        <f t="shared" si="1"/>
        <v/>
      </c>
      <c r="H72" s="93" t="str">
        <f t="shared" si="1"/>
        <v/>
      </c>
      <c r="I72" s="93" t="str">
        <f t="shared" si="1"/>
        <v/>
      </c>
      <c r="J72" s="93" t="str">
        <f t="shared" si="1"/>
        <v/>
      </c>
      <c r="K72" s="93" t="str">
        <f t="shared" si="1"/>
        <v/>
      </c>
      <c r="L72" s="93" t="str">
        <f t="shared" si="1"/>
        <v/>
      </c>
      <c r="M72" s="93" t="str">
        <f t="shared" si="1"/>
        <v/>
      </c>
      <c r="N72" s="93" t="str">
        <f t="shared" si="1"/>
        <v/>
      </c>
      <c r="O72" s="93" t="str">
        <f t="shared" si="1"/>
        <v/>
      </c>
      <c r="P72" s="93" t="str">
        <f t="shared" si="1"/>
        <v/>
      </c>
      <c r="Q72" s="93" t="str">
        <f t="shared" si="1"/>
        <v/>
      </c>
      <c r="R72" s="93" t="str">
        <f t="shared" si="1"/>
        <v/>
      </c>
      <c r="S72" s="93" t="str">
        <f t="shared" si="1"/>
        <v/>
      </c>
      <c r="T72" s="93" t="str">
        <f t="shared" si="1"/>
        <v/>
      </c>
      <c r="U72" s="93" t="str">
        <f t="shared" si="1"/>
        <v/>
      </c>
      <c r="V72" s="93" t="str">
        <f t="shared" si="1"/>
        <v/>
      </c>
      <c r="W72" s="93" t="str">
        <f t="shared" si="1"/>
        <v/>
      </c>
      <c r="X72" s="93" t="str">
        <f t="shared" si="1"/>
        <v/>
      </c>
      <c r="Y72" s="93" t="str">
        <f t="shared" si="1"/>
        <v/>
      </c>
      <c r="Z72" s="93" t="str">
        <f t="shared" si="1"/>
        <v/>
      </c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</row>
    <row r="73" spans="1:55" ht="14.1" hidden="1" customHeight="1">
      <c r="A73" s="97" t="s">
        <v>88</v>
      </c>
      <c r="B73" s="98" t="s">
        <v>54</v>
      </c>
      <c r="C73" s="93" t="str">
        <f t="shared" si="2"/>
        <v/>
      </c>
      <c r="D73" s="93" t="str">
        <f t="shared" si="1"/>
        <v/>
      </c>
      <c r="E73" s="93" t="str">
        <f t="shared" si="1"/>
        <v/>
      </c>
      <c r="F73" s="93" t="str">
        <f t="shared" si="1"/>
        <v/>
      </c>
      <c r="G73" s="93" t="str">
        <f t="shared" si="1"/>
        <v/>
      </c>
      <c r="H73" s="93" t="str">
        <f t="shared" si="1"/>
        <v/>
      </c>
      <c r="I73" s="93" t="str">
        <f t="shared" si="1"/>
        <v/>
      </c>
      <c r="J73" s="93" t="str">
        <f t="shared" si="1"/>
        <v/>
      </c>
      <c r="K73" s="93" t="str">
        <f t="shared" si="1"/>
        <v/>
      </c>
      <c r="L73" s="93" t="str">
        <f t="shared" si="1"/>
        <v/>
      </c>
      <c r="M73" s="93" t="str">
        <f t="shared" si="1"/>
        <v/>
      </c>
      <c r="N73" s="93" t="str">
        <f t="shared" si="1"/>
        <v/>
      </c>
      <c r="O73" s="93" t="str">
        <f t="shared" si="1"/>
        <v/>
      </c>
      <c r="P73" s="93" t="str">
        <f t="shared" si="1"/>
        <v/>
      </c>
      <c r="Q73" s="93" t="str">
        <f t="shared" si="1"/>
        <v/>
      </c>
      <c r="R73" s="93" t="str">
        <f t="shared" si="1"/>
        <v/>
      </c>
      <c r="S73" s="93" t="str">
        <f t="shared" si="1"/>
        <v/>
      </c>
      <c r="T73" s="93" t="str">
        <f t="shared" si="1"/>
        <v/>
      </c>
      <c r="U73" s="93" t="str">
        <f t="shared" si="1"/>
        <v/>
      </c>
      <c r="V73" s="93" t="str">
        <f t="shared" si="1"/>
        <v/>
      </c>
      <c r="W73" s="93" t="str">
        <f t="shared" si="1"/>
        <v/>
      </c>
      <c r="X73" s="93" t="str">
        <f t="shared" si="1"/>
        <v/>
      </c>
      <c r="Y73" s="93" t="str">
        <f t="shared" si="1"/>
        <v/>
      </c>
      <c r="Z73" s="93" t="str">
        <f t="shared" si="1"/>
        <v/>
      </c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</row>
    <row r="74" spans="1:55" ht="14.1" hidden="1" customHeight="1">
      <c r="A74" s="97" t="s">
        <v>89</v>
      </c>
      <c r="B74" s="98" t="s">
        <v>56</v>
      </c>
      <c r="C74" s="93" t="str">
        <f t="shared" si="2"/>
        <v/>
      </c>
      <c r="D74" s="93" t="str">
        <f t="shared" si="1"/>
        <v/>
      </c>
      <c r="E74" s="93" t="str">
        <f t="shared" si="1"/>
        <v/>
      </c>
      <c r="F74" s="93" t="str">
        <f t="shared" si="1"/>
        <v/>
      </c>
      <c r="G74" s="93" t="str">
        <f t="shared" si="1"/>
        <v/>
      </c>
      <c r="H74" s="93" t="str">
        <f t="shared" si="1"/>
        <v/>
      </c>
      <c r="I74" s="93" t="str">
        <f t="shared" si="1"/>
        <v/>
      </c>
      <c r="J74" s="93" t="str">
        <f t="shared" si="1"/>
        <v/>
      </c>
      <c r="K74" s="93" t="str">
        <f t="shared" si="1"/>
        <v/>
      </c>
      <c r="L74" s="93" t="str">
        <f t="shared" si="1"/>
        <v/>
      </c>
      <c r="M74" s="93" t="str">
        <f t="shared" si="1"/>
        <v/>
      </c>
      <c r="N74" s="93" t="str">
        <f t="shared" si="1"/>
        <v/>
      </c>
      <c r="O74" s="93" t="str">
        <f t="shared" si="1"/>
        <v/>
      </c>
      <c r="P74" s="93" t="str">
        <f t="shared" si="1"/>
        <v/>
      </c>
      <c r="Q74" s="93" t="str">
        <f t="shared" si="1"/>
        <v/>
      </c>
      <c r="R74" s="93" t="str">
        <f t="shared" si="1"/>
        <v/>
      </c>
      <c r="S74" s="93" t="str">
        <f t="shared" si="1"/>
        <v/>
      </c>
      <c r="T74" s="93" t="str">
        <f t="shared" si="1"/>
        <v/>
      </c>
      <c r="U74" s="93" t="str">
        <f t="shared" si="1"/>
        <v/>
      </c>
      <c r="V74" s="93" t="str">
        <f t="shared" si="1"/>
        <v/>
      </c>
      <c r="W74" s="93" t="str">
        <f t="shared" si="1"/>
        <v/>
      </c>
      <c r="X74" s="93" t="str">
        <f t="shared" si="1"/>
        <v/>
      </c>
      <c r="Y74" s="93" t="str">
        <f t="shared" si="1"/>
        <v/>
      </c>
      <c r="Z74" s="93" t="str">
        <f t="shared" si="1"/>
        <v/>
      </c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</row>
    <row r="75" spans="1:55" ht="14.1" hidden="1" customHeight="1">
      <c r="A75" s="97" t="s">
        <v>90</v>
      </c>
      <c r="B75" s="98" t="s">
        <v>58</v>
      </c>
      <c r="C75" s="93" t="str">
        <f t="shared" si="2"/>
        <v/>
      </c>
      <c r="D75" s="93" t="str">
        <f t="shared" si="1"/>
        <v/>
      </c>
      <c r="E75" s="93" t="str">
        <f t="shared" si="1"/>
        <v/>
      </c>
      <c r="F75" s="93" t="str">
        <f t="shared" si="1"/>
        <v/>
      </c>
      <c r="G75" s="93" t="str">
        <f t="shared" si="1"/>
        <v/>
      </c>
      <c r="H75" s="93" t="str">
        <f t="shared" si="1"/>
        <v/>
      </c>
      <c r="I75" s="93" t="str">
        <f t="shared" si="1"/>
        <v/>
      </c>
      <c r="J75" s="93" t="str">
        <f t="shared" si="1"/>
        <v/>
      </c>
      <c r="K75" s="93" t="str">
        <f t="shared" si="1"/>
        <v/>
      </c>
      <c r="L75" s="93" t="str">
        <f t="shared" si="1"/>
        <v/>
      </c>
      <c r="M75" s="93" t="str">
        <f t="shared" si="1"/>
        <v/>
      </c>
      <c r="N75" s="93" t="str">
        <f t="shared" si="1"/>
        <v/>
      </c>
      <c r="O75" s="93" t="str">
        <f t="shared" si="1"/>
        <v/>
      </c>
      <c r="P75" s="93" t="str">
        <f t="shared" si="1"/>
        <v/>
      </c>
      <c r="Q75" s="93" t="str">
        <f t="shared" si="1"/>
        <v/>
      </c>
      <c r="R75" s="93" t="str">
        <f t="shared" si="1"/>
        <v/>
      </c>
      <c r="S75" s="93" t="str">
        <f t="shared" si="1"/>
        <v/>
      </c>
      <c r="T75" s="93" t="str">
        <f t="shared" si="1"/>
        <v/>
      </c>
      <c r="U75" s="93" t="str">
        <f t="shared" si="1"/>
        <v/>
      </c>
      <c r="V75" s="93" t="str">
        <f t="shared" si="1"/>
        <v/>
      </c>
      <c r="W75" s="93" t="str">
        <f t="shared" si="1"/>
        <v/>
      </c>
      <c r="X75" s="93" t="str">
        <f t="shared" si="1"/>
        <v/>
      </c>
      <c r="Y75" s="93" t="str">
        <f t="shared" si="1"/>
        <v/>
      </c>
      <c r="Z75" s="93" t="str">
        <f t="shared" si="1"/>
        <v/>
      </c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</row>
    <row r="76" spans="1:55" ht="14.1" hidden="1" customHeight="1">
      <c r="A76" s="97" t="s">
        <v>91</v>
      </c>
      <c r="B76" s="98" t="s">
        <v>60</v>
      </c>
      <c r="C76" s="93" t="str">
        <f t="shared" si="2"/>
        <v/>
      </c>
      <c r="D76" s="93" t="str">
        <f t="shared" si="1"/>
        <v/>
      </c>
      <c r="E76" s="93" t="str">
        <f t="shared" si="1"/>
        <v/>
      </c>
      <c r="F76" s="93" t="str">
        <f t="shared" si="1"/>
        <v/>
      </c>
      <c r="G76" s="93" t="str">
        <f t="shared" si="1"/>
        <v/>
      </c>
      <c r="H76" s="93" t="str">
        <f t="shared" si="1"/>
        <v/>
      </c>
      <c r="I76" s="93" t="str">
        <f t="shared" si="1"/>
        <v/>
      </c>
      <c r="J76" s="93" t="str">
        <f t="shared" si="1"/>
        <v/>
      </c>
      <c r="K76" s="93" t="str">
        <f t="shared" si="1"/>
        <v/>
      </c>
      <c r="L76" s="93" t="str">
        <f t="shared" si="1"/>
        <v/>
      </c>
      <c r="M76" s="93" t="str">
        <f t="shared" si="1"/>
        <v/>
      </c>
      <c r="N76" s="93" t="str">
        <f t="shared" si="1"/>
        <v/>
      </c>
      <c r="O76" s="93" t="str">
        <f t="shared" si="1"/>
        <v/>
      </c>
      <c r="P76" s="93" t="str">
        <f t="shared" si="1"/>
        <v/>
      </c>
      <c r="Q76" s="93" t="str">
        <f t="shared" si="1"/>
        <v/>
      </c>
      <c r="R76" s="93" t="str">
        <f t="shared" si="1"/>
        <v/>
      </c>
      <c r="S76" s="93" t="str">
        <f t="shared" si="1"/>
        <v/>
      </c>
      <c r="T76" s="93" t="str">
        <f t="shared" si="1"/>
        <v/>
      </c>
      <c r="U76" s="93" t="str">
        <f t="shared" si="1"/>
        <v/>
      </c>
      <c r="V76" s="93" t="str">
        <f t="shared" si="1"/>
        <v/>
      </c>
      <c r="W76" s="93" t="str">
        <f t="shared" si="1"/>
        <v/>
      </c>
      <c r="X76" s="93" t="str">
        <f t="shared" si="1"/>
        <v/>
      </c>
      <c r="Y76" s="93" t="str">
        <f t="shared" si="1"/>
        <v/>
      </c>
      <c r="Z76" s="93" t="str">
        <f t="shared" si="1"/>
        <v/>
      </c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</row>
    <row r="77" spans="1:55" ht="14.1" hidden="1" customHeight="1">
      <c r="A77" s="97" t="s">
        <v>92</v>
      </c>
      <c r="B77" s="98" t="s">
        <v>62</v>
      </c>
      <c r="C77" s="93" t="str">
        <f t="shared" si="2"/>
        <v/>
      </c>
      <c r="D77" s="93" t="str">
        <f t="shared" si="1"/>
        <v/>
      </c>
      <c r="E77" s="93" t="str">
        <f t="shared" si="1"/>
        <v/>
      </c>
      <c r="F77" s="93" t="str">
        <f t="shared" si="1"/>
        <v/>
      </c>
      <c r="G77" s="93" t="str">
        <f t="shared" si="1"/>
        <v/>
      </c>
      <c r="H77" s="93" t="str">
        <f t="shared" si="1"/>
        <v/>
      </c>
      <c r="I77" s="93" t="str">
        <f t="shared" si="1"/>
        <v/>
      </c>
      <c r="J77" s="93" t="str">
        <f t="shared" si="1"/>
        <v/>
      </c>
      <c r="K77" s="93" t="str">
        <f t="shared" si="1"/>
        <v/>
      </c>
      <c r="L77" s="93" t="str">
        <f t="shared" si="1"/>
        <v/>
      </c>
      <c r="M77" s="93" t="str">
        <f t="shared" si="1"/>
        <v/>
      </c>
      <c r="N77" s="93" t="str">
        <f t="shared" si="1"/>
        <v/>
      </c>
      <c r="O77" s="93" t="str">
        <f t="shared" si="1"/>
        <v/>
      </c>
      <c r="P77" s="93" t="str">
        <f t="shared" si="1"/>
        <v/>
      </c>
      <c r="Q77" s="93" t="str">
        <f t="shared" si="1"/>
        <v/>
      </c>
      <c r="R77" s="93" t="str">
        <f t="shared" si="1"/>
        <v/>
      </c>
      <c r="S77" s="93" t="str">
        <f t="shared" si="1"/>
        <v/>
      </c>
      <c r="T77" s="93" t="str">
        <f t="shared" si="1"/>
        <v/>
      </c>
      <c r="U77" s="93" t="str">
        <f t="shared" si="1"/>
        <v/>
      </c>
      <c r="V77" s="93" t="str">
        <f t="shared" si="1"/>
        <v/>
      </c>
      <c r="W77" s="93" t="str">
        <f t="shared" si="1"/>
        <v/>
      </c>
      <c r="X77" s="93" t="str">
        <f t="shared" si="1"/>
        <v/>
      </c>
      <c r="Y77" s="93" t="str">
        <f t="shared" si="1"/>
        <v/>
      </c>
      <c r="Z77" s="93" t="str">
        <f t="shared" si="1"/>
        <v/>
      </c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</row>
    <row r="78" spans="1:55" ht="14.1" hidden="1" customHeight="1">
      <c r="A78" s="97" t="s">
        <v>93</v>
      </c>
      <c r="B78" s="98" t="s">
        <v>64</v>
      </c>
      <c r="C78" s="93" t="str">
        <f t="shared" si="2"/>
        <v/>
      </c>
      <c r="D78" s="93" t="str">
        <f t="shared" si="1"/>
        <v/>
      </c>
      <c r="E78" s="93" t="str">
        <f t="shared" si="1"/>
        <v/>
      </c>
      <c r="F78" s="93" t="str">
        <f t="shared" si="1"/>
        <v/>
      </c>
      <c r="G78" s="93" t="str">
        <f t="shared" si="1"/>
        <v/>
      </c>
      <c r="H78" s="93" t="str">
        <f t="shared" si="1"/>
        <v/>
      </c>
      <c r="I78" s="93" t="str">
        <f t="shared" si="1"/>
        <v/>
      </c>
      <c r="J78" s="93" t="str">
        <f t="shared" si="1"/>
        <v/>
      </c>
      <c r="K78" s="93" t="str">
        <f t="shared" si="1"/>
        <v/>
      </c>
      <c r="L78" s="93" t="str">
        <f t="shared" si="1"/>
        <v/>
      </c>
      <c r="M78" s="93" t="str">
        <f t="shared" si="1"/>
        <v/>
      </c>
      <c r="N78" s="93" t="str">
        <f t="shared" si="1"/>
        <v/>
      </c>
      <c r="O78" s="93" t="str">
        <f t="shared" si="1"/>
        <v/>
      </c>
      <c r="P78" s="93" t="str">
        <f t="shared" si="1"/>
        <v/>
      </c>
      <c r="Q78" s="93" t="str">
        <f t="shared" si="1"/>
        <v/>
      </c>
      <c r="R78" s="93" t="str">
        <f t="shared" si="1"/>
        <v/>
      </c>
      <c r="S78" s="93" t="str">
        <f t="shared" si="1"/>
        <v/>
      </c>
      <c r="T78" s="93" t="str">
        <f t="shared" si="1"/>
        <v/>
      </c>
      <c r="U78" s="93" t="str">
        <f t="shared" si="1"/>
        <v/>
      </c>
      <c r="V78" s="93" t="str">
        <f t="shared" si="1"/>
        <v/>
      </c>
      <c r="W78" s="93" t="str">
        <f t="shared" si="1"/>
        <v/>
      </c>
      <c r="X78" s="93" t="str">
        <f t="shared" si="1"/>
        <v/>
      </c>
      <c r="Y78" s="93" t="str">
        <f t="shared" si="1"/>
        <v/>
      </c>
      <c r="Z78" s="93" t="str">
        <f t="shared" si="1"/>
        <v/>
      </c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</row>
    <row r="79" spans="1:55" ht="14.1" hidden="1" customHeight="1">
      <c r="A79" s="97" t="s">
        <v>94</v>
      </c>
      <c r="B79" s="98" t="s">
        <v>66</v>
      </c>
      <c r="C79" s="93" t="str">
        <f t="shared" si="2"/>
        <v/>
      </c>
      <c r="D79" s="93" t="str">
        <f t="shared" si="1"/>
        <v/>
      </c>
      <c r="E79" s="93" t="str">
        <f t="shared" si="1"/>
        <v/>
      </c>
      <c r="F79" s="93" t="str">
        <f t="shared" si="1"/>
        <v/>
      </c>
      <c r="G79" s="93" t="str">
        <f t="shared" si="1"/>
        <v/>
      </c>
      <c r="H79" s="93" t="str">
        <f t="shared" si="1"/>
        <v/>
      </c>
      <c r="I79" s="93" t="str">
        <f t="shared" si="1"/>
        <v/>
      </c>
      <c r="J79" s="93" t="str">
        <f t="shared" si="1"/>
        <v/>
      </c>
      <c r="K79" s="93" t="str">
        <f t="shared" si="1"/>
        <v/>
      </c>
      <c r="L79" s="93" t="str">
        <f t="shared" si="1"/>
        <v/>
      </c>
      <c r="M79" s="93" t="str">
        <f t="shared" si="1"/>
        <v/>
      </c>
      <c r="N79" s="93" t="str">
        <f t="shared" si="1"/>
        <v/>
      </c>
      <c r="O79" s="93" t="str">
        <f t="shared" si="1"/>
        <v/>
      </c>
      <c r="P79" s="93" t="str">
        <f t="shared" si="1"/>
        <v/>
      </c>
      <c r="Q79" s="93" t="str">
        <f t="shared" si="1"/>
        <v/>
      </c>
      <c r="R79" s="93" t="str">
        <f t="shared" si="1"/>
        <v/>
      </c>
      <c r="S79" s="93" t="str">
        <f t="shared" si="1"/>
        <v/>
      </c>
      <c r="T79" s="93" t="str">
        <f t="shared" si="1"/>
        <v/>
      </c>
      <c r="U79" s="93" t="str">
        <f t="shared" si="1"/>
        <v/>
      </c>
      <c r="V79" s="93" t="str">
        <f t="shared" si="1"/>
        <v/>
      </c>
      <c r="W79" s="93" t="str">
        <f t="shared" si="1"/>
        <v/>
      </c>
      <c r="X79" s="93" t="str">
        <f t="shared" si="1"/>
        <v/>
      </c>
      <c r="Y79" s="93" t="str">
        <f t="shared" si="1"/>
        <v/>
      </c>
      <c r="Z79" s="93" t="str">
        <f t="shared" si="1"/>
        <v/>
      </c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</row>
    <row r="80" spans="1:55" ht="14.1" hidden="1" customHeight="1">
      <c r="A80" s="97" t="s">
        <v>95</v>
      </c>
      <c r="B80" s="98" t="s">
        <v>68</v>
      </c>
      <c r="C80" s="93" t="str">
        <f t="shared" si="2"/>
        <v/>
      </c>
      <c r="D80" s="93" t="str">
        <f t="shared" si="1"/>
        <v/>
      </c>
      <c r="E80" s="93" t="str">
        <f t="shared" si="1"/>
        <v/>
      </c>
      <c r="F80" s="93" t="str">
        <f t="shared" si="1"/>
        <v/>
      </c>
      <c r="G80" s="93" t="str">
        <f t="shared" si="1"/>
        <v/>
      </c>
      <c r="H80" s="93" t="str">
        <f t="shared" si="1"/>
        <v/>
      </c>
      <c r="I80" s="93" t="str">
        <f t="shared" si="1"/>
        <v/>
      </c>
      <c r="J80" s="93" t="str">
        <f t="shared" si="1"/>
        <v/>
      </c>
      <c r="K80" s="93" t="str">
        <f t="shared" si="1"/>
        <v/>
      </c>
      <c r="L80" s="93" t="str">
        <f t="shared" si="1"/>
        <v/>
      </c>
      <c r="M80" s="93" t="str">
        <f t="shared" si="1"/>
        <v/>
      </c>
      <c r="N80" s="93" t="str">
        <f t="shared" si="1"/>
        <v/>
      </c>
      <c r="O80" s="93" t="str">
        <f t="shared" si="1"/>
        <v/>
      </c>
      <c r="P80" s="93" t="str">
        <f t="shared" si="1"/>
        <v/>
      </c>
      <c r="Q80" s="93" t="str">
        <f t="shared" si="1"/>
        <v/>
      </c>
      <c r="R80" s="93" t="str">
        <f t="shared" si="1"/>
        <v/>
      </c>
      <c r="S80" s="93" t="str">
        <f t="shared" si="1"/>
        <v/>
      </c>
      <c r="T80" s="93" t="str">
        <f t="shared" ref="D80:Z81" si="3">IF(T56=T29,"","*")</f>
        <v/>
      </c>
      <c r="U80" s="93" t="str">
        <f t="shared" si="3"/>
        <v/>
      </c>
      <c r="V80" s="93" t="str">
        <f t="shared" si="3"/>
        <v/>
      </c>
      <c r="W80" s="93" t="str">
        <f t="shared" si="3"/>
        <v/>
      </c>
      <c r="X80" s="93" t="str">
        <f t="shared" si="3"/>
        <v/>
      </c>
      <c r="Y80" s="93" t="str">
        <f t="shared" si="3"/>
        <v/>
      </c>
      <c r="Z80" s="93" t="str">
        <f t="shared" si="3"/>
        <v/>
      </c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</row>
    <row r="81" spans="1:39" ht="14.1" hidden="1" customHeight="1">
      <c r="A81" s="99" t="s">
        <v>96</v>
      </c>
      <c r="B81" s="100" t="s">
        <v>70</v>
      </c>
      <c r="C81" s="93" t="str">
        <f t="shared" si="2"/>
        <v/>
      </c>
      <c r="D81" s="93" t="str">
        <f t="shared" si="3"/>
        <v/>
      </c>
      <c r="E81" s="93" t="str">
        <f t="shared" si="3"/>
        <v/>
      </c>
      <c r="F81" s="93" t="str">
        <f t="shared" si="3"/>
        <v/>
      </c>
      <c r="G81" s="93" t="str">
        <f t="shared" si="3"/>
        <v/>
      </c>
      <c r="H81" s="93" t="str">
        <f t="shared" si="3"/>
        <v/>
      </c>
      <c r="I81" s="93" t="str">
        <f t="shared" si="3"/>
        <v/>
      </c>
      <c r="J81" s="93" t="str">
        <f t="shared" si="3"/>
        <v/>
      </c>
      <c r="K81" s="93" t="str">
        <f t="shared" si="3"/>
        <v/>
      </c>
      <c r="L81" s="93" t="str">
        <f t="shared" si="3"/>
        <v/>
      </c>
      <c r="M81" s="93" t="str">
        <f t="shared" si="3"/>
        <v/>
      </c>
      <c r="N81" s="93" t="str">
        <f t="shared" si="3"/>
        <v/>
      </c>
      <c r="O81" s="93" t="str">
        <f t="shared" si="3"/>
        <v/>
      </c>
      <c r="P81" s="93" t="str">
        <f t="shared" si="3"/>
        <v/>
      </c>
      <c r="Q81" s="93" t="str">
        <f t="shared" si="3"/>
        <v/>
      </c>
      <c r="R81" s="93" t="str">
        <f t="shared" si="3"/>
        <v/>
      </c>
      <c r="S81" s="93" t="str">
        <f t="shared" si="3"/>
        <v/>
      </c>
      <c r="T81" s="93" t="str">
        <f t="shared" si="3"/>
        <v/>
      </c>
      <c r="U81" s="93" t="str">
        <f t="shared" si="3"/>
        <v/>
      </c>
      <c r="V81" s="93" t="str">
        <f t="shared" si="3"/>
        <v/>
      </c>
      <c r="W81" s="93" t="str">
        <f>IF(W57=W30,"","*")</f>
        <v/>
      </c>
      <c r="X81" s="93" t="str">
        <f>IF(X57=X30,"","*")</f>
        <v/>
      </c>
      <c r="Y81" s="93" t="str">
        <f>IF(Y57=Y30,"","*")</f>
        <v/>
      </c>
      <c r="Z81" s="93" t="str">
        <f>IF(Z57=Z30,"","*")</f>
        <v/>
      </c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</row>
  </sheetData>
  <mergeCells count="42"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  <mergeCell ref="C6:C7"/>
    <mergeCell ref="D6:D7"/>
    <mergeCell ref="E6:E7"/>
    <mergeCell ref="G6:G7"/>
    <mergeCell ref="H6:H7"/>
    <mergeCell ref="W6:W7"/>
    <mergeCell ref="L5:L7"/>
    <mergeCell ref="M5:N5"/>
    <mergeCell ref="O5:O7"/>
    <mergeCell ref="P5:Q5"/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85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112</v>
      </c>
      <c r="B2" s="15"/>
    </row>
    <row r="3" spans="1:57" s="24" customFormat="1" ht="12.75" customHeight="1">
      <c r="A3" s="240" t="s">
        <v>300</v>
      </c>
      <c r="B3" s="234"/>
      <c r="C3" s="302" t="s">
        <v>297</v>
      </c>
      <c r="D3" s="302"/>
      <c r="E3" s="302"/>
      <c r="F3" s="302"/>
      <c r="G3" s="302" t="s">
        <v>298</v>
      </c>
      <c r="H3" s="302"/>
      <c r="I3" s="302"/>
      <c r="J3" s="302"/>
      <c r="K3" s="302"/>
      <c r="L3" s="302"/>
      <c r="M3" s="302"/>
      <c r="N3" s="302"/>
      <c r="O3" s="302"/>
      <c r="P3" s="302" t="s">
        <v>299</v>
      </c>
      <c r="Q3" s="302"/>
      <c r="R3" s="302"/>
      <c r="S3" s="302"/>
      <c r="T3" s="302"/>
      <c r="U3" s="302"/>
      <c r="V3" s="302"/>
      <c r="W3" s="302"/>
      <c r="X3" s="237"/>
      <c r="Y3" s="303" t="s">
        <v>301</v>
      </c>
      <c r="Z3" s="237"/>
    </row>
    <row r="4" spans="1:57" s="25" customFormat="1" ht="16.5" customHeight="1">
      <c r="A4" s="241"/>
      <c r="B4" s="235"/>
      <c r="C4" s="295" t="s">
        <v>286</v>
      </c>
      <c r="D4" s="240"/>
      <c r="E4" s="234"/>
      <c r="F4" s="298" t="s">
        <v>287</v>
      </c>
      <c r="G4" s="298" t="s">
        <v>288</v>
      </c>
      <c r="H4" s="298"/>
      <c r="I4" s="298"/>
      <c r="J4" s="298" t="s">
        <v>289</v>
      </c>
      <c r="K4" s="298"/>
      <c r="L4" s="298"/>
      <c r="M4" s="298" t="s">
        <v>290</v>
      </c>
      <c r="N4" s="298"/>
      <c r="O4" s="298"/>
      <c r="P4" s="243" t="s">
        <v>288</v>
      </c>
      <c r="Q4" s="244"/>
      <c r="R4" s="248"/>
      <c r="S4" s="243" t="s">
        <v>289</v>
      </c>
      <c r="T4" s="244"/>
      <c r="U4" s="248"/>
      <c r="V4" s="243" t="s">
        <v>290</v>
      </c>
      <c r="W4" s="244"/>
      <c r="X4" s="245"/>
      <c r="Y4" s="304"/>
      <c r="Z4" s="237"/>
    </row>
    <row r="5" spans="1:57" s="26" customFormat="1" ht="30" customHeight="1">
      <c r="A5" s="241"/>
      <c r="B5" s="235"/>
      <c r="C5" s="305"/>
      <c r="D5" s="242"/>
      <c r="E5" s="236"/>
      <c r="F5" s="298"/>
      <c r="G5" s="298" t="s">
        <v>285</v>
      </c>
      <c r="H5" s="298"/>
      <c r="I5" s="298" t="s">
        <v>287</v>
      </c>
      <c r="J5" s="298" t="s">
        <v>285</v>
      </c>
      <c r="K5" s="298"/>
      <c r="L5" s="298" t="s">
        <v>287</v>
      </c>
      <c r="M5" s="298" t="s">
        <v>285</v>
      </c>
      <c r="N5" s="298"/>
      <c r="O5" s="298" t="s">
        <v>287</v>
      </c>
      <c r="P5" s="298" t="s">
        <v>285</v>
      </c>
      <c r="Q5" s="298"/>
      <c r="R5" s="298" t="s">
        <v>287</v>
      </c>
      <c r="S5" s="298" t="s">
        <v>285</v>
      </c>
      <c r="T5" s="298"/>
      <c r="U5" s="298" t="s">
        <v>287</v>
      </c>
      <c r="V5" s="298" t="s">
        <v>285</v>
      </c>
      <c r="W5" s="298"/>
      <c r="X5" s="300" t="s">
        <v>287</v>
      </c>
      <c r="Y5" s="246"/>
      <c r="Z5" s="237"/>
    </row>
    <row r="6" spans="1:57" s="24" customFormat="1" ht="13.5" customHeight="1">
      <c r="A6" s="241"/>
      <c r="B6" s="235"/>
      <c r="C6" s="291" t="s">
        <v>294</v>
      </c>
      <c r="D6" s="291" t="s">
        <v>295</v>
      </c>
      <c r="E6" s="291" t="s">
        <v>296</v>
      </c>
      <c r="F6" s="298"/>
      <c r="G6" s="291" t="s">
        <v>295</v>
      </c>
      <c r="H6" s="291" t="s">
        <v>296</v>
      </c>
      <c r="I6" s="298"/>
      <c r="J6" s="291" t="s">
        <v>295</v>
      </c>
      <c r="K6" s="291" t="s">
        <v>296</v>
      </c>
      <c r="L6" s="298"/>
      <c r="M6" s="291" t="s">
        <v>295</v>
      </c>
      <c r="N6" s="291" t="s">
        <v>296</v>
      </c>
      <c r="O6" s="298"/>
      <c r="P6" s="291" t="s">
        <v>295</v>
      </c>
      <c r="Q6" s="291" t="s">
        <v>296</v>
      </c>
      <c r="R6" s="298"/>
      <c r="S6" s="291" t="s">
        <v>295</v>
      </c>
      <c r="T6" s="291" t="s">
        <v>296</v>
      </c>
      <c r="U6" s="298"/>
      <c r="V6" s="291" t="s">
        <v>295</v>
      </c>
      <c r="W6" s="291" t="s">
        <v>296</v>
      </c>
      <c r="X6" s="300"/>
      <c r="Y6" s="234" t="s">
        <v>295</v>
      </c>
      <c r="Z6" s="295" t="s">
        <v>296</v>
      </c>
    </row>
    <row r="7" spans="1:57" s="24" customFormat="1" ht="18" customHeight="1">
      <c r="A7" s="242"/>
      <c r="B7" s="236"/>
      <c r="C7" s="292"/>
      <c r="D7" s="292"/>
      <c r="E7" s="292"/>
      <c r="F7" s="299"/>
      <c r="G7" s="292"/>
      <c r="H7" s="292"/>
      <c r="I7" s="299"/>
      <c r="J7" s="292"/>
      <c r="K7" s="292"/>
      <c r="L7" s="299"/>
      <c r="M7" s="292"/>
      <c r="N7" s="292"/>
      <c r="O7" s="299"/>
      <c r="P7" s="292"/>
      <c r="Q7" s="292"/>
      <c r="R7" s="299"/>
      <c r="S7" s="292"/>
      <c r="T7" s="292"/>
      <c r="U7" s="299"/>
      <c r="V7" s="292"/>
      <c r="W7" s="292"/>
      <c r="X7" s="301"/>
      <c r="Y7" s="297"/>
      <c r="Z7" s="296"/>
    </row>
    <row r="8" spans="1:57" s="90" customFormat="1" ht="14.1" customHeight="1">
      <c r="A8" s="86" t="s">
        <v>74</v>
      </c>
      <c r="B8" s="62" t="s">
        <v>26</v>
      </c>
      <c r="C8" s="87">
        <v>9479</v>
      </c>
      <c r="D8" s="87">
        <v>4549</v>
      </c>
      <c r="E8" s="87">
        <v>4930</v>
      </c>
      <c r="F8" s="87">
        <v>2194429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4</v>
      </c>
      <c r="M8" s="87">
        <v>0</v>
      </c>
      <c r="N8" s="87">
        <v>0</v>
      </c>
      <c r="O8" s="87">
        <v>120</v>
      </c>
      <c r="P8" s="87">
        <v>2529</v>
      </c>
      <c r="Q8" s="87">
        <v>2199</v>
      </c>
      <c r="R8" s="87">
        <v>1280361</v>
      </c>
      <c r="S8" s="87">
        <v>925</v>
      </c>
      <c r="T8" s="87">
        <v>1079</v>
      </c>
      <c r="U8" s="87">
        <v>411352</v>
      </c>
      <c r="V8" s="87">
        <v>1095</v>
      </c>
      <c r="W8" s="87">
        <v>1652</v>
      </c>
      <c r="X8" s="87">
        <v>502592</v>
      </c>
      <c r="Y8" s="87">
        <v>382</v>
      </c>
      <c r="Z8" s="87">
        <v>476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s="95" customFormat="1" ht="14.1" customHeight="1">
      <c r="A9" s="91" t="s">
        <v>75</v>
      </c>
      <c r="B9" s="68" t="s">
        <v>28</v>
      </c>
      <c r="C9" s="92">
        <v>1425</v>
      </c>
      <c r="D9" s="92">
        <v>654</v>
      </c>
      <c r="E9" s="92">
        <v>771</v>
      </c>
      <c r="F9" s="92">
        <v>67188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228</v>
      </c>
      <c r="Q9" s="92">
        <v>128</v>
      </c>
      <c r="R9" s="92">
        <v>16664</v>
      </c>
      <c r="S9" s="92">
        <v>204</v>
      </c>
      <c r="T9" s="92">
        <v>278</v>
      </c>
      <c r="U9" s="92">
        <v>23567</v>
      </c>
      <c r="V9" s="92">
        <v>222</v>
      </c>
      <c r="W9" s="92">
        <v>365</v>
      </c>
      <c r="X9" s="92">
        <v>26957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91" t="s">
        <v>76</v>
      </c>
      <c r="B10" s="68" t="s">
        <v>30</v>
      </c>
      <c r="C10" s="92">
        <v>437</v>
      </c>
      <c r="D10" s="92">
        <v>251</v>
      </c>
      <c r="E10" s="92">
        <v>186</v>
      </c>
      <c r="F10" s="92">
        <v>142385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4</v>
      </c>
      <c r="M10" s="92">
        <v>0</v>
      </c>
      <c r="N10" s="92">
        <v>0</v>
      </c>
      <c r="O10" s="92">
        <v>120</v>
      </c>
      <c r="P10" s="92">
        <v>200</v>
      </c>
      <c r="Q10" s="92">
        <v>121</v>
      </c>
      <c r="R10" s="92">
        <v>112168</v>
      </c>
      <c r="S10" s="92">
        <v>31</v>
      </c>
      <c r="T10" s="92">
        <v>46</v>
      </c>
      <c r="U10" s="92">
        <v>26827</v>
      </c>
      <c r="V10" s="92">
        <v>20</v>
      </c>
      <c r="W10" s="92">
        <v>19</v>
      </c>
      <c r="X10" s="92">
        <v>3266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91" t="s">
        <v>77</v>
      </c>
      <c r="B11" s="68" t="s">
        <v>32</v>
      </c>
      <c r="C11" s="92">
        <v>314</v>
      </c>
      <c r="D11" s="92">
        <v>179</v>
      </c>
      <c r="E11" s="92">
        <v>135</v>
      </c>
      <c r="F11" s="92">
        <v>115591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133</v>
      </c>
      <c r="Q11" s="92">
        <v>107</v>
      </c>
      <c r="R11" s="92">
        <v>94411</v>
      </c>
      <c r="S11" s="92">
        <v>46</v>
      </c>
      <c r="T11" s="92">
        <v>28</v>
      </c>
      <c r="U11" s="92">
        <v>18735</v>
      </c>
      <c r="V11" s="92">
        <v>0</v>
      </c>
      <c r="W11" s="92">
        <v>0</v>
      </c>
      <c r="X11" s="92">
        <v>2445</v>
      </c>
      <c r="Y11" s="92">
        <v>0</v>
      </c>
      <c r="Z11" s="92">
        <v>0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91" t="s">
        <v>78</v>
      </c>
      <c r="B12" s="68" t="s">
        <v>34</v>
      </c>
      <c r="C12" s="92">
        <v>847</v>
      </c>
      <c r="D12" s="92">
        <v>381</v>
      </c>
      <c r="E12" s="92">
        <v>466</v>
      </c>
      <c r="F12" s="92">
        <v>313790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248</v>
      </c>
      <c r="Q12" s="92">
        <v>269</v>
      </c>
      <c r="R12" s="92">
        <v>226935</v>
      </c>
      <c r="S12" s="92">
        <v>133</v>
      </c>
      <c r="T12" s="92">
        <v>197</v>
      </c>
      <c r="U12" s="92">
        <v>86730</v>
      </c>
      <c r="V12" s="92">
        <v>0</v>
      </c>
      <c r="W12" s="92">
        <v>0</v>
      </c>
      <c r="X12" s="92">
        <v>125</v>
      </c>
      <c r="Y12" s="92">
        <v>6</v>
      </c>
      <c r="Z12" s="92">
        <v>7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91" t="s">
        <v>79</v>
      </c>
      <c r="B13" s="68" t="s">
        <v>36</v>
      </c>
      <c r="C13" s="92">
        <v>854</v>
      </c>
      <c r="D13" s="92">
        <v>417</v>
      </c>
      <c r="E13" s="92">
        <v>437</v>
      </c>
      <c r="F13" s="92">
        <v>213437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292</v>
      </c>
      <c r="Q13" s="92">
        <v>278</v>
      </c>
      <c r="R13" s="92">
        <v>147621</v>
      </c>
      <c r="S13" s="92">
        <v>72</v>
      </c>
      <c r="T13" s="92">
        <v>88</v>
      </c>
      <c r="U13" s="92">
        <v>40454</v>
      </c>
      <c r="V13" s="92">
        <v>53</v>
      </c>
      <c r="W13" s="92">
        <v>71</v>
      </c>
      <c r="X13" s="92">
        <v>25362</v>
      </c>
      <c r="Y13" s="92">
        <v>0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s="95" customFormat="1" ht="14.1" customHeight="1">
      <c r="A14" s="96" t="s">
        <v>80</v>
      </c>
      <c r="B14" s="68" t="s">
        <v>38</v>
      </c>
      <c r="C14" s="92">
        <v>888</v>
      </c>
      <c r="D14" s="92">
        <v>265</v>
      </c>
      <c r="E14" s="92">
        <v>623</v>
      </c>
      <c r="F14" s="92">
        <v>156092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79</v>
      </c>
      <c r="Q14" s="92">
        <v>323</v>
      </c>
      <c r="R14" s="92">
        <v>86342</v>
      </c>
      <c r="S14" s="92">
        <v>43</v>
      </c>
      <c r="T14" s="92">
        <v>52</v>
      </c>
      <c r="U14" s="92">
        <v>19210</v>
      </c>
      <c r="V14" s="92">
        <v>143</v>
      </c>
      <c r="W14" s="92">
        <v>248</v>
      </c>
      <c r="X14" s="92">
        <v>50540</v>
      </c>
      <c r="Y14" s="92">
        <v>0</v>
      </c>
      <c r="Z14" s="92">
        <v>0</v>
      </c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</row>
    <row r="15" spans="1:57" ht="14.1" customHeight="1">
      <c r="A15" s="106" t="s">
        <v>98</v>
      </c>
      <c r="B15" s="98" t="s">
        <v>40</v>
      </c>
      <c r="C15" s="92">
        <v>242</v>
      </c>
      <c r="D15" s="92">
        <v>116</v>
      </c>
      <c r="E15" s="92">
        <v>126</v>
      </c>
      <c r="F15" s="92">
        <v>48288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70</v>
      </c>
      <c r="Q15" s="92">
        <v>59</v>
      </c>
      <c r="R15" s="92">
        <v>26232</v>
      </c>
      <c r="S15" s="92">
        <v>23</v>
      </c>
      <c r="T15" s="92">
        <v>24</v>
      </c>
      <c r="U15" s="92">
        <v>9042</v>
      </c>
      <c r="V15" s="92">
        <v>23</v>
      </c>
      <c r="W15" s="92">
        <v>43</v>
      </c>
      <c r="X15" s="92">
        <v>13014</v>
      </c>
      <c r="Y15" s="92">
        <v>7</v>
      </c>
      <c r="Z15" s="92">
        <v>5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06" t="s">
        <v>99</v>
      </c>
      <c r="B16" s="98" t="s">
        <v>42</v>
      </c>
      <c r="C16" s="92">
        <v>43</v>
      </c>
      <c r="D16" s="92">
        <v>26</v>
      </c>
      <c r="E16" s="92">
        <v>17</v>
      </c>
      <c r="F16" s="92">
        <v>9724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24</v>
      </c>
      <c r="Q16" s="92">
        <v>14</v>
      </c>
      <c r="R16" s="92">
        <v>8748</v>
      </c>
      <c r="S16" s="92">
        <v>2</v>
      </c>
      <c r="T16" s="92">
        <v>3</v>
      </c>
      <c r="U16" s="92">
        <v>952</v>
      </c>
      <c r="V16" s="92">
        <v>0</v>
      </c>
      <c r="W16" s="92">
        <v>0</v>
      </c>
      <c r="X16" s="92">
        <v>24</v>
      </c>
      <c r="Y16" s="92">
        <v>0</v>
      </c>
      <c r="Z16" s="92">
        <v>0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06" t="s">
        <v>100</v>
      </c>
      <c r="B17" s="98" t="s">
        <v>44</v>
      </c>
      <c r="C17" s="92">
        <v>109</v>
      </c>
      <c r="D17" s="92">
        <v>69</v>
      </c>
      <c r="E17" s="92">
        <v>40</v>
      </c>
      <c r="F17" s="92">
        <v>26661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55</v>
      </c>
      <c r="Q17" s="92">
        <v>31</v>
      </c>
      <c r="R17" s="92">
        <v>21916</v>
      </c>
      <c r="S17" s="92">
        <v>14</v>
      </c>
      <c r="T17" s="92">
        <v>9</v>
      </c>
      <c r="U17" s="92">
        <v>4745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06" t="s">
        <v>101</v>
      </c>
      <c r="B18" s="98" t="s">
        <v>46</v>
      </c>
      <c r="C18" s="92">
        <v>331</v>
      </c>
      <c r="D18" s="92">
        <v>165</v>
      </c>
      <c r="E18" s="92">
        <v>166</v>
      </c>
      <c r="F18" s="92">
        <v>73094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93</v>
      </c>
      <c r="Q18" s="92">
        <v>57</v>
      </c>
      <c r="R18" s="92">
        <v>40292</v>
      </c>
      <c r="S18" s="92">
        <v>20</v>
      </c>
      <c r="T18" s="92">
        <v>33</v>
      </c>
      <c r="U18" s="92">
        <v>9549</v>
      </c>
      <c r="V18" s="92">
        <v>52</v>
      </c>
      <c r="W18" s="92">
        <v>76</v>
      </c>
      <c r="X18" s="92">
        <v>23253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06" t="s">
        <v>102</v>
      </c>
      <c r="B19" s="98" t="s">
        <v>48</v>
      </c>
      <c r="C19" s="92">
        <v>482</v>
      </c>
      <c r="D19" s="92">
        <v>259</v>
      </c>
      <c r="E19" s="92">
        <v>223</v>
      </c>
      <c r="F19" s="92">
        <v>120060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79</v>
      </c>
      <c r="Q19" s="92">
        <v>92</v>
      </c>
      <c r="R19" s="92">
        <v>26254</v>
      </c>
      <c r="S19" s="92">
        <v>91</v>
      </c>
      <c r="T19" s="92">
        <v>53</v>
      </c>
      <c r="U19" s="92">
        <v>41375</v>
      </c>
      <c r="V19" s="92">
        <v>89</v>
      </c>
      <c r="W19" s="92">
        <v>78</v>
      </c>
      <c r="X19" s="92">
        <v>52431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97" t="s">
        <v>86</v>
      </c>
      <c r="B20" s="98" t="s">
        <v>50</v>
      </c>
      <c r="C20" s="92">
        <v>255</v>
      </c>
      <c r="D20" s="92">
        <v>128</v>
      </c>
      <c r="E20" s="92">
        <v>127</v>
      </c>
      <c r="F20" s="92">
        <v>91188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106</v>
      </c>
      <c r="Q20" s="92">
        <v>94</v>
      </c>
      <c r="R20" s="92">
        <v>72989</v>
      </c>
      <c r="S20" s="92">
        <v>7</v>
      </c>
      <c r="T20" s="92">
        <v>9</v>
      </c>
      <c r="U20" s="92">
        <v>6879</v>
      </c>
      <c r="V20" s="92">
        <v>15</v>
      </c>
      <c r="W20" s="92">
        <v>24</v>
      </c>
      <c r="X20" s="92">
        <v>11320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97" t="s">
        <v>87</v>
      </c>
      <c r="B21" s="98" t="s">
        <v>52</v>
      </c>
      <c r="C21" s="92">
        <v>309</v>
      </c>
      <c r="D21" s="92">
        <v>141</v>
      </c>
      <c r="E21" s="92">
        <v>168</v>
      </c>
      <c r="F21" s="92">
        <v>96583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123</v>
      </c>
      <c r="Q21" s="92">
        <v>125</v>
      </c>
      <c r="R21" s="92">
        <v>79335</v>
      </c>
      <c r="S21" s="92">
        <v>18</v>
      </c>
      <c r="T21" s="92">
        <v>43</v>
      </c>
      <c r="U21" s="92">
        <v>17248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97" t="s">
        <v>88</v>
      </c>
      <c r="B22" s="98" t="s">
        <v>54</v>
      </c>
      <c r="C22" s="92">
        <v>751</v>
      </c>
      <c r="D22" s="92">
        <v>484</v>
      </c>
      <c r="E22" s="92">
        <v>267</v>
      </c>
      <c r="F22" s="92">
        <v>181772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379</v>
      </c>
      <c r="Q22" s="92">
        <v>184</v>
      </c>
      <c r="R22" s="92">
        <v>114706</v>
      </c>
      <c r="S22" s="92">
        <v>72</v>
      </c>
      <c r="T22" s="92">
        <v>60</v>
      </c>
      <c r="U22" s="92">
        <v>35512</v>
      </c>
      <c r="V22" s="92">
        <v>33</v>
      </c>
      <c r="W22" s="92">
        <v>23</v>
      </c>
      <c r="X22" s="92">
        <v>31554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97" t="s">
        <v>89</v>
      </c>
      <c r="B23" s="98" t="s">
        <v>56</v>
      </c>
      <c r="C23" s="92">
        <v>892</v>
      </c>
      <c r="D23" s="92">
        <v>386</v>
      </c>
      <c r="E23" s="92">
        <v>506</v>
      </c>
      <c r="F23" s="92">
        <v>198374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145</v>
      </c>
      <c r="Q23" s="92">
        <v>102</v>
      </c>
      <c r="R23" s="92">
        <v>61950</v>
      </c>
      <c r="S23" s="92">
        <v>15</v>
      </c>
      <c r="T23" s="92">
        <v>13</v>
      </c>
      <c r="U23" s="92">
        <v>7504</v>
      </c>
      <c r="V23" s="92">
        <v>226</v>
      </c>
      <c r="W23" s="92">
        <v>391</v>
      </c>
      <c r="X23" s="92">
        <v>128920</v>
      </c>
      <c r="Y23" s="92">
        <v>295</v>
      </c>
      <c r="Z23" s="92">
        <v>368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97" t="s">
        <v>90</v>
      </c>
      <c r="B24" s="98" t="s">
        <v>58</v>
      </c>
      <c r="C24" s="92">
        <v>511</v>
      </c>
      <c r="D24" s="92">
        <v>265</v>
      </c>
      <c r="E24" s="92">
        <v>246</v>
      </c>
      <c r="F24" s="92">
        <v>90885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155</v>
      </c>
      <c r="Q24" s="92">
        <v>100</v>
      </c>
      <c r="R24" s="92">
        <v>52130</v>
      </c>
      <c r="S24" s="92">
        <v>55</v>
      </c>
      <c r="T24" s="92">
        <v>39</v>
      </c>
      <c r="U24" s="92">
        <v>15605</v>
      </c>
      <c r="V24" s="92">
        <v>55</v>
      </c>
      <c r="W24" s="92">
        <v>107</v>
      </c>
      <c r="X24" s="92">
        <v>23150</v>
      </c>
      <c r="Y24" s="92">
        <v>74</v>
      </c>
      <c r="Z24" s="92">
        <v>96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97" t="s">
        <v>91</v>
      </c>
      <c r="B25" s="98" t="s">
        <v>60</v>
      </c>
      <c r="C25" s="92">
        <v>378</v>
      </c>
      <c r="D25" s="92">
        <v>177</v>
      </c>
      <c r="E25" s="92">
        <v>201</v>
      </c>
      <c r="F25" s="92">
        <v>117710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29</v>
      </c>
      <c r="Q25" s="92">
        <v>15</v>
      </c>
      <c r="R25" s="92">
        <v>13435</v>
      </c>
      <c r="S25" s="92">
        <v>35</v>
      </c>
      <c r="T25" s="92">
        <v>42</v>
      </c>
      <c r="U25" s="92">
        <v>21659</v>
      </c>
      <c r="V25" s="92">
        <v>113</v>
      </c>
      <c r="W25" s="92">
        <v>144</v>
      </c>
      <c r="X25" s="92">
        <v>82616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97" t="s">
        <v>92</v>
      </c>
      <c r="B26" s="98" t="s">
        <v>62</v>
      </c>
      <c r="C26" s="92">
        <v>158</v>
      </c>
      <c r="D26" s="92">
        <v>59</v>
      </c>
      <c r="E26" s="92">
        <v>99</v>
      </c>
      <c r="F26" s="92">
        <v>46812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12</v>
      </c>
      <c r="Q26" s="92">
        <v>27</v>
      </c>
      <c r="R26" s="92">
        <v>24654</v>
      </c>
      <c r="S26" s="92">
        <v>30</v>
      </c>
      <c r="T26" s="92">
        <v>39</v>
      </c>
      <c r="U26" s="92">
        <v>10593</v>
      </c>
      <c r="V26" s="92">
        <v>17</v>
      </c>
      <c r="W26" s="92">
        <v>33</v>
      </c>
      <c r="X26" s="92">
        <v>11565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97" t="s">
        <v>93</v>
      </c>
      <c r="B27" s="98" t="s">
        <v>64</v>
      </c>
      <c r="C27" s="92">
        <v>108</v>
      </c>
      <c r="D27" s="92">
        <v>52</v>
      </c>
      <c r="E27" s="92">
        <v>56</v>
      </c>
      <c r="F27" s="92">
        <v>32936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32</v>
      </c>
      <c r="Q27" s="92">
        <v>28</v>
      </c>
      <c r="R27" s="92">
        <v>18676</v>
      </c>
      <c r="S27" s="92">
        <v>11</v>
      </c>
      <c r="T27" s="92">
        <v>8</v>
      </c>
      <c r="U27" s="92">
        <v>6733</v>
      </c>
      <c r="V27" s="92">
        <v>9</v>
      </c>
      <c r="W27" s="92">
        <v>20</v>
      </c>
      <c r="X27" s="92">
        <v>7527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97" t="s">
        <v>94</v>
      </c>
      <c r="B28" s="98" t="s">
        <v>66</v>
      </c>
      <c r="C28" s="92">
        <v>95</v>
      </c>
      <c r="D28" s="92">
        <v>41</v>
      </c>
      <c r="E28" s="92">
        <v>54</v>
      </c>
      <c r="F28" s="92">
        <v>35567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39</v>
      </c>
      <c r="Q28" s="92">
        <v>43</v>
      </c>
      <c r="R28" s="92">
        <v>29732</v>
      </c>
      <c r="S28" s="92">
        <v>2</v>
      </c>
      <c r="T28" s="92">
        <v>11</v>
      </c>
      <c r="U28" s="92">
        <v>5835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97" t="s">
        <v>95</v>
      </c>
      <c r="B29" s="98" t="s">
        <v>68</v>
      </c>
      <c r="C29" s="92">
        <v>40</v>
      </c>
      <c r="D29" s="92">
        <v>28</v>
      </c>
      <c r="E29" s="92">
        <v>12</v>
      </c>
      <c r="F29" s="92">
        <v>5847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5</v>
      </c>
      <c r="Q29" s="92">
        <v>1</v>
      </c>
      <c r="R29" s="92">
        <v>829</v>
      </c>
      <c r="S29" s="92">
        <v>1</v>
      </c>
      <c r="T29" s="92">
        <v>2</v>
      </c>
      <c r="U29" s="92">
        <v>428</v>
      </c>
      <c r="V29" s="92">
        <v>22</v>
      </c>
      <c r="W29" s="92">
        <v>9</v>
      </c>
      <c r="X29" s="92">
        <v>4590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99" t="s">
        <v>96</v>
      </c>
      <c r="B30" s="100" t="s">
        <v>70</v>
      </c>
      <c r="C30" s="101">
        <v>10</v>
      </c>
      <c r="D30" s="101">
        <v>6</v>
      </c>
      <c r="E30" s="101">
        <v>4</v>
      </c>
      <c r="F30" s="101">
        <v>10445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3</v>
      </c>
      <c r="Q30" s="101">
        <v>1</v>
      </c>
      <c r="R30" s="101">
        <v>4342</v>
      </c>
      <c r="S30" s="101">
        <v>0</v>
      </c>
      <c r="T30" s="101">
        <v>2</v>
      </c>
      <c r="U30" s="101">
        <v>2170</v>
      </c>
      <c r="V30" s="101">
        <v>3</v>
      </c>
      <c r="W30" s="101">
        <v>1</v>
      </c>
      <c r="X30" s="101">
        <v>3933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6.5">
      <c r="A31" s="37" t="s">
        <v>13</v>
      </c>
      <c r="B31" s="102"/>
    </row>
    <row r="32" spans="1:39">
      <c r="A32" s="39" t="s">
        <v>14</v>
      </c>
    </row>
    <row r="34" spans="1:57">
      <c r="A34" s="40" t="s">
        <v>113</v>
      </c>
    </row>
    <row r="35" spans="1:57" s="109" customFormat="1" ht="14.1" hidden="1" customHeight="1">
      <c r="A35" s="110" t="s">
        <v>114</v>
      </c>
      <c r="B35" s="107" t="s">
        <v>26</v>
      </c>
      <c r="C35" s="93">
        <v>8929</v>
      </c>
      <c r="D35" s="93">
        <v>4171</v>
      </c>
      <c r="E35" s="93">
        <v>4758</v>
      </c>
      <c r="F35" s="93">
        <v>2176265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4</v>
      </c>
      <c r="M35" s="93">
        <v>0</v>
      </c>
      <c r="N35" s="93">
        <v>0</v>
      </c>
      <c r="O35" s="93">
        <v>120</v>
      </c>
      <c r="P35" s="93">
        <v>2209</v>
      </c>
      <c r="Q35" s="93">
        <v>2065</v>
      </c>
      <c r="R35" s="93">
        <v>1270361</v>
      </c>
      <c r="S35" s="93">
        <v>880</v>
      </c>
      <c r="T35" s="93">
        <v>1040</v>
      </c>
      <c r="U35" s="93">
        <v>403188</v>
      </c>
      <c r="V35" s="93">
        <v>1082</v>
      </c>
      <c r="W35" s="93">
        <v>1653</v>
      </c>
      <c r="X35" s="93">
        <v>502592</v>
      </c>
      <c r="Y35" s="93">
        <v>382</v>
      </c>
      <c r="Z35" s="93">
        <v>476</v>
      </c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</row>
    <row r="36" spans="1:57" s="95" customFormat="1" ht="14.1" hidden="1" customHeight="1">
      <c r="A36" s="111" t="s">
        <v>115</v>
      </c>
      <c r="B36" s="68" t="s">
        <v>28</v>
      </c>
      <c r="C36" s="93">
        <v>1425</v>
      </c>
      <c r="D36" s="93">
        <v>654</v>
      </c>
      <c r="E36" s="93">
        <v>771</v>
      </c>
      <c r="F36" s="93">
        <v>67188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228</v>
      </c>
      <c r="Q36" s="93">
        <v>128</v>
      </c>
      <c r="R36" s="93">
        <v>16664</v>
      </c>
      <c r="S36" s="93">
        <v>204</v>
      </c>
      <c r="T36" s="93">
        <v>278</v>
      </c>
      <c r="U36" s="93">
        <v>23567</v>
      </c>
      <c r="V36" s="93">
        <v>222</v>
      </c>
      <c r="W36" s="93">
        <v>365</v>
      </c>
      <c r="X36" s="93">
        <v>26957</v>
      </c>
      <c r="Y36" s="93">
        <v>0</v>
      </c>
      <c r="Z36" s="93">
        <v>0</v>
      </c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</row>
    <row r="37" spans="1:57" s="95" customFormat="1" ht="14.1" hidden="1" customHeight="1">
      <c r="A37" s="111" t="s">
        <v>116</v>
      </c>
      <c r="B37" s="68" t="s">
        <v>30</v>
      </c>
      <c r="C37" s="93">
        <v>437</v>
      </c>
      <c r="D37" s="93">
        <v>251</v>
      </c>
      <c r="E37" s="93">
        <v>186</v>
      </c>
      <c r="F37" s="93">
        <v>142385</v>
      </c>
      <c r="G37" s="93">
        <v>0</v>
      </c>
      <c r="H37" s="93">
        <v>0</v>
      </c>
      <c r="I37" s="93">
        <v>0</v>
      </c>
      <c r="J37" s="93">
        <v>0</v>
      </c>
      <c r="K37" s="93">
        <v>0</v>
      </c>
      <c r="L37" s="93">
        <v>4</v>
      </c>
      <c r="M37" s="93">
        <v>0</v>
      </c>
      <c r="N37" s="93">
        <v>0</v>
      </c>
      <c r="O37" s="93">
        <v>120</v>
      </c>
      <c r="P37" s="93">
        <v>200</v>
      </c>
      <c r="Q37" s="93">
        <v>121</v>
      </c>
      <c r="R37" s="93">
        <v>112168</v>
      </c>
      <c r="S37" s="93">
        <v>31</v>
      </c>
      <c r="T37" s="93">
        <v>46</v>
      </c>
      <c r="U37" s="93">
        <v>26827</v>
      </c>
      <c r="V37" s="93">
        <v>20</v>
      </c>
      <c r="W37" s="93">
        <v>19</v>
      </c>
      <c r="X37" s="93">
        <v>3266</v>
      </c>
      <c r="Y37" s="93">
        <v>0</v>
      </c>
      <c r="Z37" s="93">
        <v>0</v>
      </c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</row>
    <row r="38" spans="1:57" s="95" customFormat="1" ht="14.1" hidden="1" customHeight="1">
      <c r="A38" s="111" t="s">
        <v>117</v>
      </c>
      <c r="B38" s="68" t="s">
        <v>32</v>
      </c>
      <c r="C38" s="93">
        <v>314</v>
      </c>
      <c r="D38" s="93">
        <v>179</v>
      </c>
      <c r="E38" s="93">
        <v>135</v>
      </c>
      <c r="F38" s="93">
        <v>115591</v>
      </c>
      <c r="G38" s="93">
        <v>0</v>
      </c>
      <c r="H38" s="93">
        <v>0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133</v>
      </c>
      <c r="Q38" s="93">
        <v>107</v>
      </c>
      <c r="R38" s="93">
        <v>94411</v>
      </c>
      <c r="S38" s="93">
        <v>46</v>
      </c>
      <c r="T38" s="93">
        <v>28</v>
      </c>
      <c r="U38" s="93">
        <v>18735</v>
      </c>
      <c r="V38" s="93">
        <v>0</v>
      </c>
      <c r="W38" s="93">
        <v>0</v>
      </c>
      <c r="X38" s="93">
        <v>2445</v>
      </c>
      <c r="Y38" s="93">
        <v>0</v>
      </c>
      <c r="Z38" s="93">
        <v>0</v>
      </c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</row>
    <row r="39" spans="1:57" s="95" customFormat="1" ht="14.1" hidden="1" customHeight="1">
      <c r="A39" s="111" t="s">
        <v>118</v>
      </c>
      <c r="B39" s="68" t="s">
        <v>34</v>
      </c>
      <c r="C39" s="93">
        <v>847</v>
      </c>
      <c r="D39" s="93">
        <v>381</v>
      </c>
      <c r="E39" s="93">
        <v>466</v>
      </c>
      <c r="F39" s="93">
        <v>313790</v>
      </c>
      <c r="G39" s="93">
        <v>0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248</v>
      </c>
      <c r="Q39" s="93">
        <v>269</v>
      </c>
      <c r="R39" s="93">
        <v>226935</v>
      </c>
      <c r="S39" s="93">
        <v>133</v>
      </c>
      <c r="T39" s="93">
        <v>197</v>
      </c>
      <c r="U39" s="93">
        <v>86730</v>
      </c>
      <c r="V39" s="93">
        <v>0</v>
      </c>
      <c r="W39" s="93">
        <v>0</v>
      </c>
      <c r="X39" s="93">
        <v>125</v>
      </c>
      <c r="Y39" s="93">
        <v>6</v>
      </c>
      <c r="Z39" s="93">
        <v>7</v>
      </c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</row>
    <row r="40" spans="1:57" s="95" customFormat="1" ht="14.1" hidden="1" customHeight="1">
      <c r="A40" s="111" t="s">
        <v>119</v>
      </c>
      <c r="B40" s="68" t="s">
        <v>36</v>
      </c>
      <c r="C40" s="93">
        <v>980</v>
      </c>
      <c r="D40" s="93">
        <v>477</v>
      </c>
      <c r="E40" s="93">
        <v>503</v>
      </c>
      <c r="F40" s="93">
        <v>213437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318</v>
      </c>
      <c r="Q40" s="93">
        <v>309</v>
      </c>
      <c r="R40" s="93">
        <v>147621</v>
      </c>
      <c r="S40" s="93">
        <v>87</v>
      </c>
      <c r="T40" s="93">
        <v>102</v>
      </c>
      <c r="U40" s="93">
        <v>40454</v>
      </c>
      <c r="V40" s="93">
        <v>72</v>
      </c>
      <c r="W40" s="93">
        <v>92</v>
      </c>
      <c r="X40" s="93">
        <v>25362</v>
      </c>
      <c r="Y40" s="93">
        <v>0</v>
      </c>
      <c r="Z40" s="93">
        <v>0</v>
      </c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</row>
    <row r="41" spans="1:57" s="95" customFormat="1" ht="14.1" hidden="1" customHeight="1">
      <c r="A41" s="111" t="s">
        <v>120</v>
      </c>
      <c r="B41" s="68" t="s">
        <v>38</v>
      </c>
      <c r="C41" s="93">
        <v>888</v>
      </c>
      <c r="D41" s="93">
        <v>265</v>
      </c>
      <c r="E41" s="93">
        <v>623</v>
      </c>
      <c r="F41" s="93">
        <v>156092</v>
      </c>
      <c r="G41" s="93">
        <v>0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79</v>
      </c>
      <c r="Q41" s="93">
        <v>323</v>
      </c>
      <c r="R41" s="93">
        <v>86342</v>
      </c>
      <c r="S41" s="93">
        <v>43</v>
      </c>
      <c r="T41" s="93">
        <v>52</v>
      </c>
      <c r="U41" s="93">
        <v>19210</v>
      </c>
      <c r="V41" s="93">
        <v>143</v>
      </c>
      <c r="W41" s="93">
        <v>248</v>
      </c>
      <c r="X41" s="93">
        <v>50540</v>
      </c>
      <c r="Y41" s="93">
        <v>0</v>
      </c>
      <c r="Z41" s="93">
        <v>0</v>
      </c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</row>
    <row r="42" spans="1:57" ht="14.1" hidden="1" customHeight="1">
      <c r="A42" s="111" t="s">
        <v>121</v>
      </c>
      <c r="B42" s="68" t="s">
        <v>122</v>
      </c>
      <c r="C42" s="93">
        <v>3988</v>
      </c>
      <c r="D42" s="93">
        <v>1930</v>
      </c>
      <c r="E42" s="93">
        <v>2058</v>
      </c>
      <c r="F42" s="93">
        <v>1151490</v>
      </c>
      <c r="G42" s="93">
        <v>0</v>
      </c>
      <c r="H42" s="93">
        <v>0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995</v>
      </c>
      <c r="Q42" s="93">
        <v>806</v>
      </c>
      <c r="R42" s="93">
        <v>581049</v>
      </c>
      <c r="S42" s="93">
        <v>335</v>
      </c>
      <c r="T42" s="93">
        <v>333</v>
      </c>
      <c r="U42" s="93">
        <v>185067</v>
      </c>
      <c r="V42" s="93">
        <v>600</v>
      </c>
      <c r="W42" s="93">
        <v>919</v>
      </c>
      <c r="X42" s="93">
        <v>385374</v>
      </c>
      <c r="Y42" s="93">
        <v>376</v>
      </c>
      <c r="Z42" s="93">
        <v>469</v>
      </c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</row>
    <row r="43" spans="1:57" ht="14.1" hidden="1" customHeight="1">
      <c r="A43" s="112" t="s">
        <v>123</v>
      </c>
      <c r="B43" s="98" t="s">
        <v>40</v>
      </c>
      <c r="C43" s="92">
        <v>242</v>
      </c>
      <c r="D43" s="92">
        <v>116</v>
      </c>
      <c r="E43" s="92">
        <v>126</v>
      </c>
      <c r="F43" s="92">
        <v>48288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70</v>
      </c>
      <c r="Q43" s="92">
        <v>59</v>
      </c>
      <c r="R43" s="92">
        <v>26232</v>
      </c>
      <c r="S43" s="92">
        <v>23</v>
      </c>
      <c r="T43" s="92">
        <v>24</v>
      </c>
      <c r="U43" s="92">
        <v>9042</v>
      </c>
      <c r="V43" s="92">
        <v>23</v>
      </c>
      <c r="W43" s="92">
        <v>43</v>
      </c>
      <c r="X43" s="92">
        <v>13014</v>
      </c>
      <c r="Y43" s="92">
        <v>7</v>
      </c>
      <c r="Z43" s="92">
        <v>5</v>
      </c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</row>
    <row r="44" spans="1:57" ht="14.1" hidden="1" customHeight="1">
      <c r="A44" s="112" t="s">
        <v>124</v>
      </c>
      <c r="B44" s="98" t="s">
        <v>42</v>
      </c>
      <c r="C44" s="92">
        <v>43</v>
      </c>
      <c r="D44" s="92">
        <v>26</v>
      </c>
      <c r="E44" s="92">
        <v>17</v>
      </c>
      <c r="F44" s="92">
        <v>9724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24</v>
      </c>
      <c r="Q44" s="92">
        <v>14</v>
      </c>
      <c r="R44" s="92">
        <v>8748</v>
      </c>
      <c r="S44" s="92">
        <v>2</v>
      </c>
      <c r="T44" s="92">
        <v>3</v>
      </c>
      <c r="U44" s="92">
        <v>952</v>
      </c>
      <c r="V44" s="92">
        <v>0</v>
      </c>
      <c r="W44" s="92">
        <v>0</v>
      </c>
      <c r="X44" s="92">
        <v>24</v>
      </c>
      <c r="Y44" s="92">
        <v>0</v>
      </c>
      <c r="Z44" s="92">
        <v>0</v>
      </c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</row>
    <row r="45" spans="1:57" ht="14.1" hidden="1" customHeight="1">
      <c r="A45" s="112" t="s">
        <v>125</v>
      </c>
      <c r="B45" s="98" t="s">
        <v>44</v>
      </c>
      <c r="C45" s="92">
        <v>109</v>
      </c>
      <c r="D45" s="92">
        <v>69</v>
      </c>
      <c r="E45" s="92">
        <v>40</v>
      </c>
      <c r="F45" s="92">
        <v>26661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92">
        <v>0</v>
      </c>
      <c r="N45" s="92">
        <v>0</v>
      </c>
      <c r="O45" s="92">
        <v>0</v>
      </c>
      <c r="P45" s="92">
        <v>55</v>
      </c>
      <c r="Q45" s="92">
        <v>31</v>
      </c>
      <c r="R45" s="92">
        <v>21916</v>
      </c>
      <c r="S45" s="92">
        <v>14</v>
      </c>
      <c r="T45" s="92">
        <v>9</v>
      </c>
      <c r="U45" s="92">
        <v>4745</v>
      </c>
      <c r="V45" s="92">
        <v>0</v>
      </c>
      <c r="W45" s="92">
        <v>0</v>
      </c>
      <c r="X45" s="92">
        <v>0</v>
      </c>
      <c r="Y45" s="92">
        <v>0</v>
      </c>
      <c r="Z45" s="92">
        <v>0</v>
      </c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</row>
    <row r="46" spans="1:57" ht="14.1" hidden="1" customHeight="1">
      <c r="A46" s="112" t="s">
        <v>126</v>
      </c>
      <c r="B46" s="98" t="s">
        <v>46</v>
      </c>
      <c r="C46" s="92">
        <v>331</v>
      </c>
      <c r="D46" s="92">
        <v>165</v>
      </c>
      <c r="E46" s="92">
        <v>166</v>
      </c>
      <c r="F46" s="92">
        <v>73094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93</v>
      </c>
      <c r="Q46" s="92">
        <v>57</v>
      </c>
      <c r="R46" s="92">
        <v>40292</v>
      </c>
      <c r="S46" s="92">
        <v>20</v>
      </c>
      <c r="T46" s="92">
        <v>33</v>
      </c>
      <c r="U46" s="92">
        <v>9549</v>
      </c>
      <c r="V46" s="92">
        <v>52</v>
      </c>
      <c r="W46" s="92">
        <v>76</v>
      </c>
      <c r="X46" s="92">
        <v>23253</v>
      </c>
      <c r="Y46" s="92">
        <v>0</v>
      </c>
      <c r="Z46" s="92">
        <v>0</v>
      </c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</row>
    <row r="47" spans="1:57" ht="14.1" hidden="1" customHeight="1">
      <c r="A47" s="112" t="s">
        <v>127</v>
      </c>
      <c r="B47" s="98" t="s">
        <v>48</v>
      </c>
      <c r="C47" s="92">
        <v>482</v>
      </c>
      <c r="D47" s="92">
        <v>259</v>
      </c>
      <c r="E47" s="92">
        <v>223</v>
      </c>
      <c r="F47" s="92">
        <v>120060</v>
      </c>
      <c r="G47" s="92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79</v>
      </c>
      <c r="Q47" s="92">
        <v>92</v>
      </c>
      <c r="R47" s="92">
        <v>26254</v>
      </c>
      <c r="S47" s="92">
        <v>91</v>
      </c>
      <c r="T47" s="92">
        <v>53</v>
      </c>
      <c r="U47" s="92">
        <v>41375</v>
      </c>
      <c r="V47" s="92">
        <v>89</v>
      </c>
      <c r="W47" s="92">
        <v>78</v>
      </c>
      <c r="X47" s="92">
        <v>52431</v>
      </c>
      <c r="Y47" s="92">
        <v>0</v>
      </c>
      <c r="Z47" s="92">
        <v>0</v>
      </c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</row>
    <row r="48" spans="1:57" ht="14.1" hidden="1" customHeight="1">
      <c r="A48" s="112" t="s">
        <v>128</v>
      </c>
      <c r="B48" s="98" t="s">
        <v>50</v>
      </c>
      <c r="C48" s="92">
        <v>255</v>
      </c>
      <c r="D48" s="92">
        <v>128</v>
      </c>
      <c r="E48" s="92">
        <v>127</v>
      </c>
      <c r="F48" s="92">
        <v>91188</v>
      </c>
      <c r="G48" s="92">
        <v>0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106</v>
      </c>
      <c r="Q48" s="92">
        <v>94</v>
      </c>
      <c r="R48" s="92">
        <v>72989</v>
      </c>
      <c r="S48" s="92">
        <v>7</v>
      </c>
      <c r="T48" s="92">
        <v>9</v>
      </c>
      <c r="U48" s="92">
        <v>6879</v>
      </c>
      <c r="V48" s="92">
        <v>15</v>
      </c>
      <c r="W48" s="92">
        <v>24</v>
      </c>
      <c r="X48" s="92">
        <v>11320</v>
      </c>
      <c r="Y48" s="92">
        <v>0</v>
      </c>
      <c r="Z48" s="92">
        <v>0</v>
      </c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</row>
    <row r="49" spans="1:57" ht="14.1" hidden="1" customHeight="1">
      <c r="A49" s="112" t="s">
        <v>129</v>
      </c>
      <c r="B49" s="98" t="s">
        <v>52</v>
      </c>
      <c r="C49" s="92">
        <v>309</v>
      </c>
      <c r="D49" s="92">
        <v>141</v>
      </c>
      <c r="E49" s="92">
        <v>168</v>
      </c>
      <c r="F49" s="92">
        <v>96583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123</v>
      </c>
      <c r="Q49" s="92">
        <v>125</v>
      </c>
      <c r="R49" s="92">
        <v>79335</v>
      </c>
      <c r="S49" s="92">
        <v>18</v>
      </c>
      <c r="T49" s="92">
        <v>43</v>
      </c>
      <c r="U49" s="92">
        <v>17248</v>
      </c>
      <c r="V49" s="92">
        <v>0</v>
      </c>
      <c r="W49" s="92">
        <v>0</v>
      </c>
      <c r="X49" s="92">
        <v>0</v>
      </c>
      <c r="Y49" s="92">
        <v>0</v>
      </c>
      <c r="Z49" s="92">
        <v>0</v>
      </c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</row>
    <row r="50" spans="1:57" ht="14.1" hidden="1" customHeight="1">
      <c r="A50" s="112" t="s">
        <v>130</v>
      </c>
      <c r="B50" s="98" t="s">
        <v>54</v>
      </c>
      <c r="C50" s="92">
        <v>75</v>
      </c>
      <c r="D50" s="92">
        <v>46</v>
      </c>
      <c r="E50" s="92">
        <v>29</v>
      </c>
      <c r="F50" s="92">
        <v>163608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2">
        <v>0</v>
      </c>
      <c r="O50" s="92">
        <v>0</v>
      </c>
      <c r="P50" s="92">
        <v>33</v>
      </c>
      <c r="Q50" s="92">
        <v>19</v>
      </c>
      <c r="R50" s="92">
        <v>104706</v>
      </c>
      <c r="S50" s="92">
        <v>12</v>
      </c>
      <c r="T50" s="92">
        <v>7</v>
      </c>
      <c r="U50" s="92">
        <v>27348</v>
      </c>
      <c r="V50" s="92">
        <v>1</v>
      </c>
      <c r="W50" s="92">
        <v>3</v>
      </c>
      <c r="X50" s="92">
        <v>31554</v>
      </c>
      <c r="Y50" s="92">
        <v>0</v>
      </c>
      <c r="Z50" s="92">
        <v>0</v>
      </c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</row>
    <row r="51" spans="1:57" ht="14.1" hidden="1" customHeight="1">
      <c r="A51" s="112" t="s">
        <v>131</v>
      </c>
      <c r="B51" s="98" t="s">
        <v>56</v>
      </c>
      <c r="C51" s="92">
        <v>892</v>
      </c>
      <c r="D51" s="92">
        <v>386</v>
      </c>
      <c r="E51" s="92">
        <v>506</v>
      </c>
      <c r="F51" s="92">
        <v>198374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145</v>
      </c>
      <c r="Q51" s="92">
        <v>102</v>
      </c>
      <c r="R51" s="92">
        <v>61950</v>
      </c>
      <c r="S51" s="92">
        <v>15</v>
      </c>
      <c r="T51" s="92">
        <v>13</v>
      </c>
      <c r="U51" s="92">
        <v>7504</v>
      </c>
      <c r="V51" s="92">
        <v>226</v>
      </c>
      <c r="W51" s="92">
        <v>391</v>
      </c>
      <c r="X51" s="92">
        <v>128920</v>
      </c>
      <c r="Y51" s="92">
        <v>295</v>
      </c>
      <c r="Z51" s="92">
        <v>368</v>
      </c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</row>
    <row r="52" spans="1:57" ht="14.1" hidden="1" customHeight="1">
      <c r="A52" s="112" t="s">
        <v>132</v>
      </c>
      <c r="B52" s="98" t="s">
        <v>58</v>
      </c>
      <c r="C52" s="92">
        <v>511</v>
      </c>
      <c r="D52" s="92">
        <v>265</v>
      </c>
      <c r="E52" s="92">
        <v>246</v>
      </c>
      <c r="F52" s="92">
        <v>90885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2">
        <v>0</v>
      </c>
      <c r="O52" s="92">
        <v>0</v>
      </c>
      <c r="P52" s="92">
        <v>155</v>
      </c>
      <c r="Q52" s="92">
        <v>100</v>
      </c>
      <c r="R52" s="92">
        <v>52130</v>
      </c>
      <c r="S52" s="92">
        <v>55</v>
      </c>
      <c r="T52" s="92">
        <v>39</v>
      </c>
      <c r="U52" s="92">
        <v>15605</v>
      </c>
      <c r="V52" s="92">
        <v>55</v>
      </c>
      <c r="W52" s="92">
        <v>107</v>
      </c>
      <c r="X52" s="92">
        <v>23150</v>
      </c>
      <c r="Y52" s="92">
        <v>74</v>
      </c>
      <c r="Z52" s="92">
        <v>96</v>
      </c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</row>
    <row r="53" spans="1:57" ht="14.1" hidden="1" customHeight="1">
      <c r="A53" s="112" t="s">
        <v>133</v>
      </c>
      <c r="B53" s="98" t="s">
        <v>60</v>
      </c>
      <c r="C53" s="92">
        <v>378</v>
      </c>
      <c r="D53" s="92">
        <v>177</v>
      </c>
      <c r="E53" s="92">
        <v>201</v>
      </c>
      <c r="F53" s="92">
        <v>117710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29</v>
      </c>
      <c r="Q53" s="92">
        <v>15</v>
      </c>
      <c r="R53" s="92">
        <v>13435</v>
      </c>
      <c r="S53" s="92">
        <v>35</v>
      </c>
      <c r="T53" s="92">
        <v>42</v>
      </c>
      <c r="U53" s="92">
        <v>21659</v>
      </c>
      <c r="V53" s="92">
        <v>113</v>
      </c>
      <c r="W53" s="92">
        <v>144</v>
      </c>
      <c r="X53" s="92">
        <v>82616</v>
      </c>
      <c r="Y53" s="92">
        <v>0</v>
      </c>
      <c r="Z53" s="92">
        <v>0</v>
      </c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</row>
    <row r="54" spans="1:57" ht="14.1" hidden="1" customHeight="1">
      <c r="A54" s="112" t="s">
        <v>134</v>
      </c>
      <c r="B54" s="98" t="s">
        <v>62</v>
      </c>
      <c r="C54" s="92">
        <v>158</v>
      </c>
      <c r="D54" s="92">
        <v>59</v>
      </c>
      <c r="E54" s="92">
        <v>99</v>
      </c>
      <c r="F54" s="92">
        <v>46812</v>
      </c>
      <c r="G54" s="92">
        <v>0</v>
      </c>
      <c r="H54" s="92">
        <v>0</v>
      </c>
      <c r="I54" s="92">
        <v>0</v>
      </c>
      <c r="J54" s="92">
        <v>0</v>
      </c>
      <c r="K54" s="92">
        <v>0</v>
      </c>
      <c r="L54" s="92">
        <v>0</v>
      </c>
      <c r="M54" s="92">
        <v>0</v>
      </c>
      <c r="N54" s="92">
        <v>0</v>
      </c>
      <c r="O54" s="92">
        <v>0</v>
      </c>
      <c r="P54" s="92">
        <v>12</v>
      </c>
      <c r="Q54" s="92">
        <v>27</v>
      </c>
      <c r="R54" s="92">
        <v>24654</v>
      </c>
      <c r="S54" s="92">
        <v>30</v>
      </c>
      <c r="T54" s="92">
        <v>39</v>
      </c>
      <c r="U54" s="92">
        <v>10593</v>
      </c>
      <c r="V54" s="92">
        <v>17</v>
      </c>
      <c r="W54" s="92">
        <v>33</v>
      </c>
      <c r="X54" s="92">
        <v>11565</v>
      </c>
      <c r="Y54" s="92">
        <v>0</v>
      </c>
      <c r="Z54" s="92">
        <v>0</v>
      </c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</row>
    <row r="55" spans="1:57" ht="14.1" hidden="1" customHeight="1">
      <c r="A55" s="112" t="s">
        <v>135</v>
      </c>
      <c r="B55" s="98" t="s">
        <v>64</v>
      </c>
      <c r="C55" s="92">
        <v>108</v>
      </c>
      <c r="D55" s="92">
        <v>52</v>
      </c>
      <c r="E55" s="92">
        <v>56</v>
      </c>
      <c r="F55" s="92">
        <v>32936</v>
      </c>
      <c r="G55" s="92">
        <v>0</v>
      </c>
      <c r="H55" s="92">
        <v>0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32</v>
      </c>
      <c r="Q55" s="92">
        <v>28</v>
      </c>
      <c r="R55" s="92">
        <v>18676</v>
      </c>
      <c r="S55" s="92">
        <v>11</v>
      </c>
      <c r="T55" s="92">
        <v>8</v>
      </c>
      <c r="U55" s="92">
        <v>6733</v>
      </c>
      <c r="V55" s="92">
        <v>9</v>
      </c>
      <c r="W55" s="92">
        <v>20</v>
      </c>
      <c r="X55" s="92">
        <v>7527</v>
      </c>
      <c r="Y55" s="92">
        <v>0</v>
      </c>
      <c r="Z55" s="92">
        <v>0</v>
      </c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</row>
    <row r="56" spans="1:57" ht="14.1" hidden="1" customHeight="1">
      <c r="A56" s="112" t="s">
        <v>136</v>
      </c>
      <c r="B56" s="98" t="s">
        <v>66</v>
      </c>
      <c r="C56" s="92">
        <v>95</v>
      </c>
      <c r="D56" s="92">
        <v>41</v>
      </c>
      <c r="E56" s="92">
        <v>54</v>
      </c>
      <c r="F56" s="92">
        <v>35567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39</v>
      </c>
      <c r="Q56" s="92">
        <v>43</v>
      </c>
      <c r="R56" s="92">
        <v>29732</v>
      </c>
      <c r="S56" s="92">
        <v>2</v>
      </c>
      <c r="T56" s="92">
        <v>11</v>
      </c>
      <c r="U56" s="92">
        <v>5835</v>
      </c>
      <c r="V56" s="92">
        <v>0</v>
      </c>
      <c r="W56" s="92">
        <v>0</v>
      </c>
      <c r="X56" s="92">
        <v>0</v>
      </c>
      <c r="Y56" s="92">
        <v>0</v>
      </c>
      <c r="Z56" s="92">
        <v>0</v>
      </c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</row>
    <row r="57" spans="1:57" ht="14.1" hidden="1" customHeight="1">
      <c r="A57" s="112" t="s">
        <v>137</v>
      </c>
      <c r="B57" s="68" t="s">
        <v>138</v>
      </c>
      <c r="C57" s="93">
        <v>50</v>
      </c>
      <c r="D57" s="93">
        <v>34</v>
      </c>
      <c r="E57" s="93">
        <v>16</v>
      </c>
      <c r="F57" s="93">
        <v>16292</v>
      </c>
      <c r="G57" s="93">
        <v>0</v>
      </c>
      <c r="H57" s="93">
        <v>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8</v>
      </c>
      <c r="Q57" s="93">
        <v>2</v>
      </c>
      <c r="R57" s="93">
        <v>5171</v>
      </c>
      <c r="S57" s="93">
        <v>1</v>
      </c>
      <c r="T57" s="93">
        <v>4</v>
      </c>
      <c r="U57" s="93">
        <v>2598</v>
      </c>
      <c r="V57" s="93">
        <v>25</v>
      </c>
      <c r="W57" s="93">
        <v>10</v>
      </c>
      <c r="X57" s="93">
        <v>8523</v>
      </c>
      <c r="Y57" s="93">
        <v>0</v>
      </c>
      <c r="Z57" s="93">
        <v>0</v>
      </c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</row>
    <row r="58" spans="1:57" ht="14.1" hidden="1" customHeight="1">
      <c r="A58" s="112" t="s">
        <v>139</v>
      </c>
      <c r="B58" s="98" t="s">
        <v>68</v>
      </c>
      <c r="C58" s="92">
        <v>40</v>
      </c>
      <c r="D58" s="92">
        <v>28</v>
      </c>
      <c r="E58" s="92">
        <v>12</v>
      </c>
      <c r="F58" s="92">
        <v>5847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2">
        <v>0</v>
      </c>
      <c r="O58" s="92">
        <v>0</v>
      </c>
      <c r="P58" s="92">
        <v>5</v>
      </c>
      <c r="Q58" s="92">
        <v>1</v>
      </c>
      <c r="R58" s="92">
        <v>829</v>
      </c>
      <c r="S58" s="92">
        <v>1</v>
      </c>
      <c r="T58" s="92">
        <v>2</v>
      </c>
      <c r="U58" s="92">
        <v>428</v>
      </c>
      <c r="V58" s="92">
        <v>22</v>
      </c>
      <c r="W58" s="92">
        <v>9</v>
      </c>
      <c r="X58" s="92">
        <v>4590</v>
      </c>
      <c r="Y58" s="92">
        <v>0</v>
      </c>
      <c r="Z58" s="92">
        <v>0</v>
      </c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</row>
    <row r="59" spans="1:57" ht="14.1" hidden="1" customHeight="1">
      <c r="A59" s="113" t="s">
        <v>140</v>
      </c>
      <c r="B59" s="100" t="s">
        <v>70</v>
      </c>
      <c r="C59" s="101">
        <v>10</v>
      </c>
      <c r="D59" s="101">
        <v>6</v>
      </c>
      <c r="E59" s="101">
        <v>4</v>
      </c>
      <c r="F59" s="101">
        <v>10445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101">
        <v>0</v>
      </c>
      <c r="N59" s="101">
        <v>0</v>
      </c>
      <c r="O59" s="101">
        <v>0</v>
      </c>
      <c r="P59" s="101">
        <v>3</v>
      </c>
      <c r="Q59" s="101">
        <v>1</v>
      </c>
      <c r="R59" s="101">
        <v>4342</v>
      </c>
      <c r="S59" s="101">
        <v>0</v>
      </c>
      <c r="T59" s="101">
        <v>2</v>
      </c>
      <c r="U59" s="101">
        <v>2170</v>
      </c>
      <c r="V59" s="101">
        <v>3</v>
      </c>
      <c r="W59" s="101">
        <v>1</v>
      </c>
      <c r="X59" s="101">
        <v>3933</v>
      </c>
      <c r="Y59" s="101">
        <v>0</v>
      </c>
      <c r="Z59" s="101">
        <v>0</v>
      </c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</row>
    <row r="60" spans="1:57" hidden="1"/>
    <row r="61" spans="1:57" s="109" customFormat="1" ht="14.1" hidden="1" customHeight="1">
      <c r="A61" s="110" t="s">
        <v>114</v>
      </c>
      <c r="B61" s="107" t="s">
        <v>26</v>
      </c>
      <c r="C61" s="93" t="str">
        <f t="shared" ref="C61:Z67" si="0">IF(C35=C8,"","*")</f>
        <v>*</v>
      </c>
      <c r="D61" s="93" t="str">
        <f t="shared" si="0"/>
        <v>*</v>
      </c>
      <c r="E61" s="93" t="str">
        <f t="shared" si="0"/>
        <v>*</v>
      </c>
      <c r="F61" s="93" t="str">
        <f t="shared" si="0"/>
        <v>*</v>
      </c>
      <c r="G61" s="93" t="str">
        <f t="shared" si="0"/>
        <v/>
      </c>
      <c r="H61" s="93" t="str">
        <f t="shared" si="0"/>
        <v/>
      </c>
      <c r="I61" s="93" t="str">
        <f t="shared" si="0"/>
        <v/>
      </c>
      <c r="J61" s="93" t="str">
        <f t="shared" si="0"/>
        <v/>
      </c>
      <c r="K61" s="93" t="str">
        <f t="shared" si="0"/>
        <v/>
      </c>
      <c r="L61" s="93" t="str">
        <f t="shared" si="0"/>
        <v/>
      </c>
      <c r="M61" s="93" t="str">
        <f t="shared" si="0"/>
        <v/>
      </c>
      <c r="N61" s="93" t="str">
        <f t="shared" si="0"/>
        <v/>
      </c>
      <c r="O61" s="93" t="str">
        <f t="shared" si="0"/>
        <v/>
      </c>
      <c r="P61" s="93" t="str">
        <f t="shared" si="0"/>
        <v>*</v>
      </c>
      <c r="Q61" s="93" t="str">
        <f t="shared" si="0"/>
        <v>*</v>
      </c>
      <c r="R61" s="93" t="str">
        <f t="shared" si="0"/>
        <v>*</v>
      </c>
      <c r="S61" s="93" t="str">
        <f t="shared" si="0"/>
        <v>*</v>
      </c>
      <c r="T61" s="93" t="str">
        <f t="shared" si="0"/>
        <v>*</v>
      </c>
      <c r="U61" s="93" t="str">
        <f t="shared" si="0"/>
        <v>*</v>
      </c>
      <c r="V61" s="93" t="str">
        <f t="shared" si="0"/>
        <v>*</v>
      </c>
      <c r="W61" s="93" t="str">
        <f t="shared" si="0"/>
        <v>*</v>
      </c>
      <c r="X61" s="93" t="str">
        <f t="shared" si="0"/>
        <v/>
      </c>
      <c r="Y61" s="93" t="str">
        <f t="shared" si="0"/>
        <v/>
      </c>
      <c r="Z61" s="93" t="str">
        <f t="shared" si="0"/>
        <v/>
      </c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</row>
    <row r="62" spans="1:57" s="95" customFormat="1" ht="14.1" hidden="1" customHeight="1">
      <c r="A62" s="111" t="s">
        <v>115</v>
      </c>
      <c r="B62" s="68" t="s">
        <v>28</v>
      </c>
      <c r="C62" s="93" t="str">
        <f t="shared" si="0"/>
        <v/>
      </c>
      <c r="D62" s="93" t="str">
        <f t="shared" si="0"/>
        <v/>
      </c>
      <c r="E62" s="93" t="str">
        <f t="shared" si="0"/>
        <v/>
      </c>
      <c r="F62" s="93" t="str">
        <f t="shared" si="0"/>
        <v/>
      </c>
      <c r="G62" s="93" t="str">
        <f t="shared" si="0"/>
        <v/>
      </c>
      <c r="H62" s="93" t="str">
        <f t="shared" si="0"/>
        <v/>
      </c>
      <c r="I62" s="93" t="str">
        <f t="shared" si="0"/>
        <v/>
      </c>
      <c r="J62" s="93" t="str">
        <f t="shared" si="0"/>
        <v/>
      </c>
      <c r="K62" s="93" t="str">
        <f t="shared" si="0"/>
        <v/>
      </c>
      <c r="L62" s="93" t="str">
        <f t="shared" si="0"/>
        <v/>
      </c>
      <c r="M62" s="93" t="str">
        <f t="shared" si="0"/>
        <v/>
      </c>
      <c r="N62" s="93" t="str">
        <f t="shared" si="0"/>
        <v/>
      </c>
      <c r="O62" s="93" t="str">
        <f t="shared" si="0"/>
        <v/>
      </c>
      <c r="P62" s="93" t="str">
        <f t="shared" si="0"/>
        <v/>
      </c>
      <c r="Q62" s="93" t="str">
        <f t="shared" si="0"/>
        <v/>
      </c>
      <c r="R62" s="93" t="str">
        <f t="shared" si="0"/>
        <v/>
      </c>
      <c r="S62" s="93" t="str">
        <f t="shared" si="0"/>
        <v/>
      </c>
      <c r="T62" s="93" t="str">
        <f t="shared" si="0"/>
        <v/>
      </c>
      <c r="U62" s="93" t="str">
        <f t="shared" si="0"/>
        <v/>
      </c>
      <c r="V62" s="93" t="str">
        <f t="shared" si="0"/>
        <v/>
      </c>
      <c r="W62" s="93" t="str">
        <f t="shared" si="0"/>
        <v/>
      </c>
      <c r="X62" s="93" t="str">
        <f t="shared" si="0"/>
        <v/>
      </c>
      <c r="Y62" s="93" t="str">
        <f t="shared" si="0"/>
        <v/>
      </c>
      <c r="Z62" s="93" t="str">
        <f t="shared" si="0"/>
        <v/>
      </c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</row>
    <row r="63" spans="1:57" s="95" customFormat="1" ht="14.1" hidden="1" customHeight="1">
      <c r="A63" s="111" t="s">
        <v>116</v>
      </c>
      <c r="B63" s="68" t="s">
        <v>30</v>
      </c>
      <c r="C63" s="93" t="str">
        <f t="shared" si="0"/>
        <v/>
      </c>
      <c r="D63" s="93" t="str">
        <f t="shared" si="0"/>
        <v/>
      </c>
      <c r="E63" s="93" t="str">
        <f t="shared" si="0"/>
        <v/>
      </c>
      <c r="F63" s="93" t="str">
        <f t="shared" si="0"/>
        <v/>
      </c>
      <c r="G63" s="93" t="str">
        <f t="shared" si="0"/>
        <v/>
      </c>
      <c r="H63" s="93" t="str">
        <f t="shared" si="0"/>
        <v/>
      </c>
      <c r="I63" s="93" t="str">
        <f t="shared" si="0"/>
        <v/>
      </c>
      <c r="J63" s="93" t="str">
        <f t="shared" si="0"/>
        <v/>
      </c>
      <c r="K63" s="93" t="str">
        <f t="shared" si="0"/>
        <v/>
      </c>
      <c r="L63" s="93" t="str">
        <f t="shared" si="0"/>
        <v/>
      </c>
      <c r="M63" s="93" t="str">
        <f t="shared" si="0"/>
        <v/>
      </c>
      <c r="N63" s="93" t="str">
        <f t="shared" si="0"/>
        <v/>
      </c>
      <c r="O63" s="93" t="str">
        <f t="shared" si="0"/>
        <v/>
      </c>
      <c r="P63" s="93" t="str">
        <f t="shared" si="0"/>
        <v/>
      </c>
      <c r="Q63" s="93" t="str">
        <f t="shared" si="0"/>
        <v/>
      </c>
      <c r="R63" s="93" t="str">
        <f t="shared" si="0"/>
        <v/>
      </c>
      <c r="S63" s="93" t="str">
        <f t="shared" si="0"/>
        <v/>
      </c>
      <c r="T63" s="93" t="str">
        <f t="shared" si="0"/>
        <v/>
      </c>
      <c r="U63" s="93" t="str">
        <f t="shared" si="0"/>
        <v/>
      </c>
      <c r="V63" s="93" t="str">
        <f t="shared" si="0"/>
        <v/>
      </c>
      <c r="W63" s="93" t="str">
        <f t="shared" si="0"/>
        <v/>
      </c>
      <c r="X63" s="93" t="str">
        <f t="shared" si="0"/>
        <v/>
      </c>
      <c r="Y63" s="93" t="str">
        <f t="shared" si="0"/>
        <v/>
      </c>
      <c r="Z63" s="93" t="str">
        <f t="shared" si="0"/>
        <v/>
      </c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</row>
    <row r="64" spans="1:57" s="95" customFormat="1" ht="14.1" hidden="1" customHeight="1">
      <c r="A64" s="111" t="s">
        <v>117</v>
      </c>
      <c r="B64" s="68" t="s">
        <v>32</v>
      </c>
      <c r="C64" s="93" t="str">
        <f t="shared" si="0"/>
        <v/>
      </c>
      <c r="D64" s="93" t="str">
        <f t="shared" si="0"/>
        <v/>
      </c>
      <c r="E64" s="93" t="str">
        <f t="shared" si="0"/>
        <v/>
      </c>
      <c r="F64" s="93" t="str">
        <f t="shared" si="0"/>
        <v/>
      </c>
      <c r="G64" s="93" t="str">
        <f t="shared" si="0"/>
        <v/>
      </c>
      <c r="H64" s="93" t="str">
        <f t="shared" si="0"/>
        <v/>
      </c>
      <c r="I64" s="93" t="str">
        <f t="shared" si="0"/>
        <v/>
      </c>
      <c r="J64" s="93" t="str">
        <f t="shared" si="0"/>
        <v/>
      </c>
      <c r="K64" s="93" t="str">
        <f t="shared" si="0"/>
        <v/>
      </c>
      <c r="L64" s="93" t="str">
        <f t="shared" si="0"/>
        <v/>
      </c>
      <c r="M64" s="93" t="str">
        <f t="shared" si="0"/>
        <v/>
      </c>
      <c r="N64" s="93" t="str">
        <f t="shared" si="0"/>
        <v/>
      </c>
      <c r="O64" s="93" t="str">
        <f t="shared" si="0"/>
        <v/>
      </c>
      <c r="P64" s="93" t="str">
        <f t="shared" si="0"/>
        <v/>
      </c>
      <c r="Q64" s="93" t="str">
        <f t="shared" si="0"/>
        <v/>
      </c>
      <c r="R64" s="93" t="str">
        <f t="shared" si="0"/>
        <v/>
      </c>
      <c r="S64" s="93" t="str">
        <f t="shared" si="0"/>
        <v/>
      </c>
      <c r="T64" s="93" t="str">
        <f t="shared" si="0"/>
        <v/>
      </c>
      <c r="U64" s="93" t="str">
        <f t="shared" si="0"/>
        <v/>
      </c>
      <c r="V64" s="93" t="str">
        <f t="shared" si="0"/>
        <v/>
      </c>
      <c r="W64" s="93" t="str">
        <f t="shared" si="0"/>
        <v/>
      </c>
      <c r="X64" s="93" t="str">
        <f t="shared" si="0"/>
        <v/>
      </c>
      <c r="Y64" s="93" t="str">
        <f t="shared" si="0"/>
        <v/>
      </c>
      <c r="Z64" s="93" t="str">
        <f t="shared" si="0"/>
        <v/>
      </c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</row>
    <row r="65" spans="1:55" s="95" customFormat="1" ht="14.1" hidden="1" customHeight="1">
      <c r="A65" s="111" t="s">
        <v>118</v>
      </c>
      <c r="B65" s="68" t="s">
        <v>34</v>
      </c>
      <c r="C65" s="93" t="str">
        <f t="shared" si="0"/>
        <v/>
      </c>
      <c r="D65" s="93" t="str">
        <f t="shared" si="0"/>
        <v/>
      </c>
      <c r="E65" s="93" t="str">
        <f t="shared" si="0"/>
        <v/>
      </c>
      <c r="F65" s="93" t="str">
        <f t="shared" si="0"/>
        <v/>
      </c>
      <c r="G65" s="93" t="str">
        <f t="shared" si="0"/>
        <v/>
      </c>
      <c r="H65" s="93" t="str">
        <f t="shared" si="0"/>
        <v/>
      </c>
      <c r="I65" s="93" t="str">
        <f t="shared" si="0"/>
        <v/>
      </c>
      <c r="J65" s="93" t="str">
        <f t="shared" si="0"/>
        <v/>
      </c>
      <c r="K65" s="93" t="str">
        <f t="shared" si="0"/>
        <v/>
      </c>
      <c r="L65" s="93" t="str">
        <f t="shared" si="0"/>
        <v/>
      </c>
      <c r="M65" s="93" t="str">
        <f t="shared" si="0"/>
        <v/>
      </c>
      <c r="N65" s="93" t="str">
        <f t="shared" si="0"/>
        <v/>
      </c>
      <c r="O65" s="93" t="str">
        <f t="shared" si="0"/>
        <v/>
      </c>
      <c r="P65" s="93" t="str">
        <f t="shared" si="0"/>
        <v/>
      </c>
      <c r="Q65" s="93" t="str">
        <f t="shared" si="0"/>
        <v/>
      </c>
      <c r="R65" s="93" t="str">
        <f t="shared" si="0"/>
        <v/>
      </c>
      <c r="S65" s="93" t="str">
        <f t="shared" si="0"/>
        <v/>
      </c>
      <c r="T65" s="93" t="str">
        <f t="shared" si="0"/>
        <v/>
      </c>
      <c r="U65" s="93" t="str">
        <f t="shared" si="0"/>
        <v/>
      </c>
      <c r="V65" s="93" t="str">
        <f t="shared" si="0"/>
        <v/>
      </c>
      <c r="W65" s="93" t="str">
        <f t="shared" si="0"/>
        <v/>
      </c>
      <c r="X65" s="93" t="str">
        <f t="shared" si="0"/>
        <v/>
      </c>
      <c r="Y65" s="93" t="str">
        <f t="shared" si="0"/>
        <v/>
      </c>
      <c r="Z65" s="93" t="str">
        <f t="shared" si="0"/>
        <v/>
      </c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</row>
    <row r="66" spans="1:55" s="95" customFormat="1" ht="14.1" hidden="1" customHeight="1">
      <c r="A66" s="111" t="s">
        <v>119</v>
      </c>
      <c r="B66" s="68" t="s">
        <v>36</v>
      </c>
      <c r="C66" s="93" t="str">
        <f t="shared" si="0"/>
        <v>*</v>
      </c>
      <c r="D66" s="93" t="str">
        <f t="shared" si="0"/>
        <v>*</v>
      </c>
      <c r="E66" s="93" t="str">
        <f t="shared" si="0"/>
        <v>*</v>
      </c>
      <c r="F66" s="93" t="str">
        <f t="shared" si="0"/>
        <v/>
      </c>
      <c r="G66" s="93" t="str">
        <f t="shared" si="0"/>
        <v/>
      </c>
      <c r="H66" s="93" t="str">
        <f t="shared" si="0"/>
        <v/>
      </c>
      <c r="I66" s="93" t="str">
        <f t="shared" si="0"/>
        <v/>
      </c>
      <c r="J66" s="93" t="str">
        <f t="shared" si="0"/>
        <v/>
      </c>
      <c r="K66" s="93" t="str">
        <f t="shared" si="0"/>
        <v/>
      </c>
      <c r="L66" s="93" t="str">
        <f t="shared" si="0"/>
        <v/>
      </c>
      <c r="M66" s="93" t="str">
        <f t="shared" si="0"/>
        <v/>
      </c>
      <c r="N66" s="93" t="str">
        <f t="shared" si="0"/>
        <v/>
      </c>
      <c r="O66" s="93" t="str">
        <f t="shared" si="0"/>
        <v/>
      </c>
      <c r="P66" s="93" t="str">
        <f t="shared" si="0"/>
        <v>*</v>
      </c>
      <c r="Q66" s="93" t="str">
        <f t="shared" si="0"/>
        <v>*</v>
      </c>
      <c r="R66" s="93" t="str">
        <f t="shared" si="0"/>
        <v/>
      </c>
      <c r="S66" s="93" t="str">
        <f t="shared" si="0"/>
        <v>*</v>
      </c>
      <c r="T66" s="93" t="str">
        <f t="shared" si="0"/>
        <v>*</v>
      </c>
      <c r="U66" s="93" t="str">
        <f t="shared" si="0"/>
        <v/>
      </c>
      <c r="V66" s="93" t="str">
        <f t="shared" si="0"/>
        <v>*</v>
      </c>
      <c r="W66" s="93" t="str">
        <f t="shared" si="0"/>
        <v>*</v>
      </c>
      <c r="X66" s="93" t="str">
        <f t="shared" si="0"/>
        <v/>
      </c>
      <c r="Y66" s="93" t="str">
        <f t="shared" si="0"/>
        <v/>
      </c>
      <c r="Z66" s="93" t="str">
        <f t="shared" si="0"/>
        <v/>
      </c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</row>
    <row r="67" spans="1:55" s="95" customFormat="1" ht="14.1" hidden="1" customHeight="1">
      <c r="A67" s="111" t="s">
        <v>120</v>
      </c>
      <c r="B67" s="68" t="s">
        <v>38</v>
      </c>
      <c r="C67" s="93" t="str">
        <f t="shared" si="0"/>
        <v/>
      </c>
      <c r="D67" s="93" t="str">
        <f t="shared" si="0"/>
        <v/>
      </c>
      <c r="E67" s="93" t="str">
        <f t="shared" si="0"/>
        <v/>
      </c>
      <c r="F67" s="93" t="str">
        <f t="shared" si="0"/>
        <v/>
      </c>
      <c r="G67" s="93" t="str">
        <f t="shared" si="0"/>
        <v/>
      </c>
      <c r="H67" s="93" t="str">
        <f t="shared" si="0"/>
        <v/>
      </c>
      <c r="I67" s="93" t="str">
        <f t="shared" si="0"/>
        <v/>
      </c>
      <c r="J67" s="93" t="str">
        <f t="shared" si="0"/>
        <v/>
      </c>
      <c r="K67" s="93" t="str">
        <f t="shared" si="0"/>
        <v/>
      </c>
      <c r="L67" s="93" t="str">
        <f t="shared" si="0"/>
        <v/>
      </c>
      <c r="M67" s="93" t="str">
        <f t="shared" si="0"/>
        <v/>
      </c>
      <c r="N67" s="93" t="str">
        <f t="shared" si="0"/>
        <v/>
      </c>
      <c r="O67" s="93" t="str">
        <f t="shared" si="0"/>
        <v/>
      </c>
      <c r="P67" s="93" t="str">
        <f t="shared" si="0"/>
        <v/>
      </c>
      <c r="Q67" s="93" t="str">
        <f t="shared" si="0"/>
        <v/>
      </c>
      <c r="R67" s="93" t="str">
        <f t="shared" si="0"/>
        <v/>
      </c>
      <c r="S67" s="93" t="str">
        <f t="shared" si="0"/>
        <v/>
      </c>
      <c r="T67" s="93" t="str">
        <f t="shared" si="0"/>
        <v/>
      </c>
      <c r="U67" s="93" t="str">
        <f t="shared" si="0"/>
        <v/>
      </c>
      <c r="V67" s="93" t="str">
        <f t="shared" si="0"/>
        <v/>
      </c>
      <c r="W67" s="93" t="str">
        <f t="shared" si="0"/>
        <v/>
      </c>
      <c r="X67" s="93" t="str">
        <f t="shared" si="0"/>
        <v/>
      </c>
      <c r="Y67" s="93" t="str">
        <f t="shared" si="0"/>
        <v/>
      </c>
      <c r="Z67" s="93" t="str">
        <f t="shared" si="0"/>
        <v/>
      </c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</row>
    <row r="68" spans="1:55" ht="14.1" hidden="1" customHeight="1">
      <c r="A68" s="111" t="s">
        <v>121</v>
      </c>
      <c r="B68" s="68" t="s">
        <v>122</v>
      </c>
      <c r="C68" s="93" t="e">
        <f>IF(C42=#REF!,"","*")</f>
        <v>#REF!</v>
      </c>
      <c r="D68" s="93" t="e">
        <f>IF(D42=#REF!,"","*")</f>
        <v>#REF!</v>
      </c>
      <c r="E68" s="93" t="e">
        <f>IF(E42=#REF!,"","*")</f>
        <v>#REF!</v>
      </c>
      <c r="F68" s="93" t="e">
        <f>IF(F42=#REF!,"","*")</f>
        <v>#REF!</v>
      </c>
      <c r="G68" s="93" t="e">
        <f>IF(G42=#REF!,"","*")</f>
        <v>#REF!</v>
      </c>
      <c r="H68" s="93" t="e">
        <f>IF(H42=#REF!,"","*")</f>
        <v>#REF!</v>
      </c>
      <c r="I68" s="93" t="e">
        <f>IF(I42=#REF!,"","*")</f>
        <v>#REF!</v>
      </c>
      <c r="J68" s="93" t="e">
        <f>IF(J42=#REF!,"","*")</f>
        <v>#REF!</v>
      </c>
      <c r="K68" s="93" t="e">
        <f>IF(K42=#REF!,"","*")</f>
        <v>#REF!</v>
      </c>
      <c r="L68" s="93" t="e">
        <f>IF(L42=#REF!,"","*")</f>
        <v>#REF!</v>
      </c>
      <c r="M68" s="93" t="e">
        <f>IF(M42=#REF!,"","*")</f>
        <v>#REF!</v>
      </c>
      <c r="N68" s="93" t="e">
        <f>IF(N42=#REF!,"","*")</f>
        <v>#REF!</v>
      </c>
      <c r="O68" s="93" t="e">
        <f>IF(O42=#REF!,"","*")</f>
        <v>#REF!</v>
      </c>
      <c r="P68" s="93" t="e">
        <f>IF(P42=#REF!,"","*")</f>
        <v>#REF!</v>
      </c>
      <c r="Q68" s="93" t="e">
        <f>IF(Q42=#REF!,"","*")</f>
        <v>#REF!</v>
      </c>
      <c r="R68" s="93" t="e">
        <f>IF(R42=#REF!,"","*")</f>
        <v>#REF!</v>
      </c>
      <c r="S68" s="93" t="e">
        <f>IF(S42=#REF!,"","*")</f>
        <v>#REF!</v>
      </c>
      <c r="T68" s="93" t="e">
        <f>IF(T42=#REF!,"","*")</f>
        <v>#REF!</v>
      </c>
      <c r="U68" s="93" t="e">
        <f>IF(U42=#REF!,"","*")</f>
        <v>#REF!</v>
      </c>
      <c r="V68" s="93" t="e">
        <f>IF(V42=#REF!,"","*")</f>
        <v>#REF!</v>
      </c>
      <c r="W68" s="93" t="e">
        <f>IF(W42=#REF!,"","*")</f>
        <v>#REF!</v>
      </c>
      <c r="X68" s="93" t="e">
        <f>IF(X42=#REF!,"","*")</f>
        <v>#REF!</v>
      </c>
      <c r="Y68" s="93" t="e">
        <f>IF(Y42=#REF!,"","*")</f>
        <v>#REF!</v>
      </c>
      <c r="Z68" s="93" t="e">
        <f>IF(Z42=#REF!,"","*")</f>
        <v>#REF!</v>
      </c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</row>
    <row r="69" spans="1:55" ht="14.1" hidden="1" customHeight="1">
      <c r="A69" s="112" t="s">
        <v>123</v>
      </c>
      <c r="B69" s="98" t="s">
        <v>40</v>
      </c>
      <c r="C69" s="93" t="str">
        <f t="shared" ref="C69:Z79" si="1">IF(C43=C15,"","*")</f>
        <v/>
      </c>
      <c r="D69" s="93" t="str">
        <f t="shared" si="1"/>
        <v/>
      </c>
      <c r="E69" s="93" t="str">
        <f t="shared" si="1"/>
        <v/>
      </c>
      <c r="F69" s="93" t="str">
        <f t="shared" si="1"/>
        <v/>
      </c>
      <c r="G69" s="93" t="str">
        <f t="shared" si="1"/>
        <v/>
      </c>
      <c r="H69" s="93" t="str">
        <f t="shared" si="1"/>
        <v/>
      </c>
      <c r="I69" s="93" t="str">
        <f t="shared" si="1"/>
        <v/>
      </c>
      <c r="J69" s="93" t="str">
        <f t="shared" si="1"/>
        <v/>
      </c>
      <c r="K69" s="93" t="str">
        <f t="shared" si="1"/>
        <v/>
      </c>
      <c r="L69" s="93" t="str">
        <f t="shared" si="1"/>
        <v/>
      </c>
      <c r="M69" s="93" t="str">
        <f t="shared" si="1"/>
        <v/>
      </c>
      <c r="N69" s="93" t="str">
        <f t="shared" si="1"/>
        <v/>
      </c>
      <c r="O69" s="93" t="str">
        <f t="shared" si="1"/>
        <v/>
      </c>
      <c r="P69" s="93" t="str">
        <f t="shared" si="1"/>
        <v/>
      </c>
      <c r="Q69" s="93" t="str">
        <f t="shared" si="1"/>
        <v/>
      </c>
      <c r="R69" s="93" t="str">
        <f t="shared" si="1"/>
        <v/>
      </c>
      <c r="S69" s="93" t="str">
        <f t="shared" si="1"/>
        <v/>
      </c>
      <c r="T69" s="93" t="str">
        <f t="shared" si="1"/>
        <v/>
      </c>
      <c r="U69" s="93" t="str">
        <f t="shared" si="1"/>
        <v/>
      </c>
      <c r="V69" s="93" t="str">
        <f t="shared" si="1"/>
        <v/>
      </c>
      <c r="W69" s="93" t="str">
        <f t="shared" si="1"/>
        <v/>
      </c>
      <c r="X69" s="93" t="str">
        <f t="shared" si="1"/>
        <v/>
      </c>
      <c r="Y69" s="93" t="str">
        <f t="shared" si="1"/>
        <v/>
      </c>
      <c r="Z69" s="93" t="str">
        <f t="shared" si="1"/>
        <v/>
      </c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</row>
    <row r="70" spans="1:55" ht="14.1" hidden="1" customHeight="1">
      <c r="A70" s="112" t="s">
        <v>124</v>
      </c>
      <c r="B70" s="98" t="s">
        <v>42</v>
      </c>
      <c r="C70" s="93" t="str">
        <f t="shared" si="1"/>
        <v/>
      </c>
      <c r="D70" s="93" t="str">
        <f t="shared" si="1"/>
        <v/>
      </c>
      <c r="E70" s="93" t="str">
        <f t="shared" si="1"/>
        <v/>
      </c>
      <c r="F70" s="93" t="str">
        <f t="shared" si="1"/>
        <v/>
      </c>
      <c r="G70" s="93" t="str">
        <f t="shared" si="1"/>
        <v/>
      </c>
      <c r="H70" s="93" t="str">
        <f t="shared" si="1"/>
        <v/>
      </c>
      <c r="I70" s="93" t="str">
        <f t="shared" si="1"/>
        <v/>
      </c>
      <c r="J70" s="93" t="str">
        <f t="shared" si="1"/>
        <v/>
      </c>
      <c r="K70" s="93" t="str">
        <f t="shared" si="1"/>
        <v/>
      </c>
      <c r="L70" s="93" t="str">
        <f t="shared" si="1"/>
        <v/>
      </c>
      <c r="M70" s="93" t="str">
        <f t="shared" si="1"/>
        <v/>
      </c>
      <c r="N70" s="93" t="str">
        <f t="shared" si="1"/>
        <v/>
      </c>
      <c r="O70" s="93" t="str">
        <f t="shared" si="1"/>
        <v/>
      </c>
      <c r="P70" s="93" t="str">
        <f t="shared" si="1"/>
        <v/>
      </c>
      <c r="Q70" s="93" t="str">
        <f t="shared" si="1"/>
        <v/>
      </c>
      <c r="R70" s="93" t="str">
        <f t="shared" si="1"/>
        <v/>
      </c>
      <c r="S70" s="93" t="str">
        <f t="shared" si="1"/>
        <v/>
      </c>
      <c r="T70" s="93" t="str">
        <f t="shared" si="1"/>
        <v/>
      </c>
      <c r="U70" s="93" t="str">
        <f t="shared" si="1"/>
        <v/>
      </c>
      <c r="V70" s="93" t="str">
        <f t="shared" si="1"/>
        <v/>
      </c>
      <c r="W70" s="93" t="str">
        <f t="shared" si="1"/>
        <v/>
      </c>
      <c r="X70" s="93" t="str">
        <f t="shared" si="1"/>
        <v/>
      </c>
      <c r="Y70" s="93" t="str">
        <f t="shared" si="1"/>
        <v/>
      </c>
      <c r="Z70" s="93" t="str">
        <f t="shared" si="1"/>
        <v/>
      </c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</row>
    <row r="71" spans="1:55" ht="14.1" hidden="1" customHeight="1">
      <c r="A71" s="112" t="s">
        <v>125</v>
      </c>
      <c r="B71" s="98" t="s">
        <v>44</v>
      </c>
      <c r="C71" s="93" t="str">
        <f t="shared" si="1"/>
        <v/>
      </c>
      <c r="D71" s="93" t="str">
        <f t="shared" si="1"/>
        <v/>
      </c>
      <c r="E71" s="93" t="str">
        <f t="shared" si="1"/>
        <v/>
      </c>
      <c r="F71" s="93" t="str">
        <f t="shared" si="1"/>
        <v/>
      </c>
      <c r="G71" s="93" t="str">
        <f t="shared" si="1"/>
        <v/>
      </c>
      <c r="H71" s="93" t="str">
        <f t="shared" si="1"/>
        <v/>
      </c>
      <c r="I71" s="93" t="str">
        <f t="shared" si="1"/>
        <v/>
      </c>
      <c r="J71" s="93" t="str">
        <f t="shared" si="1"/>
        <v/>
      </c>
      <c r="K71" s="93" t="str">
        <f t="shared" si="1"/>
        <v/>
      </c>
      <c r="L71" s="93" t="str">
        <f t="shared" si="1"/>
        <v/>
      </c>
      <c r="M71" s="93" t="str">
        <f t="shared" si="1"/>
        <v/>
      </c>
      <c r="N71" s="93" t="str">
        <f t="shared" si="1"/>
        <v/>
      </c>
      <c r="O71" s="93" t="str">
        <f t="shared" si="1"/>
        <v/>
      </c>
      <c r="P71" s="93" t="str">
        <f t="shared" si="1"/>
        <v/>
      </c>
      <c r="Q71" s="93" t="str">
        <f t="shared" si="1"/>
        <v/>
      </c>
      <c r="R71" s="93" t="str">
        <f t="shared" si="1"/>
        <v/>
      </c>
      <c r="S71" s="93" t="str">
        <f t="shared" si="1"/>
        <v/>
      </c>
      <c r="T71" s="93" t="str">
        <f t="shared" si="1"/>
        <v/>
      </c>
      <c r="U71" s="93" t="str">
        <f t="shared" si="1"/>
        <v/>
      </c>
      <c r="V71" s="93" t="str">
        <f t="shared" si="1"/>
        <v/>
      </c>
      <c r="W71" s="93" t="str">
        <f t="shared" si="1"/>
        <v/>
      </c>
      <c r="X71" s="93" t="str">
        <f t="shared" si="1"/>
        <v/>
      </c>
      <c r="Y71" s="93" t="str">
        <f t="shared" si="1"/>
        <v/>
      </c>
      <c r="Z71" s="93" t="str">
        <f t="shared" si="1"/>
        <v/>
      </c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</row>
    <row r="72" spans="1:55" ht="14.1" hidden="1" customHeight="1">
      <c r="A72" s="112" t="s">
        <v>126</v>
      </c>
      <c r="B72" s="98" t="s">
        <v>46</v>
      </c>
      <c r="C72" s="93" t="str">
        <f t="shared" si="1"/>
        <v/>
      </c>
      <c r="D72" s="93" t="str">
        <f t="shared" si="1"/>
        <v/>
      </c>
      <c r="E72" s="93" t="str">
        <f t="shared" si="1"/>
        <v/>
      </c>
      <c r="F72" s="93" t="str">
        <f t="shared" si="1"/>
        <v/>
      </c>
      <c r="G72" s="93" t="str">
        <f t="shared" si="1"/>
        <v/>
      </c>
      <c r="H72" s="93" t="str">
        <f t="shared" si="1"/>
        <v/>
      </c>
      <c r="I72" s="93" t="str">
        <f t="shared" si="1"/>
        <v/>
      </c>
      <c r="J72" s="93" t="str">
        <f t="shared" si="1"/>
        <v/>
      </c>
      <c r="K72" s="93" t="str">
        <f t="shared" si="1"/>
        <v/>
      </c>
      <c r="L72" s="93" t="str">
        <f t="shared" si="1"/>
        <v/>
      </c>
      <c r="M72" s="93" t="str">
        <f t="shared" si="1"/>
        <v/>
      </c>
      <c r="N72" s="93" t="str">
        <f t="shared" si="1"/>
        <v/>
      </c>
      <c r="O72" s="93" t="str">
        <f t="shared" si="1"/>
        <v/>
      </c>
      <c r="P72" s="93" t="str">
        <f t="shared" si="1"/>
        <v/>
      </c>
      <c r="Q72" s="93" t="str">
        <f t="shared" si="1"/>
        <v/>
      </c>
      <c r="R72" s="93" t="str">
        <f t="shared" si="1"/>
        <v/>
      </c>
      <c r="S72" s="93" t="str">
        <f t="shared" si="1"/>
        <v/>
      </c>
      <c r="T72" s="93" t="str">
        <f t="shared" si="1"/>
        <v/>
      </c>
      <c r="U72" s="93" t="str">
        <f t="shared" si="1"/>
        <v/>
      </c>
      <c r="V72" s="93" t="str">
        <f t="shared" si="1"/>
        <v/>
      </c>
      <c r="W72" s="93" t="str">
        <f t="shared" si="1"/>
        <v/>
      </c>
      <c r="X72" s="93" t="str">
        <f t="shared" si="1"/>
        <v/>
      </c>
      <c r="Y72" s="93" t="str">
        <f t="shared" si="1"/>
        <v/>
      </c>
      <c r="Z72" s="93" t="str">
        <f t="shared" si="1"/>
        <v/>
      </c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</row>
    <row r="73" spans="1:55" ht="14.1" hidden="1" customHeight="1">
      <c r="A73" s="112" t="s">
        <v>127</v>
      </c>
      <c r="B73" s="98" t="s">
        <v>48</v>
      </c>
      <c r="C73" s="93" t="str">
        <f t="shared" si="1"/>
        <v/>
      </c>
      <c r="D73" s="93" t="str">
        <f t="shared" si="1"/>
        <v/>
      </c>
      <c r="E73" s="93" t="str">
        <f t="shared" si="1"/>
        <v/>
      </c>
      <c r="F73" s="93" t="str">
        <f t="shared" si="1"/>
        <v/>
      </c>
      <c r="G73" s="93" t="str">
        <f t="shared" si="1"/>
        <v/>
      </c>
      <c r="H73" s="93" t="str">
        <f t="shared" si="1"/>
        <v/>
      </c>
      <c r="I73" s="93" t="str">
        <f t="shared" si="1"/>
        <v/>
      </c>
      <c r="J73" s="93" t="str">
        <f t="shared" si="1"/>
        <v/>
      </c>
      <c r="K73" s="93" t="str">
        <f t="shared" si="1"/>
        <v/>
      </c>
      <c r="L73" s="93" t="str">
        <f t="shared" si="1"/>
        <v/>
      </c>
      <c r="M73" s="93" t="str">
        <f t="shared" si="1"/>
        <v/>
      </c>
      <c r="N73" s="93" t="str">
        <f t="shared" si="1"/>
        <v/>
      </c>
      <c r="O73" s="93" t="str">
        <f t="shared" si="1"/>
        <v/>
      </c>
      <c r="P73" s="93" t="str">
        <f t="shared" si="1"/>
        <v/>
      </c>
      <c r="Q73" s="93" t="str">
        <f t="shared" si="1"/>
        <v/>
      </c>
      <c r="R73" s="93" t="str">
        <f t="shared" si="1"/>
        <v/>
      </c>
      <c r="S73" s="93" t="str">
        <f t="shared" si="1"/>
        <v/>
      </c>
      <c r="T73" s="93" t="str">
        <f t="shared" si="1"/>
        <v/>
      </c>
      <c r="U73" s="93" t="str">
        <f t="shared" si="1"/>
        <v/>
      </c>
      <c r="V73" s="93" t="str">
        <f t="shared" si="1"/>
        <v/>
      </c>
      <c r="W73" s="93" t="str">
        <f t="shared" si="1"/>
        <v/>
      </c>
      <c r="X73" s="93" t="str">
        <f t="shared" si="1"/>
        <v/>
      </c>
      <c r="Y73" s="93" t="str">
        <f t="shared" si="1"/>
        <v/>
      </c>
      <c r="Z73" s="93" t="str">
        <f t="shared" si="1"/>
        <v/>
      </c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</row>
    <row r="74" spans="1:55" ht="14.1" hidden="1" customHeight="1">
      <c r="A74" s="112" t="s">
        <v>128</v>
      </c>
      <c r="B74" s="98" t="s">
        <v>50</v>
      </c>
      <c r="C74" s="93" t="str">
        <f t="shared" si="1"/>
        <v/>
      </c>
      <c r="D74" s="93" t="str">
        <f t="shared" si="1"/>
        <v/>
      </c>
      <c r="E74" s="93" t="str">
        <f t="shared" si="1"/>
        <v/>
      </c>
      <c r="F74" s="93" t="str">
        <f t="shared" si="1"/>
        <v/>
      </c>
      <c r="G74" s="93" t="str">
        <f t="shared" si="1"/>
        <v/>
      </c>
      <c r="H74" s="93" t="str">
        <f t="shared" si="1"/>
        <v/>
      </c>
      <c r="I74" s="93" t="str">
        <f t="shared" si="1"/>
        <v/>
      </c>
      <c r="J74" s="93" t="str">
        <f t="shared" si="1"/>
        <v/>
      </c>
      <c r="K74" s="93" t="str">
        <f t="shared" si="1"/>
        <v/>
      </c>
      <c r="L74" s="93" t="str">
        <f t="shared" si="1"/>
        <v/>
      </c>
      <c r="M74" s="93" t="str">
        <f t="shared" si="1"/>
        <v/>
      </c>
      <c r="N74" s="93" t="str">
        <f t="shared" si="1"/>
        <v/>
      </c>
      <c r="O74" s="93" t="str">
        <f t="shared" si="1"/>
        <v/>
      </c>
      <c r="P74" s="93" t="str">
        <f t="shared" si="1"/>
        <v/>
      </c>
      <c r="Q74" s="93" t="str">
        <f t="shared" si="1"/>
        <v/>
      </c>
      <c r="R74" s="93" t="str">
        <f t="shared" si="1"/>
        <v/>
      </c>
      <c r="S74" s="93" t="str">
        <f t="shared" si="1"/>
        <v/>
      </c>
      <c r="T74" s="93" t="str">
        <f t="shared" si="1"/>
        <v/>
      </c>
      <c r="U74" s="93" t="str">
        <f t="shared" si="1"/>
        <v/>
      </c>
      <c r="V74" s="93" t="str">
        <f t="shared" si="1"/>
        <v/>
      </c>
      <c r="W74" s="93" t="str">
        <f t="shared" si="1"/>
        <v/>
      </c>
      <c r="X74" s="93" t="str">
        <f t="shared" si="1"/>
        <v/>
      </c>
      <c r="Y74" s="93" t="str">
        <f t="shared" si="1"/>
        <v/>
      </c>
      <c r="Z74" s="93" t="str">
        <f t="shared" si="1"/>
        <v/>
      </c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</row>
    <row r="75" spans="1:55" ht="14.1" hidden="1" customHeight="1">
      <c r="A75" s="112" t="s">
        <v>129</v>
      </c>
      <c r="B75" s="98" t="s">
        <v>52</v>
      </c>
      <c r="C75" s="93" t="str">
        <f t="shared" si="1"/>
        <v/>
      </c>
      <c r="D75" s="93" t="str">
        <f t="shared" si="1"/>
        <v/>
      </c>
      <c r="E75" s="93" t="str">
        <f t="shared" si="1"/>
        <v/>
      </c>
      <c r="F75" s="93" t="str">
        <f t="shared" si="1"/>
        <v/>
      </c>
      <c r="G75" s="93" t="str">
        <f t="shared" si="1"/>
        <v/>
      </c>
      <c r="H75" s="93" t="str">
        <f t="shared" si="1"/>
        <v/>
      </c>
      <c r="I75" s="93" t="str">
        <f t="shared" si="1"/>
        <v/>
      </c>
      <c r="J75" s="93" t="str">
        <f t="shared" si="1"/>
        <v/>
      </c>
      <c r="K75" s="93" t="str">
        <f t="shared" si="1"/>
        <v/>
      </c>
      <c r="L75" s="93" t="str">
        <f t="shared" si="1"/>
        <v/>
      </c>
      <c r="M75" s="93" t="str">
        <f t="shared" si="1"/>
        <v/>
      </c>
      <c r="N75" s="93" t="str">
        <f t="shared" si="1"/>
        <v/>
      </c>
      <c r="O75" s="93" t="str">
        <f t="shared" si="1"/>
        <v/>
      </c>
      <c r="P75" s="93" t="str">
        <f t="shared" si="1"/>
        <v/>
      </c>
      <c r="Q75" s="93" t="str">
        <f t="shared" si="1"/>
        <v/>
      </c>
      <c r="R75" s="93" t="str">
        <f t="shared" si="1"/>
        <v/>
      </c>
      <c r="S75" s="93" t="str">
        <f t="shared" si="1"/>
        <v/>
      </c>
      <c r="T75" s="93" t="str">
        <f t="shared" si="1"/>
        <v/>
      </c>
      <c r="U75" s="93" t="str">
        <f t="shared" si="1"/>
        <v/>
      </c>
      <c r="V75" s="93" t="str">
        <f t="shared" si="1"/>
        <v/>
      </c>
      <c r="W75" s="93" t="str">
        <f t="shared" si="1"/>
        <v/>
      </c>
      <c r="X75" s="93" t="str">
        <f t="shared" si="1"/>
        <v/>
      </c>
      <c r="Y75" s="93" t="str">
        <f t="shared" si="1"/>
        <v/>
      </c>
      <c r="Z75" s="93" t="str">
        <f t="shared" si="1"/>
        <v/>
      </c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</row>
    <row r="76" spans="1:55" ht="14.1" hidden="1" customHeight="1">
      <c r="A76" s="112" t="s">
        <v>130</v>
      </c>
      <c r="B76" s="98" t="s">
        <v>54</v>
      </c>
      <c r="C76" s="93" t="str">
        <f t="shared" si="1"/>
        <v>*</v>
      </c>
      <c r="D76" s="93" t="str">
        <f t="shared" si="1"/>
        <v>*</v>
      </c>
      <c r="E76" s="93" t="str">
        <f t="shared" si="1"/>
        <v>*</v>
      </c>
      <c r="F76" s="93" t="str">
        <f t="shared" si="1"/>
        <v>*</v>
      </c>
      <c r="G76" s="93" t="str">
        <f t="shared" si="1"/>
        <v/>
      </c>
      <c r="H76" s="93" t="str">
        <f t="shared" si="1"/>
        <v/>
      </c>
      <c r="I76" s="93" t="str">
        <f t="shared" si="1"/>
        <v/>
      </c>
      <c r="J76" s="93" t="str">
        <f t="shared" si="1"/>
        <v/>
      </c>
      <c r="K76" s="93" t="str">
        <f t="shared" si="1"/>
        <v/>
      </c>
      <c r="L76" s="93" t="str">
        <f t="shared" si="1"/>
        <v/>
      </c>
      <c r="M76" s="93" t="str">
        <f t="shared" si="1"/>
        <v/>
      </c>
      <c r="N76" s="93" t="str">
        <f t="shared" si="1"/>
        <v/>
      </c>
      <c r="O76" s="93" t="str">
        <f t="shared" si="1"/>
        <v/>
      </c>
      <c r="P76" s="93" t="str">
        <f t="shared" si="1"/>
        <v>*</v>
      </c>
      <c r="Q76" s="93" t="str">
        <f t="shared" si="1"/>
        <v>*</v>
      </c>
      <c r="R76" s="93" t="str">
        <f t="shared" si="1"/>
        <v>*</v>
      </c>
      <c r="S76" s="93" t="str">
        <f t="shared" si="1"/>
        <v>*</v>
      </c>
      <c r="T76" s="93" t="str">
        <f t="shared" si="1"/>
        <v>*</v>
      </c>
      <c r="U76" s="93" t="str">
        <f t="shared" si="1"/>
        <v>*</v>
      </c>
      <c r="V76" s="93" t="str">
        <f t="shared" si="1"/>
        <v>*</v>
      </c>
      <c r="W76" s="93" t="str">
        <f t="shared" si="1"/>
        <v>*</v>
      </c>
      <c r="X76" s="93" t="str">
        <f t="shared" si="1"/>
        <v/>
      </c>
      <c r="Y76" s="93" t="str">
        <f t="shared" si="1"/>
        <v/>
      </c>
      <c r="Z76" s="93" t="str">
        <f t="shared" si="1"/>
        <v/>
      </c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</row>
    <row r="77" spans="1:55" ht="14.1" hidden="1" customHeight="1">
      <c r="A77" s="112" t="s">
        <v>131</v>
      </c>
      <c r="B77" s="98" t="s">
        <v>56</v>
      </c>
      <c r="C77" s="93" t="str">
        <f t="shared" si="1"/>
        <v/>
      </c>
      <c r="D77" s="93" t="str">
        <f t="shared" si="1"/>
        <v/>
      </c>
      <c r="E77" s="93" t="str">
        <f t="shared" si="1"/>
        <v/>
      </c>
      <c r="F77" s="93" t="str">
        <f t="shared" si="1"/>
        <v/>
      </c>
      <c r="G77" s="93" t="str">
        <f t="shared" si="1"/>
        <v/>
      </c>
      <c r="H77" s="93" t="str">
        <f t="shared" si="1"/>
        <v/>
      </c>
      <c r="I77" s="93" t="str">
        <f t="shared" si="1"/>
        <v/>
      </c>
      <c r="J77" s="93" t="str">
        <f t="shared" si="1"/>
        <v/>
      </c>
      <c r="K77" s="93" t="str">
        <f t="shared" si="1"/>
        <v/>
      </c>
      <c r="L77" s="93" t="str">
        <f t="shared" si="1"/>
        <v/>
      </c>
      <c r="M77" s="93" t="str">
        <f t="shared" si="1"/>
        <v/>
      </c>
      <c r="N77" s="93" t="str">
        <f t="shared" si="1"/>
        <v/>
      </c>
      <c r="O77" s="93" t="str">
        <f t="shared" si="1"/>
        <v/>
      </c>
      <c r="P77" s="93" t="str">
        <f t="shared" si="1"/>
        <v/>
      </c>
      <c r="Q77" s="93" t="str">
        <f t="shared" si="1"/>
        <v/>
      </c>
      <c r="R77" s="93" t="str">
        <f t="shared" si="1"/>
        <v/>
      </c>
      <c r="S77" s="93" t="str">
        <f t="shared" si="1"/>
        <v/>
      </c>
      <c r="T77" s="93" t="str">
        <f t="shared" si="1"/>
        <v/>
      </c>
      <c r="U77" s="93" t="str">
        <f t="shared" si="1"/>
        <v/>
      </c>
      <c r="V77" s="93" t="str">
        <f t="shared" si="1"/>
        <v/>
      </c>
      <c r="W77" s="93" t="str">
        <f t="shared" si="1"/>
        <v/>
      </c>
      <c r="X77" s="93" t="str">
        <f t="shared" si="1"/>
        <v/>
      </c>
      <c r="Y77" s="93" t="str">
        <f t="shared" si="1"/>
        <v/>
      </c>
      <c r="Z77" s="93" t="str">
        <f t="shared" si="1"/>
        <v/>
      </c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</row>
    <row r="78" spans="1:55" ht="14.1" hidden="1" customHeight="1">
      <c r="A78" s="112" t="s">
        <v>132</v>
      </c>
      <c r="B78" s="98" t="s">
        <v>58</v>
      </c>
      <c r="C78" s="93" t="str">
        <f t="shared" si="1"/>
        <v/>
      </c>
      <c r="D78" s="93" t="str">
        <f t="shared" si="1"/>
        <v/>
      </c>
      <c r="E78" s="93" t="str">
        <f t="shared" si="1"/>
        <v/>
      </c>
      <c r="F78" s="93" t="str">
        <f t="shared" si="1"/>
        <v/>
      </c>
      <c r="G78" s="93" t="str">
        <f t="shared" si="1"/>
        <v/>
      </c>
      <c r="H78" s="93" t="str">
        <f t="shared" si="1"/>
        <v/>
      </c>
      <c r="I78" s="93" t="str">
        <f t="shared" si="1"/>
        <v/>
      </c>
      <c r="J78" s="93" t="str">
        <f t="shared" si="1"/>
        <v/>
      </c>
      <c r="K78" s="93" t="str">
        <f t="shared" si="1"/>
        <v/>
      </c>
      <c r="L78" s="93" t="str">
        <f t="shared" si="1"/>
        <v/>
      </c>
      <c r="M78" s="93" t="str">
        <f t="shared" si="1"/>
        <v/>
      </c>
      <c r="N78" s="93" t="str">
        <f t="shared" si="1"/>
        <v/>
      </c>
      <c r="O78" s="93" t="str">
        <f t="shared" si="1"/>
        <v/>
      </c>
      <c r="P78" s="93" t="str">
        <f t="shared" si="1"/>
        <v/>
      </c>
      <c r="Q78" s="93" t="str">
        <f t="shared" si="1"/>
        <v/>
      </c>
      <c r="R78" s="93" t="str">
        <f t="shared" si="1"/>
        <v/>
      </c>
      <c r="S78" s="93" t="str">
        <f t="shared" si="1"/>
        <v/>
      </c>
      <c r="T78" s="93" t="str">
        <f t="shared" si="1"/>
        <v/>
      </c>
      <c r="U78" s="93" t="str">
        <f t="shared" si="1"/>
        <v/>
      </c>
      <c r="V78" s="93" t="str">
        <f t="shared" si="1"/>
        <v/>
      </c>
      <c r="W78" s="93" t="str">
        <f t="shared" si="1"/>
        <v/>
      </c>
      <c r="X78" s="93" t="str">
        <f t="shared" si="1"/>
        <v/>
      </c>
      <c r="Y78" s="93" t="str">
        <f t="shared" si="1"/>
        <v/>
      </c>
      <c r="Z78" s="93" t="str">
        <f t="shared" si="1"/>
        <v/>
      </c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</row>
    <row r="79" spans="1:55" ht="14.1" hidden="1" customHeight="1">
      <c r="A79" s="112" t="s">
        <v>133</v>
      </c>
      <c r="B79" s="98" t="s">
        <v>60</v>
      </c>
      <c r="C79" s="93" t="str">
        <f t="shared" si="1"/>
        <v/>
      </c>
      <c r="D79" s="93" t="str">
        <f t="shared" si="1"/>
        <v/>
      </c>
      <c r="E79" s="93" t="str">
        <f t="shared" si="1"/>
        <v/>
      </c>
      <c r="F79" s="93" t="str">
        <f t="shared" si="1"/>
        <v/>
      </c>
      <c r="G79" s="93" t="str">
        <f t="shared" si="1"/>
        <v/>
      </c>
      <c r="H79" s="93" t="str">
        <f t="shared" si="1"/>
        <v/>
      </c>
      <c r="I79" s="93" t="str">
        <f t="shared" si="1"/>
        <v/>
      </c>
      <c r="J79" s="93" t="str">
        <f t="shared" si="1"/>
        <v/>
      </c>
      <c r="K79" s="93" t="str">
        <f t="shared" si="1"/>
        <v/>
      </c>
      <c r="L79" s="93" t="str">
        <f t="shared" si="1"/>
        <v/>
      </c>
      <c r="M79" s="93" t="str">
        <f t="shared" si="1"/>
        <v/>
      </c>
      <c r="N79" s="93" t="str">
        <f t="shared" si="1"/>
        <v/>
      </c>
      <c r="O79" s="93" t="str">
        <f t="shared" si="1"/>
        <v/>
      </c>
      <c r="P79" s="93" t="str">
        <f t="shared" si="1"/>
        <v/>
      </c>
      <c r="Q79" s="93" t="str">
        <f t="shared" si="1"/>
        <v/>
      </c>
      <c r="R79" s="93" t="str">
        <f t="shared" ref="R79:Z79" si="2">IF(R53=R25,"","*")</f>
        <v/>
      </c>
      <c r="S79" s="93" t="str">
        <f t="shared" si="2"/>
        <v/>
      </c>
      <c r="T79" s="93" t="str">
        <f t="shared" si="2"/>
        <v/>
      </c>
      <c r="U79" s="93" t="str">
        <f t="shared" si="2"/>
        <v/>
      </c>
      <c r="V79" s="93" t="str">
        <f t="shared" si="2"/>
        <v/>
      </c>
      <c r="W79" s="93" t="str">
        <f t="shared" si="2"/>
        <v/>
      </c>
      <c r="X79" s="93" t="str">
        <f t="shared" si="2"/>
        <v/>
      </c>
      <c r="Y79" s="93" t="str">
        <f t="shared" si="2"/>
        <v/>
      </c>
      <c r="Z79" s="93" t="str">
        <f t="shared" si="2"/>
        <v/>
      </c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</row>
    <row r="80" spans="1:55" ht="14.1" hidden="1" customHeight="1">
      <c r="A80" s="112" t="s">
        <v>134</v>
      </c>
      <c r="B80" s="98" t="s">
        <v>62</v>
      </c>
      <c r="C80" s="93" t="str">
        <f t="shared" ref="C80:Z82" si="3">IF(C54=C26,"","*")</f>
        <v/>
      </c>
      <c r="D80" s="93" t="str">
        <f t="shared" si="3"/>
        <v/>
      </c>
      <c r="E80" s="93" t="str">
        <f t="shared" si="3"/>
        <v/>
      </c>
      <c r="F80" s="93" t="str">
        <f t="shared" si="3"/>
        <v/>
      </c>
      <c r="G80" s="93" t="str">
        <f t="shared" si="3"/>
        <v/>
      </c>
      <c r="H80" s="93" t="str">
        <f t="shared" si="3"/>
        <v/>
      </c>
      <c r="I80" s="93" t="str">
        <f t="shared" si="3"/>
        <v/>
      </c>
      <c r="J80" s="93" t="str">
        <f t="shared" si="3"/>
        <v/>
      </c>
      <c r="K80" s="93" t="str">
        <f t="shared" si="3"/>
        <v/>
      </c>
      <c r="L80" s="93" t="str">
        <f t="shared" si="3"/>
        <v/>
      </c>
      <c r="M80" s="93" t="str">
        <f t="shared" si="3"/>
        <v/>
      </c>
      <c r="N80" s="93" t="str">
        <f t="shared" si="3"/>
        <v/>
      </c>
      <c r="O80" s="93" t="str">
        <f t="shared" si="3"/>
        <v/>
      </c>
      <c r="P80" s="93" t="str">
        <f t="shared" si="3"/>
        <v/>
      </c>
      <c r="Q80" s="93" t="str">
        <f t="shared" si="3"/>
        <v/>
      </c>
      <c r="R80" s="93" t="str">
        <f t="shared" si="3"/>
        <v/>
      </c>
      <c r="S80" s="93" t="str">
        <f t="shared" si="3"/>
        <v/>
      </c>
      <c r="T80" s="93" t="str">
        <f t="shared" si="3"/>
        <v/>
      </c>
      <c r="U80" s="93" t="str">
        <f t="shared" si="3"/>
        <v/>
      </c>
      <c r="V80" s="93" t="str">
        <f t="shared" si="3"/>
        <v/>
      </c>
      <c r="W80" s="93" t="str">
        <f t="shared" si="3"/>
        <v/>
      </c>
      <c r="X80" s="93" t="str">
        <f t="shared" si="3"/>
        <v/>
      </c>
      <c r="Y80" s="93" t="str">
        <f t="shared" si="3"/>
        <v/>
      </c>
      <c r="Z80" s="93" t="str">
        <f t="shared" si="3"/>
        <v/>
      </c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</row>
    <row r="81" spans="1:39" ht="14.1" hidden="1" customHeight="1">
      <c r="A81" s="112" t="s">
        <v>135</v>
      </c>
      <c r="B81" s="98" t="s">
        <v>64</v>
      </c>
      <c r="C81" s="93" t="str">
        <f t="shared" si="3"/>
        <v/>
      </c>
      <c r="D81" s="93" t="str">
        <f t="shared" si="3"/>
        <v/>
      </c>
      <c r="E81" s="93" t="str">
        <f t="shared" si="3"/>
        <v/>
      </c>
      <c r="F81" s="93" t="str">
        <f t="shared" si="3"/>
        <v/>
      </c>
      <c r="G81" s="93" t="str">
        <f t="shared" si="3"/>
        <v/>
      </c>
      <c r="H81" s="93" t="str">
        <f t="shared" si="3"/>
        <v/>
      </c>
      <c r="I81" s="93" t="str">
        <f t="shared" si="3"/>
        <v/>
      </c>
      <c r="J81" s="93" t="str">
        <f t="shared" si="3"/>
        <v/>
      </c>
      <c r="K81" s="93" t="str">
        <f t="shared" si="3"/>
        <v/>
      </c>
      <c r="L81" s="93" t="str">
        <f t="shared" si="3"/>
        <v/>
      </c>
      <c r="M81" s="93" t="str">
        <f t="shared" si="3"/>
        <v/>
      </c>
      <c r="N81" s="93" t="str">
        <f t="shared" si="3"/>
        <v/>
      </c>
      <c r="O81" s="93" t="str">
        <f t="shared" si="3"/>
        <v/>
      </c>
      <c r="P81" s="93" t="str">
        <f t="shared" si="3"/>
        <v/>
      </c>
      <c r="Q81" s="93" t="str">
        <f t="shared" si="3"/>
        <v/>
      </c>
      <c r="R81" s="93" t="str">
        <f t="shared" si="3"/>
        <v/>
      </c>
      <c r="S81" s="93" t="str">
        <f t="shared" si="3"/>
        <v/>
      </c>
      <c r="T81" s="93" t="str">
        <f t="shared" si="3"/>
        <v/>
      </c>
      <c r="U81" s="93" t="str">
        <f t="shared" si="3"/>
        <v/>
      </c>
      <c r="V81" s="93" t="str">
        <f t="shared" si="3"/>
        <v/>
      </c>
      <c r="W81" s="93" t="str">
        <f t="shared" si="3"/>
        <v/>
      </c>
      <c r="X81" s="93" t="str">
        <f t="shared" si="3"/>
        <v/>
      </c>
      <c r="Y81" s="93" t="str">
        <f t="shared" si="3"/>
        <v/>
      </c>
      <c r="Z81" s="93" t="str">
        <f t="shared" si="3"/>
        <v/>
      </c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</row>
    <row r="82" spans="1:39" ht="14.1" hidden="1" customHeight="1">
      <c r="A82" s="112" t="s">
        <v>136</v>
      </c>
      <c r="B82" s="98" t="s">
        <v>66</v>
      </c>
      <c r="C82" s="93" t="str">
        <f t="shared" si="3"/>
        <v/>
      </c>
      <c r="D82" s="93" t="str">
        <f t="shared" si="3"/>
        <v/>
      </c>
      <c r="E82" s="93" t="str">
        <f t="shared" si="3"/>
        <v/>
      </c>
      <c r="F82" s="93" t="str">
        <f t="shared" si="3"/>
        <v/>
      </c>
      <c r="G82" s="93" t="str">
        <f t="shared" si="3"/>
        <v/>
      </c>
      <c r="H82" s="93" t="str">
        <f t="shared" si="3"/>
        <v/>
      </c>
      <c r="I82" s="93" t="str">
        <f t="shared" si="3"/>
        <v/>
      </c>
      <c r="J82" s="93" t="str">
        <f t="shared" si="3"/>
        <v/>
      </c>
      <c r="K82" s="93" t="str">
        <f t="shared" si="3"/>
        <v/>
      </c>
      <c r="L82" s="93" t="str">
        <f t="shared" si="3"/>
        <v/>
      </c>
      <c r="M82" s="93" t="str">
        <f t="shared" si="3"/>
        <v/>
      </c>
      <c r="N82" s="93" t="str">
        <f t="shared" si="3"/>
        <v/>
      </c>
      <c r="O82" s="93" t="str">
        <f t="shared" si="3"/>
        <v/>
      </c>
      <c r="P82" s="93" t="str">
        <f t="shared" si="3"/>
        <v/>
      </c>
      <c r="Q82" s="93" t="str">
        <f t="shared" si="3"/>
        <v/>
      </c>
      <c r="R82" s="93" t="str">
        <f t="shared" si="3"/>
        <v/>
      </c>
      <c r="S82" s="93" t="str">
        <f t="shared" si="3"/>
        <v/>
      </c>
      <c r="T82" s="93" t="str">
        <f t="shared" si="3"/>
        <v/>
      </c>
      <c r="U82" s="93" t="str">
        <f t="shared" si="3"/>
        <v/>
      </c>
      <c r="V82" s="93" t="str">
        <f t="shared" si="3"/>
        <v/>
      </c>
      <c r="W82" s="93" t="str">
        <f t="shared" si="3"/>
        <v/>
      </c>
      <c r="X82" s="93" t="str">
        <f t="shared" si="3"/>
        <v/>
      </c>
      <c r="Y82" s="93" t="str">
        <f t="shared" si="3"/>
        <v/>
      </c>
      <c r="Z82" s="93" t="str">
        <f t="shared" si="3"/>
        <v/>
      </c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</row>
    <row r="83" spans="1:39" ht="14.1" hidden="1" customHeight="1">
      <c r="A83" s="112" t="s">
        <v>137</v>
      </c>
      <c r="B83" s="68" t="s">
        <v>138</v>
      </c>
      <c r="C83" s="93" t="e">
        <f>IF(C57=#REF!,"","*")</f>
        <v>#REF!</v>
      </c>
      <c r="D83" s="93" t="e">
        <f>IF(D57=#REF!,"","*")</f>
        <v>#REF!</v>
      </c>
      <c r="E83" s="93" t="e">
        <f>IF(E57=#REF!,"","*")</f>
        <v>#REF!</v>
      </c>
      <c r="F83" s="93" t="e">
        <f>IF(F57=#REF!,"","*")</f>
        <v>#REF!</v>
      </c>
      <c r="G83" s="93" t="e">
        <f>IF(G57=#REF!,"","*")</f>
        <v>#REF!</v>
      </c>
      <c r="H83" s="93" t="e">
        <f>IF(H57=#REF!,"","*")</f>
        <v>#REF!</v>
      </c>
      <c r="I83" s="93" t="e">
        <f>IF(I57=#REF!,"","*")</f>
        <v>#REF!</v>
      </c>
      <c r="J83" s="93" t="e">
        <f>IF(J57=#REF!,"","*")</f>
        <v>#REF!</v>
      </c>
      <c r="K83" s="93" t="e">
        <f>IF(K57=#REF!,"","*")</f>
        <v>#REF!</v>
      </c>
      <c r="L83" s="93" t="e">
        <f>IF(L57=#REF!,"","*")</f>
        <v>#REF!</v>
      </c>
      <c r="M83" s="93" t="e">
        <f>IF(M57=#REF!,"","*")</f>
        <v>#REF!</v>
      </c>
      <c r="N83" s="93" t="e">
        <f>IF(N57=#REF!,"","*")</f>
        <v>#REF!</v>
      </c>
      <c r="O83" s="93" t="e">
        <f>IF(O57=#REF!,"","*")</f>
        <v>#REF!</v>
      </c>
      <c r="P83" s="93" t="e">
        <f>IF(P57=#REF!,"","*")</f>
        <v>#REF!</v>
      </c>
      <c r="Q83" s="93" t="e">
        <f>IF(Q57=#REF!,"","*")</f>
        <v>#REF!</v>
      </c>
      <c r="R83" s="93" t="e">
        <f>IF(R57=#REF!,"","*")</f>
        <v>#REF!</v>
      </c>
      <c r="S83" s="93" t="e">
        <f>IF(S57=#REF!,"","*")</f>
        <v>#REF!</v>
      </c>
      <c r="T83" s="93" t="e">
        <f>IF(T57=#REF!,"","*")</f>
        <v>#REF!</v>
      </c>
      <c r="U83" s="93" t="e">
        <f>IF(U57=#REF!,"","*")</f>
        <v>#REF!</v>
      </c>
      <c r="V83" s="93" t="e">
        <f>IF(V57=#REF!,"","*")</f>
        <v>#REF!</v>
      </c>
      <c r="W83" s="93" t="e">
        <f>IF(W57=#REF!,"","*")</f>
        <v>#REF!</v>
      </c>
      <c r="X83" s="93" t="e">
        <f>IF(X57=#REF!,"","*")</f>
        <v>#REF!</v>
      </c>
      <c r="Y83" s="93" t="e">
        <f>IF(Y57=#REF!,"","*")</f>
        <v>#REF!</v>
      </c>
      <c r="Z83" s="93" t="e">
        <f>IF(Z57=#REF!,"","*")</f>
        <v>#REF!</v>
      </c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</row>
    <row r="84" spans="1:39" ht="14.1" hidden="1" customHeight="1">
      <c r="A84" s="112" t="s">
        <v>139</v>
      </c>
      <c r="B84" s="98" t="s">
        <v>68</v>
      </c>
      <c r="C84" s="93" t="str">
        <f>IF(C58=C29,"","*")</f>
        <v/>
      </c>
      <c r="D84" s="93" t="str">
        <f t="shared" ref="D84:Z85" si="4">IF(D58=D29,"","*")</f>
        <v/>
      </c>
      <c r="E84" s="93" t="str">
        <f t="shared" si="4"/>
        <v/>
      </c>
      <c r="F84" s="93" t="str">
        <f t="shared" si="4"/>
        <v/>
      </c>
      <c r="G84" s="93" t="str">
        <f t="shared" si="4"/>
        <v/>
      </c>
      <c r="H84" s="93" t="str">
        <f t="shared" si="4"/>
        <v/>
      </c>
      <c r="I84" s="93" t="str">
        <f t="shared" si="4"/>
        <v/>
      </c>
      <c r="J84" s="93" t="str">
        <f t="shared" si="4"/>
        <v/>
      </c>
      <c r="K84" s="93" t="str">
        <f t="shared" si="4"/>
        <v/>
      </c>
      <c r="L84" s="93" t="str">
        <f t="shared" si="4"/>
        <v/>
      </c>
      <c r="M84" s="93" t="str">
        <f t="shared" si="4"/>
        <v/>
      </c>
      <c r="N84" s="93" t="str">
        <f t="shared" si="4"/>
        <v/>
      </c>
      <c r="O84" s="93" t="str">
        <f t="shared" si="4"/>
        <v/>
      </c>
      <c r="P84" s="93" t="str">
        <f t="shared" si="4"/>
        <v/>
      </c>
      <c r="Q84" s="93" t="str">
        <f t="shared" si="4"/>
        <v/>
      </c>
      <c r="R84" s="93" t="str">
        <f t="shared" si="4"/>
        <v/>
      </c>
      <c r="S84" s="93" t="str">
        <f t="shared" si="4"/>
        <v/>
      </c>
      <c r="T84" s="93" t="str">
        <f t="shared" si="4"/>
        <v/>
      </c>
      <c r="U84" s="93" t="str">
        <f t="shared" si="4"/>
        <v/>
      </c>
      <c r="V84" s="93" t="str">
        <f t="shared" si="4"/>
        <v/>
      </c>
      <c r="W84" s="93" t="str">
        <f t="shared" si="4"/>
        <v/>
      </c>
      <c r="X84" s="93" t="str">
        <f t="shared" si="4"/>
        <v/>
      </c>
      <c r="Y84" s="93" t="str">
        <f t="shared" si="4"/>
        <v/>
      </c>
      <c r="Z84" s="93" t="str">
        <f t="shared" si="4"/>
        <v/>
      </c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</row>
    <row r="85" spans="1:39" ht="14.1" hidden="1" customHeight="1">
      <c r="A85" s="113" t="s">
        <v>140</v>
      </c>
      <c r="B85" s="100" t="s">
        <v>70</v>
      </c>
      <c r="C85" s="93" t="str">
        <f>IF(C59=C30,"","*")</f>
        <v/>
      </c>
      <c r="D85" s="93" t="str">
        <f t="shared" si="4"/>
        <v/>
      </c>
      <c r="E85" s="93" t="str">
        <f t="shared" si="4"/>
        <v/>
      </c>
      <c r="F85" s="93" t="str">
        <f t="shared" si="4"/>
        <v/>
      </c>
      <c r="G85" s="93" t="str">
        <f t="shared" si="4"/>
        <v/>
      </c>
      <c r="H85" s="93" t="str">
        <f t="shared" si="4"/>
        <v/>
      </c>
      <c r="I85" s="93" t="str">
        <f t="shared" si="4"/>
        <v/>
      </c>
      <c r="J85" s="93" t="str">
        <f t="shared" si="4"/>
        <v/>
      </c>
      <c r="K85" s="93" t="str">
        <f t="shared" si="4"/>
        <v/>
      </c>
      <c r="L85" s="93" t="str">
        <f t="shared" si="4"/>
        <v/>
      </c>
      <c r="M85" s="93" t="str">
        <f t="shared" si="4"/>
        <v/>
      </c>
      <c r="N85" s="93" t="str">
        <f t="shared" si="4"/>
        <v/>
      </c>
      <c r="O85" s="93" t="str">
        <f t="shared" si="4"/>
        <v/>
      </c>
      <c r="P85" s="93" t="str">
        <f t="shared" si="4"/>
        <v/>
      </c>
      <c r="Q85" s="93" t="str">
        <f t="shared" si="4"/>
        <v/>
      </c>
      <c r="R85" s="93" t="str">
        <f t="shared" si="4"/>
        <v/>
      </c>
      <c r="S85" s="93" t="str">
        <f t="shared" si="4"/>
        <v/>
      </c>
      <c r="T85" s="93" t="str">
        <f t="shared" si="4"/>
        <v/>
      </c>
      <c r="U85" s="93" t="str">
        <f t="shared" si="4"/>
        <v/>
      </c>
      <c r="V85" s="93" t="str">
        <f t="shared" si="4"/>
        <v/>
      </c>
      <c r="W85" s="93" t="str">
        <f t="shared" si="4"/>
        <v/>
      </c>
      <c r="X85" s="93" t="str">
        <f t="shared" si="4"/>
        <v/>
      </c>
      <c r="Y85" s="93" t="str">
        <f t="shared" si="4"/>
        <v/>
      </c>
      <c r="Z85" s="93" t="str">
        <f t="shared" si="4"/>
        <v/>
      </c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</row>
  </sheetData>
  <mergeCells count="42"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  <mergeCell ref="C6:C7"/>
    <mergeCell ref="D6:D7"/>
    <mergeCell ref="E6:E7"/>
    <mergeCell ref="G6:G7"/>
    <mergeCell ref="H6:H7"/>
    <mergeCell ref="W6:W7"/>
    <mergeCell ref="L5:L7"/>
    <mergeCell ref="M5:N5"/>
    <mergeCell ref="O5:O7"/>
    <mergeCell ref="P5:Q5"/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56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141</v>
      </c>
      <c r="B2" s="114"/>
    </row>
    <row r="3" spans="1:57" s="24" customFormat="1" ht="12.75" customHeight="1">
      <c r="A3" s="240" t="s">
        <v>300</v>
      </c>
      <c r="B3" s="234"/>
      <c r="C3" s="302" t="s">
        <v>297</v>
      </c>
      <c r="D3" s="302"/>
      <c r="E3" s="302"/>
      <c r="F3" s="302"/>
      <c r="G3" s="302" t="s">
        <v>298</v>
      </c>
      <c r="H3" s="302"/>
      <c r="I3" s="302"/>
      <c r="J3" s="302"/>
      <c r="K3" s="302"/>
      <c r="L3" s="302"/>
      <c r="M3" s="302"/>
      <c r="N3" s="302"/>
      <c r="O3" s="302"/>
      <c r="P3" s="302" t="s">
        <v>299</v>
      </c>
      <c r="Q3" s="302"/>
      <c r="R3" s="302"/>
      <c r="S3" s="302"/>
      <c r="T3" s="302"/>
      <c r="U3" s="302"/>
      <c r="V3" s="302"/>
      <c r="W3" s="302"/>
      <c r="X3" s="237"/>
      <c r="Y3" s="303" t="s">
        <v>302</v>
      </c>
      <c r="Z3" s="237"/>
    </row>
    <row r="4" spans="1:57" s="25" customFormat="1" ht="16.5" customHeight="1">
      <c r="A4" s="241"/>
      <c r="B4" s="235"/>
      <c r="C4" s="295" t="s">
        <v>303</v>
      </c>
      <c r="D4" s="240"/>
      <c r="E4" s="234"/>
      <c r="F4" s="298" t="s">
        <v>287</v>
      </c>
      <c r="G4" s="298" t="s">
        <v>288</v>
      </c>
      <c r="H4" s="298"/>
      <c r="I4" s="298"/>
      <c r="J4" s="298" t="s">
        <v>289</v>
      </c>
      <c r="K4" s="298"/>
      <c r="L4" s="298"/>
      <c r="M4" s="298" t="s">
        <v>290</v>
      </c>
      <c r="N4" s="298"/>
      <c r="O4" s="298"/>
      <c r="P4" s="298" t="s">
        <v>288</v>
      </c>
      <c r="Q4" s="298"/>
      <c r="R4" s="298"/>
      <c r="S4" s="298" t="s">
        <v>289</v>
      </c>
      <c r="T4" s="298"/>
      <c r="U4" s="298"/>
      <c r="V4" s="298" t="s">
        <v>290</v>
      </c>
      <c r="W4" s="298"/>
      <c r="X4" s="298"/>
      <c r="Y4" s="304"/>
      <c r="Z4" s="237"/>
    </row>
    <row r="5" spans="1:57" s="26" customFormat="1" ht="49.5" customHeight="1">
      <c r="A5" s="241"/>
      <c r="B5" s="235"/>
      <c r="C5" s="305"/>
      <c r="D5" s="242"/>
      <c r="E5" s="236"/>
      <c r="F5" s="298"/>
      <c r="G5" s="306" t="s">
        <v>304</v>
      </c>
      <c r="H5" s="298"/>
      <c r="I5" s="298" t="s">
        <v>287</v>
      </c>
      <c r="J5" s="306" t="s">
        <v>304</v>
      </c>
      <c r="K5" s="298"/>
      <c r="L5" s="298" t="s">
        <v>287</v>
      </c>
      <c r="M5" s="306" t="s">
        <v>304</v>
      </c>
      <c r="N5" s="298"/>
      <c r="O5" s="298" t="s">
        <v>287</v>
      </c>
      <c r="P5" s="306" t="s">
        <v>304</v>
      </c>
      <c r="Q5" s="298"/>
      <c r="R5" s="298" t="s">
        <v>287</v>
      </c>
      <c r="S5" s="306" t="s">
        <v>304</v>
      </c>
      <c r="T5" s="298"/>
      <c r="U5" s="298" t="s">
        <v>287</v>
      </c>
      <c r="V5" s="306" t="s">
        <v>304</v>
      </c>
      <c r="W5" s="298"/>
      <c r="X5" s="300" t="s">
        <v>287</v>
      </c>
      <c r="Y5" s="246"/>
      <c r="Z5" s="237"/>
    </row>
    <row r="6" spans="1:57" s="24" customFormat="1" ht="13.5" customHeight="1">
      <c r="A6" s="241"/>
      <c r="B6" s="235"/>
      <c r="C6" s="291" t="s">
        <v>294</v>
      </c>
      <c r="D6" s="291" t="s">
        <v>295</v>
      </c>
      <c r="E6" s="291" t="s">
        <v>296</v>
      </c>
      <c r="F6" s="298"/>
      <c r="G6" s="291" t="s">
        <v>295</v>
      </c>
      <c r="H6" s="291" t="s">
        <v>296</v>
      </c>
      <c r="I6" s="298"/>
      <c r="J6" s="291" t="s">
        <v>295</v>
      </c>
      <c r="K6" s="291" t="s">
        <v>296</v>
      </c>
      <c r="L6" s="298"/>
      <c r="M6" s="291" t="s">
        <v>295</v>
      </c>
      <c r="N6" s="291" t="s">
        <v>296</v>
      </c>
      <c r="O6" s="298"/>
      <c r="P6" s="291" t="s">
        <v>295</v>
      </c>
      <c r="Q6" s="291" t="s">
        <v>296</v>
      </c>
      <c r="R6" s="298"/>
      <c r="S6" s="291" t="s">
        <v>295</v>
      </c>
      <c r="T6" s="291" t="s">
        <v>296</v>
      </c>
      <c r="U6" s="298"/>
      <c r="V6" s="291" t="s">
        <v>295</v>
      </c>
      <c r="W6" s="291" t="s">
        <v>296</v>
      </c>
      <c r="X6" s="300"/>
      <c r="Y6" s="234" t="s">
        <v>295</v>
      </c>
      <c r="Z6" s="295" t="s">
        <v>296</v>
      </c>
    </row>
    <row r="7" spans="1:57" s="24" customFormat="1" ht="18" customHeight="1">
      <c r="A7" s="242"/>
      <c r="B7" s="236"/>
      <c r="C7" s="292"/>
      <c r="D7" s="292"/>
      <c r="E7" s="292"/>
      <c r="F7" s="299"/>
      <c r="G7" s="292"/>
      <c r="H7" s="292"/>
      <c r="I7" s="299"/>
      <c r="J7" s="292"/>
      <c r="K7" s="292"/>
      <c r="L7" s="299"/>
      <c r="M7" s="292"/>
      <c r="N7" s="292"/>
      <c r="O7" s="299"/>
      <c r="P7" s="292"/>
      <c r="Q7" s="292"/>
      <c r="R7" s="299"/>
      <c r="S7" s="292"/>
      <c r="T7" s="292"/>
      <c r="U7" s="299"/>
      <c r="V7" s="292"/>
      <c r="W7" s="292"/>
      <c r="X7" s="301"/>
      <c r="Y7" s="297"/>
      <c r="Z7" s="296"/>
    </row>
    <row r="8" spans="1:57" s="90" customFormat="1" ht="18.600000000000001" customHeight="1">
      <c r="A8" s="190" t="s">
        <v>305</v>
      </c>
      <c r="B8" s="116" t="s">
        <v>26</v>
      </c>
      <c r="C8" s="87">
        <v>7488</v>
      </c>
      <c r="D8" s="87">
        <v>3759</v>
      </c>
      <c r="E8" s="87">
        <v>3729</v>
      </c>
      <c r="F8" s="87">
        <v>2097429</v>
      </c>
      <c r="G8" s="87">
        <v>1</v>
      </c>
      <c r="H8" s="87">
        <v>1</v>
      </c>
      <c r="I8" s="87">
        <v>184</v>
      </c>
      <c r="J8" s="87">
        <v>1</v>
      </c>
      <c r="K8" s="87">
        <v>1</v>
      </c>
      <c r="L8" s="87">
        <v>251</v>
      </c>
      <c r="M8" s="87">
        <v>0</v>
      </c>
      <c r="N8" s="87">
        <v>0</v>
      </c>
      <c r="O8" s="87">
        <v>275</v>
      </c>
      <c r="P8" s="87">
        <v>2411</v>
      </c>
      <c r="Q8" s="87">
        <v>1985</v>
      </c>
      <c r="R8" s="87">
        <v>1196175</v>
      </c>
      <c r="S8" s="87">
        <v>618</v>
      </c>
      <c r="T8" s="87">
        <v>661</v>
      </c>
      <c r="U8" s="87">
        <v>463960</v>
      </c>
      <c r="V8" s="87">
        <v>728</v>
      </c>
      <c r="W8" s="87">
        <v>1081</v>
      </c>
      <c r="X8" s="87">
        <v>436584</v>
      </c>
      <c r="Y8" s="87">
        <v>129</v>
      </c>
      <c r="Z8" s="87">
        <v>131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s="95" customFormat="1" ht="18.600000000000001" customHeight="1">
      <c r="A9" s="91" t="s">
        <v>75</v>
      </c>
      <c r="B9" s="68" t="s">
        <v>28</v>
      </c>
      <c r="C9" s="92">
        <v>245</v>
      </c>
      <c r="D9" s="92">
        <v>117</v>
      </c>
      <c r="E9" s="92">
        <v>128</v>
      </c>
      <c r="F9" s="92">
        <v>78154</v>
      </c>
      <c r="G9" s="92">
        <v>1</v>
      </c>
      <c r="H9" s="92">
        <v>1</v>
      </c>
      <c r="I9" s="92">
        <v>184</v>
      </c>
      <c r="J9" s="92">
        <v>1</v>
      </c>
      <c r="K9" s="92">
        <v>1</v>
      </c>
      <c r="L9" s="92">
        <v>251</v>
      </c>
      <c r="M9" s="92">
        <v>0</v>
      </c>
      <c r="N9" s="92">
        <v>0</v>
      </c>
      <c r="O9" s="92">
        <v>275</v>
      </c>
      <c r="P9" s="92">
        <v>46</v>
      </c>
      <c r="Q9" s="92">
        <v>35</v>
      </c>
      <c r="R9" s="92">
        <v>23402</v>
      </c>
      <c r="S9" s="92">
        <v>21</v>
      </c>
      <c r="T9" s="92">
        <v>30</v>
      </c>
      <c r="U9" s="92">
        <v>24288</v>
      </c>
      <c r="V9" s="92">
        <v>48</v>
      </c>
      <c r="W9" s="92">
        <v>61</v>
      </c>
      <c r="X9" s="92">
        <v>29754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8.600000000000001" customHeight="1">
      <c r="A10" s="91" t="s">
        <v>76</v>
      </c>
      <c r="B10" s="68" t="s">
        <v>30</v>
      </c>
      <c r="C10" s="92">
        <v>432</v>
      </c>
      <c r="D10" s="92">
        <v>245</v>
      </c>
      <c r="E10" s="92">
        <v>187</v>
      </c>
      <c r="F10" s="92">
        <v>136749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208</v>
      </c>
      <c r="Q10" s="92">
        <v>137</v>
      </c>
      <c r="R10" s="92">
        <v>110351</v>
      </c>
      <c r="S10" s="92">
        <v>37</v>
      </c>
      <c r="T10" s="92">
        <v>50</v>
      </c>
      <c r="U10" s="92">
        <v>26123</v>
      </c>
      <c r="V10" s="92">
        <v>0</v>
      </c>
      <c r="W10" s="92">
        <v>0</v>
      </c>
      <c r="X10" s="92">
        <v>275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ht="18.600000000000001" customHeight="1">
      <c r="A11" s="91" t="s">
        <v>77</v>
      </c>
      <c r="B11" s="68" t="s">
        <v>32</v>
      </c>
      <c r="C11" s="92">
        <v>339</v>
      </c>
      <c r="D11" s="92">
        <v>196</v>
      </c>
      <c r="E11" s="92">
        <v>143</v>
      </c>
      <c r="F11" s="92">
        <v>114512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158</v>
      </c>
      <c r="Q11" s="92">
        <v>121</v>
      </c>
      <c r="R11" s="92">
        <v>94683</v>
      </c>
      <c r="S11" s="92">
        <v>25</v>
      </c>
      <c r="T11" s="92">
        <v>15</v>
      </c>
      <c r="U11" s="92">
        <v>13699</v>
      </c>
      <c r="V11" s="92">
        <v>13</v>
      </c>
      <c r="W11" s="92">
        <v>7</v>
      </c>
      <c r="X11" s="92">
        <v>6130</v>
      </c>
      <c r="Y11" s="92">
        <v>8</v>
      </c>
      <c r="Z11" s="92">
        <v>7</v>
      </c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spans="1:57" s="95" customFormat="1" ht="18.600000000000001" customHeight="1">
      <c r="A12" s="91" t="s">
        <v>78</v>
      </c>
      <c r="B12" s="68" t="s">
        <v>34</v>
      </c>
      <c r="C12" s="92">
        <v>648</v>
      </c>
      <c r="D12" s="92">
        <v>279</v>
      </c>
      <c r="E12" s="92">
        <v>369</v>
      </c>
      <c r="F12" s="92">
        <v>240433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225</v>
      </c>
      <c r="Q12" s="92">
        <v>305</v>
      </c>
      <c r="R12" s="92">
        <v>201808</v>
      </c>
      <c r="S12" s="92">
        <v>53</v>
      </c>
      <c r="T12" s="92">
        <v>60</v>
      </c>
      <c r="U12" s="92">
        <v>38265</v>
      </c>
      <c r="V12" s="92">
        <v>1</v>
      </c>
      <c r="W12" s="92">
        <v>4</v>
      </c>
      <c r="X12" s="92">
        <v>360</v>
      </c>
      <c r="Y12" s="92">
        <v>5</v>
      </c>
      <c r="Z12" s="92">
        <v>6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8.600000000000001" customHeight="1">
      <c r="A13" s="91" t="s">
        <v>79</v>
      </c>
      <c r="B13" s="68" t="s">
        <v>36</v>
      </c>
      <c r="C13" s="92">
        <v>806</v>
      </c>
      <c r="D13" s="92">
        <v>388</v>
      </c>
      <c r="E13" s="92">
        <v>418</v>
      </c>
      <c r="F13" s="92">
        <v>204804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282</v>
      </c>
      <c r="Q13" s="92">
        <v>291</v>
      </c>
      <c r="R13" s="92">
        <v>148990</v>
      </c>
      <c r="S13" s="92">
        <v>62</v>
      </c>
      <c r="T13" s="92">
        <v>77</v>
      </c>
      <c r="U13" s="92">
        <v>35312</v>
      </c>
      <c r="V13" s="92">
        <v>44</v>
      </c>
      <c r="W13" s="92">
        <v>50</v>
      </c>
      <c r="X13" s="92">
        <v>20502</v>
      </c>
      <c r="Y13" s="92">
        <v>0</v>
      </c>
      <c r="Z13" s="92">
        <v>1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s="95" customFormat="1" ht="18.600000000000001" customHeight="1">
      <c r="A14" s="96" t="s">
        <v>80</v>
      </c>
      <c r="B14" s="68" t="s">
        <v>38</v>
      </c>
      <c r="C14" s="92">
        <v>575</v>
      </c>
      <c r="D14" s="92">
        <v>247</v>
      </c>
      <c r="E14" s="92">
        <v>328</v>
      </c>
      <c r="F14" s="92">
        <v>122016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139</v>
      </c>
      <c r="Q14" s="92">
        <v>163</v>
      </c>
      <c r="R14" s="92">
        <v>68566</v>
      </c>
      <c r="S14" s="92">
        <v>43</v>
      </c>
      <c r="T14" s="92">
        <v>32</v>
      </c>
      <c r="U14" s="92">
        <v>17020</v>
      </c>
      <c r="V14" s="92">
        <v>65</v>
      </c>
      <c r="W14" s="92">
        <v>133</v>
      </c>
      <c r="X14" s="92">
        <v>36430</v>
      </c>
      <c r="Y14" s="92">
        <v>0</v>
      </c>
      <c r="Z14" s="92">
        <v>0</v>
      </c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</row>
    <row r="15" spans="1:57" ht="18.600000000000001" customHeight="1">
      <c r="A15" s="106" t="s">
        <v>98</v>
      </c>
      <c r="B15" s="98" t="s">
        <v>40</v>
      </c>
      <c r="C15" s="92">
        <v>187</v>
      </c>
      <c r="D15" s="92">
        <v>90</v>
      </c>
      <c r="E15" s="92">
        <v>97</v>
      </c>
      <c r="F15" s="92">
        <v>42329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59</v>
      </c>
      <c r="Q15" s="92">
        <v>49</v>
      </c>
      <c r="R15" s="92">
        <v>19942</v>
      </c>
      <c r="S15" s="92">
        <v>13</v>
      </c>
      <c r="T15" s="92">
        <v>17</v>
      </c>
      <c r="U15" s="92">
        <v>12557</v>
      </c>
      <c r="V15" s="92">
        <v>18</v>
      </c>
      <c r="W15" s="92">
        <v>31</v>
      </c>
      <c r="X15" s="92">
        <v>9830</v>
      </c>
      <c r="Y15" s="92">
        <v>0</v>
      </c>
      <c r="Z15" s="92">
        <v>0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8.600000000000001" customHeight="1">
      <c r="A16" s="106" t="s">
        <v>99</v>
      </c>
      <c r="B16" s="98" t="s">
        <v>42</v>
      </c>
      <c r="C16" s="92">
        <v>44</v>
      </c>
      <c r="D16" s="92">
        <v>26</v>
      </c>
      <c r="E16" s="92">
        <v>18</v>
      </c>
      <c r="F16" s="92">
        <v>9995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25</v>
      </c>
      <c r="Q16" s="92">
        <v>15</v>
      </c>
      <c r="R16" s="92">
        <v>9219</v>
      </c>
      <c r="S16" s="92">
        <v>1</v>
      </c>
      <c r="T16" s="92">
        <v>3</v>
      </c>
      <c r="U16" s="92">
        <v>763</v>
      </c>
      <c r="V16" s="92">
        <v>0</v>
      </c>
      <c r="W16" s="92">
        <v>0</v>
      </c>
      <c r="X16" s="92">
        <v>13</v>
      </c>
      <c r="Y16" s="92">
        <v>0</v>
      </c>
      <c r="Z16" s="92">
        <v>1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8.600000000000001" customHeight="1">
      <c r="A17" s="106" t="s">
        <v>100</v>
      </c>
      <c r="B17" s="98" t="s">
        <v>44</v>
      </c>
      <c r="C17" s="92">
        <v>152</v>
      </c>
      <c r="D17" s="92">
        <v>87</v>
      </c>
      <c r="E17" s="92">
        <v>65</v>
      </c>
      <c r="F17" s="92">
        <v>38458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62</v>
      </c>
      <c r="Q17" s="92">
        <v>35</v>
      </c>
      <c r="R17" s="92">
        <v>24098</v>
      </c>
      <c r="S17" s="92">
        <v>12</v>
      </c>
      <c r="T17" s="92">
        <v>8</v>
      </c>
      <c r="U17" s="92">
        <v>4928</v>
      </c>
      <c r="V17" s="92">
        <v>13</v>
      </c>
      <c r="W17" s="92">
        <v>22</v>
      </c>
      <c r="X17" s="92">
        <v>9432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8.600000000000001" customHeight="1">
      <c r="A18" s="106" t="s">
        <v>101</v>
      </c>
      <c r="B18" s="98" t="s">
        <v>46</v>
      </c>
      <c r="C18" s="92">
        <v>278</v>
      </c>
      <c r="D18" s="92">
        <v>142</v>
      </c>
      <c r="E18" s="92">
        <v>136</v>
      </c>
      <c r="F18" s="92">
        <v>122118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85</v>
      </c>
      <c r="Q18" s="92">
        <v>60</v>
      </c>
      <c r="R18" s="92">
        <v>55061</v>
      </c>
      <c r="S18" s="92">
        <v>14</v>
      </c>
      <c r="T18" s="92">
        <v>20</v>
      </c>
      <c r="U18" s="92">
        <v>18579</v>
      </c>
      <c r="V18" s="92">
        <v>43</v>
      </c>
      <c r="W18" s="92">
        <v>56</v>
      </c>
      <c r="X18" s="92">
        <v>48478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8.600000000000001" customHeight="1">
      <c r="A19" s="97" t="s">
        <v>85</v>
      </c>
      <c r="B19" s="98" t="s">
        <v>48</v>
      </c>
      <c r="C19" s="92">
        <v>435</v>
      </c>
      <c r="D19" s="92">
        <v>226</v>
      </c>
      <c r="E19" s="92">
        <v>209</v>
      </c>
      <c r="F19" s="92">
        <v>220814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58</v>
      </c>
      <c r="Q19" s="92">
        <v>27</v>
      </c>
      <c r="R19" s="92">
        <v>19424</v>
      </c>
      <c r="S19" s="92">
        <v>80</v>
      </c>
      <c r="T19" s="92">
        <v>104</v>
      </c>
      <c r="U19" s="92">
        <v>168427</v>
      </c>
      <c r="V19" s="92">
        <v>88</v>
      </c>
      <c r="W19" s="92">
        <v>78</v>
      </c>
      <c r="X19" s="92">
        <v>32963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8.600000000000001" customHeight="1">
      <c r="A20" s="97" t="s">
        <v>86</v>
      </c>
      <c r="B20" s="98" t="s">
        <v>50</v>
      </c>
      <c r="C20" s="92">
        <v>290</v>
      </c>
      <c r="D20" s="92">
        <v>153</v>
      </c>
      <c r="E20" s="92">
        <v>137</v>
      </c>
      <c r="F20" s="92">
        <v>101124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128</v>
      </c>
      <c r="Q20" s="92">
        <v>99</v>
      </c>
      <c r="R20" s="92">
        <v>78734</v>
      </c>
      <c r="S20" s="92">
        <v>10</v>
      </c>
      <c r="T20" s="92">
        <v>15</v>
      </c>
      <c r="U20" s="92">
        <v>8596</v>
      </c>
      <c r="V20" s="92">
        <v>15</v>
      </c>
      <c r="W20" s="92">
        <v>23</v>
      </c>
      <c r="X20" s="92">
        <v>13794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8.600000000000001" customHeight="1">
      <c r="A21" s="97" t="s">
        <v>87</v>
      </c>
      <c r="B21" s="98" t="s">
        <v>52</v>
      </c>
      <c r="C21" s="92">
        <v>276</v>
      </c>
      <c r="D21" s="92">
        <v>125</v>
      </c>
      <c r="E21" s="92">
        <v>151</v>
      </c>
      <c r="F21" s="92">
        <v>98318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113</v>
      </c>
      <c r="Q21" s="92">
        <v>128</v>
      </c>
      <c r="R21" s="92">
        <v>85404</v>
      </c>
      <c r="S21" s="92">
        <v>12</v>
      </c>
      <c r="T21" s="92">
        <v>23</v>
      </c>
      <c r="U21" s="92">
        <v>12914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8.600000000000001" customHeight="1">
      <c r="A22" s="97" t="s">
        <v>88</v>
      </c>
      <c r="B22" s="98" t="s">
        <v>54</v>
      </c>
      <c r="C22" s="92">
        <v>781</v>
      </c>
      <c r="D22" s="92">
        <v>486</v>
      </c>
      <c r="E22" s="92">
        <v>295</v>
      </c>
      <c r="F22" s="92">
        <v>167373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363</v>
      </c>
      <c r="Q22" s="92">
        <v>177</v>
      </c>
      <c r="R22" s="92">
        <v>123276</v>
      </c>
      <c r="S22" s="92">
        <v>67</v>
      </c>
      <c r="T22" s="92">
        <v>66</v>
      </c>
      <c r="U22" s="92">
        <v>27368</v>
      </c>
      <c r="V22" s="92">
        <v>56</v>
      </c>
      <c r="W22" s="92">
        <v>52</v>
      </c>
      <c r="X22" s="92">
        <v>16729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8.600000000000001" customHeight="1">
      <c r="A23" s="97" t="s">
        <v>89</v>
      </c>
      <c r="B23" s="98" t="s">
        <v>56</v>
      </c>
      <c r="C23" s="92">
        <v>765</v>
      </c>
      <c r="D23" s="92">
        <v>306</v>
      </c>
      <c r="E23" s="92">
        <v>459</v>
      </c>
      <c r="F23" s="92">
        <v>100882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132</v>
      </c>
      <c r="Q23" s="92">
        <v>131</v>
      </c>
      <c r="R23" s="92">
        <v>34270</v>
      </c>
      <c r="S23" s="92">
        <v>10</v>
      </c>
      <c r="T23" s="92">
        <v>11</v>
      </c>
      <c r="U23" s="92">
        <v>2992</v>
      </c>
      <c r="V23" s="92">
        <v>164</v>
      </c>
      <c r="W23" s="92">
        <v>317</v>
      </c>
      <c r="X23" s="92">
        <v>63620</v>
      </c>
      <c r="Y23" s="92">
        <v>0</v>
      </c>
      <c r="Z23" s="92">
        <v>0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8.600000000000001" customHeight="1">
      <c r="A24" s="97" t="s">
        <v>90</v>
      </c>
      <c r="B24" s="98" t="s">
        <v>58</v>
      </c>
      <c r="C24" s="92">
        <v>709</v>
      </c>
      <c r="D24" s="92">
        <v>418</v>
      </c>
      <c r="E24" s="92">
        <v>291</v>
      </c>
      <c r="F24" s="92">
        <v>73127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237</v>
      </c>
      <c r="Q24" s="92">
        <v>117</v>
      </c>
      <c r="R24" s="92">
        <v>36106</v>
      </c>
      <c r="S24" s="92">
        <v>123</v>
      </c>
      <c r="T24" s="92">
        <v>81</v>
      </c>
      <c r="U24" s="92">
        <v>17920</v>
      </c>
      <c r="V24" s="92">
        <v>58</v>
      </c>
      <c r="W24" s="92">
        <v>93</v>
      </c>
      <c r="X24" s="92">
        <v>19101</v>
      </c>
      <c r="Y24" s="92">
        <v>116</v>
      </c>
      <c r="Z24" s="92">
        <v>116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8.600000000000001" customHeight="1">
      <c r="A25" s="97" t="s">
        <v>91</v>
      </c>
      <c r="B25" s="98" t="s">
        <v>60</v>
      </c>
      <c r="C25" s="92">
        <v>267</v>
      </c>
      <c r="D25" s="92">
        <v>112</v>
      </c>
      <c r="E25" s="92">
        <v>155</v>
      </c>
      <c r="F25" s="92">
        <v>130474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13</v>
      </c>
      <c r="Q25" s="92">
        <v>11</v>
      </c>
      <c r="R25" s="92">
        <v>8227</v>
      </c>
      <c r="S25" s="92">
        <v>14</v>
      </c>
      <c r="T25" s="92">
        <v>21</v>
      </c>
      <c r="U25" s="92">
        <v>11350</v>
      </c>
      <c r="V25" s="92">
        <v>85</v>
      </c>
      <c r="W25" s="92">
        <v>123</v>
      </c>
      <c r="X25" s="92">
        <v>110897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8.600000000000001" customHeight="1">
      <c r="A26" s="97" t="s">
        <v>92</v>
      </c>
      <c r="B26" s="98" t="s">
        <v>62</v>
      </c>
      <c r="C26" s="92">
        <v>60</v>
      </c>
      <c r="D26" s="92">
        <v>26</v>
      </c>
      <c r="E26" s="92">
        <v>34</v>
      </c>
      <c r="F26" s="92">
        <v>28957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16</v>
      </c>
      <c r="Q26" s="92">
        <v>17</v>
      </c>
      <c r="R26" s="92">
        <v>14099</v>
      </c>
      <c r="S26" s="92">
        <v>5</v>
      </c>
      <c r="T26" s="92">
        <v>6</v>
      </c>
      <c r="U26" s="92">
        <v>6323</v>
      </c>
      <c r="V26" s="92">
        <v>5</v>
      </c>
      <c r="W26" s="92">
        <v>11</v>
      </c>
      <c r="X26" s="92">
        <v>8535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8.600000000000001" customHeight="1">
      <c r="A27" s="97" t="s">
        <v>93</v>
      </c>
      <c r="B27" s="98" t="s">
        <v>64</v>
      </c>
      <c r="C27" s="92">
        <v>103</v>
      </c>
      <c r="D27" s="92">
        <v>45</v>
      </c>
      <c r="E27" s="92">
        <v>58</v>
      </c>
      <c r="F27" s="92">
        <v>31059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28</v>
      </c>
      <c r="Q27" s="92">
        <v>34</v>
      </c>
      <c r="R27" s="92">
        <v>19918</v>
      </c>
      <c r="S27" s="92">
        <v>8</v>
      </c>
      <c r="T27" s="92">
        <v>6</v>
      </c>
      <c r="U27" s="92">
        <v>5032</v>
      </c>
      <c r="V27" s="92">
        <v>9</v>
      </c>
      <c r="W27" s="92">
        <v>18</v>
      </c>
      <c r="X27" s="92">
        <v>6109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8.600000000000001" customHeight="1">
      <c r="A28" s="97" t="s">
        <v>94</v>
      </c>
      <c r="B28" s="98" t="s">
        <v>66</v>
      </c>
      <c r="C28" s="92">
        <v>75</v>
      </c>
      <c r="D28" s="92">
        <v>33</v>
      </c>
      <c r="E28" s="92">
        <v>42</v>
      </c>
      <c r="F28" s="92">
        <v>24104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31</v>
      </c>
      <c r="Q28" s="92">
        <v>32</v>
      </c>
      <c r="R28" s="92">
        <v>17699</v>
      </c>
      <c r="S28" s="92">
        <v>2</v>
      </c>
      <c r="T28" s="92">
        <v>10</v>
      </c>
      <c r="U28" s="92">
        <v>6405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8.600000000000001" customHeight="1">
      <c r="A29" s="97" t="s">
        <v>95</v>
      </c>
      <c r="B29" s="98" t="s">
        <v>68</v>
      </c>
      <c r="C29" s="92">
        <v>10</v>
      </c>
      <c r="D29" s="92">
        <v>6</v>
      </c>
      <c r="E29" s="92">
        <v>4</v>
      </c>
      <c r="F29" s="92">
        <v>3650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6</v>
      </c>
      <c r="T29" s="92">
        <v>4</v>
      </c>
      <c r="U29" s="92">
        <v>3650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8.600000000000001" customHeight="1">
      <c r="A30" s="99" t="s">
        <v>96</v>
      </c>
      <c r="B30" s="100" t="s">
        <v>70</v>
      </c>
      <c r="C30" s="101">
        <v>11</v>
      </c>
      <c r="D30" s="101">
        <v>6</v>
      </c>
      <c r="E30" s="101">
        <v>5</v>
      </c>
      <c r="F30" s="101">
        <v>7979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3</v>
      </c>
      <c r="Q30" s="101">
        <v>1</v>
      </c>
      <c r="R30" s="101">
        <v>2898</v>
      </c>
      <c r="S30" s="101">
        <v>0</v>
      </c>
      <c r="T30" s="101">
        <v>2</v>
      </c>
      <c r="U30" s="101">
        <v>1449</v>
      </c>
      <c r="V30" s="101">
        <v>3</v>
      </c>
      <c r="W30" s="101">
        <v>2</v>
      </c>
      <c r="X30" s="101">
        <v>3632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  <c r="C32" s="117"/>
      <c r="D32" s="117"/>
      <c r="E32" s="117"/>
      <c r="F32" s="117"/>
      <c r="P32" s="117"/>
      <c r="Q32" s="117"/>
      <c r="R32" s="117"/>
      <c r="U32" s="117"/>
      <c r="W32" s="117"/>
      <c r="X32" s="117"/>
    </row>
    <row r="33" spans="1:24" ht="15.6" customHeight="1">
      <c r="F33" s="117"/>
      <c r="R33" s="117"/>
      <c r="U33" s="117"/>
      <c r="X33" s="117"/>
    </row>
    <row r="34" spans="1:24">
      <c r="A34" s="118" t="s">
        <v>143</v>
      </c>
      <c r="F34" s="117"/>
      <c r="R34" s="117"/>
      <c r="U34" s="117"/>
    </row>
    <row r="35" spans="1:24">
      <c r="F35" s="117"/>
      <c r="R35" s="117"/>
      <c r="U35" s="117"/>
      <c r="X35" s="117"/>
    </row>
    <row r="36" spans="1:24">
      <c r="F36" s="117"/>
      <c r="R36" s="117"/>
      <c r="U36" s="117"/>
    </row>
    <row r="37" spans="1:24">
      <c r="F37" s="117"/>
      <c r="R37" s="117"/>
      <c r="U37" s="117"/>
      <c r="X37" s="117"/>
    </row>
    <row r="38" spans="1:24">
      <c r="F38" s="117"/>
      <c r="R38" s="117"/>
      <c r="U38" s="117"/>
      <c r="X38" s="117"/>
    </row>
    <row r="39" spans="1:24">
      <c r="C39" s="117"/>
      <c r="D39" s="117"/>
      <c r="E39" s="117"/>
      <c r="F39" s="117"/>
      <c r="P39" s="117"/>
      <c r="R39" s="117"/>
      <c r="U39" s="117"/>
      <c r="X39" s="117"/>
    </row>
    <row r="40" spans="1:24">
      <c r="F40" s="117"/>
      <c r="R40" s="117"/>
      <c r="U40" s="117"/>
      <c r="X40" s="117"/>
    </row>
    <row r="41" spans="1:24">
      <c r="F41" s="117"/>
      <c r="R41" s="117"/>
    </row>
    <row r="42" spans="1:24">
      <c r="F42" s="117"/>
      <c r="R42" s="117"/>
      <c r="U42" s="117"/>
      <c r="X42" s="117"/>
    </row>
    <row r="43" spans="1:24">
      <c r="F43" s="117"/>
      <c r="R43" s="117"/>
      <c r="U43" s="117"/>
      <c r="X43" s="117"/>
    </row>
    <row r="44" spans="1:24">
      <c r="F44" s="117"/>
      <c r="R44" s="117"/>
      <c r="U44" s="117"/>
      <c r="X44" s="117"/>
    </row>
    <row r="45" spans="1:24">
      <c r="F45" s="117"/>
      <c r="R45" s="117"/>
      <c r="U45" s="117"/>
      <c r="X45" s="117"/>
    </row>
    <row r="46" spans="1:24">
      <c r="F46" s="117"/>
      <c r="R46" s="117"/>
      <c r="U46" s="117"/>
    </row>
    <row r="47" spans="1:24">
      <c r="F47" s="117"/>
      <c r="R47" s="117"/>
      <c r="U47" s="117"/>
      <c r="X47" s="117"/>
    </row>
    <row r="48" spans="1:24">
      <c r="F48" s="117"/>
      <c r="R48" s="117"/>
      <c r="U48" s="117"/>
      <c r="X48" s="117"/>
    </row>
    <row r="49" spans="6:24">
      <c r="F49" s="117"/>
      <c r="R49" s="117"/>
      <c r="U49" s="117"/>
      <c r="X49" s="117"/>
    </row>
    <row r="50" spans="6:24">
      <c r="F50" s="117"/>
      <c r="R50" s="117"/>
      <c r="U50" s="117"/>
      <c r="X50" s="117"/>
    </row>
    <row r="51" spans="6:24">
      <c r="F51" s="117"/>
      <c r="R51" s="117"/>
      <c r="U51" s="117"/>
      <c r="X51" s="117"/>
    </row>
    <row r="52" spans="6:24">
      <c r="F52" s="117"/>
      <c r="R52" s="117"/>
      <c r="U52" s="117"/>
      <c r="X52" s="117"/>
    </row>
    <row r="53" spans="6:24">
      <c r="F53" s="117"/>
      <c r="R53" s="117"/>
      <c r="U53" s="117"/>
    </row>
    <row r="54" spans="6:24">
      <c r="F54" s="117"/>
      <c r="R54" s="117"/>
      <c r="U54" s="117"/>
      <c r="X54" s="117"/>
    </row>
    <row r="55" spans="6:24">
      <c r="F55" s="117"/>
      <c r="U55" s="117"/>
    </row>
    <row r="56" spans="6:24">
      <c r="F56" s="117"/>
      <c r="R56" s="117"/>
      <c r="U56" s="117"/>
      <c r="X56" s="117"/>
    </row>
  </sheetData>
  <mergeCells count="42"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  <mergeCell ref="C6:C7"/>
    <mergeCell ref="D6:D7"/>
    <mergeCell ref="E6:E7"/>
    <mergeCell ref="G6:G7"/>
    <mergeCell ref="H6:H7"/>
    <mergeCell ref="W6:W7"/>
    <mergeCell ref="L5:L7"/>
    <mergeCell ref="M5:N5"/>
    <mergeCell ref="O5:O7"/>
    <mergeCell ref="P5:Q5"/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34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144</v>
      </c>
      <c r="B2" s="114"/>
    </row>
    <row r="3" spans="1:57" s="24" customFormat="1" ht="12.75" customHeight="1">
      <c r="A3" s="240" t="s">
        <v>300</v>
      </c>
      <c r="B3" s="234"/>
      <c r="C3" s="302" t="s">
        <v>297</v>
      </c>
      <c r="D3" s="302"/>
      <c r="E3" s="302"/>
      <c r="F3" s="302"/>
      <c r="G3" s="302" t="s">
        <v>298</v>
      </c>
      <c r="H3" s="302"/>
      <c r="I3" s="302"/>
      <c r="J3" s="302"/>
      <c r="K3" s="302"/>
      <c r="L3" s="302"/>
      <c r="M3" s="302"/>
      <c r="N3" s="302"/>
      <c r="O3" s="302"/>
      <c r="P3" s="302" t="s">
        <v>299</v>
      </c>
      <c r="Q3" s="302"/>
      <c r="R3" s="302"/>
      <c r="S3" s="302"/>
      <c r="T3" s="302"/>
      <c r="U3" s="302"/>
      <c r="V3" s="302"/>
      <c r="W3" s="302"/>
      <c r="X3" s="237"/>
      <c r="Y3" s="303" t="s">
        <v>301</v>
      </c>
      <c r="Z3" s="237"/>
    </row>
    <row r="4" spans="1:57" s="25" customFormat="1" ht="16.5" customHeight="1">
      <c r="A4" s="241"/>
      <c r="B4" s="235"/>
      <c r="C4" s="295" t="s">
        <v>286</v>
      </c>
      <c r="D4" s="240"/>
      <c r="E4" s="234"/>
      <c r="F4" s="298" t="s">
        <v>287</v>
      </c>
      <c r="G4" s="298" t="s">
        <v>288</v>
      </c>
      <c r="H4" s="298"/>
      <c r="I4" s="298"/>
      <c r="J4" s="298" t="s">
        <v>289</v>
      </c>
      <c r="K4" s="298"/>
      <c r="L4" s="298"/>
      <c r="M4" s="298" t="s">
        <v>290</v>
      </c>
      <c r="N4" s="298"/>
      <c r="O4" s="298"/>
      <c r="P4" s="298" t="s">
        <v>288</v>
      </c>
      <c r="Q4" s="298"/>
      <c r="R4" s="298"/>
      <c r="S4" s="298" t="s">
        <v>289</v>
      </c>
      <c r="T4" s="298"/>
      <c r="U4" s="298"/>
      <c r="V4" s="298" t="s">
        <v>290</v>
      </c>
      <c r="W4" s="298"/>
      <c r="X4" s="298"/>
      <c r="Y4" s="304"/>
      <c r="Z4" s="237"/>
    </row>
    <row r="5" spans="1:57" s="26" customFormat="1" ht="49.5" customHeight="1">
      <c r="A5" s="241"/>
      <c r="B5" s="235"/>
      <c r="C5" s="305"/>
      <c r="D5" s="242"/>
      <c r="E5" s="236"/>
      <c r="F5" s="298"/>
      <c r="G5" s="298" t="s">
        <v>304</v>
      </c>
      <c r="H5" s="298"/>
      <c r="I5" s="298" t="s">
        <v>287</v>
      </c>
      <c r="J5" s="298" t="s">
        <v>304</v>
      </c>
      <c r="K5" s="298"/>
      <c r="L5" s="298" t="s">
        <v>287</v>
      </c>
      <c r="M5" s="298" t="s">
        <v>304</v>
      </c>
      <c r="N5" s="298"/>
      <c r="O5" s="298" t="s">
        <v>287</v>
      </c>
      <c r="P5" s="298" t="s">
        <v>304</v>
      </c>
      <c r="Q5" s="298"/>
      <c r="R5" s="298" t="s">
        <v>287</v>
      </c>
      <c r="S5" s="298" t="s">
        <v>304</v>
      </c>
      <c r="T5" s="298"/>
      <c r="U5" s="298" t="s">
        <v>287</v>
      </c>
      <c r="V5" s="298" t="s">
        <v>304</v>
      </c>
      <c r="W5" s="298"/>
      <c r="X5" s="300" t="s">
        <v>287</v>
      </c>
      <c r="Y5" s="246"/>
      <c r="Z5" s="237"/>
    </row>
    <row r="6" spans="1:57" s="24" customFormat="1" ht="13.5" customHeight="1">
      <c r="A6" s="241"/>
      <c r="B6" s="235"/>
      <c r="C6" s="291" t="s">
        <v>294</v>
      </c>
      <c r="D6" s="291" t="s">
        <v>295</v>
      </c>
      <c r="E6" s="291" t="s">
        <v>296</v>
      </c>
      <c r="F6" s="298"/>
      <c r="G6" s="291" t="s">
        <v>295</v>
      </c>
      <c r="H6" s="291" t="s">
        <v>296</v>
      </c>
      <c r="I6" s="298"/>
      <c r="J6" s="291" t="s">
        <v>295</v>
      </c>
      <c r="K6" s="291" t="s">
        <v>296</v>
      </c>
      <c r="L6" s="298"/>
      <c r="M6" s="291" t="s">
        <v>295</v>
      </c>
      <c r="N6" s="291" t="s">
        <v>296</v>
      </c>
      <c r="O6" s="298"/>
      <c r="P6" s="291" t="s">
        <v>295</v>
      </c>
      <c r="Q6" s="291" t="s">
        <v>296</v>
      </c>
      <c r="R6" s="298"/>
      <c r="S6" s="291" t="s">
        <v>295</v>
      </c>
      <c r="T6" s="291" t="s">
        <v>296</v>
      </c>
      <c r="U6" s="298"/>
      <c r="V6" s="291" t="s">
        <v>295</v>
      </c>
      <c r="W6" s="291" t="s">
        <v>296</v>
      </c>
      <c r="X6" s="300"/>
      <c r="Y6" s="234" t="s">
        <v>295</v>
      </c>
      <c r="Z6" s="295" t="s">
        <v>296</v>
      </c>
    </row>
    <row r="7" spans="1:57" s="24" customFormat="1" ht="18" customHeight="1">
      <c r="A7" s="242"/>
      <c r="B7" s="236"/>
      <c r="C7" s="292"/>
      <c r="D7" s="292"/>
      <c r="E7" s="292"/>
      <c r="F7" s="299"/>
      <c r="G7" s="292"/>
      <c r="H7" s="292"/>
      <c r="I7" s="299"/>
      <c r="J7" s="292"/>
      <c r="K7" s="292"/>
      <c r="L7" s="299"/>
      <c r="M7" s="292"/>
      <c r="N7" s="292"/>
      <c r="O7" s="299"/>
      <c r="P7" s="292"/>
      <c r="Q7" s="292"/>
      <c r="R7" s="299"/>
      <c r="S7" s="292"/>
      <c r="T7" s="292"/>
      <c r="U7" s="299"/>
      <c r="V7" s="292"/>
      <c r="W7" s="292"/>
      <c r="X7" s="301"/>
      <c r="Y7" s="297"/>
      <c r="Z7" s="296"/>
    </row>
    <row r="8" spans="1:57" s="90" customFormat="1" ht="14.1" customHeight="1">
      <c r="A8" s="191" t="s">
        <v>306</v>
      </c>
      <c r="B8" s="116" t="s">
        <v>26</v>
      </c>
      <c r="C8" s="87">
        <v>8052</v>
      </c>
      <c r="D8" s="87">
        <v>3907</v>
      </c>
      <c r="E8" s="87">
        <v>4145</v>
      </c>
      <c r="F8" s="87">
        <v>2003344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189</v>
      </c>
      <c r="M8" s="87">
        <v>1</v>
      </c>
      <c r="N8" s="87">
        <v>1</v>
      </c>
      <c r="O8" s="87">
        <v>505</v>
      </c>
      <c r="P8" s="87">
        <v>2336</v>
      </c>
      <c r="Q8" s="87">
        <v>1902</v>
      </c>
      <c r="R8" s="87">
        <v>1077512</v>
      </c>
      <c r="S8" s="87">
        <v>621</v>
      </c>
      <c r="T8" s="87">
        <v>776</v>
      </c>
      <c r="U8" s="87">
        <v>345115</v>
      </c>
      <c r="V8" s="87">
        <v>949</v>
      </c>
      <c r="W8" s="87">
        <v>1466</v>
      </c>
      <c r="X8" s="87">
        <v>580023</v>
      </c>
      <c r="Y8" s="87">
        <v>141</v>
      </c>
      <c r="Z8" s="87">
        <v>164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s="95" customFormat="1" ht="14.1" customHeight="1">
      <c r="A9" s="91" t="s">
        <v>75</v>
      </c>
      <c r="B9" s="68" t="s">
        <v>28</v>
      </c>
      <c r="C9" s="92">
        <v>249</v>
      </c>
      <c r="D9" s="92">
        <v>120</v>
      </c>
      <c r="E9" s="92">
        <v>129</v>
      </c>
      <c r="F9" s="92">
        <v>91449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1</v>
      </c>
      <c r="N9" s="92">
        <v>1</v>
      </c>
      <c r="O9" s="92">
        <v>505</v>
      </c>
      <c r="P9" s="92">
        <v>40</v>
      </c>
      <c r="Q9" s="92">
        <v>24</v>
      </c>
      <c r="R9" s="92">
        <v>25963</v>
      </c>
      <c r="S9" s="92">
        <v>35</v>
      </c>
      <c r="T9" s="92">
        <v>48</v>
      </c>
      <c r="U9" s="92">
        <v>30246</v>
      </c>
      <c r="V9" s="92">
        <v>44</v>
      </c>
      <c r="W9" s="92">
        <v>56</v>
      </c>
      <c r="X9" s="92">
        <v>34735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91" t="s">
        <v>76</v>
      </c>
      <c r="B10" s="68" t="s">
        <v>30</v>
      </c>
      <c r="C10" s="92">
        <v>456</v>
      </c>
      <c r="D10" s="92">
        <v>262</v>
      </c>
      <c r="E10" s="92">
        <v>194</v>
      </c>
      <c r="F10" s="92">
        <v>145577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189</v>
      </c>
      <c r="M10" s="92">
        <v>0</v>
      </c>
      <c r="N10" s="92">
        <v>0</v>
      </c>
      <c r="O10" s="92">
        <v>0</v>
      </c>
      <c r="P10" s="92">
        <v>213</v>
      </c>
      <c r="Q10" s="92">
        <v>129</v>
      </c>
      <c r="R10" s="92">
        <v>106377</v>
      </c>
      <c r="S10" s="92">
        <v>49</v>
      </c>
      <c r="T10" s="92">
        <v>65</v>
      </c>
      <c r="U10" s="92">
        <v>37933</v>
      </c>
      <c r="V10" s="92">
        <v>0</v>
      </c>
      <c r="W10" s="92">
        <v>0</v>
      </c>
      <c r="X10" s="92">
        <v>1078</v>
      </c>
      <c r="Y10" s="92">
        <v>0</v>
      </c>
      <c r="Z10" s="92">
        <v>3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91" t="s">
        <v>77</v>
      </c>
      <c r="B11" s="68" t="s">
        <v>32</v>
      </c>
      <c r="C11" s="92">
        <v>376</v>
      </c>
      <c r="D11" s="92">
        <v>188</v>
      </c>
      <c r="E11" s="92">
        <v>188</v>
      </c>
      <c r="F11" s="92">
        <v>55046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153</v>
      </c>
      <c r="Q11" s="92">
        <v>160</v>
      </c>
      <c r="R11" s="92">
        <v>45904</v>
      </c>
      <c r="S11" s="92">
        <v>20</v>
      </c>
      <c r="T11" s="92">
        <v>16</v>
      </c>
      <c r="U11" s="92">
        <v>5638</v>
      </c>
      <c r="V11" s="92">
        <v>15</v>
      </c>
      <c r="W11" s="92">
        <v>12</v>
      </c>
      <c r="X11" s="92">
        <v>3504</v>
      </c>
      <c r="Y11" s="92">
        <v>8</v>
      </c>
      <c r="Z11" s="92">
        <v>7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91" t="s">
        <v>78</v>
      </c>
      <c r="B12" s="68" t="s">
        <v>34</v>
      </c>
      <c r="C12" s="92">
        <v>551</v>
      </c>
      <c r="D12" s="92">
        <v>275</v>
      </c>
      <c r="E12" s="92">
        <v>276</v>
      </c>
      <c r="F12" s="92">
        <v>142576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222</v>
      </c>
      <c r="Q12" s="92">
        <v>225</v>
      </c>
      <c r="R12" s="92">
        <v>115646</v>
      </c>
      <c r="S12" s="92">
        <v>51</v>
      </c>
      <c r="T12" s="92">
        <v>51</v>
      </c>
      <c r="U12" s="92">
        <v>26687</v>
      </c>
      <c r="V12" s="92">
        <v>2</v>
      </c>
      <c r="W12" s="92">
        <v>0</v>
      </c>
      <c r="X12" s="92">
        <v>243</v>
      </c>
      <c r="Y12" s="92">
        <v>3</v>
      </c>
      <c r="Z12" s="92">
        <v>7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91" t="s">
        <v>79</v>
      </c>
      <c r="B13" s="68" t="s">
        <v>36</v>
      </c>
      <c r="C13" s="92">
        <v>771</v>
      </c>
      <c r="D13" s="92">
        <v>376</v>
      </c>
      <c r="E13" s="92">
        <v>395</v>
      </c>
      <c r="F13" s="92">
        <v>206564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278</v>
      </c>
      <c r="Q13" s="92">
        <v>266</v>
      </c>
      <c r="R13" s="92">
        <v>153687</v>
      </c>
      <c r="S13" s="92">
        <v>64</v>
      </c>
      <c r="T13" s="92">
        <v>90</v>
      </c>
      <c r="U13" s="92">
        <v>37164</v>
      </c>
      <c r="V13" s="92">
        <v>34</v>
      </c>
      <c r="W13" s="92">
        <v>39</v>
      </c>
      <c r="X13" s="92">
        <v>15713</v>
      </c>
      <c r="Y13" s="92">
        <v>1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s="95" customFormat="1" ht="14.1" customHeight="1">
      <c r="A14" s="96" t="s">
        <v>80</v>
      </c>
      <c r="B14" s="68" t="s">
        <v>38</v>
      </c>
      <c r="C14" s="92">
        <v>496</v>
      </c>
      <c r="D14" s="92">
        <v>208</v>
      </c>
      <c r="E14" s="92">
        <v>288</v>
      </c>
      <c r="F14" s="92">
        <v>95670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127</v>
      </c>
      <c r="Q14" s="92">
        <v>159</v>
      </c>
      <c r="R14" s="92">
        <v>57974</v>
      </c>
      <c r="S14" s="92">
        <v>31</v>
      </c>
      <c r="T14" s="92">
        <v>31</v>
      </c>
      <c r="U14" s="92">
        <v>11080</v>
      </c>
      <c r="V14" s="92">
        <v>50</v>
      </c>
      <c r="W14" s="92">
        <v>98</v>
      </c>
      <c r="X14" s="92">
        <v>26616</v>
      </c>
      <c r="Y14" s="92">
        <v>0</v>
      </c>
      <c r="Z14" s="92">
        <v>0</v>
      </c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</row>
    <row r="15" spans="1:57" ht="14.1" customHeight="1">
      <c r="A15" s="106" t="s">
        <v>98</v>
      </c>
      <c r="B15" s="98" t="s">
        <v>40</v>
      </c>
      <c r="C15" s="92">
        <v>194</v>
      </c>
      <c r="D15" s="92">
        <v>88</v>
      </c>
      <c r="E15" s="92">
        <v>106</v>
      </c>
      <c r="F15" s="92">
        <v>43999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46</v>
      </c>
      <c r="Q15" s="92">
        <v>35</v>
      </c>
      <c r="R15" s="92">
        <v>18935</v>
      </c>
      <c r="S15" s="92">
        <v>28</v>
      </c>
      <c r="T15" s="92">
        <v>36</v>
      </c>
      <c r="U15" s="92">
        <v>14930</v>
      </c>
      <c r="V15" s="92">
        <v>14</v>
      </c>
      <c r="W15" s="92">
        <v>35</v>
      </c>
      <c r="X15" s="92">
        <v>10134</v>
      </c>
      <c r="Y15" s="92">
        <v>0</v>
      </c>
      <c r="Z15" s="92">
        <v>0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06" t="s">
        <v>99</v>
      </c>
      <c r="B16" s="98" t="s">
        <v>42</v>
      </c>
      <c r="C16" s="92">
        <v>44</v>
      </c>
      <c r="D16" s="92">
        <v>25</v>
      </c>
      <c r="E16" s="92">
        <v>19</v>
      </c>
      <c r="F16" s="92">
        <v>10741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24</v>
      </c>
      <c r="Q16" s="92">
        <v>13</v>
      </c>
      <c r="R16" s="92">
        <v>9303</v>
      </c>
      <c r="S16" s="92">
        <v>1</v>
      </c>
      <c r="T16" s="92">
        <v>5</v>
      </c>
      <c r="U16" s="92">
        <v>1184</v>
      </c>
      <c r="V16" s="92">
        <v>0</v>
      </c>
      <c r="W16" s="92">
        <v>1</v>
      </c>
      <c r="X16" s="92">
        <v>254</v>
      </c>
      <c r="Y16" s="92">
        <v>0</v>
      </c>
      <c r="Z16" s="92">
        <v>0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06" t="s">
        <v>100</v>
      </c>
      <c r="B17" s="98" t="s">
        <v>44</v>
      </c>
      <c r="C17" s="92">
        <v>304</v>
      </c>
      <c r="D17" s="92">
        <v>144</v>
      </c>
      <c r="E17" s="92">
        <v>160</v>
      </c>
      <c r="F17" s="92">
        <v>74330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63</v>
      </c>
      <c r="Q17" s="92">
        <v>44</v>
      </c>
      <c r="R17" s="92">
        <v>26177</v>
      </c>
      <c r="S17" s="92">
        <v>13</v>
      </c>
      <c r="T17" s="92">
        <v>9</v>
      </c>
      <c r="U17" s="92">
        <v>5403</v>
      </c>
      <c r="V17" s="92">
        <v>68</v>
      </c>
      <c r="W17" s="92">
        <v>107</v>
      </c>
      <c r="X17" s="92">
        <v>42750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06" t="s">
        <v>101</v>
      </c>
      <c r="B18" s="98" t="s">
        <v>46</v>
      </c>
      <c r="C18" s="92">
        <v>527</v>
      </c>
      <c r="D18" s="92">
        <v>232</v>
      </c>
      <c r="E18" s="92">
        <v>295</v>
      </c>
      <c r="F18" s="92">
        <v>185968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103</v>
      </c>
      <c r="Q18" s="92">
        <v>82</v>
      </c>
      <c r="R18" s="92">
        <v>65621</v>
      </c>
      <c r="S18" s="92">
        <v>25</v>
      </c>
      <c r="T18" s="92">
        <v>49</v>
      </c>
      <c r="U18" s="92">
        <v>26764</v>
      </c>
      <c r="V18" s="92">
        <v>104</v>
      </c>
      <c r="W18" s="92">
        <v>164</v>
      </c>
      <c r="X18" s="92">
        <v>93583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06" t="s">
        <v>102</v>
      </c>
      <c r="B19" s="98" t="s">
        <v>48</v>
      </c>
      <c r="C19" s="92">
        <v>362</v>
      </c>
      <c r="D19" s="92">
        <v>181</v>
      </c>
      <c r="E19" s="92">
        <v>181</v>
      </c>
      <c r="F19" s="92">
        <v>73390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63</v>
      </c>
      <c r="Q19" s="92">
        <v>20</v>
      </c>
      <c r="R19" s="92">
        <v>18837</v>
      </c>
      <c r="S19" s="92">
        <v>77</v>
      </c>
      <c r="T19" s="92">
        <v>112</v>
      </c>
      <c r="U19" s="92">
        <v>43333</v>
      </c>
      <c r="V19" s="92">
        <v>41</v>
      </c>
      <c r="W19" s="92">
        <v>49</v>
      </c>
      <c r="X19" s="92">
        <v>11220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06" t="s">
        <v>103</v>
      </c>
      <c r="B20" s="98" t="s">
        <v>50</v>
      </c>
      <c r="C20" s="92">
        <v>318</v>
      </c>
      <c r="D20" s="92">
        <v>162</v>
      </c>
      <c r="E20" s="92">
        <v>156</v>
      </c>
      <c r="F20" s="92">
        <v>110368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141</v>
      </c>
      <c r="Q20" s="92">
        <v>103</v>
      </c>
      <c r="R20" s="92">
        <v>84288</v>
      </c>
      <c r="S20" s="92">
        <v>9</v>
      </c>
      <c r="T20" s="92">
        <v>22</v>
      </c>
      <c r="U20" s="92">
        <v>9442</v>
      </c>
      <c r="V20" s="92">
        <v>12</v>
      </c>
      <c r="W20" s="92">
        <v>31</v>
      </c>
      <c r="X20" s="92">
        <v>16638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97" t="s">
        <v>87</v>
      </c>
      <c r="B21" s="98" t="s">
        <v>52</v>
      </c>
      <c r="C21" s="92">
        <v>314</v>
      </c>
      <c r="D21" s="92">
        <v>138</v>
      </c>
      <c r="E21" s="92">
        <v>176</v>
      </c>
      <c r="F21" s="92">
        <v>109519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118</v>
      </c>
      <c r="Q21" s="92">
        <v>148</v>
      </c>
      <c r="R21" s="92">
        <v>92654</v>
      </c>
      <c r="S21" s="92">
        <v>20</v>
      </c>
      <c r="T21" s="92">
        <v>28</v>
      </c>
      <c r="U21" s="92">
        <v>16865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97" t="s">
        <v>88</v>
      </c>
      <c r="B22" s="98" t="s">
        <v>54</v>
      </c>
      <c r="C22" s="92">
        <v>655</v>
      </c>
      <c r="D22" s="92">
        <v>407</v>
      </c>
      <c r="E22" s="92">
        <v>248</v>
      </c>
      <c r="F22" s="92">
        <v>143390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328</v>
      </c>
      <c r="Q22" s="92">
        <v>180</v>
      </c>
      <c r="R22" s="92">
        <v>111808</v>
      </c>
      <c r="S22" s="92">
        <v>61</v>
      </c>
      <c r="T22" s="92">
        <v>54</v>
      </c>
      <c r="U22" s="92">
        <v>23531</v>
      </c>
      <c r="V22" s="92">
        <v>18</v>
      </c>
      <c r="W22" s="92">
        <v>14</v>
      </c>
      <c r="X22" s="92">
        <v>8051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97" t="s">
        <v>89</v>
      </c>
      <c r="B23" s="98" t="s">
        <v>56</v>
      </c>
      <c r="C23" s="92">
        <v>769</v>
      </c>
      <c r="D23" s="92">
        <v>328</v>
      </c>
      <c r="E23" s="92">
        <v>441</v>
      </c>
      <c r="F23" s="92">
        <v>216655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139</v>
      </c>
      <c r="Q23" s="92">
        <v>110</v>
      </c>
      <c r="R23" s="92">
        <v>72270</v>
      </c>
      <c r="S23" s="92">
        <v>6</v>
      </c>
      <c r="T23" s="92">
        <v>12</v>
      </c>
      <c r="U23" s="92">
        <v>7239</v>
      </c>
      <c r="V23" s="92">
        <v>183</v>
      </c>
      <c r="W23" s="92">
        <v>319</v>
      </c>
      <c r="X23" s="92">
        <v>137146</v>
      </c>
      <c r="Y23" s="92">
        <v>0</v>
      </c>
      <c r="Z23" s="92">
        <v>0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97" t="s">
        <v>90</v>
      </c>
      <c r="B24" s="98" t="s">
        <v>58</v>
      </c>
      <c r="C24" s="92">
        <v>650</v>
      </c>
      <c r="D24" s="92">
        <v>346</v>
      </c>
      <c r="E24" s="92">
        <v>304</v>
      </c>
      <c r="F24" s="92">
        <v>62314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193</v>
      </c>
      <c r="Q24" s="92">
        <v>117</v>
      </c>
      <c r="R24" s="92">
        <v>29201</v>
      </c>
      <c r="S24" s="92">
        <v>88</v>
      </c>
      <c r="T24" s="92">
        <v>69</v>
      </c>
      <c r="U24" s="92">
        <v>10491</v>
      </c>
      <c r="V24" s="92">
        <v>65</v>
      </c>
      <c r="W24" s="92">
        <v>118</v>
      </c>
      <c r="X24" s="92">
        <v>22622</v>
      </c>
      <c r="Y24" s="92">
        <v>129</v>
      </c>
      <c r="Z24" s="92">
        <v>147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97" t="s">
        <v>91</v>
      </c>
      <c r="B25" s="98" t="s">
        <v>60</v>
      </c>
      <c r="C25" s="92">
        <v>739</v>
      </c>
      <c r="D25" s="92">
        <v>300</v>
      </c>
      <c r="E25" s="92">
        <v>439</v>
      </c>
      <c r="F25" s="92">
        <v>163505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14</v>
      </c>
      <c r="Q25" s="92">
        <v>23</v>
      </c>
      <c r="R25" s="92">
        <v>8336</v>
      </c>
      <c r="S25" s="92">
        <v>12</v>
      </c>
      <c r="T25" s="92">
        <v>23</v>
      </c>
      <c r="U25" s="92">
        <v>11718</v>
      </c>
      <c r="V25" s="92">
        <v>274</v>
      </c>
      <c r="W25" s="92">
        <v>393</v>
      </c>
      <c r="X25" s="92">
        <v>143451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97" t="s">
        <v>92</v>
      </c>
      <c r="B26" s="98" t="s">
        <v>62</v>
      </c>
      <c r="C26" s="92">
        <v>90</v>
      </c>
      <c r="D26" s="92">
        <v>34</v>
      </c>
      <c r="E26" s="92">
        <v>56</v>
      </c>
      <c r="F26" s="92">
        <v>23159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21</v>
      </c>
      <c r="Q26" s="92">
        <v>27</v>
      </c>
      <c r="R26" s="92">
        <v>12529</v>
      </c>
      <c r="S26" s="92">
        <v>4</v>
      </c>
      <c r="T26" s="92">
        <v>13</v>
      </c>
      <c r="U26" s="92">
        <v>4460</v>
      </c>
      <c r="V26" s="92">
        <v>9</v>
      </c>
      <c r="W26" s="92">
        <v>16</v>
      </c>
      <c r="X26" s="92">
        <v>6170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97" t="s">
        <v>93</v>
      </c>
      <c r="B27" s="98" t="s">
        <v>64</v>
      </c>
      <c r="C27" s="92">
        <v>100</v>
      </c>
      <c r="D27" s="92">
        <v>51</v>
      </c>
      <c r="E27" s="92">
        <v>49</v>
      </c>
      <c r="F27" s="92">
        <v>15569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32</v>
      </c>
      <c r="Q27" s="92">
        <v>29</v>
      </c>
      <c r="R27" s="92">
        <v>9624</v>
      </c>
      <c r="S27" s="92">
        <v>8</v>
      </c>
      <c r="T27" s="92">
        <v>8</v>
      </c>
      <c r="U27" s="92">
        <v>3014</v>
      </c>
      <c r="V27" s="92">
        <v>11</v>
      </c>
      <c r="W27" s="92">
        <v>12</v>
      </c>
      <c r="X27" s="92">
        <v>2931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97" t="s">
        <v>94</v>
      </c>
      <c r="B28" s="98" t="s">
        <v>66</v>
      </c>
      <c r="C28" s="92">
        <v>61</v>
      </c>
      <c r="D28" s="92">
        <v>27</v>
      </c>
      <c r="E28" s="92">
        <v>34</v>
      </c>
      <c r="F28" s="92">
        <v>22735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15</v>
      </c>
      <c r="Q28" s="92">
        <v>6</v>
      </c>
      <c r="R28" s="92">
        <v>8738</v>
      </c>
      <c r="S28" s="92">
        <v>12</v>
      </c>
      <c r="T28" s="92">
        <v>28</v>
      </c>
      <c r="U28" s="92">
        <v>13997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97" t="s">
        <v>95</v>
      </c>
      <c r="B29" s="98" t="s">
        <v>68</v>
      </c>
      <c r="C29" s="92">
        <v>10</v>
      </c>
      <c r="D29" s="92">
        <v>6</v>
      </c>
      <c r="E29" s="92">
        <v>4</v>
      </c>
      <c r="F29" s="92">
        <v>1751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6</v>
      </c>
      <c r="T29" s="92">
        <v>4</v>
      </c>
      <c r="U29" s="92">
        <v>1751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99" t="s">
        <v>96</v>
      </c>
      <c r="B30" s="100" t="s">
        <v>70</v>
      </c>
      <c r="C30" s="101">
        <v>16</v>
      </c>
      <c r="D30" s="101">
        <v>9</v>
      </c>
      <c r="E30" s="101">
        <v>7</v>
      </c>
      <c r="F30" s="101">
        <v>9069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3</v>
      </c>
      <c r="Q30" s="101">
        <v>2</v>
      </c>
      <c r="R30" s="101">
        <v>3640</v>
      </c>
      <c r="S30" s="101">
        <v>1</v>
      </c>
      <c r="T30" s="101">
        <v>3</v>
      </c>
      <c r="U30" s="101">
        <v>2245</v>
      </c>
      <c r="V30" s="101">
        <v>5</v>
      </c>
      <c r="W30" s="101">
        <v>2</v>
      </c>
      <c r="X30" s="101">
        <v>3184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</row>
    <row r="33" spans="1:1" ht="15.6" customHeight="1"/>
    <row r="34" spans="1:1" ht="14.25">
      <c r="A34" s="39" t="s">
        <v>145</v>
      </c>
    </row>
  </sheetData>
  <mergeCells count="42"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  <mergeCell ref="C6:C7"/>
    <mergeCell ref="D6:D7"/>
    <mergeCell ref="E6:E7"/>
    <mergeCell ref="G6:G7"/>
    <mergeCell ref="H6:H7"/>
    <mergeCell ref="W6:W7"/>
    <mergeCell ref="L5:L7"/>
    <mergeCell ref="M5:N5"/>
    <mergeCell ref="O5:O7"/>
    <mergeCell ref="P5:Q5"/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146</v>
      </c>
      <c r="B2" s="114"/>
    </row>
    <row r="3" spans="1:57" s="24" customFormat="1" ht="12.75" customHeight="1">
      <c r="A3" s="240" t="s">
        <v>300</v>
      </c>
      <c r="B3" s="234"/>
      <c r="C3" s="302" t="s">
        <v>297</v>
      </c>
      <c r="D3" s="302"/>
      <c r="E3" s="302"/>
      <c r="F3" s="302"/>
      <c r="G3" s="302" t="s">
        <v>298</v>
      </c>
      <c r="H3" s="302"/>
      <c r="I3" s="302"/>
      <c r="J3" s="302"/>
      <c r="K3" s="302"/>
      <c r="L3" s="302"/>
      <c r="M3" s="302"/>
      <c r="N3" s="302"/>
      <c r="O3" s="302"/>
      <c r="P3" s="302" t="s">
        <v>299</v>
      </c>
      <c r="Q3" s="302"/>
      <c r="R3" s="302"/>
      <c r="S3" s="302"/>
      <c r="T3" s="302"/>
      <c r="U3" s="302"/>
      <c r="V3" s="302"/>
      <c r="W3" s="302"/>
      <c r="X3" s="237"/>
      <c r="Y3" s="303" t="s">
        <v>301</v>
      </c>
      <c r="Z3" s="237"/>
    </row>
    <row r="4" spans="1:57" s="25" customFormat="1" ht="16.5" customHeight="1">
      <c r="A4" s="241"/>
      <c r="B4" s="235"/>
      <c r="C4" s="295" t="s">
        <v>286</v>
      </c>
      <c r="D4" s="240"/>
      <c r="E4" s="234"/>
      <c r="F4" s="298" t="s">
        <v>287</v>
      </c>
      <c r="G4" s="298" t="s">
        <v>288</v>
      </c>
      <c r="H4" s="298"/>
      <c r="I4" s="298"/>
      <c r="J4" s="298" t="s">
        <v>289</v>
      </c>
      <c r="K4" s="298"/>
      <c r="L4" s="298"/>
      <c r="M4" s="298" t="s">
        <v>290</v>
      </c>
      <c r="N4" s="298"/>
      <c r="O4" s="298"/>
      <c r="P4" s="298" t="s">
        <v>288</v>
      </c>
      <c r="Q4" s="298"/>
      <c r="R4" s="298"/>
      <c r="S4" s="298" t="s">
        <v>289</v>
      </c>
      <c r="T4" s="298"/>
      <c r="U4" s="298"/>
      <c r="V4" s="298" t="s">
        <v>290</v>
      </c>
      <c r="W4" s="298"/>
      <c r="X4" s="298"/>
      <c r="Y4" s="304"/>
      <c r="Z4" s="237"/>
    </row>
    <row r="5" spans="1:57" s="26" customFormat="1" ht="49.5" customHeight="1">
      <c r="A5" s="241"/>
      <c r="B5" s="235"/>
      <c r="C5" s="305"/>
      <c r="D5" s="242"/>
      <c r="E5" s="236"/>
      <c r="F5" s="298"/>
      <c r="G5" s="298" t="s">
        <v>304</v>
      </c>
      <c r="H5" s="298"/>
      <c r="I5" s="298" t="s">
        <v>287</v>
      </c>
      <c r="J5" s="298" t="s">
        <v>304</v>
      </c>
      <c r="K5" s="298"/>
      <c r="L5" s="298" t="s">
        <v>287</v>
      </c>
      <c r="M5" s="298" t="s">
        <v>304</v>
      </c>
      <c r="N5" s="298"/>
      <c r="O5" s="298" t="s">
        <v>287</v>
      </c>
      <c r="P5" s="298" t="s">
        <v>304</v>
      </c>
      <c r="Q5" s="298"/>
      <c r="R5" s="298" t="s">
        <v>287</v>
      </c>
      <c r="S5" s="298" t="s">
        <v>304</v>
      </c>
      <c r="T5" s="298"/>
      <c r="U5" s="298" t="s">
        <v>287</v>
      </c>
      <c r="V5" s="298" t="s">
        <v>304</v>
      </c>
      <c r="W5" s="298"/>
      <c r="X5" s="300" t="s">
        <v>287</v>
      </c>
      <c r="Y5" s="246"/>
      <c r="Z5" s="237"/>
    </row>
    <row r="6" spans="1:57" s="24" customFormat="1" ht="14.25" customHeight="1">
      <c r="A6" s="241"/>
      <c r="B6" s="235"/>
      <c r="C6" s="291" t="s">
        <v>294</v>
      </c>
      <c r="D6" s="291" t="s">
        <v>295</v>
      </c>
      <c r="E6" s="291" t="s">
        <v>296</v>
      </c>
      <c r="F6" s="298"/>
      <c r="G6" s="291" t="s">
        <v>295</v>
      </c>
      <c r="H6" s="291" t="s">
        <v>296</v>
      </c>
      <c r="I6" s="298"/>
      <c r="J6" s="291" t="s">
        <v>295</v>
      </c>
      <c r="K6" s="291" t="s">
        <v>296</v>
      </c>
      <c r="L6" s="298"/>
      <c r="M6" s="291" t="s">
        <v>295</v>
      </c>
      <c r="N6" s="291" t="s">
        <v>296</v>
      </c>
      <c r="O6" s="298"/>
      <c r="P6" s="291" t="s">
        <v>295</v>
      </c>
      <c r="Q6" s="291" t="s">
        <v>296</v>
      </c>
      <c r="R6" s="298"/>
      <c r="S6" s="291" t="s">
        <v>295</v>
      </c>
      <c r="T6" s="291" t="s">
        <v>296</v>
      </c>
      <c r="U6" s="298"/>
      <c r="V6" s="291" t="s">
        <v>295</v>
      </c>
      <c r="W6" s="291" t="s">
        <v>296</v>
      </c>
      <c r="X6" s="300"/>
      <c r="Y6" s="234" t="s">
        <v>295</v>
      </c>
      <c r="Z6" s="295" t="s">
        <v>296</v>
      </c>
    </row>
    <row r="7" spans="1:57" s="24" customFormat="1" ht="18" customHeight="1">
      <c r="A7" s="242"/>
      <c r="B7" s="236"/>
      <c r="C7" s="292"/>
      <c r="D7" s="292"/>
      <c r="E7" s="292"/>
      <c r="F7" s="299"/>
      <c r="G7" s="292"/>
      <c r="H7" s="292"/>
      <c r="I7" s="299"/>
      <c r="J7" s="292"/>
      <c r="K7" s="292"/>
      <c r="L7" s="299"/>
      <c r="M7" s="292"/>
      <c r="N7" s="292"/>
      <c r="O7" s="299"/>
      <c r="P7" s="292"/>
      <c r="Q7" s="292"/>
      <c r="R7" s="299"/>
      <c r="S7" s="292"/>
      <c r="T7" s="292"/>
      <c r="U7" s="299"/>
      <c r="V7" s="292"/>
      <c r="W7" s="292"/>
      <c r="X7" s="301"/>
      <c r="Y7" s="297"/>
      <c r="Z7" s="296"/>
    </row>
    <row r="8" spans="1:57" s="90" customFormat="1" ht="14.1" customHeight="1">
      <c r="A8" s="115" t="s">
        <v>142</v>
      </c>
      <c r="B8" s="116" t="s">
        <v>26</v>
      </c>
      <c r="C8" s="87">
        <v>6975</v>
      </c>
      <c r="D8" s="87">
        <v>3405</v>
      </c>
      <c r="E8" s="87">
        <v>3570</v>
      </c>
      <c r="F8" s="87">
        <v>1885240</v>
      </c>
      <c r="G8" s="87">
        <v>7</v>
      </c>
      <c r="H8" s="87">
        <v>7</v>
      </c>
      <c r="I8" s="87">
        <v>1597</v>
      </c>
      <c r="J8" s="87">
        <v>9</v>
      </c>
      <c r="K8" s="87">
        <v>8</v>
      </c>
      <c r="L8" s="87">
        <v>762</v>
      </c>
      <c r="M8" s="87">
        <v>12</v>
      </c>
      <c r="N8" s="87">
        <v>41</v>
      </c>
      <c r="O8" s="87">
        <v>1259</v>
      </c>
      <c r="P8" s="87">
        <v>1996</v>
      </c>
      <c r="Q8" s="87">
        <v>1673</v>
      </c>
      <c r="R8" s="87">
        <v>1021388</v>
      </c>
      <c r="S8" s="87">
        <v>543</v>
      </c>
      <c r="T8" s="87">
        <v>698</v>
      </c>
      <c r="U8" s="87">
        <v>374767</v>
      </c>
      <c r="V8" s="87">
        <v>838</v>
      </c>
      <c r="W8" s="87">
        <v>1143</v>
      </c>
      <c r="X8" s="87">
        <v>485467</v>
      </c>
      <c r="Y8" s="87">
        <v>264</v>
      </c>
      <c r="Z8" s="87">
        <v>276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s="95" customFormat="1" ht="14.1" customHeight="1">
      <c r="A9" s="119" t="s">
        <v>147</v>
      </c>
      <c r="B9" s="120" t="s">
        <v>28</v>
      </c>
      <c r="C9" s="92">
        <v>230</v>
      </c>
      <c r="D9" s="92">
        <v>111</v>
      </c>
      <c r="E9" s="92">
        <v>119</v>
      </c>
      <c r="F9" s="92">
        <v>70912</v>
      </c>
      <c r="G9" s="92">
        <v>4</v>
      </c>
      <c r="H9" s="92">
        <v>7</v>
      </c>
      <c r="I9" s="92">
        <v>530</v>
      </c>
      <c r="J9" s="92">
        <v>6</v>
      </c>
      <c r="K9" s="92">
        <v>5</v>
      </c>
      <c r="L9" s="92">
        <v>0</v>
      </c>
      <c r="M9" s="92">
        <v>10</v>
      </c>
      <c r="N9" s="92">
        <v>7</v>
      </c>
      <c r="O9" s="92">
        <v>10</v>
      </c>
      <c r="P9" s="92">
        <v>26</v>
      </c>
      <c r="Q9" s="92">
        <v>15</v>
      </c>
      <c r="R9" s="92">
        <v>20465</v>
      </c>
      <c r="S9" s="92">
        <v>23</v>
      </c>
      <c r="T9" s="92">
        <v>38</v>
      </c>
      <c r="U9" s="92">
        <v>20982</v>
      </c>
      <c r="V9" s="92">
        <v>42</v>
      </c>
      <c r="W9" s="92">
        <v>47</v>
      </c>
      <c r="X9" s="92">
        <v>28925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119" t="s">
        <v>148</v>
      </c>
      <c r="B10" s="120" t="s">
        <v>30</v>
      </c>
      <c r="C10" s="92">
        <v>847</v>
      </c>
      <c r="D10" s="92">
        <v>419</v>
      </c>
      <c r="E10" s="92">
        <v>428</v>
      </c>
      <c r="F10" s="92">
        <v>239769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2</v>
      </c>
      <c r="M10" s="92">
        <v>2</v>
      </c>
      <c r="N10" s="92">
        <v>33</v>
      </c>
      <c r="O10" s="92">
        <v>491</v>
      </c>
      <c r="P10" s="92">
        <v>190</v>
      </c>
      <c r="Q10" s="92">
        <v>98</v>
      </c>
      <c r="R10" s="92">
        <v>97172</v>
      </c>
      <c r="S10" s="92">
        <v>68</v>
      </c>
      <c r="T10" s="92">
        <v>87</v>
      </c>
      <c r="U10" s="92">
        <v>49711</v>
      </c>
      <c r="V10" s="92">
        <v>159</v>
      </c>
      <c r="W10" s="92">
        <v>210</v>
      </c>
      <c r="X10" s="92">
        <v>92393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119" t="s">
        <v>149</v>
      </c>
      <c r="B11" s="120" t="s">
        <v>34</v>
      </c>
      <c r="C11" s="92">
        <v>470</v>
      </c>
      <c r="D11" s="92">
        <v>223</v>
      </c>
      <c r="E11" s="92">
        <v>247</v>
      </c>
      <c r="F11" s="92">
        <v>133396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181</v>
      </c>
      <c r="Q11" s="92">
        <v>182</v>
      </c>
      <c r="R11" s="92">
        <v>103704</v>
      </c>
      <c r="S11" s="92">
        <v>42</v>
      </c>
      <c r="T11" s="92">
        <v>64</v>
      </c>
      <c r="U11" s="92">
        <v>26196</v>
      </c>
      <c r="V11" s="92">
        <v>0</v>
      </c>
      <c r="W11" s="92">
        <v>1</v>
      </c>
      <c r="X11" s="92">
        <v>3496</v>
      </c>
      <c r="Y11" s="92">
        <v>4</v>
      </c>
      <c r="Z11" s="92">
        <v>0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119" t="s">
        <v>150</v>
      </c>
      <c r="B12" s="120" t="s">
        <v>36</v>
      </c>
      <c r="C12" s="92">
        <v>799</v>
      </c>
      <c r="D12" s="92">
        <v>390</v>
      </c>
      <c r="E12" s="92">
        <v>409</v>
      </c>
      <c r="F12" s="92">
        <v>205276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303</v>
      </c>
      <c r="Q12" s="92">
        <v>286</v>
      </c>
      <c r="R12" s="92">
        <v>153450</v>
      </c>
      <c r="S12" s="92">
        <v>57</v>
      </c>
      <c r="T12" s="92">
        <v>89</v>
      </c>
      <c r="U12" s="92">
        <v>37364</v>
      </c>
      <c r="V12" s="92">
        <v>30</v>
      </c>
      <c r="W12" s="92">
        <v>34</v>
      </c>
      <c r="X12" s="92">
        <v>14462</v>
      </c>
      <c r="Y12" s="92">
        <v>0</v>
      </c>
      <c r="Z12" s="92">
        <v>0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119" t="s">
        <v>151</v>
      </c>
      <c r="B13" s="120" t="s">
        <v>38</v>
      </c>
      <c r="C13" s="92">
        <v>424</v>
      </c>
      <c r="D13" s="92">
        <v>167</v>
      </c>
      <c r="E13" s="92">
        <v>257</v>
      </c>
      <c r="F13" s="92">
        <v>67573</v>
      </c>
      <c r="G13" s="92">
        <v>3</v>
      </c>
      <c r="H13" s="92">
        <v>0</v>
      </c>
      <c r="I13" s="92">
        <v>286</v>
      </c>
      <c r="J13" s="92">
        <v>3</v>
      </c>
      <c r="K13" s="92">
        <v>3</v>
      </c>
      <c r="L13" s="92">
        <v>697</v>
      </c>
      <c r="M13" s="92">
        <v>0</v>
      </c>
      <c r="N13" s="92">
        <v>1</v>
      </c>
      <c r="O13" s="92">
        <v>569</v>
      </c>
      <c r="P13" s="92">
        <v>86</v>
      </c>
      <c r="Q13" s="92">
        <v>136</v>
      </c>
      <c r="R13" s="92">
        <v>33355</v>
      </c>
      <c r="S13" s="92">
        <v>30</v>
      </c>
      <c r="T13" s="92">
        <v>18</v>
      </c>
      <c r="U13" s="92">
        <v>14140</v>
      </c>
      <c r="V13" s="92">
        <v>45</v>
      </c>
      <c r="W13" s="92">
        <v>99</v>
      </c>
      <c r="X13" s="92">
        <v>18526</v>
      </c>
      <c r="Y13" s="92">
        <v>0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ht="14.1" customHeight="1">
      <c r="A14" s="121" t="s">
        <v>152</v>
      </c>
      <c r="B14" s="122" t="s">
        <v>40</v>
      </c>
      <c r="C14" s="92">
        <v>196</v>
      </c>
      <c r="D14" s="92">
        <v>95</v>
      </c>
      <c r="E14" s="92">
        <v>101</v>
      </c>
      <c r="F14" s="92">
        <v>47629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54</v>
      </c>
      <c r="Q14" s="92">
        <v>43</v>
      </c>
      <c r="R14" s="92">
        <v>22611</v>
      </c>
      <c r="S14" s="92">
        <v>18</v>
      </c>
      <c r="T14" s="92">
        <v>33</v>
      </c>
      <c r="U14" s="92">
        <v>14953</v>
      </c>
      <c r="V14" s="92">
        <v>23</v>
      </c>
      <c r="W14" s="92">
        <v>25</v>
      </c>
      <c r="X14" s="92">
        <v>10065</v>
      </c>
      <c r="Y14" s="92">
        <v>0</v>
      </c>
      <c r="Z14" s="92">
        <v>0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spans="1:57" ht="14.1" customHeight="1">
      <c r="A15" s="121" t="s">
        <v>153</v>
      </c>
      <c r="B15" s="122" t="s">
        <v>154</v>
      </c>
      <c r="C15" s="92">
        <v>335</v>
      </c>
      <c r="D15" s="92">
        <v>180</v>
      </c>
      <c r="E15" s="92">
        <v>155</v>
      </c>
      <c r="F15" s="92">
        <v>111398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140</v>
      </c>
      <c r="Q15" s="92">
        <v>127</v>
      </c>
      <c r="R15" s="92">
        <v>88667</v>
      </c>
      <c r="S15" s="92">
        <v>24</v>
      </c>
      <c r="T15" s="92">
        <v>16</v>
      </c>
      <c r="U15" s="92">
        <v>14025</v>
      </c>
      <c r="V15" s="92">
        <v>16</v>
      </c>
      <c r="W15" s="92">
        <v>12</v>
      </c>
      <c r="X15" s="92">
        <v>8706</v>
      </c>
      <c r="Y15" s="92">
        <v>5</v>
      </c>
      <c r="Z15" s="92">
        <v>8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21" t="s">
        <v>155</v>
      </c>
      <c r="B16" s="122" t="s">
        <v>42</v>
      </c>
      <c r="C16" s="92">
        <v>51</v>
      </c>
      <c r="D16" s="92">
        <v>32</v>
      </c>
      <c r="E16" s="92">
        <v>19</v>
      </c>
      <c r="F16" s="92">
        <v>12377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30</v>
      </c>
      <c r="Q16" s="92">
        <v>14</v>
      </c>
      <c r="R16" s="92">
        <v>10842</v>
      </c>
      <c r="S16" s="92">
        <v>2</v>
      </c>
      <c r="T16" s="92">
        <v>4</v>
      </c>
      <c r="U16" s="92">
        <v>1344</v>
      </c>
      <c r="V16" s="92">
        <v>0</v>
      </c>
      <c r="W16" s="92">
        <v>1</v>
      </c>
      <c r="X16" s="92">
        <v>191</v>
      </c>
      <c r="Y16" s="92">
        <v>0</v>
      </c>
      <c r="Z16" s="92">
        <v>2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21" t="s">
        <v>156</v>
      </c>
      <c r="B17" s="122" t="s">
        <v>44</v>
      </c>
      <c r="C17" s="92">
        <v>305</v>
      </c>
      <c r="D17" s="92">
        <v>141</v>
      </c>
      <c r="E17" s="92">
        <v>164</v>
      </c>
      <c r="F17" s="92">
        <v>63293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62</v>
      </c>
      <c r="Q17" s="92">
        <v>50</v>
      </c>
      <c r="R17" s="92">
        <v>26485</v>
      </c>
      <c r="S17" s="92">
        <v>11</v>
      </c>
      <c r="T17" s="92">
        <v>13</v>
      </c>
      <c r="U17" s="92">
        <v>5684</v>
      </c>
      <c r="V17" s="92">
        <v>68</v>
      </c>
      <c r="W17" s="92">
        <v>101</v>
      </c>
      <c r="X17" s="92">
        <v>31124</v>
      </c>
      <c r="Y17" s="92">
        <v>1</v>
      </c>
      <c r="Z17" s="92">
        <v>2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21" t="s">
        <v>157</v>
      </c>
      <c r="B18" s="122" t="s">
        <v>46</v>
      </c>
      <c r="C18" s="92">
        <v>551</v>
      </c>
      <c r="D18" s="92">
        <v>227</v>
      </c>
      <c r="E18" s="92">
        <v>324</v>
      </c>
      <c r="F18" s="92">
        <v>152878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91</v>
      </c>
      <c r="Q18" s="92">
        <v>90</v>
      </c>
      <c r="R18" s="92">
        <v>57376</v>
      </c>
      <c r="S18" s="92">
        <v>25</v>
      </c>
      <c r="T18" s="92">
        <v>48</v>
      </c>
      <c r="U18" s="92">
        <v>24096</v>
      </c>
      <c r="V18" s="92">
        <v>111</v>
      </c>
      <c r="W18" s="92">
        <v>186</v>
      </c>
      <c r="X18" s="92">
        <v>71406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21" t="s">
        <v>158</v>
      </c>
      <c r="B19" s="122" t="s">
        <v>48</v>
      </c>
      <c r="C19" s="92">
        <v>176</v>
      </c>
      <c r="D19" s="92">
        <v>100</v>
      </c>
      <c r="E19" s="92">
        <v>76</v>
      </c>
      <c r="F19" s="92">
        <v>41585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40</v>
      </c>
      <c r="Q19" s="92">
        <v>9</v>
      </c>
      <c r="R19" s="92">
        <v>12235</v>
      </c>
      <c r="S19" s="92">
        <v>59</v>
      </c>
      <c r="T19" s="92">
        <v>65</v>
      </c>
      <c r="U19" s="92">
        <v>28302</v>
      </c>
      <c r="V19" s="92">
        <v>1</v>
      </c>
      <c r="W19" s="92">
        <v>2</v>
      </c>
      <c r="X19" s="92">
        <v>1048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21" t="s">
        <v>159</v>
      </c>
      <c r="B20" s="122" t="s">
        <v>50</v>
      </c>
      <c r="C20" s="92">
        <v>327</v>
      </c>
      <c r="D20" s="92">
        <v>165</v>
      </c>
      <c r="E20" s="92">
        <v>162</v>
      </c>
      <c r="F20" s="92">
        <v>115018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131</v>
      </c>
      <c r="Q20" s="92">
        <v>108</v>
      </c>
      <c r="R20" s="92">
        <v>82036</v>
      </c>
      <c r="S20" s="92">
        <v>12</v>
      </c>
      <c r="T20" s="92">
        <v>17</v>
      </c>
      <c r="U20" s="92">
        <v>8977</v>
      </c>
      <c r="V20" s="92">
        <v>22</v>
      </c>
      <c r="W20" s="92">
        <v>37</v>
      </c>
      <c r="X20" s="92">
        <v>24005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121" t="s">
        <v>160</v>
      </c>
      <c r="B21" s="122" t="s">
        <v>52</v>
      </c>
      <c r="C21" s="92">
        <v>329</v>
      </c>
      <c r="D21" s="92">
        <v>142</v>
      </c>
      <c r="E21" s="92">
        <v>187</v>
      </c>
      <c r="F21" s="92">
        <v>101583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121</v>
      </c>
      <c r="Q21" s="92">
        <v>153</v>
      </c>
      <c r="R21" s="92">
        <v>86201</v>
      </c>
      <c r="S21" s="92">
        <v>21</v>
      </c>
      <c r="T21" s="92">
        <v>34</v>
      </c>
      <c r="U21" s="92">
        <v>15382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121" t="s">
        <v>161</v>
      </c>
      <c r="B22" s="122" t="s">
        <v>54</v>
      </c>
      <c r="C22" s="92">
        <v>453</v>
      </c>
      <c r="D22" s="92">
        <v>281</v>
      </c>
      <c r="E22" s="92">
        <v>172</v>
      </c>
      <c r="F22" s="92">
        <v>111227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196</v>
      </c>
      <c r="Q22" s="92">
        <v>122</v>
      </c>
      <c r="R22" s="92">
        <v>90191</v>
      </c>
      <c r="S22" s="92">
        <v>28</v>
      </c>
      <c r="T22" s="92">
        <v>39</v>
      </c>
      <c r="U22" s="92">
        <v>14579</v>
      </c>
      <c r="V22" s="92">
        <v>57</v>
      </c>
      <c r="W22" s="92">
        <v>11</v>
      </c>
      <c r="X22" s="92">
        <v>6457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121" t="s">
        <v>162</v>
      </c>
      <c r="B23" s="122" t="s">
        <v>56</v>
      </c>
      <c r="C23" s="92">
        <v>884</v>
      </c>
      <c r="D23" s="92">
        <v>399</v>
      </c>
      <c r="E23" s="92">
        <v>485</v>
      </c>
      <c r="F23" s="92">
        <v>231855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153</v>
      </c>
      <c r="Q23" s="92">
        <v>121</v>
      </c>
      <c r="R23" s="92">
        <v>66187</v>
      </c>
      <c r="S23" s="92">
        <v>31</v>
      </c>
      <c r="T23" s="92">
        <v>37</v>
      </c>
      <c r="U23" s="92">
        <v>20487</v>
      </c>
      <c r="V23" s="92">
        <v>215</v>
      </c>
      <c r="W23" s="92">
        <v>327</v>
      </c>
      <c r="X23" s="92">
        <v>145181</v>
      </c>
      <c r="Y23" s="92">
        <v>189</v>
      </c>
      <c r="Z23" s="92">
        <v>201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121" t="s">
        <v>163</v>
      </c>
      <c r="B24" s="122" t="s">
        <v>58</v>
      </c>
      <c r="C24" s="92">
        <v>335</v>
      </c>
      <c r="D24" s="92">
        <v>211</v>
      </c>
      <c r="E24" s="92">
        <v>124</v>
      </c>
      <c r="F24" s="92">
        <v>47287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126</v>
      </c>
      <c r="Q24" s="92">
        <v>66</v>
      </c>
      <c r="R24" s="92">
        <v>25380</v>
      </c>
      <c r="S24" s="92">
        <v>54</v>
      </c>
      <c r="T24" s="92">
        <v>34</v>
      </c>
      <c r="U24" s="92">
        <v>10690</v>
      </c>
      <c r="V24" s="92">
        <v>31</v>
      </c>
      <c r="W24" s="92">
        <v>24</v>
      </c>
      <c r="X24" s="92">
        <v>11217</v>
      </c>
      <c r="Y24" s="92">
        <v>65</v>
      </c>
      <c r="Z24" s="92">
        <v>63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121" t="s">
        <v>164</v>
      </c>
      <c r="B25" s="122" t="s">
        <v>60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121" t="s">
        <v>165</v>
      </c>
      <c r="B26" s="122" t="s">
        <v>62</v>
      </c>
      <c r="C26" s="92">
        <v>70</v>
      </c>
      <c r="D26" s="92">
        <v>32</v>
      </c>
      <c r="E26" s="92">
        <v>38</v>
      </c>
      <c r="F26" s="92">
        <v>59642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17</v>
      </c>
      <c r="Q26" s="92">
        <v>17</v>
      </c>
      <c r="R26" s="92">
        <v>12329</v>
      </c>
      <c r="S26" s="92">
        <v>10</v>
      </c>
      <c r="T26" s="92">
        <v>11</v>
      </c>
      <c r="U26" s="92">
        <v>40292</v>
      </c>
      <c r="V26" s="92">
        <v>5</v>
      </c>
      <c r="W26" s="92">
        <v>10</v>
      </c>
      <c r="X26" s="92">
        <v>7021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121" t="s">
        <v>166</v>
      </c>
      <c r="B27" s="122" t="s">
        <v>64</v>
      </c>
      <c r="C27" s="92">
        <v>99</v>
      </c>
      <c r="D27" s="92">
        <v>47</v>
      </c>
      <c r="E27" s="92">
        <v>52</v>
      </c>
      <c r="F27" s="92">
        <v>33558</v>
      </c>
      <c r="G27" s="92">
        <v>0</v>
      </c>
      <c r="H27" s="92">
        <v>0</v>
      </c>
      <c r="I27" s="92">
        <v>781</v>
      </c>
      <c r="J27" s="92">
        <v>0</v>
      </c>
      <c r="K27" s="92">
        <v>0</v>
      </c>
      <c r="L27" s="92">
        <v>63</v>
      </c>
      <c r="M27" s="92">
        <v>0</v>
      </c>
      <c r="N27" s="92">
        <v>0</v>
      </c>
      <c r="O27" s="92">
        <v>189</v>
      </c>
      <c r="P27" s="92">
        <v>30</v>
      </c>
      <c r="Q27" s="92">
        <v>28</v>
      </c>
      <c r="R27" s="92">
        <v>20630</v>
      </c>
      <c r="S27" s="92">
        <v>9</v>
      </c>
      <c r="T27" s="92">
        <v>9</v>
      </c>
      <c r="U27" s="92">
        <v>5533</v>
      </c>
      <c r="V27" s="92">
        <v>8</v>
      </c>
      <c r="W27" s="92">
        <v>15</v>
      </c>
      <c r="X27" s="92">
        <v>6362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121" t="s">
        <v>167</v>
      </c>
      <c r="B28" s="122" t="s">
        <v>66</v>
      </c>
      <c r="C28" s="92">
        <v>73</v>
      </c>
      <c r="D28" s="92">
        <v>30</v>
      </c>
      <c r="E28" s="92">
        <v>43</v>
      </c>
      <c r="F28" s="92">
        <v>23139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16</v>
      </c>
      <c r="Q28" s="92">
        <v>6</v>
      </c>
      <c r="R28" s="92">
        <v>6940</v>
      </c>
      <c r="S28" s="92">
        <v>14</v>
      </c>
      <c r="T28" s="92">
        <v>37</v>
      </c>
      <c r="U28" s="92">
        <v>16199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121" t="s">
        <v>168</v>
      </c>
      <c r="B29" s="122" t="s">
        <v>68</v>
      </c>
      <c r="C29" s="92">
        <v>7</v>
      </c>
      <c r="D29" s="92">
        <v>4</v>
      </c>
      <c r="E29" s="92">
        <v>3</v>
      </c>
      <c r="F29" s="92">
        <v>2555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4</v>
      </c>
      <c r="T29" s="92">
        <v>3</v>
      </c>
      <c r="U29" s="92">
        <v>2555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123" t="s">
        <v>169</v>
      </c>
      <c r="B30" s="124" t="s">
        <v>70</v>
      </c>
      <c r="C30" s="101">
        <v>14</v>
      </c>
      <c r="D30" s="101">
        <v>9</v>
      </c>
      <c r="E30" s="101">
        <v>5</v>
      </c>
      <c r="F30" s="101">
        <v>13290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3</v>
      </c>
      <c r="Q30" s="101">
        <v>2</v>
      </c>
      <c r="R30" s="101">
        <v>5132</v>
      </c>
      <c r="S30" s="101">
        <v>1</v>
      </c>
      <c r="T30" s="101">
        <v>2</v>
      </c>
      <c r="U30" s="101">
        <v>3276</v>
      </c>
      <c r="V30" s="101">
        <v>5</v>
      </c>
      <c r="W30" s="101">
        <v>1</v>
      </c>
      <c r="X30" s="101">
        <v>4882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</row>
    <row r="33" spans="1:1" ht="15.6" customHeight="1">
      <c r="A33" s="102" t="s">
        <v>170</v>
      </c>
    </row>
  </sheetData>
  <mergeCells count="42"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  <mergeCell ref="C6:C7"/>
    <mergeCell ref="D6:D7"/>
    <mergeCell ref="E6:E7"/>
    <mergeCell ref="G6:G7"/>
    <mergeCell ref="H6:H7"/>
    <mergeCell ref="W6:W7"/>
    <mergeCell ref="L5:L7"/>
    <mergeCell ref="M5:N5"/>
    <mergeCell ref="O5:O7"/>
    <mergeCell ref="P5:Q5"/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171</v>
      </c>
      <c r="B2" s="125"/>
      <c r="C2" s="125"/>
    </row>
    <row r="3" spans="1:57" s="24" customFormat="1" ht="12.75" customHeight="1">
      <c r="A3" s="240" t="s">
        <v>300</v>
      </c>
      <c r="B3" s="234"/>
      <c r="C3" s="302" t="s">
        <v>297</v>
      </c>
      <c r="D3" s="302"/>
      <c r="E3" s="302"/>
      <c r="F3" s="302"/>
      <c r="G3" s="302" t="s">
        <v>298</v>
      </c>
      <c r="H3" s="302"/>
      <c r="I3" s="302"/>
      <c r="J3" s="302"/>
      <c r="K3" s="302"/>
      <c r="L3" s="302"/>
      <c r="M3" s="302"/>
      <c r="N3" s="302"/>
      <c r="O3" s="302"/>
      <c r="P3" s="302" t="s">
        <v>299</v>
      </c>
      <c r="Q3" s="302"/>
      <c r="R3" s="302"/>
      <c r="S3" s="302"/>
      <c r="T3" s="302"/>
      <c r="U3" s="302"/>
      <c r="V3" s="302"/>
      <c r="W3" s="302"/>
      <c r="X3" s="237"/>
      <c r="Y3" s="303" t="s">
        <v>301</v>
      </c>
      <c r="Z3" s="237"/>
    </row>
    <row r="4" spans="1:57" s="25" customFormat="1" ht="16.5" customHeight="1">
      <c r="A4" s="241"/>
      <c r="B4" s="235"/>
      <c r="C4" s="295" t="s">
        <v>286</v>
      </c>
      <c r="D4" s="240"/>
      <c r="E4" s="234"/>
      <c r="F4" s="298" t="s">
        <v>287</v>
      </c>
      <c r="G4" s="298" t="s">
        <v>288</v>
      </c>
      <c r="H4" s="298"/>
      <c r="I4" s="298"/>
      <c r="J4" s="298" t="s">
        <v>289</v>
      </c>
      <c r="K4" s="298"/>
      <c r="L4" s="298"/>
      <c r="M4" s="298" t="s">
        <v>290</v>
      </c>
      <c r="N4" s="298"/>
      <c r="O4" s="298"/>
      <c r="P4" s="298" t="s">
        <v>288</v>
      </c>
      <c r="Q4" s="298"/>
      <c r="R4" s="298"/>
      <c r="S4" s="298" t="s">
        <v>289</v>
      </c>
      <c r="T4" s="298"/>
      <c r="U4" s="298"/>
      <c r="V4" s="298" t="s">
        <v>290</v>
      </c>
      <c r="W4" s="298"/>
      <c r="X4" s="298"/>
      <c r="Y4" s="304"/>
      <c r="Z4" s="237"/>
    </row>
    <row r="5" spans="1:57" s="26" customFormat="1" ht="49.5" customHeight="1">
      <c r="A5" s="241"/>
      <c r="B5" s="235"/>
      <c r="C5" s="305"/>
      <c r="D5" s="242"/>
      <c r="E5" s="236"/>
      <c r="F5" s="298"/>
      <c r="G5" s="298" t="s">
        <v>304</v>
      </c>
      <c r="H5" s="298"/>
      <c r="I5" s="298" t="s">
        <v>287</v>
      </c>
      <c r="J5" s="298" t="s">
        <v>304</v>
      </c>
      <c r="K5" s="298"/>
      <c r="L5" s="298" t="s">
        <v>287</v>
      </c>
      <c r="M5" s="298" t="s">
        <v>304</v>
      </c>
      <c r="N5" s="298"/>
      <c r="O5" s="298" t="s">
        <v>287</v>
      </c>
      <c r="P5" s="298" t="s">
        <v>304</v>
      </c>
      <c r="Q5" s="298"/>
      <c r="R5" s="298" t="s">
        <v>287</v>
      </c>
      <c r="S5" s="298" t="s">
        <v>304</v>
      </c>
      <c r="T5" s="298"/>
      <c r="U5" s="298" t="s">
        <v>287</v>
      </c>
      <c r="V5" s="298" t="s">
        <v>304</v>
      </c>
      <c r="W5" s="298"/>
      <c r="X5" s="300" t="s">
        <v>287</v>
      </c>
      <c r="Y5" s="246"/>
      <c r="Z5" s="237"/>
    </row>
    <row r="6" spans="1:57" s="24" customFormat="1" ht="13.5" customHeight="1">
      <c r="A6" s="241"/>
      <c r="B6" s="235"/>
      <c r="C6" s="291" t="s">
        <v>294</v>
      </c>
      <c r="D6" s="291" t="s">
        <v>295</v>
      </c>
      <c r="E6" s="291" t="s">
        <v>296</v>
      </c>
      <c r="F6" s="298"/>
      <c r="G6" s="291" t="s">
        <v>295</v>
      </c>
      <c r="H6" s="291" t="s">
        <v>296</v>
      </c>
      <c r="I6" s="298"/>
      <c r="J6" s="291" t="s">
        <v>295</v>
      </c>
      <c r="K6" s="291" t="s">
        <v>296</v>
      </c>
      <c r="L6" s="298"/>
      <c r="M6" s="291" t="s">
        <v>295</v>
      </c>
      <c r="N6" s="291" t="s">
        <v>296</v>
      </c>
      <c r="O6" s="298"/>
      <c r="P6" s="291" t="s">
        <v>295</v>
      </c>
      <c r="Q6" s="291" t="s">
        <v>296</v>
      </c>
      <c r="R6" s="298"/>
      <c r="S6" s="291" t="s">
        <v>295</v>
      </c>
      <c r="T6" s="291" t="s">
        <v>296</v>
      </c>
      <c r="U6" s="298"/>
      <c r="V6" s="291" t="s">
        <v>295</v>
      </c>
      <c r="W6" s="291" t="s">
        <v>296</v>
      </c>
      <c r="X6" s="300"/>
      <c r="Y6" s="234" t="s">
        <v>295</v>
      </c>
      <c r="Z6" s="295" t="s">
        <v>296</v>
      </c>
    </row>
    <row r="7" spans="1:57" s="24" customFormat="1" ht="18" customHeight="1">
      <c r="A7" s="242"/>
      <c r="B7" s="236"/>
      <c r="C7" s="292"/>
      <c r="D7" s="292"/>
      <c r="E7" s="292"/>
      <c r="F7" s="299"/>
      <c r="G7" s="292"/>
      <c r="H7" s="292"/>
      <c r="I7" s="299"/>
      <c r="J7" s="292"/>
      <c r="K7" s="292"/>
      <c r="L7" s="299"/>
      <c r="M7" s="292"/>
      <c r="N7" s="292"/>
      <c r="O7" s="299"/>
      <c r="P7" s="292"/>
      <c r="Q7" s="292"/>
      <c r="R7" s="299"/>
      <c r="S7" s="292"/>
      <c r="T7" s="292"/>
      <c r="U7" s="299"/>
      <c r="V7" s="292"/>
      <c r="W7" s="292"/>
      <c r="X7" s="301"/>
      <c r="Y7" s="297"/>
      <c r="Z7" s="296"/>
    </row>
    <row r="8" spans="1:57" s="127" customFormat="1" ht="14.1" customHeight="1">
      <c r="A8" s="115" t="s">
        <v>142</v>
      </c>
      <c r="B8" s="116" t="s">
        <v>26</v>
      </c>
      <c r="C8" s="87">
        <v>8244</v>
      </c>
      <c r="D8" s="87">
        <v>4110</v>
      </c>
      <c r="E8" s="87">
        <v>4134</v>
      </c>
      <c r="F8" s="87">
        <v>2290334</v>
      </c>
      <c r="G8" s="87">
        <v>11</v>
      </c>
      <c r="H8" s="87">
        <v>1</v>
      </c>
      <c r="I8" s="87">
        <v>3657</v>
      </c>
      <c r="J8" s="87">
        <v>66</v>
      </c>
      <c r="K8" s="87">
        <v>58</v>
      </c>
      <c r="L8" s="87">
        <v>26407</v>
      </c>
      <c r="M8" s="87">
        <v>27</v>
      </c>
      <c r="N8" s="87">
        <v>52</v>
      </c>
      <c r="O8" s="87">
        <v>39432</v>
      </c>
      <c r="P8" s="87">
        <v>2079</v>
      </c>
      <c r="Q8" s="87">
        <v>1676</v>
      </c>
      <c r="R8" s="87">
        <v>1057824</v>
      </c>
      <c r="S8" s="87">
        <v>933</v>
      </c>
      <c r="T8" s="87">
        <v>1020</v>
      </c>
      <c r="U8" s="87">
        <v>629038</v>
      </c>
      <c r="V8" s="87">
        <v>994</v>
      </c>
      <c r="W8" s="87">
        <v>1327</v>
      </c>
      <c r="X8" s="87">
        <v>533976</v>
      </c>
      <c r="Y8" s="87">
        <v>479</v>
      </c>
      <c r="Z8" s="87">
        <v>452</v>
      </c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</row>
    <row r="9" spans="1:57" s="95" customFormat="1" ht="14.1" customHeight="1">
      <c r="A9" s="119" t="s">
        <v>147</v>
      </c>
      <c r="B9" s="120" t="s">
        <v>28</v>
      </c>
      <c r="C9" s="92">
        <v>137</v>
      </c>
      <c r="D9" s="92">
        <v>61</v>
      </c>
      <c r="E9" s="92">
        <v>76</v>
      </c>
      <c r="F9" s="92">
        <v>42777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16</v>
      </c>
      <c r="Q9" s="92">
        <v>10</v>
      </c>
      <c r="R9" s="92">
        <v>9385</v>
      </c>
      <c r="S9" s="92">
        <v>11</v>
      </c>
      <c r="T9" s="92">
        <v>26</v>
      </c>
      <c r="U9" s="92">
        <v>12879</v>
      </c>
      <c r="V9" s="92">
        <v>34</v>
      </c>
      <c r="W9" s="92">
        <v>40</v>
      </c>
      <c r="X9" s="92">
        <v>20513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119" t="s">
        <v>148</v>
      </c>
      <c r="B10" s="120" t="s">
        <v>30</v>
      </c>
      <c r="C10" s="92">
        <v>787</v>
      </c>
      <c r="D10" s="92">
        <v>399</v>
      </c>
      <c r="E10" s="92">
        <v>388</v>
      </c>
      <c r="F10" s="92">
        <v>226680</v>
      </c>
      <c r="G10" s="92">
        <v>0</v>
      </c>
      <c r="H10" s="92">
        <v>0</v>
      </c>
      <c r="I10" s="92">
        <v>1</v>
      </c>
      <c r="J10" s="92">
        <v>0</v>
      </c>
      <c r="K10" s="92">
        <v>0</v>
      </c>
      <c r="L10" s="92">
        <v>7</v>
      </c>
      <c r="M10" s="92">
        <v>1</v>
      </c>
      <c r="N10" s="92">
        <v>24</v>
      </c>
      <c r="O10" s="92">
        <v>246</v>
      </c>
      <c r="P10" s="92">
        <v>173</v>
      </c>
      <c r="Q10" s="92">
        <v>108</v>
      </c>
      <c r="R10" s="92">
        <v>92916</v>
      </c>
      <c r="S10" s="92">
        <v>89</v>
      </c>
      <c r="T10" s="92">
        <v>89</v>
      </c>
      <c r="U10" s="92">
        <v>50008</v>
      </c>
      <c r="V10" s="92">
        <v>136</v>
      </c>
      <c r="W10" s="92">
        <v>167</v>
      </c>
      <c r="X10" s="92">
        <v>83502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119" t="s">
        <v>149</v>
      </c>
      <c r="B11" s="120" t="s">
        <v>34</v>
      </c>
      <c r="C11" s="92">
        <v>547</v>
      </c>
      <c r="D11" s="92">
        <v>257</v>
      </c>
      <c r="E11" s="92">
        <v>290</v>
      </c>
      <c r="F11" s="92">
        <v>287528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171</v>
      </c>
      <c r="Q11" s="92">
        <v>162</v>
      </c>
      <c r="R11" s="92">
        <v>141451</v>
      </c>
      <c r="S11" s="92">
        <v>36</v>
      </c>
      <c r="T11" s="92">
        <v>62</v>
      </c>
      <c r="U11" s="92">
        <v>68924</v>
      </c>
      <c r="V11" s="92">
        <v>50</v>
      </c>
      <c r="W11" s="92">
        <v>66</v>
      </c>
      <c r="X11" s="92">
        <v>77153</v>
      </c>
      <c r="Y11" s="92">
        <v>0</v>
      </c>
      <c r="Z11" s="92">
        <v>4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119" t="s">
        <v>150</v>
      </c>
      <c r="B12" s="120" t="s">
        <v>36</v>
      </c>
      <c r="C12" s="92">
        <v>795</v>
      </c>
      <c r="D12" s="92">
        <v>385</v>
      </c>
      <c r="E12" s="92">
        <v>410</v>
      </c>
      <c r="F12" s="92">
        <v>203174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297</v>
      </c>
      <c r="Q12" s="92">
        <v>285</v>
      </c>
      <c r="R12" s="92">
        <v>153858</v>
      </c>
      <c r="S12" s="92">
        <v>66</v>
      </c>
      <c r="T12" s="92">
        <v>94</v>
      </c>
      <c r="U12" s="92">
        <v>38837</v>
      </c>
      <c r="V12" s="92">
        <v>22</v>
      </c>
      <c r="W12" s="92">
        <v>31</v>
      </c>
      <c r="X12" s="92">
        <v>10479</v>
      </c>
      <c r="Y12" s="92">
        <v>0</v>
      </c>
      <c r="Z12" s="92">
        <v>0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119" t="s">
        <v>151</v>
      </c>
      <c r="B13" s="120" t="s">
        <v>38</v>
      </c>
      <c r="C13" s="92">
        <v>1568</v>
      </c>
      <c r="D13" s="92">
        <v>794</v>
      </c>
      <c r="E13" s="92">
        <v>774</v>
      </c>
      <c r="F13" s="92">
        <v>477368</v>
      </c>
      <c r="G13" s="92">
        <v>11</v>
      </c>
      <c r="H13" s="92">
        <v>1</v>
      </c>
      <c r="I13" s="92">
        <v>3614</v>
      </c>
      <c r="J13" s="92">
        <v>66</v>
      </c>
      <c r="K13" s="92">
        <v>58</v>
      </c>
      <c r="L13" s="92">
        <v>26400</v>
      </c>
      <c r="M13" s="92">
        <v>26</v>
      </c>
      <c r="N13" s="92">
        <v>28</v>
      </c>
      <c r="O13" s="92">
        <v>39186</v>
      </c>
      <c r="P13" s="92">
        <v>106</v>
      </c>
      <c r="Q13" s="92">
        <v>98</v>
      </c>
      <c r="R13" s="92">
        <v>53899</v>
      </c>
      <c r="S13" s="92">
        <v>346</v>
      </c>
      <c r="T13" s="92">
        <v>298</v>
      </c>
      <c r="U13" s="92">
        <v>233342</v>
      </c>
      <c r="V13" s="92">
        <v>239</v>
      </c>
      <c r="W13" s="92">
        <v>291</v>
      </c>
      <c r="X13" s="92">
        <v>120927</v>
      </c>
      <c r="Y13" s="92">
        <v>0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ht="14.1" customHeight="1">
      <c r="A14" s="121" t="s">
        <v>152</v>
      </c>
      <c r="B14" s="122" t="s">
        <v>40</v>
      </c>
      <c r="C14" s="92">
        <v>211</v>
      </c>
      <c r="D14" s="92">
        <v>97</v>
      </c>
      <c r="E14" s="92">
        <v>114</v>
      </c>
      <c r="F14" s="92">
        <v>49093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53</v>
      </c>
      <c r="Q14" s="92">
        <v>49</v>
      </c>
      <c r="R14" s="92">
        <v>24696</v>
      </c>
      <c r="S14" s="92">
        <v>26</v>
      </c>
      <c r="T14" s="92">
        <v>39</v>
      </c>
      <c r="U14" s="92">
        <v>16454</v>
      </c>
      <c r="V14" s="92">
        <v>18</v>
      </c>
      <c r="W14" s="92">
        <v>26</v>
      </c>
      <c r="X14" s="92">
        <v>7943</v>
      </c>
      <c r="Y14" s="92">
        <v>7</v>
      </c>
      <c r="Z14" s="92">
        <v>19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spans="1:57" ht="14.1" customHeight="1">
      <c r="A15" s="121" t="s">
        <v>153</v>
      </c>
      <c r="B15" s="122" t="s">
        <v>154</v>
      </c>
      <c r="C15" s="92">
        <v>320</v>
      </c>
      <c r="D15" s="92">
        <v>174</v>
      </c>
      <c r="E15" s="92">
        <v>146</v>
      </c>
      <c r="F15" s="92">
        <v>106121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130</v>
      </c>
      <c r="Q15" s="92">
        <v>107</v>
      </c>
      <c r="R15" s="92">
        <v>82985</v>
      </c>
      <c r="S15" s="92">
        <v>24</v>
      </c>
      <c r="T15" s="92">
        <v>21</v>
      </c>
      <c r="U15" s="92">
        <v>14543</v>
      </c>
      <c r="V15" s="92">
        <v>20</v>
      </c>
      <c r="W15" s="92">
        <v>18</v>
      </c>
      <c r="X15" s="92">
        <v>8593</v>
      </c>
      <c r="Y15" s="92">
        <v>11</v>
      </c>
      <c r="Z15" s="92">
        <v>6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21" t="s">
        <v>155</v>
      </c>
      <c r="B16" s="122" t="s">
        <v>42</v>
      </c>
      <c r="C16" s="92">
        <v>57</v>
      </c>
      <c r="D16" s="92">
        <v>36</v>
      </c>
      <c r="E16" s="92">
        <v>21</v>
      </c>
      <c r="F16" s="92">
        <v>15323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34</v>
      </c>
      <c r="Q16" s="92">
        <v>17</v>
      </c>
      <c r="R16" s="92">
        <v>13514</v>
      </c>
      <c r="S16" s="92">
        <v>2</v>
      </c>
      <c r="T16" s="92">
        <v>4</v>
      </c>
      <c r="U16" s="92">
        <v>1809</v>
      </c>
      <c r="V16" s="92">
        <v>0</v>
      </c>
      <c r="W16" s="92">
        <v>0</v>
      </c>
      <c r="X16" s="92">
        <v>0</v>
      </c>
      <c r="Y16" s="92">
        <v>0</v>
      </c>
      <c r="Z16" s="92">
        <v>2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21" t="s">
        <v>156</v>
      </c>
      <c r="B17" s="122" t="s">
        <v>44</v>
      </c>
      <c r="C17" s="92">
        <v>214</v>
      </c>
      <c r="D17" s="92">
        <v>102</v>
      </c>
      <c r="E17" s="92">
        <v>112</v>
      </c>
      <c r="F17" s="92">
        <v>41696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60</v>
      </c>
      <c r="Q17" s="92">
        <v>50</v>
      </c>
      <c r="R17" s="92">
        <v>26882</v>
      </c>
      <c r="S17" s="92">
        <v>8</v>
      </c>
      <c r="T17" s="92">
        <v>14</v>
      </c>
      <c r="U17" s="92">
        <v>6763</v>
      </c>
      <c r="V17" s="92">
        <v>34</v>
      </c>
      <c r="W17" s="92">
        <v>48</v>
      </c>
      <c r="X17" s="92">
        <v>8051</v>
      </c>
      <c r="Y17" s="92">
        <v>7</v>
      </c>
      <c r="Z17" s="92">
        <v>7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21" t="s">
        <v>157</v>
      </c>
      <c r="B18" s="122" t="s">
        <v>46</v>
      </c>
      <c r="C18" s="92">
        <v>402</v>
      </c>
      <c r="D18" s="92">
        <v>183</v>
      </c>
      <c r="E18" s="92">
        <v>219</v>
      </c>
      <c r="F18" s="92">
        <v>110906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78</v>
      </c>
      <c r="Q18" s="92">
        <v>86</v>
      </c>
      <c r="R18" s="92">
        <v>54489</v>
      </c>
      <c r="S18" s="92">
        <v>23</v>
      </c>
      <c r="T18" s="92">
        <v>30</v>
      </c>
      <c r="U18" s="92">
        <v>17973</v>
      </c>
      <c r="V18" s="92">
        <v>82</v>
      </c>
      <c r="W18" s="92">
        <v>103</v>
      </c>
      <c r="X18" s="92">
        <v>38444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21" t="s">
        <v>158</v>
      </c>
      <c r="B19" s="122" t="s">
        <v>48</v>
      </c>
      <c r="C19" s="92">
        <v>187</v>
      </c>
      <c r="D19" s="92">
        <v>101</v>
      </c>
      <c r="E19" s="92">
        <v>86</v>
      </c>
      <c r="F19" s="92">
        <v>46341</v>
      </c>
      <c r="G19" s="92">
        <v>0</v>
      </c>
      <c r="H19" s="92">
        <v>0</v>
      </c>
      <c r="I19" s="92">
        <v>42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43</v>
      </c>
      <c r="Q19" s="92">
        <v>12</v>
      </c>
      <c r="R19" s="92">
        <v>13068</v>
      </c>
      <c r="S19" s="92">
        <v>58</v>
      </c>
      <c r="T19" s="92">
        <v>74</v>
      </c>
      <c r="U19" s="92">
        <v>29852</v>
      </c>
      <c r="V19" s="92">
        <v>0</v>
      </c>
      <c r="W19" s="92">
        <v>0</v>
      </c>
      <c r="X19" s="92">
        <v>3379</v>
      </c>
      <c r="Y19" s="92">
        <v>3</v>
      </c>
      <c r="Z19" s="92">
        <v>4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21" t="s">
        <v>159</v>
      </c>
      <c r="B20" s="122" t="s">
        <v>50</v>
      </c>
      <c r="C20" s="92">
        <v>383</v>
      </c>
      <c r="D20" s="92">
        <v>203</v>
      </c>
      <c r="E20" s="92">
        <v>180</v>
      </c>
      <c r="F20" s="92">
        <v>96274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144</v>
      </c>
      <c r="Q20" s="92">
        <v>98</v>
      </c>
      <c r="R20" s="92">
        <v>65056</v>
      </c>
      <c r="S20" s="92">
        <v>11</v>
      </c>
      <c r="T20" s="92">
        <v>20</v>
      </c>
      <c r="U20" s="92">
        <v>27670</v>
      </c>
      <c r="V20" s="92">
        <v>48</v>
      </c>
      <c r="W20" s="92">
        <v>62</v>
      </c>
      <c r="X20" s="92">
        <v>3548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121" t="s">
        <v>160</v>
      </c>
      <c r="B21" s="122" t="s">
        <v>52</v>
      </c>
      <c r="C21" s="92">
        <v>296</v>
      </c>
      <c r="D21" s="92">
        <v>128</v>
      </c>
      <c r="E21" s="92">
        <v>168</v>
      </c>
      <c r="F21" s="92">
        <v>97450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112</v>
      </c>
      <c r="Q21" s="92">
        <v>140</v>
      </c>
      <c r="R21" s="92">
        <v>83749</v>
      </c>
      <c r="S21" s="92">
        <v>16</v>
      </c>
      <c r="T21" s="92">
        <v>28</v>
      </c>
      <c r="U21" s="92">
        <v>13701</v>
      </c>
      <c r="V21" s="92">
        <v>0</v>
      </c>
      <c r="W21" s="92">
        <v>0</v>
      </c>
      <c r="X21" s="92">
        <v>0</v>
      </c>
      <c r="Y21" s="92">
        <v>1</v>
      </c>
      <c r="Z21" s="92">
        <v>5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121" t="s">
        <v>161</v>
      </c>
      <c r="B22" s="122" t="s">
        <v>54</v>
      </c>
      <c r="C22" s="92">
        <v>487</v>
      </c>
      <c r="D22" s="92">
        <v>262</v>
      </c>
      <c r="E22" s="92">
        <v>225</v>
      </c>
      <c r="F22" s="92">
        <v>100120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205</v>
      </c>
      <c r="Q22" s="92">
        <v>158</v>
      </c>
      <c r="R22" s="92">
        <v>84957</v>
      </c>
      <c r="S22" s="92">
        <v>25</v>
      </c>
      <c r="T22" s="92">
        <v>33</v>
      </c>
      <c r="U22" s="92">
        <v>13081</v>
      </c>
      <c r="V22" s="92">
        <v>32</v>
      </c>
      <c r="W22" s="92">
        <v>34</v>
      </c>
      <c r="X22" s="92">
        <v>2082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121" t="s">
        <v>162</v>
      </c>
      <c r="B23" s="122" t="s">
        <v>56</v>
      </c>
      <c r="C23" s="92">
        <v>838</v>
      </c>
      <c r="D23" s="92">
        <v>375</v>
      </c>
      <c r="E23" s="92">
        <v>463</v>
      </c>
      <c r="F23" s="92">
        <v>203795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145</v>
      </c>
      <c r="Q23" s="92">
        <v>92</v>
      </c>
      <c r="R23" s="92">
        <v>60282</v>
      </c>
      <c r="S23" s="92">
        <v>28</v>
      </c>
      <c r="T23" s="92">
        <v>58</v>
      </c>
      <c r="U23" s="92">
        <v>28167</v>
      </c>
      <c r="V23" s="92">
        <v>202</v>
      </c>
      <c r="W23" s="92">
        <v>313</v>
      </c>
      <c r="X23" s="92">
        <v>115346</v>
      </c>
      <c r="Y23" s="92">
        <v>298</v>
      </c>
      <c r="Z23" s="92">
        <v>302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121" t="s">
        <v>163</v>
      </c>
      <c r="B24" s="122" t="s">
        <v>58</v>
      </c>
      <c r="C24" s="92">
        <v>625</v>
      </c>
      <c r="D24" s="92">
        <v>387</v>
      </c>
      <c r="E24" s="92">
        <v>238</v>
      </c>
      <c r="F24" s="92">
        <v>78356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220</v>
      </c>
      <c r="Q24" s="92">
        <v>112</v>
      </c>
      <c r="R24" s="92">
        <v>42202</v>
      </c>
      <c r="S24" s="92">
        <v>117</v>
      </c>
      <c r="T24" s="92">
        <v>62</v>
      </c>
      <c r="U24" s="92">
        <v>21186</v>
      </c>
      <c r="V24" s="92">
        <v>50</v>
      </c>
      <c r="W24" s="92">
        <v>64</v>
      </c>
      <c r="X24" s="92">
        <v>14968</v>
      </c>
      <c r="Y24" s="92">
        <v>152</v>
      </c>
      <c r="Z24" s="92">
        <v>103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121" t="s">
        <v>164</v>
      </c>
      <c r="B25" s="122" t="s">
        <v>60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121" t="s">
        <v>165</v>
      </c>
      <c r="B26" s="122" t="s">
        <v>62</v>
      </c>
      <c r="C26" s="92">
        <v>76</v>
      </c>
      <c r="D26" s="92">
        <v>33</v>
      </c>
      <c r="E26" s="92">
        <v>43</v>
      </c>
      <c r="F26" s="92">
        <v>25282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16</v>
      </c>
      <c r="Q26" s="92">
        <v>17</v>
      </c>
      <c r="R26" s="92">
        <v>12150</v>
      </c>
      <c r="S26" s="92">
        <v>9</v>
      </c>
      <c r="T26" s="92">
        <v>14</v>
      </c>
      <c r="U26" s="92">
        <v>7184</v>
      </c>
      <c r="V26" s="92">
        <v>8</v>
      </c>
      <c r="W26" s="92">
        <v>12</v>
      </c>
      <c r="X26" s="92">
        <v>5948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121" t="s">
        <v>166</v>
      </c>
      <c r="B27" s="122" t="s">
        <v>64</v>
      </c>
      <c r="C27" s="92">
        <v>246</v>
      </c>
      <c r="D27" s="92">
        <v>108</v>
      </c>
      <c r="E27" s="92">
        <v>138</v>
      </c>
      <c r="F27" s="92">
        <v>56100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66</v>
      </c>
      <c r="Q27" s="92">
        <v>68</v>
      </c>
      <c r="R27" s="92">
        <v>34355</v>
      </c>
      <c r="S27" s="92">
        <v>24</v>
      </c>
      <c r="T27" s="92">
        <v>18</v>
      </c>
      <c r="U27" s="92">
        <v>9671</v>
      </c>
      <c r="V27" s="92">
        <v>18</v>
      </c>
      <c r="W27" s="92">
        <v>52</v>
      </c>
      <c r="X27" s="92">
        <v>12074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121" t="s">
        <v>167</v>
      </c>
      <c r="B28" s="122" t="s">
        <v>66</v>
      </c>
      <c r="C28" s="92">
        <v>68</v>
      </c>
      <c r="D28" s="92">
        <v>25</v>
      </c>
      <c r="E28" s="92">
        <v>43</v>
      </c>
      <c r="F28" s="92">
        <v>23275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10</v>
      </c>
      <c r="Q28" s="92">
        <v>7</v>
      </c>
      <c r="R28" s="92">
        <v>6962</v>
      </c>
      <c r="S28" s="92">
        <v>14</v>
      </c>
      <c r="T28" s="92">
        <v>36</v>
      </c>
      <c r="U28" s="92">
        <v>16270</v>
      </c>
      <c r="V28" s="92">
        <v>1</v>
      </c>
      <c r="W28" s="92">
        <v>0</v>
      </c>
      <c r="X28" s="92">
        <v>43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121" t="s">
        <v>168</v>
      </c>
      <c r="B29" s="122" t="s">
        <v>68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123" t="s">
        <v>169</v>
      </c>
      <c r="B30" s="124" t="s">
        <v>70</v>
      </c>
      <c r="C30" s="101">
        <v>0</v>
      </c>
      <c r="D30" s="101">
        <v>0</v>
      </c>
      <c r="E30" s="101">
        <v>0</v>
      </c>
      <c r="F30" s="101">
        <v>2675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968</v>
      </c>
      <c r="S30" s="101">
        <v>0</v>
      </c>
      <c r="T30" s="101">
        <v>0</v>
      </c>
      <c r="U30" s="101">
        <v>724</v>
      </c>
      <c r="V30" s="101">
        <v>0</v>
      </c>
      <c r="W30" s="101">
        <v>0</v>
      </c>
      <c r="X30" s="101">
        <v>983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</row>
    <row r="33" ht="15.6" customHeight="1"/>
  </sheetData>
  <mergeCells count="42"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  <mergeCell ref="C6:C7"/>
    <mergeCell ref="D6:D7"/>
    <mergeCell ref="E6:E7"/>
    <mergeCell ref="G6:G7"/>
    <mergeCell ref="H6:H7"/>
    <mergeCell ref="W6:W7"/>
    <mergeCell ref="L5:L7"/>
    <mergeCell ref="M5:N5"/>
    <mergeCell ref="O5:O7"/>
    <mergeCell ref="P5:Q5"/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172</v>
      </c>
      <c r="B2" s="125"/>
      <c r="C2" s="125"/>
    </row>
    <row r="3" spans="1:57" s="24" customFormat="1" ht="12.75" customHeight="1">
      <c r="A3" s="240" t="s">
        <v>300</v>
      </c>
      <c r="B3" s="234"/>
      <c r="C3" s="302" t="s">
        <v>297</v>
      </c>
      <c r="D3" s="302"/>
      <c r="E3" s="302"/>
      <c r="F3" s="302"/>
      <c r="G3" s="302" t="s">
        <v>298</v>
      </c>
      <c r="H3" s="302"/>
      <c r="I3" s="302"/>
      <c r="J3" s="302"/>
      <c r="K3" s="302"/>
      <c r="L3" s="302"/>
      <c r="M3" s="302"/>
      <c r="N3" s="302"/>
      <c r="O3" s="302"/>
      <c r="P3" s="302" t="s">
        <v>299</v>
      </c>
      <c r="Q3" s="302"/>
      <c r="R3" s="302"/>
      <c r="S3" s="302"/>
      <c r="T3" s="302"/>
      <c r="U3" s="302"/>
      <c r="V3" s="302"/>
      <c r="W3" s="302"/>
      <c r="X3" s="237"/>
      <c r="Y3" s="303" t="s">
        <v>301</v>
      </c>
      <c r="Z3" s="237"/>
    </row>
    <row r="4" spans="1:57" s="25" customFormat="1" ht="16.5" customHeight="1">
      <c r="A4" s="241"/>
      <c r="B4" s="235"/>
      <c r="C4" s="295" t="s">
        <v>286</v>
      </c>
      <c r="D4" s="240"/>
      <c r="E4" s="234"/>
      <c r="F4" s="298" t="s">
        <v>287</v>
      </c>
      <c r="G4" s="298" t="s">
        <v>288</v>
      </c>
      <c r="H4" s="298"/>
      <c r="I4" s="298"/>
      <c r="J4" s="298" t="s">
        <v>289</v>
      </c>
      <c r="K4" s="298"/>
      <c r="L4" s="298"/>
      <c r="M4" s="298" t="s">
        <v>290</v>
      </c>
      <c r="N4" s="298"/>
      <c r="O4" s="298"/>
      <c r="P4" s="298" t="s">
        <v>288</v>
      </c>
      <c r="Q4" s="298"/>
      <c r="R4" s="298"/>
      <c r="S4" s="298" t="s">
        <v>289</v>
      </c>
      <c r="T4" s="298"/>
      <c r="U4" s="298"/>
      <c r="V4" s="298" t="s">
        <v>290</v>
      </c>
      <c r="W4" s="298"/>
      <c r="X4" s="298"/>
      <c r="Y4" s="304"/>
      <c r="Z4" s="237"/>
    </row>
    <row r="5" spans="1:57" s="26" customFormat="1" ht="49.5" customHeight="1">
      <c r="A5" s="241"/>
      <c r="B5" s="235"/>
      <c r="C5" s="305"/>
      <c r="D5" s="242"/>
      <c r="E5" s="236"/>
      <c r="F5" s="298"/>
      <c r="G5" s="298" t="s">
        <v>304</v>
      </c>
      <c r="H5" s="298"/>
      <c r="I5" s="298" t="s">
        <v>287</v>
      </c>
      <c r="J5" s="298" t="s">
        <v>304</v>
      </c>
      <c r="K5" s="298"/>
      <c r="L5" s="298" t="s">
        <v>287</v>
      </c>
      <c r="M5" s="298" t="s">
        <v>304</v>
      </c>
      <c r="N5" s="298"/>
      <c r="O5" s="298" t="s">
        <v>287</v>
      </c>
      <c r="P5" s="298" t="s">
        <v>304</v>
      </c>
      <c r="Q5" s="298"/>
      <c r="R5" s="298" t="s">
        <v>287</v>
      </c>
      <c r="S5" s="298" t="s">
        <v>304</v>
      </c>
      <c r="T5" s="298"/>
      <c r="U5" s="298" t="s">
        <v>287</v>
      </c>
      <c r="V5" s="298" t="s">
        <v>304</v>
      </c>
      <c r="W5" s="298"/>
      <c r="X5" s="300" t="s">
        <v>287</v>
      </c>
      <c r="Y5" s="246"/>
      <c r="Z5" s="237"/>
    </row>
    <row r="6" spans="1:57" s="24" customFormat="1" ht="13.5" customHeight="1">
      <c r="A6" s="241"/>
      <c r="B6" s="235"/>
      <c r="C6" s="291" t="s">
        <v>294</v>
      </c>
      <c r="D6" s="291" t="s">
        <v>295</v>
      </c>
      <c r="E6" s="291" t="s">
        <v>296</v>
      </c>
      <c r="F6" s="298"/>
      <c r="G6" s="291" t="s">
        <v>295</v>
      </c>
      <c r="H6" s="291" t="s">
        <v>296</v>
      </c>
      <c r="I6" s="298"/>
      <c r="J6" s="291" t="s">
        <v>295</v>
      </c>
      <c r="K6" s="291" t="s">
        <v>296</v>
      </c>
      <c r="L6" s="298"/>
      <c r="M6" s="291" t="s">
        <v>295</v>
      </c>
      <c r="N6" s="291" t="s">
        <v>296</v>
      </c>
      <c r="O6" s="298"/>
      <c r="P6" s="291" t="s">
        <v>295</v>
      </c>
      <c r="Q6" s="291" t="s">
        <v>296</v>
      </c>
      <c r="R6" s="298"/>
      <c r="S6" s="291" t="s">
        <v>295</v>
      </c>
      <c r="T6" s="291" t="s">
        <v>296</v>
      </c>
      <c r="U6" s="298"/>
      <c r="V6" s="291" t="s">
        <v>295</v>
      </c>
      <c r="W6" s="291" t="s">
        <v>296</v>
      </c>
      <c r="X6" s="300"/>
      <c r="Y6" s="234" t="s">
        <v>295</v>
      </c>
      <c r="Z6" s="295" t="s">
        <v>296</v>
      </c>
    </row>
    <row r="7" spans="1:57" s="24" customFormat="1" ht="18" customHeight="1">
      <c r="A7" s="242"/>
      <c r="B7" s="236"/>
      <c r="C7" s="292"/>
      <c r="D7" s="292"/>
      <c r="E7" s="292"/>
      <c r="F7" s="299"/>
      <c r="G7" s="292"/>
      <c r="H7" s="292"/>
      <c r="I7" s="299"/>
      <c r="J7" s="292"/>
      <c r="K7" s="292"/>
      <c r="L7" s="299"/>
      <c r="M7" s="292"/>
      <c r="N7" s="292"/>
      <c r="O7" s="299"/>
      <c r="P7" s="292"/>
      <c r="Q7" s="292"/>
      <c r="R7" s="299"/>
      <c r="S7" s="292"/>
      <c r="T7" s="292"/>
      <c r="U7" s="299"/>
      <c r="V7" s="292"/>
      <c r="W7" s="292"/>
      <c r="X7" s="301"/>
      <c r="Y7" s="297"/>
      <c r="Z7" s="296"/>
    </row>
    <row r="8" spans="1:57" s="127" customFormat="1" ht="14.1" customHeight="1">
      <c r="A8" s="115" t="s">
        <v>142</v>
      </c>
      <c r="B8" s="116" t="s">
        <v>26</v>
      </c>
      <c r="C8" s="87">
        <v>8605</v>
      </c>
      <c r="D8" s="87">
        <v>4255</v>
      </c>
      <c r="E8" s="87">
        <v>4350</v>
      </c>
      <c r="F8" s="87">
        <v>2388782</v>
      </c>
      <c r="G8" s="87">
        <v>1</v>
      </c>
      <c r="H8" s="87">
        <v>0</v>
      </c>
      <c r="I8" s="87">
        <v>1972</v>
      </c>
      <c r="J8" s="87">
        <v>7</v>
      </c>
      <c r="K8" s="87">
        <v>2</v>
      </c>
      <c r="L8" s="87">
        <v>13644</v>
      </c>
      <c r="M8" s="87">
        <v>5</v>
      </c>
      <c r="N8" s="87">
        <v>10</v>
      </c>
      <c r="O8" s="87">
        <v>22052</v>
      </c>
      <c r="P8" s="87">
        <v>1954</v>
      </c>
      <c r="Q8" s="87">
        <v>1557</v>
      </c>
      <c r="R8" s="87">
        <v>958010</v>
      </c>
      <c r="S8" s="87">
        <v>1008</v>
      </c>
      <c r="T8" s="87">
        <v>1215</v>
      </c>
      <c r="U8" s="87">
        <v>753439</v>
      </c>
      <c r="V8" s="87">
        <v>1280</v>
      </c>
      <c r="W8" s="87">
        <v>1566</v>
      </c>
      <c r="X8" s="87">
        <v>639665</v>
      </c>
      <c r="Y8" s="87">
        <v>246</v>
      </c>
      <c r="Z8" s="87">
        <v>274</v>
      </c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</row>
    <row r="9" spans="1:57" s="95" customFormat="1" ht="14.1" customHeight="1">
      <c r="A9" s="119" t="s">
        <v>147</v>
      </c>
      <c r="B9" s="120" t="s">
        <v>28</v>
      </c>
      <c r="C9" s="92">
        <v>136</v>
      </c>
      <c r="D9" s="92">
        <v>69</v>
      </c>
      <c r="E9" s="92">
        <v>67</v>
      </c>
      <c r="F9" s="92">
        <v>37727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18</v>
      </c>
      <c r="Q9" s="92">
        <v>7</v>
      </c>
      <c r="R9" s="92">
        <v>7670</v>
      </c>
      <c r="S9" s="92">
        <v>16</v>
      </c>
      <c r="T9" s="92">
        <v>29</v>
      </c>
      <c r="U9" s="92">
        <v>13970</v>
      </c>
      <c r="V9" s="92">
        <v>35</v>
      </c>
      <c r="W9" s="92">
        <v>31</v>
      </c>
      <c r="X9" s="92">
        <v>16087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119" t="s">
        <v>148</v>
      </c>
      <c r="B10" s="120" t="s">
        <v>30</v>
      </c>
      <c r="C10" s="92">
        <v>546</v>
      </c>
      <c r="D10" s="92">
        <v>286</v>
      </c>
      <c r="E10" s="92">
        <v>260</v>
      </c>
      <c r="F10" s="92">
        <v>169612</v>
      </c>
      <c r="G10" s="92">
        <v>0</v>
      </c>
      <c r="H10" s="92">
        <v>0</v>
      </c>
      <c r="I10" s="92">
        <v>231</v>
      </c>
      <c r="J10" s="92">
        <v>0</v>
      </c>
      <c r="K10" s="92">
        <v>0</v>
      </c>
      <c r="L10" s="92">
        <v>331</v>
      </c>
      <c r="M10" s="92">
        <v>0</v>
      </c>
      <c r="N10" s="92">
        <v>0</v>
      </c>
      <c r="O10" s="92">
        <v>340</v>
      </c>
      <c r="P10" s="92">
        <v>93</v>
      </c>
      <c r="Q10" s="92">
        <v>57</v>
      </c>
      <c r="R10" s="92">
        <v>64611</v>
      </c>
      <c r="S10" s="92">
        <v>85</v>
      </c>
      <c r="T10" s="92">
        <v>80</v>
      </c>
      <c r="U10" s="92">
        <v>42585</v>
      </c>
      <c r="V10" s="92">
        <v>108</v>
      </c>
      <c r="W10" s="92">
        <v>123</v>
      </c>
      <c r="X10" s="92">
        <v>61514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119" t="s">
        <v>149</v>
      </c>
      <c r="B11" s="120" t="s">
        <v>34</v>
      </c>
      <c r="C11" s="92">
        <v>1049</v>
      </c>
      <c r="D11" s="92">
        <v>511</v>
      </c>
      <c r="E11" s="92">
        <v>538</v>
      </c>
      <c r="F11" s="92">
        <v>275689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267</v>
      </c>
      <c r="Q11" s="92">
        <v>248</v>
      </c>
      <c r="R11" s="92">
        <v>142879</v>
      </c>
      <c r="S11" s="92">
        <v>128</v>
      </c>
      <c r="T11" s="92">
        <v>122</v>
      </c>
      <c r="U11" s="92">
        <v>66846</v>
      </c>
      <c r="V11" s="92">
        <v>116</v>
      </c>
      <c r="W11" s="92">
        <v>168</v>
      </c>
      <c r="X11" s="92">
        <v>65964</v>
      </c>
      <c r="Y11" s="92">
        <v>0</v>
      </c>
      <c r="Z11" s="92">
        <v>4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119" t="s">
        <v>150</v>
      </c>
      <c r="B12" s="120" t="s">
        <v>36</v>
      </c>
      <c r="C12" s="92">
        <v>780</v>
      </c>
      <c r="D12" s="92">
        <v>380</v>
      </c>
      <c r="E12" s="92">
        <v>400</v>
      </c>
      <c r="F12" s="92">
        <v>227651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302</v>
      </c>
      <c r="Q12" s="92">
        <v>293</v>
      </c>
      <c r="R12" s="92">
        <v>84878</v>
      </c>
      <c r="S12" s="92">
        <v>62</v>
      </c>
      <c r="T12" s="92">
        <v>83</v>
      </c>
      <c r="U12" s="92">
        <v>135608</v>
      </c>
      <c r="V12" s="92">
        <v>16</v>
      </c>
      <c r="W12" s="92">
        <v>24</v>
      </c>
      <c r="X12" s="92">
        <v>7165</v>
      </c>
      <c r="Y12" s="92">
        <v>0</v>
      </c>
      <c r="Z12" s="92">
        <v>0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119" t="s">
        <v>151</v>
      </c>
      <c r="B13" s="120" t="s">
        <v>38</v>
      </c>
      <c r="C13" s="92">
        <v>1205</v>
      </c>
      <c r="D13" s="92">
        <v>589</v>
      </c>
      <c r="E13" s="92">
        <v>616</v>
      </c>
      <c r="F13" s="92">
        <v>412142</v>
      </c>
      <c r="G13" s="92">
        <v>1</v>
      </c>
      <c r="H13" s="92">
        <v>0</v>
      </c>
      <c r="I13" s="92">
        <v>1741</v>
      </c>
      <c r="J13" s="92">
        <v>7</v>
      </c>
      <c r="K13" s="92">
        <v>2</v>
      </c>
      <c r="L13" s="92">
        <v>13313</v>
      </c>
      <c r="M13" s="92">
        <v>5</v>
      </c>
      <c r="N13" s="92">
        <v>10</v>
      </c>
      <c r="O13" s="92">
        <v>21712</v>
      </c>
      <c r="P13" s="92">
        <v>104</v>
      </c>
      <c r="Q13" s="92">
        <v>87</v>
      </c>
      <c r="R13" s="92">
        <v>45905</v>
      </c>
      <c r="S13" s="92">
        <v>312</v>
      </c>
      <c r="T13" s="92">
        <v>317</v>
      </c>
      <c r="U13" s="92">
        <v>221277</v>
      </c>
      <c r="V13" s="92">
        <v>160</v>
      </c>
      <c r="W13" s="92">
        <v>200</v>
      </c>
      <c r="X13" s="92">
        <v>108194</v>
      </c>
      <c r="Y13" s="92">
        <v>0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ht="14.1" customHeight="1">
      <c r="A14" s="121" t="s">
        <v>152</v>
      </c>
      <c r="B14" s="122" t="s">
        <v>40</v>
      </c>
      <c r="C14" s="92">
        <v>205</v>
      </c>
      <c r="D14" s="92">
        <v>96</v>
      </c>
      <c r="E14" s="92">
        <v>109</v>
      </c>
      <c r="F14" s="92">
        <v>44784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67</v>
      </c>
      <c r="Q14" s="92">
        <v>64</v>
      </c>
      <c r="R14" s="92">
        <v>29148</v>
      </c>
      <c r="S14" s="92">
        <v>14</v>
      </c>
      <c r="T14" s="92">
        <v>25</v>
      </c>
      <c r="U14" s="92">
        <v>9282</v>
      </c>
      <c r="V14" s="92">
        <v>15</v>
      </c>
      <c r="W14" s="92">
        <v>20</v>
      </c>
      <c r="X14" s="92">
        <v>6354</v>
      </c>
      <c r="Y14" s="92">
        <v>14</v>
      </c>
      <c r="Z14" s="92">
        <v>19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spans="1:57" ht="14.1" customHeight="1">
      <c r="A15" s="121" t="s">
        <v>153</v>
      </c>
      <c r="B15" s="122" t="s">
        <v>154</v>
      </c>
      <c r="C15" s="92">
        <v>314</v>
      </c>
      <c r="D15" s="92">
        <v>172</v>
      </c>
      <c r="E15" s="92">
        <v>142</v>
      </c>
      <c r="F15" s="92">
        <v>103530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130</v>
      </c>
      <c r="Q15" s="92">
        <v>115</v>
      </c>
      <c r="R15" s="92">
        <v>86005</v>
      </c>
      <c r="S15" s="92">
        <v>25</v>
      </c>
      <c r="T15" s="92">
        <v>11</v>
      </c>
      <c r="U15" s="92">
        <v>12496</v>
      </c>
      <c r="V15" s="92">
        <v>17</v>
      </c>
      <c r="W15" s="92">
        <v>16</v>
      </c>
      <c r="X15" s="92">
        <v>5029</v>
      </c>
      <c r="Y15" s="92">
        <v>8</v>
      </c>
      <c r="Z15" s="92">
        <v>9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21" t="s">
        <v>155</v>
      </c>
      <c r="B16" s="122" t="s">
        <v>42</v>
      </c>
      <c r="C16" s="92">
        <v>62</v>
      </c>
      <c r="D16" s="92">
        <v>38</v>
      </c>
      <c r="E16" s="92">
        <v>24</v>
      </c>
      <c r="F16" s="92">
        <v>15742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35</v>
      </c>
      <c r="Q16" s="92">
        <v>19</v>
      </c>
      <c r="R16" s="92">
        <v>13857</v>
      </c>
      <c r="S16" s="92">
        <v>3</v>
      </c>
      <c r="T16" s="92">
        <v>5</v>
      </c>
      <c r="U16" s="92">
        <v>1885</v>
      </c>
      <c r="V16" s="92">
        <v>0</v>
      </c>
      <c r="W16" s="92">
        <v>0</v>
      </c>
      <c r="X16" s="92">
        <v>0</v>
      </c>
      <c r="Y16" s="92">
        <v>0</v>
      </c>
      <c r="Z16" s="92">
        <v>1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21" t="s">
        <v>156</v>
      </c>
      <c r="B17" s="122" t="s">
        <v>44</v>
      </c>
      <c r="C17" s="92">
        <v>135</v>
      </c>
      <c r="D17" s="92">
        <v>70</v>
      </c>
      <c r="E17" s="92">
        <v>65</v>
      </c>
      <c r="F17" s="92">
        <v>34027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60</v>
      </c>
      <c r="Q17" s="92">
        <v>50</v>
      </c>
      <c r="R17" s="92">
        <v>27257</v>
      </c>
      <c r="S17" s="92">
        <v>9</v>
      </c>
      <c r="T17" s="92">
        <v>15</v>
      </c>
      <c r="U17" s="92">
        <v>6480</v>
      </c>
      <c r="V17" s="92">
        <v>1</v>
      </c>
      <c r="W17" s="92">
        <v>0</v>
      </c>
      <c r="X17" s="92">
        <v>290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21" t="s">
        <v>157</v>
      </c>
      <c r="B18" s="122" t="s">
        <v>46</v>
      </c>
      <c r="C18" s="92">
        <v>283</v>
      </c>
      <c r="D18" s="92">
        <v>139</v>
      </c>
      <c r="E18" s="92">
        <v>144</v>
      </c>
      <c r="F18" s="92">
        <v>95462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71</v>
      </c>
      <c r="Q18" s="92">
        <v>43</v>
      </c>
      <c r="R18" s="92">
        <v>49802</v>
      </c>
      <c r="S18" s="92">
        <v>26</v>
      </c>
      <c r="T18" s="92">
        <v>61</v>
      </c>
      <c r="U18" s="92">
        <v>25261</v>
      </c>
      <c r="V18" s="92">
        <v>42</v>
      </c>
      <c r="W18" s="92">
        <v>40</v>
      </c>
      <c r="X18" s="92">
        <v>20399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21" t="s">
        <v>158</v>
      </c>
      <c r="B19" s="122" t="s">
        <v>48</v>
      </c>
      <c r="C19" s="92">
        <v>286</v>
      </c>
      <c r="D19" s="92">
        <v>149</v>
      </c>
      <c r="E19" s="92">
        <v>137</v>
      </c>
      <c r="F19" s="92">
        <v>62564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59</v>
      </c>
      <c r="Q19" s="92">
        <v>21</v>
      </c>
      <c r="R19" s="92">
        <v>15826</v>
      </c>
      <c r="S19" s="92">
        <v>71</v>
      </c>
      <c r="T19" s="92">
        <v>96</v>
      </c>
      <c r="U19" s="92">
        <v>36879</v>
      </c>
      <c r="V19" s="92">
        <v>19</v>
      </c>
      <c r="W19" s="92">
        <v>20</v>
      </c>
      <c r="X19" s="92">
        <v>9859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21" t="s">
        <v>159</v>
      </c>
      <c r="B20" s="122" t="s">
        <v>50</v>
      </c>
      <c r="C20" s="92">
        <v>267</v>
      </c>
      <c r="D20" s="92">
        <v>149</v>
      </c>
      <c r="E20" s="92">
        <v>118</v>
      </c>
      <c r="F20" s="92">
        <v>92149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104</v>
      </c>
      <c r="Q20" s="92">
        <v>41</v>
      </c>
      <c r="R20" s="92">
        <v>50619</v>
      </c>
      <c r="S20" s="92">
        <v>45</v>
      </c>
      <c r="T20" s="92">
        <v>77</v>
      </c>
      <c r="U20" s="92">
        <v>41530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121" t="s">
        <v>160</v>
      </c>
      <c r="B21" s="122" t="s">
        <v>52</v>
      </c>
      <c r="C21" s="92">
        <v>307</v>
      </c>
      <c r="D21" s="92">
        <v>131</v>
      </c>
      <c r="E21" s="92">
        <v>176</v>
      </c>
      <c r="F21" s="92">
        <v>112620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117</v>
      </c>
      <c r="Q21" s="92">
        <v>148</v>
      </c>
      <c r="R21" s="92">
        <v>98167</v>
      </c>
      <c r="S21" s="92">
        <v>14</v>
      </c>
      <c r="T21" s="92">
        <v>28</v>
      </c>
      <c r="U21" s="92">
        <v>14453</v>
      </c>
      <c r="V21" s="92">
        <v>0</v>
      </c>
      <c r="W21" s="92">
        <v>0</v>
      </c>
      <c r="X21" s="92">
        <v>0</v>
      </c>
      <c r="Y21" s="92">
        <v>2</v>
      </c>
      <c r="Z21" s="92">
        <v>7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121" t="s">
        <v>161</v>
      </c>
      <c r="B22" s="122" t="s">
        <v>54</v>
      </c>
      <c r="C22" s="92">
        <v>301</v>
      </c>
      <c r="D22" s="92">
        <v>160</v>
      </c>
      <c r="E22" s="92">
        <v>141</v>
      </c>
      <c r="F22" s="92">
        <v>84641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145</v>
      </c>
      <c r="Q22" s="92">
        <v>113</v>
      </c>
      <c r="R22" s="92">
        <v>74233</v>
      </c>
      <c r="S22" s="92">
        <v>15</v>
      </c>
      <c r="T22" s="92">
        <v>28</v>
      </c>
      <c r="U22" s="92">
        <v>10408</v>
      </c>
      <c r="V22" s="92">
        <v>0</v>
      </c>
      <c r="W22" s="92">
        <v>0</v>
      </c>
      <c r="X22" s="92">
        <v>0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121" t="s">
        <v>162</v>
      </c>
      <c r="B23" s="122" t="s">
        <v>56</v>
      </c>
      <c r="C23" s="92">
        <v>655</v>
      </c>
      <c r="D23" s="92">
        <v>325</v>
      </c>
      <c r="E23" s="92">
        <v>330</v>
      </c>
      <c r="F23" s="92">
        <v>179926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136</v>
      </c>
      <c r="Q23" s="92">
        <v>83</v>
      </c>
      <c r="R23" s="92">
        <v>64899</v>
      </c>
      <c r="S23" s="92">
        <v>53</v>
      </c>
      <c r="T23" s="92">
        <v>84</v>
      </c>
      <c r="U23" s="92">
        <v>38296</v>
      </c>
      <c r="V23" s="92">
        <v>136</v>
      </c>
      <c r="W23" s="92">
        <v>163</v>
      </c>
      <c r="X23" s="92">
        <v>76731</v>
      </c>
      <c r="Y23" s="92">
        <v>121</v>
      </c>
      <c r="Z23" s="92">
        <v>136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121" t="s">
        <v>163</v>
      </c>
      <c r="B24" s="122" t="s">
        <v>58</v>
      </c>
      <c r="C24" s="92">
        <v>371</v>
      </c>
      <c r="D24" s="92">
        <v>221</v>
      </c>
      <c r="E24" s="92">
        <v>150</v>
      </c>
      <c r="F24" s="92">
        <v>63288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144</v>
      </c>
      <c r="Q24" s="92">
        <v>80</v>
      </c>
      <c r="R24" s="92">
        <v>38604</v>
      </c>
      <c r="S24" s="92">
        <v>59</v>
      </c>
      <c r="T24" s="92">
        <v>46</v>
      </c>
      <c r="U24" s="92">
        <v>19850</v>
      </c>
      <c r="V24" s="92">
        <v>18</v>
      </c>
      <c r="W24" s="92">
        <v>24</v>
      </c>
      <c r="X24" s="92">
        <v>4834</v>
      </c>
      <c r="Y24" s="92">
        <v>101</v>
      </c>
      <c r="Z24" s="92">
        <v>98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121" t="s">
        <v>164</v>
      </c>
      <c r="B25" s="122" t="s">
        <v>60</v>
      </c>
      <c r="C25" s="92">
        <v>1377</v>
      </c>
      <c r="D25" s="92">
        <v>622</v>
      </c>
      <c r="E25" s="92">
        <v>755</v>
      </c>
      <c r="F25" s="92">
        <v>280761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27</v>
      </c>
      <c r="Q25" s="92">
        <v>17</v>
      </c>
      <c r="R25" s="92">
        <v>16679</v>
      </c>
      <c r="S25" s="92">
        <v>21</v>
      </c>
      <c r="T25" s="92">
        <v>34</v>
      </c>
      <c r="U25" s="92">
        <v>18751</v>
      </c>
      <c r="V25" s="92">
        <v>574</v>
      </c>
      <c r="W25" s="92">
        <v>704</v>
      </c>
      <c r="X25" s="92">
        <v>245331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121" t="s">
        <v>165</v>
      </c>
      <c r="B26" s="122" t="s">
        <v>62</v>
      </c>
      <c r="C26" s="92">
        <v>133</v>
      </c>
      <c r="D26" s="92">
        <v>59</v>
      </c>
      <c r="E26" s="92">
        <v>74</v>
      </c>
      <c r="F26" s="92">
        <v>22483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12</v>
      </c>
      <c r="Q26" s="92">
        <v>18</v>
      </c>
      <c r="R26" s="92">
        <v>9307</v>
      </c>
      <c r="S26" s="92">
        <v>32</v>
      </c>
      <c r="T26" s="92">
        <v>39</v>
      </c>
      <c r="U26" s="92">
        <v>10416</v>
      </c>
      <c r="V26" s="92">
        <v>15</v>
      </c>
      <c r="W26" s="92">
        <v>17</v>
      </c>
      <c r="X26" s="92">
        <v>2760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121" t="s">
        <v>166</v>
      </c>
      <c r="B27" s="122" t="s">
        <v>64</v>
      </c>
      <c r="C27" s="92">
        <v>115</v>
      </c>
      <c r="D27" s="92">
        <v>57</v>
      </c>
      <c r="E27" s="92">
        <v>58</v>
      </c>
      <c r="F27" s="92">
        <v>44011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41</v>
      </c>
      <c r="Q27" s="92">
        <v>33</v>
      </c>
      <c r="R27" s="92">
        <v>28216</v>
      </c>
      <c r="S27" s="92">
        <v>8</v>
      </c>
      <c r="T27" s="92">
        <v>9</v>
      </c>
      <c r="U27" s="92">
        <v>7076</v>
      </c>
      <c r="V27" s="92">
        <v>8</v>
      </c>
      <c r="W27" s="92">
        <v>16</v>
      </c>
      <c r="X27" s="92">
        <v>8719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121" t="s">
        <v>167</v>
      </c>
      <c r="B28" s="122" t="s">
        <v>66</v>
      </c>
      <c r="C28" s="92">
        <v>78</v>
      </c>
      <c r="D28" s="92">
        <v>32</v>
      </c>
      <c r="E28" s="92">
        <v>46</v>
      </c>
      <c r="F28" s="92">
        <v>28026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22</v>
      </c>
      <c r="Q28" s="92">
        <v>20</v>
      </c>
      <c r="R28" s="92">
        <v>8440</v>
      </c>
      <c r="S28" s="92">
        <v>10</v>
      </c>
      <c r="T28" s="92">
        <v>26</v>
      </c>
      <c r="U28" s="92">
        <v>19586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121" t="s">
        <v>168</v>
      </c>
      <c r="B29" s="122" t="s">
        <v>68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123" t="s">
        <v>169</v>
      </c>
      <c r="B30" s="124" t="s">
        <v>70</v>
      </c>
      <c r="C30" s="101">
        <v>0</v>
      </c>
      <c r="D30" s="101">
        <v>0</v>
      </c>
      <c r="E30" s="101">
        <v>0</v>
      </c>
      <c r="F30" s="101">
        <v>1947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1008</v>
      </c>
      <c r="S30" s="101">
        <v>0</v>
      </c>
      <c r="T30" s="101">
        <v>0</v>
      </c>
      <c r="U30" s="101">
        <v>504</v>
      </c>
      <c r="V30" s="101">
        <v>0</v>
      </c>
      <c r="W30" s="101">
        <v>0</v>
      </c>
      <c r="X30" s="101">
        <v>435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</row>
    <row r="33" ht="15.6" customHeight="1"/>
  </sheetData>
  <mergeCells count="42"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  <mergeCell ref="C6:C7"/>
    <mergeCell ref="D6:D7"/>
    <mergeCell ref="E6:E7"/>
    <mergeCell ref="G6:G7"/>
    <mergeCell ref="H6:H7"/>
    <mergeCell ref="W6:W7"/>
    <mergeCell ref="L5:L7"/>
    <mergeCell ref="M5:N5"/>
    <mergeCell ref="O5:O7"/>
    <mergeCell ref="P5:Q5"/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173</v>
      </c>
      <c r="B2" s="125"/>
      <c r="C2" s="125"/>
    </row>
    <row r="3" spans="1:57" s="24" customFormat="1" ht="12.75" customHeight="1">
      <c r="A3" s="240" t="s">
        <v>300</v>
      </c>
      <c r="B3" s="234"/>
      <c r="C3" s="302" t="s">
        <v>297</v>
      </c>
      <c r="D3" s="302"/>
      <c r="E3" s="302"/>
      <c r="F3" s="302"/>
      <c r="G3" s="302" t="s">
        <v>298</v>
      </c>
      <c r="H3" s="302"/>
      <c r="I3" s="302"/>
      <c r="J3" s="302"/>
      <c r="K3" s="302"/>
      <c r="L3" s="302"/>
      <c r="M3" s="302"/>
      <c r="N3" s="302"/>
      <c r="O3" s="302"/>
      <c r="P3" s="302" t="s">
        <v>299</v>
      </c>
      <c r="Q3" s="302"/>
      <c r="R3" s="302"/>
      <c r="S3" s="302"/>
      <c r="T3" s="302"/>
      <c r="U3" s="302"/>
      <c r="V3" s="302"/>
      <c r="W3" s="302"/>
      <c r="X3" s="237"/>
      <c r="Y3" s="303" t="s">
        <v>301</v>
      </c>
      <c r="Z3" s="237"/>
    </row>
    <row r="4" spans="1:57" s="25" customFormat="1" ht="16.5" customHeight="1">
      <c r="A4" s="241"/>
      <c r="B4" s="235"/>
      <c r="C4" s="295" t="s">
        <v>286</v>
      </c>
      <c r="D4" s="240"/>
      <c r="E4" s="234"/>
      <c r="F4" s="298" t="s">
        <v>287</v>
      </c>
      <c r="G4" s="298" t="s">
        <v>288</v>
      </c>
      <c r="H4" s="298"/>
      <c r="I4" s="298"/>
      <c r="J4" s="298" t="s">
        <v>289</v>
      </c>
      <c r="K4" s="298"/>
      <c r="L4" s="298"/>
      <c r="M4" s="298" t="s">
        <v>290</v>
      </c>
      <c r="N4" s="298"/>
      <c r="O4" s="298"/>
      <c r="P4" s="298" t="s">
        <v>288</v>
      </c>
      <c r="Q4" s="298"/>
      <c r="R4" s="298"/>
      <c r="S4" s="298" t="s">
        <v>289</v>
      </c>
      <c r="T4" s="298"/>
      <c r="U4" s="298"/>
      <c r="V4" s="298" t="s">
        <v>290</v>
      </c>
      <c r="W4" s="298"/>
      <c r="X4" s="298"/>
      <c r="Y4" s="304"/>
      <c r="Z4" s="237"/>
    </row>
    <row r="5" spans="1:57" s="26" customFormat="1" ht="49.5" customHeight="1">
      <c r="A5" s="241"/>
      <c r="B5" s="235"/>
      <c r="C5" s="305"/>
      <c r="D5" s="242"/>
      <c r="E5" s="236"/>
      <c r="F5" s="298"/>
      <c r="G5" s="298" t="s">
        <v>304</v>
      </c>
      <c r="H5" s="298"/>
      <c r="I5" s="298" t="s">
        <v>287</v>
      </c>
      <c r="J5" s="298" t="s">
        <v>304</v>
      </c>
      <c r="K5" s="298"/>
      <c r="L5" s="298" t="s">
        <v>287</v>
      </c>
      <c r="M5" s="298" t="s">
        <v>304</v>
      </c>
      <c r="N5" s="298"/>
      <c r="O5" s="298" t="s">
        <v>287</v>
      </c>
      <c r="P5" s="298" t="s">
        <v>304</v>
      </c>
      <c r="Q5" s="298"/>
      <c r="R5" s="298" t="s">
        <v>287</v>
      </c>
      <c r="S5" s="298" t="s">
        <v>304</v>
      </c>
      <c r="T5" s="298"/>
      <c r="U5" s="298" t="s">
        <v>287</v>
      </c>
      <c r="V5" s="298" t="s">
        <v>304</v>
      </c>
      <c r="W5" s="298"/>
      <c r="X5" s="300" t="s">
        <v>287</v>
      </c>
      <c r="Y5" s="246"/>
      <c r="Z5" s="237"/>
    </row>
    <row r="6" spans="1:57" s="24" customFormat="1" ht="13.5" customHeight="1">
      <c r="A6" s="241"/>
      <c r="B6" s="235"/>
      <c r="C6" s="291" t="s">
        <v>294</v>
      </c>
      <c r="D6" s="291" t="s">
        <v>295</v>
      </c>
      <c r="E6" s="291" t="s">
        <v>296</v>
      </c>
      <c r="F6" s="298"/>
      <c r="G6" s="291" t="s">
        <v>295</v>
      </c>
      <c r="H6" s="291" t="s">
        <v>296</v>
      </c>
      <c r="I6" s="298"/>
      <c r="J6" s="291" t="s">
        <v>295</v>
      </c>
      <c r="K6" s="291" t="s">
        <v>296</v>
      </c>
      <c r="L6" s="298"/>
      <c r="M6" s="291" t="s">
        <v>295</v>
      </c>
      <c r="N6" s="291" t="s">
        <v>296</v>
      </c>
      <c r="O6" s="298"/>
      <c r="P6" s="291" t="s">
        <v>295</v>
      </c>
      <c r="Q6" s="291" t="s">
        <v>296</v>
      </c>
      <c r="R6" s="298"/>
      <c r="S6" s="291" t="s">
        <v>295</v>
      </c>
      <c r="T6" s="291" t="s">
        <v>296</v>
      </c>
      <c r="U6" s="298"/>
      <c r="V6" s="291" t="s">
        <v>295</v>
      </c>
      <c r="W6" s="291" t="s">
        <v>296</v>
      </c>
      <c r="X6" s="300"/>
      <c r="Y6" s="234" t="s">
        <v>295</v>
      </c>
      <c r="Z6" s="295" t="s">
        <v>296</v>
      </c>
    </row>
    <row r="7" spans="1:57" s="24" customFormat="1" ht="18" customHeight="1">
      <c r="A7" s="242"/>
      <c r="B7" s="236"/>
      <c r="C7" s="292"/>
      <c r="D7" s="292"/>
      <c r="E7" s="292"/>
      <c r="F7" s="299"/>
      <c r="G7" s="292"/>
      <c r="H7" s="292"/>
      <c r="I7" s="299"/>
      <c r="J7" s="292"/>
      <c r="K7" s="292"/>
      <c r="L7" s="299"/>
      <c r="M7" s="292"/>
      <c r="N7" s="292"/>
      <c r="O7" s="299"/>
      <c r="P7" s="292"/>
      <c r="Q7" s="292"/>
      <c r="R7" s="299"/>
      <c r="S7" s="292"/>
      <c r="T7" s="292"/>
      <c r="U7" s="299"/>
      <c r="V7" s="292"/>
      <c r="W7" s="292"/>
      <c r="X7" s="301"/>
      <c r="Y7" s="297"/>
      <c r="Z7" s="296"/>
    </row>
    <row r="8" spans="1:57" s="127" customFormat="1" ht="14.1" customHeight="1">
      <c r="A8" s="115" t="s">
        <v>142</v>
      </c>
      <c r="B8" s="116" t="s">
        <v>26</v>
      </c>
      <c r="C8" s="87">
        <v>7787</v>
      </c>
      <c r="D8" s="87">
        <v>3957</v>
      </c>
      <c r="E8" s="87">
        <v>3830</v>
      </c>
      <c r="F8" s="87">
        <v>2123065</v>
      </c>
      <c r="G8" s="87">
        <v>9</v>
      </c>
      <c r="H8" s="87">
        <v>5</v>
      </c>
      <c r="I8" s="87">
        <v>5402</v>
      </c>
      <c r="J8" s="87">
        <v>47</v>
      </c>
      <c r="K8" s="87">
        <v>41</v>
      </c>
      <c r="L8" s="87">
        <v>23462</v>
      </c>
      <c r="M8" s="87">
        <v>63</v>
      </c>
      <c r="N8" s="87">
        <v>77</v>
      </c>
      <c r="O8" s="87">
        <v>37023</v>
      </c>
      <c r="P8" s="87">
        <v>1924</v>
      </c>
      <c r="Q8" s="87">
        <v>1405</v>
      </c>
      <c r="R8" s="87">
        <v>907750</v>
      </c>
      <c r="S8" s="87">
        <v>1199</v>
      </c>
      <c r="T8" s="87">
        <v>1418</v>
      </c>
      <c r="U8" s="87">
        <v>792468</v>
      </c>
      <c r="V8" s="87">
        <v>715</v>
      </c>
      <c r="W8" s="87">
        <v>884</v>
      </c>
      <c r="X8" s="87">
        <v>356960</v>
      </c>
      <c r="Y8" s="87">
        <v>299</v>
      </c>
      <c r="Z8" s="87">
        <v>267</v>
      </c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</row>
    <row r="9" spans="1:57" s="95" customFormat="1" ht="14.1" customHeight="1">
      <c r="A9" s="119" t="s">
        <v>147</v>
      </c>
      <c r="B9" s="120" t="s">
        <v>28</v>
      </c>
      <c r="C9" s="92">
        <v>433</v>
      </c>
      <c r="D9" s="92">
        <v>208</v>
      </c>
      <c r="E9" s="92">
        <v>225</v>
      </c>
      <c r="F9" s="92">
        <v>114806</v>
      </c>
      <c r="G9" s="92">
        <v>0</v>
      </c>
      <c r="H9" s="92">
        <v>0</v>
      </c>
      <c r="I9" s="92">
        <v>1348</v>
      </c>
      <c r="J9" s="92">
        <v>0</v>
      </c>
      <c r="K9" s="92">
        <v>0</v>
      </c>
      <c r="L9" s="92">
        <v>1976</v>
      </c>
      <c r="M9" s="92">
        <v>0</v>
      </c>
      <c r="N9" s="92">
        <v>0</v>
      </c>
      <c r="O9" s="92">
        <v>0</v>
      </c>
      <c r="P9" s="92">
        <v>21</v>
      </c>
      <c r="Q9" s="92">
        <v>9</v>
      </c>
      <c r="R9" s="92">
        <v>7882</v>
      </c>
      <c r="S9" s="92">
        <v>16</v>
      </c>
      <c r="T9" s="92">
        <v>23</v>
      </c>
      <c r="U9" s="92">
        <v>14744</v>
      </c>
      <c r="V9" s="92">
        <v>171</v>
      </c>
      <c r="W9" s="92">
        <v>193</v>
      </c>
      <c r="X9" s="92">
        <v>88856</v>
      </c>
      <c r="Y9" s="92">
        <v>2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119" t="s">
        <v>148</v>
      </c>
      <c r="B10" s="120" t="s">
        <v>30</v>
      </c>
      <c r="C10" s="92">
        <v>600</v>
      </c>
      <c r="D10" s="92">
        <v>320</v>
      </c>
      <c r="E10" s="92">
        <v>280</v>
      </c>
      <c r="F10" s="92">
        <v>133751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136</v>
      </c>
      <c r="Q10" s="92">
        <v>71</v>
      </c>
      <c r="R10" s="92">
        <v>43995</v>
      </c>
      <c r="S10" s="92">
        <v>67</v>
      </c>
      <c r="T10" s="92">
        <v>76</v>
      </c>
      <c r="U10" s="92">
        <v>36609</v>
      </c>
      <c r="V10" s="92">
        <v>117</v>
      </c>
      <c r="W10" s="92">
        <v>133</v>
      </c>
      <c r="X10" s="92">
        <v>53147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119" t="s">
        <v>149</v>
      </c>
      <c r="B11" s="120" t="s">
        <v>34</v>
      </c>
      <c r="C11" s="92">
        <v>825</v>
      </c>
      <c r="D11" s="92">
        <v>416</v>
      </c>
      <c r="E11" s="92">
        <v>409</v>
      </c>
      <c r="F11" s="92">
        <v>228544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280</v>
      </c>
      <c r="Q11" s="92">
        <v>246</v>
      </c>
      <c r="R11" s="92">
        <v>146716</v>
      </c>
      <c r="S11" s="92">
        <v>70</v>
      </c>
      <c r="T11" s="92">
        <v>76</v>
      </c>
      <c r="U11" s="92">
        <v>48565</v>
      </c>
      <c r="V11" s="92">
        <v>66</v>
      </c>
      <c r="W11" s="92">
        <v>87</v>
      </c>
      <c r="X11" s="92">
        <v>33263</v>
      </c>
      <c r="Y11" s="92">
        <v>2</v>
      </c>
      <c r="Z11" s="92">
        <v>2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119" t="s">
        <v>150</v>
      </c>
      <c r="B12" s="120" t="s">
        <v>36</v>
      </c>
      <c r="C12" s="92">
        <v>860</v>
      </c>
      <c r="D12" s="92">
        <v>436</v>
      </c>
      <c r="E12" s="92">
        <v>424</v>
      </c>
      <c r="F12" s="92">
        <v>241251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184</v>
      </c>
      <c r="Q12" s="92">
        <v>75</v>
      </c>
      <c r="R12" s="92">
        <v>68143</v>
      </c>
      <c r="S12" s="92">
        <v>237</v>
      </c>
      <c r="T12" s="92">
        <v>345</v>
      </c>
      <c r="U12" s="92">
        <v>161451</v>
      </c>
      <c r="V12" s="92">
        <v>15</v>
      </c>
      <c r="W12" s="92">
        <v>4</v>
      </c>
      <c r="X12" s="92">
        <v>11657</v>
      </c>
      <c r="Y12" s="92">
        <v>0</v>
      </c>
      <c r="Z12" s="92">
        <v>0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119" t="s">
        <v>151</v>
      </c>
      <c r="B13" s="120" t="s">
        <v>38</v>
      </c>
      <c r="C13" s="92">
        <v>1314</v>
      </c>
      <c r="D13" s="92">
        <v>669</v>
      </c>
      <c r="E13" s="92">
        <v>645</v>
      </c>
      <c r="F13" s="92">
        <v>382441</v>
      </c>
      <c r="G13" s="92">
        <v>9</v>
      </c>
      <c r="H13" s="92">
        <v>5</v>
      </c>
      <c r="I13" s="92">
        <v>4054</v>
      </c>
      <c r="J13" s="92">
        <v>47</v>
      </c>
      <c r="K13" s="92">
        <v>41</v>
      </c>
      <c r="L13" s="92">
        <v>21486</v>
      </c>
      <c r="M13" s="92">
        <v>63</v>
      </c>
      <c r="N13" s="92">
        <v>77</v>
      </c>
      <c r="O13" s="92">
        <v>37023</v>
      </c>
      <c r="P13" s="92">
        <v>72</v>
      </c>
      <c r="Q13" s="92">
        <v>65</v>
      </c>
      <c r="R13" s="92">
        <v>35241</v>
      </c>
      <c r="S13" s="92">
        <v>346</v>
      </c>
      <c r="T13" s="92">
        <v>290</v>
      </c>
      <c r="U13" s="92">
        <v>209977</v>
      </c>
      <c r="V13" s="92">
        <v>132</v>
      </c>
      <c r="W13" s="92">
        <v>167</v>
      </c>
      <c r="X13" s="92">
        <v>74660</v>
      </c>
      <c r="Y13" s="92">
        <v>0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ht="14.1" customHeight="1">
      <c r="A14" s="121" t="s">
        <v>152</v>
      </c>
      <c r="B14" s="122" t="s">
        <v>40</v>
      </c>
      <c r="C14" s="92">
        <v>199</v>
      </c>
      <c r="D14" s="92">
        <v>103</v>
      </c>
      <c r="E14" s="92">
        <v>96</v>
      </c>
      <c r="F14" s="92">
        <v>38736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60</v>
      </c>
      <c r="Q14" s="92">
        <v>48</v>
      </c>
      <c r="R14" s="92">
        <v>21931</v>
      </c>
      <c r="S14" s="92">
        <v>27</v>
      </c>
      <c r="T14" s="92">
        <v>34</v>
      </c>
      <c r="U14" s="92">
        <v>11292</v>
      </c>
      <c r="V14" s="92">
        <v>16</v>
      </c>
      <c r="W14" s="92">
        <v>14</v>
      </c>
      <c r="X14" s="92">
        <v>5513</v>
      </c>
      <c r="Y14" s="92">
        <v>15</v>
      </c>
      <c r="Z14" s="92">
        <v>23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spans="1:57" ht="14.1" customHeight="1">
      <c r="A15" s="121" t="s">
        <v>153</v>
      </c>
      <c r="B15" s="122" t="s">
        <v>154</v>
      </c>
      <c r="C15" s="92">
        <v>309</v>
      </c>
      <c r="D15" s="92">
        <v>153</v>
      </c>
      <c r="E15" s="92">
        <v>156</v>
      </c>
      <c r="F15" s="92">
        <v>77676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118</v>
      </c>
      <c r="Q15" s="92">
        <v>122</v>
      </c>
      <c r="R15" s="92">
        <v>62727</v>
      </c>
      <c r="S15" s="92">
        <v>27</v>
      </c>
      <c r="T15" s="92">
        <v>17</v>
      </c>
      <c r="U15" s="92">
        <v>11332</v>
      </c>
      <c r="V15" s="92">
        <v>8</v>
      </c>
      <c r="W15" s="92">
        <v>17</v>
      </c>
      <c r="X15" s="92">
        <v>3617</v>
      </c>
      <c r="Y15" s="92">
        <v>0</v>
      </c>
      <c r="Z15" s="92">
        <v>0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21" t="s">
        <v>155</v>
      </c>
      <c r="B16" s="122" t="s">
        <v>42</v>
      </c>
      <c r="C16" s="92">
        <v>61</v>
      </c>
      <c r="D16" s="92">
        <v>40</v>
      </c>
      <c r="E16" s="92">
        <v>21</v>
      </c>
      <c r="F16" s="92">
        <v>15759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39</v>
      </c>
      <c r="Q16" s="92">
        <v>20</v>
      </c>
      <c r="R16" s="92">
        <v>14757</v>
      </c>
      <c r="S16" s="92">
        <v>1</v>
      </c>
      <c r="T16" s="92">
        <v>1</v>
      </c>
      <c r="U16" s="92">
        <v>1002</v>
      </c>
      <c r="V16" s="92">
        <v>0</v>
      </c>
      <c r="W16" s="92">
        <v>0</v>
      </c>
      <c r="X16" s="92">
        <v>0</v>
      </c>
      <c r="Y16" s="92">
        <v>0</v>
      </c>
      <c r="Z16" s="92">
        <v>1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21" t="s">
        <v>156</v>
      </c>
      <c r="B17" s="122" t="s">
        <v>44</v>
      </c>
      <c r="C17" s="92">
        <v>146</v>
      </c>
      <c r="D17" s="92">
        <v>76</v>
      </c>
      <c r="E17" s="92">
        <v>70</v>
      </c>
      <c r="F17" s="92">
        <v>33903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57</v>
      </c>
      <c r="Q17" s="92">
        <v>51</v>
      </c>
      <c r="R17" s="92">
        <v>25307</v>
      </c>
      <c r="S17" s="92">
        <v>18</v>
      </c>
      <c r="T17" s="92">
        <v>19</v>
      </c>
      <c r="U17" s="92">
        <v>8467</v>
      </c>
      <c r="V17" s="92">
        <v>1</v>
      </c>
      <c r="W17" s="92">
        <v>0</v>
      </c>
      <c r="X17" s="92">
        <v>129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21" t="s">
        <v>157</v>
      </c>
      <c r="B18" s="122" t="s">
        <v>46</v>
      </c>
      <c r="C18" s="92">
        <v>279</v>
      </c>
      <c r="D18" s="92">
        <v>145</v>
      </c>
      <c r="E18" s="92">
        <v>134</v>
      </c>
      <c r="F18" s="92">
        <v>94794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94</v>
      </c>
      <c r="Q18" s="92">
        <v>63</v>
      </c>
      <c r="R18" s="92">
        <v>57044</v>
      </c>
      <c r="S18" s="92">
        <v>28</v>
      </c>
      <c r="T18" s="92">
        <v>45</v>
      </c>
      <c r="U18" s="92">
        <v>25159</v>
      </c>
      <c r="V18" s="92">
        <v>23</v>
      </c>
      <c r="W18" s="92">
        <v>26</v>
      </c>
      <c r="X18" s="92">
        <v>12591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21" t="s">
        <v>158</v>
      </c>
      <c r="B19" s="122" t="s">
        <v>48</v>
      </c>
      <c r="C19" s="92">
        <v>306</v>
      </c>
      <c r="D19" s="92">
        <v>151</v>
      </c>
      <c r="E19" s="92">
        <v>155</v>
      </c>
      <c r="F19" s="92">
        <v>66896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44</v>
      </c>
      <c r="Q19" s="92">
        <v>22</v>
      </c>
      <c r="R19" s="92">
        <v>16748</v>
      </c>
      <c r="S19" s="92">
        <v>79</v>
      </c>
      <c r="T19" s="92">
        <v>113</v>
      </c>
      <c r="U19" s="92">
        <v>44032</v>
      </c>
      <c r="V19" s="92">
        <v>28</v>
      </c>
      <c r="W19" s="92">
        <v>20</v>
      </c>
      <c r="X19" s="92">
        <v>6116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21" t="s">
        <v>159</v>
      </c>
      <c r="B20" s="122" t="s">
        <v>50</v>
      </c>
      <c r="C20" s="92">
        <v>303</v>
      </c>
      <c r="D20" s="92">
        <v>171</v>
      </c>
      <c r="E20" s="92">
        <v>132</v>
      </c>
      <c r="F20" s="92">
        <v>102968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112</v>
      </c>
      <c r="Q20" s="92">
        <v>44</v>
      </c>
      <c r="R20" s="92">
        <v>52726</v>
      </c>
      <c r="S20" s="92">
        <v>59</v>
      </c>
      <c r="T20" s="92">
        <v>88</v>
      </c>
      <c r="U20" s="92">
        <v>50242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121" t="s">
        <v>160</v>
      </c>
      <c r="B21" s="122" t="s">
        <v>52</v>
      </c>
      <c r="C21" s="92">
        <v>335</v>
      </c>
      <c r="D21" s="92">
        <v>143</v>
      </c>
      <c r="E21" s="92">
        <v>192</v>
      </c>
      <c r="F21" s="92">
        <v>111773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124</v>
      </c>
      <c r="Q21" s="92">
        <v>168</v>
      </c>
      <c r="R21" s="92">
        <v>98465</v>
      </c>
      <c r="S21" s="92">
        <v>19</v>
      </c>
      <c r="T21" s="92">
        <v>24</v>
      </c>
      <c r="U21" s="92">
        <v>13308</v>
      </c>
      <c r="V21" s="92">
        <v>0</v>
      </c>
      <c r="W21" s="92">
        <v>0</v>
      </c>
      <c r="X21" s="92">
        <v>0</v>
      </c>
      <c r="Y21" s="92">
        <v>2</v>
      </c>
      <c r="Z21" s="92">
        <v>6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121" t="s">
        <v>161</v>
      </c>
      <c r="B22" s="122" t="s">
        <v>54</v>
      </c>
      <c r="C22" s="92">
        <v>352</v>
      </c>
      <c r="D22" s="92">
        <v>193</v>
      </c>
      <c r="E22" s="92">
        <v>159</v>
      </c>
      <c r="F22" s="92">
        <v>62145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168</v>
      </c>
      <c r="Q22" s="92">
        <v>134</v>
      </c>
      <c r="R22" s="92">
        <v>50110</v>
      </c>
      <c r="S22" s="92">
        <v>25</v>
      </c>
      <c r="T22" s="92">
        <v>25</v>
      </c>
      <c r="U22" s="92">
        <v>11980</v>
      </c>
      <c r="V22" s="92">
        <v>0</v>
      </c>
      <c r="W22" s="92">
        <v>0</v>
      </c>
      <c r="X22" s="92">
        <v>55</v>
      </c>
      <c r="Y22" s="92">
        <v>13</v>
      </c>
      <c r="Z22" s="92">
        <v>16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121" t="s">
        <v>162</v>
      </c>
      <c r="B23" s="122" t="s">
        <v>56</v>
      </c>
      <c r="C23" s="92">
        <v>594</v>
      </c>
      <c r="D23" s="92">
        <v>284</v>
      </c>
      <c r="E23" s="92">
        <v>310</v>
      </c>
      <c r="F23" s="92">
        <v>136999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149</v>
      </c>
      <c r="Q23" s="92">
        <v>96</v>
      </c>
      <c r="R23" s="92">
        <v>67667</v>
      </c>
      <c r="S23" s="92">
        <v>48</v>
      </c>
      <c r="T23" s="92">
        <v>86</v>
      </c>
      <c r="U23" s="92">
        <v>44836</v>
      </c>
      <c r="V23" s="92">
        <v>87</v>
      </c>
      <c r="W23" s="92">
        <v>128</v>
      </c>
      <c r="X23" s="92">
        <v>24496</v>
      </c>
      <c r="Y23" s="92">
        <v>154</v>
      </c>
      <c r="Z23" s="92">
        <v>123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121" t="s">
        <v>163</v>
      </c>
      <c r="B24" s="122" t="s">
        <v>58</v>
      </c>
      <c r="C24" s="92">
        <v>324</v>
      </c>
      <c r="D24" s="92">
        <v>193</v>
      </c>
      <c r="E24" s="92">
        <v>131</v>
      </c>
      <c r="F24" s="92">
        <v>103680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135</v>
      </c>
      <c r="Q24" s="92">
        <v>87</v>
      </c>
      <c r="R24" s="92">
        <v>67426</v>
      </c>
      <c r="S24" s="92">
        <v>58</v>
      </c>
      <c r="T24" s="92">
        <v>44</v>
      </c>
      <c r="U24" s="92">
        <v>36254</v>
      </c>
      <c r="V24" s="92">
        <v>0</v>
      </c>
      <c r="W24" s="92">
        <v>0</v>
      </c>
      <c r="X24" s="92">
        <v>0</v>
      </c>
      <c r="Y24" s="92">
        <v>111</v>
      </c>
      <c r="Z24" s="92">
        <v>96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121" t="s">
        <v>164</v>
      </c>
      <c r="B25" s="122" t="s">
        <v>60</v>
      </c>
      <c r="C25" s="92">
        <v>194</v>
      </c>
      <c r="D25" s="92">
        <v>77</v>
      </c>
      <c r="E25" s="92">
        <v>117</v>
      </c>
      <c r="F25" s="92">
        <v>63983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29</v>
      </c>
      <c r="Q25" s="92">
        <v>21</v>
      </c>
      <c r="R25" s="92">
        <v>16821</v>
      </c>
      <c r="S25" s="92">
        <v>23</v>
      </c>
      <c r="T25" s="92">
        <v>36</v>
      </c>
      <c r="U25" s="92">
        <v>20660</v>
      </c>
      <c r="V25" s="92">
        <v>25</v>
      </c>
      <c r="W25" s="92">
        <v>60</v>
      </c>
      <c r="X25" s="92">
        <v>26502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121" t="s">
        <v>165</v>
      </c>
      <c r="B26" s="122" t="s">
        <v>62</v>
      </c>
      <c r="C26" s="92">
        <v>74</v>
      </c>
      <c r="D26" s="92">
        <v>30</v>
      </c>
      <c r="E26" s="92">
        <v>44</v>
      </c>
      <c r="F26" s="92">
        <v>21366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14</v>
      </c>
      <c r="Q26" s="92">
        <v>12</v>
      </c>
      <c r="R26" s="92">
        <v>7843</v>
      </c>
      <c r="S26" s="92">
        <v>12</v>
      </c>
      <c r="T26" s="92">
        <v>22</v>
      </c>
      <c r="U26" s="92">
        <v>10289</v>
      </c>
      <c r="V26" s="92">
        <v>4</v>
      </c>
      <c r="W26" s="92">
        <v>10</v>
      </c>
      <c r="X26" s="92">
        <v>3234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121" t="s">
        <v>166</v>
      </c>
      <c r="B27" s="122" t="s">
        <v>64</v>
      </c>
      <c r="C27" s="92">
        <v>185</v>
      </c>
      <c r="D27" s="92">
        <v>106</v>
      </c>
      <c r="E27" s="92">
        <v>79</v>
      </c>
      <c r="F27" s="92">
        <v>53472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64</v>
      </c>
      <c r="Q27" s="92">
        <v>42</v>
      </c>
      <c r="R27" s="92">
        <v>34121</v>
      </c>
      <c r="S27" s="92">
        <v>20</v>
      </c>
      <c r="T27" s="92">
        <v>12</v>
      </c>
      <c r="U27" s="92">
        <v>11389</v>
      </c>
      <c r="V27" s="92">
        <v>22</v>
      </c>
      <c r="W27" s="92">
        <v>25</v>
      </c>
      <c r="X27" s="92">
        <v>7962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121" t="s">
        <v>167</v>
      </c>
      <c r="B28" s="122" t="s">
        <v>66</v>
      </c>
      <c r="C28" s="92">
        <v>85</v>
      </c>
      <c r="D28" s="92">
        <v>37</v>
      </c>
      <c r="E28" s="92">
        <v>48</v>
      </c>
      <c r="F28" s="92">
        <v>34676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19</v>
      </c>
      <c r="Q28" s="92">
        <v>8</v>
      </c>
      <c r="R28" s="92">
        <v>9741</v>
      </c>
      <c r="S28" s="92">
        <v>18</v>
      </c>
      <c r="T28" s="92">
        <v>40</v>
      </c>
      <c r="U28" s="92">
        <v>19773</v>
      </c>
      <c r="V28" s="92">
        <v>0</v>
      </c>
      <c r="W28" s="92">
        <v>0</v>
      </c>
      <c r="X28" s="92">
        <v>5162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121" t="s">
        <v>168</v>
      </c>
      <c r="B29" s="122" t="s">
        <v>68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123" t="s">
        <v>169</v>
      </c>
      <c r="B30" s="124" t="s">
        <v>70</v>
      </c>
      <c r="C30" s="101">
        <v>9</v>
      </c>
      <c r="D30" s="101">
        <v>6</v>
      </c>
      <c r="E30" s="101">
        <v>3</v>
      </c>
      <c r="F30" s="101">
        <v>3446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5</v>
      </c>
      <c r="Q30" s="101">
        <v>1</v>
      </c>
      <c r="R30" s="101">
        <v>2339</v>
      </c>
      <c r="S30" s="101">
        <v>1</v>
      </c>
      <c r="T30" s="101">
        <v>2</v>
      </c>
      <c r="U30" s="101">
        <v>1107</v>
      </c>
      <c r="V30" s="101">
        <v>0</v>
      </c>
      <c r="W30" s="101">
        <v>0</v>
      </c>
      <c r="X30" s="101">
        <v>0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</row>
    <row r="33" ht="15.6" customHeight="1"/>
  </sheetData>
  <mergeCells count="42"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  <mergeCell ref="C6:C7"/>
    <mergeCell ref="D6:D7"/>
    <mergeCell ref="E6:E7"/>
    <mergeCell ref="G6:G7"/>
    <mergeCell ref="H6:H7"/>
    <mergeCell ref="W6:W7"/>
    <mergeCell ref="L5:L7"/>
    <mergeCell ref="M5:N5"/>
    <mergeCell ref="O5:O7"/>
    <mergeCell ref="P5:Q5"/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35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375" style="39" customWidth="1"/>
    <col min="27" max="16384" width="9.375" style="39"/>
  </cols>
  <sheetData>
    <row r="1" spans="1:61" ht="21">
      <c r="A1" s="1" t="s">
        <v>111</v>
      </c>
      <c r="B1" s="85"/>
    </row>
    <row r="2" spans="1:61" ht="26.25" customHeight="1">
      <c r="A2" s="42" t="s">
        <v>174</v>
      </c>
      <c r="B2" s="125"/>
      <c r="C2" s="125"/>
    </row>
    <row r="3" spans="1:61" s="24" customFormat="1" ht="12.75" customHeight="1">
      <c r="A3" s="240" t="s">
        <v>300</v>
      </c>
      <c r="B3" s="234"/>
      <c r="C3" s="302" t="s">
        <v>297</v>
      </c>
      <c r="D3" s="302"/>
      <c r="E3" s="302"/>
      <c r="F3" s="302"/>
      <c r="G3" s="302" t="s">
        <v>298</v>
      </c>
      <c r="H3" s="302"/>
      <c r="I3" s="302"/>
      <c r="J3" s="302"/>
      <c r="K3" s="302"/>
      <c r="L3" s="302"/>
      <c r="M3" s="302"/>
      <c r="N3" s="302"/>
      <c r="O3" s="302"/>
      <c r="P3" s="302" t="s">
        <v>299</v>
      </c>
      <c r="Q3" s="302"/>
      <c r="R3" s="302"/>
      <c r="S3" s="302"/>
      <c r="T3" s="302"/>
      <c r="U3" s="302"/>
      <c r="V3" s="302"/>
      <c r="W3" s="302"/>
      <c r="X3" s="237"/>
      <c r="Y3" s="303" t="s">
        <v>301</v>
      </c>
      <c r="Z3" s="237"/>
    </row>
    <row r="4" spans="1:61" s="25" customFormat="1" ht="16.5" customHeight="1">
      <c r="A4" s="241"/>
      <c r="B4" s="235"/>
      <c r="C4" s="295" t="s">
        <v>286</v>
      </c>
      <c r="D4" s="240"/>
      <c r="E4" s="234"/>
      <c r="F4" s="298" t="s">
        <v>287</v>
      </c>
      <c r="G4" s="298" t="s">
        <v>288</v>
      </c>
      <c r="H4" s="298"/>
      <c r="I4" s="298"/>
      <c r="J4" s="298" t="s">
        <v>289</v>
      </c>
      <c r="K4" s="298"/>
      <c r="L4" s="298"/>
      <c r="M4" s="298" t="s">
        <v>290</v>
      </c>
      <c r="N4" s="298"/>
      <c r="O4" s="298"/>
      <c r="P4" s="298" t="s">
        <v>288</v>
      </c>
      <c r="Q4" s="298"/>
      <c r="R4" s="298"/>
      <c r="S4" s="298" t="s">
        <v>289</v>
      </c>
      <c r="T4" s="298"/>
      <c r="U4" s="298"/>
      <c r="V4" s="298" t="s">
        <v>290</v>
      </c>
      <c r="W4" s="298"/>
      <c r="X4" s="298"/>
      <c r="Y4" s="304"/>
      <c r="Z4" s="237"/>
    </row>
    <row r="5" spans="1:61" s="26" customFormat="1" ht="49.5" customHeight="1">
      <c r="A5" s="241"/>
      <c r="B5" s="235"/>
      <c r="C5" s="305"/>
      <c r="D5" s="242"/>
      <c r="E5" s="236"/>
      <c r="F5" s="298"/>
      <c r="G5" s="298" t="s">
        <v>304</v>
      </c>
      <c r="H5" s="298"/>
      <c r="I5" s="298" t="s">
        <v>287</v>
      </c>
      <c r="J5" s="298" t="s">
        <v>304</v>
      </c>
      <c r="K5" s="298"/>
      <c r="L5" s="298" t="s">
        <v>287</v>
      </c>
      <c r="M5" s="298" t="s">
        <v>304</v>
      </c>
      <c r="N5" s="298"/>
      <c r="O5" s="298" t="s">
        <v>287</v>
      </c>
      <c r="P5" s="298" t="s">
        <v>304</v>
      </c>
      <c r="Q5" s="298"/>
      <c r="R5" s="298" t="s">
        <v>287</v>
      </c>
      <c r="S5" s="298" t="s">
        <v>304</v>
      </c>
      <c r="T5" s="298"/>
      <c r="U5" s="298" t="s">
        <v>287</v>
      </c>
      <c r="V5" s="298" t="s">
        <v>304</v>
      </c>
      <c r="W5" s="298"/>
      <c r="X5" s="300" t="s">
        <v>287</v>
      </c>
      <c r="Y5" s="246"/>
      <c r="Z5" s="237"/>
    </row>
    <row r="6" spans="1:61" s="24" customFormat="1" ht="13.5" customHeight="1">
      <c r="A6" s="241"/>
      <c r="B6" s="235"/>
      <c r="C6" s="291" t="s">
        <v>294</v>
      </c>
      <c r="D6" s="291" t="s">
        <v>295</v>
      </c>
      <c r="E6" s="291" t="s">
        <v>296</v>
      </c>
      <c r="F6" s="298"/>
      <c r="G6" s="291" t="s">
        <v>295</v>
      </c>
      <c r="H6" s="291" t="s">
        <v>296</v>
      </c>
      <c r="I6" s="298"/>
      <c r="J6" s="291" t="s">
        <v>295</v>
      </c>
      <c r="K6" s="291" t="s">
        <v>296</v>
      </c>
      <c r="L6" s="298"/>
      <c r="M6" s="291" t="s">
        <v>295</v>
      </c>
      <c r="N6" s="291" t="s">
        <v>296</v>
      </c>
      <c r="O6" s="298"/>
      <c r="P6" s="291" t="s">
        <v>295</v>
      </c>
      <c r="Q6" s="291" t="s">
        <v>296</v>
      </c>
      <c r="R6" s="298"/>
      <c r="S6" s="291" t="s">
        <v>295</v>
      </c>
      <c r="T6" s="291" t="s">
        <v>296</v>
      </c>
      <c r="U6" s="298"/>
      <c r="V6" s="291" t="s">
        <v>295</v>
      </c>
      <c r="W6" s="291" t="s">
        <v>296</v>
      </c>
      <c r="X6" s="300"/>
      <c r="Y6" s="234" t="s">
        <v>295</v>
      </c>
      <c r="Z6" s="295" t="s">
        <v>296</v>
      </c>
    </row>
    <row r="7" spans="1:61" s="24" customFormat="1" ht="18" customHeight="1">
      <c r="A7" s="242"/>
      <c r="B7" s="236"/>
      <c r="C7" s="292"/>
      <c r="D7" s="292"/>
      <c r="E7" s="292"/>
      <c r="F7" s="299"/>
      <c r="G7" s="292"/>
      <c r="H7" s="292"/>
      <c r="I7" s="299"/>
      <c r="J7" s="292"/>
      <c r="K7" s="292"/>
      <c r="L7" s="299"/>
      <c r="M7" s="292"/>
      <c r="N7" s="292"/>
      <c r="O7" s="299"/>
      <c r="P7" s="292"/>
      <c r="Q7" s="292"/>
      <c r="R7" s="299"/>
      <c r="S7" s="292"/>
      <c r="T7" s="292"/>
      <c r="U7" s="299"/>
      <c r="V7" s="292"/>
      <c r="W7" s="292"/>
      <c r="X7" s="301"/>
      <c r="Y7" s="297"/>
      <c r="Z7" s="296"/>
    </row>
    <row r="8" spans="1:61" s="127" customFormat="1" ht="14.1" customHeight="1">
      <c r="A8" s="115" t="s">
        <v>142</v>
      </c>
      <c r="B8" s="116" t="s">
        <v>26</v>
      </c>
      <c r="C8" s="87">
        <v>18313</v>
      </c>
      <c r="D8" s="87">
        <v>9951</v>
      </c>
      <c r="E8" s="87">
        <v>8362</v>
      </c>
      <c r="F8" s="87">
        <v>2435580</v>
      </c>
      <c r="G8" s="87">
        <v>31</v>
      </c>
      <c r="H8" s="87">
        <v>18</v>
      </c>
      <c r="I8" s="87">
        <v>8503</v>
      </c>
      <c r="J8" s="87">
        <v>117</v>
      </c>
      <c r="K8" s="87">
        <v>85</v>
      </c>
      <c r="L8" s="87">
        <v>36551</v>
      </c>
      <c r="M8" s="87">
        <v>1192</v>
      </c>
      <c r="N8" s="87">
        <v>2512</v>
      </c>
      <c r="O8" s="87">
        <v>223807</v>
      </c>
      <c r="P8" s="87">
        <v>3176</v>
      </c>
      <c r="Q8" s="87">
        <v>1899</v>
      </c>
      <c r="R8" s="87">
        <v>845631</v>
      </c>
      <c r="S8" s="87">
        <v>2103</v>
      </c>
      <c r="T8" s="87">
        <v>2124</v>
      </c>
      <c r="U8" s="87">
        <v>846427</v>
      </c>
      <c r="V8" s="87">
        <v>3332</v>
      </c>
      <c r="W8" s="87">
        <v>1724</v>
      </c>
      <c r="X8" s="87">
        <v>474661</v>
      </c>
      <c r="Y8" s="87">
        <v>261</v>
      </c>
      <c r="Z8" s="87">
        <v>348</v>
      </c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</row>
    <row r="9" spans="1:61" ht="14.1" customHeight="1">
      <c r="A9" s="129" t="s">
        <v>175</v>
      </c>
      <c r="B9" s="98" t="s">
        <v>176</v>
      </c>
      <c r="C9" s="92">
        <v>1417</v>
      </c>
      <c r="D9" s="92">
        <v>735</v>
      </c>
      <c r="E9" s="92">
        <v>682</v>
      </c>
      <c r="F9" s="92">
        <v>258982</v>
      </c>
      <c r="G9" s="92">
        <v>0</v>
      </c>
      <c r="H9" s="92">
        <v>0</v>
      </c>
      <c r="I9" s="92">
        <v>530</v>
      </c>
      <c r="J9" s="92">
        <v>4</v>
      </c>
      <c r="K9" s="92">
        <v>5</v>
      </c>
      <c r="L9" s="92">
        <v>586</v>
      </c>
      <c r="M9" s="92">
        <v>310</v>
      </c>
      <c r="N9" s="92">
        <v>361</v>
      </c>
      <c r="O9" s="92">
        <v>53380</v>
      </c>
      <c r="P9" s="92">
        <v>127</v>
      </c>
      <c r="Q9" s="92">
        <v>77</v>
      </c>
      <c r="R9" s="92">
        <v>60901</v>
      </c>
      <c r="S9" s="92">
        <v>110</v>
      </c>
      <c r="T9" s="92">
        <v>94</v>
      </c>
      <c r="U9" s="92">
        <v>53423</v>
      </c>
      <c r="V9" s="92">
        <v>184</v>
      </c>
      <c r="W9" s="92">
        <v>145</v>
      </c>
      <c r="X9" s="92">
        <v>90162</v>
      </c>
      <c r="Y9" s="92">
        <v>0</v>
      </c>
      <c r="Z9" s="92">
        <v>0</v>
      </c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</row>
    <row r="10" spans="1:61" ht="14.1" customHeight="1">
      <c r="A10" s="129" t="s">
        <v>152</v>
      </c>
      <c r="B10" s="98" t="s">
        <v>40</v>
      </c>
      <c r="C10" s="92">
        <v>151</v>
      </c>
      <c r="D10" s="92">
        <v>80</v>
      </c>
      <c r="E10" s="92">
        <v>71</v>
      </c>
      <c r="F10" s="92">
        <v>10778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56</v>
      </c>
      <c r="Q10" s="92">
        <v>56</v>
      </c>
      <c r="R10" s="92">
        <v>7890</v>
      </c>
      <c r="S10" s="92">
        <v>9</v>
      </c>
      <c r="T10" s="92">
        <v>6</v>
      </c>
      <c r="U10" s="92">
        <v>1137</v>
      </c>
      <c r="V10" s="92">
        <v>15</v>
      </c>
      <c r="W10" s="92">
        <v>9</v>
      </c>
      <c r="X10" s="92">
        <v>1751</v>
      </c>
      <c r="Y10" s="92">
        <v>8</v>
      </c>
      <c r="Z10" s="92">
        <v>9</v>
      </c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61" ht="14.1" customHeight="1">
      <c r="A11" s="129" t="s">
        <v>153</v>
      </c>
      <c r="B11" s="98" t="s">
        <v>154</v>
      </c>
      <c r="C11" s="92">
        <v>273</v>
      </c>
      <c r="D11" s="92">
        <v>137</v>
      </c>
      <c r="E11" s="92">
        <v>136</v>
      </c>
      <c r="F11" s="92">
        <v>94501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111</v>
      </c>
      <c r="Q11" s="92">
        <v>112</v>
      </c>
      <c r="R11" s="92">
        <v>70908</v>
      </c>
      <c r="S11" s="92">
        <v>23</v>
      </c>
      <c r="T11" s="92">
        <v>20</v>
      </c>
      <c r="U11" s="92">
        <v>12074</v>
      </c>
      <c r="V11" s="92">
        <v>3</v>
      </c>
      <c r="W11" s="92">
        <v>4</v>
      </c>
      <c r="X11" s="92">
        <v>11519</v>
      </c>
      <c r="Y11" s="92">
        <v>0</v>
      </c>
      <c r="Z11" s="92">
        <v>0</v>
      </c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</row>
    <row r="12" spans="1:61" ht="14.1" customHeight="1">
      <c r="A12" s="129" t="s">
        <v>155</v>
      </c>
      <c r="B12" s="98" t="s">
        <v>42</v>
      </c>
      <c r="C12" s="92">
        <v>61</v>
      </c>
      <c r="D12" s="92">
        <v>45</v>
      </c>
      <c r="E12" s="92">
        <v>16</v>
      </c>
      <c r="F12" s="92">
        <v>12576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43</v>
      </c>
      <c r="Q12" s="92">
        <v>15</v>
      </c>
      <c r="R12" s="92">
        <v>11744</v>
      </c>
      <c r="S12" s="92">
        <v>2</v>
      </c>
      <c r="T12" s="92">
        <v>1</v>
      </c>
      <c r="U12" s="92">
        <v>832</v>
      </c>
      <c r="V12" s="92">
        <v>0</v>
      </c>
      <c r="W12" s="92">
        <v>0</v>
      </c>
      <c r="X12" s="92">
        <v>0</v>
      </c>
      <c r="Y12" s="92">
        <v>0</v>
      </c>
      <c r="Z12" s="92">
        <v>0</v>
      </c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</row>
    <row r="13" spans="1:61" ht="14.1" customHeight="1">
      <c r="A13" s="129" t="s">
        <v>156</v>
      </c>
      <c r="B13" s="98" t="s">
        <v>44</v>
      </c>
      <c r="C13" s="92">
        <v>159</v>
      </c>
      <c r="D13" s="92">
        <v>83</v>
      </c>
      <c r="E13" s="92">
        <v>76</v>
      </c>
      <c r="F13" s="92">
        <v>36826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66</v>
      </c>
      <c r="Q13" s="92">
        <v>44</v>
      </c>
      <c r="R13" s="92">
        <v>26521</v>
      </c>
      <c r="S13" s="92">
        <v>15</v>
      </c>
      <c r="T13" s="92">
        <v>31</v>
      </c>
      <c r="U13" s="92">
        <v>9740</v>
      </c>
      <c r="V13" s="92">
        <v>2</v>
      </c>
      <c r="W13" s="92">
        <v>1</v>
      </c>
      <c r="X13" s="92">
        <v>565</v>
      </c>
      <c r="Y13" s="92">
        <v>0</v>
      </c>
      <c r="Z13" s="92">
        <v>0</v>
      </c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</row>
    <row r="14" spans="1:61" ht="14.1" customHeight="1">
      <c r="A14" s="129" t="s">
        <v>177</v>
      </c>
      <c r="B14" s="98" t="s">
        <v>178</v>
      </c>
      <c r="C14" s="92">
        <v>387</v>
      </c>
      <c r="D14" s="92">
        <v>218</v>
      </c>
      <c r="E14" s="92">
        <v>169</v>
      </c>
      <c r="F14" s="92">
        <v>129214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166</v>
      </c>
      <c r="Q14" s="92">
        <v>103</v>
      </c>
      <c r="R14" s="92">
        <v>82654</v>
      </c>
      <c r="S14" s="92">
        <v>23</v>
      </c>
      <c r="T14" s="92">
        <v>29</v>
      </c>
      <c r="U14" s="92">
        <v>27040</v>
      </c>
      <c r="V14" s="92">
        <v>29</v>
      </c>
      <c r="W14" s="92">
        <v>37</v>
      </c>
      <c r="X14" s="92">
        <v>19520</v>
      </c>
      <c r="Y14" s="92">
        <v>0</v>
      </c>
      <c r="Z14" s="92">
        <v>0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</row>
    <row r="15" spans="1:61" ht="14.1" customHeight="1">
      <c r="A15" s="129" t="s">
        <v>157</v>
      </c>
      <c r="B15" s="98" t="s">
        <v>46</v>
      </c>
      <c r="C15" s="92">
        <v>301</v>
      </c>
      <c r="D15" s="92">
        <v>155</v>
      </c>
      <c r="E15" s="92">
        <v>146</v>
      </c>
      <c r="F15" s="92">
        <v>96583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94</v>
      </c>
      <c r="Q15" s="92">
        <v>73</v>
      </c>
      <c r="R15" s="92">
        <v>55205</v>
      </c>
      <c r="S15" s="92">
        <v>28</v>
      </c>
      <c r="T15" s="92">
        <v>43</v>
      </c>
      <c r="U15" s="92">
        <v>27428</v>
      </c>
      <c r="V15" s="92">
        <v>33</v>
      </c>
      <c r="W15" s="92">
        <v>30</v>
      </c>
      <c r="X15" s="92">
        <v>13950</v>
      </c>
      <c r="Y15" s="92">
        <v>0</v>
      </c>
      <c r="Z15" s="92">
        <v>0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</row>
    <row r="16" spans="1:61" ht="14.1" customHeight="1">
      <c r="A16" s="129" t="s">
        <v>158</v>
      </c>
      <c r="B16" s="98" t="s">
        <v>48</v>
      </c>
      <c r="C16" s="92">
        <v>218</v>
      </c>
      <c r="D16" s="92">
        <v>105</v>
      </c>
      <c r="E16" s="92">
        <v>113</v>
      </c>
      <c r="F16" s="92">
        <v>47372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32</v>
      </c>
      <c r="Q16" s="92">
        <v>43</v>
      </c>
      <c r="R16" s="92">
        <v>14752</v>
      </c>
      <c r="S16" s="92">
        <v>73</v>
      </c>
      <c r="T16" s="92">
        <v>70</v>
      </c>
      <c r="U16" s="92">
        <v>32498</v>
      </c>
      <c r="V16" s="92">
        <v>0</v>
      </c>
      <c r="W16" s="92">
        <v>0</v>
      </c>
      <c r="X16" s="92">
        <v>122</v>
      </c>
      <c r="Y16" s="92">
        <v>0</v>
      </c>
      <c r="Z16" s="92">
        <v>0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</row>
    <row r="17" spans="1:61" ht="14.1" customHeight="1">
      <c r="A17" s="129" t="s">
        <v>159</v>
      </c>
      <c r="B17" s="98" t="s">
        <v>50</v>
      </c>
      <c r="C17" s="92">
        <v>307</v>
      </c>
      <c r="D17" s="92">
        <v>170</v>
      </c>
      <c r="E17" s="92">
        <v>137</v>
      </c>
      <c r="F17" s="92">
        <v>97190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108</v>
      </c>
      <c r="Q17" s="92">
        <v>44</v>
      </c>
      <c r="R17" s="92">
        <v>50254</v>
      </c>
      <c r="S17" s="92">
        <v>62</v>
      </c>
      <c r="T17" s="92">
        <v>93</v>
      </c>
      <c r="U17" s="92">
        <v>46936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</row>
    <row r="18" spans="1:61" ht="14.1" customHeight="1">
      <c r="A18" s="129" t="s">
        <v>160</v>
      </c>
      <c r="B18" s="98" t="s">
        <v>52</v>
      </c>
      <c r="C18" s="92">
        <v>304</v>
      </c>
      <c r="D18" s="92">
        <v>130</v>
      </c>
      <c r="E18" s="92">
        <v>174</v>
      </c>
      <c r="F18" s="92">
        <v>111243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120</v>
      </c>
      <c r="Q18" s="92">
        <v>154</v>
      </c>
      <c r="R18" s="92">
        <v>93888</v>
      </c>
      <c r="S18" s="92">
        <v>10</v>
      </c>
      <c r="T18" s="92">
        <v>20</v>
      </c>
      <c r="U18" s="92">
        <v>10115</v>
      </c>
      <c r="V18" s="92">
        <v>0</v>
      </c>
      <c r="W18" s="92">
        <v>0</v>
      </c>
      <c r="X18" s="92">
        <v>7240</v>
      </c>
      <c r="Y18" s="92">
        <v>0</v>
      </c>
      <c r="Z18" s="92">
        <v>3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</row>
    <row r="19" spans="1:61" ht="14.1" customHeight="1">
      <c r="A19" s="129" t="s">
        <v>179</v>
      </c>
      <c r="B19" s="98" t="s">
        <v>180</v>
      </c>
      <c r="C19" s="92">
        <v>710</v>
      </c>
      <c r="D19" s="92">
        <v>368</v>
      </c>
      <c r="E19" s="92">
        <v>342</v>
      </c>
      <c r="F19" s="92">
        <v>202407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145</v>
      </c>
      <c r="Q19" s="92">
        <v>37</v>
      </c>
      <c r="R19" s="92">
        <v>52249</v>
      </c>
      <c r="S19" s="92">
        <v>221</v>
      </c>
      <c r="T19" s="92">
        <v>300</v>
      </c>
      <c r="U19" s="92">
        <v>145464</v>
      </c>
      <c r="V19" s="92">
        <v>2</v>
      </c>
      <c r="W19" s="92">
        <v>5</v>
      </c>
      <c r="X19" s="92">
        <v>4694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</row>
    <row r="20" spans="1:61" ht="14.1" customHeight="1">
      <c r="A20" s="129" t="s">
        <v>181</v>
      </c>
      <c r="B20" s="98" t="s">
        <v>182</v>
      </c>
      <c r="C20" s="92">
        <v>5223</v>
      </c>
      <c r="D20" s="92">
        <v>3896</v>
      </c>
      <c r="E20" s="92">
        <v>1327</v>
      </c>
      <c r="F20" s="92">
        <v>83738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1093</v>
      </c>
      <c r="Q20" s="92">
        <v>297</v>
      </c>
      <c r="R20" s="92">
        <v>12965</v>
      </c>
      <c r="S20" s="92">
        <v>463</v>
      </c>
      <c r="T20" s="92">
        <v>330</v>
      </c>
      <c r="U20" s="92">
        <v>19326</v>
      </c>
      <c r="V20" s="92">
        <v>2340</v>
      </c>
      <c r="W20" s="92">
        <v>700</v>
      </c>
      <c r="X20" s="92">
        <v>51447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</row>
    <row r="21" spans="1:61" ht="14.1" customHeight="1">
      <c r="A21" s="129" t="s">
        <v>161</v>
      </c>
      <c r="B21" s="98" t="s">
        <v>54</v>
      </c>
      <c r="C21" s="92">
        <v>294</v>
      </c>
      <c r="D21" s="92">
        <v>159</v>
      </c>
      <c r="E21" s="92">
        <v>135</v>
      </c>
      <c r="F21" s="92">
        <v>30264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116</v>
      </c>
      <c r="Q21" s="92">
        <v>80</v>
      </c>
      <c r="R21" s="92">
        <v>19414</v>
      </c>
      <c r="S21" s="92">
        <v>32</v>
      </c>
      <c r="T21" s="92">
        <v>44</v>
      </c>
      <c r="U21" s="92">
        <v>8582</v>
      </c>
      <c r="V21" s="92">
        <v>11</v>
      </c>
      <c r="W21" s="92">
        <v>11</v>
      </c>
      <c r="X21" s="92">
        <v>2268</v>
      </c>
      <c r="Y21" s="92">
        <v>16</v>
      </c>
      <c r="Z21" s="92">
        <v>26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</row>
    <row r="22" spans="1:61" ht="14.1" customHeight="1">
      <c r="A22" s="129" t="s">
        <v>162</v>
      </c>
      <c r="B22" s="98" t="s">
        <v>56</v>
      </c>
      <c r="C22" s="92">
        <v>825</v>
      </c>
      <c r="D22" s="92">
        <v>426</v>
      </c>
      <c r="E22" s="92">
        <v>399</v>
      </c>
      <c r="F22" s="92">
        <v>60496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274</v>
      </c>
      <c r="Q22" s="92">
        <v>165</v>
      </c>
      <c r="R22" s="92">
        <v>42199</v>
      </c>
      <c r="S22" s="92">
        <v>89</v>
      </c>
      <c r="T22" s="92">
        <v>191</v>
      </c>
      <c r="U22" s="92">
        <v>17723</v>
      </c>
      <c r="V22" s="92">
        <v>63</v>
      </c>
      <c r="W22" s="92">
        <v>43</v>
      </c>
      <c r="X22" s="92">
        <v>574</v>
      </c>
      <c r="Y22" s="92">
        <v>125</v>
      </c>
      <c r="Z22" s="92">
        <v>155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</row>
    <row r="23" spans="1:61" ht="14.1" customHeight="1">
      <c r="A23" s="129" t="s">
        <v>163</v>
      </c>
      <c r="B23" s="98" t="s">
        <v>58</v>
      </c>
      <c r="C23" s="92">
        <v>463</v>
      </c>
      <c r="D23" s="92">
        <v>277</v>
      </c>
      <c r="E23" s="92">
        <v>186</v>
      </c>
      <c r="F23" s="92">
        <v>105972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178</v>
      </c>
      <c r="Q23" s="92">
        <v>107</v>
      </c>
      <c r="R23" s="92">
        <v>66187</v>
      </c>
      <c r="S23" s="92">
        <v>99</v>
      </c>
      <c r="T23" s="92">
        <v>79</v>
      </c>
      <c r="U23" s="92">
        <v>39785</v>
      </c>
      <c r="V23" s="92">
        <v>0</v>
      </c>
      <c r="W23" s="92">
        <v>0</v>
      </c>
      <c r="X23" s="92">
        <v>0</v>
      </c>
      <c r="Y23" s="92">
        <v>112</v>
      </c>
      <c r="Z23" s="92">
        <v>155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</row>
    <row r="24" spans="1:61" ht="14.1" customHeight="1">
      <c r="A24" s="129" t="s">
        <v>164</v>
      </c>
      <c r="B24" s="98" t="s">
        <v>60</v>
      </c>
      <c r="C24" s="92">
        <v>353</v>
      </c>
      <c r="D24" s="92">
        <v>137</v>
      </c>
      <c r="E24" s="92">
        <v>216</v>
      </c>
      <c r="F24" s="92">
        <v>58816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39</v>
      </c>
      <c r="Q24" s="92">
        <v>44</v>
      </c>
      <c r="R24" s="92">
        <v>15857</v>
      </c>
      <c r="S24" s="92">
        <v>43</v>
      </c>
      <c r="T24" s="92">
        <v>78</v>
      </c>
      <c r="U24" s="92">
        <v>20627</v>
      </c>
      <c r="V24" s="92">
        <v>55</v>
      </c>
      <c r="W24" s="92">
        <v>94</v>
      </c>
      <c r="X24" s="92">
        <v>22332</v>
      </c>
      <c r="Y24" s="92">
        <v>0</v>
      </c>
      <c r="Z24" s="92">
        <v>0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</row>
    <row r="25" spans="1:61" ht="14.1" customHeight="1">
      <c r="A25" s="129" t="s">
        <v>165</v>
      </c>
      <c r="B25" s="98" t="s">
        <v>62</v>
      </c>
      <c r="C25" s="92">
        <v>375</v>
      </c>
      <c r="D25" s="92">
        <v>176</v>
      </c>
      <c r="E25" s="92">
        <v>199</v>
      </c>
      <c r="F25" s="92">
        <v>16895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102</v>
      </c>
      <c r="Q25" s="92">
        <v>159</v>
      </c>
      <c r="R25" s="92">
        <v>12949</v>
      </c>
      <c r="S25" s="92">
        <v>74</v>
      </c>
      <c r="T25" s="92">
        <v>40</v>
      </c>
      <c r="U25" s="92">
        <v>3946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</row>
    <row r="26" spans="1:61" ht="14.1" customHeight="1">
      <c r="A26" s="129" t="s">
        <v>166</v>
      </c>
      <c r="B26" s="98" t="s">
        <v>64</v>
      </c>
      <c r="C26" s="92">
        <v>1010</v>
      </c>
      <c r="D26" s="92">
        <v>248</v>
      </c>
      <c r="E26" s="92">
        <v>762</v>
      </c>
      <c r="F26" s="92">
        <v>77752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172</v>
      </c>
      <c r="N26" s="92">
        <v>678</v>
      </c>
      <c r="O26" s="92">
        <v>28388</v>
      </c>
      <c r="P26" s="92">
        <v>40</v>
      </c>
      <c r="Q26" s="92">
        <v>44</v>
      </c>
      <c r="R26" s="92">
        <v>31620</v>
      </c>
      <c r="S26" s="92">
        <v>15</v>
      </c>
      <c r="T26" s="92">
        <v>17</v>
      </c>
      <c r="U26" s="92">
        <v>7004</v>
      </c>
      <c r="V26" s="92">
        <v>21</v>
      </c>
      <c r="W26" s="92">
        <v>23</v>
      </c>
      <c r="X26" s="92">
        <v>10740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</row>
    <row r="27" spans="1:61" ht="14.1" customHeight="1">
      <c r="A27" s="129" t="s">
        <v>183</v>
      </c>
      <c r="B27" s="98" t="s">
        <v>184</v>
      </c>
      <c r="C27" s="92">
        <v>409</v>
      </c>
      <c r="D27" s="92">
        <v>177</v>
      </c>
      <c r="E27" s="92">
        <v>232</v>
      </c>
      <c r="F27" s="92">
        <v>91776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100</v>
      </c>
      <c r="Q27" s="92">
        <v>132</v>
      </c>
      <c r="R27" s="92">
        <v>51519</v>
      </c>
      <c r="S27" s="92">
        <v>14</v>
      </c>
      <c r="T27" s="92">
        <v>19</v>
      </c>
      <c r="U27" s="92">
        <v>7626</v>
      </c>
      <c r="V27" s="92">
        <v>63</v>
      </c>
      <c r="W27" s="92">
        <v>81</v>
      </c>
      <c r="X27" s="92">
        <v>32631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</row>
    <row r="28" spans="1:61" ht="14.1" customHeight="1">
      <c r="A28" s="129" t="s">
        <v>167</v>
      </c>
      <c r="B28" s="98" t="s">
        <v>66</v>
      </c>
      <c r="C28" s="92">
        <v>171</v>
      </c>
      <c r="D28" s="92">
        <v>72</v>
      </c>
      <c r="E28" s="92">
        <v>99</v>
      </c>
      <c r="F28" s="92">
        <v>43788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23</v>
      </c>
      <c r="Q28" s="92">
        <v>10</v>
      </c>
      <c r="R28" s="92">
        <v>10648</v>
      </c>
      <c r="S28" s="92">
        <v>21</v>
      </c>
      <c r="T28" s="92">
        <v>55</v>
      </c>
      <c r="U28" s="92">
        <v>22012</v>
      </c>
      <c r="V28" s="92">
        <v>28</v>
      </c>
      <c r="W28" s="92">
        <v>34</v>
      </c>
      <c r="X28" s="92">
        <v>11128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</row>
    <row r="29" spans="1:61" ht="14.1" customHeight="1">
      <c r="A29" s="129" t="s">
        <v>185</v>
      </c>
      <c r="B29" s="98" t="s">
        <v>186</v>
      </c>
      <c r="C29" s="92">
        <v>180</v>
      </c>
      <c r="D29" s="92">
        <v>75</v>
      </c>
      <c r="E29" s="92">
        <v>105</v>
      </c>
      <c r="F29" s="92">
        <v>36125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26</v>
      </c>
      <c r="Q29" s="92">
        <v>24</v>
      </c>
      <c r="R29" s="92">
        <v>10463</v>
      </c>
      <c r="S29" s="92">
        <v>26</v>
      </c>
      <c r="T29" s="92">
        <v>54</v>
      </c>
      <c r="U29" s="92">
        <v>16590</v>
      </c>
      <c r="V29" s="92">
        <v>23</v>
      </c>
      <c r="W29" s="92">
        <v>27</v>
      </c>
      <c r="X29" s="92">
        <v>9072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</row>
    <row r="30" spans="1:61" s="95" customFormat="1" ht="14.1" customHeight="1">
      <c r="A30" s="130" t="s">
        <v>148</v>
      </c>
      <c r="B30" s="68" t="s">
        <v>187</v>
      </c>
      <c r="C30" s="92">
        <v>3232</v>
      </c>
      <c r="D30" s="92">
        <v>1275</v>
      </c>
      <c r="E30" s="92">
        <v>1957</v>
      </c>
      <c r="F30" s="92">
        <v>330794</v>
      </c>
      <c r="G30" s="92">
        <v>20</v>
      </c>
      <c r="H30" s="92">
        <v>11</v>
      </c>
      <c r="I30" s="92">
        <v>2865</v>
      </c>
      <c r="J30" s="92">
        <v>65</v>
      </c>
      <c r="K30" s="92">
        <v>35</v>
      </c>
      <c r="L30" s="92">
        <v>9430</v>
      </c>
      <c r="M30" s="92">
        <v>638</v>
      </c>
      <c r="N30" s="92">
        <v>1396</v>
      </c>
      <c r="O30" s="92">
        <v>103037</v>
      </c>
      <c r="P30" s="92">
        <v>53</v>
      </c>
      <c r="Q30" s="92">
        <v>42</v>
      </c>
      <c r="R30" s="92">
        <v>19613</v>
      </c>
      <c r="S30" s="92">
        <v>167</v>
      </c>
      <c r="T30" s="92">
        <v>135</v>
      </c>
      <c r="U30" s="92">
        <v>64522</v>
      </c>
      <c r="V30" s="92">
        <v>332</v>
      </c>
      <c r="W30" s="92">
        <v>338</v>
      </c>
      <c r="X30" s="92">
        <v>131327</v>
      </c>
      <c r="Y30" s="92">
        <v>0</v>
      </c>
      <c r="Z30" s="92">
        <v>0</v>
      </c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</row>
    <row r="31" spans="1:61" s="95" customFormat="1" ht="14.1" customHeight="1">
      <c r="A31" s="130" t="s">
        <v>151</v>
      </c>
      <c r="B31" s="68" t="s">
        <v>188</v>
      </c>
      <c r="C31" s="92">
        <v>1490</v>
      </c>
      <c r="D31" s="92">
        <v>807</v>
      </c>
      <c r="E31" s="92">
        <v>683</v>
      </c>
      <c r="F31" s="92">
        <v>401492</v>
      </c>
      <c r="G31" s="92">
        <v>11</v>
      </c>
      <c r="H31" s="92">
        <v>7</v>
      </c>
      <c r="I31" s="92">
        <v>5108</v>
      </c>
      <c r="J31" s="92">
        <v>48</v>
      </c>
      <c r="K31" s="92">
        <v>45</v>
      </c>
      <c r="L31" s="92">
        <v>26535</v>
      </c>
      <c r="M31" s="92">
        <v>72</v>
      </c>
      <c r="N31" s="92">
        <v>77</v>
      </c>
      <c r="O31" s="92">
        <v>39002</v>
      </c>
      <c r="P31" s="92">
        <v>64</v>
      </c>
      <c r="Q31" s="92">
        <v>37</v>
      </c>
      <c r="R31" s="92">
        <v>25231</v>
      </c>
      <c r="S31" s="92">
        <v>484</v>
      </c>
      <c r="T31" s="92">
        <v>375</v>
      </c>
      <c r="U31" s="92">
        <v>251997</v>
      </c>
      <c r="V31" s="92">
        <v>128</v>
      </c>
      <c r="W31" s="92">
        <v>142</v>
      </c>
      <c r="X31" s="92">
        <v>53619</v>
      </c>
      <c r="Y31" s="92">
        <v>0</v>
      </c>
      <c r="Z31" s="92">
        <v>0</v>
      </c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</row>
    <row r="32" spans="1:61" ht="15.6" customHeight="1">
      <c r="A32" s="129" t="s">
        <v>168</v>
      </c>
      <c r="B32" s="98" t="s">
        <v>68</v>
      </c>
      <c r="C32" s="92">
        <v>0</v>
      </c>
      <c r="D32" s="92">
        <v>0</v>
      </c>
      <c r="E32" s="92">
        <v>0</v>
      </c>
      <c r="F32" s="92">
        <v>0</v>
      </c>
      <c r="G32" s="92">
        <v>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v>0</v>
      </c>
      <c r="T32" s="92">
        <v>0</v>
      </c>
      <c r="U32" s="92">
        <v>0</v>
      </c>
      <c r="V32" s="92">
        <v>0</v>
      </c>
      <c r="W32" s="92">
        <v>0</v>
      </c>
      <c r="X32" s="92">
        <v>0</v>
      </c>
      <c r="Y32" s="92">
        <v>0</v>
      </c>
      <c r="Z32" s="92">
        <v>0</v>
      </c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</row>
    <row r="33" spans="1:38" ht="15.6" customHeight="1">
      <c r="A33" s="132" t="s">
        <v>169</v>
      </c>
      <c r="B33" s="100" t="s">
        <v>70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Z33" s="101">
        <v>0</v>
      </c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</row>
    <row r="34" spans="1:38" ht="16.5">
      <c r="A34" s="37" t="s">
        <v>13</v>
      </c>
      <c r="B34" s="102"/>
    </row>
    <row r="35" spans="1:38">
      <c r="A35" s="39" t="s">
        <v>14</v>
      </c>
    </row>
  </sheetData>
  <mergeCells count="42"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  <mergeCell ref="C6:C7"/>
    <mergeCell ref="D6:D7"/>
    <mergeCell ref="E6:E7"/>
    <mergeCell ref="G6:G7"/>
    <mergeCell ref="H6:H7"/>
    <mergeCell ref="W6:W7"/>
    <mergeCell ref="L5:L7"/>
    <mergeCell ref="M5:N5"/>
    <mergeCell ref="O5:O7"/>
    <mergeCell ref="P5:Q5"/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7" fitToWidth="10" orientation="landscape" useFirstPageNumber="1" horizontalDpi="4294967292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35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375" style="39" customWidth="1"/>
    <col min="27" max="16384" width="9.375" style="39"/>
  </cols>
  <sheetData>
    <row r="1" spans="1:61" ht="21">
      <c r="A1" s="1" t="s">
        <v>111</v>
      </c>
      <c r="B1" s="85"/>
    </row>
    <row r="2" spans="1:61" ht="26.25" customHeight="1">
      <c r="A2" s="42" t="s">
        <v>189</v>
      </c>
      <c r="B2" s="125"/>
      <c r="C2" s="125"/>
    </row>
    <row r="3" spans="1:61" s="24" customFormat="1" ht="12.75" customHeight="1">
      <c r="A3" s="240" t="s">
        <v>300</v>
      </c>
      <c r="B3" s="234"/>
      <c r="C3" s="302" t="s">
        <v>297</v>
      </c>
      <c r="D3" s="302"/>
      <c r="E3" s="302"/>
      <c r="F3" s="302"/>
      <c r="G3" s="302" t="s">
        <v>298</v>
      </c>
      <c r="H3" s="302"/>
      <c r="I3" s="302"/>
      <c r="J3" s="302"/>
      <c r="K3" s="302"/>
      <c r="L3" s="302"/>
      <c r="M3" s="302"/>
      <c r="N3" s="302"/>
      <c r="O3" s="302"/>
      <c r="P3" s="302" t="s">
        <v>299</v>
      </c>
      <c r="Q3" s="302"/>
      <c r="R3" s="302"/>
      <c r="S3" s="302"/>
      <c r="T3" s="302"/>
      <c r="U3" s="302"/>
      <c r="V3" s="302"/>
      <c r="W3" s="302"/>
      <c r="X3" s="237"/>
      <c r="Y3" s="303" t="s">
        <v>301</v>
      </c>
      <c r="Z3" s="237"/>
    </row>
    <row r="4" spans="1:61" s="25" customFormat="1" ht="16.5" customHeight="1">
      <c r="A4" s="241"/>
      <c r="B4" s="235"/>
      <c r="C4" s="295" t="s">
        <v>286</v>
      </c>
      <c r="D4" s="240"/>
      <c r="E4" s="234"/>
      <c r="F4" s="298" t="s">
        <v>287</v>
      </c>
      <c r="G4" s="298" t="s">
        <v>288</v>
      </c>
      <c r="H4" s="298"/>
      <c r="I4" s="298"/>
      <c r="J4" s="298" t="s">
        <v>289</v>
      </c>
      <c r="K4" s="298"/>
      <c r="L4" s="298"/>
      <c r="M4" s="298" t="s">
        <v>290</v>
      </c>
      <c r="N4" s="298"/>
      <c r="O4" s="298"/>
      <c r="P4" s="298" t="s">
        <v>288</v>
      </c>
      <c r="Q4" s="298"/>
      <c r="R4" s="298"/>
      <c r="S4" s="298" t="s">
        <v>289</v>
      </c>
      <c r="T4" s="298"/>
      <c r="U4" s="298"/>
      <c r="V4" s="298" t="s">
        <v>290</v>
      </c>
      <c r="W4" s="298"/>
      <c r="X4" s="298"/>
      <c r="Y4" s="304"/>
      <c r="Z4" s="237"/>
    </row>
    <row r="5" spans="1:61" s="26" customFormat="1" ht="49.5" customHeight="1">
      <c r="A5" s="241"/>
      <c r="B5" s="235"/>
      <c r="C5" s="305"/>
      <c r="D5" s="242"/>
      <c r="E5" s="236"/>
      <c r="F5" s="298"/>
      <c r="G5" s="298" t="s">
        <v>304</v>
      </c>
      <c r="H5" s="298"/>
      <c r="I5" s="298" t="s">
        <v>287</v>
      </c>
      <c r="J5" s="298" t="s">
        <v>304</v>
      </c>
      <c r="K5" s="298"/>
      <c r="L5" s="298" t="s">
        <v>287</v>
      </c>
      <c r="M5" s="298" t="s">
        <v>304</v>
      </c>
      <c r="N5" s="298"/>
      <c r="O5" s="298" t="s">
        <v>287</v>
      </c>
      <c r="P5" s="298" t="s">
        <v>304</v>
      </c>
      <c r="Q5" s="298"/>
      <c r="R5" s="298" t="s">
        <v>287</v>
      </c>
      <c r="S5" s="298" t="s">
        <v>304</v>
      </c>
      <c r="T5" s="298"/>
      <c r="U5" s="298" t="s">
        <v>287</v>
      </c>
      <c r="V5" s="298" t="s">
        <v>304</v>
      </c>
      <c r="W5" s="298"/>
      <c r="X5" s="300" t="s">
        <v>287</v>
      </c>
      <c r="Y5" s="246"/>
      <c r="Z5" s="237"/>
    </row>
    <row r="6" spans="1:61" s="24" customFormat="1" ht="13.5" customHeight="1">
      <c r="A6" s="241"/>
      <c r="B6" s="235"/>
      <c r="C6" s="291" t="s">
        <v>294</v>
      </c>
      <c r="D6" s="291" t="s">
        <v>295</v>
      </c>
      <c r="E6" s="291" t="s">
        <v>296</v>
      </c>
      <c r="F6" s="298"/>
      <c r="G6" s="291" t="s">
        <v>295</v>
      </c>
      <c r="H6" s="291" t="s">
        <v>296</v>
      </c>
      <c r="I6" s="298"/>
      <c r="J6" s="291" t="s">
        <v>295</v>
      </c>
      <c r="K6" s="291" t="s">
        <v>296</v>
      </c>
      <c r="L6" s="298"/>
      <c r="M6" s="291" t="s">
        <v>295</v>
      </c>
      <c r="N6" s="291" t="s">
        <v>296</v>
      </c>
      <c r="O6" s="298"/>
      <c r="P6" s="291" t="s">
        <v>295</v>
      </c>
      <c r="Q6" s="291" t="s">
        <v>296</v>
      </c>
      <c r="R6" s="298"/>
      <c r="S6" s="291" t="s">
        <v>295</v>
      </c>
      <c r="T6" s="291" t="s">
        <v>296</v>
      </c>
      <c r="U6" s="298"/>
      <c r="V6" s="291" t="s">
        <v>295</v>
      </c>
      <c r="W6" s="291" t="s">
        <v>296</v>
      </c>
      <c r="X6" s="300"/>
      <c r="Y6" s="234" t="s">
        <v>295</v>
      </c>
      <c r="Z6" s="295" t="s">
        <v>296</v>
      </c>
    </row>
    <row r="7" spans="1:61" s="24" customFormat="1" ht="18" customHeight="1">
      <c r="A7" s="242"/>
      <c r="B7" s="236"/>
      <c r="C7" s="292"/>
      <c r="D7" s="292"/>
      <c r="E7" s="292"/>
      <c r="F7" s="299"/>
      <c r="G7" s="292"/>
      <c r="H7" s="292"/>
      <c r="I7" s="299"/>
      <c r="J7" s="292"/>
      <c r="K7" s="292"/>
      <c r="L7" s="299"/>
      <c r="M7" s="292"/>
      <c r="N7" s="292"/>
      <c r="O7" s="299"/>
      <c r="P7" s="292"/>
      <c r="Q7" s="292"/>
      <c r="R7" s="299"/>
      <c r="S7" s="292"/>
      <c r="T7" s="292"/>
      <c r="U7" s="299"/>
      <c r="V7" s="292"/>
      <c r="W7" s="292"/>
      <c r="X7" s="301"/>
      <c r="Y7" s="297"/>
      <c r="Z7" s="296"/>
    </row>
    <row r="8" spans="1:61" s="127" customFormat="1" ht="14.1" customHeight="1">
      <c r="A8" s="115" t="s">
        <v>142</v>
      </c>
      <c r="B8" s="116" t="s">
        <v>26</v>
      </c>
      <c r="C8" s="87">
        <v>30260</v>
      </c>
      <c r="D8" s="87">
        <v>14431</v>
      </c>
      <c r="E8" s="87">
        <v>15829</v>
      </c>
      <c r="F8" s="87">
        <v>3153787</v>
      </c>
      <c r="G8" s="87">
        <v>109</v>
      </c>
      <c r="H8" s="87">
        <v>110</v>
      </c>
      <c r="I8" s="87">
        <v>20579</v>
      </c>
      <c r="J8" s="87">
        <v>379</v>
      </c>
      <c r="K8" s="87">
        <v>351</v>
      </c>
      <c r="L8" s="87">
        <v>85345</v>
      </c>
      <c r="M8" s="87">
        <v>8543</v>
      </c>
      <c r="N8" s="87">
        <v>10410</v>
      </c>
      <c r="O8" s="87">
        <v>621683</v>
      </c>
      <c r="P8" s="87">
        <v>1747</v>
      </c>
      <c r="Q8" s="87">
        <v>1182</v>
      </c>
      <c r="R8" s="87">
        <v>727186</v>
      </c>
      <c r="S8" s="87">
        <v>1768</v>
      </c>
      <c r="T8" s="87">
        <v>1805</v>
      </c>
      <c r="U8" s="87">
        <v>945443</v>
      </c>
      <c r="V8" s="87">
        <v>1885</v>
      </c>
      <c r="W8" s="87">
        <v>1971</v>
      </c>
      <c r="X8" s="87">
        <v>753551</v>
      </c>
      <c r="Y8" s="87">
        <v>239</v>
      </c>
      <c r="Z8" s="87">
        <v>298</v>
      </c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</row>
    <row r="9" spans="1:61" ht="14.1" customHeight="1">
      <c r="A9" s="129" t="s">
        <v>175</v>
      </c>
      <c r="B9" s="98" t="s">
        <v>176</v>
      </c>
      <c r="C9" s="92">
        <v>1339</v>
      </c>
      <c r="D9" s="92">
        <v>721</v>
      </c>
      <c r="E9" s="92">
        <v>618</v>
      </c>
      <c r="F9" s="92">
        <v>243669</v>
      </c>
      <c r="G9" s="92">
        <v>0</v>
      </c>
      <c r="H9" s="92">
        <v>0</v>
      </c>
      <c r="I9" s="92">
        <v>0</v>
      </c>
      <c r="J9" s="92">
        <v>3</v>
      </c>
      <c r="K9" s="92">
        <v>5</v>
      </c>
      <c r="L9" s="92">
        <v>370</v>
      </c>
      <c r="M9" s="92">
        <v>323</v>
      </c>
      <c r="N9" s="92">
        <v>349</v>
      </c>
      <c r="O9" s="92">
        <v>56544</v>
      </c>
      <c r="P9" s="92">
        <v>111</v>
      </c>
      <c r="Q9" s="92">
        <v>60</v>
      </c>
      <c r="R9" s="92">
        <v>51048</v>
      </c>
      <c r="S9" s="92">
        <v>108</v>
      </c>
      <c r="T9" s="92">
        <v>73</v>
      </c>
      <c r="U9" s="92">
        <v>53461</v>
      </c>
      <c r="V9" s="92">
        <v>176</v>
      </c>
      <c r="W9" s="92">
        <v>131</v>
      </c>
      <c r="X9" s="92">
        <v>82246</v>
      </c>
      <c r="Y9" s="92">
        <v>1</v>
      </c>
      <c r="Z9" s="92">
        <v>1</v>
      </c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</row>
    <row r="10" spans="1:61" ht="14.1" customHeight="1">
      <c r="A10" s="129" t="s">
        <v>152</v>
      </c>
      <c r="B10" s="98" t="s">
        <v>40</v>
      </c>
      <c r="C10" s="92">
        <v>259</v>
      </c>
      <c r="D10" s="92">
        <v>128</v>
      </c>
      <c r="E10" s="92">
        <v>131</v>
      </c>
      <c r="F10" s="92">
        <v>6545</v>
      </c>
      <c r="G10" s="92">
        <v>38</v>
      </c>
      <c r="H10" s="92">
        <v>57</v>
      </c>
      <c r="I10" s="92">
        <v>2331</v>
      </c>
      <c r="J10" s="92">
        <v>83</v>
      </c>
      <c r="K10" s="92">
        <v>62</v>
      </c>
      <c r="L10" s="92">
        <v>1368</v>
      </c>
      <c r="M10" s="92">
        <v>0</v>
      </c>
      <c r="N10" s="92">
        <v>0</v>
      </c>
      <c r="O10" s="92">
        <v>0</v>
      </c>
      <c r="P10" s="92">
        <v>4</v>
      </c>
      <c r="Q10" s="92">
        <v>7</v>
      </c>
      <c r="R10" s="92">
        <v>1698</v>
      </c>
      <c r="S10" s="92">
        <v>3</v>
      </c>
      <c r="T10" s="92">
        <v>5</v>
      </c>
      <c r="U10" s="92">
        <v>1148</v>
      </c>
      <c r="V10" s="92">
        <v>0</v>
      </c>
      <c r="W10" s="92">
        <v>0</v>
      </c>
      <c r="X10" s="92">
        <v>0</v>
      </c>
      <c r="Y10" s="92">
        <v>12</v>
      </c>
      <c r="Z10" s="92">
        <v>17</v>
      </c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61" ht="14.1" customHeight="1">
      <c r="A11" s="129" t="s">
        <v>153</v>
      </c>
      <c r="B11" s="98" t="s">
        <v>154</v>
      </c>
      <c r="C11" s="92">
        <v>234</v>
      </c>
      <c r="D11" s="92">
        <v>123</v>
      </c>
      <c r="E11" s="92">
        <v>111</v>
      </c>
      <c r="F11" s="92">
        <v>108746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30901</v>
      </c>
      <c r="P11" s="92">
        <v>99</v>
      </c>
      <c r="Q11" s="92">
        <v>93</v>
      </c>
      <c r="R11" s="92">
        <v>62536</v>
      </c>
      <c r="S11" s="92">
        <v>19</v>
      </c>
      <c r="T11" s="92">
        <v>15</v>
      </c>
      <c r="U11" s="92">
        <v>10489</v>
      </c>
      <c r="V11" s="92">
        <v>5</v>
      </c>
      <c r="W11" s="92">
        <v>3</v>
      </c>
      <c r="X11" s="92">
        <v>4820</v>
      </c>
      <c r="Y11" s="92">
        <v>0</v>
      </c>
      <c r="Z11" s="92">
        <v>0</v>
      </c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</row>
    <row r="12" spans="1:61" ht="14.1" customHeight="1">
      <c r="A12" s="129" t="s">
        <v>155</v>
      </c>
      <c r="B12" s="98" t="s">
        <v>42</v>
      </c>
      <c r="C12" s="92">
        <v>45</v>
      </c>
      <c r="D12" s="92">
        <v>33</v>
      </c>
      <c r="E12" s="92">
        <v>12</v>
      </c>
      <c r="F12" s="92">
        <v>10049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31</v>
      </c>
      <c r="Q12" s="92">
        <v>11</v>
      </c>
      <c r="R12" s="92">
        <v>9454</v>
      </c>
      <c r="S12" s="92">
        <v>2</v>
      </c>
      <c r="T12" s="92">
        <v>1</v>
      </c>
      <c r="U12" s="92">
        <v>595</v>
      </c>
      <c r="V12" s="92">
        <v>0</v>
      </c>
      <c r="W12" s="92">
        <v>0</v>
      </c>
      <c r="X12" s="92">
        <v>0</v>
      </c>
      <c r="Y12" s="92">
        <v>0</v>
      </c>
      <c r="Z12" s="92">
        <v>1</v>
      </c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</row>
    <row r="13" spans="1:61" ht="14.1" customHeight="1">
      <c r="A13" s="129" t="s">
        <v>156</v>
      </c>
      <c r="B13" s="98" t="s">
        <v>44</v>
      </c>
      <c r="C13" s="92">
        <v>169</v>
      </c>
      <c r="D13" s="92">
        <v>90</v>
      </c>
      <c r="E13" s="92">
        <v>79</v>
      </c>
      <c r="F13" s="92">
        <v>34683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69</v>
      </c>
      <c r="Q13" s="92">
        <v>49</v>
      </c>
      <c r="R13" s="92">
        <v>23492</v>
      </c>
      <c r="S13" s="92">
        <v>19</v>
      </c>
      <c r="T13" s="92">
        <v>29</v>
      </c>
      <c r="U13" s="92">
        <v>10434</v>
      </c>
      <c r="V13" s="92">
        <v>2</v>
      </c>
      <c r="W13" s="92">
        <v>1</v>
      </c>
      <c r="X13" s="92">
        <v>757</v>
      </c>
      <c r="Y13" s="92">
        <v>0</v>
      </c>
      <c r="Z13" s="92">
        <v>0</v>
      </c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</row>
    <row r="14" spans="1:61" ht="14.1" customHeight="1">
      <c r="A14" s="129" t="s">
        <v>177</v>
      </c>
      <c r="B14" s="98" t="s">
        <v>178</v>
      </c>
      <c r="C14" s="92">
        <v>429</v>
      </c>
      <c r="D14" s="92">
        <v>261</v>
      </c>
      <c r="E14" s="92">
        <v>168</v>
      </c>
      <c r="F14" s="92">
        <v>144777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134</v>
      </c>
      <c r="Q14" s="92">
        <v>60</v>
      </c>
      <c r="R14" s="92">
        <v>78246</v>
      </c>
      <c r="S14" s="92">
        <v>78</v>
      </c>
      <c r="T14" s="92">
        <v>77</v>
      </c>
      <c r="U14" s="92">
        <v>39811</v>
      </c>
      <c r="V14" s="92">
        <v>49</v>
      </c>
      <c r="W14" s="92">
        <v>31</v>
      </c>
      <c r="X14" s="92">
        <v>26720</v>
      </c>
      <c r="Y14" s="92">
        <v>0</v>
      </c>
      <c r="Z14" s="92">
        <v>0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</row>
    <row r="15" spans="1:61" ht="14.1" customHeight="1">
      <c r="A15" s="129" t="s">
        <v>157</v>
      </c>
      <c r="B15" s="98" t="s">
        <v>46</v>
      </c>
      <c r="C15" s="92">
        <v>516</v>
      </c>
      <c r="D15" s="92">
        <v>270</v>
      </c>
      <c r="E15" s="92">
        <v>246</v>
      </c>
      <c r="F15" s="92">
        <v>78988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146</v>
      </c>
      <c r="Q15" s="92">
        <v>102</v>
      </c>
      <c r="R15" s="92">
        <v>40963</v>
      </c>
      <c r="S15" s="92">
        <v>87</v>
      </c>
      <c r="T15" s="92">
        <v>106</v>
      </c>
      <c r="U15" s="92">
        <v>28152</v>
      </c>
      <c r="V15" s="92">
        <v>37</v>
      </c>
      <c r="W15" s="92">
        <v>38</v>
      </c>
      <c r="X15" s="92">
        <v>9873</v>
      </c>
      <c r="Y15" s="92">
        <v>0</v>
      </c>
      <c r="Z15" s="92">
        <v>0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</row>
    <row r="16" spans="1:61" ht="14.1" customHeight="1">
      <c r="A16" s="129" t="s">
        <v>158</v>
      </c>
      <c r="B16" s="98" t="s">
        <v>48</v>
      </c>
      <c r="C16" s="92">
        <v>220</v>
      </c>
      <c r="D16" s="92">
        <v>92</v>
      </c>
      <c r="E16" s="92">
        <v>128</v>
      </c>
      <c r="F16" s="92">
        <v>50146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22</v>
      </c>
      <c r="Q16" s="92">
        <v>46</v>
      </c>
      <c r="R16" s="92">
        <v>14384</v>
      </c>
      <c r="S16" s="92">
        <v>70</v>
      </c>
      <c r="T16" s="92">
        <v>82</v>
      </c>
      <c r="U16" s="92">
        <v>35762</v>
      </c>
      <c r="V16" s="92">
        <v>0</v>
      </c>
      <c r="W16" s="92">
        <v>0</v>
      </c>
      <c r="X16" s="92">
        <v>0</v>
      </c>
      <c r="Y16" s="92">
        <v>0</v>
      </c>
      <c r="Z16" s="92">
        <v>0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</row>
    <row r="17" spans="1:61" ht="14.1" customHeight="1">
      <c r="A17" s="129" t="s">
        <v>159</v>
      </c>
      <c r="B17" s="98" t="s">
        <v>50</v>
      </c>
      <c r="C17" s="92">
        <v>291</v>
      </c>
      <c r="D17" s="92">
        <v>168</v>
      </c>
      <c r="E17" s="92">
        <v>123</v>
      </c>
      <c r="F17" s="92">
        <v>89117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113</v>
      </c>
      <c r="Q17" s="92">
        <v>44</v>
      </c>
      <c r="R17" s="92">
        <v>49112</v>
      </c>
      <c r="S17" s="92">
        <v>55</v>
      </c>
      <c r="T17" s="92">
        <v>79</v>
      </c>
      <c r="U17" s="92">
        <v>40005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</row>
    <row r="18" spans="1:61" ht="14.1" customHeight="1">
      <c r="A18" s="129" t="s">
        <v>160</v>
      </c>
      <c r="B18" s="98" t="s">
        <v>52</v>
      </c>
      <c r="C18" s="92">
        <v>329</v>
      </c>
      <c r="D18" s="92">
        <v>147</v>
      </c>
      <c r="E18" s="92">
        <v>182</v>
      </c>
      <c r="F18" s="92">
        <v>97355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121</v>
      </c>
      <c r="Q18" s="92">
        <v>141</v>
      </c>
      <c r="R18" s="92">
        <v>73511</v>
      </c>
      <c r="S18" s="92">
        <v>6</v>
      </c>
      <c r="T18" s="92">
        <v>16</v>
      </c>
      <c r="U18" s="92">
        <v>6780</v>
      </c>
      <c r="V18" s="92">
        <v>20</v>
      </c>
      <c r="W18" s="92">
        <v>25</v>
      </c>
      <c r="X18" s="92">
        <v>17064</v>
      </c>
      <c r="Y18" s="92">
        <v>5</v>
      </c>
      <c r="Z18" s="92">
        <v>12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</row>
    <row r="19" spans="1:61" ht="14.1" customHeight="1">
      <c r="A19" s="129" t="s">
        <v>179</v>
      </c>
      <c r="B19" s="98" t="s">
        <v>180</v>
      </c>
      <c r="C19" s="92">
        <v>3003</v>
      </c>
      <c r="D19" s="92">
        <v>1383</v>
      </c>
      <c r="E19" s="92">
        <v>1620</v>
      </c>
      <c r="F19" s="92">
        <v>205627</v>
      </c>
      <c r="G19" s="92">
        <v>16</v>
      </c>
      <c r="H19" s="92">
        <v>7</v>
      </c>
      <c r="I19" s="92">
        <v>1368</v>
      </c>
      <c r="J19" s="92">
        <v>10</v>
      </c>
      <c r="K19" s="92">
        <v>9</v>
      </c>
      <c r="L19" s="92">
        <v>1199</v>
      </c>
      <c r="M19" s="92">
        <v>796</v>
      </c>
      <c r="N19" s="92">
        <v>1048</v>
      </c>
      <c r="O19" s="92">
        <v>5404</v>
      </c>
      <c r="P19" s="92">
        <v>166</v>
      </c>
      <c r="Q19" s="92">
        <v>50</v>
      </c>
      <c r="R19" s="92">
        <v>50558</v>
      </c>
      <c r="S19" s="92">
        <v>257</v>
      </c>
      <c r="T19" s="92">
        <v>279</v>
      </c>
      <c r="U19" s="92">
        <v>140592</v>
      </c>
      <c r="V19" s="92">
        <v>138</v>
      </c>
      <c r="W19" s="92">
        <v>227</v>
      </c>
      <c r="X19" s="92">
        <v>6506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</row>
    <row r="20" spans="1:61" ht="14.1" customHeight="1">
      <c r="A20" s="129" t="s">
        <v>181</v>
      </c>
      <c r="B20" s="98" t="s">
        <v>182</v>
      </c>
      <c r="C20" s="92">
        <v>13215</v>
      </c>
      <c r="D20" s="92">
        <v>6607</v>
      </c>
      <c r="E20" s="92">
        <v>6608</v>
      </c>
      <c r="F20" s="92">
        <v>494250</v>
      </c>
      <c r="G20" s="92">
        <v>43</v>
      </c>
      <c r="H20" s="92">
        <v>37</v>
      </c>
      <c r="I20" s="92">
        <v>13917</v>
      </c>
      <c r="J20" s="92">
        <v>158</v>
      </c>
      <c r="K20" s="92">
        <v>174</v>
      </c>
      <c r="L20" s="92">
        <v>25222</v>
      </c>
      <c r="M20" s="92">
        <v>5731</v>
      </c>
      <c r="N20" s="92">
        <v>5759</v>
      </c>
      <c r="O20" s="92">
        <v>341360</v>
      </c>
      <c r="P20" s="92">
        <v>105</v>
      </c>
      <c r="Q20" s="92">
        <v>56</v>
      </c>
      <c r="R20" s="92">
        <v>17588</v>
      </c>
      <c r="S20" s="92">
        <v>170</v>
      </c>
      <c r="T20" s="92">
        <v>170</v>
      </c>
      <c r="U20" s="92">
        <v>49385</v>
      </c>
      <c r="V20" s="92">
        <v>400</v>
      </c>
      <c r="W20" s="92">
        <v>412</v>
      </c>
      <c r="X20" s="92">
        <v>46778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</row>
    <row r="21" spans="1:61" ht="14.1" customHeight="1">
      <c r="A21" s="129" t="s">
        <v>161</v>
      </c>
      <c r="B21" s="98" t="s">
        <v>54</v>
      </c>
      <c r="C21" s="92">
        <v>1407</v>
      </c>
      <c r="D21" s="92">
        <v>645</v>
      </c>
      <c r="E21" s="92">
        <v>762</v>
      </c>
      <c r="F21" s="92">
        <v>29941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540</v>
      </c>
      <c r="N21" s="92">
        <v>660</v>
      </c>
      <c r="O21" s="92">
        <v>25000</v>
      </c>
      <c r="P21" s="92">
        <v>43</v>
      </c>
      <c r="Q21" s="92">
        <v>12</v>
      </c>
      <c r="R21" s="92">
        <v>1471</v>
      </c>
      <c r="S21" s="92">
        <v>12</v>
      </c>
      <c r="T21" s="92">
        <v>10</v>
      </c>
      <c r="U21" s="92">
        <v>350</v>
      </c>
      <c r="V21" s="92">
        <v>50</v>
      </c>
      <c r="W21" s="92">
        <v>80</v>
      </c>
      <c r="X21" s="92">
        <v>3120</v>
      </c>
      <c r="Y21" s="92">
        <v>70</v>
      </c>
      <c r="Z21" s="92">
        <v>110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</row>
    <row r="22" spans="1:61" ht="14.1" customHeight="1">
      <c r="A22" s="129" t="s">
        <v>162</v>
      </c>
      <c r="B22" s="98" t="s">
        <v>56</v>
      </c>
      <c r="C22" s="92">
        <v>348</v>
      </c>
      <c r="D22" s="92">
        <v>166</v>
      </c>
      <c r="E22" s="92">
        <v>182</v>
      </c>
      <c r="F22" s="92">
        <v>38514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94</v>
      </c>
      <c r="Q22" s="92">
        <v>75</v>
      </c>
      <c r="R22" s="92">
        <v>29618</v>
      </c>
      <c r="S22" s="92">
        <v>38</v>
      </c>
      <c r="T22" s="92">
        <v>72</v>
      </c>
      <c r="U22" s="92">
        <v>7731</v>
      </c>
      <c r="V22" s="92">
        <v>34</v>
      </c>
      <c r="W22" s="92">
        <v>35</v>
      </c>
      <c r="X22" s="92">
        <v>1165</v>
      </c>
      <c r="Y22" s="92">
        <v>81</v>
      </c>
      <c r="Z22" s="92">
        <v>104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</row>
    <row r="23" spans="1:61" ht="14.1" customHeight="1">
      <c r="A23" s="129" t="s">
        <v>163</v>
      </c>
      <c r="B23" s="98" t="s">
        <v>58</v>
      </c>
      <c r="C23" s="92">
        <v>307</v>
      </c>
      <c r="D23" s="92">
        <v>187</v>
      </c>
      <c r="E23" s="92">
        <v>120</v>
      </c>
      <c r="F23" s="92">
        <v>88286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124</v>
      </c>
      <c r="Q23" s="92">
        <v>65</v>
      </c>
      <c r="R23" s="92">
        <v>53172</v>
      </c>
      <c r="S23" s="92">
        <v>63</v>
      </c>
      <c r="T23" s="92">
        <v>55</v>
      </c>
      <c r="U23" s="92">
        <v>35114</v>
      </c>
      <c r="V23" s="92">
        <v>0</v>
      </c>
      <c r="W23" s="92">
        <v>0</v>
      </c>
      <c r="X23" s="92">
        <v>0</v>
      </c>
      <c r="Y23" s="92">
        <v>70</v>
      </c>
      <c r="Z23" s="92">
        <v>53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</row>
    <row r="24" spans="1:61" ht="14.1" customHeight="1">
      <c r="A24" s="129" t="s">
        <v>164</v>
      </c>
      <c r="B24" s="98" t="s">
        <v>60</v>
      </c>
      <c r="C24" s="92">
        <v>1176</v>
      </c>
      <c r="D24" s="92">
        <v>570</v>
      </c>
      <c r="E24" s="92">
        <v>606</v>
      </c>
      <c r="F24" s="92">
        <v>474029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51</v>
      </c>
      <c r="Q24" s="92">
        <v>33</v>
      </c>
      <c r="R24" s="92">
        <v>55392</v>
      </c>
      <c r="S24" s="92">
        <v>56</v>
      </c>
      <c r="T24" s="92">
        <v>76</v>
      </c>
      <c r="U24" s="92">
        <v>109068</v>
      </c>
      <c r="V24" s="92">
        <v>463</v>
      </c>
      <c r="W24" s="92">
        <v>497</v>
      </c>
      <c r="X24" s="92">
        <v>309569</v>
      </c>
      <c r="Y24" s="92">
        <v>0</v>
      </c>
      <c r="Z24" s="92">
        <v>0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</row>
    <row r="25" spans="1:61" ht="14.1" customHeight="1">
      <c r="A25" s="129" t="s">
        <v>165</v>
      </c>
      <c r="B25" s="98" t="s">
        <v>62</v>
      </c>
      <c r="C25" s="92">
        <v>94</v>
      </c>
      <c r="D25" s="92">
        <v>41</v>
      </c>
      <c r="E25" s="92">
        <v>53</v>
      </c>
      <c r="F25" s="92">
        <v>9756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22</v>
      </c>
      <c r="Q25" s="92">
        <v>32</v>
      </c>
      <c r="R25" s="92">
        <v>6998</v>
      </c>
      <c r="S25" s="92">
        <v>3</v>
      </c>
      <c r="T25" s="92">
        <v>6</v>
      </c>
      <c r="U25" s="92">
        <v>734</v>
      </c>
      <c r="V25" s="92">
        <v>16</v>
      </c>
      <c r="W25" s="92">
        <v>15</v>
      </c>
      <c r="X25" s="92">
        <v>2024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</row>
    <row r="26" spans="1:61" ht="14.1" customHeight="1">
      <c r="A26" s="129" t="s">
        <v>166</v>
      </c>
      <c r="B26" s="98" t="s">
        <v>64</v>
      </c>
      <c r="C26" s="92">
        <v>1550</v>
      </c>
      <c r="D26" s="92">
        <v>409</v>
      </c>
      <c r="E26" s="92">
        <v>1141</v>
      </c>
      <c r="F26" s="92">
        <v>71196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350</v>
      </c>
      <c r="N26" s="92">
        <v>1080</v>
      </c>
      <c r="O26" s="92">
        <v>44767</v>
      </c>
      <c r="P26" s="92">
        <v>41</v>
      </c>
      <c r="Q26" s="92">
        <v>34</v>
      </c>
      <c r="R26" s="92">
        <v>14241</v>
      </c>
      <c r="S26" s="92">
        <v>9</v>
      </c>
      <c r="T26" s="92">
        <v>18</v>
      </c>
      <c r="U26" s="92">
        <v>4620</v>
      </c>
      <c r="V26" s="92">
        <v>9</v>
      </c>
      <c r="W26" s="92">
        <v>9</v>
      </c>
      <c r="X26" s="92">
        <v>7568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</row>
    <row r="27" spans="1:61" ht="14.1" customHeight="1">
      <c r="A27" s="129" t="s">
        <v>183</v>
      </c>
      <c r="B27" s="98" t="s">
        <v>184</v>
      </c>
      <c r="C27" s="92">
        <v>341</v>
      </c>
      <c r="D27" s="92">
        <v>152</v>
      </c>
      <c r="E27" s="92">
        <v>189</v>
      </c>
      <c r="F27" s="92">
        <v>77949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78</v>
      </c>
      <c r="Q27" s="92">
        <v>98</v>
      </c>
      <c r="R27" s="92">
        <v>38665</v>
      </c>
      <c r="S27" s="92">
        <v>10</v>
      </c>
      <c r="T27" s="92">
        <v>19</v>
      </c>
      <c r="U27" s="92">
        <v>13230</v>
      </c>
      <c r="V27" s="92">
        <v>64</v>
      </c>
      <c r="W27" s="92">
        <v>72</v>
      </c>
      <c r="X27" s="92">
        <v>26054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</row>
    <row r="28" spans="1:61" ht="14.1" customHeight="1">
      <c r="A28" s="129" t="s">
        <v>167</v>
      </c>
      <c r="B28" s="98" t="s">
        <v>66</v>
      </c>
      <c r="C28" s="92">
        <v>190</v>
      </c>
      <c r="D28" s="92">
        <v>76</v>
      </c>
      <c r="E28" s="92">
        <v>114</v>
      </c>
      <c r="F28" s="92">
        <v>51968</v>
      </c>
      <c r="G28" s="92">
        <v>0</v>
      </c>
      <c r="H28" s="92">
        <v>0</v>
      </c>
      <c r="I28" s="92">
        <v>412</v>
      </c>
      <c r="J28" s="92">
        <v>0</v>
      </c>
      <c r="K28" s="92">
        <v>3</v>
      </c>
      <c r="L28" s="92">
        <v>567</v>
      </c>
      <c r="M28" s="92">
        <v>25</v>
      </c>
      <c r="N28" s="92">
        <v>37</v>
      </c>
      <c r="O28" s="92">
        <v>11357</v>
      </c>
      <c r="P28" s="92">
        <v>21</v>
      </c>
      <c r="Q28" s="92">
        <v>10</v>
      </c>
      <c r="R28" s="92">
        <v>11591</v>
      </c>
      <c r="S28" s="92">
        <v>11</v>
      </c>
      <c r="T28" s="92">
        <v>50</v>
      </c>
      <c r="U28" s="92">
        <v>19836</v>
      </c>
      <c r="V28" s="92">
        <v>19</v>
      </c>
      <c r="W28" s="92">
        <v>14</v>
      </c>
      <c r="X28" s="92">
        <v>8205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</row>
    <row r="29" spans="1:61" ht="14.1" customHeight="1">
      <c r="A29" s="129" t="s">
        <v>185</v>
      </c>
      <c r="B29" s="98" t="s">
        <v>186</v>
      </c>
      <c r="C29" s="92">
        <v>180</v>
      </c>
      <c r="D29" s="92">
        <v>76</v>
      </c>
      <c r="E29" s="92">
        <v>104</v>
      </c>
      <c r="F29" s="92">
        <v>38934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28</v>
      </c>
      <c r="Q29" s="92">
        <v>22</v>
      </c>
      <c r="R29" s="92">
        <v>10085</v>
      </c>
      <c r="S29" s="92">
        <v>26</v>
      </c>
      <c r="T29" s="92">
        <v>56</v>
      </c>
      <c r="U29" s="92">
        <v>17599</v>
      </c>
      <c r="V29" s="92">
        <v>22</v>
      </c>
      <c r="W29" s="92">
        <v>26</v>
      </c>
      <c r="X29" s="92">
        <v>11250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</row>
    <row r="30" spans="1:61" s="95" customFormat="1" ht="14.1" customHeight="1">
      <c r="A30" s="130" t="s">
        <v>148</v>
      </c>
      <c r="B30" s="68" t="s">
        <v>187</v>
      </c>
      <c r="C30" s="92">
        <v>3089</v>
      </c>
      <c r="D30" s="92">
        <v>1223</v>
      </c>
      <c r="E30" s="92">
        <v>1866</v>
      </c>
      <c r="F30" s="92">
        <v>298257</v>
      </c>
      <c r="G30" s="92">
        <v>12</v>
      </c>
      <c r="H30" s="92">
        <v>9</v>
      </c>
      <c r="I30" s="92">
        <v>2027</v>
      </c>
      <c r="J30" s="92">
        <v>36</v>
      </c>
      <c r="K30" s="92">
        <v>26</v>
      </c>
      <c r="L30" s="92">
        <v>5768</v>
      </c>
      <c r="M30" s="92">
        <v>687</v>
      </c>
      <c r="N30" s="92">
        <v>1384</v>
      </c>
      <c r="O30" s="92">
        <v>69633</v>
      </c>
      <c r="P30" s="92">
        <v>79</v>
      </c>
      <c r="Q30" s="92">
        <v>43</v>
      </c>
      <c r="R30" s="92">
        <v>21475</v>
      </c>
      <c r="S30" s="92">
        <v>107</v>
      </c>
      <c r="T30" s="92">
        <v>123</v>
      </c>
      <c r="U30" s="92">
        <v>61123</v>
      </c>
      <c r="V30" s="92">
        <v>302</v>
      </c>
      <c r="W30" s="92">
        <v>281</v>
      </c>
      <c r="X30" s="92">
        <v>138231</v>
      </c>
      <c r="Y30" s="92">
        <v>0</v>
      </c>
      <c r="Z30" s="92">
        <v>0</v>
      </c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</row>
    <row r="31" spans="1:61" s="95" customFormat="1" ht="14.1" customHeight="1">
      <c r="A31" s="130" t="s">
        <v>151</v>
      </c>
      <c r="B31" s="68" t="s">
        <v>188</v>
      </c>
      <c r="C31" s="92">
        <v>1504</v>
      </c>
      <c r="D31" s="92">
        <v>847</v>
      </c>
      <c r="E31" s="92">
        <v>657</v>
      </c>
      <c r="F31" s="92">
        <v>388319</v>
      </c>
      <c r="G31" s="92">
        <v>0</v>
      </c>
      <c r="H31" s="92">
        <v>0</v>
      </c>
      <c r="I31" s="92">
        <v>524</v>
      </c>
      <c r="J31" s="92">
        <v>89</v>
      </c>
      <c r="K31" s="92">
        <v>72</v>
      </c>
      <c r="L31" s="92">
        <v>50851</v>
      </c>
      <c r="M31" s="92">
        <v>91</v>
      </c>
      <c r="N31" s="92">
        <v>93</v>
      </c>
      <c r="O31" s="92">
        <v>36717</v>
      </c>
      <c r="P31" s="92">
        <v>29</v>
      </c>
      <c r="Q31" s="92">
        <v>30</v>
      </c>
      <c r="R31" s="92">
        <v>7570</v>
      </c>
      <c r="S31" s="92">
        <v>559</v>
      </c>
      <c r="T31" s="92">
        <v>388</v>
      </c>
      <c r="U31" s="92">
        <v>255106</v>
      </c>
      <c r="V31" s="92">
        <v>79</v>
      </c>
      <c r="W31" s="92">
        <v>74</v>
      </c>
      <c r="X31" s="92">
        <v>37551</v>
      </c>
      <c r="Y31" s="92">
        <v>0</v>
      </c>
      <c r="Z31" s="92">
        <v>0</v>
      </c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</row>
    <row r="32" spans="1:61" ht="15.6" customHeight="1">
      <c r="A32" s="129" t="s">
        <v>168</v>
      </c>
      <c r="B32" s="98" t="s">
        <v>68</v>
      </c>
      <c r="C32" s="92">
        <v>0</v>
      </c>
      <c r="D32" s="92">
        <v>0</v>
      </c>
      <c r="E32" s="92">
        <v>0</v>
      </c>
      <c r="F32" s="92">
        <v>14050</v>
      </c>
      <c r="G32" s="92">
        <v>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v>0</v>
      </c>
      <c r="T32" s="92">
        <v>0</v>
      </c>
      <c r="U32" s="92">
        <v>0</v>
      </c>
      <c r="V32" s="92">
        <v>0</v>
      </c>
      <c r="W32" s="92">
        <v>0</v>
      </c>
      <c r="X32" s="92">
        <v>14050</v>
      </c>
      <c r="Y32" s="92">
        <v>0</v>
      </c>
      <c r="Z32" s="92">
        <v>0</v>
      </c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</row>
    <row r="33" spans="1:38" ht="15.6" customHeight="1">
      <c r="A33" s="132" t="s">
        <v>169</v>
      </c>
      <c r="B33" s="100" t="s">
        <v>70</v>
      </c>
      <c r="C33" s="101">
        <v>25</v>
      </c>
      <c r="D33" s="101">
        <v>16</v>
      </c>
      <c r="E33" s="101">
        <v>9</v>
      </c>
      <c r="F33" s="101">
        <v>8636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16</v>
      </c>
      <c r="Q33" s="101">
        <v>9</v>
      </c>
      <c r="R33" s="101">
        <v>4318</v>
      </c>
      <c r="S33" s="101">
        <v>0</v>
      </c>
      <c r="T33" s="101">
        <v>0</v>
      </c>
      <c r="U33" s="101">
        <v>4318</v>
      </c>
      <c r="V33" s="101">
        <v>0</v>
      </c>
      <c r="W33" s="101">
        <v>0</v>
      </c>
      <c r="X33" s="101">
        <v>0</v>
      </c>
      <c r="Y33" s="101">
        <v>0</v>
      </c>
      <c r="Z33" s="101">
        <v>0</v>
      </c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</row>
    <row r="34" spans="1:38" ht="16.5">
      <c r="A34" s="37" t="s">
        <v>13</v>
      </c>
      <c r="B34" s="102"/>
    </row>
    <row r="35" spans="1:38">
      <c r="A35" s="39" t="s">
        <v>14</v>
      </c>
    </row>
  </sheetData>
  <mergeCells count="42"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  <mergeCell ref="C6:C7"/>
    <mergeCell ref="D6:D7"/>
    <mergeCell ref="E6:E7"/>
    <mergeCell ref="G6:G7"/>
    <mergeCell ref="H6:H7"/>
    <mergeCell ref="W6:W7"/>
    <mergeCell ref="L5:L7"/>
    <mergeCell ref="M5:N5"/>
    <mergeCell ref="O5:O7"/>
    <mergeCell ref="P5:Q5"/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9" fitToWidth="10" orientation="landscape" useFirstPageNumber="1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已命名的範圍</vt:lpstr>
      </vt:variant>
      <vt:variant>
        <vt:i4>5</vt:i4>
      </vt:variant>
    </vt:vector>
  </HeadingPairs>
  <TitlesOfParts>
    <vt:vector size="23" baseType="lpstr">
      <vt:lpstr>歷年(110~)</vt:lpstr>
      <vt:lpstr>113</vt:lpstr>
      <vt:lpstr>112</vt:lpstr>
      <vt:lpstr>111</vt:lpstr>
      <vt:lpstr>110</vt:lpstr>
      <vt:lpstr>歷年(98-109)</vt:lpstr>
      <vt:lpstr>109</vt:lpstr>
      <vt:lpstr>108</vt:lpstr>
      <vt:lpstr>107</vt:lpstr>
      <vt:lpstr>106</vt:lpstr>
      <vt:lpstr>105</vt:lpstr>
      <vt:lpstr>104</vt:lpstr>
      <vt:lpstr>103</vt:lpstr>
      <vt:lpstr>102</vt:lpstr>
      <vt:lpstr>101</vt:lpstr>
      <vt:lpstr>100</vt:lpstr>
      <vt:lpstr>99</vt:lpstr>
      <vt:lpstr>98</vt:lpstr>
      <vt:lpstr>'110'!Print_Area</vt:lpstr>
      <vt:lpstr>'111'!Print_Area</vt:lpstr>
      <vt:lpstr>'112'!Print_Area</vt:lpstr>
      <vt:lpstr>'113'!Print_Area</vt:lpstr>
      <vt:lpstr>'歷年(110~)'!Print_Area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長期照顧司鄭慧敏</dc:creator>
  <cp:lastModifiedBy>統計處李美鈴</cp:lastModifiedBy>
  <cp:lastPrinted>2022-03-18T08:28:47Z</cp:lastPrinted>
  <dcterms:created xsi:type="dcterms:W3CDTF">2020-06-22T06:08:06Z</dcterms:created>
  <dcterms:modified xsi:type="dcterms:W3CDTF">2025-04-15T00:52:01Z</dcterms:modified>
</cp:coreProperties>
</file>